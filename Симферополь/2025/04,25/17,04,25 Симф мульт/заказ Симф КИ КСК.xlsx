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22456680-33B2-4FD3-8831-A9583CE71BD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BO512" i="1"/>
  <c r="BM512" i="1"/>
  <c r="Y512" i="1"/>
  <c r="P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P499" i="1"/>
  <c r="BO498" i="1"/>
  <c r="BM498" i="1"/>
  <c r="Y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AB601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H601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BP119" i="1"/>
  <c r="BO119" i="1"/>
  <c r="BN119" i="1"/>
  <c r="BM119" i="1"/>
  <c r="Z119" i="1"/>
  <c r="Y119" i="1"/>
  <c r="Y128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A9" i="1"/>
  <c r="A10" i="1" s="1"/>
  <c r="D7" i="1"/>
  <c r="Q6" i="1"/>
  <c r="P2" i="1"/>
  <c r="Z310" i="1" l="1"/>
  <c r="X594" i="1"/>
  <c r="Z390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2" i="1"/>
  <c r="BP157" i="1"/>
  <c r="BN157" i="1"/>
  <c r="Z157" i="1"/>
  <c r="Y161" i="1"/>
  <c r="BP175" i="1"/>
  <c r="BN175" i="1"/>
  <c r="Z175" i="1"/>
  <c r="Z183" i="1" s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Z282" i="1"/>
  <c r="BP278" i="1"/>
  <c r="BN278" i="1"/>
  <c r="Z278" i="1"/>
  <c r="Y282" i="1"/>
  <c r="BP309" i="1"/>
  <c r="BN309" i="1"/>
  <c r="Z309" i="1"/>
  <c r="Y311" i="1"/>
  <c r="T601" i="1"/>
  <c r="Y315" i="1"/>
  <c r="BP314" i="1"/>
  <c r="BN314" i="1"/>
  <c r="Z314" i="1"/>
  <c r="Z315" i="1" s="1"/>
  <c r="Y316" i="1"/>
  <c r="U601" i="1"/>
  <c r="Y325" i="1"/>
  <c r="BP319" i="1"/>
  <c r="BN319" i="1"/>
  <c r="Z319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Z408" i="1" s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Z23" i="1"/>
  <c r="Z28" i="1" s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BN37" i="1"/>
  <c r="Y592" i="1" s="1"/>
  <c r="Y594" i="1" s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21" i="1"/>
  <c r="Z128" i="1" s="1"/>
  <c r="BN121" i="1"/>
  <c r="Z124" i="1"/>
  <c r="BN124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Z209" i="1" s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Z243" i="1" s="1"/>
  <c r="BP257" i="1"/>
  <c r="BN257" i="1"/>
  <c r="Z257" i="1"/>
  <c r="Y261" i="1"/>
  <c r="BP271" i="1"/>
  <c r="BN271" i="1"/>
  <c r="Z271" i="1"/>
  <c r="Z273" i="1" s="1"/>
  <c r="BP280" i="1"/>
  <c r="BN280" i="1"/>
  <c r="Z280" i="1"/>
  <c r="Y31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BP320" i="1"/>
  <c r="BN320" i="1"/>
  <c r="BP322" i="1"/>
  <c r="BN322" i="1"/>
  <c r="Z322" i="1"/>
  <c r="BP330" i="1"/>
  <c r="BN330" i="1"/>
  <c r="Z330" i="1"/>
  <c r="Y341" i="1"/>
  <c r="BP338" i="1"/>
  <c r="BN338" i="1"/>
  <c r="Z338" i="1"/>
  <c r="Z340" i="1" s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Y467" i="1"/>
  <c r="Y472" i="1"/>
  <c r="BP481" i="1"/>
  <c r="BN481" i="1"/>
  <c r="Z481" i="1"/>
  <c r="BP486" i="1"/>
  <c r="BN486" i="1"/>
  <c r="Z486" i="1"/>
  <c r="Z495" i="1" s="1"/>
  <c r="BP489" i="1"/>
  <c r="BN489" i="1"/>
  <c r="Z489" i="1"/>
  <c r="BP491" i="1"/>
  <c r="BN491" i="1"/>
  <c r="Z491" i="1"/>
  <c r="Y495" i="1"/>
  <c r="Y503" i="1"/>
  <c r="BP498" i="1"/>
  <c r="BN498" i="1"/>
  <c r="Z498" i="1"/>
  <c r="Z502" i="1" s="1"/>
  <c r="BP506" i="1"/>
  <c r="BN506" i="1"/>
  <c r="Z506" i="1"/>
  <c r="BP508" i="1"/>
  <c r="BN508" i="1"/>
  <c r="Z508" i="1"/>
  <c r="BP512" i="1"/>
  <c r="BN512" i="1"/>
  <c r="Z512" i="1"/>
  <c r="BP515" i="1"/>
  <c r="BN515" i="1"/>
  <c r="Z515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47" i="1" l="1"/>
  <c r="Z517" i="1"/>
  <c r="Z442" i="1"/>
  <c r="Z332" i="1"/>
  <c r="Z221" i="1"/>
  <c r="Y595" i="1"/>
  <c r="Z370" i="1"/>
  <c r="Y591" i="1"/>
  <c r="Z565" i="1"/>
  <c r="Z523" i="1"/>
  <c r="Z528" i="1"/>
  <c r="Z385" i="1"/>
  <c r="Z353" i="1"/>
  <c r="Z102" i="1"/>
  <c r="Z90" i="1"/>
  <c r="Z62" i="1"/>
  <c r="Z41" i="1"/>
  <c r="Z596" i="1" s="1"/>
  <c r="Z325" i="1"/>
  <c r="Z161" i="1"/>
</calcChain>
</file>

<file path=xl/sharedStrings.xml><?xml version="1.0" encoding="utf-8"?>
<sst xmlns="http://schemas.openxmlformats.org/spreadsheetml/2006/main" count="2730" uniqueCount="967">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</sst>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1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0.375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80</v>
      </c>
      <c r="Y38" s="664">
        <f>IFERROR(IF(X38="",0,CEILING((X38/$H38),1)*$H38),"")</f>
        <v>80</v>
      </c>
      <c r="Z38" s="36">
        <f>IFERROR(IF(Y38=0,"",ROUNDUP(Y38/H38,0)*0.00902),"")</f>
        <v>0.1804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84.2</v>
      </c>
      <c r="BN38" s="64">
        <f>IFERROR(Y38*I38/H38,"0")</f>
        <v>84.2</v>
      </c>
      <c r="BO38" s="64">
        <f>IFERROR(1/J38*(X38/H38),"0")</f>
        <v>0.15151515151515152</v>
      </c>
      <c r="BP38" s="64">
        <f>IFERROR(1/J38*(Y38/H38),"0")</f>
        <v>0.15151515151515152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20</v>
      </c>
      <c r="Y41" s="665">
        <f>IFERROR(Y37/H37,"0")+IFERROR(Y38/H38,"0")+IFERROR(Y39/H39,"0")+IFERROR(Y40/H40,"0")</f>
        <v>20</v>
      </c>
      <c r="Z41" s="665">
        <f>IFERROR(IF(Z37="",0,Z37),"0")+IFERROR(IF(Z38="",0,Z38),"0")+IFERROR(IF(Z39="",0,Z39),"0")+IFERROR(IF(Z40="",0,Z40),"0")</f>
        <v>0.1804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80</v>
      </c>
      <c r="Y42" s="665">
        <f>IFERROR(SUM(Y37:Y40),"0")</f>
        <v>80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225</v>
      </c>
      <c r="Y54" s="664">
        <f t="shared" si="6"/>
        <v>225</v>
      </c>
      <c r="Z54" s="36">
        <f>IFERROR(IF(Y54=0,"",ROUNDUP(Y54/H54,0)*0.00902),"")</f>
        <v>0.45100000000000001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235.5</v>
      </c>
      <c r="BN54" s="64">
        <f t="shared" si="8"/>
        <v>235.5</v>
      </c>
      <c r="BO54" s="64">
        <f t="shared" si="9"/>
        <v>0.37878787878787878</v>
      </c>
      <c r="BP54" s="64">
        <f t="shared" si="10"/>
        <v>0.37878787878787878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50</v>
      </c>
      <c r="Y55" s="665">
        <f>IFERROR(Y49/H49,"0")+IFERROR(Y50/H50,"0")+IFERROR(Y51/H51,"0")+IFERROR(Y52/H52,"0")+IFERROR(Y53/H53,"0")+IFERROR(Y54/H54,"0")</f>
        <v>50</v>
      </c>
      <c r="Z55" s="665">
        <f>IFERROR(IF(Z49="",0,Z49),"0")+IFERROR(IF(Z50="",0,Z50),"0")+IFERROR(IF(Z51="",0,Z51),"0")+IFERROR(IF(Z52="",0,Z52),"0")+IFERROR(IF(Z53="",0,Z53),"0")+IFERROR(IF(Z54="",0,Z54),"0")</f>
        <v>0.45100000000000001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225</v>
      </c>
      <c r="Y56" s="665">
        <f>IFERROR(SUM(Y49:Y54),"0")</f>
        <v>225</v>
      </c>
      <c r="Z56" s="37"/>
      <c r="AA56" s="666"/>
      <c r="AB56" s="666"/>
      <c r="AC56" s="666"/>
    </row>
    <row r="57" spans="1:68" ht="14.25" customHeight="1" x14ac:dyDescent="0.25">
      <c r="A57" s="679" t="s">
        <v>136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50</v>
      </c>
      <c r="Y58" s="664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4.6296296296296298</v>
      </c>
      <c r="Y62" s="665">
        <f>IFERROR(Y58/H58,"0")+IFERROR(Y59/H59,"0")+IFERROR(Y60/H60,"0")+IFERROR(Y61/H61,"0")</f>
        <v>5</v>
      </c>
      <c r="Z62" s="665">
        <f>IFERROR(IF(Z58="",0,Z58),"0")+IFERROR(IF(Z59="",0,Z59),"0")+IFERROR(IF(Z60="",0,Z60),"0")+IFERROR(IF(Z61="",0,Z61),"0")</f>
        <v>9.4899999999999998E-2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50</v>
      </c>
      <c r="Y63" s="665">
        <f>IFERROR(SUM(Y58:Y61),"0")</f>
        <v>54</v>
      </c>
      <c r="Z63" s="37"/>
      <c r="AA63" s="666"/>
      <c r="AB63" s="666"/>
      <c r="AC63" s="666"/>
    </row>
    <row r="64" spans="1:68" ht="14.25" customHeight="1" x14ac:dyDescent="0.25">
      <c r="A64" s="679" t="s">
        <v>147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173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10</v>
      </c>
      <c r="Y81" s="664">
        <f>IFERROR(IF(X81="",0,CEILING((X81/$H81),1)*$H81),"")</f>
        <v>16.8</v>
      </c>
      <c r="Z81" s="36">
        <f>IFERROR(IF(Y81=0,"",ROUNDUP(Y81/H81,0)*0.01898),"")</f>
        <v>3.7960000000000001E-2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10.617857142857142</v>
      </c>
      <c r="BN81" s="64">
        <f>IFERROR(Y81*I81/H81,"0")</f>
        <v>17.838000000000001</v>
      </c>
      <c r="BO81" s="64">
        <f>IFERROR(1/J81*(X81/H81),"0")</f>
        <v>1.8601190476190476E-2</v>
      </c>
      <c r="BP81" s="64">
        <f>IFERROR(1/J81*(Y81/H81),"0")</f>
        <v>3.125E-2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1.1904761904761905</v>
      </c>
      <c r="Y83" s="665">
        <f>IFERROR(Y80/H80,"0")+IFERROR(Y81/H81,"0")+IFERROR(Y82/H82,"0")</f>
        <v>2</v>
      </c>
      <c r="Z83" s="665">
        <f>IFERROR(IF(Z80="",0,Z80),"0")+IFERROR(IF(Z81="",0,Z81),"0")+IFERROR(IF(Z82="",0,Z82),"0")</f>
        <v>3.7960000000000001E-2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10</v>
      </c>
      <c r="Y84" s="665">
        <f>IFERROR(SUM(Y80:Y82),"0")</f>
        <v>16.8</v>
      </c>
      <c r="Z84" s="37"/>
      <c r="AA84" s="666"/>
      <c r="AB84" s="666"/>
      <c r="AC84" s="666"/>
    </row>
    <row r="85" spans="1:68" ht="16.5" customHeight="1" x14ac:dyDescent="0.25">
      <c r="A85" s="716" t="s">
        <v>181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135</v>
      </c>
      <c r="Y89" s="664">
        <f>IFERROR(IF(X89="",0,CEILING((X89/$H89),1)*$H89),"")</f>
        <v>135</v>
      </c>
      <c r="Z89" s="36">
        <f>IFERROR(IF(Y89=0,"",ROUNDUP(Y89/H89,0)*0.00902),"")</f>
        <v>0.27060000000000001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141.30000000000001</v>
      </c>
      <c r="BN89" s="64">
        <f>IFERROR(Y89*I89/H89,"0")</f>
        <v>141.30000000000001</v>
      </c>
      <c r="BO89" s="64">
        <f>IFERROR(1/J89*(X89/H89),"0")</f>
        <v>0.22727272727272729</v>
      </c>
      <c r="BP89" s="64">
        <f>IFERROR(1/J89*(Y89/H89),"0")</f>
        <v>0.22727272727272729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30</v>
      </c>
      <c r="Y90" s="665">
        <f>IFERROR(Y87/H87,"0")+IFERROR(Y88/H88,"0")+IFERROR(Y89/H89,"0")</f>
        <v>30</v>
      </c>
      <c r="Z90" s="665">
        <f>IFERROR(IF(Z87="",0,Z87),"0")+IFERROR(IF(Z88="",0,Z88),"0")+IFERROR(IF(Z89="",0,Z89),"0")</f>
        <v>0.27060000000000001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135</v>
      </c>
      <c r="Y91" s="665">
        <f>IFERROR(SUM(Y87:Y89),"0")</f>
        <v>135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120</v>
      </c>
      <c r="Y93" s="664">
        <f t="shared" ref="Y93:Y101" si="16">IFERROR(IF(X93="",0,CEILING((X93/$H93),1)*$H93),"")</f>
        <v>126</v>
      </c>
      <c r="Z93" s="36">
        <f>IFERROR(IF(Y93=0,"",ROUNDUP(Y93/H93,0)*0.01898),"")</f>
        <v>0.28470000000000001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127.41428571428571</v>
      </c>
      <c r="BN93" s="64">
        <f t="shared" ref="BN93:BN101" si="18">IFERROR(Y93*I93/H93,"0")</f>
        <v>133.785</v>
      </c>
      <c r="BO93" s="64">
        <f t="shared" ref="BO93:BO101" si="19">IFERROR(1/J93*(X93/H93),"0")</f>
        <v>0.2232142857142857</v>
      </c>
      <c r="BP93" s="64">
        <f t="shared" ref="BP93:BP101" si="20">IFERROR(1/J93*(Y93/H93),"0")</f>
        <v>0.234375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1" t="s">
        <v>195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199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203</v>
      </c>
      <c r="Q97" s="670"/>
      <c r="R97" s="670"/>
      <c r="S97" s="670"/>
      <c r="T97" s="671"/>
      <c r="U97" s="34"/>
      <c r="V97" s="34"/>
      <c r="W97" s="35" t="s">
        <v>69</v>
      </c>
      <c r="X97" s="663">
        <v>135</v>
      </c>
      <c r="Y97" s="664">
        <f t="shared" si="16"/>
        <v>135</v>
      </c>
      <c r="Z97" s="36">
        <f>IFERROR(IF(Y97=0,"",ROUNDUP(Y97/H97,0)*0.00651),"")</f>
        <v>0.32550000000000001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147.6</v>
      </c>
      <c r="BN97" s="64">
        <f t="shared" si="18"/>
        <v>147.6</v>
      </c>
      <c r="BO97" s="64">
        <f t="shared" si="19"/>
        <v>0.27472527472527475</v>
      </c>
      <c r="BP97" s="64">
        <f t="shared" si="20"/>
        <v>0.27472527472527475</v>
      </c>
    </row>
    <row r="98" spans="1:68" ht="16.5" customHeight="1" x14ac:dyDescent="0.25">
      <c r="A98" s="54" t="s">
        <v>201</v>
      </c>
      <c r="B98" s="54" t="s">
        <v>204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3" t="s">
        <v>205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64.285714285714278</v>
      </c>
      <c r="Y102" s="665">
        <f>IFERROR(Y93/H93,"0")+IFERROR(Y94/H94,"0")+IFERROR(Y95/H95,"0")+IFERROR(Y96/H96,"0")+IFERROR(Y97/H97,"0")+IFERROR(Y98/H98,"0")+IFERROR(Y99/H99,"0")+IFERROR(Y100/H100,"0")+IFERROR(Y101/H101,"0")</f>
        <v>65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0.61020000000000008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255</v>
      </c>
      <c r="Y103" s="665">
        <f>IFERROR(SUM(Y93:Y101),"0")</f>
        <v>261</v>
      </c>
      <c r="Z103" s="37"/>
      <c r="AA103" s="666"/>
      <c r="AB103" s="666"/>
      <c r="AC103" s="666"/>
    </row>
    <row r="104" spans="1:68" ht="16.5" customHeight="1" x14ac:dyDescent="0.25">
      <c r="A104" s="716" t="s">
        <v>212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126</v>
      </c>
      <c r="Y108" s="664">
        <f>IFERROR(IF(X108="",0,CEILING((X108/$H108),1)*$H108),"")</f>
        <v>126</v>
      </c>
      <c r="Z108" s="36">
        <f>IFERROR(IF(Y108=0,"",ROUNDUP(Y108/H108,0)*0.00902),"")</f>
        <v>0.25256000000000001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131.88</v>
      </c>
      <c r="BN108" s="64">
        <f>IFERROR(Y108*I108/H108,"0")</f>
        <v>131.88</v>
      </c>
      <c r="BO108" s="64">
        <f>IFERROR(1/J108*(X108/H108),"0")</f>
        <v>0.21212121212121213</v>
      </c>
      <c r="BP108" s="64">
        <f>IFERROR(1/J108*(Y108/H108),"0")</f>
        <v>0.21212121212121213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28</v>
      </c>
      <c r="Y110" s="665">
        <f>IFERROR(Y106/H106,"0")+IFERROR(Y107/H107,"0")+IFERROR(Y108/H108,"0")+IFERROR(Y109/H109,"0")</f>
        <v>28</v>
      </c>
      <c r="Z110" s="665">
        <f>IFERROR(IF(Z106="",0,Z106),"0")+IFERROR(IF(Z107="",0,Z107),"0")+IFERROR(IF(Z108="",0,Z108),"0")+IFERROR(IF(Z109="",0,Z109),"0")</f>
        <v>0.25256000000000001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126</v>
      </c>
      <c r="Y111" s="665">
        <f>IFERROR(SUM(Y106:Y109),"0")</f>
        <v>126</v>
      </c>
      <c r="Z111" s="37"/>
      <c r="AA111" s="666"/>
      <c r="AB111" s="666"/>
      <c r="AC111" s="666"/>
    </row>
    <row r="112" spans="1:68" ht="14.25" customHeight="1" x14ac:dyDescent="0.25">
      <c r="A112" s="679" t="s">
        <v>136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229</v>
      </c>
      <c r="B120" s="54" t="s">
        <v>232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300</v>
      </c>
      <c r="Y121" s="664">
        <f t="shared" si="21"/>
        <v>302.40000000000003</v>
      </c>
      <c r="Z121" s="36">
        <f>IFERROR(IF(Y121=0,"",ROUNDUP(Y121/H121,0)*0.01898),"")</f>
        <v>0.68328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318.32142857142856</v>
      </c>
      <c r="BN121" s="64">
        <f t="shared" si="23"/>
        <v>320.86800000000005</v>
      </c>
      <c r="BO121" s="64">
        <f t="shared" si="24"/>
        <v>0.5580357142857143</v>
      </c>
      <c r="BP121" s="64">
        <f t="shared" si="25"/>
        <v>0.5625</v>
      </c>
    </row>
    <row r="122" spans="1:68" ht="37.5" customHeight="1" x14ac:dyDescent="0.25">
      <c r="A122" s="54" t="s">
        <v>237</v>
      </c>
      <c r="B122" s="54" t="s">
        <v>238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239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4" t="s">
        <v>240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135</v>
      </c>
      <c r="Y124" s="664">
        <f t="shared" si="21"/>
        <v>135</v>
      </c>
      <c r="Z124" s="36">
        <f t="shared" si="26"/>
        <v>0.32550000000000001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147.6</v>
      </c>
      <c r="BN124" s="64">
        <f t="shared" si="23"/>
        <v>147.6</v>
      </c>
      <c r="BO124" s="64">
        <f t="shared" si="24"/>
        <v>0.27472527472527475</v>
      </c>
      <c r="BP124" s="64">
        <f t="shared" si="25"/>
        <v>0.27472527472527475</v>
      </c>
    </row>
    <row r="125" spans="1:68" ht="27" customHeight="1" x14ac:dyDescent="0.25">
      <c r="A125" s="54" t="s">
        <v>241</v>
      </c>
      <c r="B125" s="54" t="s">
        <v>243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3" t="s">
        <v>244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9</v>
      </c>
      <c r="Y126" s="664">
        <f t="shared" si="21"/>
        <v>9</v>
      </c>
      <c r="Z126" s="36">
        <f t="shared" si="26"/>
        <v>3.2550000000000003E-2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9.9</v>
      </c>
      <c r="BN126" s="64">
        <f t="shared" si="23"/>
        <v>9.9</v>
      </c>
      <c r="BO126" s="64">
        <f t="shared" si="24"/>
        <v>2.7472527472527476E-2</v>
      </c>
      <c r="BP126" s="64">
        <f t="shared" si="25"/>
        <v>2.7472527472527476E-2</v>
      </c>
    </row>
    <row r="127" spans="1:68" ht="37.5" customHeight="1" x14ac:dyDescent="0.25">
      <c r="A127" s="54" t="s">
        <v>248</v>
      </c>
      <c r="B127" s="54" t="s">
        <v>249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90.714285714285722</v>
      </c>
      <c r="Y128" s="665">
        <f>IFERROR(Y119/H119,"0")+IFERROR(Y120/H120,"0")+IFERROR(Y121/H121,"0")+IFERROR(Y122/H122,"0")+IFERROR(Y123/H123,"0")+IFERROR(Y124/H124,"0")+IFERROR(Y125/H125,"0")+IFERROR(Y126/H126,"0")+IFERROR(Y127/H127,"0")</f>
        <v>91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1.0413300000000001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444</v>
      </c>
      <c r="Y129" s="665">
        <f>IFERROR(SUM(Y119:Y127),"0")</f>
        <v>446.40000000000003</v>
      </c>
      <c r="Z129" s="37"/>
      <c r="AA129" s="666"/>
      <c r="AB129" s="666"/>
      <c r="AC129" s="666"/>
    </row>
    <row r="130" spans="1:68" ht="14.25" customHeight="1" x14ac:dyDescent="0.25">
      <c r="A130" s="679" t="s">
        <v>173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251</v>
      </c>
      <c r="B131" s="54" t="s">
        <v>252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257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258</v>
      </c>
      <c r="B137" s="54" t="s">
        <v>259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68</v>
      </c>
      <c r="Y138" s="664">
        <f>IFERROR(IF(X138="",0,CEILING((X138/$H138),1)*$H138),"")</f>
        <v>70.400000000000006</v>
      </c>
      <c r="Z138" s="36">
        <f>IFERROR(IF(Y138=0,"",ROUNDUP(Y138/H138,0)*0.00651),"")</f>
        <v>0.14322000000000001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71.825000000000003</v>
      </c>
      <c r="BN138" s="64">
        <f>IFERROR(Y138*I138/H138,"0")</f>
        <v>74.36</v>
      </c>
      <c r="BO138" s="64">
        <f>IFERROR(1/J138*(X138/H138),"0")</f>
        <v>0.11675824175824177</v>
      </c>
      <c r="BP138" s="64">
        <f>IFERROR(1/J138*(Y138/H138),"0")</f>
        <v>0.12087912087912089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21.25</v>
      </c>
      <c r="Y139" s="665">
        <f>IFERROR(Y137/H137,"0")+IFERROR(Y138/H138,"0")</f>
        <v>22</v>
      </c>
      <c r="Z139" s="665">
        <f>IFERROR(IF(Z137="",0,Z137),"0")+IFERROR(IF(Z138="",0,Z138),"0")</f>
        <v>0.14322000000000001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68</v>
      </c>
      <c r="Y140" s="665">
        <f>IFERROR(SUM(Y137:Y138),"0")</f>
        <v>70.400000000000006</v>
      </c>
      <c r="Z140" s="37"/>
      <c r="AA140" s="666"/>
      <c r="AB140" s="666"/>
      <c r="AC140" s="666"/>
    </row>
    <row r="141" spans="1:68" ht="14.25" customHeight="1" x14ac:dyDescent="0.25">
      <c r="A141" s="679" t="s">
        <v>147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24.5</v>
      </c>
      <c r="Y142" s="664">
        <f>IFERROR(IF(X142="",0,CEILING((X142/$H142),1)*$H142),"")</f>
        <v>25.2</v>
      </c>
      <c r="Z142" s="36">
        <f>IFERROR(IF(Y142=0,"",ROUNDUP(Y142/H142,0)*0.00651),"")</f>
        <v>5.8590000000000003E-2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26.844999999999999</v>
      </c>
      <c r="BN142" s="64">
        <f>IFERROR(Y142*I142/H142,"0")</f>
        <v>27.611999999999998</v>
      </c>
      <c r="BO142" s="64">
        <f>IFERROR(1/J142*(X142/H142),"0")</f>
        <v>4.807692307692308E-2</v>
      </c>
      <c r="BP142" s="64">
        <f>IFERROR(1/J142*(Y142/H142),"0")</f>
        <v>4.9450549450549455E-2</v>
      </c>
    </row>
    <row r="143" spans="1:68" ht="27" customHeight="1" x14ac:dyDescent="0.25">
      <c r="A143" s="54" t="s">
        <v>262</v>
      </c>
      <c r="B143" s="54" t="s">
        <v>265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8.75</v>
      </c>
      <c r="Y144" s="665">
        <f>IFERROR(Y142/H142,"0")+IFERROR(Y143/H143,"0")</f>
        <v>9</v>
      </c>
      <c r="Z144" s="665">
        <f>IFERROR(IF(Z142="",0,Z142),"0")+IFERROR(IF(Z143="",0,Z143),"0")</f>
        <v>5.8590000000000003E-2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24.5</v>
      </c>
      <c r="Y145" s="665">
        <f>IFERROR(SUM(Y142:Y143),"0")</f>
        <v>25.2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266</v>
      </c>
      <c r="B147" s="54" t="s">
        <v>267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39.6</v>
      </c>
      <c r="Y148" s="664">
        <f>IFERROR(IF(X148="",0,CEILING((X148/$H148),1)*$H148),"")</f>
        <v>39.6</v>
      </c>
      <c r="Z148" s="36">
        <f>IFERROR(IF(Y148=0,"",ROUNDUP(Y148/H148,0)*0.00651),"")</f>
        <v>9.7650000000000001E-2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43.62</v>
      </c>
      <c r="BN148" s="64">
        <f>IFERROR(Y148*I148/H148,"0")</f>
        <v>43.62</v>
      </c>
      <c r="BO148" s="64">
        <f>IFERROR(1/J148*(X148/H148),"0")</f>
        <v>8.241758241758243E-2</v>
      </c>
      <c r="BP148" s="64">
        <f>IFERROR(1/J148*(Y148/H148),"0")</f>
        <v>8.241758241758243E-2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15</v>
      </c>
      <c r="Y149" s="665">
        <f>IFERROR(Y147/H147,"0")+IFERROR(Y148/H148,"0")</f>
        <v>15</v>
      </c>
      <c r="Z149" s="665">
        <f>IFERROR(IF(Z147="",0,Z147),"0")+IFERROR(IF(Z148="",0,Z148),"0")</f>
        <v>9.7650000000000001E-2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39.6</v>
      </c>
      <c r="Y150" s="665">
        <f>IFERROR(SUM(Y147:Y148),"0")</f>
        <v>39.6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269</v>
      </c>
      <c r="B153" s="54" t="s">
        <v>270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147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272</v>
      </c>
      <c r="B157" s="54" t="s">
        <v>273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275</v>
      </c>
      <c r="B158" s="54" t="s">
        <v>276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278</v>
      </c>
      <c r="B159" s="54" t="s">
        <v>279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281</v>
      </c>
      <c r="B160" s="54" t="s">
        <v>282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283</v>
      </c>
      <c r="B164" s="54" t="s">
        <v>284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287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136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147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50</v>
      </c>
      <c r="Y174" s="664">
        <f t="shared" ref="Y174:Y182" si="27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53.214285714285715</v>
      </c>
      <c r="BN174" s="64">
        <f t="shared" ref="BN174:BN182" si="29">IFERROR(Y174*I174/H174,"0")</f>
        <v>53.64</v>
      </c>
      <c r="BO174" s="64">
        <f t="shared" ref="BO174:BO182" si="30">IFERROR(1/J174*(X174/H174),"0")</f>
        <v>9.0187590187590191E-2</v>
      </c>
      <c r="BP174" s="64">
        <f t="shared" ref="BP174:BP182" si="31">IFERROR(1/J174*(Y174/H174),"0")</f>
        <v>9.0909090909090912E-2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120</v>
      </c>
      <c r="Y176" s="664">
        <f t="shared" si="27"/>
        <v>121.80000000000001</v>
      </c>
      <c r="Z176" s="36">
        <f>IFERROR(IF(Y176=0,"",ROUNDUP(Y176/H176,0)*0.00902),"")</f>
        <v>0.26158000000000003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126</v>
      </c>
      <c r="BN176" s="64">
        <f t="shared" si="29"/>
        <v>127.89</v>
      </c>
      <c r="BO176" s="64">
        <f t="shared" si="30"/>
        <v>0.21645021645021645</v>
      </c>
      <c r="BP176" s="64">
        <f t="shared" si="31"/>
        <v>0.2196969696969697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70</v>
      </c>
      <c r="Y178" s="664">
        <f t="shared" si="27"/>
        <v>71.400000000000006</v>
      </c>
      <c r="Z178" s="36">
        <f>IFERROR(IF(Y178=0,"",ROUNDUP(Y178/H178,0)*0.00502),"")</f>
        <v>0.17068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74.333333333333329</v>
      </c>
      <c r="BN178" s="64">
        <f t="shared" si="29"/>
        <v>75.820000000000007</v>
      </c>
      <c r="BO178" s="64">
        <f t="shared" si="30"/>
        <v>0.14245014245014245</v>
      </c>
      <c r="BP178" s="64">
        <f t="shared" si="31"/>
        <v>0.14529914529914531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5" t="s">
        <v>306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70</v>
      </c>
      <c r="Y180" s="664">
        <f t="shared" si="27"/>
        <v>71.400000000000006</v>
      </c>
      <c r="Z180" s="36">
        <f>IFERROR(IF(Y180=0,"",ROUNDUP(Y180/H180,0)*0.00502),"")</f>
        <v>0.17068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73.333333333333329</v>
      </c>
      <c r="BN180" s="64">
        <f t="shared" si="29"/>
        <v>74.8</v>
      </c>
      <c r="BO180" s="64">
        <f t="shared" si="30"/>
        <v>0.14245014245014245</v>
      </c>
      <c r="BP180" s="64">
        <f t="shared" si="31"/>
        <v>0.14529914529914531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107.14285714285712</v>
      </c>
      <c r="Y183" s="665">
        <f>IFERROR(Y174/H174,"0")+IFERROR(Y175/H175,"0")+IFERROR(Y176/H176,"0")+IFERROR(Y177/H177,"0")+IFERROR(Y178/H178,"0")+IFERROR(Y179/H179,"0")+IFERROR(Y180/H180,"0")+IFERROR(Y181/H181,"0")+IFERROR(Y182/H182,"0")</f>
        <v>109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0.71117999999999992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310</v>
      </c>
      <c r="Y184" s="665">
        <f>IFERROR(SUM(Y174:Y182),"0")</f>
        <v>315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4" t="s">
        <v>319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322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136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147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120</v>
      </c>
      <c r="Y201" s="664">
        <f t="shared" ref="Y201:Y208" si="32">IFERROR(IF(X201="",0,CEILING((X201/$H201),1)*$H201),"")</f>
        <v>124.2</v>
      </c>
      <c r="Z201" s="36">
        <f>IFERROR(IF(Y201=0,"",ROUNDUP(Y201/H201,0)*0.00902),"")</f>
        <v>0.20746000000000001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124.66666666666667</v>
      </c>
      <c r="BN201" s="64">
        <f t="shared" ref="BN201:BN208" si="34">IFERROR(Y201*I201/H201,"0")</f>
        <v>129.03</v>
      </c>
      <c r="BO201" s="64">
        <f t="shared" ref="BO201:BO208" si="35">IFERROR(1/J201*(X201/H201),"0")</f>
        <v>0.16835016835016836</v>
      </c>
      <c r="BP201" s="64">
        <f t="shared" ref="BP201:BP208" si="36">IFERROR(1/J201*(Y201/H201),"0")</f>
        <v>0.17424242424242425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30</v>
      </c>
      <c r="Y202" s="664">
        <f t="shared" si="32"/>
        <v>32.400000000000006</v>
      </c>
      <c r="Z202" s="36">
        <f>IFERROR(IF(Y202=0,"",ROUNDUP(Y202/H202,0)*0.00902),"")</f>
        <v>5.4120000000000001E-2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31.166666666666668</v>
      </c>
      <c r="BN202" s="64">
        <f t="shared" si="34"/>
        <v>33.660000000000004</v>
      </c>
      <c r="BO202" s="64">
        <f t="shared" si="35"/>
        <v>4.208754208754209E-2</v>
      </c>
      <c r="BP202" s="64">
        <f t="shared" si="36"/>
        <v>4.5454545454545463E-2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80</v>
      </c>
      <c r="Y203" s="664">
        <f t="shared" si="32"/>
        <v>81</v>
      </c>
      <c r="Z203" s="36">
        <f>IFERROR(IF(Y203=0,"",ROUNDUP(Y203/H203,0)*0.00902),"")</f>
        <v>0.1353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83.111111111111114</v>
      </c>
      <c r="BN203" s="64">
        <f t="shared" si="34"/>
        <v>84.15</v>
      </c>
      <c r="BO203" s="64">
        <f t="shared" si="35"/>
        <v>0.11223344556677889</v>
      </c>
      <c r="BP203" s="64">
        <f t="shared" si="36"/>
        <v>0.11363636363636363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80</v>
      </c>
      <c r="Y204" s="664">
        <f t="shared" si="32"/>
        <v>81</v>
      </c>
      <c r="Z204" s="36">
        <f>IFERROR(IF(Y204=0,"",ROUNDUP(Y204/H204,0)*0.00902),"")</f>
        <v>0.1353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83.111111111111114</v>
      </c>
      <c r="BN204" s="64">
        <f t="shared" si="34"/>
        <v>84.15</v>
      </c>
      <c r="BO204" s="64">
        <f t="shared" si="35"/>
        <v>0.11223344556677889</v>
      </c>
      <c r="BP204" s="64">
        <f t="shared" si="36"/>
        <v>0.11363636363636363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60</v>
      </c>
      <c r="Y205" s="664">
        <f t="shared" si="32"/>
        <v>61.2</v>
      </c>
      <c r="Z205" s="36">
        <f>IFERROR(IF(Y205=0,"",ROUNDUP(Y205/H205,0)*0.00502),"")</f>
        <v>0.17068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64.333333333333329</v>
      </c>
      <c r="BN205" s="64">
        <f t="shared" si="34"/>
        <v>65.62</v>
      </c>
      <c r="BO205" s="64">
        <f t="shared" si="35"/>
        <v>0.14245014245014248</v>
      </c>
      <c r="BP205" s="64">
        <f t="shared" si="36"/>
        <v>0.14529914529914531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90.740740740740733</v>
      </c>
      <c r="Y209" s="665">
        <f>IFERROR(Y201/H201,"0")+IFERROR(Y202/H202,"0")+IFERROR(Y203/H203,"0")+IFERROR(Y204/H204,"0")+IFERROR(Y205/H205,"0")+IFERROR(Y206/H206,"0")+IFERROR(Y207/H207,"0")+IFERROR(Y208/H208,"0")</f>
        <v>93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0.70286000000000004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370</v>
      </c>
      <c r="Y210" s="665">
        <f>IFERROR(SUM(Y201:Y208),"0")</f>
        <v>379.8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120</v>
      </c>
      <c r="Y215" s="664">
        <f t="shared" si="37"/>
        <v>120</v>
      </c>
      <c r="Z215" s="36">
        <f t="shared" ref="Z215:Z220" si="42">IFERROR(IF(Y215=0,"",ROUNDUP(Y215/H215,0)*0.00651),"")</f>
        <v>0.32550000000000001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133.5</v>
      </c>
      <c r="BN215" s="64">
        <f t="shared" si="39"/>
        <v>133.5</v>
      </c>
      <c r="BO215" s="64">
        <f t="shared" si="40"/>
        <v>0.27472527472527475</v>
      </c>
      <c r="BP215" s="64">
        <f t="shared" si="41"/>
        <v>0.27472527472527475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240</v>
      </c>
      <c r="Y217" s="664">
        <f t="shared" si="37"/>
        <v>240</v>
      </c>
      <c r="Z217" s="36">
        <f t="shared" si="42"/>
        <v>0.65100000000000002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265.20000000000005</v>
      </c>
      <c r="BN217" s="64">
        <f t="shared" si="39"/>
        <v>265.20000000000005</v>
      </c>
      <c r="BO217" s="64">
        <f t="shared" si="40"/>
        <v>0.5494505494505495</v>
      </c>
      <c r="BP217" s="64">
        <f t="shared" si="41"/>
        <v>0.5494505494505495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120</v>
      </c>
      <c r="Y219" s="664">
        <f t="shared" si="37"/>
        <v>120</v>
      </c>
      <c r="Z219" s="36">
        <f t="shared" si="42"/>
        <v>0.32550000000000001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132.60000000000002</v>
      </c>
      <c r="BN219" s="64">
        <f t="shared" si="39"/>
        <v>132.60000000000002</v>
      </c>
      <c r="BO219" s="64">
        <f t="shared" si="40"/>
        <v>0.27472527472527475</v>
      </c>
      <c r="BP219" s="64">
        <f t="shared" si="41"/>
        <v>0.27472527472527475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80</v>
      </c>
      <c r="Y220" s="664">
        <f t="shared" si="37"/>
        <v>81.599999999999994</v>
      </c>
      <c r="Z220" s="36">
        <f t="shared" si="42"/>
        <v>0.22134000000000001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88.6</v>
      </c>
      <c r="BN220" s="64">
        <f t="shared" si="39"/>
        <v>90.371999999999986</v>
      </c>
      <c r="BO220" s="64">
        <f t="shared" si="40"/>
        <v>0.18315018315018317</v>
      </c>
      <c r="BP220" s="64">
        <f t="shared" si="41"/>
        <v>0.18681318681318682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233.33333333333334</v>
      </c>
      <c r="Y221" s="665">
        <f>IFERROR(Y212/H212,"0")+IFERROR(Y213/H213,"0")+IFERROR(Y214/H214,"0")+IFERROR(Y215/H215,"0")+IFERROR(Y216/H216,"0")+IFERROR(Y217/H217,"0")+IFERROR(Y218/H218,"0")+IFERROR(Y219/H219,"0")+IFERROR(Y220/H220,"0")</f>
        <v>234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1.5233400000000001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560</v>
      </c>
      <c r="Y222" s="665">
        <f>IFERROR(SUM(Y212:Y220),"0")</f>
        <v>561.6</v>
      </c>
      <c r="Z222" s="37"/>
      <c r="AA222" s="666"/>
      <c r="AB222" s="666"/>
      <c r="AC222" s="666"/>
    </row>
    <row r="223" spans="1:68" ht="14.25" customHeight="1" x14ac:dyDescent="0.25">
      <c r="A223" s="679" t="s">
        <v>173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20</v>
      </c>
      <c r="Y225" s="664">
        <f>IFERROR(IF(X225="",0,CEILING((X225/$H225),1)*$H225),"")</f>
        <v>21.599999999999998</v>
      </c>
      <c r="Z225" s="36">
        <f>IFERROR(IF(Y225=0,"",ROUNDUP(Y225/H225,0)*0.00651),"")</f>
        <v>5.8590000000000003E-2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22.100000000000005</v>
      </c>
      <c r="BN225" s="64">
        <f>IFERROR(Y225*I225/H225,"0")</f>
        <v>23.868000000000002</v>
      </c>
      <c r="BO225" s="64">
        <f>IFERROR(1/J225*(X225/H225),"0")</f>
        <v>4.5787545787545791E-2</v>
      </c>
      <c r="BP225" s="64">
        <f>IFERROR(1/J225*(Y225/H225),"0")</f>
        <v>4.9450549450549455E-2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8.3333333333333339</v>
      </c>
      <c r="Y226" s="665">
        <f>IFERROR(Y224/H224,"0")+IFERROR(Y225/H225,"0")</f>
        <v>9</v>
      </c>
      <c r="Z226" s="665">
        <f>IFERROR(IF(Z224="",0,Z224),"0")+IFERROR(IF(Z225="",0,Z225),"0")</f>
        <v>5.8590000000000003E-2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20</v>
      </c>
      <c r="Y227" s="665">
        <f>IFERROR(SUM(Y224:Y225),"0")</f>
        <v>21.599999999999998</v>
      </c>
      <c r="Z227" s="37"/>
      <c r="AA227" s="666"/>
      <c r="AB227" s="666"/>
      <c r="AC227" s="666"/>
    </row>
    <row r="228" spans="1:68" ht="16.5" customHeight="1" x14ac:dyDescent="0.25">
      <c r="A228" s="716" t="s">
        <v>383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20</v>
      </c>
      <c r="Y231" s="664">
        <f t="shared" si="43"/>
        <v>23.2</v>
      </c>
      <c r="Z231" s="36">
        <f>IFERROR(IF(Y231=0,"",ROUNDUP(Y231/H231,0)*0.01898),"")</f>
        <v>3.7960000000000001E-2</v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20.75</v>
      </c>
      <c r="BN231" s="64">
        <f t="shared" si="45"/>
        <v>24.07</v>
      </c>
      <c r="BO231" s="64">
        <f t="shared" si="46"/>
        <v>2.6939655172413795E-2</v>
      </c>
      <c r="BP231" s="64">
        <f t="shared" si="47"/>
        <v>3.125E-2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60</v>
      </c>
      <c r="Y234" s="664">
        <f t="shared" si="43"/>
        <v>69.599999999999994</v>
      </c>
      <c r="Z234" s="36">
        <f>IFERROR(IF(Y234=0,"",ROUNDUP(Y234/H234,0)*0.01898),"")</f>
        <v>0.11388000000000001</v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62.250000000000007</v>
      </c>
      <c r="BN234" s="64">
        <f t="shared" si="45"/>
        <v>72.209999999999994</v>
      </c>
      <c r="BO234" s="64">
        <f t="shared" si="46"/>
        <v>8.0818965517241381E-2</v>
      </c>
      <c r="BP234" s="64">
        <f t="shared" si="47"/>
        <v>9.375E-2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12</v>
      </c>
      <c r="Y237" s="664">
        <f t="shared" si="43"/>
        <v>12</v>
      </c>
      <c r="Z237" s="36">
        <f>IFERROR(IF(Y237=0,"",ROUNDUP(Y237/H237,0)*0.00902),"")</f>
        <v>2.7060000000000001E-2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12.629999999999999</v>
      </c>
      <c r="BN237" s="64">
        <f t="shared" si="45"/>
        <v>12.629999999999999</v>
      </c>
      <c r="BO237" s="64">
        <f t="shared" si="46"/>
        <v>2.2727272727272728E-2</v>
      </c>
      <c r="BP237" s="64">
        <f t="shared" si="47"/>
        <v>2.2727272727272728E-2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9.8965517241379324</v>
      </c>
      <c r="Y238" s="665">
        <f>IFERROR(Y230/H230,"0")+IFERROR(Y231/H231,"0")+IFERROR(Y232/H232,"0")+IFERROR(Y233/H233,"0")+IFERROR(Y234/H234,"0")+IFERROR(Y235/H235,"0")+IFERROR(Y236/H236,"0")+IFERROR(Y237/H237,"0")</f>
        <v>11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0.1789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92</v>
      </c>
      <c r="Y239" s="665">
        <f>IFERROR(SUM(Y230:Y237),"0")</f>
        <v>104.8</v>
      </c>
      <c r="Z239" s="37"/>
      <c r="AA239" s="666"/>
      <c r="AB239" s="666"/>
      <c r="AC239" s="666"/>
    </row>
    <row r="240" spans="1:68" ht="14.25" customHeight="1" x14ac:dyDescent="0.25">
      <c r="A240" s="679" t="s">
        <v>136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7">
        <v>4680115885721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7">
        <v>4680115885981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408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4" t="s">
        <v>411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413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75" t="s">
        <v>416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418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436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440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449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120</v>
      </c>
      <c r="Y280" s="664">
        <f>IFERROR(IF(X280="",0,CEILING((X280/$H280),1)*$H280),"")</f>
        <v>120</v>
      </c>
      <c r="Z280" s="36">
        <f>IFERROR(IF(Y280=0,"",ROUNDUP(Y280/H280,0)*0.00651),"")</f>
        <v>0.32550000000000001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129.00000000000003</v>
      </c>
      <c r="BN280" s="64">
        <f>IFERROR(Y280*I280/H280,"0")</f>
        <v>129.00000000000003</v>
      </c>
      <c r="BO280" s="64">
        <f>IFERROR(1/J280*(X280/H280),"0")</f>
        <v>0.27472527472527475</v>
      </c>
      <c r="BP280" s="64">
        <f>IFERROR(1/J280*(Y280/H280),"0")</f>
        <v>0.27472527472527475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50</v>
      </c>
      <c r="Y282" s="665">
        <f>IFERROR(Y277/H277,"0")+IFERROR(Y278/H278,"0")+IFERROR(Y279/H279,"0")+IFERROR(Y280/H280,"0")+IFERROR(Y281/H281,"0")</f>
        <v>50</v>
      </c>
      <c r="Z282" s="665">
        <f>IFERROR(IF(Z277="",0,Z277),"0")+IFERROR(IF(Z278="",0,Z278),"0")+IFERROR(IF(Z279="",0,Z279),"0")+IFERROR(IF(Z280="",0,Z280),"0")+IFERROR(IF(Z281="",0,Z281),"0")</f>
        <v>0.32550000000000001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120</v>
      </c>
      <c r="Y283" s="665">
        <f>IFERROR(SUM(Y277:Y281),"0")</f>
        <v>120</v>
      </c>
      <c r="Z283" s="37"/>
      <c r="AA283" s="666"/>
      <c r="AB283" s="666"/>
      <c r="AC283" s="666"/>
    </row>
    <row r="284" spans="1:68" ht="16.5" customHeight="1" x14ac:dyDescent="0.25">
      <c r="A284" s="716" t="s">
        <v>463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147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473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477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147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87.5</v>
      </c>
      <c r="Y308" s="664">
        <f>IFERROR(IF(X308="",0,CEILING((X308/$H308),1)*$H308),"")</f>
        <v>88.2</v>
      </c>
      <c r="Z308" s="36">
        <f>IFERROR(IF(Y308=0,"",ROUNDUP(Y308/H308,0)*0.00502),"")</f>
        <v>0.21084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91.666666666666671</v>
      </c>
      <c r="BN308" s="64">
        <f>IFERROR(Y308*I308/H308,"0")</f>
        <v>92.4</v>
      </c>
      <c r="BO308" s="64">
        <f>IFERROR(1/J308*(X308/H308),"0")</f>
        <v>0.17806267806267806</v>
      </c>
      <c r="BP308" s="64">
        <f>IFERROR(1/J308*(Y308/H308),"0")</f>
        <v>0.17948717948717952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41.666666666666664</v>
      </c>
      <c r="Y310" s="665">
        <f>IFERROR(Y308/H308,"0")+IFERROR(Y309/H309,"0")</f>
        <v>42</v>
      </c>
      <c r="Z310" s="665">
        <f>IFERROR(IF(Z308="",0,Z308),"0")+IFERROR(IF(Z309="",0,Z309),"0")</f>
        <v>0.21084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87.5</v>
      </c>
      <c r="Y311" s="665">
        <f>IFERROR(SUM(Y308:Y309),"0")</f>
        <v>88.2</v>
      </c>
      <c r="Z311" s="37"/>
      <c r="AA311" s="666"/>
      <c r="AB311" s="666"/>
      <c r="AC311" s="666"/>
    </row>
    <row r="312" spans="1:68" ht="16.5" customHeight="1" x14ac:dyDescent="0.25">
      <c r="A312" s="716" t="s">
        <v>485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490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10</v>
      </c>
      <c r="Y321" s="664">
        <f t="shared" si="53"/>
        <v>10.8</v>
      </c>
      <c r="Z321" s="36">
        <f>IFERROR(IF(Y321=0,"",ROUNDUP(Y321/H321,0)*0.01898),"")</f>
        <v>1.898E-2</v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10.402777777777777</v>
      </c>
      <c r="BN321" s="64">
        <f t="shared" si="55"/>
        <v>11.234999999999999</v>
      </c>
      <c r="BO321" s="64">
        <f t="shared" si="56"/>
        <v>1.4467592592592591E-2</v>
      </c>
      <c r="BP321" s="64">
        <f t="shared" si="57"/>
        <v>1.5625E-2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0.92592592592592582</v>
      </c>
      <c r="Y325" s="665">
        <f>IFERROR(Y319/H319,"0")+IFERROR(Y320/H320,"0")+IFERROR(Y321/H321,"0")+IFERROR(Y322/H322,"0")+IFERROR(Y323/H323,"0")+IFERROR(Y324/H324,"0")</f>
        <v>1</v>
      </c>
      <c r="Z325" s="665">
        <f>IFERROR(IF(Z319="",0,Z319),"0")+IFERROR(IF(Z320="",0,Z320),"0")+IFERROR(IF(Z321="",0,Z321),"0")+IFERROR(IF(Z322="",0,Z322),"0")+IFERROR(IF(Z323="",0,Z323),"0")+IFERROR(IF(Z324="",0,Z324),"0")</f>
        <v>1.898E-2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10</v>
      </c>
      <c r="Y326" s="665">
        <f>IFERROR(SUM(Y319:Y324),"0")</f>
        <v>10.8</v>
      </c>
      <c r="Z326" s="37"/>
      <c r="AA326" s="666"/>
      <c r="AB326" s="666"/>
      <c r="AC326" s="666"/>
    </row>
    <row r="327" spans="1:68" ht="14.25" customHeight="1" x14ac:dyDescent="0.25">
      <c r="A327" s="679" t="s">
        <v>147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173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20</v>
      </c>
      <c r="Y343" s="664">
        <f>IFERROR(IF(X343="",0,CEILING((X343/$H343),1)*$H343),"")</f>
        <v>25.200000000000003</v>
      </c>
      <c r="Z343" s="36">
        <f>IFERROR(IF(Y343=0,"",ROUNDUP(Y343/H343,0)*0.01898),"")</f>
        <v>5.6940000000000004E-2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21.235714285714284</v>
      </c>
      <c r="BN343" s="64">
        <f>IFERROR(Y343*I343/H343,"0")</f>
        <v>26.757000000000001</v>
      </c>
      <c r="BO343" s="64">
        <f>IFERROR(1/J343*(X343/H343),"0")</f>
        <v>3.7202380952380952E-2</v>
      </c>
      <c r="BP343" s="64">
        <f>IFERROR(1/J343*(Y343/H343),"0")</f>
        <v>4.6875E-2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150</v>
      </c>
      <c r="Y344" s="664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159.98076923076925</v>
      </c>
      <c r="BN344" s="64">
        <f>IFERROR(Y344*I344/H344,"0")</f>
        <v>166.38000000000002</v>
      </c>
      <c r="BO344" s="64">
        <f>IFERROR(1/J344*(X344/H344),"0")</f>
        <v>0.30048076923076922</v>
      </c>
      <c r="BP344" s="64">
        <f>IFERROR(1/J344*(Y344/H344),"0")</f>
        <v>0.3125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21.61172161172161</v>
      </c>
      <c r="Y346" s="665">
        <f>IFERROR(Y343/H343,"0")+IFERROR(Y344/H344,"0")+IFERROR(Y345/H345,"0")</f>
        <v>23</v>
      </c>
      <c r="Z346" s="665">
        <f>IFERROR(IF(Z343="",0,Z343),"0")+IFERROR(IF(Z344="",0,Z344),"0")+IFERROR(IF(Z345="",0,Z345),"0")</f>
        <v>0.43653999999999998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170</v>
      </c>
      <c r="Y347" s="665">
        <f>IFERROR(SUM(Y343:Y345),"0")</f>
        <v>181.2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147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27</v>
      </c>
      <c r="Y363" s="664">
        <f>IFERROR(IF(X363="",0,CEILING((X363/$H363),1)*$H363),"")</f>
        <v>27</v>
      </c>
      <c r="Z363" s="36">
        <f>IFERROR(IF(Y363=0,"",ROUNDUP(Y363/H363,0)*0.00651),"")</f>
        <v>9.7650000000000001E-2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30.419999999999998</v>
      </c>
      <c r="BN363" s="64">
        <f>IFERROR(Y363*I363/H363,"0")</f>
        <v>30.419999999999998</v>
      </c>
      <c r="BO363" s="64">
        <f>IFERROR(1/J363*(X363/H363),"0")</f>
        <v>8.241758241758243E-2</v>
      </c>
      <c r="BP363" s="64">
        <f>IFERROR(1/J363*(Y363/H363),"0")</f>
        <v>8.241758241758243E-2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15</v>
      </c>
      <c r="Y364" s="665">
        <f>IFERROR(Y363/H363,"0")</f>
        <v>15</v>
      </c>
      <c r="Z364" s="665">
        <f>IFERROR(IF(Z363="",0,Z363),"0")</f>
        <v>9.7650000000000001E-2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27</v>
      </c>
      <c r="Y365" s="665">
        <f>IFERROR(SUM(Y363:Y363),"0")</f>
        <v>27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175</v>
      </c>
      <c r="Y368" s="664">
        <f>IFERROR(IF(X368="",0,CEILING((X368/$H368),1)*$H368),"")</f>
        <v>176.4</v>
      </c>
      <c r="Z368" s="36">
        <f>IFERROR(IF(Y368=0,"",ROUNDUP(Y368/H368,0)*0.00651),"")</f>
        <v>0.54683999999999999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195.99999999999997</v>
      </c>
      <c r="BN368" s="64">
        <f>IFERROR(Y368*I368/H368,"0")</f>
        <v>197.56799999999998</v>
      </c>
      <c r="BO368" s="64">
        <f>IFERROR(1/J368*(X368/H368),"0")</f>
        <v>0.45787545787545786</v>
      </c>
      <c r="BP368" s="64">
        <f>IFERROR(1/J368*(Y368/H368),"0")</f>
        <v>0.46153846153846156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175</v>
      </c>
      <c r="Y369" s="664">
        <f>IFERROR(IF(X369="",0,CEILING((X369/$H369),1)*$H369),"")</f>
        <v>176.4</v>
      </c>
      <c r="Z369" s="36">
        <f>IFERROR(IF(Y369=0,"",ROUNDUP(Y369/H369,0)*0.00651),"")</f>
        <v>0.54683999999999999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195</v>
      </c>
      <c r="BN369" s="64">
        <f>IFERROR(Y369*I369/H369,"0")</f>
        <v>196.56</v>
      </c>
      <c r="BO369" s="64">
        <f>IFERROR(1/J369*(X369/H369),"0")</f>
        <v>0.45787545787545786</v>
      </c>
      <c r="BP369" s="64">
        <f>IFERROR(1/J369*(Y369/H369),"0")</f>
        <v>0.46153846153846156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166.66666666666666</v>
      </c>
      <c r="Y370" s="665">
        <f>IFERROR(Y367/H367,"0")+IFERROR(Y368/H368,"0")+IFERROR(Y369/H369,"0")</f>
        <v>168</v>
      </c>
      <c r="Z370" s="665">
        <f>IFERROR(IF(Z367="",0,Z367),"0")+IFERROR(IF(Z368="",0,Z368),"0")+IFERROR(IF(Z369="",0,Z369),"0")</f>
        <v>1.09368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350</v>
      </c>
      <c r="Y371" s="665">
        <f>IFERROR(SUM(Y367:Y369),"0")</f>
        <v>352.8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27" customHeight="1" x14ac:dyDescent="0.25">
      <c r="A375" s="54" t="s">
        <v>581</v>
      </c>
      <c r="B375" s="54" t="s">
        <v>582</v>
      </c>
      <c r="C375" s="31">
        <v>4301011946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800</v>
      </c>
      <c r="Y376" s="664">
        <f t="shared" si="58"/>
        <v>810</v>
      </c>
      <c r="Z376" s="36">
        <f>IFERROR(IF(Y376=0,"",ROUNDUP(Y376/H376,0)*0.02175),"")</f>
        <v>1.1744999999999999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825.6</v>
      </c>
      <c r="BN376" s="64">
        <f t="shared" si="60"/>
        <v>835.92000000000007</v>
      </c>
      <c r="BO376" s="64">
        <f t="shared" si="61"/>
        <v>1.1111111111111112</v>
      </c>
      <c r="BP376" s="64">
        <f t="shared" si="62"/>
        <v>1.125</v>
      </c>
    </row>
    <row r="377" spans="1:68" ht="27" customHeight="1" x14ac:dyDescent="0.25">
      <c r="A377" s="54" t="s">
        <v>586</v>
      </c>
      <c r="B377" s="54" t="s">
        <v>587</v>
      </c>
      <c r="C377" s="31">
        <v>4301011947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8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600</v>
      </c>
      <c r="Y378" s="664">
        <f t="shared" si="58"/>
        <v>600</v>
      </c>
      <c r="Z378" s="36">
        <f>IFERROR(IF(Y378=0,"",ROUNDUP(Y378/H378,0)*0.02175),"")</f>
        <v>0.86999999999999988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619.20000000000005</v>
      </c>
      <c r="BN378" s="64">
        <f t="shared" si="60"/>
        <v>619.20000000000005</v>
      </c>
      <c r="BO378" s="64">
        <f t="shared" si="61"/>
        <v>0.83333333333333326</v>
      </c>
      <c r="BP378" s="64">
        <f t="shared" si="62"/>
        <v>0.83333333333333326</v>
      </c>
    </row>
    <row r="379" spans="1:68" ht="27" customHeight="1" x14ac:dyDescent="0.25">
      <c r="A379" s="54" t="s">
        <v>590</v>
      </c>
      <c r="B379" s="54" t="s">
        <v>591</v>
      </c>
      <c r="C379" s="31">
        <v>4301011943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200</v>
      </c>
      <c r="Y380" s="664">
        <f t="shared" si="58"/>
        <v>210</v>
      </c>
      <c r="Z380" s="36">
        <f>IFERROR(IF(Y380=0,"",ROUNDUP(Y380/H380,0)*0.02175),"")</f>
        <v>0.30449999999999999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206.4</v>
      </c>
      <c r="BN380" s="64">
        <f t="shared" si="60"/>
        <v>216.72</v>
      </c>
      <c r="BO380" s="64">
        <f t="shared" si="61"/>
        <v>0.27777777777777779</v>
      </c>
      <c r="BP380" s="64">
        <f t="shared" si="62"/>
        <v>0.29166666666666663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7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700</v>
      </c>
      <c r="Y381" s="664">
        <f t="shared" si="58"/>
        <v>705</v>
      </c>
      <c r="Z381" s="36">
        <f>IFERROR(IF(Y381=0,"",ROUNDUP(Y381/H381,0)*0.02175),"")</f>
        <v>1.0222499999999999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722.4</v>
      </c>
      <c r="BN381" s="64">
        <f t="shared" si="60"/>
        <v>727.56</v>
      </c>
      <c r="BO381" s="64">
        <f t="shared" si="61"/>
        <v>0.9722222222222221</v>
      </c>
      <c r="BP381" s="64">
        <f t="shared" si="62"/>
        <v>0.97916666666666663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153.33333333333334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155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3.3712499999999999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2300</v>
      </c>
      <c r="Y386" s="665">
        <f>IFERROR(SUM(Y375:Y384),"0")</f>
        <v>2325</v>
      </c>
      <c r="Z386" s="37"/>
      <c r="AA386" s="666"/>
      <c r="AB386" s="666"/>
      <c r="AC386" s="666"/>
    </row>
    <row r="387" spans="1:68" ht="14.25" customHeight="1" x14ac:dyDescent="0.25">
      <c r="A387" s="679" t="s">
        <v>136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500</v>
      </c>
      <c r="Y388" s="664">
        <f>IFERROR(IF(X388="",0,CEILING((X388/$H388),1)*$H388),"")</f>
        <v>510</v>
      </c>
      <c r="Z388" s="36">
        <f>IFERROR(IF(Y388=0,"",ROUNDUP(Y388/H388,0)*0.02175),"")</f>
        <v>0.73949999999999994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516</v>
      </c>
      <c r="BN388" s="64">
        <f>IFERROR(Y388*I388/H388,"0")</f>
        <v>526.32000000000005</v>
      </c>
      <c r="BO388" s="64">
        <f>IFERROR(1/J388*(X388/H388),"0")</f>
        <v>0.69444444444444442</v>
      </c>
      <c r="BP388" s="64">
        <f>IFERROR(1/J388*(Y388/H388),"0")</f>
        <v>0.70833333333333326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8</v>
      </c>
      <c r="Y389" s="664">
        <f>IFERROR(IF(X389="",0,CEILING((X389/$H389),1)*$H389),"")</f>
        <v>8</v>
      </c>
      <c r="Z389" s="36">
        <f>IFERROR(IF(Y389=0,"",ROUNDUP(Y389/H389,0)*0.00902),"")</f>
        <v>1.804E-2</v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8.42</v>
      </c>
      <c r="BN389" s="64">
        <f>IFERROR(Y389*I389/H389,"0")</f>
        <v>8.42</v>
      </c>
      <c r="BO389" s="64">
        <f>IFERROR(1/J389*(X389/H389),"0")</f>
        <v>1.5151515151515152E-2</v>
      </c>
      <c r="BP389" s="64">
        <f>IFERROR(1/J389*(Y389/H389),"0")</f>
        <v>1.5151515151515152E-2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35.333333333333336</v>
      </c>
      <c r="Y390" s="665">
        <f>IFERROR(Y388/H388,"0")+IFERROR(Y389/H389,"0")</f>
        <v>36</v>
      </c>
      <c r="Z390" s="665">
        <f>IFERROR(IF(Z388="",0,Z388),"0")+IFERROR(IF(Z389="",0,Z389),"0")</f>
        <v>0.75753999999999988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508</v>
      </c>
      <c r="Y391" s="665">
        <f>IFERROR(SUM(Y388:Y389),"0")</f>
        <v>518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173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30</v>
      </c>
      <c r="Y398" s="664">
        <f>IFERROR(IF(X398="",0,CEILING((X398/$H398),1)*$H398),"")</f>
        <v>36</v>
      </c>
      <c r="Z398" s="36">
        <f>IFERROR(IF(Y398=0,"",ROUNDUP(Y398/H398,0)*0.01898),"")</f>
        <v>7.5920000000000001E-2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31.73</v>
      </c>
      <c r="BN398" s="64">
        <f>IFERROR(Y398*I398/H398,"0")</f>
        <v>38.076000000000001</v>
      </c>
      <c r="BO398" s="64">
        <f>IFERROR(1/J398*(X398/H398),"0")</f>
        <v>5.2083333333333336E-2</v>
      </c>
      <c r="BP398" s="64">
        <f>IFERROR(1/J398*(Y398/H398),"0")</f>
        <v>6.25E-2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3.3333333333333335</v>
      </c>
      <c r="Y399" s="665">
        <f>IFERROR(Y398/H398,"0")</f>
        <v>4</v>
      </c>
      <c r="Z399" s="665">
        <f>IFERROR(IF(Z398="",0,Z398),"0")</f>
        <v>7.5920000000000001E-2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30</v>
      </c>
      <c r="Y400" s="665">
        <f>IFERROR(SUM(Y398:Y398),"0")</f>
        <v>36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20</v>
      </c>
      <c r="Y406" s="664">
        <f>IFERROR(IF(X406="",0,CEILING((X406/$H406),1)*$H406),"")</f>
        <v>24</v>
      </c>
      <c r="Z406" s="36">
        <f>IFERROR(IF(Y406=0,"",ROUNDUP(Y406/H406,0)*0.01898),"")</f>
        <v>3.7960000000000001E-2</v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20.725000000000001</v>
      </c>
      <c r="BN406" s="64">
        <f>IFERROR(Y406*I406/H406,"0")</f>
        <v>24.87</v>
      </c>
      <c r="BO406" s="64">
        <f>IFERROR(1/J406*(X406/H406),"0")</f>
        <v>2.6041666666666668E-2</v>
      </c>
      <c r="BP406" s="64">
        <f>IFERROR(1/J406*(Y406/H406),"0")</f>
        <v>3.125E-2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1.6666666666666667</v>
      </c>
      <c r="Y408" s="665">
        <f>IFERROR(Y403/H403,"0")+IFERROR(Y404/H404,"0")+IFERROR(Y405/H405,"0")+IFERROR(Y406/H406,"0")+IFERROR(Y407/H407,"0")</f>
        <v>2</v>
      </c>
      <c r="Z408" s="665">
        <f>IFERROR(IF(Z403="",0,Z403),"0")+IFERROR(IF(Z404="",0,Z404),"0")+IFERROR(IF(Z405="",0,Z405),"0")+IFERROR(IF(Z406="",0,Z406),"0")+IFERROR(IF(Z407="",0,Z407),"0")</f>
        <v>3.7960000000000001E-2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20</v>
      </c>
      <c r="Y409" s="665">
        <f>IFERROR(SUM(Y403:Y407),"0")</f>
        <v>24</v>
      </c>
      <c r="Z409" s="37"/>
      <c r="AA409" s="666"/>
      <c r="AB409" s="666"/>
      <c r="AC409" s="666"/>
    </row>
    <row r="410" spans="1:68" ht="14.25" customHeight="1" x14ac:dyDescent="0.25">
      <c r="A410" s="679" t="s">
        <v>147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173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147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4301031382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4301031406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35</v>
      </c>
      <c r="Y436" s="664">
        <f t="shared" si="63"/>
        <v>35.700000000000003</v>
      </c>
      <c r="Z436" s="36">
        <f t="shared" si="68"/>
        <v>8.5339999999999999E-2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37.166666666666664</v>
      </c>
      <c r="BN436" s="64">
        <f t="shared" si="65"/>
        <v>37.910000000000004</v>
      </c>
      <c r="BO436" s="64">
        <f t="shared" si="66"/>
        <v>7.1225071225071226E-2</v>
      </c>
      <c r="BP436" s="64">
        <f t="shared" si="67"/>
        <v>7.2649572649572655E-2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10.5</v>
      </c>
      <c r="Y437" s="664">
        <f t="shared" si="63"/>
        <v>10.5</v>
      </c>
      <c r="Z437" s="36">
        <f t="shared" si="68"/>
        <v>2.5100000000000001E-2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11.149999999999999</v>
      </c>
      <c r="BN437" s="64">
        <f t="shared" si="65"/>
        <v>11.149999999999999</v>
      </c>
      <c r="BO437" s="64">
        <f t="shared" si="66"/>
        <v>2.1367521367521368E-2</v>
      </c>
      <c r="BP437" s="64">
        <f t="shared" si="67"/>
        <v>2.1367521367521368E-2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21.666666666666664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22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0.11044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45.5</v>
      </c>
      <c r="Y443" s="665">
        <f>IFERROR(SUM(Y430:Y441),"0")</f>
        <v>46.2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136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147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10.5</v>
      </c>
      <c r="Y459" s="664">
        <f>IFERROR(IF(X459="",0,CEILING((X459/$H459),1)*$H459),"")</f>
        <v>10.5</v>
      </c>
      <c r="Z459" s="36">
        <f>IFERROR(IF(Y459=0,"",ROUNDUP(Y459/H459,0)*0.00502),"")</f>
        <v>2.5100000000000001E-2</v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11.149999999999999</v>
      </c>
      <c r="BN459" s="64">
        <f>IFERROR(Y459*I459/H459,"0")</f>
        <v>11.149999999999999</v>
      </c>
      <c r="BO459" s="64">
        <f>IFERROR(1/J459*(X459/H459),"0")</f>
        <v>2.1367521367521368E-2</v>
      </c>
      <c r="BP459" s="64">
        <f>IFERROR(1/J459*(Y459/H459),"0")</f>
        <v>2.1367521367521368E-2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5</v>
      </c>
      <c r="Y460" s="665">
        <f>IFERROR(Y456/H456,"0")+IFERROR(Y457/H457,"0")+IFERROR(Y458/H458,"0")+IFERROR(Y459/H459,"0")</f>
        <v>5</v>
      </c>
      <c r="Z460" s="665">
        <f>IFERROR(IF(Z456="",0,Z456),"0")+IFERROR(IF(Z457="",0,Z457),"0")+IFERROR(IF(Z458="",0,Z458),"0")+IFERROR(IF(Z459="",0,Z459),"0")</f>
        <v>2.5100000000000001E-2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10.5</v>
      </c>
      <c r="Y461" s="665">
        <f>IFERROR(SUM(Y456:Y459),"0")</f>
        <v>10.5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147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10</v>
      </c>
      <c r="Y465" s="664">
        <f>IFERROR(IF(X465="",0,CEILING((X465/$H465),1)*$H465),"")</f>
        <v>10.799999999999999</v>
      </c>
      <c r="Z465" s="36">
        <f>IFERROR(IF(Y465=0,"",ROUNDUP(Y465/H465,0)*0.00651),"")</f>
        <v>5.8590000000000003E-2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17.5</v>
      </c>
      <c r="BN465" s="64">
        <f>IFERROR(Y465*I465/H465,"0")</f>
        <v>18.900000000000002</v>
      </c>
      <c r="BO465" s="64">
        <f>IFERROR(1/J465*(X465/H465),"0")</f>
        <v>4.5787545787545791E-2</v>
      </c>
      <c r="BP465" s="64">
        <f>IFERROR(1/J465*(Y465/H465),"0")</f>
        <v>4.9450549450549455E-2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8.3333333333333339</v>
      </c>
      <c r="Y466" s="665">
        <f>IFERROR(Y464/H464,"0")+IFERROR(Y465/H465,"0")</f>
        <v>9</v>
      </c>
      <c r="Z466" s="665">
        <f>IFERROR(IF(Z464="",0,Z464),"0")+IFERROR(IF(Z465="",0,Z465),"0")</f>
        <v>5.8590000000000003E-2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10</v>
      </c>
      <c r="Y467" s="665">
        <f>IFERROR(SUM(Y464:Y465),"0")</f>
        <v>10.799999999999999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147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173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50</v>
      </c>
      <c r="Y480" s="664">
        <f t="shared" ref="Y480:Y494" si="69">IFERROR(IF(X480="",0,CEILING((X480/$H480),1)*$H480),"")</f>
        <v>52.800000000000004</v>
      </c>
      <c r="Z480" s="36">
        <f>IFERROR(IF(Y480=0,"",ROUNDUP(Y480/H480,0)*0.01196),"")</f>
        <v>0.1196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53.409090909090907</v>
      </c>
      <c r="BN480" s="64">
        <f t="shared" ref="BN480:BN494" si="71">IFERROR(Y480*I480/H480,"0")</f>
        <v>56.400000000000006</v>
      </c>
      <c r="BO480" s="64">
        <f t="shared" ref="BO480:BO494" si="72">IFERROR(1/J480*(X480/H480),"0")</f>
        <v>9.1054778554778545E-2</v>
      </c>
      <c r="BP480" s="64">
        <f t="shared" ref="BP480:BP494" si="73">IFERROR(1/J480*(Y480/H480),"0")</f>
        <v>9.6153846153846159E-2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50</v>
      </c>
      <c r="Y482" s="664">
        <f t="shared" si="69"/>
        <v>52.800000000000004</v>
      </c>
      <c r="Z482" s="36">
        <f>IFERROR(IF(Y482=0,"",ROUNDUP(Y482/H482,0)*0.01196),"")</f>
        <v>0.1196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53.409090909090907</v>
      </c>
      <c r="BN482" s="64">
        <f t="shared" si="71"/>
        <v>56.400000000000006</v>
      </c>
      <c r="BO482" s="64">
        <f t="shared" si="72"/>
        <v>9.1054778554778545E-2</v>
      </c>
      <c r="BP482" s="64">
        <f t="shared" si="73"/>
        <v>9.6153846153846159E-2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100</v>
      </c>
      <c r="Y483" s="664">
        <f t="shared" si="69"/>
        <v>100.32000000000001</v>
      </c>
      <c r="Z483" s="36">
        <f>IFERROR(IF(Y483=0,"",ROUNDUP(Y483/H483,0)*0.01196),"")</f>
        <v>0.22724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106.81818181818181</v>
      </c>
      <c r="BN483" s="64">
        <f t="shared" si="71"/>
        <v>107.16</v>
      </c>
      <c r="BO483" s="64">
        <f t="shared" si="72"/>
        <v>0.18210955710955709</v>
      </c>
      <c r="BP483" s="64">
        <f t="shared" si="73"/>
        <v>0.18269230769230771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4301012035</v>
      </c>
      <c r="D486" s="667">
        <v>4680115880603</v>
      </c>
      <c r="E486" s="668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67">
        <v>4680115880603</v>
      </c>
      <c r="E487" s="668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4301012034</v>
      </c>
      <c r="D492" s="667">
        <v>4607091389982</v>
      </c>
      <c r="E492" s="668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67">
        <v>4607091389982</v>
      </c>
      <c r="E493" s="668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30</v>
      </c>
      <c r="Y493" s="664">
        <f t="shared" si="69"/>
        <v>32.4</v>
      </c>
      <c r="Z493" s="36">
        <f>IFERROR(IF(Y493=0,"",ROUNDUP(Y493/H493,0)*0.00902),"")</f>
        <v>8.1180000000000002E-2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31.75</v>
      </c>
      <c r="BN493" s="64">
        <f t="shared" si="71"/>
        <v>34.29</v>
      </c>
      <c r="BO493" s="64">
        <f t="shared" si="72"/>
        <v>6.3131313131313135E-2</v>
      </c>
      <c r="BP493" s="64">
        <f t="shared" si="73"/>
        <v>6.8181818181818177E-2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46.212121212121211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48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0.54762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230</v>
      </c>
      <c r="Y496" s="665">
        <f>IFERROR(SUM(Y480:Y494),"0")</f>
        <v>238.32000000000002</v>
      </c>
      <c r="Z496" s="37"/>
      <c r="AA496" s="666"/>
      <c r="AB496" s="666"/>
      <c r="AC496" s="666"/>
    </row>
    <row r="497" spans="1:68" ht="14.25" customHeight="1" x14ac:dyDescent="0.25">
      <c r="A497" s="679" t="s">
        <v>136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4301020334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3" t="s">
        <v>773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100</v>
      </c>
      <c r="Y499" s="664">
        <f>IFERROR(IF(X499="",0,CEILING((X499/$H499),1)*$H499),"")</f>
        <v>100.32000000000001</v>
      </c>
      <c r="Z499" s="36">
        <f>IFERROR(IF(Y499=0,"",ROUNDUP(Y499/H499,0)*0.01196),"")</f>
        <v>0.22724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106.81818181818181</v>
      </c>
      <c r="BN499" s="64">
        <f>IFERROR(Y499*I499/H499,"0")</f>
        <v>107.16</v>
      </c>
      <c r="BO499" s="64">
        <f>IFERROR(1/J499*(X499/H499),"0")</f>
        <v>0.18210955710955709</v>
      </c>
      <c r="BP499" s="64">
        <f>IFERROR(1/J499*(Y499/H499),"0")</f>
        <v>0.18269230769230771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18.939393939393938</v>
      </c>
      <c r="Y502" s="665">
        <f>IFERROR(Y498/H498,"0")+IFERROR(Y499/H499,"0")+IFERROR(Y500/H500,"0")+IFERROR(Y501/H501,"0")</f>
        <v>19</v>
      </c>
      <c r="Z502" s="665">
        <f>IFERROR(IF(Z498="",0,Z498),"0")+IFERROR(IF(Z499="",0,Z499),"0")+IFERROR(IF(Z500="",0,Z500),"0")+IFERROR(IF(Z501="",0,Z501),"0")</f>
        <v>0.22724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100</v>
      </c>
      <c r="Y503" s="665">
        <f>IFERROR(SUM(Y498:Y501),"0")</f>
        <v>100.32000000000001</v>
      </c>
      <c r="Z503" s="37"/>
      <c r="AA503" s="666"/>
      <c r="AB503" s="666"/>
      <c r="AC503" s="666"/>
    </row>
    <row r="504" spans="1:68" ht="14.25" customHeight="1" x14ac:dyDescent="0.25">
      <c r="A504" s="679" t="s">
        <v>147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40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42.727272727272727</v>
      </c>
      <c r="BN505" s="64">
        <f t="shared" ref="BN505:BN516" si="76">IFERROR(Y505*I505/H505,"0")</f>
        <v>45.12</v>
      </c>
      <c r="BO505" s="64">
        <f t="shared" ref="BO505:BO516" si="77">IFERROR(1/J505*(X505/H505),"0")</f>
        <v>7.2843822843822847E-2</v>
      </c>
      <c r="BP505" s="64">
        <f t="shared" ref="BP505:BP516" si="78">IFERROR(1/J505*(Y505/H505),"0")</f>
        <v>7.6923076923076927E-2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100</v>
      </c>
      <c r="Y507" s="664">
        <f t="shared" si="74"/>
        <v>100.32000000000001</v>
      </c>
      <c r="Z507" s="36">
        <f>IFERROR(IF(Y507=0,"",ROUNDUP(Y507/H507,0)*0.01196),"")</f>
        <v>0.22724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106.81818181818181</v>
      </c>
      <c r="BN507" s="64">
        <f t="shared" si="76"/>
        <v>107.16</v>
      </c>
      <c r="BO507" s="64">
        <f t="shared" si="77"/>
        <v>0.18210955710955709</v>
      </c>
      <c r="BP507" s="64">
        <f t="shared" si="78"/>
        <v>0.18269230769230771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4301031351</v>
      </c>
      <c r="D509" s="667">
        <v>4680115882072</v>
      </c>
      <c r="E509" s="668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4301031383</v>
      </c>
      <c r="D510" s="667">
        <v>4680115882072</v>
      </c>
      <c r="E510" s="668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102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4301031419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8" t="s">
        <v>804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IFERROR(IF(Y511=0,"",ROUNDUP(Y511/H511,0)*0.00902),"")</f>
        <v/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12</v>
      </c>
      <c r="Y512" s="664">
        <f t="shared" si="74"/>
        <v>14.4</v>
      </c>
      <c r="Z512" s="36">
        <f>IFERROR(IF(Y512=0,"",ROUNDUP(Y512/H512,0)*0.00902),"")</f>
        <v>3.6080000000000001E-2</v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12.7</v>
      </c>
      <c r="BN512" s="64">
        <f t="shared" si="76"/>
        <v>15.24</v>
      </c>
      <c r="BO512" s="64">
        <f t="shared" si="77"/>
        <v>2.5252525252525252E-2</v>
      </c>
      <c r="BP512" s="64">
        <f t="shared" si="78"/>
        <v>3.0303030303030304E-2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4301031384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812</v>
      </c>
      <c r="C515" s="31">
        <v>4301031253</v>
      </c>
      <c r="D515" s="667">
        <v>4680115882096</v>
      </c>
      <c r="E515" s="668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814</v>
      </c>
      <c r="C516" s="31">
        <v>4301031417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3" t="s">
        <v>815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29.848484848484844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31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0.35899999999999999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152</v>
      </c>
      <c r="Y518" s="665">
        <f>IFERROR(SUM(Y505:Y516),"0")</f>
        <v>156.96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173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20</v>
      </c>
      <c r="Y535" s="664">
        <f t="shared" si="79"/>
        <v>24</v>
      </c>
      <c r="Z535" s="36">
        <f>IFERROR(IF(Y535=0,"",ROUNDUP(Y535/H535,0)*0.01898),"")</f>
        <v>3.7960000000000001E-2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20.725000000000001</v>
      </c>
      <c r="BN535" s="64">
        <f t="shared" si="81"/>
        <v>24.87</v>
      </c>
      <c r="BO535" s="64">
        <f t="shared" si="82"/>
        <v>2.6041666666666668E-2</v>
      </c>
      <c r="BP535" s="64">
        <f t="shared" si="83"/>
        <v>3.125E-2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1.6666666666666667</v>
      </c>
      <c r="Y539" s="665">
        <f>IFERROR(Y533/H533,"0")+IFERROR(Y534/H534,"0")+IFERROR(Y535/H535,"0")+IFERROR(Y536/H536,"0")+IFERROR(Y537/H537,"0")+IFERROR(Y538/H538,"0")</f>
        <v>2</v>
      </c>
      <c r="Z539" s="665">
        <f>IFERROR(IF(Z533="",0,Z533),"0")+IFERROR(IF(Z534="",0,Z534),"0")+IFERROR(IF(Z535="",0,Z535),"0")+IFERROR(IF(Z536="",0,Z536),"0")+IFERROR(IF(Z537="",0,Z537),"0")+IFERROR(IF(Z538="",0,Z538),"0")</f>
        <v>3.7960000000000001E-2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20</v>
      </c>
      <c r="Y540" s="665">
        <f>IFERROR(SUM(Y533:Y538),"0")</f>
        <v>24</v>
      </c>
      <c r="Z540" s="37"/>
      <c r="AA540" s="666"/>
      <c r="AB540" s="666"/>
      <c r="AC540" s="666"/>
    </row>
    <row r="541" spans="1:68" ht="14.25" customHeight="1" x14ac:dyDescent="0.25">
      <c r="A541" s="679" t="s">
        <v>136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147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4301051887</v>
      </c>
      <c r="D560" s="667">
        <v>4640242180533</v>
      </c>
      <c r="E560" s="668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67">
        <v>4640242180533</v>
      </c>
      <c r="E561" s="668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173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4301060485</v>
      </c>
      <c r="D568" s="667">
        <v>4640242180120</v>
      </c>
      <c r="E568" s="668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4301060496</v>
      </c>
      <c r="D569" s="667">
        <v>4640242180120</v>
      </c>
      <c r="E569" s="668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20</v>
      </c>
      <c r="Y569" s="664">
        <f>IFERROR(IF(X569="",0,CEILING((X569/$H569),1)*$H569),"")</f>
        <v>27</v>
      </c>
      <c r="Z569" s="36">
        <f>IFERROR(IF(Y569=0,"",ROUNDUP(Y569/H569,0)*0.01898),"")</f>
        <v>5.6940000000000004E-2</v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20.966666666666669</v>
      </c>
      <c r="BN569" s="64">
        <f>IFERROR(Y569*I569/H569,"0")</f>
        <v>28.305</v>
      </c>
      <c r="BO569" s="64">
        <f>IFERROR(1/J569*(X569/H569),"0")</f>
        <v>3.4722222222222224E-2</v>
      </c>
      <c r="BP569" s="64">
        <f>IFERROR(1/J569*(Y569/H569),"0")</f>
        <v>4.6875E-2</v>
      </c>
    </row>
    <row r="570" spans="1:68" ht="27" customHeight="1" x14ac:dyDescent="0.25">
      <c r="A570" s="54" t="s">
        <v>918</v>
      </c>
      <c r="B570" s="54" t="s">
        <v>919</v>
      </c>
      <c r="C570" s="31">
        <v>4301060486</v>
      </c>
      <c r="D570" s="667">
        <v>4640242180137</v>
      </c>
      <c r="E570" s="668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4301060498</v>
      </c>
      <c r="D571" s="667">
        <v>4640242180137</v>
      </c>
      <c r="E571" s="668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2.2222222222222223</v>
      </c>
      <c r="Y572" s="665">
        <f>IFERROR(Y568/H568,"0")+IFERROR(Y569/H569,"0")+IFERROR(Y570/H570,"0")+IFERROR(Y571/H571,"0")</f>
        <v>3</v>
      </c>
      <c r="Z572" s="665">
        <f>IFERROR(IF(Z568="",0,Z568),"0")+IFERROR(IF(Z569="",0,Z569),"0")+IFERROR(IF(Z570="",0,Z570),"0")+IFERROR(IF(Z571="",0,Z571),"0")</f>
        <v>5.6940000000000004E-2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20</v>
      </c>
      <c r="Y573" s="665">
        <f>IFERROR(SUM(Y568:Y571),"0")</f>
        <v>27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136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147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7019.6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7159.3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7416.8265628815625</v>
      </c>
      <c r="Y592" s="665">
        <f>IFERROR(SUM(BN22:BN588),"0")</f>
        <v>7564.0689999999968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7741.8265628815625</v>
      </c>
      <c r="Y594" s="665">
        <f>GrossWeightTotalR+PalletQtyTotalR*25</f>
        <v>7889.0689999999968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1406.6934585210447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1428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14.262030000000003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286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181</v>
      </c>
      <c r="F599" s="686" t="s">
        <v>212</v>
      </c>
      <c r="G599" s="686" t="s">
        <v>257</v>
      </c>
      <c r="H599" s="686" t="s">
        <v>96</v>
      </c>
      <c r="I599" s="686" t="s">
        <v>287</v>
      </c>
      <c r="J599" s="686" t="s">
        <v>322</v>
      </c>
      <c r="K599" s="686" t="s">
        <v>383</v>
      </c>
      <c r="L599" s="686" t="s">
        <v>418</v>
      </c>
      <c r="M599" s="686" t="s">
        <v>436</v>
      </c>
      <c r="N599" s="661"/>
      <c r="O599" s="686" t="s">
        <v>440</v>
      </c>
      <c r="P599" s="686" t="s">
        <v>449</v>
      </c>
      <c r="Q599" s="686" t="s">
        <v>463</v>
      </c>
      <c r="R599" s="686" t="s">
        <v>473</v>
      </c>
      <c r="S599" s="686" t="s">
        <v>477</v>
      </c>
      <c r="T599" s="686" t="s">
        <v>485</v>
      </c>
      <c r="U599" s="686" t="s">
        <v>490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80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295.8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396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572.40000000000009</v>
      </c>
      <c r="G601" s="46">
        <f>IFERROR(Y137*1,"0")+IFERROR(Y138*1,"0")+IFERROR(Y142*1,"0")+IFERROR(Y143*1,"0")+IFERROR(Y147*1,"0")+IFERROR(Y148*1,"0")</f>
        <v>135.20000000000002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315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963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104.8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120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88.2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192</v>
      </c>
      <c r="V601" s="46">
        <f>IFERROR(Y363*1,"0")+IFERROR(Y367*1,"0")+IFERROR(Y368*1,"0")+IFERROR(Y369*1,"0")</f>
        <v>379.8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2879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24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46.2</v>
      </c>
      <c r="Z601" s="46">
        <f>IFERROR(Y451*1,"0")+IFERROR(Y452*1,"0")+IFERROR(Y456*1,"0")+IFERROR(Y457*1,"0")+IFERROR(Y458*1,"0")+IFERROR(Y459*1,"0")</f>
        <v>10.5</v>
      </c>
      <c r="AA601" s="46">
        <f>IFERROR(Y464*1,"0")+IFERROR(Y465*1,"0")</f>
        <v>10.799999999999999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495.6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51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2025-04-17T09:38:21Z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