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371C47D2-A3A8-420A-A6B2-6B67FA488B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заказа'!$X$328:$X$328</definedName>
    <definedName name="GrossWeightTotalR">'Бланк заказа'!$Y$328:$Y$328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заказа'!$X$329:$X$329</definedName>
    <definedName name="PalletQtyTotalR">'Бланк заказа'!$Y$329:$Y$329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заказа'!$B$280:$B$280</definedName>
    <definedName name="ProductId101">'Бланк заказа'!$B$284:$B$284</definedName>
    <definedName name="ProductId102">'Бланк заказа'!$B$288:$B$288</definedName>
    <definedName name="ProductId103">'Бланк заказа'!$B$289:$B$289</definedName>
    <definedName name="ProductId104">'Бланк заказа'!$B$293:$B$293</definedName>
    <definedName name="ProductId105">'Бланк заказа'!$B$294:$B$294</definedName>
    <definedName name="ProductId106">'Бланк заказа'!$B$295:$B$295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заказа'!$B$324:$B$324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заказа'!$B$91:$B$91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заказа'!$B$101:$B$101</definedName>
    <definedName name="ProductId36">'Бланк заказа'!$B$102:$B$102</definedName>
    <definedName name="ProductId37">'Бланк заказа'!$B$107:$B$107</definedName>
    <definedName name="ProductId38">'Бланк заказа'!$B$108:$B$108</definedName>
    <definedName name="ProductId39">'Бланк заказа'!$B$109:$B$109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заказа'!$B$119:$B$119</definedName>
    <definedName name="ProductId46">'Бланк заказа'!$B$123:$B$123</definedName>
    <definedName name="ProductId47">'Бланк заказа'!$B$128:$B$128</definedName>
    <definedName name="ProductId48">'Бланк заказа'!$B$129:$B$129</definedName>
    <definedName name="ProductId49">'Бланк заказа'!$B$134:$B$134</definedName>
    <definedName name="ProductId5">'Бланк заказа'!$B$31:$B$31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заказа'!$B$157:$B$157</definedName>
    <definedName name="ProductId57">'Бланк заказа'!$B$162:$B$162</definedName>
    <definedName name="ProductId58">'Бланк заказа'!$B$168:$B$168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заказа'!$B$176:$B$176</definedName>
    <definedName name="ProductId63">'Бланк заказа'!$B$180:$B$180</definedName>
    <definedName name="ProductId64">'Бланк заказа'!$B$181:$B$181</definedName>
    <definedName name="ProductId65">'Бланк заказа'!$B$187:$B$187</definedName>
    <definedName name="ProductId66">'Бланк заказа'!$B$188:$B$188</definedName>
    <definedName name="ProductId67">'Бланк заказа'!$B$189:$B$189</definedName>
    <definedName name="ProductId68">'Бланк заказа'!$B$193:$B$193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заказа'!$B$219:$B$219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заказа'!$B$227:$B$227</definedName>
    <definedName name="ProductId86">'Бланк заказа'!$B$232:$B$232</definedName>
    <definedName name="ProductId87">'Бланк заказа'!$B$236:$B$236</definedName>
    <definedName name="ProductId88">'Бланк заказа'!$B$237:$B$237</definedName>
    <definedName name="ProductId89">'Бланк заказа'!$B$238:$B$238</definedName>
    <definedName name="ProductId9">'Бланк заказа'!$B$43:$B$43</definedName>
    <definedName name="ProductId90">'Бланк заказа'!$B$243:$B$243</definedName>
    <definedName name="ProductId91">'Бланк заказа'!$B$248:$B$248</definedName>
    <definedName name="ProductId92">'Бланк заказа'!$B$249:$B$249</definedName>
    <definedName name="ProductId93">'Бланк заказа'!$B$255:$B$255</definedName>
    <definedName name="ProductId94">'Бланк заказа'!$B$261:$B$261</definedName>
    <definedName name="ProductId95">'Бланк заказа'!$B$262:$B$262</definedName>
    <definedName name="ProductId96">'Бланк заказа'!$B$268:$B$268</definedName>
    <definedName name="ProductId97">'Бланк заказа'!$B$272:$B$272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заказа'!$X$280:$X$280</definedName>
    <definedName name="SalesQty101">'Бланк заказа'!$X$284:$X$284</definedName>
    <definedName name="SalesQty102">'Бланк заказа'!$X$288:$X$288</definedName>
    <definedName name="SalesQty103">'Бланк заказа'!$X$289:$X$289</definedName>
    <definedName name="SalesQty104">'Бланк заказа'!$X$293:$X$293</definedName>
    <definedName name="SalesQty105">'Бланк заказа'!$X$294:$X$294</definedName>
    <definedName name="SalesQty106">'Бланк заказа'!$X$295:$X$295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заказа'!$X$324:$X$324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заказа'!$X$91:$X$91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заказа'!$X$101:$X$101</definedName>
    <definedName name="SalesQty36">'Бланк заказа'!$X$102:$X$102</definedName>
    <definedName name="SalesQty37">'Бланк заказа'!$X$107:$X$107</definedName>
    <definedName name="SalesQty38">'Бланк заказа'!$X$108:$X$108</definedName>
    <definedName name="SalesQty39">'Бланк заказа'!$X$109:$X$109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заказа'!$X$119:$X$119</definedName>
    <definedName name="SalesQty46">'Бланк заказа'!$X$123:$X$123</definedName>
    <definedName name="SalesQty47">'Бланк заказа'!$X$128:$X$128</definedName>
    <definedName name="SalesQty48">'Бланк заказа'!$X$129:$X$129</definedName>
    <definedName name="SalesQty49">'Бланк заказа'!$X$134:$X$134</definedName>
    <definedName name="SalesQty5">'Бланк заказа'!$X$31:$X$31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заказа'!$X$157:$X$157</definedName>
    <definedName name="SalesQty57">'Бланк заказа'!$X$162:$X$162</definedName>
    <definedName name="SalesQty58">'Бланк заказа'!$X$168:$X$168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заказа'!$X$176:$X$176</definedName>
    <definedName name="SalesQty63">'Бланк заказа'!$X$180:$X$180</definedName>
    <definedName name="SalesQty64">'Бланк заказа'!$X$181:$X$181</definedName>
    <definedName name="SalesQty65">'Бланк заказа'!$X$187:$X$187</definedName>
    <definedName name="SalesQty66">'Бланк заказа'!$X$188:$X$188</definedName>
    <definedName name="SalesQty67">'Бланк заказа'!$X$189:$X$189</definedName>
    <definedName name="SalesQty68">'Бланк заказа'!$X$193:$X$193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заказа'!$X$219:$X$219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заказа'!$X$227:$X$227</definedName>
    <definedName name="SalesQty86">'Бланк заказа'!$X$232:$X$232</definedName>
    <definedName name="SalesQty87">'Бланк заказа'!$X$236:$X$236</definedName>
    <definedName name="SalesQty88">'Бланк заказа'!$X$237:$X$237</definedName>
    <definedName name="SalesQty89">'Бланк заказа'!$X$238:$X$238</definedName>
    <definedName name="SalesQty9">'Бланк заказа'!$X$43:$X$43</definedName>
    <definedName name="SalesQty90">'Бланк заказа'!$X$243:$X$243</definedName>
    <definedName name="SalesQty91">'Бланк заказа'!$X$248:$X$248</definedName>
    <definedName name="SalesQty92">'Бланк заказа'!$X$249:$X$249</definedName>
    <definedName name="SalesQty93">'Бланк заказа'!$X$255:$X$255</definedName>
    <definedName name="SalesQty94">'Бланк заказа'!$X$261:$X$261</definedName>
    <definedName name="SalesQty95">'Бланк заказа'!$X$262:$X$262</definedName>
    <definedName name="SalesQty96">'Бланк заказа'!$X$268:$X$268</definedName>
    <definedName name="SalesQty97">'Бланк заказа'!$X$272:$X$272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заказа'!$Y$280:$Y$280</definedName>
    <definedName name="SalesRoundBox101">'Бланк заказа'!$Y$284:$Y$284</definedName>
    <definedName name="SalesRoundBox102">'Бланк заказа'!$Y$288:$Y$288</definedName>
    <definedName name="SalesRoundBox103">'Бланк заказа'!$Y$289:$Y$289</definedName>
    <definedName name="SalesRoundBox104">'Бланк заказа'!$Y$293:$Y$293</definedName>
    <definedName name="SalesRoundBox105">'Бланк заказа'!$Y$294:$Y$294</definedName>
    <definedName name="SalesRoundBox106">'Бланк заказа'!$Y$295:$Y$295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заказа'!$Y$324:$Y$324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заказа'!$Y$91:$Y$91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заказа'!$Y$101:$Y$101</definedName>
    <definedName name="SalesRoundBox36">'Бланк заказа'!$Y$102:$Y$102</definedName>
    <definedName name="SalesRoundBox37">'Бланк заказа'!$Y$107:$Y$107</definedName>
    <definedName name="SalesRoundBox38">'Бланк заказа'!$Y$108:$Y$108</definedName>
    <definedName name="SalesRoundBox39">'Бланк заказа'!$Y$109:$Y$109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заказа'!$Y$119:$Y$119</definedName>
    <definedName name="SalesRoundBox46">'Бланк заказа'!$Y$123:$Y$123</definedName>
    <definedName name="SalesRoundBox47">'Бланк заказа'!$Y$128:$Y$128</definedName>
    <definedName name="SalesRoundBox48">'Бланк заказа'!$Y$129:$Y$129</definedName>
    <definedName name="SalesRoundBox49">'Бланк заказа'!$Y$134:$Y$134</definedName>
    <definedName name="SalesRoundBox5">'Бланк заказа'!$Y$31:$Y$31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заказа'!$Y$157:$Y$157</definedName>
    <definedName name="SalesRoundBox57">'Бланк заказа'!$Y$162:$Y$162</definedName>
    <definedName name="SalesRoundBox58">'Бланк заказа'!$Y$168:$Y$168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заказа'!$Y$176:$Y$176</definedName>
    <definedName name="SalesRoundBox63">'Бланк заказа'!$Y$180:$Y$180</definedName>
    <definedName name="SalesRoundBox64">'Бланк заказа'!$Y$181:$Y$181</definedName>
    <definedName name="SalesRoundBox65">'Бланк заказа'!$Y$187:$Y$187</definedName>
    <definedName name="SalesRoundBox66">'Бланк заказа'!$Y$188:$Y$188</definedName>
    <definedName name="SalesRoundBox67">'Бланк заказа'!$Y$189:$Y$189</definedName>
    <definedName name="SalesRoundBox68">'Бланк заказа'!$Y$193:$Y$193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заказа'!$Y$219:$Y$219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заказа'!$Y$227:$Y$227</definedName>
    <definedName name="SalesRoundBox86">'Бланк заказа'!$Y$232:$Y$232</definedName>
    <definedName name="SalesRoundBox87">'Бланк заказа'!$Y$236:$Y$236</definedName>
    <definedName name="SalesRoundBox88">'Бланк заказа'!$Y$237:$Y$237</definedName>
    <definedName name="SalesRoundBox89">'Бланк заказа'!$Y$238:$Y$238</definedName>
    <definedName name="SalesRoundBox9">'Бланк заказа'!$Y$43:$Y$43</definedName>
    <definedName name="SalesRoundBox90">'Бланк заказа'!$Y$243:$Y$243</definedName>
    <definedName name="SalesRoundBox91">'Бланк заказа'!$Y$248:$Y$248</definedName>
    <definedName name="SalesRoundBox92">'Бланк заказа'!$Y$249:$Y$249</definedName>
    <definedName name="SalesRoundBox93">'Бланк заказа'!$Y$255:$Y$255</definedName>
    <definedName name="SalesRoundBox94">'Бланк заказа'!$Y$261:$Y$261</definedName>
    <definedName name="SalesRoundBox95">'Бланк заказа'!$Y$262:$Y$262</definedName>
    <definedName name="SalesRoundBox96">'Бланк заказа'!$Y$268:$Y$268</definedName>
    <definedName name="SalesRoundBox97">'Бланк заказа'!$Y$272:$Y$272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заказа'!$W$280:$W$280</definedName>
    <definedName name="UnitOfMeasure101">'Бланк заказа'!$W$284:$W$284</definedName>
    <definedName name="UnitOfMeasure102">'Бланк заказа'!$W$288:$W$288</definedName>
    <definedName name="UnitOfMeasure103">'Бланк заказа'!$W$289:$W$289</definedName>
    <definedName name="UnitOfMeasure104">'Бланк заказа'!$W$293:$W$293</definedName>
    <definedName name="UnitOfMeasure105">'Бланк заказа'!$W$294:$W$294</definedName>
    <definedName name="UnitOfMeasure106">'Бланк заказа'!$W$295:$W$295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заказа'!$W$324:$W$324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заказа'!$W$91:$W$91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заказа'!$W$101:$W$101</definedName>
    <definedName name="UnitOfMeasure36">'Бланк заказа'!$W$102:$W$102</definedName>
    <definedName name="UnitOfMeasure37">'Бланк заказа'!$W$107:$W$107</definedName>
    <definedName name="UnitOfMeasure38">'Бланк заказа'!$W$108:$W$108</definedName>
    <definedName name="UnitOfMeasure39">'Бланк заказа'!$W$109:$W$109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заказа'!$W$119:$W$119</definedName>
    <definedName name="UnitOfMeasure46">'Бланк заказа'!$W$123:$W$123</definedName>
    <definedName name="UnitOfMeasure47">'Бланк заказа'!$W$128:$W$128</definedName>
    <definedName name="UnitOfMeasure48">'Бланк заказа'!$W$129:$W$129</definedName>
    <definedName name="UnitOfMeasure49">'Бланк заказа'!$W$134:$W$134</definedName>
    <definedName name="UnitOfMeasure5">'Бланк заказа'!$W$31:$W$31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заказа'!$W$157:$W$157</definedName>
    <definedName name="UnitOfMeasure57">'Бланк заказа'!$W$162:$W$162</definedName>
    <definedName name="UnitOfMeasure58">'Бланк заказа'!$W$168:$W$168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заказа'!$W$176:$W$176</definedName>
    <definedName name="UnitOfMeasure63">'Бланк заказа'!$W$180:$W$180</definedName>
    <definedName name="UnitOfMeasure64">'Бланк заказа'!$W$181:$W$181</definedName>
    <definedName name="UnitOfMeasure65">'Бланк заказа'!$W$187:$W$187</definedName>
    <definedName name="UnitOfMeasure66">'Бланк заказа'!$W$188:$W$188</definedName>
    <definedName name="UnitOfMeasure67">'Бланк заказа'!$W$189:$W$189</definedName>
    <definedName name="UnitOfMeasure68">'Бланк заказа'!$W$193:$W$193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заказа'!$W$219:$W$219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заказа'!$W$227:$W$227</definedName>
    <definedName name="UnitOfMeasure86">'Бланк заказа'!$W$232:$W$232</definedName>
    <definedName name="UnitOfMeasure87">'Бланк заказа'!$W$236:$W$236</definedName>
    <definedName name="UnitOfMeasure88">'Бланк заказа'!$W$237:$W$237</definedName>
    <definedName name="UnitOfMeasure89">'Бланк заказа'!$W$238:$W$238</definedName>
    <definedName name="UnitOfMeasure9">'Бланк заказа'!$W$43:$W$43</definedName>
    <definedName name="UnitOfMeasure90">'Бланк заказа'!$W$243:$W$243</definedName>
    <definedName name="UnitOfMeasure91">'Бланк заказа'!$W$248:$W$248</definedName>
    <definedName name="UnitOfMeasure92">'Бланк заказа'!$W$249:$W$249</definedName>
    <definedName name="UnitOfMeasure93">'Бланк заказа'!$W$255:$W$255</definedName>
    <definedName name="UnitOfMeasure94">'Бланк заказа'!$W$261:$W$261</definedName>
    <definedName name="UnitOfMeasure95">'Бланк заказа'!$W$262:$W$262</definedName>
    <definedName name="UnitOfMeasure96">'Бланк заказа'!$W$268:$W$268</definedName>
    <definedName name="UnitOfMeasure97">'Бланк заказа'!$W$272:$W$272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7" i="1" l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X326" i="1"/>
  <c r="X325" i="1"/>
  <c r="BO324" i="1"/>
  <c r="BM324" i="1"/>
  <c r="Z324" i="1"/>
  <c r="Z325" i="1" s="1"/>
  <c r="Y324" i="1"/>
  <c r="Y326" i="1" s="1"/>
  <c r="X321" i="1"/>
  <c r="X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P308" i="1"/>
  <c r="BO307" i="1"/>
  <c r="BM307" i="1"/>
  <c r="Z307" i="1"/>
  <c r="Y307" i="1"/>
  <c r="BP307" i="1" s="1"/>
  <c r="BO306" i="1"/>
  <c r="BM306" i="1"/>
  <c r="Z306" i="1"/>
  <c r="Y306" i="1"/>
  <c r="BP306" i="1" s="1"/>
  <c r="P306" i="1"/>
  <c r="BO305" i="1"/>
  <c r="BM305" i="1"/>
  <c r="Z305" i="1"/>
  <c r="Y305" i="1"/>
  <c r="BO304" i="1"/>
  <c r="BM304" i="1"/>
  <c r="Z304" i="1"/>
  <c r="Y304" i="1"/>
  <c r="P304" i="1"/>
  <c r="BO303" i="1"/>
  <c r="BM303" i="1"/>
  <c r="Z303" i="1"/>
  <c r="Y303" i="1"/>
  <c r="BP303" i="1" s="1"/>
  <c r="BO302" i="1"/>
  <c r="BM302" i="1"/>
  <c r="Z302" i="1"/>
  <c r="Y302" i="1"/>
  <c r="BP302" i="1" s="1"/>
  <c r="BO301" i="1"/>
  <c r="BM301" i="1"/>
  <c r="Z301" i="1"/>
  <c r="Y301" i="1"/>
  <c r="BP301" i="1" s="1"/>
  <c r="P301" i="1"/>
  <c r="BO300" i="1"/>
  <c r="BM300" i="1"/>
  <c r="Z300" i="1"/>
  <c r="Y300" i="1"/>
  <c r="BO299" i="1"/>
  <c r="BM299" i="1"/>
  <c r="Z299" i="1"/>
  <c r="Z320" i="1" s="1"/>
  <c r="Y299" i="1"/>
  <c r="X297" i="1"/>
  <c r="X296" i="1"/>
  <c r="BO295" i="1"/>
  <c r="BM295" i="1"/>
  <c r="Z295" i="1"/>
  <c r="Y295" i="1"/>
  <c r="BP295" i="1" s="1"/>
  <c r="P295" i="1"/>
  <c r="BO294" i="1"/>
  <c r="BM294" i="1"/>
  <c r="Z294" i="1"/>
  <c r="Y294" i="1"/>
  <c r="P294" i="1"/>
  <c r="BO293" i="1"/>
  <c r="BM293" i="1"/>
  <c r="Z293" i="1"/>
  <c r="Y293" i="1"/>
  <c r="X291" i="1"/>
  <c r="X290" i="1"/>
  <c r="BO289" i="1"/>
  <c r="BM289" i="1"/>
  <c r="Z289" i="1"/>
  <c r="Y289" i="1"/>
  <c r="BO288" i="1"/>
  <c r="BM288" i="1"/>
  <c r="Z288" i="1"/>
  <c r="Z290" i="1" s="1"/>
  <c r="Y288" i="1"/>
  <c r="P288" i="1"/>
  <c r="X286" i="1"/>
  <c r="X285" i="1"/>
  <c r="BO284" i="1"/>
  <c r="BM284" i="1"/>
  <c r="Z284" i="1"/>
  <c r="Z285" i="1" s="1"/>
  <c r="Y284" i="1"/>
  <c r="Y286" i="1" s="1"/>
  <c r="P284" i="1"/>
  <c r="X282" i="1"/>
  <c r="X281" i="1"/>
  <c r="BO280" i="1"/>
  <c r="BM280" i="1"/>
  <c r="Z280" i="1"/>
  <c r="Y280" i="1"/>
  <c r="BO279" i="1"/>
  <c r="BM279" i="1"/>
  <c r="Z279" i="1"/>
  <c r="Y279" i="1"/>
  <c r="BO278" i="1"/>
  <c r="BM278" i="1"/>
  <c r="Z278" i="1"/>
  <c r="Z281" i="1" s="1"/>
  <c r="Y278" i="1"/>
  <c r="X274" i="1"/>
  <c r="X273" i="1"/>
  <c r="BO272" i="1"/>
  <c r="BM272" i="1"/>
  <c r="Z272" i="1"/>
  <c r="Z273" i="1" s="1"/>
  <c r="Y272" i="1"/>
  <c r="Y274" i="1" s="1"/>
  <c r="P272" i="1"/>
  <c r="X270" i="1"/>
  <c r="X269" i="1"/>
  <c r="BO268" i="1"/>
  <c r="BM268" i="1"/>
  <c r="Z268" i="1"/>
  <c r="Z269" i="1" s="1"/>
  <c r="Y268" i="1"/>
  <c r="Y270" i="1" s="1"/>
  <c r="X264" i="1"/>
  <c r="X263" i="1"/>
  <c r="BO262" i="1"/>
  <c r="BM262" i="1"/>
  <c r="Z262" i="1"/>
  <c r="Y262" i="1"/>
  <c r="P262" i="1"/>
  <c r="BO261" i="1"/>
  <c r="BM261" i="1"/>
  <c r="Z261" i="1"/>
  <c r="Y261" i="1"/>
  <c r="P261" i="1"/>
  <c r="X257" i="1"/>
  <c r="X256" i="1"/>
  <c r="BO255" i="1"/>
  <c r="BM255" i="1"/>
  <c r="Z255" i="1"/>
  <c r="Z256" i="1" s="1"/>
  <c r="Y255" i="1"/>
  <c r="Y257" i="1" s="1"/>
  <c r="P255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5" i="1"/>
  <c r="X244" i="1"/>
  <c r="BO243" i="1"/>
  <c r="BM243" i="1"/>
  <c r="Z243" i="1"/>
  <c r="Z244" i="1" s="1"/>
  <c r="Y243" i="1"/>
  <c r="P243" i="1"/>
  <c r="X240" i="1"/>
  <c r="X239" i="1"/>
  <c r="BO238" i="1"/>
  <c r="BM238" i="1"/>
  <c r="Z238" i="1"/>
  <c r="Y238" i="1"/>
  <c r="BO237" i="1"/>
  <c r="BM237" i="1"/>
  <c r="Z237" i="1"/>
  <c r="Y237" i="1"/>
  <c r="BO236" i="1"/>
  <c r="BM236" i="1"/>
  <c r="Z236" i="1"/>
  <c r="Z239" i="1" s="1"/>
  <c r="Y236" i="1"/>
  <c r="Y240" i="1" s="1"/>
  <c r="X234" i="1"/>
  <c r="X233" i="1"/>
  <c r="BO232" i="1"/>
  <c r="BM232" i="1"/>
  <c r="Z232" i="1"/>
  <c r="Z233" i="1" s="1"/>
  <c r="Y232" i="1"/>
  <c r="Y234" i="1" s="1"/>
  <c r="X229" i="1"/>
  <c r="X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Y229" i="1" s="1"/>
  <c r="P224" i="1"/>
  <c r="X221" i="1"/>
  <c r="X220" i="1"/>
  <c r="BO219" i="1"/>
  <c r="BM219" i="1"/>
  <c r="Z219" i="1"/>
  <c r="Y219" i="1"/>
  <c r="BP219" i="1" s="1"/>
  <c r="P219" i="1"/>
  <c r="BO218" i="1"/>
  <c r="BM218" i="1"/>
  <c r="Z218" i="1"/>
  <c r="Y218" i="1"/>
  <c r="BP218" i="1" s="1"/>
  <c r="P218" i="1"/>
  <c r="BO217" i="1"/>
  <c r="BM217" i="1"/>
  <c r="Z217" i="1"/>
  <c r="Y217" i="1"/>
  <c r="BP217" i="1" s="1"/>
  <c r="P217" i="1"/>
  <c r="BO216" i="1"/>
  <c r="BM216" i="1"/>
  <c r="Z216" i="1"/>
  <c r="Y216" i="1"/>
  <c r="BP216" i="1" s="1"/>
  <c r="P216" i="1"/>
  <c r="BO215" i="1"/>
  <c r="BM215" i="1"/>
  <c r="Z215" i="1"/>
  <c r="Y215" i="1"/>
  <c r="BP215" i="1" s="1"/>
  <c r="P215" i="1"/>
  <c r="BO214" i="1"/>
  <c r="BM214" i="1"/>
  <c r="Z214" i="1"/>
  <c r="Y214" i="1"/>
  <c r="Y220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BP208" i="1" s="1"/>
  <c r="P208" i="1"/>
  <c r="BP207" i="1"/>
  <c r="BO207" i="1"/>
  <c r="BN207" i="1"/>
  <c r="BM207" i="1"/>
  <c r="Z207" i="1"/>
  <c r="Z210" i="1" s="1"/>
  <c r="Y207" i="1"/>
  <c r="P207" i="1"/>
  <c r="X204" i="1"/>
  <c r="X203" i="1"/>
  <c r="BO202" i="1"/>
  <c r="BM202" i="1"/>
  <c r="Z202" i="1"/>
  <c r="Y202" i="1"/>
  <c r="BP202" i="1" s="1"/>
  <c r="P202" i="1"/>
  <c r="BO201" i="1"/>
  <c r="BM201" i="1"/>
  <c r="Z201" i="1"/>
  <c r="Y201" i="1"/>
  <c r="BP201" i="1" s="1"/>
  <c r="P201" i="1"/>
  <c r="BO200" i="1"/>
  <c r="BM200" i="1"/>
  <c r="Z200" i="1"/>
  <c r="Y200" i="1"/>
  <c r="BP200" i="1" s="1"/>
  <c r="P200" i="1"/>
  <c r="BO199" i="1"/>
  <c r="BM199" i="1"/>
  <c r="Z199" i="1"/>
  <c r="Z203" i="1" s="1"/>
  <c r="Y199" i="1"/>
  <c r="P199" i="1"/>
  <c r="X195" i="1"/>
  <c r="X194" i="1"/>
  <c r="BO193" i="1"/>
  <c r="BM193" i="1"/>
  <c r="Z193" i="1"/>
  <c r="Z194" i="1" s="1"/>
  <c r="Y193" i="1"/>
  <c r="Y194" i="1" s="1"/>
  <c r="X191" i="1"/>
  <c r="X190" i="1"/>
  <c r="BO189" i="1"/>
  <c r="BM189" i="1"/>
  <c r="Z189" i="1"/>
  <c r="Y189" i="1"/>
  <c r="BP189" i="1" s="1"/>
  <c r="P189" i="1"/>
  <c r="BO188" i="1"/>
  <c r="BM188" i="1"/>
  <c r="Z188" i="1"/>
  <c r="Y188" i="1"/>
  <c r="BP188" i="1" s="1"/>
  <c r="P188" i="1"/>
  <c r="BO187" i="1"/>
  <c r="BM187" i="1"/>
  <c r="Z187" i="1"/>
  <c r="Y187" i="1"/>
  <c r="BP187" i="1" s="1"/>
  <c r="P187" i="1"/>
  <c r="X183" i="1"/>
  <c r="X182" i="1"/>
  <c r="BO181" i="1"/>
  <c r="BM181" i="1"/>
  <c r="Z181" i="1"/>
  <c r="Y181" i="1"/>
  <c r="P181" i="1"/>
  <c r="BO180" i="1"/>
  <c r="BM180" i="1"/>
  <c r="Z180" i="1"/>
  <c r="Y180" i="1"/>
  <c r="P180" i="1"/>
  <c r="X178" i="1"/>
  <c r="X177" i="1"/>
  <c r="BO176" i="1"/>
  <c r="BM176" i="1"/>
  <c r="Z176" i="1"/>
  <c r="Y176" i="1"/>
  <c r="BP176" i="1" s="1"/>
  <c r="P176" i="1"/>
  <c r="BO175" i="1"/>
  <c r="BM175" i="1"/>
  <c r="Z175" i="1"/>
  <c r="Y175" i="1"/>
  <c r="BP175" i="1" s="1"/>
  <c r="P175" i="1"/>
  <c r="BO174" i="1"/>
  <c r="BM174" i="1"/>
  <c r="Z174" i="1"/>
  <c r="Y174" i="1"/>
  <c r="BP174" i="1" s="1"/>
  <c r="BO173" i="1"/>
  <c r="BM173" i="1"/>
  <c r="Z173" i="1"/>
  <c r="Y173" i="1"/>
  <c r="X170" i="1"/>
  <c r="X169" i="1"/>
  <c r="BO168" i="1"/>
  <c r="BM168" i="1"/>
  <c r="Z168" i="1"/>
  <c r="Z169" i="1" s="1"/>
  <c r="Y168" i="1"/>
  <c r="Y170" i="1" s="1"/>
  <c r="X164" i="1"/>
  <c r="X163" i="1"/>
  <c r="BO162" i="1"/>
  <c r="BM162" i="1"/>
  <c r="Z162" i="1"/>
  <c r="Z163" i="1" s="1"/>
  <c r="Y162" i="1"/>
  <c r="Y163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Z152" i="1" s="1"/>
  <c r="Y151" i="1"/>
  <c r="P151" i="1"/>
  <c r="X148" i="1"/>
  <c r="X147" i="1"/>
  <c r="BO146" i="1"/>
  <c r="BM146" i="1"/>
  <c r="Z146" i="1"/>
  <c r="Z147" i="1" s="1"/>
  <c r="Y146" i="1"/>
  <c r="X143" i="1"/>
  <c r="X142" i="1"/>
  <c r="BO141" i="1"/>
  <c r="BM141" i="1"/>
  <c r="Z141" i="1"/>
  <c r="Y141" i="1"/>
  <c r="P141" i="1"/>
  <c r="BP140" i="1"/>
  <c r="BO140" i="1"/>
  <c r="BN140" i="1"/>
  <c r="BM140" i="1"/>
  <c r="Z140" i="1"/>
  <c r="Z142" i="1" s="1"/>
  <c r="Y140" i="1"/>
  <c r="P140" i="1"/>
  <c r="X137" i="1"/>
  <c r="X136" i="1"/>
  <c r="BO135" i="1"/>
  <c r="BM135" i="1"/>
  <c r="Z135" i="1"/>
  <c r="Y135" i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P129" i="1"/>
  <c r="BP128" i="1"/>
  <c r="BO128" i="1"/>
  <c r="BN128" i="1"/>
  <c r="BM128" i="1"/>
  <c r="Z128" i="1"/>
  <c r="Z130" i="1" s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X121" i="1"/>
  <c r="X120" i="1"/>
  <c r="BO119" i="1"/>
  <c r="BM119" i="1"/>
  <c r="Z119" i="1"/>
  <c r="Y119" i="1"/>
  <c r="P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BP107" i="1"/>
  <c r="BO107" i="1"/>
  <c r="BN107" i="1"/>
  <c r="BM107" i="1"/>
  <c r="Z107" i="1"/>
  <c r="Z110" i="1" s="1"/>
  <c r="Y107" i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P101" i="1"/>
  <c r="BO100" i="1"/>
  <c r="BM100" i="1"/>
  <c r="Z100" i="1"/>
  <c r="Y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X93" i="1"/>
  <c r="X92" i="1"/>
  <c r="BO91" i="1"/>
  <c r="BM91" i="1"/>
  <c r="Z91" i="1"/>
  <c r="Y91" i="1"/>
  <c r="P91" i="1"/>
  <c r="BP90" i="1"/>
  <c r="BO90" i="1"/>
  <c r="BN90" i="1"/>
  <c r="BM90" i="1"/>
  <c r="Z90" i="1"/>
  <c r="Y90" i="1"/>
  <c r="BP89" i="1"/>
  <c r="BO89" i="1"/>
  <c r="BN89" i="1"/>
  <c r="BM89" i="1"/>
  <c r="Z89" i="1"/>
  <c r="Z92" i="1" s="1"/>
  <c r="Y89" i="1"/>
  <c r="X86" i="1"/>
  <c r="X85" i="1"/>
  <c r="BO84" i="1"/>
  <c r="BM84" i="1"/>
  <c r="Z84" i="1"/>
  <c r="Z85" i="1" s="1"/>
  <c r="Y84" i="1"/>
  <c r="Y86" i="1" s="1"/>
  <c r="X81" i="1"/>
  <c r="X80" i="1"/>
  <c r="BO79" i="1"/>
  <c r="BM79" i="1"/>
  <c r="Z79" i="1"/>
  <c r="Y79" i="1"/>
  <c r="BP79" i="1" s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Y68" i="1"/>
  <c r="X68" i="1"/>
  <c r="BP67" i="1"/>
  <c r="BO67" i="1"/>
  <c r="BN67" i="1"/>
  <c r="BM67" i="1"/>
  <c r="Z67" i="1"/>
  <c r="Z68" i="1" s="1"/>
  <c r="Y67" i="1"/>
  <c r="Y69" i="1" s="1"/>
  <c r="P67" i="1"/>
  <c r="X65" i="1"/>
  <c r="Y64" i="1"/>
  <c r="X64" i="1"/>
  <c r="BP63" i="1"/>
  <c r="BO63" i="1"/>
  <c r="BN63" i="1"/>
  <c r="BM63" i="1"/>
  <c r="Z63" i="1"/>
  <c r="Z64" i="1" s="1"/>
  <c r="Y63" i="1"/>
  <c r="Y65" i="1" s="1"/>
  <c r="X61" i="1"/>
  <c r="X60" i="1"/>
  <c r="BO59" i="1"/>
  <c r="BM59" i="1"/>
  <c r="Z59" i="1"/>
  <c r="Z60" i="1" s="1"/>
  <c r="Y59" i="1"/>
  <c r="Y61" i="1" s="1"/>
  <c r="X57" i="1"/>
  <c r="X56" i="1"/>
  <c r="BO55" i="1"/>
  <c r="BM55" i="1"/>
  <c r="Z55" i="1"/>
  <c r="Z56" i="1" s="1"/>
  <c r="Y55" i="1"/>
  <c r="X52" i="1"/>
  <c r="X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Z51" i="1" s="1"/>
  <c r="Y43" i="1"/>
  <c r="P43" i="1"/>
  <c r="X40" i="1"/>
  <c r="Y39" i="1"/>
  <c r="X39" i="1"/>
  <c r="BP38" i="1"/>
  <c r="BO38" i="1"/>
  <c r="BN38" i="1"/>
  <c r="BM38" i="1"/>
  <c r="Z38" i="1"/>
  <c r="Y38" i="1"/>
  <c r="BP37" i="1"/>
  <c r="BO37" i="1"/>
  <c r="BN37" i="1"/>
  <c r="BM37" i="1"/>
  <c r="Z37" i="1"/>
  <c r="Y37" i="1"/>
  <c r="BP36" i="1"/>
  <c r="BO36" i="1"/>
  <c r="BN36" i="1"/>
  <c r="BM36" i="1"/>
  <c r="Z36" i="1"/>
  <c r="Z39" i="1" s="1"/>
  <c r="Y36" i="1"/>
  <c r="Y40" i="1" s="1"/>
  <c r="X33" i="1"/>
  <c r="X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2" i="1" s="1"/>
  <c r="Y28" i="1"/>
  <c r="Y33" i="1" s="1"/>
  <c r="X24" i="1"/>
  <c r="X23" i="1"/>
  <c r="BO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X327" i="1" l="1"/>
  <c r="BN79" i="1"/>
  <c r="BN168" i="1"/>
  <c r="BP168" i="1"/>
  <c r="Y169" i="1"/>
  <c r="Y177" i="1"/>
  <c r="Z177" i="1"/>
  <c r="BN175" i="1"/>
  <c r="Z182" i="1"/>
  <c r="Z190" i="1"/>
  <c r="BN187" i="1"/>
  <c r="BN189" i="1"/>
  <c r="Y263" i="1"/>
  <c r="Z263" i="1"/>
  <c r="BN268" i="1"/>
  <c r="BP268" i="1"/>
  <c r="Y269" i="1"/>
  <c r="BN272" i="1"/>
  <c r="BP272" i="1"/>
  <c r="Y273" i="1"/>
  <c r="Y297" i="1"/>
  <c r="Y321" i="1"/>
  <c r="BN301" i="1"/>
  <c r="BN302" i="1"/>
  <c r="BN303" i="1"/>
  <c r="BN306" i="1"/>
  <c r="BN307" i="1"/>
  <c r="X329" i="1"/>
  <c r="Y57" i="1"/>
  <c r="Y56" i="1"/>
  <c r="BP55" i="1"/>
  <c r="BN55" i="1"/>
  <c r="Y104" i="1"/>
  <c r="BP96" i="1"/>
  <c r="BN96" i="1"/>
  <c r="BP99" i="1"/>
  <c r="BN99" i="1"/>
  <c r="BP100" i="1"/>
  <c r="BN100" i="1"/>
  <c r="BP102" i="1"/>
  <c r="BN102" i="1"/>
  <c r="BP114" i="1"/>
  <c r="BN114" i="1"/>
  <c r="BP116" i="1"/>
  <c r="BN116" i="1"/>
  <c r="BP118" i="1"/>
  <c r="BN118" i="1"/>
  <c r="BP135" i="1"/>
  <c r="BN135" i="1"/>
  <c r="Y148" i="1"/>
  <c r="Y147" i="1"/>
  <c r="BP146" i="1"/>
  <c r="BN146" i="1"/>
  <c r="Y158" i="1"/>
  <c r="BP156" i="1"/>
  <c r="BN156" i="1"/>
  <c r="Y24" i="1"/>
  <c r="Y23" i="1"/>
  <c r="BP22" i="1"/>
  <c r="BN22" i="1"/>
  <c r="X328" i="1"/>
  <c r="Y153" i="1"/>
  <c r="Y152" i="1"/>
  <c r="BP151" i="1"/>
  <c r="BN151" i="1"/>
  <c r="BP181" i="1"/>
  <c r="BN181" i="1"/>
  <c r="Y264" i="1"/>
  <c r="Z80" i="1"/>
  <c r="Z103" i="1"/>
  <c r="Y110" i="1"/>
  <c r="Y111" i="1"/>
  <c r="Z120" i="1"/>
  <c r="Y130" i="1"/>
  <c r="Y131" i="1"/>
  <c r="Z158" i="1"/>
  <c r="Y183" i="1"/>
  <c r="Y191" i="1"/>
  <c r="Y204" i="1"/>
  <c r="BN200" i="1"/>
  <c r="BN202" i="1"/>
  <c r="Y211" i="1"/>
  <c r="Z220" i="1"/>
  <c r="BN214" i="1"/>
  <c r="BP214" i="1"/>
  <c r="BN216" i="1"/>
  <c r="BN218" i="1"/>
  <c r="Z228" i="1"/>
  <c r="Z250" i="1"/>
  <c r="BN255" i="1"/>
  <c r="BP255" i="1"/>
  <c r="Y256" i="1"/>
  <c r="BN261" i="1"/>
  <c r="BP261" i="1"/>
  <c r="Z296" i="1"/>
  <c r="BN293" i="1"/>
  <c r="BP293" i="1"/>
  <c r="BN295" i="1"/>
  <c r="BN324" i="1"/>
  <c r="BP324" i="1"/>
  <c r="Y325" i="1"/>
  <c r="BP44" i="1"/>
  <c r="BN44" i="1"/>
  <c r="BP46" i="1"/>
  <c r="BN46" i="1"/>
  <c r="BP48" i="1"/>
  <c r="BN48" i="1"/>
  <c r="BP50" i="1"/>
  <c r="BN50" i="1"/>
  <c r="Y74" i="1"/>
  <c r="BP71" i="1"/>
  <c r="BN71" i="1"/>
  <c r="BP72" i="1"/>
  <c r="BN72" i="1"/>
  <c r="BP73" i="1"/>
  <c r="BN73" i="1"/>
  <c r="BP91" i="1"/>
  <c r="BN91" i="1"/>
  <c r="BP115" i="1"/>
  <c r="BN115" i="1"/>
  <c r="BP117" i="1"/>
  <c r="BN117" i="1"/>
  <c r="BP119" i="1"/>
  <c r="BN119" i="1"/>
  <c r="Y137" i="1"/>
  <c r="BP134" i="1"/>
  <c r="BN134" i="1"/>
  <c r="Y136" i="1"/>
  <c r="BP141" i="1"/>
  <c r="BN141" i="1"/>
  <c r="Y143" i="1"/>
  <c r="Y32" i="1"/>
  <c r="BP28" i="1"/>
  <c r="BN28" i="1"/>
  <c r="BP29" i="1"/>
  <c r="BN29" i="1"/>
  <c r="BP30" i="1"/>
  <c r="BN30" i="1"/>
  <c r="BP31" i="1"/>
  <c r="BN31" i="1"/>
  <c r="X331" i="1"/>
  <c r="Y51" i="1"/>
  <c r="Y52" i="1"/>
  <c r="Y60" i="1"/>
  <c r="BP59" i="1"/>
  <c r="BN59" i="1"/>
  <c r="Y75" i="1"/>
  <c r="Y81" i="1"/>
  <c r="BP78" i="1"/>
  <c r="BN78" i="1"/>
  <c r="Y80" i="1"/>
  <c r="Y85" i="1"/>
  <c r="BP84" i="1"/>
  <c r="BN84" i="1"/>
  <c r="Y92" i="1"/>
  <c r="Y93" i="1"/>
  <c r="BP97" i="1"/>
  <c r="BN97" i="1"/>
  <c r="BP98" i="1"/>
  <c r="BN98" i="1"/>
  <c r="BP101" i="1"/>
  <c r="BN101" i="1"/>
  <c r="Y103" i="1"/>
  <c r="BP109" i="1"/>
  <c r="BN109" i="1"/>
  <c r="Y120" i="1"/>
  <c r="Y121" i="1"/>
  <c r="BP129" i="1"/>
  <c r="BN129" i="1"/>
  <c r="Z136" i="1"/>
  <c r="Y142" i="1"/>
  <c r="Y159" i="1"/>
  <c r="Y164" i="1"/>
  <c r="Y178" i="1"/>
  <c r="Y182" i="1"/>
  <c r="Y190" i="1"/>
  <c r="Y195" i="1"/>
  <c r="Y203" i="1"/>
  <c r="Y210" i="1"/>
  <c r="Y221" i="1"/>
  <c r="Y228" i="1"/>
  <c r="Y244" i="1"/>
  <c r="BP243" i="1"/>
  <c r="BN243" i="1"/>
  <c r="Y281" i="1"/>
  <c r="BP278" i="1"/>
  <c r="BN278" i="1"/>
  <c r="BP279" i="1"/>
  <c r="BN279" i="1"/>
  <c r="BP280" i="1"/>
  <c r="BN280" i="1"/>
  <c r="Y290" i="1"/>
  <c r="BP288" i="1"/>
  <c r="BN288" i="1"/>
  <c r="BP289" i="1"/>
  <c r="BN289" i="1"/>
  <c r="H9" i="1"/>
  <c r="BN157" i="1"/>
  <c r="BN162" i="1"/>
  <c r="BP162" i="1"/>
  <c r="BN173" i="1"/>
  <c r="BP173" i="1"/>
  <c r="BN174" i="1"/>
  <c r="BN176" i="1"/>
  <c r="BN180" i="1"/>
  <c r="BP180" i="1"/>
  <c r="BN188" i="1"/>
  <c r="BN193" i="1"/>
  <c r="BP193" i="1"/>
  <c r="BN199" i="1"/>
  <c r="BP199" i="1"/>
  <c r="BN201" i="1"/>
  <c r="BN208" i="1"/>
  <c r="BN215" i="1"/>
  <c r="BN217" i="1"/>
  <c r="BN219" i="1"/>
  <c r="BN224" i="1"/>
  <c r="BP224" i="1"/>
  <c r="BN226" i="1"/>
  <c r="BN232" i="1"/>
  <c r="BP232" i="1"/>
  <c r="Y233" i="1"/>
  <c r="Y239" i="1"/>
  <c r="BP236" i="1"/>
  <c r="BN236" i="1"/>
  <c r="BP237" i="1"/>
  <c r="BN237" i="1"/>
  <c r="BP238" i="1"/>
  <c r="BN238" i="1"/>
  <c r="Y245" i="1"/>
  <c r="Y251" i="1"/>
  <c r="BP248" i="1"/>
  <c r="BN248" i="1"/>
  <c r="Y250" i="1"/>
  <c r="BP262" i="1"/>
  <c r="BN262" i="1"/>
  <c r="Y282" i="1"/>
  <c r="Y285" i="1"/>
  <c r="BP284" i="1"/>
  <c r="BN284" i="1"/>
  <c r="Y291" i="1"/>
  <c r="BP294" i="1"/>
  <c r="BN294" i="1"/>
  <c r="Y296" i="1"/>
  <c r="Y320" i="1"/>
  <c r="BP299" i="1"/>
  <c r="BN299" i="1"/>
  <c r="BP300" i="1"/>
  <c r="BN300" i="1"/>
  <c r="BP304" i="1"/>
  <c r="BN304" i="1"/>
  <c r="BP305" i="1"/>
  <c r="BN305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BP319" i="1"/>
  <c r="BN319" i="1"/>
  <c r="X330" i="1" l="1"/>
  <c r="Y328" i="1"/>
  <c r="Y330" i="1" s="1"/>
  <c r="Y331" i="1"/>
  <c r="Y327" i="1"/>
  <c r="Y329" i="1"/>
  <c r="Z332" i="1"/>
  <c r="B340" i="1"/>
  <c r="C340" i="1"/>
  <c r="A340" i="1"/>
</calcChain>
</file>

<file path=xl/sharedStrings.xml><?xml version="1.0" encoding="utf-8"?>
<sst xmlns="http://schemas.openxmlformats.org/spreadsheetml/2006/main" count="1622" uniqueCount="541">
  <si>
    <t xml:space="preserve">  БЛАНК ЗАКАЗА </t>
  </si>
  <si>
    <t>ЗПФ</t>
  </si>
  <si>
    <t>на отгрузку продукции с ООО Трейд-Сервис с</t>
  </si>
  <si>
    <t>16.04.2025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</si>
  <si>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</si>
  <si>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</si>
  <si>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</si>
  <si>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</si>
  <si>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</si>
  <si>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</si>
  <si>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</si>
  <si>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</si>
  <si>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</si>
  <si>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</si>
  <si>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</si>
  <si>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</si>
  <si>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</si>
  <si>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</si>
  <si>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</si>
  <si>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</si>
  <si>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</si>
  <si>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</si>
  <si>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</si>
  <si>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</si>
  <si>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</si>
  <si>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</si>
  <si>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</si>
  <si>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</si>
  <si>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</si>
  <si>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</si>
  <si>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</si>
  <si>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</si>
  <si>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</si>
  <si>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</si>
  <si>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</si>
  <si>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</si>
  <si>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</si>
  <si>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</si>
  <si>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</si>
  <si>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</si>
  <si>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</si>
  <si>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</si>
  <si>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</si>
  <si>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</si>
  <si>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</si>
  <si>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</si>
  <si>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</si>
  <si>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</si>
  <si>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</si>
  <si>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</si>
  <si>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</si>
  <si>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</si>
  <si>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</si>
  <si>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</si>
  <si>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</si>
  <si>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</si>
  <si>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</si>
  <si>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</si>
  <si>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</si>
  <si>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</si>
  <si>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</si>
  <si>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</si>
  <si>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</si>
  <si>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</si>
  <si>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</si>
  <si>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</si>
  <si>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</si>
  <si>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</si>
  <si>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</si>
  <si>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</si>
  <si>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</si>
  <si>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</si>
  <si>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</si>
  <si>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</si>
  <si>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</si>
  <si>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</si>
  <si>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</si>
  <si>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</si>
  <si>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</si>
  <si>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</si>
  <si>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</si>
  <si>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</si>
  <si>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</si>
  <si>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</si>
  <si>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</si>
  <si>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</si>
  <si>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</si>
  <si>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</si>
  <si>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</si>
  <si>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</si>
  <si>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</si>
  <si>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</si>
  <si>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</si>
  <si>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</si>
  <si>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</si>
  <si>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</si>
  <si>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</si>
  <si>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</si>
  <si>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</si>
  <si>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</si>
  <si>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</si>
  <si>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</si>
  <si>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</si>
  <si>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</si>
  <si>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</si>
  <si>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</si>
  <si>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</si>
  <si>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</si>
  <si>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</si>
  <si>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</si>
  <si>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</si>
  <si>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SU003532</t>
  </si>
  <si>
    <t>P004440</t>
  </si>
  <si>
    <t>Палетта, мин. 1</t>
  </si>
  <si>
    <t>Палетта</t>
  </si>
  <si>
    <t>SU002708</t>
  </si>
  <si>
    <t>P003682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</si>
  <si>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</si>
  <si>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</si>
  <si>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</si>
  <si>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</si>
  <si>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</si>
  <si>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</si>
  <si>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</si>
  <si>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SU003529</t>
  </si>
  <si>
    <t>P004442</t>
  </si>
  <si>
    <t>SU002624</t>
  </si>
  <si>
    <t>P003678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</si>
  <si>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</si>
  <si>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</si>
  <si>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</si>
  <si>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</si>
  <si>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</si>
  <si>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</si>
  <si>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</si>
  <si>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</si>
  <si>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</si>
  <si>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</si>
  <si>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</si>
  <si>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</si>
  <si>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</si>
  <si>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</si>
  <si>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</si>
  <si>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</si>
  <si>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</si>
  <si>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</si>
  <si>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</si>
  <si>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</si>
  <si>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</si>
  <si>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</si>
  <si>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</si>
  <si>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</si>
  <si>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</si>
  <si>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</si>
  <si>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</si>
  <si>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</si>
  <si>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</si>
  <si>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</si>
  <si>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</si>
  <si>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</si>
  <si>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</si>
  <si>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</si>
  <si>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</si>
  <si>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</si>
  <si>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</si>
  <si>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</si>
  <si>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</si>
  <si>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</si>
  <si>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</si>
  <si>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</si>
  <si>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</si>
  <si>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</si>
  <si>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</si>
  <si>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</si>
  <si>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</si>
  <si>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</si>
  <si>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</si>
  <si>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</si>
  <si>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</si>
  <si>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</si>
  <si>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</si>
  <si>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</si>
  <si>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</si>
  <si>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</si>
  <si>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</si>
  <si>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</si>
  <si>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</si>
  <si>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</si>
  <si>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</si>
  <si>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</si>
  <si>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</si>
  <si>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</si>
  <si>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</si>
  <si>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</si>
  <si>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</si>
  <si>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</si>
  <si>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</si>
  <si>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</si>
  <si>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</si>
  <si>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</si>
  <si>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</si>
  <si>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</si>
  <si>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</si>
  <si>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</si>
  <si>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</si>
  <si>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</si>
  <si>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</si>
  <si>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</si>
  <si>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</si>
  <si>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</si>
  <si>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</si>
  <si>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</si>
  <si>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</si>
  <si>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</si>
  <si>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</si>
  <si>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</si>
  <si>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</si>
  <si>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</si>
  <si>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</si>
  <si>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</si>
  <si>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</si>
  <si>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</si>
  <si>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</si>
  <si>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</si>
  <si>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</si>
  <si>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</si>
  <si>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</si>
  <si>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</si>
  <si>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</si>
  <si>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</si>
  <si>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Новинка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</si>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</sst>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6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8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7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01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0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0"/>
  <sheetViews>
    <sheetView showGridLines="0" tabSelected="1" topLeftCell="A311" zoomScaleNormal="100" zoomScaleSheetLayoutView="100" workbookViewId="0">
      <selection activeCell="AA333" sqref="AA333"/>
    </sheetView>
  </sheetViews>
  <sheetFormatPr defaultColWidth="9.140625" defaultRowHeight="12.75" x14ac:dyDescent="0.2"/>
  <cols>
    <col min="1" max="1" width="9.140625" style="3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4" customWidth="1"/>
    <col min="19" max="19" width="6.140625" style="3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4" customWidth="1"/>
    <col min="25" max="25" width="11" style="334" customWidth="1"/>
    <col min="26" max="26" width="10" style="334" customWidth="1"/>
    <col min="27" max="27" width="11.5703125" style="334" customWidth="1"/>
    <col min="28" max="28" width="10.42578125" style="334" customWidth="1"/>
    <col min="29" max="29" width="30" style="3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4" customWidth="1"/>
    <col min="34" max="34" width="9.140625" style="334" customWidth="1"/>
    <col min="35" max="16384" width="9.140625" style="334"/>
  </cols>
  <sheetData>
    <row r="1" spans="1:32" s="330" customFormat="1" ht="45" customHeight="1" x14ac:dyDescent="0.2">
      <c r="A1" s="41"/>
      <c r="B1" s="41"/>
      <c r="C1" s="41"/>
      <c r="D1" s="394" t="s">
        <v>0</v>
      </c>
      <c r="E1" s="365"/>
      <c r="F1" s="365"/>
      <c r="G1" s="12" t="s">
        <v>1</v>
      </c>
      <c r="H1" s="394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3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8"/>
      <c r="R2" s="348"/>
      <c r="S2" s="348"/>
      <c r="T2" s="348"/>
      <c r="U2" s="348"/>
      <c r="V2" s="348"/>
      <c r="W2" s="348"/>
      <c r="X2" s="16"/>
      <c r="Y2" s="16"/>
      <c r="Z2" s="16"/>
      <c r="AA2" s="16"/>
      <c r="AB2" s="51"/>
      <c r="AC2" s="51"/>
      <c r="AD2" s="51"/>
      <c r="AE2" s="51"/>
    </row>
    <row r="3" spans="1:32" s="33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48"/>
      <c r="Q3" s="348"/>
      <c r="R3" s="348"/>
      <c r="S3" s="348"/>
      <c r="T3" s="348"/>
      <c r="U3" s="348"/>
      <c r="V3" s="348"/>
      <c r="W3" s="348"/>
      <c r="X3" s="16"/>
      <c r="Y3" s="16"/>
      <c r="Z3" s="16"/>
      <c r="AA3" s="16"/>
      <c r="AB3" s="51"/>
      <c r="AC3" s="51"/>
      <c r="AD3" s="51"/>
      <c r="AE3" s="51"/>
    </row>
    <row r="4" spans="1:32" s="3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30" customFormat="1" ht="23.45" customHeight="1" x14ac:dyDescent="0.2">
      <c r="A5" s="420" t="s">
        <v>7</v>
      </c>
      <c r="B5" s="378"/>
      <c r="C5" s="379"/>
      <c r="D5" s="395"/>
      <c r="E5" s="396"/>
      <c r="F5" s="531" t="s">
        <v>8</v>
      </c>
      <c r="G5" s="379"/>
      <c r="H5" s="395"/>
      <c r="I5" s="496"/>
      <c r="J5" s="496"/>
      <c r="K5" s="496"/>
      <c r="L5" s="496"/>
      <c r="M5" s="396"/>
      <c r="N5" s="61"/>
      <c r="P5" s="24" t="s">
        <v>9</v>
      </c>
      <c r="Q5" s="540">
        <v>45767</v>
      </c>
      <c r="R5" s="419"/>
      <c r="T5" s="444" t="s">
        <v>10</v>
      </c>
      <c r="U5" s="445"/>
      <c r="V5" s="446" t="s">
        <v>11</v>
      </c>
      <c r="W5" s="419"/>
      <c r="AB5" s="51"/>
      <c r="AC5" s="51"/>
      <c r="AD5" s="51"/>
      <c r="AE5" s="51"/>
    </row>
    <row r="6" spans="1:32" s="330" customFormat="1" ht="24" customHeight="1" x14ac:dyDescent="0.2">
      <c r="A6" s="420" t="s">
        <v>12</v>
      </c>
      <c r="B6" s="378"/>
      <c r="C6" s="379"/>
      <c r="D6" s="499" t="s">
        <v>13</v>
      </c>
      <c r="E6" s="500"/>
      <c r="F6" s="500"/>
      <c r="G6" s="500"/>
      <c r="H6" s="500"/>
      <c r="I6" s="500"/>
      <c r="J6" s="500"/>
      <c r="K6" s="500"/>
      <c r="L6" s="500"/>
      <c r="M6" s="419"/>
      <c r="N6" s="62"/>
      <c r="P6" s="24" t="s">
        <v>14</v>
      </c>
      <c r="Q6" s="543" t="str">
        <f>IF(Q5=0," ",CHOOSE(WEEKDAY(Q5,2),"Понедельник","Вторник","Среда","Четверг","Пятница","Суббота","Воскресенье"))</f>
        <v>Воскресенье</v>
      </c>
      <c r="R6" s="346"/>
      <c r="T6" s="449" t="s">
        <v>15</v>
      </c>
      <c r="U6" s="445"/>
      <c r="V6" s="483" t="s">
        <v>16</v>
      </c>
      <c r="W6" s="374"/>
      <c r="AB6" s="51"/>
      <c r="AC6" s="51"/>
      <c r="AD6" s="51"/>
      <c r="AE6" s="51"/>
    </row>
    <row r="7" spans="1:32" s="330" customFormat="1" ht="21.75" hidden="1" customHeight="1" x14ac:dyDescent="0.2">
      <c r="A7" s="55"/>
      <c r="B7" s="55"/>
      <c r="C7" s="55"/>
      <c r="D7" s="381" t="str">
        <f>IFERROR(VLOOKUP(DeliveryAddress,Table,3,0),1)</f>
        <v>1</v>
      </c>
      <c r="E7" s="382"/>
      <c r="F7" s="382"/>
      <c r="G7" s="382"/>
      <c r="H7" s="382"/>
      <c r="I7" s="382"/>
      <c r="J7" s="382"/>
      <c r="K7" s="382"/>
      <c r="L7" s="382"/>
      <c r="M7" s="383"/>
      <c r="N7" s="63"/>
      <c r="P7" s="24"/>
      <c r="Q7" s="42"/>
      <c r="R7" s="42"/>
      <c r="T7" s="348"/>
      <c r="U7" s="445"/>
      <c r="V7" s="484"/>
      <c r="W7" s="485"/>
      <c r="AB7" s="51"/>
      <c r="AC7" s="51"/>
      <c r="AD7" s="51"/>
      <c r="AE7" s="51"/>
    </row>
    <row r="8" spans="1:32" s="330" customFormat="1" ht="25.5" customHeight="1" x14ac:dyDescent="0.2">
      <c r="A8" s="553" t="s">
        <v>17</v>
      </c>
      <c r="B8" s="354"/>
      <c r="C8" s="355"/>
      <c r="D8" s="388" t="s">
        <v>18</v>
      </c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19</v>
      </c>
      <c r="Q8" s="426">
        <v>0.375</v>
      </c>
      <c r="R8" s="383"/>
      <c r="T8" s="348"/>
      <c r="U8" s="445"/>
      <c r="V8" s="484"/>
      <c r="W8" s="485"/>
      <c r="AB8" s="51"/>
      <c r="AC8" s="51"/>
      <c r="AD8" s="51"/>
      <c r="AE8" s="51"/>
    </row>
    <row r="9" spans="1:32" s="330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8"/>
      <c r="C9" s="348"/>
      <c r="D9" s="430"/>
      <c r="E9" s="359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8"/>
      <c r="H9" s="358" t="str">
        <f>IF(AND($A$9="Тип доверенности/получателя при получении в адресе перегруза:",$D$9="Разовая доверенность"),"Введите ФИО","")</f>
        <v/>
      </c>
      <c r="I9" s="359"/>
      <c r="J9" s="3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9"/>
      <c r="L9" s="359"/>
      <c r="M9" s="359"/>
      <c r="N9" s="328"/>
      <c r="P9" s="26" t="s">
        <v>20</v>
      </c>
      <c r="Q9" s="414"/>
      <c r="R9" s="415"/>
      <c r="T9" s="348"/>
      <c r="U9" s="445"/>
      <c r="V9" s="486"/>
      <c r="W9" s="487"/>
      <c r="X9" s="43"/>
      <c r="Y9" s="43"/>
      <c r="Z9" s="43"/>
      <c r="AA9" s="43"/>
      <c r="AB9" s="51"/>
      <c r="AC9" s="51"/>
      <c r="AD9" s="51"/>
      <c r="AE9" s="51"/>
    </row>
    <row r="10" spans="1:32" s="330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8"/>
      <c r="C10" s="348"/>
      <c r="D10" s="430"/>
      <c r="E10" s="359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8"/>
      <c r="H10" s="477" t="str">
        <f>IFERROR(VLOOKUP($D$10,Proxy,2,FALSE),"")</f>
        <v/>
      </c>
      <c r="I10" s="348"/>
      <c r="J10" s="348"/>
      <c r="K10" s="348"/>
      <c r="L10" s="348"/>
      <c r="M10" s="348"/>
      <c r="N10" s="329"/>
      <c r="P10" s="26" t="s">
        <v>21</v>
      </c>
      <c r="Q10" s="450"/>
      <c r="R10" s="451"/>
      <c r="U10" s="24" t="s">
        <v>22</v>
      </c>
      <c r="V10" s="373" t="s">
        <v>23</v>
      </c>
      <c r="W10" s="374"/>
      <c r="X10" s="44"/>
      <c r="Y10" s="44"/>
      <c r="Z10" s="44"/>
      <c r="AA10" s="44"/>
      <c r="AB10" s="51"/>
      <c r="AC10" s="51"/>
      <c r="AD10" s="51"/>
      <c r="AE10" s="51"/>
    </row>
    <row r="11" spans="1:32" s="33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8"/>
      <c r="R11" s="419"/>
      <c r="U11" s="24" t="s">
        <v>26</v>
      </c>
      <c r="V11" s="510" t="s">
        <v>27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30" customFormat="1" ht="18.600000000000001" customHeight="1" x14ac:dyDescent="0.2">
      <c r="A12" s="442" t="s">
        <v>28</v>
      </c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M12" s="379"/>
      <c r="N12" s="65"/>
      <c r="P12" s="24" t="s">
        <v>29</v>
      </c>
      <c r="Q12" s="426"/>
      <c r="R12" s="383"/>
      <c r="S12" s="23"/>
      <c r="U12" s="24"/>
      <c r="V12" s="365"/>
      <c r="W12" s="348"/>
      <c r="AB12" s="51"/>
      <c r="AC12" s="51"/>
      <c r="AD12" s="51"/>
      <c r="AE12" s="51"/>
    </row>
    <row r="13" spans="1:32" s="330" customFormat="1" ht="23.25" customHeight="1" x14ac:dyDescent="0.2">
      <c r="A13" s="442" t="s">
        <v>30</v>
      </c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9"/>
      <c r="N13" s="65"/>
      <c r="O13" s="26"/>
      <c r="P13" s="26" t="s">
        <v>31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30" customFormat="1" ht="18.600000000000001" customHeight="1" x14ac:dyDescent="0.2">
      <c r="A14" s="442" t="s">
        <v>32</v>
      </c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30" customFormat="1" ht="22.5" customHeight="1" x14ac:dyDescent="0.2">
      <c r="A15" s="458" t="s">
        <v>33</v>
      </c>
      <c r="B15" s="378"/>
      <c r="C15" s="378"/>
      <c r="D15" s="378"/>
      <c r="E15" s="378"/>
      <c r="F15" s="378"/>
      <c r="G15" s="378"/>
      <c r="H15" s="378"/>
      <c r="I15" s="378"/>
      <c r="J15" s="378"/>
      <c r="K15" s="378"/>
      <c r="L15" s="378"/>
      <c r="M15" s="379"/>
      <c r="N15" s="66"/>
      <c r="P15" s="436" t="s">
        <v>34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7"/>
      <c r="Q16" s="437"/>
      <c r="R16" s="437"/>
      <c r="S16" s="437"/>
      <c r="T16" s="4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1" t="s">
        <v>35</v>
      </c>
      <c r="B17" s="371" t="s">
        <v>36</v>
      </c>
      <c r="C17" s="429" t="s">
        <v>37</v>
      </c>
      <c r="D17" s="371" t="s">
        <v>38</v>
      </c>
      <c r="E17" s="405"/>
      <c r="F17" s="371" t="s">
        <v>39</v>
      </c>
      <c r="G17" s="371" t="s">
        <v>40</v>
      </c>
      <c r="H17" s="371" t="s">
        <v>41</v>
      </c>
      <c r="I17" s="371" t="s">
        <v>42</v>
      </c>
      <c r="J17" s="371" t="s">
        <v>43</v>
      </c>
      <c r="K17" s="371" t="s">
        <v>44</v>
      </c>
      <c r="L17" s="371" t="s">
        <v>45</v>
      </c>
      <c r="M17" s="371" t="s">
        <v>46</v>
      </c>
      <c r="N17" s="371" t="s">
        <v>47</v>
      </c>
      <c r="O17" s="371" t="s">
        <v>48</v>
      </c>
      <c r="P17" s="371" t="s">
        <v>49</v>
      </c>
      <c r="Q17" s="404"/>
      <c r="R17" s="404"/>
      <c r="S17" s="404"/>
      <c r="T17" s="405"/>
      <c r="U17" s="550" t="s">
        <v>50</v>
      </c>
      <c r="V17" s="379"/>
      <c r="W17" s="371" t="s">
        <v>51</v>
      </c>
      <c r="X17" s="371" t="s">
        <v>52</v>
      </c>
      <c r="Y17" s="551" t="s">
        <v>53</v>
      </c>
      <c r="Z17" s="494" t="s">
        <v>54</v>
      </c>
      <c r="AA17" s="475" t="s">
        <v>55</v>
      </c>
      <c r="AB17" s="475" t="s">
        <v>56</v>
      </c>
      <c r="AC17" s="475" t="s">
        <v>57</v>
      </c>
      <c r="AD17" s="475" t="s">
        <v>58</v>
      </c>
      <c r="AE17" s="526"/>
      <c r="AF17" s="527"/>
      <c r="AG17" s="69"/>
      <c r="BD17" s="68" t="s">
        <v>59</v>
      </c>
    </row>
    <row r="18" spans="1:68" ht="14.25" customHeight="1" x14ac:dyDescent="0.2">
      <c r="A18" s="372"/>
      <c r="B18" s="372"/>
      <c r="C18" s="372"/>
      <c r="D18" s="406"/>
      <c r="E18" s="408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406"/>
      <c r="Q18" s="407"/>
      <c r="R18" s="407"/>
      <c r="S18" s="407"/>
      <c r="T18" s="408"/>
      <c r="U18" s="70" t="s">
        <v>60</v>
      </c>
      <c r="V18" s="70" t="s">
        <v>61</v>
      </c>
      <c r="W18" s="372"/>
      <c r="X18" s="372"/>
      <c r="Y18" s="552"/>
      <c r="Z18" s="495"/>
      <c r="AA18" s="476"/>
      <c r="AB18" s="476"/>
      <c r="AC18" s="476"/>
      <c r="AD18" s="528"/>
      <c r="AE18" s="529"/>
      <c r="AF18" s="530"/>
      <c r="AG18" s="69"/>
      <c r="BD18" s="68"/>
    </row>
    <row r="19" spans="1:68" ht="27.75" customHeight="1" x14ac:dyDescent="0.2">
      <c r="A19" s="369" t="s">
        <v>62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48"/>
      <c r="AB19" s="48"/>
      <c r="AC19" s="48"/>
    </row>
    <row r="20" spans="1:68" ht="16.5" customHeight="1" x14ac:dyDescent="0.25">
      <c r="A20" s="352" t="s">
        <v>62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31"/>
      <c r="AB20" s="331"/>
      <c r="AC20" s="331"/>
    </row>
    <row r="21" spans="1:68" ht="14.25" customHeight="1" x14ac:dyDescent="0.25">
      <c r="A21" s="351" t="s">
        <v>63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32"/>
      <c r="AB21" s="332"/>
      <c r="AC21" s="33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345">
        <v>4607111035752</v>
      </c>
      <c r="E22" s="346"/>
      <c r="F22" s="335">
        <v>0.43</v>
      </c>
      <c r="G22" s="32">
        <v>16</v>
      </c>
      <c r="H22" s="335">
        <v>6.88</v>
      </c>
      <c r="I22" s="33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9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1"/>
      <c r="R22" s="341"/>
      <c r="S22" s="341"/>
      <c r="T22" s="342"/>
      <c r="U22" s="34"/>
      <c r="V22" s="34"/>
      <c r="W22" s="35" t="s">
        <v>69</v>
      </c>
      <c r="X22" s="336">
        <v>0</v>
      </c>
      <c r="Y22" s="33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47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9"/>
      <c r="P23" s="353" t="s">
        <v>72</v>
      </c>
      <c r="Q23" s="354"/>
      <c r="R23" s="354"/>
      <c r="S23" s="354"/>
      <c r="T23" s="354"/>
      <c r="U23" s="354"/>
      <c r="V23" s="355"/>
      <c r="W23" s="37" t="s">
        <v>69</v>
      </c>
      <c r="X23" s="338">
        <f>IFERROR(SUM(X22:X22),"0")</f>
        <v>0</v>
      </c>
      <c r="Y23" s="338">
        <f>IFERROR(SUM(Y22:Y22),"0")</f>
        <v>0</v>
      </c>
      <c r="Z23" s="338">
        <f>IFERROR(IF(Z22="",0,Z22),"0")</f>
        <v>0</v>
      </c>
      <c r="AA23" s="339"/>
      <c r="AB23" s="339"/>
      <c r="AC23" s="339"/>
    </row>
    <row r="24" spans="1:68" x14ac:dyDescent="0.2">
      <c r="A24" s="348"/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9"/>
      <c r="P24" s="353" t="s">
        <v>72</v>
      </c>
      <c r="Q24" s="354"/>
      <c r="R24" s="354"/>
      <c r="S24" s="354"/>
      <c r="T24" s="354"/>
      <c r="U24" s="354"/>
      <c r="V24" s="355"/>
      <c r="W24" s="37" t="s">
        <v>73</v>
      </c>
      <c r="X24" s="338">
        <f>IFERROR(SUMPRODUCT(X22:X22*H22:H22),"0")</f>
        <v>0</v>
      </c>
      <c r="Y24" s="338">
        <f>IFERROR(SUMPRODUCT(Y22:Y22*H22:H22),"0")</f>
        <v>0</v>
      </c>
      <c r="Z24" s="37"/>
      <c r="AA24" s="339"/>
      <c r="AB24" s="339"/>
      <c r="AC24" s="339"/>
    </row>
    <row r="25" spans="1:68" ht="27.75" customHeight="1" x14ac:dyDescent="0.2">
      <c r="A25" s="369" t="s">
        <v>74</v>
      </c>
      <c r="B25" s="370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48"/>
      <c r="AB25" s="48"/>
      <c r="AC25" s="48"/>
    </row>
    <row r="26" spans="1:68" ht="16.5" customHeight="1" x14ac:dyDescent="0.25">
      <c r="A26" s="352" t="s">
        <v>75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31"/>
      <c r="AB26" s="331"/>
      <c r="AC26" s="331"/>
    </row>
    <row r="27" spans="1:68" ht="14.25" customHeight="1" x14ac:dyDescent="0.25">
      <c r="A27" s="351" t="s">
        <v>76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32"/>
      <c r="AB27" s="332"/>
      <c r="AC27" s="332"/>
    </row>
    <row r="28" spans="1:68" ht="27" customHeight="1" x14ac:dyDescent="0.25">
      <c r="A28" s="54" t="s">
        <v>77</v>
      </c>
      <c r="B28" s="54" t="s">
        <v>78</v>
      </c>
      <c r="C28" s="31">
        <v>4301132186</v>
      </c>
      <c r="D28" s="345">
        <v>4607111036520</v>
      </c>
      <c r="E28" s="346"/>
      <c r="F28" s="335">
        <v>0.25</v>
      </c>
      <c r="G28" s="32">
        <v>6</v>
      </c>
      <c r="H28" s="335">
        <v>1.5</v>
      </c>
      <c r="I28" s="335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66" t="s">
        <v>80</v>
      </c>
      <c r="Q28" s="341"/>
      <c r="R28" s="341"/>
      <c r="S28" s="341"/>
      <c r="T28" s="342"/>
      <c r="U28" s="34"/>
      <c r="V28" s="34"/>
      <c r="W28" s="35" t="s">
        <v>69</v>
      </c>
      <c r="X28" s="336">
        <v>0</v>
      </c>
      <c r="Y28" s="337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45">
        <v>4607111036537</v>
      </c>
      <c r="E29" s="346"/>
      <c r="F29" s="335">
        <v>0.25</v>
      </c>
      <c r="G29" s="32">
        <v>6</v>
      </c>
      <c r="H29" s="335">
        <v>1.5</v>
      </c>
      <c r="I29" s="335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386" t="s">
        <v>85</v>
      </c>
      <c r="Q29" s="341"/>
      <c r="R29" s="341"/>
      <c r="S29" s="341"/>
      <c r="T29" s="342"/>
      <c r="U29" s="34"/>
      <c r="V29" s="34"/>
      <c r="W29" s="35" t="s">
        <v>69</v>
      </c>
      <c r="X29" s="336">
        <v>84</v>
      </c>
      <c r="Y29" s="337">
        <f>IFERROR(IF(X29="","",X29),"")</f>
        <v>84</v>
      </c>
      <c r="Z29" s="36">
        <f>IFERROR(IF(X29="","",X29*0.00941),"")</f>
        <v>0.79044000000000003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>IFERROR(X29*I29,"0")</f>
        <v>161.43119999999999</v>
      </c>
      <c r="BN29" s="67">
        <f>IFERROR(Y29*I29,"0")</f>
        <v>161.43119999999999</v>
      </c>
      <c r="BO29" s="67">
        <f>IFERROR(X29/J29,"0")</f>
        <v>0.6</v>
      </c>
      <c r="BP29" s="67">
        <f>IFERROR(Y29/J29,"0")</f>
        <v>0.6</v>
      </c>
    </row>
    <row r="30" spans="1:68" ht="27" customHeight="1" x14ac:dyDescent="0.25">
      <c r="A30" s="54" t="s">
        <v>86</v>
      </c>
      <c r="B30" s="54" t="s">
        <v>87</v>
      </c>
      <c r="C30" s="31">
        <v>4301132184</v>
      </c>
      <c r="D30" s="345">
        <v>4607111036599</v>
      </c>
      <c r="E30" s="346"/>
      <c r="F30" s="335">
        <v>0.25</v>
      </c>
      <c r="G30" s="32">
        <v>6</v>
      </c>
      <c r="H30" s="335">
        <v>1.5</v>
      </c>
      <c r="I30" s="335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68" t="s">
        <v>88</v>
      </c>
      <c r="Q30" s="341"/>
      <c r="R30" s="341"/>
      <c r="S30" s="341"/>
      <c r="T30" s="342"/>
      <c r="U30" s="34"/>
      <c r="V30" s="34"/>
      <c r="W30" s="35" t="s">
        <v>69</v>
      </c>
      <c r="X30" s="336">
        <v>0</v>
      </c>
      <c r="Y30" s="337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4301132183</v>
      </c>
      <c r="D31" s="345">
        <v>4607111036605</v>
      </c>
      <c r="E31" s="346"/>
      <c r="F31" s="335">
        <v>0.25</v>
      </c>
      <c r="G31" s="32">
        <v>6</v>
      </c>
      <c r="H31" s="335">
        <v>1.5</v>
      </c>
      <c r="I31" s="335">
        <v>1.9218</v>
      </c>
      <c r="J31" s="32">
        <v>140</v>
      </c>
      <c r="K31" s="32" t="s">
        <v>79</v>
      </c>
      <c r="L31" s="32" t="s">
        <v>67</v>
      </c>
      <c r="M31" s="33" t="s">
        <v>68</v>
      </c>
      <c r="N31" s="33"/>
      <c r="O31" s="32">
        <v>365</v>
      </c>
      <c r="P31" s="393" t="s">
        <v>91</v>
      </c>
      <c r="Q31" s="341"/>
      <c r="R31" s="341"/>
      <c r="S31" s="341"/>
      <c r="T31" s="342"/>
      <c r="U31" s="34"/>
      <c r="V31" s="34"/>
      <c r="W31" s="35" t="s">
        <v>69</v>
      </c>
      <c r="X31" s="336">
        <v>0</v>
      </c>
      <c r="Y31" s="337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81</v>
      </c>
      <c r="AG31" s="67"/>
      <c r="AJ31" s="71" t="s">
        <v>71</v>
      </c>
      <c r="AK31" s="71">
        <v>1</v>
      </c>
      <c r="BB31" s="81" t="s">
        <v>82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47"/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9"/>
      <c r="P32" s="353" t="s">
        <v>72</v>
      </c>
      <c r="Q32" s="354"/>
      <c r="R32" s="354"/>
      <c r="S32" s="354"/>
      <c r="T32" s="354"/>
      <c r="U32" s="354"/>
      <c r="V32" s="355"/>
      <c r="W32" s="37" t="s">
        <v>69</v>
      </c>
      <c r="X32" s="338">
        <f>IFERROR(SUM(X28:X31),"0")</f>
        <v>84</v>
      </c>
      <c r="Y32" s="338">
        <f>IFERROR(SUM(Y28:Y31),"0")</f>
        <v>84</v>
      </c>
      <c r="Z32" s="338">
        <f>IFERROR(IF(Z28="",0,Z28),"0")+IFERROR(IF(Z29="",0,Z29),"0")+IFERROR(IF(Z30="",0,Z30),"0")+IFERROR(IF(Z31="",0,Z31),"0")</f>
        <v>0.79044000000000003</v>
      </c>
      <c r="AA32" s="339"/>
      <c r="AB32" s="339"/>
      <c r="AC32" s="339"/>
    </row>
    <row r="33" spans="1:68" x14ac:dyDescent="0.2">
      <c r="A33" s="348"/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9"/>
      <c r="P33" s="353" t="s">
        <v>72</v>
      </c>
      <c r="Q33" s="354"/>
      <c r="R33" s="354"/>
      <c r="S33" s="354"/>
      <c r="T33" s="354"/>
      <c r="U33" s="354"/>
      <c r="V33" s="355"/>
      <c r="W33" s="37" t="s">
        <v>73</v>
      </c>
      <c r="X33" s="338">
        <f>IFERROR(SUMPRODUCT(X28:X31*H28:H31),"0")</f>
        <v>126</v>
      </c>
      <c r="Y33" s="338">
        <f>IFERROR(SUMPRODUCT(Y28:Y31*H28:H31),"0")</f>
        <v>126</v>
      </c>
      <c r="Z33" s="37"/>
      <c r="AA33" s="339"/>
      <c r="AB33" s="339"/>
      <c r="AC33" s="339"/>
    </row>
    <row r="34" spans="1:68" ht="16.5" customHeight="1" x14ac:dyDescent="0.25">
      <c r="A34" s="352" t="s">
        <v>92</v>
      </c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31"/>
      <c r="AB34" s="331"/>
      <c r="AC34" s="331"/>
    </row>
    <row r="35" spans="1:68" ht="14.25" customHeight="1" x14ac:dyDescent="0.25">
      <c r="A35" s="351" t="s">
        <v>63</v>
      </c>
      <c r="B35" s="348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32"/>
      <c r="AB35" s="332"/>
      <c r="AC35" s="332"/>
    </row>
    <row r="36" spans="1:68" ht="27" customHeight="1" x14ac:dyDescent="0.25">
      <c r="A36" s="54" t="s">
        <v>93</v>
      </c>
      <c r="B36" s="54" t="s">
        <v>94</v>
      </c>
      <c r="C36" s="31">
        <v>4301071090</v>
      </c>
      <c r="D36" s="345">
        <v>4620207490075</v>
      </c>
      <c r="E36" s="346"/>
      <c r="F36" s="335">
        <v>0.7</v>
      </c>
      <c r="G36" s="32">
        <v>8</v>
      </c>
      <c r="H36" s="335">
        <v>5.6</v>
      </c>
      <c r="I36" s="335">
        <v>5.87</v>
      </c>
      <c r="J36" s="32">
        <v>84</v>
      </c>
      <c r="K36" s="32" t="s">
        <v>66</v>
      </c>
      <c r="L36" s="32" t="s">
        <v>67</v>
      </c>
      <c r="M36" s="33" t="s">
        <v>68</v>
      </c>
      <c r="N36" s="33"/>
      <c r="O36" s="32">
        <v>180</v>
      </c>
      <c r="P36" s="518" t="s">
        <v>95</v>
      </c>
      <c r="Q36" s="341"/>
      <c r="R36" s="341"/>
      <c r="S36" s="341"/>
      <c r="T36" s="342"/>
      <c r="U36" s="34"/>
      <c r="V36" s="34"/>
      <c r="W36" s="35" t="s">
        <v>69</v>
      </c>
      <c r="X36" s="336">
        <v>0</v>
      </c>
      <c r="Y36" s="337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71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4301071092</v>
      </c>
      <c r="D37" s="345">
        <v>4620207490174</v>
      </c>
      <c r="E37" s="346"/>
      <c r="F37" s="335">
        <v>0.7</v>
      </c>
      <c r="G37" s="32">
        <v>8</v>
      </c>
      <c r="H37" s="335">
        <v>5.6</v>
      </c>
      <c r="I37" s="335">
        <v>5.87</v>
      </c>
      <c r="J37" s="32">
        <v>84</v>
      </c>
      <c r="K37" s="32" t="s">
        <v>66</v>
      </c>
      <c r="L37" s="32" t="s">
        <v>67</v>
      </c>
      <c r="M37" s="33" t="s">
        <v>68</v>
      </c>
      <c r="N37" s="33"/>
      <c r="O37" s="32">
        <v>180</v>
      </c>
      <c r="P37" s="461" t="s">
        <v>99</v>
      </c>
      <c r="Q37" s="341"/>
      <c r="R37" s="341"/>
      <c r="S37" s="341"/>
      <c r="T37" s="342"/>
      <c r="U37" s="34"/>
      <c r="V37" s="34"/>
      <c r="W37" s="35" t="s">
        <v>69</v>
      </c>
      <c r="X37" s="336">
        <v>0</v>
      </c>
      <c r="Y37" s="337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71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4301071091</v>
      </c>
      <c r="D38" s="345">
        <v>4620207490044</v>
      </c>
      <c r="E38" s="346"/>
      <c r="F38" s="335">
        <v>0.7</v>
      </c>
      <c r="G38" s="32">
        <v>8</v>
      </c>
      <c r="H38" s="335">
        <v>5.6</v>
      </c>
      <c r="I38" s="335">
        <v>5.87</v>
      </c>
      <c r="J38" s="32">
        <v>84</v>
      </c>
      <c r="K38" s="32" t="s">
        <v>66</v>
      </c>
      <c r="L38" s="32" t="s">
        <v>67</v>
      </c>
      <c r="M38" s="33" t="s">
        <v>68</v>
      </c>
      <c r="N38" s="33"/>
      <c r="O38" s="32">
        <v>180</v>
      </c>
      <c r="P38" s="488" t="s">
        <v>103</v>
      </c>
      <c r="Q38" s="341"/>
      <c r="R38" s="341"/>
      <c r="S38" s="341"/>
      <c r="T38" s="342"/>
      <c r="U38" s="34"/>
      <c r="V38" s="34"/>
      <c r="W38" s="35" t="s">
        <v>69</v>
      </c>
      <c r="X38" s="336">
        <v>0</v>
      </c>
      <c r="Y38" s="337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104</v>
      </c>
      <c r="AG38" s="67"/>
      <c r="AJ38" s="71" t="s">
        <v>71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47"/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9"/>
      <c r="P39" s="353" t="s">
        <v>72</v>
      </c>
      <c r="Q39" s="354"/>
      <c r="R39" s="354"/>
      <c r="S39" s="354"/>
      <c r="T39" s="354"/>
      <c r="U39" s="354"/>
      <c r="V39" s="355"/>
      <c r="W39" s="37" t="s">
        <v>69</v>
      </c>
      <c r="X39" s="338">
        <f>IFERROR(SUM(X36:X38),"0")</f>
        <v>0</v>
      </c>
      <c r="Y39" s="338">
        <f>IFERROR(SUM(Y36:Y38),"0")</f>
        <v>0</v>
      </c>
      <c r="Z39" s="338">
        <f>IFERROR(IF(Z36="",0,Z36),"0")+IFERROR(IF(Z37="",0,Z37),"0")+IFERROR(IF(Z38="",0,Z38),"0")</f>
        <v>0</v>
      </c>
      <c r="AA39" s="339"/>
      <c r="AB39" s="339"/>
      <c r="AC39" s="339"/>
    </row>
    <row r="40" spans="1:68" x14ac:dyDescent="0.2">
      <c r="A40" s="348"/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9"/>
      <c r="P40" s="353" t="s">
        <v>72</v>
      </c>
      <c r="Q40" s="354"/>
      <c r="R40" s="354"/>
      <c r="S40" s="354"/>
      <c r="T40" s="354"/>
      <c r="U40" s="354"/>
      <c r="V40" s="355"/>
      <c r="W40" s="37" t="s">
        <v>73</v>
      </c>
      <c r="X40" s="338">
        <f>IFERROR(SUMPRODUCT(X36:X38*H36:H38),"0")</f>
        <v>0</v>
      </c>
      <c r="Y40" s="338">
        <f>IFERROR(SUMPRODUCT(Y36:Y38*H36:H38),"0")</f>
        <v>0</v>
      </c>
      <c r="Z40" s="37"/>
      <c r="AA40" s="339"/>
      <c r="AB40" s="339"/>
      <c r="AC40" s="339"/>
    </row>
    <row r="41" spans="1:68" ht="16.5" customHeight="1" x14ac:dyDescent="0.25">
      <c r="A41" s="352" t="s">
        <v>105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31"/>
      <c r="AB41" s="331"/>
      <c r="AC41" s="331"/>
    </row>
    <row r="42" spans="1:68" ht="14.25" customHeight="1" x14ac:dyDescent="0.25">
      <c r="A42" s="351" t="s">
        <v>63</v>
      </c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32"/>
      <c r="AB42" s="332"/>
      <c r="AC42" s="332"/>
    </row>
    <row r="43" spans="1:68" ht="27" customHeight="1" x14ac:dyDescent="0.25">
      <c r="A43" s="54" t="s">
        <v>106</v>
      </c>
      <c r="B43" s="54" t="s">
        <v>107</v>
      </c>
      <c r="C43" s="31">
        <v>4301071032</v>
      </c>
      <c r="D43" s="345">
        <v>4607111038999</v>
      </c>
      <c r="E43" s="346"/>
      <c r="F43" s="335">
        <v>0.4</v>
      </c>
      <c r="G43" s="32">
        <v>16</v>
      </c>
      <c r="H43" s="335">
        <v>6.4</v>
      </c>
      <c r="I43" s="335">
        <v>6.7195999999999998</v>
      </c>
      <c r="J43" s="32">
        <v>84</v>
      </c>
      <c r="K43" s="32" t="s">
        <v>66</v>
      </c>
      <c r="L43" s="32" t="s">
        <v>108</v>
      </c>
      <c r="M43" s="33" t="s">
        <v>68</v>
      </c>
      <c r="N43" s="33"/>
      <c r="O43" s="32">
        <v>180</v>
      </c>
      <c r="P43" s="44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1"/>
      <c r="R43" s="341"/>
      <c r="S43" s="341"/>
      <c r="T43" s="342"/>
      <c r="U43" s="34"/>
      <c r="V43" s="34"/>
      <c r="W43" s="35" t="s">
        <v>69</v>
      </c>
      <c r="X43" s="336">
        <v>0</v>
      </c>
      <c r="Y43" s="337">
        <f t="shared" ref="Y43:Y50" si="0">IFERROR(IF(X43="","",X43),"")</f>
        <v>0</v>
      </c>
      <c r="Z43" s="36">
        <f t="shared" ref="Z43:Z50" si="1">IFERROR(IF(X43="","",X43*0.0155),"")</f>
        <v>0</v>
      </c>
      <c r="AA43" s="56"/>
      <c r="AB43" s="57"/>
      <c r="AC43" s="88" t="s">
        <v>109</v>
      </c>
      <c r="AG43" s="67"/>
      <c r="AJ43" s="71" t="s">
        <v>110</v>
      </c>
      <c r="AK43" s="71">
        <v>12</v>
      </c>
      <c r="BB43" s="89" t="s">
        <v>1</v>
      </c>
      <c r="BM43" s="67">
        <f t="shared" ref="BM43:BM50" si="2">IFERROR(X43*I43,"0")</f>
        <v>0</v>
      </c>
      <c r="BN43" s="67">
        <f t="shared" ref="BN43:BN50" si="3">IFERROR(Y43*I43,"0")</f>
        <v>0</v>
      </c>
      <c r="BO43" s="67">
        <f t="shared" ref="BO43:BO50" si="4">IFERROR(X43/J43,"0")</f>
        <v>0</v>
      </c>
      <c r="BP43" s="67">
        <f t="shared" ref="BP43:BP50" si="5">IFERROR(Y43/J43,"0")</f>
        <v>0</v>
      </c>
    </row>
    <row r="44" spans="1:68" ht="27" customHeight="1" x14ac:dyDescent="0.25">
      <c r="A44" s="54" t="s">
        <v>111</v>
      </c>
      <c r="B44" s="54" t="s">
        <v>112</v>
      </c>
      <c r="C44" s="31">
        <v>4301071044</v>
      </c>
      <c r="D44" s="345">
        <v>4607111039385</v>
      </c>
      <c r="E44" s="346"/>
      <c r="F44" s="335">
        <v>0.7</v>
      </c>
      <c r="G44" s="32">
        <v>10</v>
      </c>
      <c r="H44" s="335">
        <v>7</v>
      </c>
      <c r="I44" s="335">
        <v>7.3</v>
      </c>
      <c r="J44" s="32">
        <v>84</v>
      </c>
      <c r="K44" s="32" t="s">
        <v>66</v>
      </c>
      <c r="L44" s="32" t="s">
        <v>113</v>
      </c>
      <c r="M44" s="33" t="s">
        <v>68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41"/>
      <c r="R44" s="341"/>
      <c r="S44" s="341"/>
      <c r="T44" s="342"/>
      <c r="U44" s="34"/>
      <c r="V44" s="34"/>
      <c r="W44" s="35" t="s">
        <v>69</v>
      </c>
      <c r="X44" s="336">
        <v>24</v>
      </c>
      <c r="Y44" s="337">
        <f t="shared" si="0"/>
        <v>24</v>
      </c>
      <c r="Z44" s="36">
        <f t="shared" si="1"/>
        <v>0.372</v>
      </c>
      <c r="AA44" s="56"/>
      <c r="AB44" s="57"/>
      <c r="AC44" s="90" t="s">
        <v>109</v>
      </c>
      <c r="AG44" s="67"/>
      <c r="AJ44" s="71" t="s">
        <v>114</v>
      </c>
      <c r="AK44" s="71">
        <v>84</v>
      </c>
      <c r="BB44" s="91" t="s">
        <v>1</v>
      </c>
      <c r="BM44" s="67">
        <f t="shared" si="2"/>
        <v>175.2</v>
      </c>
      <c r="BN44" s="67">
        <f t="shared" si="3"/>
        <v>175.2</v>
      </c>
      <c r="BO44" s="67">
        <f t="shared" si="4"/>
        <v>0.2857142857142857</v>
      </c>
      <c r="BP44" s="67">
        <f t="shared" si="5"/>
        <v>0.2857142857142857</v>
      </c>
    </row>
    <row r="45" spans="1:68" ht="27" customHeight="1" x14ac:dyDescent="0.25">
      <c r="A45" s="54" t="s">
        <v>115</v>
      </c>
      <c r="B45" s="54" t="s">
        <v>116</v>
      </c>
      <c r="C45" s="31">
        <v>4301070972</v>
      </c>
      <c r="D45" s="345">
        <v>4607111037183</v>
      </c>
      <c r="E45" s="346"/>
      <c r="F45" s="335">
        <v>0.9</v>
      </c>
      <c r="G45" s="32">
        <v>8</v>
      </c>
      <c r="H45" s="335">
        <v>7.2</v>
      </c>
      <c r="I45" s="335">
        <v>7.4859999999999998</v>
      </c>
      <c r="J45" s="32">
        <v>84</v>
      </c>
      <c r="K45" s="32" t="s">
        <v>66</v>
      </c>
      <c r="L45" s="32" t="s">
        <v>113</v>
      </c>
      <c r="M45" s="33" t="s">
        <v>68</v>
      </c>
      <c r="N45" s="33"/>
      <c r="O45" s="32">
        <v>180</v>
      </c>
      <c r="P45" s="481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5" s="341"/>
      <c r="R45" s="341"/>
      <c r="S45" s="341"/>
      <c r="T45" s="342"/>
      <c r="U45" s="34"/>
      <c r="V45" s="34"/>
      <c r="W45" s="35" t="s">
        <v>69</v>
      </c>
      <c r="X45" s="336">
        <v>0</v>
      </c>
      <c r="Y45" s="337">
        <f t="shared" si="0"/>
        <v>0</v>
      </c>
      <c r="Z45" s="36">
        <f t="shared" si="1"/>
        <v>0</v>
      </c>
      <c r="AA45" s="56"/>
      <c r="AB45" s="57"/>
      <c r="AC45" s="92" t="s">
        <v>109</v>
      </c>
      <c r="AG45" s="67"/>
      <c r="AJ45" s="71" t="s">
        <v>114</v>
      </c>
      <c r="AK45" s="71">
        <v>84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117</v>
      </c>
      <c r="B46" s="54" t="s">
        <v>118</v>
      </c>
      <c r="C46" s="31">
        <v>4301071045</v>
      </c>
      <c r="D46" s="345">
        <v>4607111039392</v>
      </c>
      <c r="E46" s="346"/>
      <c r="F46" s="335">
        <v>0.4</v>
      </c>
      <c r="G46" s="32">
        <v>16</v>
      </c>
      <c r="H46" s="335">
        <v>6.4</v>
      </c>
      <c r="I46" s="335">
        <v>6.7195999999999998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50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1"/>
      <c r="R46" s="341"/>
      <c r="S46" s="341"/>
      <c r="T46" s="342"/>
      <c r="U46" s="34"/>
      <c r="V46" s="34"/>
      <c r="W46" s="35" t="s">
        <v>69</v>
      </c>
      <c r="X46" s="336">
        <v>0</v>
      </c>
      <c r="Y46" s="337">
        <f t="shared" si="0"/>
        <v>0</v>
      </c>
      <c r="Z46" s="36">
        <f t="shared" si="1"/>
        <v>0</v>
      </c>
      <c r="AA46" s="56"/>
      <c r="AB46" s="57"/>
      <c r="AC46" s="94" t="s">
        <v>119</v>
      </c>
      <c r="AG46" s="67"/>
      <c r="AJ46" s="71" t="s">
        <v>110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4301071031</v>
      </c>
      <c r="D47" s="345">
        <v>4607111038982</v>
      </c>
      <c r="E47" s="346"/>
      <c r="F47" s="335">
        <v>0.7</v>
      </c>
      <c r="G47" s="32">
        <v>10</v>
      </c>
      <c r="H47" s="335">
        <v>7</v>
      </c>
      <c r="I47" s="335">
        <v>7.2859999999999996</v>
      </c>
      <c r="J47" s="32">
        <v>84</v>
      </c>
      <c r="K47" s="32" t="s">
        <v>66</v>
      </c>
      <c r="L47" s="32" t="s">
        <v>108</v>
      </c>
      <c r="M47" s="33" t="s">
        <v>68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1"/>
      <c r="R47" s="341"/>
      <c r="S47" s="341"/>
      <c r="T47" s="342"/>
      <c r="U47" s="34"/>
      <c r="V47" s="34"/>
      <c r="W47" s="35" t="s">
        <v>69</v>
      </c>
      <c r="X47" s="336">
        <v>60</v>
      </c>
      <c r="Y47" s="337">
        <f t="shared" si="0"/>
        <v>60</v>
      </c>
      <c r="Z47" s="36">
        <f t="shared" si="1"/>
        <v>0.92999999999999994</v>
      </c>
      <c r="AA47" s="56"/>
      <c r="AB47" s="57"/>
      <c r="AC47" s="96" t="s">
        <v>119</v>
      </c>
      <c r="AG47" s="67"/>
      <c r="AJ47" s="71" t="s">
        <v>110</v>
      </c>
      <c r="AK47" s="71">
        <v>12</v>
      </c>
      <c r="BB47" s="97" t="s">
        <v>1</v>
      </c>
      <c r="BM47" s="67">
        <f t="shared" si="2"/>
        <v>437.15999999999997</v>
      </c>
      <c r="BN47" s="67">
        <f t="shared" si="3"/>
        <v>437.15999999999997</v>
      </c>
      <c r="BO47" s="67">
        <f t="shared" si="4"/>
        <v>0.7142857142857143</v>
      </c>
      <c r="BP47" s="67">
        <f t="shared" si="5"/>
        <v>0.7142857142857143</v>
      </c>
    </row>
    <row r="48" spans="1:68" ht="27" customHeight="1" x14ac:dyDescent="0.25">
      <c r="A48" s="54" t="s">
        <v>122</v>
      </c>
      <c r="B48" s="54" t="s">
        <v>123</v>
      </c>
      <c r="C48" s="31">
        <v>4301071046</v>
      </c>
      <c r="D48" s="345">
        <v>4607111039354</v>
      </c>
      <c r="E48" s="346"/>
      <c r="F48" s="335">
        <v>0.4</v>
      </c>
      <c r="G48" s="32">
        <v>16</v>
      </c>
      <c r="H48" s="335">
        <v>6.4</v>
      </c>
      <c r="I48" s="335">
        <v>6.7195999999999998</v>
      </c>
      <c r="J48" s="32">
        <v>84</v>
      </c>
      <c r="K48" s="32" t="s">
        <v>66</v>
      </c>
      <c r="L48" s="32" t="s">
        <v>108</v>
      </c>
      <c r="M48" s="33" t="s">
        <v>68</v>
      </c>
      <c r="N48" s="33"/>
      <c r="O48" s="32">
        <v>180</v>
      </c>
      <c r="P48" s="5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1"/>
      <c r="R48" s="341"/>
      <c r="S48" s="341"/>
      <c r="T48" s="342"/>
      <c r="U48" s="34"/>
      <c r="V48" s="34"/>
      <c r="W48" s="35" t="s">
        <v>69</v>
      </c>
      <c r="X48" s="336">
        <v>0</v>
      </c>
      <c r="Y48" s="337">
        <f t="shared" si="0"/>
        <v>0</v>
      </c>
      <c r="Z48" s="36">
        <f t="shared" si="1"/>
        <v>0</v>
      </c>
      <c r="AA48" s="56"/>
      <c r="AB48" s="57"/>
      <c r="AC48" s="98" t="s">
        <v>119</v>
      </c>
      <c r="AG48" s="67"/>
      <c r="AJ48" s="71" t="s">
        <v>110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5">
        <v>4607111039330</v>
      </c>
      <c r="E49" s="346"/>
      <c r="F49" s="335">
        <v>0.7</v>
      </c>
      <c r="G49" s="32">
        <v>10</v>
      </c>
      <c r="H49" s="335">
        <v>7</v>
      </c>
      <c r="I49" s="335">
        <v>7.3</v>
      </c>
      <c r="J49" s="32">
        <v>84</v>
      </c>
      <c r="K49" s="32" t="s">
        <v>66</v>
      </c>
      <c r="L49" s="32" t="s">
        <v>108</v>
      </c>
      <c r="M49" s="33" t="s">
        <v>68</v>
      </c>
      <c r="N49" s="33"/>
      <c r="O49" s="32">
        <v>180</v>
      </c>
      <c r="P49" s="5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41"/>
      <c r="R49" s="341"/>
      <c r="S49" s="341"/>
      <c r="T49" s="342"/>
      <c r="U49" s="34"/>
      <c r="V49" s="34"/>
      <c r="W49" s="35" t="s">
        <v>69</v>
      </c>
      <c r="X49" s="336">
        <v>0</v>
      </c>
      <c r="Y49" s="337">
        <f t="shared" si="0"/>
        <v>0</v>
      </c>
      <c r="Z49" s="36">
        <f t="shared" si="1"/>
        <v>0</v>
      </c>
      <c r="AA49" s="56"/>
      <c r="AB49" s="57"/>
      <c r="AC49" s="100" t="s">
        <v>119</v>
      </c>
      <c r="AG49" s="67"/>
      <c r="AJ49" s="71" t="s">
        <v>110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126</v>
      </c>
      <c r="B50" s="54" t="s">
        <v>127</v>
      </c>
      <c r="C50" s="31">
        <v>4301070968</v>
      </c>
      <c r="D50" s="345">
        <v>4607111036889</v>
      </c>
      <c r="E50" s="346"/>
      <c r="F50" s="335">
        <v>0.9</v>
      </c>
      <c r="G50" s="32">
        <v>8</v>
      </c>
      <c r="H50" s="335">
        <v>7.2</v>
      </c>
      <c r="I50" s="335">
        <v>7.4859999999999998</v>
      </c>
      <c r="J50" s="32">
        <v>84</v>
      </c>
      <c r="K50" s="32" t="s">
        <v>66</v>
      </c>
      <c r="L50" s="32" t="s">
        <v>108</v>
      </c>
      <c r="M50" s="33" t="s">
        <v>68</v>
      </c>
      <c r="N50" s="33"/>
      <c r="O50" s="32">
        <v>180</v>
      </c>
      <c r="P50" s="41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0" s="341"/>
      <c r="R50" s="341"/>
      <c r="S50" s="341"/>
      <c r="T50" s="342"/>
      <c r="U50" s="34"/>
      <c r="V50" s="34"/>
      <c r="W50" s="35" t="s">
        <v>69</v>
      </c>
      <c r="X50" s="336">
        <v>0</v>
      </c>
      <c r="Y50" s="337">
        <f t="shared" si="0"/>
        <v>0</v>
      </c>
      <c r="Z50" s="36">
        <f t="shared" si="1"/>
        <v>0</v>
      </c>
      <c r="AA50" s="56"/>
      <c r="AB50" s="57"/>
      <c r="AC50" s="102" t="s">
        <v>119</v>
      </c>
      <c r="AG50" s="67"/>
      <c r="AJ50" s="71" t="s">
        <v>110</v>
      </c>
      <c r="AK50" s="71">
        <v>12</v>
      </c>
      <c r="BB50" s="103" t="s">
        <v>1</v>
      </c>
      <c r="BM50" s="67">
        <f t="shared" si="2"/>
        <v>0</v>
      </c>
      <c r="BN50" s="67">
        <f t="shared" si="3"/>
        <v>0</v>
      </c>
      <c r="BO50" s="67">
        <f t="shared" si="4"/>
        <v>0</v>
      </c>
      <c r="BP50" s="67">
        <f t="shared" si="5"/>
        <v>0</v>
      </c>
    </row>
    <row r="51" spans="1:68" x14ac:dyDescent="0.2">
      <c r="A51" s="347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9"/>
      <c r="P51" s="353" t="s">
        <v>72</v>
      </c>
      <c r="Q51" s="354"/>
      <c r="R51" s="354"/>
      <c r="S51" s="354"/>
      <c r="T51" s="354"/>
      <c r="U51" s="354"/>
      <c r="V51" s="355"/>
      <c r="W51" s="37" t="s">
        <v>69</v>
      </c>
      <c r="X51" s="338">
        <f>IFERROR(SUM(X43:X50),"0")</f>
        <v>84</v>
      </c>
      <c r="Y51" s="338">
        <f>IFERROR(SUM(Y43:Y50),"0")</f>
        <v>84</v>
      </c>
      <c r="Z51" s="338">
        <f>IFERROR(IF(Z43="",0,Z43),"0")+IFERROR(IF(Z44="",0,Z44),"0")+IFERROR(IF(Z45="",0,Z45),"0")+IFERROR(IF(Z46="",0,Z46),"0")+IFERROR(IF(Z47="",0,Z47),"0")+IFERROR(IF(Z48="",0,Z48),"0")+IFERROR(IF(Z49="",0,Z49),"0")+IFERROR(IF(Z50="",0,Z50),"0")</f>
        <v>1.302</v>
      </c>
      <c r="AA51" s="339"/>
      <c r="AB51" s="339"/>
      <c r="AC51" s="339"/>
    </row>
    <row r="52" spans="1:68" x14ac:dyDescent="0.2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9"/>
      <c r="P52" s="353" t="s">
        <v>72</v>
      </c>
      <c r="Q52" s="354"/>
      <c r="R52" s="354"/>
      <c r="S52" s="354"/>
      <c r="T52" s="354"/>
      <c r="U52" s="354"/>
      <c r="V52" s="355"/>
      <c r="W52" s="37" t="s">
        <v>73</v>
      </c>
      <c r="X52" s="338">
        <f>IFERROR(SUMPRODUCT(X43:X50*H43:H50),"0")</f>
        <v>588</v>
      </c>
      <c r="Y52" s="338">
        <f>IFERROR(SUMPRODUCT(Y43:Y50*H43:H50),"0")</f>
        <v>588</v>
      </c>
      <c r="Z52" s="37"/>
      <c r="AA52" s="339"/>
      <c r="AB52" s="339"/>
      <c r="AC52" s="339"/>
    </row>
    <row r="53" spans="1:68" ht="16.5" customHeight="1" x14ac:dyDescent="0.25">
      <c r="A53" s="352" t="s">
        <v>128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31"/>
      <c r="AB53" s="331"/>
      <c r="AC53" s="331"/>
    </row>
    <row r="54" spans="1:68" ht="14.25" customHeight="1" x14ac:dyDescent="0.25">
      <c r="A54" s="351" t="s">
        <v>63</v>
      </c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32"/>
      <c r="AB54" s="332"/>
      <c r="AC54" s="332"/>
    </row>
    <row r="55" spans="1:68" ht="16.5" customHeight="1" x14ac:dyDescent="0.25">
      <c r="A55" s="54" t="s">
        <v>129</v>
      </c>
      <c r="B55" s="54" t="s">
        <v>130</v>
      </c>
      <c r="C55" s="31">
        <v>4301071073</v>
      </c>
      <c r="D55" s="345">
        <v>4620207490822</v>
      </c>
      <c r="E55" s="346"/>
      <c r="F55" s="335">
        <v>0.43</v>
      </c>
      <c r="G55" s="32">
        <v>8</v>
      </c>
      <c r="H55" s="335">
        <v>3.44</v>
      </c>
      <c r="I55" s="335">
        <v>3.64</v>
      </c>
      <c r="J55" s="32">
        <v>144</v>
      </c>
      <c r="K55" s="32" t="s">
        <v>66</v>
      </c>
      <c r="L55" s="32" t="s">
        <v>67</v>
      </c>
      <c r="M55" s="33" t="s">
        <v>68</v>
      </c>
      <c r="N55" s="33"/>
      <c r="O55" s="32">
        <v>365</v>
      </c>
      <c r="P55" s="424" t="s">
        <v>131</v>
      </c>
      <c r="Q55" s="341"/>
      <c r="R55" s="341"/>
      <c r="S55" s="341"/>
      <c r="T55" s="342"/>
      <c r="U55" s="34"/>
      <c r="V55" s="34"/>
      <c r="W55" s="35" t="s">
        <v>69</v>
      </c>
      <c r="X55" s="336">
        <v>0</v>
      </c>
      <c r="Y55" s="337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132</v>
      </c>
      <c r="AG55" s="67"/>
      <c r="AJ55" s="71" t="s">
        <v>71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47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9"/>
      <c r="P56" s="353" t="s">
        <v>72</v>
      </c>
      <c r="Q56" s="354"/>
      <c r="R56" s="354"/>
      <c r="S56" s="354"/>
      <c r="T56" s="354"/>
      <c r="U56" s="354"/>
      <c r="V56" s="355"/>
      <c r="W56" s="37" t="s">
        <v>69</v>
      </c>
      <c r="X56" s="338">
        <f>IFERROR(SUM(X55:X55),"0")</f>
        <v>0</v>
      </c>
      <c r="Y56" s="338">
        <f>IFERROR(SUM(Y55:Y55),"0")</f>
        <v>0</v>
      </c>
      <c r="Z56" s="338">
        <f>IFERROR(IF(Z55="",0,Z55),"0")</f>
        <v>0</v>
      </c>
      <c r="AA56" s="339"/>
      <c r="AB56" s="339"/>
      <c r="AC56" s="339"/>
    </row>
    <row r="57" spans="1:68" x14ac:dyDescent="0.2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9"/>
      <c r="P57" s="353" t="s">
        <v>72</v>
      </c>
      <c r="Q57" s="354"/>
      <c r="R57" s="354"/>
      <c r="S57" s="354"/>
      <c r="T57" s="354"/>
      <c r="U57" s="354"/>
      <c r="V57" s="355"/>
      <c r="W57" s="37" t="s">
        <v>73</v>
      </c>
      <c r="X57" s="338">
        <f>IFERROR(SUMPRODUCT(X55:X55*H55:H55),"0")</f>
        <v>0</v>
      </c>
      <c r="Y57" s="338">
        <f>IFERROR(SUMPRODUCT(Y55:Y55*H55:H55),"0")</f>
        <v>0</v>
      </c>
      <c r="Z57" s="37"/>
      <c r="AA57" s="339"/>
      <c r="AB57" s="339"/>
      <c r="AC57" s="339"/>
    </row>
    <row r="58" spans="1:68" ht="14.25" customHeight="1" x14ac:dyDescent="0.25">
      <c r="A58" s="351" t="s">
        <v>133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32"/>
      <c r="AB58" s="332"/>
      <c r="AC58" s="332"/>
    </row>
    <row r="59" spans="1:68" ht="16.5" customHeight="1" x14ac:dyDescent="0.25">
      <c r="A59" s="54" t="s">
        <v>134</v>
      </c>
      <c r="B59" s="54" t="s">
        <v>135</v>
      </c>
      <c r="C59" s="31">
        <v>4301100087</v>
      </c>
      <c r="D59" s="345">
        <v>4607111039743</v>
      </c>
      <c r="E59" s="346"/>
      <c r="F59" s="335">
        <v>0.18</v>
      </c>
      <c r="G59" s="32">
        <v>6</v>
      </c>
      <c r="H59" s="335">
        <v>1.08</v>
      </c>
      <c r="I59" s="335">
        <v>2.34</v>
      </c>
      <c r="J59" s="32">
        <v>182</v>
      </c>
      <c r="K59" s="32" t="s">
        <v>79</v>
      </c>
      <c r="L59" s="32" t="s">
        <v>67</v>
      </c>
      <c r="M59" s="33" t="s">
        <v>68</v>
      </c>
      <c r="N59" s="33"/>
      <c r="O59" s="32">
        <v>365</v>
      </c>
      <c r="P59" s="507" t="s">
        <v>136</v>
      </c>
      <c r="Q59" s="341"/>
      <c r="R59" s="341"/>
      <c r="S59" s="341"/>
      <c r="T59" s="342"/>
      <c r="U59" s="34"/>
      <c r="V59" s="34"/>
      <c r="W59" s="35" t="s">
        <v>69</v>
      </c>
      <c r="X59" s="336">
        <v>0</v>
      </c>
      <c r="Y59" s="337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137</v>
      </c>
      <c r="AG59" s="67"/>
      <c r="AJ59" s="71" t="s">
        <v>71</v>
      </c>
      <c r="AK59" s="71">
        <v>1</v>
      </c>
      <c r="BB59" s="107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347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49"/>
      <c r="P60" s="353" t="s">
        <v>72</v>
      </c>
      <c r="Q60" s="354"/>
      <c r="R60" s="354"/>
      <c r="S60" s="354"/>
      <c r="T60" s="354"/>
      <c r="U60" s="354"/>
      <c r="V60" s="355"/>
      <c r="W60" s="37" t="s">
        <v>69</v>
      </c>
      <c r="X60" s="338">
        <f>IFERROR(SUM(X59:X59),"0")</f>
        <v>0</v>
      </c>
      <c r="Y60" s="338">
        <f>IFERROR(SUM(Y59:Y59),"0")</f>
        <v>0</v>
      </c>
      <c r="Z60" s="338">
        <f>IFERROR(IF(Z59="",0,Z59),"0")</f>
        <v>0</v>
      </c>
      <c r="AA60" s="339"/>
      <c r="AB60" s="339"/>
      <c r="AC60" s="339"/>
    </row>
    <row r="61" spans="1:68" x14ac:dyDescent="0.2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9"/>
      <c r="P61" s="353" t="s">
        <v>72</v>
      </c>
      <c r="Q61" s="354"/>
      <c r="R61" s="354"/>
      <c r="S61" s="354"/>
      <c r="T61" s="354"/>
      <c r="U61" s="354"/>
      <c r="V61" s="355"/>
      <c r="W61" s="37" t="s">
        <v>73</v>
      </c>
      <c r="X61" s="338">
        <f>IFERROR(SUMPRODUCT(X59:X59*H59:H59),"0")</f>
        <v>0</v>
      </c>
      <c r="Y61" s="338">
        <f>IFERROR(SUMPRODUCT(Y59:Y59*H59:H59),"0")</f>
        <v>0</v>
      </c>
      <c r="Z61" s="37"/>
      <c r="AA61" s="339"/>
      <c r="AB61" s="339"/>
      <c r="AC61" s="339"/>
    </row>
    <row r="62" spans="1:68" ht="14.25" customHeight="1" x14ac:dyDescent="0.25">
      <c r="A62" s="351" t="s">
        <v>76</v>
      </c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348"/>
      <c r="S62" s="348"/>
      <c r="T62" s="348"/>
      <c r="U62" s="348"/>
      <c r="V62" s="348"/>
      <c r="W62" s="348"/>
      <c r="X62" s="348"/>
      <c r="Y62" s="348"/>
      <c r="Z62" s="348"/>
      <c r="AA62" s="332"/>
      <c r="AB62" s="332"/>
      <c r="AC62" s="332"/>
    </row>
    <row r="63" spans="1:68" ht="16.5" customHeight="1" x14ac:dyDescent="0.25">
      <c r="A63" s="54" t="s">
        <v>138</v>
      </c>
      <c r="B63" s="54" t="s">
        <v>139</v>
      </c>
      <c r="C63" s="31">
        <v>4301132194</v>
      </c>
      <c r="D63" s="345">
        <v>4607111039712</v>
      </c>
      <c r="E63" s="346"/>
      <c r="F63" s="335">
        <v>0.2</v>
      </c>
      <c r="G63" s="32">
        <v>6</v>
      </c>
      <c r="H63" s="335">
        <v>1.2</v>
      </c>
      <c r="I63" s="33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10" t="s">
        <v>140</v>
      </c>
      <c r="Q63" s="341"/>
      <c r="R63" s="341"/>
      <c r="S63" s="341"/>
      <c r="T63" s="342"/>
      <c r="U63" s="34"/>
      <c r="V63" s="34"/>
      <c r="W63" s="35" t="s">
        <v>69</v>
      </c>
      <c r="X63" s="336">
        <v>0</v>
      </c>
      <c r="Y63" s="337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141</v>
      </c>
      <c r="AG63" s="67"/>
      <c r="AJ63" s="71" t="s">
        <v>71</v>
      </c>
      <c r="AK63" s="71">
        <v>1</v>
      </c>
      <c r="BB63" s="109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47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9"/>
      <c r="P64" s="353" t="s">
        <v>72</v>
      </c>
      <c r="Q64" s="354"/>
      <c r="R64" s="354"/>
      <c r="S64" s="354"/>
      <c r="T64" s="354"/>
      <c r="U64" s="354"/>
      <c r="V64" s="355"/>
      <c r="W64" s="37" t="s">
        <v>69</v>
      </c>
      <c r="X64" s="338">
        <f>IFERROR(SUM(X63:X63),"0")</f>
        <v>0</v>
      </c>
      <c r="Y64" s="338">
        <f>IFERROR(SUM(Y63:Y63),"0")</f>
        <v>0</v>
      </c>
      <c r="Z64" s="338">
        <f>IFERROR(IF(Z63="",0,Z63),"0")</f>
        <v>0</v>
      </c>
      <c r="AA64" s="339"/>
      <c r="AB64" s="339"/>
      <c r="AC64" s="339"/>
    </row>
    <row r="65" spans="1:68" x14ac:dyDescent="0.2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9"/>
      <c r="P65" s="353" t="s">
        <v>72</v>
      </c>
      <c r="Q65" s="354"/>
      <c r="R65" s="354"/>
      <c r="S65" s="354"/>
      <c r="T65" s="354"/>
      <c r="U65" s="354"/>
      <c r="V65" s="355"/>
      <c r="W65" s="37" t="s">
        <v>73</v>
      </c>
      <c r="X65" s="338">
        <f>IFERROR(SUMPRODUCT(X63:X63*H63:H63),"0")</f>
        <v>0</v>
      </c>
      <c r="Y65" s="338">
        <f>IFERROR(SUMPRODUCT(Y63:Y63*H63:H63),"0")</f>
        <v>0</v>
      </c>
      <c r="Z65" s="37"/>
      <c r="AA65" s="339"/>
      <c r="AB65" s="339"/>
      <c r="AC65" s="339"/>
    </row>
    <row r="66" spans="1:68" ht="14.25" customHeight="1" x14ac:dyDescent="0.25">
      <c r="A66" s="351" t="s">
        <v>142</v>
      </c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32"/>
      <c r="AB66" s="332"/>
      <c r="AC66" s="332"/>
    </row>
    <row r="67" spans="1:68" ht="16.5" customHeight="1" x14ac:dyDescent="0.25">
      <c r="A67" s="54" t="s">
        <v>143</v>
      </c>
      <c r="B67" s="54" t="s">
        <v>144</v>
      </c>
      <c r="C67" s="31">
        <v>4301136018</v>
      </c>
      <c r="D67" s="345">
        <v>4607111037008</v>
      </c>
      <c r="E67" s="346"/>
      <c r="F67" s="335">
        <v>0.36</v>
      </c>
      <c r="G67" s="32">
        <v>4</v>
      </c>
      <c r="H67" s="335">
        <v>1.44</v>
      </c>
      <c r="I67" s="335">
        <v>1.74</v>
      </c>
      <c r="J67" s="32">
        <v>140</v>
      </c>
      <c r="K67" s="32" t="s">
        <v>79</v>
      </c>
      <c r="L67" s="32" t="s">
        <v>67</v>
      </c>
      <c r="M67" s="33" t="s">
        <v>68</v>
      </c>
      <c r="N67" s="33"/>
      <c r="O67" s="32">
        <v>365</v>
      </c>
      <c r="P67" s="53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1"/>
      <c r="R67" s="341"/>
      <c r="S67" s="341"/>
      <c r="T67" s="342"/>
      <c r="U67" s="34"/>
      <c r="V67" s="34"/>
      <c r="W67" s="35" t="s">
        <v>69</v>
      </c>
      <c r="X67" s="336">
        <v>0</v>
      </c>
      <c r="Y67" s="337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145</v>
      </c>
      <c r="AG67" s="67"/>
      <c r="AJ67" s="71" t="s">
        <v>71</v>
      </c>
      <c r="AK67" s="71">
        <v>1</v>
      </c>
      <c r="BB67" s="111" t="s">
        <v>82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47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9"/>
      <c r="P68" s="353" t="s">
        <v>72</v>
      </c>
      <c r="Q68" s="354"/>
      <c r="R68" s="354"/>
      <c r="S68" s="354"/>
      <c r="T68" s="354"/>
      <c r="U68" s="354"/>
      <c r="V68" s="355"/>
      <c r="W68" s="37" t="s">
        <v>69</v>
      </c>
      <c r="X68" s="338">
        <f>IFERROR(SUM(X67:X67),"0")</f>
        <v>0</v>
      </c>
      <c r="Y68" s="338">
        <f>IFERROR(SUM(Y67:Y67),"0")</f>
        <v>0</v>
      </c>
      <c r="Z68" s="338">
        <f>IFERROR(IF(Z67="",0,Z67),"0")</f>
        <v>0</v>
      </c>
      <c r="AA68" s="339"/>
      <c r="AB68" s="339"/>
      <c r="AC68" s="339"/>
    </row>
    <row r="69" spans="1:68" x14ac:dyDescent="0.2">
      <c r="A69" s="348"/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49"/>
      <c r="P69" s="353" t="s">
        <v>72</v>
      </c>
      <c r="Q69" s="354"/>
      <c r="R69" s="354"/>
      <c r="S69" s="354"/>
      <c r="T69" s="354"/>
      <c r="U69" s="354"/>
      <c r="V69" s="355"/>
      <c r="W69" s="37" t="s">
        <v>73</v>
      </c>
      <c r="X69" s="338">
        <f>IFERROR(SUMPRODUCT(X67:X67*H67:H67),"0")</f>
        <v>0</v>
      </c>
      <c r="Y69" s="338">
        <f>IFERROR(SUMPRODUCT(Y67:Y67*H67:H67),"0")</f>
        <v>0</v>
      </c>
      <c r="Z69" s="37"/>
      <c r="AA69" s="339"/>
      <c r="AB69" s="339"/>
      <c r="AC69" s="339"/>
    </row>
    <row r="70" spans="1:68" ht="14.25" customHeight="1" x14ac:dyDescent="0.25">
      <c r="A70" s="351" t="s">
        <v>146</v>
      </c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  <c r="AA70" s="332"/>
      <c r="AB70" s="332"/>
      <c r="AC70" s="332"/>
    </row>
    <row r="71" spans="1:68" ht="16.5" customHeight="1" x14ac:dyDescent="0.25">
      <c r="A71" s="54" t="s">
        <v>147</v>
      </c>
      <c r="B71" s="54" t="s">
        <v>148</v>
      </c>
      <c r="C71" s="31">
        <v>4301135664</v>
      </c>
      <c r="D71" s="345">
        <v>4607111039705</v>
      </c>
      <c r="E71" s="346"/>
      <c r="F71" s="335">
        <v>0.2</v>
      </c>
      <c r="G71" s="32">
        <v>6</v>
      </c>
      <c r="H71" s="335">
        <v>1.2</v>
      </c>
      <c r="I71" s="335">
        <v>1.56</v>
      </c>
      <c r="J71" s="32">
        <v>140</v>
      </c>
      <c r="K71" s="32" t="s">
        <v>79</v>
      </c>
      <c r="L71" s="32" t="s">
        <v>67</v>
      </c>
      <c r="M71" s="33" t="s">
        <v>68</v>
      </c>
      <c r="N71" s="33"/>
      <c r="O71" s="32">
        <v>365</v>
      </c>
      <c r="P71" s="556" t="s">
        <v>149</v>
      </c>
      <c r="Q71" s="341"/>
      <c r="R71" s="341"/>
      <c r="S71" s="341"/>
      <c r="T71" s="342"/>
      <c r="U71" s="34"/>
      <c r="V71" s="34"/>
      <c r="W71" s="35" t="s">
        <v>69</v>
      </c>
      <c r="X71" s="336">
        <v>0</v>
      </c>
      <c r="Y71" s="337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71</v>
      </c>
      <c r="AK71" s="71">
        <v>1</v>
      </c>
      <c r="BB71" s="113" t="s">
        <v>82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150</v>
      </c>
      <c r="B72" s="54" t="s">
        <v>151</v>
      </c>
      <c r="C72" s="31">
        <v>4301135665</v>
      </c>
      <c r="D72" s="345">
        <v>4607111039729</v>
      </c>
      <c r="E72" s="346"/>
      <c r="F72" s="335">
        <v>0.2</v>
      </c>
      <c r="G72" s="32">
        <v>6</v>
      </c>
      <c r="H72" s="335">
        <v>1.2</v>
      </c>
      <c r="I72" s="335">
        <v>1.56</v>
      </c>
      <c r="J72" s="32">
        <v>140</v>
      </c>
      <c r="K72" s="32" t="s">
        <v>79</v>
      </c>
      <c r="L72" s="32" t="s">
        <v>67</v>
      </c>
      <c r="M72" s="33" t="s">
        <v>68</v>
      </c>
      <c r="N72" s="33"/>
      <c r="O72" s="32">
        <v>365</v>
      </c>
      <c r="P72" s="538" t="s">
        <v>152</v>
      </c>
      <c r="Q72" s="341"/>
      <c r="R72" s="341"/>
      <c r="S72" s="341"/>
      <c r="T72" s="342"/>
      <c r="U72" s="34"/>
      <c r="V72" s="34"/>
      <c r="W72" s="35" t="s">
        <v>69</v>
      </c>
      <c r="X72" s="336">
        <v>0</v>
      </c>
      <c r="Y72" s="337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153</v>
      </c>
      <c r="AG72" s="67"/>
      <c r="AJ72" s="71" t="s">
        <v>71</v>
      </c>
      <c r="AK72" s="71">
        <v>1</v>
      </c>
      <c r="BB72" s="115" t="s">
        <v>82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4301135702</v>
      </c>
      <c r="D73" s="345">
        <v>4620207490228</v>
      </c>
      <c r="E73" s="346"/>
      <c r="F73" s="335">
        <v>0.2</v>
      </c>
      <c r="G73" s="32">
        <v>6</v>
      </c>
      <c r="H73" s="335">
        <v>1.2</v>
      </c>
      <c r="I73" s="335">
        <v>1.56</v>
      </c>
      <c r="J73" s="32">
        <v>140</v>
      </c>
      <c r="K73" s="32" t="s">
        <v>79</v>
      </c>
      <c r="L73" s="32" t="s">
        <v>67</v>
      </c>
      <c r="M73" s="33" t="s">
        <v>68</v>
      </c>
      <c r="N73" s="33"/>
      <c r="O73" s="32">
        <v>365</v>
      </c>
      <c r="P73" s="343" t="s">
        <v>156</v>
      </c>
      <c r="Q73" s="341"/>
      <c r="R73" s="341"/>
      <c r="S73" s="341"/>
      <c r="T73" s="342"/>
      <c r="U73" s="34"/>
      <c r="V73" s="34"/>
      <c r="W73" s="35" t="s">
        <v>69</v>
      </c>
      <c r="X73" s="336">
        <v>0</v>
      </c>
      <c r="Y73" s="337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153</v>
      </c>
      <c r="AG73" s="67"/>
      <c r="AJ73" s="71" t="s">
        <v>71</v>
      </c>
      <c r="AK73" s="71">
        <v>1</v>
      </c>
      <c r="BB73" s="117" t="s">
        <v>82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347"/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49"/>
      <c r="P74" s="353" t="s">
        <v>72</v>
      </c>
      <c r="Q74" s="354"/>
      <c r="R74" s="354"/>
      <c r="S74" s="354"/>
      <c r="T74" s="354"/>
      <c r="U74" s="354"/>
      <c r="V74" s="355"/>
      <c r="W74" s="37" t="s">
        <v>69</v>
      </c>
      <c r="X74" s="338">
        <f>IFERROR(SUM(X71:X73),"0")</f>
        <v>0</v>
      </c>
      <c r="Y74" s="338">
        <f>IFERROR(SUM(Y71:Y73),"0")</f>
        <v>0</v>
      </c>
      <c r="Z74" s="338">
        <f>IFERROR(IF(Z71="",0,Z71),"0")+IFERROR(IF(Z72="",0,Z72),"0")+IFERROR(IF(Z73="",0,Z73),"0")</f>
        <v>0</v>
      </c>
      <c r="AA74" s="339"/>
      <c r="AB74" s="339"/>
      <c r="AC74" s="339"/>
    </row>
    <row r="75" spans="1:68" x14ac:dyDescent="0.2">
      <c r="A75" s="348"/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49"/>
      <c r="P75" s="353" t="s">
        <v>72</v>
      </c>
      <c r="Q75" s="354"/>
      <c r="R75" s="354"/>
      <c r="S75" s="354"/>
      <c r="T75" s="354"/>
      <c r="U75" s="354"/>
      <c r="V75" s="355"/>
      <c r="W75" s="37" t="s">
        <v>73</v>
      </c>
      <c r="X75" s="338">
        <f>IFERROR(SUMPRODUCT(X71:X73*H71:H73),"0")</f>
        <v>0</v>
      </c>
      <c r="Y75" s="338">
        <f>IFERROR(SUMPRODUCT(Y71:Y73*H71:H73),"0")</f>
        <v>0</v>
      </c>
      <c r="Z75" s="37"/>
      <c r="AA75" s="339"/>
      <c r="AB75" s="339"/>
      <c r="AC75" s="339"/>
    </row>
    <row r="76" spans="1:68" ht="16.5" customHeight="1" x14ac:dyDescent="0.25">
      <c r="A76" s="352" t="s">
        <v>157</v>
      </c>
      <c r="B76" s="348"/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31"/>
      <c r="AB76" s="331"/>
      <c r="AC76" s="331"/>
    </row>
    <row r="77" spans="1:68" ht="14.25" customHeight="1" x14ac:dyDescent="0.25">
      <c r="A77" s="351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  <c r="AA77" s="332"/>
      <c r="AB77" s="332"/>
      <c r="AC77" s="332"/>
    </row>
    <row r="78" spans="1:68" ht="27" customHeight="1" x14ac:dyDescent="0.25">
      <c r="A78" s="54" t="s">
        <v>158</v>
      </c>
      <c r="B78" s="54" t="s">
        <v>159</v>
      </c>
      <c r="C78" s="31">
        <v>4301070977</v>
      </c>
      <c r="D78" s="345">
        <v>4607111037411</v>
      </c>
      <c r="E78" s="346"/>
      <c r="F78" s="335">
        <v>2.7</v>
      </c>
      <c r="G78" s="32">
        <v>1</v>
      </c>
      <c r="H78" s="335">
        <v>2.7</v>
      </c>
      <c r="I78" s="335">
        <v>2.8132000000000001</v>
      </c>
      <c r="J78" s="32">
        <v>234</v>
      </c>
      <c r="K78" s="32" t="s">
        <v>160</v>
      </c>
      <c r="L78" s="32" t="s">
        <v>108</v>
      </c>
      <c r="M78" s="33" t="s">
        <v>68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1"/>
      <c r="R78" s="341"/>
      <c r="S78" s="341"/>
      <c r="T78" s="342"/>
      <c r="U78" s="34"/>
      <c r="V78" s="34"/>
      <c r="W78" s="35" t="s">
        <v>69</v>
      </c>
      <c r="X78" s="336">
        <v>0</v>
      </c>
      <c r="Y78" s="337">
        <f>IFERROR(IF(X78="","",X78),"")</f>
        <v>0</v>
      </c>
      <c r="Z78" s="36">
        <f>IFERROR(IF(X78="","",X78*0.00502),"")</f>
        <v>0</v>
      </c>
      <c r="AA78" s="56"/>
      <c r="AB78" s="57"/>
      <c r="AC78" s="118" t="s">
        <v>161</v>
      </c>
      <c r="AG78" s="67"/>
      <c r="AJ78" s="71" t="s">
        <v>110</v>
      </c>
      <c r="AK78" s="71">
        <v>18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162</v>
      </c>
      <c r="B79" s="54" t="s">
        <v>163</v>
      </c>
      <c r="C79" s="31">
        <v>4301070981</v>
      </c>
      <c r="D79" s="345">
        <v>4607111036728</v>
      </c>
      <c r="E79" s="346"/>
      <c r="F79" s="335">
        <v>5</v>
      </c>
      <c r="G79" s="32">
        <v>1</v>
      </c>
      <c r="H79" s="335">
        <v>5</v>
      </c>
      <c r="I79" s="335">
        <v>5.2131999999999996</v>
      </c>
      <c r="J79" s="32">
        <v>144</v>
      </c>
      <c r="K79" s="32" t="s">
        <v>66</v>
      </c>
      <c r="L79" s="32" t="s">
        <v>113</v>
      </c>
      <c r="M79" s="33" t="s">
        <v>68</v>
      </c>
      <c r="N79" s="33"/>
      <c r="O79" s="32">
        <v>180</v>
      </c>
      <c r="P79" s="34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1"/>
      <c r="R79" s="341"/>
      <c r="S79" s="341"/>
      <c r="T79" s="342"/>
      <c r="U79" s="34"/>
      <c r="V79" s="34"/>
      <c r="W79" s="35" t="s">
        <v>69</v>
      </c>
      <c r="X79" s="336">
        <v>36</v>
      </c>
      <c r="Y79" s="337">
        <f>IFERROR(IF(X79="","",X79),"")</f>
        <v>36</v>
      </c>
      <c r="Z79" s="36">
        <f>IFERROR(IF(X79="","",X79*0.00866),"")</f>
        <v>0.31175999999999998</v>
      </c>
      <c r="AA79" s="56"/>
      <c r="AB79" s="57"/>
      <c r="AC79" s="120" t="s">
        <v>161</v>
      </c>
      <c r="AG79" s="67"/>
      <c r="AJ79" s="71" t="s">
        <v>114</v>
      </c>
      <c r="AK79" s="71">
        <v>144</v>
      </c>
      <c r="BB79" s="121" t="s">
        <v>1</v>
      </c>
      <c r="BM79" s="67">
        <f>IFERROR(X79*I79,"0")</f>
        <v>187.67519999999999</v>
      </c>
      <c r="BN79" s="67">
        <f>IFERROR(Y79*I79,"0")</f>
        <v>187.67519999999999</v>
      </c>
      <c r="BO79" s="67">
        <f>IFERROR(X79/J79,"0")</f>
        <v>0.25</v>
      </c>
      <c r="BP79" s="67">
        <f>IFERROR(Y79/J79,"0")</f>
        <v>0.25</v>
      </c>
    </row>
    <row r="80" spans="1:68" x14ac:dyDescent="0.2">
      <c r="A80" s="347"/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49"/>
      <c r="P80" s="353" t="s">
        <v>72</v>
      </c>
      <c r="Q80" s="354"/>
      <c r="R80" s="354"/>
      <c r="S80" s="354"/>
      <c r="T80" s="354"/>
      <c r="U80" s="354"/>
      <c r="V80" s="355"/>
      <c r="W80" s="37" t="s">
        <v>69</v>
      </c>
      <c r="X80" s="338">
        <f>IFERROR(SUM(X78:X79),"0")</f>
        <v>36</v>
      </c>
      <c r="Y80" s="338">
        <f>IFERROR(SUM(Y78:Y79),"0")</f>
        <v>36</v>
      </c>
      <c r="Z80" s="338">
        <f>IFERROR(IF(Z78="",0,Z78),"0")+IFERROR(IF(Z79="",0,Z79),"0")</f>
        <v>0.31175999999999998</v>
      </c>
      <c r="AA80" s="339"/>
      <c r="AB80" s="339"/>
      <c r="AC80" s="339"/>
    </row>
    <row r="81" spans="1:68" x14ac:dyDescent="0.2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9"/>
      <c r="P81" s="353" t="s">
        <v>72</v>
      </c>
      <c r="Q81" s="354"/>
      <c r="R81" s="354"/>
      <c r="S81" s="354"/>
      <c r="T81" s="354"/>
      <c r="U81" s="354"/>
      <c r="V81" s="355"/>
      <c r="W81" s="37" t="s">
        <v>73</v>
      </c>
      <c r="X81" s="338">
        <f>IFERROR(SUMPRODUCT(X78:X79*H78:H79),"0")</f>
        <v>180</v>
      </c>
      <c r="Y81" s="338">
        <f>IFERROR(SUMPRODUCT(Y78:Y79*H78:H79),"0")</f>
        <v>180</v>
      </c>
      <c r="Z81" s="37"/>
      <c r="AA81" s="339"/>
      <c r="AB81" s="339"/>
      <c r="AC81" s="339"/>
    </row>
    <row r="82" spans="1:68" ht="16.5" customHeight="1" x14ac:dyDescent="0.25">
      <c r="A82" s="352" t="s">
        <v>164</v>
      </c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31"/>
      <c r="AB82" s="331"/>
      <c r="AC82" s="331"/>
    </row>
    <row r="83" spans="1:68" ht="14.25" customHeight="1" x14ac:dyDescent="0.25">
      <c r="A83" s="351" t="s">
        <v>146</v>
      </c>
      <c r="B83" s="348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32"/>
      <c r="AB83" s="332"/>
      <c r="AC83" s="332"/>
    </row>
    <row r="84" spans="1:68" ht="27" customHeight="1" x14ac:dyDescent="0.25">
      <c r="A84" s="54" t="s">
        <v>165</v>
      </c>
      <c r="B84" s="54" t="s">
        <v>166</v>
      </c>
      <c r="C84" s="31">
        <v>4301135584</v>
      </c>
      <c r="D84" s="345">
        <v>4607111033659</v>
      </c>
      <c r="E84" s="346"/>
      <c r="F84" s="335">
        <v>0.3</v>
      </c>
      <c r="G84" s="32">
        <v>12</v>
      </c>
      <c r="H84" s="335">
        <v>3.6</v>
      </c>
      <c r="I84" s="335">
        <v>4.3036000000000003</v>
      </c>
      <c r="J84" s="32">
        <v>70</v>
      </c>
      <c r="K84" s="32" t="s">
        <v>79</v>
      </c>
      <c r="L84" s="32" t="s">
        <v>67</v>
      </c>
      <c r="M84" s="33" t="s">
        <v>68</v>
      </c>
      <c r="N84" s="33"/>
      <c r="O84" s="32">
        <v>180</v>
      </c>
      <c r="P84" s="490" t="s">
        <v>167</v>
      </c>
      <c r="Q84" s="341"/>
      <c r="R84" s="341"/>
      <c r="S84" s="341"/>
      <c r="T84" s="342"/>
      <c r="U84" s="34"/>
      <c r="V84" s="34"/>
      <c r="W84" s="35" t="s">
        <v>69</v>
      </c>
      <c r="X84" s="336">
        <v>14</v>
      </c>
      <c r="Y84" s="337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168</v>
      </c>
      <c r="AG84" s="67"/>
      <c r="AJ84" s="71" t="s">
        <v>71</v>
      </c>
      <c r="AK84" s="71">
        <v>1</v>
      </c>
      <c r="BB84" s="123" t="s">
        <v>82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47"/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9"/>
      <c r="P85" s="353" t="s">
        <v>72</v>
      </c>
      <c r="Q85" s="354"/>
      <c r="R85" s="354"/>
      <c r="S85" s="354"/>
      <c r="T85" s="354"/>
      <c r="U85" s="354"/>
      <c r="V85" s="355"/>
      <c r="W85" s="37" t="s">
        <v>69</v>
      </c>
      <c r="X85" s="338">
        <f>IFERROR(SUM(X84:X84),"0")</f>
        <v>14</v>
      </c>
      <c r="Y85" s="338">
        <f>IFERROR(SUM(Y84:Y84),"0")</f>
        <v>14</v>
      </c>
      <c r="Z85" s="338">
        <f>IFERROR(IF(Z84="",0,Z84),"0")</f>
        <v>0.25031999999999999</v>
      </c>
      <c r="AA85" s="339"/>
      <c r="AB85" s="339"/>
      <c r="AC85" s="339"/>
    </row>
    <row r="86" spans="1:68" x14ac:dyDescent="0.2">
      <c r="A86" s="348"/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9"/>
      <c r="P86" s="353" t="s">
        <v>72</v>
      </c>
      <c r="Q86" s="354"/>
      <c r="R86" s="354"/>
      <c r="S86" s="354"/>
      <c r="T86" s="354"/>
      <c r="U86" s="354"/>
      <c r="V86" s="355"/>
      <c r="W86" s="37" t="s">
        <v>73</v>
      </c>
      <c r="X86" s="338">
        <f>IFERROR(SUMPRODUCT(X84:X84*H84:H84),"0")</f>
        <v>50.4</v>
      </c>
      <c r="Y86" s="338">
        <f>IFERROR(SUMPRODUCT(Y84:Y84*H84:H84),"0")</f>
        <v>50.4</v>
      </c>
      <c r="Z86" s="37"/>
      <c r="AA86" s="339"/>
      <c r="AB86" s="339"/>
      <c r="AC86" s="339"/>
    </row>
    <row r="87" spans="1:68" ht="16.5" customHeight="1" x14ac:dyDescent="0.25">
      <c r="A87" s="352" t="s">
        <v>169</v>
      </c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31"/>
      <c r="AB87" s="331"/>
      <c r="AC87" s="331"/>
    </row>
    <row r="88" spans="1:68" ht="14.25" customHeight="1" x14ac:dyDescent="0.25">
      <c r="A88" s="351" t="s">
        <v>170</v>
      </c>
      <c r="B88" s="348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32"/>
      <c r="AB88" s="332"/>
      <c r="AC88" s="332"/>
    </row>
    <row r="89" spans="1:68" ht="27" customHeight="1" x14ac:dyDescent="0.25">
      <c r="A89" s="54" t="s">
        <v>171</v>
      </c>
      <c r="B89" s="54" t="s">
        <v>172</v>
      </c>
      <c r="C89" s="31">
        <v>4301131041</v>
      </c>
      <c r="D89" s="345">
        <v>4607111034120</v>
      </c>
      <c r="E89" s="346"/>
      <c r="F89" s="335">
        <v>0.3</v>
      </c>
      <c r="G89" s="32">
        <v>12</v>
      </c>
      <c r="H89" s="335">
        <v>3.6</v>
      </c>
      <c r="I89" s="335">
        <v>4.3036000000000003</v>
      </c>
      <c r="J89" s="32">
        <v>70</v>
      </c>
      <c r="K89" s="32" t="s">
        <v>79</v>
      </c>
      <c r="L89" s="32" t="s">
        <v>67</v>
      </c>
      <c r="M89" s="33" t="s">
        <v>68</v>
      </c>
      <c r="N89" s="33"/>
      <c r="O89" s="32">
        <v>180</v>
      </c>
      <c r="P89" s="454" t="s">
        <v>173</v>
      </c>
      <c r="Q89" s="341"/>
      <c r="R89" s="341"/>
      <c r="S89" s="341"/>
      <c r="T89" s="342"/>
      <c r="U89" s="34"/>
      <c r="V89" s="34"/>
      <c r="W89" s="35" t="s">
        <v>69</v>
      </c>
      <c r="X89" s="336">
        <v>14</v>
      </c>
      <c r="Y89" s="337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174</v>
      </c>
      <c r="AG89" s="67"/>
      <c r="AJ89" s="71" t="s">
        <v>71</v>
      </c>
      <c r="AK89" s="71">
        <v>1</v>
      </c>
      <c r="BB89" s="125" t="s">
        <v>82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175</v>
      </c>
      <c r="B90" s="54" t="s">
        <v>176</v>
      </c>
      <c r="C90" s="31">
        <v>4301131042</v>
      </c>
      <c r="D90" s="345">
        <v>4607111034137</v>
      </c>
      <c r="E90" s="346"/>
      <c r="F90" s="335">
        <v>0.3</v>
      </c>
      <c r="G90" s="32">
        <v>12</v>
      </c>
      <c r="H90" s="335">
        <v>3.6</v>
      </c>
      <c r="I90" s="335">
        <v>4.3036000000000003</v>
      </c>
      <c r="J90" s="32">
        <v>70</v>
      </c>
      <c r="K90" s="32" t="s">
        <v>79</v>
      </c>
      <c r="L90" s="32" t="s">
        <v>67</v>
      </c>
      <c r="M90" s="33" t="s">
        <v>68</v>
      </c>
      <c r="N90" s="33"/>
      <c r="O90" s="32">
        <v>180</v>
      </c>
      <c r="P90" s="470" t="s">
        <v>177</v>
      </c>
      <c r="Q90" s="341"/>
      <c r="R90" s="341"/>
      <c r="S90" s="341"/>
      <c r="T90" s="342"/>
      <c r="U90" s="34"/>
      <c r="V90" s="34"/>
      <c r="W90" s="35" t="s">
        <v>69</v>
      </c>
      <c r="X90" s="336">
        <v>0</v>
      </c>
      <c r="Y90" s="337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178</v>
      </c>
      <c r="AG90" s="67"/>
      <c r="AJ90" s="71" t="s">
        <v>71</v>
      </c>
      <c r="AK90" s="71">
        <v>1</v>
      </c>
      <c r="BB90" s="127" t="s">
        <v>82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t="27" customHeight="1" x14ac:dyDescent="0.25">
      <c r="A91" s="54" t="s">
        <v>179</v>
      </c>
      <c r="B91" s="54" t="s">
        <v>180</v>
      </c>
      <c r="C91" s="31">
        <v>4301131021</v>
      </c>
      <c r="D91" s="345">
        <v>4607111034137</v>
      </c>
      <c r="E91" s="346"/>
      <c r="F91" s="335">
        <v>0.3</v>
      </c>
      <c r="G91" s="32">
        <v>12</v>
      </c>
      <c r="H91" s="335">
        <v>3.6</v>
      </c>
      <c r="I91" s="335">
        <v>4.3036000000000003</v>
      </c>
      <c r="J91" s="32">
        <v>70</v>
      </c>
      <c r="K91" s="32" t="s">
        <v>79</v>
      </c>
      <c r="L91" s="32" t="s">
        <v>108</v>
      </c>
      <c r="M91" s="33" t="s">
        <v>68</v>
      </c>
      <c r="N91" s="33"/>
      <c r="O91" s="32">
        <v>180</v>
      </c>
      <c r="P91" s="472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1" s="341"/>
      <c r="R91" s="341"/>
      <c r="S91" s="341"/>
      <c r="T91" s="342"/>
      <c r="U91" s="34"/>
      <c r="V91" s="34"/>
      <c r="W91" s="35" t="s">
        <v>69</v>
      </c>
      <c r="X91" s="336">
        <v>28</v>
      </c>
      <c r="Y91" s="337">
        <f>IFERROR(IF(X91="","",X91),"")</f>
        <v>28</v>
      </c>
      <c r="Z91" s="36">
        <f>IFERROR(IF(X91="","",X91*0.01788),"")</f>
        <v>0.50063999999999997</v>
      </c>
      <c r="AA91" s="56"/>
      <c r="AB91" s="57"/>
      <c r="AC91" s="128" t="s">
        <v>181</v>
      </c>
      <c r="AG91" s="67"/>
      <c r="AJ91" s="71" t="s">
        <v>110</v>
      </c>
      <c r="AK91" s="71">
        <v>14</v>
      </c>
      <c r="BB91" s="129" t="s">
        <v>82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x14ac:dyDescent="0.2">
      <c r="A92" s="347"/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9"/>
      <c r="P92" s="353" t="s">
        <v>72</v>
      </c>
      <c r="Q92" s="354"/>
      <c r="R92" s="354"/>
      <c r="S92" s="354"/>
      <c r="T92" s="354"/>
      <c r="U92" s="354"/>
      <c r="V92" s="355"/>
      <c r="W92" s="37" t="s">
        <v>69</v>
      </c>
      <c r="X92" s="338">
        <f>IFERROR(SUM(X89:X91),"0")</f>
        <v>42</v>
      </c>
      <c r="Y92" s="338">
        <f>IFERROR(SUM(Y89:Y91),"0")</f>
        <v>42</v>
      </c>
      <c r="Z92" s="338">
        <f>IFERROR(IF(Z89="",0,Z89),"0")+IFERROR(IF(Z90="",0,Z90),"0")+IFERROR(IF(Z91="",0,Z91),"0")</f>
        <v>0.75095999999999996</v>
      </c>
      <c r="AA92" s="339"/>
      <c r="AB92" s="339"/>
      <c r="AC92" s="339"/>
    </row>
    <row r="93" spans="1:68" x14ac:dyDescent="0.2">
      <c r="A93" s="348"/>
      <c r="B93" s="348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9"/>
      <c r="P93" s="353" t="s">
        <v>72</v>
      </c>
      <c r="Q93" s="354"/>
      <c r="R93" s="354"/>
      <c r="S93" s="354"/>
      <c r="T93" s="354"/>
      <c r="U93" s="354"/>
      <c r="V93" s="355"/>
      <c r="W93" s="37" t="s">
        <v>73</v>
      </c>
      <c r="X93" s="338">
        <f>IFERROR(SUMPRODUCT(X89:X91*H89:H91),"0")</f>
        <v>151.19999999999999</v>
      </c>
      <c r="Y93" s="338">
        <f>IFERROR(SUMPRODUCT(Y89:Y91*H89:H91),"0")</f>
        <v>151.19999999999999</v>
      </c>
      <c r="Z93" s="37"/>
      <c r="AA93" s="339"/>
      <c r="AB93" s="339"/>
      <c r="AC93" s="339"/>
    </row>
    <row r="94" spans="1:68" ht="16.5" customHeight="1" x14ac:dyDescent="0.25">
      <c r="A94" s="352" t="s">
        <v>182</v>
      </c>
      <c r="B94" s="348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31"/>
      <c r="AB94" s="331"/>
      <c r="AC94" s="331"/>
    </row>
    <row r="95" spans="1:68" ht="14.25" customHeight="1" x14ac:dyDescent="0.25">
      <c r="A95" s="351" t="s">
        <v>146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332"/>
      <c r="AB95" s="332"/>
      <c r="AC95" s="332"/>
    </row>
    <row r="96" spans="1:68" ht="27" customHeight="1" x14ac:dyDescent="0.25">
      <c r="A96" s="54" t="s">
        <v>183</v>
      </c>
      <c r="B96" s="54" t="s">
        <v>184</v>
      </c>
      <c r="C96" s="31">
        <v>4301135569</v>
      </c>
      <c r="D96" s="345">
        <v>4607111033628</v>
      </c>
      <c r="E96" s="346"/>
      <c r="F96" s="335">
        <v>0.3</v>
      </c>
      <c r="G96" s="32">
        <v>12</v>
      </c>
      <c r="H96" s="335">
        <v>3.6</v>
      </c>
      <c r="I96" s="335">
        <v>4.3036000000000003</v>
      </c>
      <c r="J96" s="32">
        <v>70</v>
      </c>
      <c r="K96" s="32" t="s">
        <v>79</v>
      </c>
      <c r="L96" s="32" t="s">
        <v>108</v>
      </c>
      <c r="M96" s="33" t="s">
        <v>68</v>
      </c>
      <c r="N96" s="33"/>
      <c r="O96" s="32">
        <v>180</v>
      </c>
      <c r="P96" s="468" t="s">
        <v>185</v>
      </c>
      <c r="Q96" s="341"/>
      <c r="R96" s="341"/>
      <c r="S96" s="341"/>
      <c r="T96" s="342"/>
      <c r="U96" s="34"/>
      <c r="V96" s="34"/>
      <c r="W96" s="35" t="s">
        <v>69</v>
      </c>
      <c r="X96" s="336">
        <v>14</v>
      </c>
      <c r="Y96" s="337">
        <f t="shared" ref="Y96:Y102" si="6">IFERROR(IF(X96="","",X96),"")</f>
        <v>14</v>
      </c>
      <c r="Z96" s="36">
        <f t="shared" ref="Z96:Z102" si="7">IFERROR(IF(X96="","",X96*0.01788),"")</f>
        <v>0.25031999999999999</v>
      </c>
      <c r="AA96" s="56"/>
      <c r="AB96" s="57"/>
      <c r="AC96" s="130" t="s">
        <v>168</v>
      </c>
      <c r="AG96" s="67"/>
      <c r="AJ96" s="71" t="s">
        <v>110</v>
      </c>
      <c r="AK96" s="71">
        <v>14</v>
      </c>
      <c r="BB96" s="131" t="s">
        <v>82</v>
      </c>
      <c r="BM96" s="67">
        <f t="shared" ref="BM96:BM102" si="8">IFERROR(X96*I96,"0")</f>
        <v>60.250400000000006</v>
      </c>
      <c r="BN96" s="67">
        <f t="shared" ref="BN96:BN102" si="9">IFERROR(Y96*I96,"0")</f>
        <v>60.250400000000006</v>
      </c>
      <c r="BO96" s="67">
        <f t="shared" ref="BO96:BO102" si="10">IFERROR(X96/J96,"0")</f>
        <v>0.2</v>
      </c>
      <c r="BP96" s="67">
        <f t="shared" ref="BP96:BP102" si="11">IFERROR(Y96/J96,"0")</f>
        <v>0.2</v>
      </c>
    </row>
    <row r="97" spans="1:68" ht="27" customHeight="1" x14ac:dyDescent="0.25">
      <c r="A97" s="54" t="s">
        <v>186</v>
      </c>
      <c r="B97" s="54" t="s">
        <v>187</v>
      </c>
      <c r="C97" s="31">
        <v>4301135565</v>
      </c>
      <c r="D97" s="345">
        <v>4607111033451</v>
      </c>
      <c r="E97" s="346"/>
      <c r="F97" s="335">
        <v>0.3</v>
      </c>
      <c r="G97" s="32">
        <v>12</v>
      </c>
      <c r="H97" s="335">
        <v>3.6</v>
      </c>
      <c r="I97" s="335">
        <v>4.3036000000000003</v>
      </c>
      <c r="J97" s="32">
        <v>70</v>
      </c>
      <c r="K97" s="32" t="s">
        <v>79</v>
      </c>
      <c r="L97" s="32" t="s">
        <v>113</v>
      </c>
      <c r="M97" s="33" t="s">
        <v>68</v>
      </c>
      <c r="N97" s="33"/>
      <c r="O97" s="32">
        <v>180</v>
      </c>
      <c r="P97" s="399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7" s="341"/>
      <c r="R97" s="341"/>
      <c r="S97" s="341"/>
      <c r="T97" s="342"/>
      <c r="U97" s="34"/>
      <c r="V97" s="34"/>
      <c r="W97" s="35" t="s">
        <v>69</v>
      </c>
      <c r="X97" s="336">
        <v>56</v>
      </c>
      <c r="Y97" s="337">
        <f t="shared" si="6"/>
        <v>56</v>
      </c>
      <c r="Z97" s="36">
        <f t="shared" si="7"/>
        <v>1.0012799999999999</v>
      </c>
      <c r="AA97" s="56"/>
      <c r="AB97" s="57"/>
      <c r="AC97" s="132" t="s">
        <v>168</v>
      </c>
      <c r="AG97" s="67"/>
      <c r="AJ97" s="71" t="s">
        <v>114</v>
      </c>
      <c r="AK97" s="71">
        <v>70</v>
      </c>
      <c r="BB97" s="133" t="s">
        <v>82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188</v>
      </c>
      <c r="B98" s="54" t="s">
        <v>189</v>
      </c>
      <c r="C98" s="31">
        <v>4301135575</v>
      </c>
      <c r="D98" s="345">
        <v>4607111035141</v>
      </c>
      <c r="E98" s="346"/>
      <c r="F98" s="335">
        <v>0.3</v>
      </c>
      <c r="G98" s="32">
        <v>12</v>
      </c>
      <c r="H98" s="335">
        <v>3.6</v>
      </c>
      <c r="I98" s="335">
        <v>4.3036000000000003</v>
      </c>
      <c r="J98" s="32">
        <v>70</v>
      </c>
      <c r="K98" s="32" t="s">
        <v>79</v>
      </c>
      <c r="L98" s="32" t="s">
        <v>67</v>
      </c>
      <c r="M98" s="33" t="s">
        <v>68</v>
      </c>
      <c r="N98" s="33"/>
      <c r="O98" s="32">
        <v>180</v>
      </c>
      <c r="P98" s="498" t="s">
        <v>190</v>
      </c>
      <c r="Q98" s="341"/>
      <c r="R98" s="341"/>
      <c r="S98" s="341"/>
      <c r="T98" s="342"/>
      <c r="U98" s="34"/>
      <c r="V98" s="34"/>
      <c r="W98" s="35" t="s">
        <v>69</v>
      </c>
      <c r="X98" s="336">
        <v>0</v>
      </c>
      <c r="Y98" s="337">
        <f t="shared" si="6"/>
        <v>0</v>
      </c>
      <c r="Z98" s="36">
        <f t="shared" si="7"/>
        <v>0</v>
      </c>
      <c r="AA98" s="56"/>
      <c r="AB98" s="57"/>
      <c r="AC98" s="134" t="s">
        <v>191</v>
      </c>
      <c r="AG98" s="67"/>
      <c r="AJ98" s="71" t="s">
        <v>71</v>
      </c>
      <c r="AK98" s="71">
        <v>1</v>
      </c>
      <c r="BB98" s="135" t="s">
        <v>82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4301135578</v>
      </c>
      <c r="D99" s="345">
        <v>4607111033444</v>
      </c>
      <c r="E99" s="346"/>
      <c r="F99" s="335">
        <v>0.3</v>
      </c>
      <c r="G99" s="32">
        <v>12</v>
      </c>
      <c r="H99" s="335">
        <v>3.6</v>
      </c>
      <c r="I99" s="335">
        <v>4.3036000000000003</v>
      </c>
      <c r="J99" s="32">
        <v>70</v>
      </c>
      <c r="K99" s="32" t="s">
        <v>79</v>
      </c>
      <c r="L99" s="32" t="s">
        <v>113</v>
      </c>
      <c r="M99" s="33" t="s">
        <v>68</v>
      </c>
      <c r="N99" s="33"/>
      <c r="O99" s="32">
        <v>180</v>
      </c>
      <c r="P99" s="37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9" s="341"/>
      <c r="R99" s="341"/>
      <c r="S99" s="341"/>
      <c r="T99" s="342"/>
      <c r="U99" s="34"/>
      <c r="V99" s="34"/>
      <c r="W99" s="35" t="s">
        <v>69</v>
      </c>
      <c r="X99" s="336">
        <v>42</v>
      </c>
      <c r="Y99" s="337">
        <f t="shared" si="6"/>
        <v>42</v>
      </c>
      <c r="Z99" s="36">
        <f t="shared" si="7"/>
        <v>0.75095999999999996</v>
      </c>
      <c r="AA99" s="56"/>
      <c r="AB99" s="57"/>
      <c r="AC99" s="136" t="s">
        <v>168</v>
      </c>
      <c r="AG99" s="67"/>
      <c r="AJ99" s="71" t="s">
        <v>114</v>
      </c>
      <c r="AK99" s="71">
        <v>70</v>
      </c>
      <c r="BB99" s="137" t="s">
        <v>82</v>
      </c>
      <c r="BM99" s="67">
        <f t="shared" si="8"/>
        <v>180.75120000000001</v>
      </c>
      <c r="BN99" s="67">
        <f t="shared" si="9"/>
        <v>180.75120000000001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194</v>
      </c>
      <c r="B100" s="54" t="s">
        <v>195</v>
      </c>
      <c r="C100" s="31">
        <v>4301135571</v>
      </c>
      <c r="D100" s="345">
        <v>4607111035028</v>
      </c>
      <c r="E100" s="346"/>
      <c r="F100" s="335">
        <v>0.48</v>
      </c>
      <c r="G100" s="32">
        <v>8</v>
      </c>
      <c r="H100" s="335">
        <v>3.84</v>
      </c>
      <c r="I100" s="335">
        <v>4.4488000000000003</v>
      </c>
      <c r="J100" s="32">
        <v>70</v>
      </c>
      <c r="K100" s="32" t="s">
        <v>79</v>
      </c>
      <c r="L100" s="32" t="s">
        <v>67</v>
      </c>
      <c r="M100" s="33" t="s">
        <v>68</v>
      </c>
      <c r="N100" s="33"/>
      <c r="O100" s="32">
        <v>180</v>
      </c>
      <c r="P100" s="387" t="s">
        <v>196</v>
      </c>
      <c r="Q100" s="341"/>
      <c r="R100" s="341"/>
      <c r="S100" s="341"/>
      <c r="T100" s="342"/>
      <c r="U100" s="34"/>
      <c r="V100" s="34"/>
      <c r="W100" s="35" t="s">
        <v>69</v>
      </c>
      <c r="X100" s="336">
        <v>0</v>
      </c>
      <c r="Y100" s="337">
        <f t="shared" si="6"/>
        <v>0</v>
      </c>
      <c r="Z100" s="36">
        <f t="shared" si="7"/>
        <v>0</v>
      </c>
      <c r="AA100" s="56"/>
      <c r="AB100" s="57"/>
      <c r="AC100" s="138" t="s">
        <v>168</v>
      </c>
      <c r="AG100" s="67"/>
      <c r="AJ100" s="71" t="s">
        <v>71</v>
      </c>
      <c r="AK100" s="71">
        <v>1</v>
      </c>
      <c r="BB100" s="139" t="s">
        <v>82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4301135290</v>
      </c>
      <c r="D101" s="345">
        <v>4607111035028</v>
      </c>
      <c r="E101" s="346"/>
      <c r="F101" s="335">
        <v>0.48</v>
      </c>
      <c r="G101" s="32">
        <v>8</v>
      </c>
      <c r="H101" s="335">
        <v>3.84</v>
      </c>
      <c r="I101" s="335">
        <v>4.4488000000000003</v>
      </c>
      <c r="J101" s="32">
        <v>70</v>
      </c>
      <c r="K101" s="32" t="s">
        <v>79</v>
      </c>
      <c r="L101" s="32" t="s">
        <v>67</v>
      </c>
      <c r="M101" s="33" t="s">
        <v>68</v>
      </c>
      <c r="N101" s="33"/>
      <c r="O101" s="32">
        <v>180</v>
      </c>
      <c r="P101" s="521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1" s="341"/>
      <c r="R101" s="341"/>
      <c r="S101" s="341"/>
      <c r="T101" s="342"/>
      <c r="U101" s="34"/>
      <c r="V101" s="34"/>
      <c r="W101" s="35" t="s">
        <v>69</v>
      </c>
      <c r="X101" s="336">
        <v>0</v>
      </c>
      <c r="Y101" s="337">
        <f t="shared" si="6"/>
        <v>0</v>
      </c>
      <c r="Z101" s="36">
        <f t="shared" si="7"/>
        <v>0</v>
      </c>
      <c r="AA101" s="56"/>
      <c r="AB101" s="57"/>
      <c r="AC101" s="140" t="s">
        <v>191</v>
      </c>
      <c r="AG101" s="67"/>
      <c r="AJ101" s="71" t="s">
        <v>71</v>
      </c>
      <c r="AK101" s="71">
        <v>1</v>
      </c>
      <c r="BB101" s="141" t="s">
        <v>82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199</v>
      </c>
      <c r="B102" s="54" t="s">
        <v>200</v>
      </c>
      <c r="C102" s="31">
        <v>4301135285</v>
      </c>
      <c r="D102" s="345">
        <v>4607111036407</v>
      </c>
      <c r="E102" s="346"/>
      <c r="F102" s="335">
        <v>0.3</v>
      </c>
      <c r="G102" s="32">
        <v>14</v>
      </c>
      <c r="H102" s="335">
        <v>4.2</v>
      </c>
      <c r="I102" s="335">
        <v>4.5292000000000003</v>
      </c>
      <c r="J102" s="32">
        <v>70</v>
      </c>
      <c r="K102" s="32" t="s">
        <v>79</v>
      </c>
      <c r="L102" s="32" t="s">
        <v>108</v>
      </c>
      <c r="M102" s="33" t="s">
        <v>68</v>
      </c>
      <c r="N102" s="33"/>
      <c r="O102" s="32">
        <v>180</v>
      </c>
      <c r="P102" s="52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1"/>
      <c r="R102" s="341"/>
      <c r="S102" s="341"/>
      <c r="T102" s="342"/>
      <c r="U102" s="34"/>
      <c r="V102" s="34"/>
      <c r="W102" s="35" t="s">
        <v>69</v>
      </c>
      <c r="X102" s="336">
        <v>14</v>
      </c>
      <c r="Y102" s="337">
        <f t="shared" si="6"/>
        <v>14</v>
      </c>
      <c r="Z102" s="36">
        <f t="shared" si="7"/>
        <v>0.25031999999999999</v>
      </c>
      <c r="AA102" s="56"/>
      <c r="AB102" s="57"/>
      <c r="AC102" s="142" t="s">
        <v>201</v>
      </c>
      <c r="AG102" s="67"/>
      <c r="AJ102" s="71" t="s">
        <v>110</v>
      </c>
      <c r="AK102" s="71">
        <v>14</v>
      </c>
      <c r="BB102" s="143" t="s">
        <v>82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347"/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9"/>
      <c r="P103" s="353" t="s">
        <v>72</v>
      </c>
      <c r="Q103" s="354"/>
      <c r="R103" s="354"/>
      <c r="S103" s="354"/>
      <c r="T103" s="354"/>
      <c r="U103" s="354"/>
      <c r="V103" s="355"/>
      <c r="W103" s="37" t="s">
        <v>69</v>
      </c>
      <c r="X103" s="338">
        <f>IFERROR(SUM(X96:X102),"0")</f>
        <v>126</v>
      </c>
      <c r="Y103" s="338">
        <f>IFERROR(SUM(Y96:Y102),"0")</f>
        <v>126</v>
      </c>
      <c r="Z103" s="338">
        <f>IFERROR(IF(Z96="",0,Z96),"0")+IFERROR(IF(Z97="",0,Z97),"0")+IFERROR(IF(Z98="",0,Z98),"0")+IFERROR(IF(Z99="",0,Z99),"0")+IFERROR(IF(Z100="",0,Z100),"0")+IFERROR(IF(Z101="",0,Z101),"0")+IFERROR(IF(Z102="",0,Z102),"0")</f>
        <v>2.2528799999999998</v>
      </c>
      <c r="AA103" s="339"/>
      <c r="AB103" s="339"/>
      <c r="AC103" s="339"/>
    </row>
    <row r="104" spans="1:68" x14ac:dyDescent="0.2">
      <c r="A104" s="348"/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9"/>
      <c r="P104" s="353" t="s">
        <v>72</v>
      </c>
      <c r="Q104" s="354"/>
      <c r="R104" s="354"/>
      <c r="S104" s="354"/>
      <c r="T104" s="354"/>
      <c r="U104" s="354"/>
      <c r="V104" s="355"/>
      <c r="W104" s="37" t="s">
        <v>73</v>
      </c>
      <c r="X104" s="338">
        <f>IFERROR(SUMPRODUCT(X96:X102*H96:H102),"0")</f>
        <v>462.00000000000006</v>
      </c>
      <c r="Y104" s="338">
        <f>IFERROR(SUMPRODUCT(Y96:Y102*H96:H102),"0")</f>
        <v>462.00000000000006</v>
      </c>
      <c r="Z104" s="37"/>
      <c r="AA104" s="339"/>
      <c r="AB104" s="339"/>
      <c r="AC104" s="339"/>
    </row>
    <row r="105" spans="1:68" ht="16.5" customHeight="1" x14ac:dyDescent="0.25">
      <c r="A105" s="352" t="s">
        <v>202</v>
      </c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31"/>
      <c r="AB105" s="331"/>
      <c r="AC105" s="331"/>
    </row>
    <row r="106" spans="1:68" ht="14.25" customHeight="1" x14ac:dyDescent="0.25">
      <c r="A106" s="351" t="s">
        <v>142</v>
      </c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32"/>
      <c r="AB106" s="332"/>
      <c r="AC106" s="332"/>
    </row>
    <row r="107" spans="1:68" ht="27" customHeight="1" x14ac:dyDescent="0.25">
      <c r="A107" s="54" t="s">
        <v>203</v>
      </c>
      <c r="B107" s="54" t="s">
        <v>204</v>
      </c>
      <c r="C107" s="31">
        <v>4301136042</v>
      </c>
      <c r="D107" s="345">
        <v>4607025784012</v>
      </c>
      <c r="E107" s="346"/>
      <c r="F107" s="335">
        <v>0.09</v>
      </c>
      <c r="G107" s="32">
        <v>24</v>
      </c>
      <c r="H107" s="335">
        <v>2.16</v>
      </c>
      <c r="I107" s="335">
        <v>2.4912000000000001</v>
      </c>
      <c r="J107" s="32">
        <v>126</v>
      </c>
      <c r="K107" s="32" t="s">
        <v>79</v>
      </c>
      <c r="L107" s="32" t="s">
        <v>108</v>
      </c>
      <c r="M107" s="33" t="s">
        <v>68</v>
      </c>
      <c r="N107" s="33"/>
      <c r="O107" s="32">
        <v>180</v>
      </c>
      <c r="P107" s="52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1"/>
      <c r="R107" s="341"/>
      <c r="S107" s="341"/>
      <c r="T107" s="342"/>
      <c r="U107" s="34"/>
      <c r="V107" s="34"/>
      <c r="W107" s="35" t="s">
        <v>69</v>
      </c>
      <c r="X107" s="336">
        <v>0</v>
      </c>
      <c r="Y107" s="337">
        <f>IFERROR(IF(X107="","",X107),"")</f>
        <v>0</v>
      </c>
      <c r="Z107" s="36">
        <f>IFERROR(IF(X107="","",X107*0.00936),"")</f>
        <v>0</v>
      </c>
      <c r="AA107" s="56"/>
      <c r="AB107" s="57"/>
      <c r="AC107" s="144" t="s">
        <v>205</v>
      </c>
      <c r="AG107" s="67"/>
      <c r="AJ107" s="71" t="s">
        <v>110</v>
      </c>
      <c r="AK107" s="71">
        <v>14</v>
      </c>
      <c r="BB107" s="145" t="s">
        <v>82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4301136077</v>
      </c>
      <c r="D108" s="345">
        <v>4607025784319</v>
      </c>
      <c r="E108" s="346"/>
      <c r="F108" s="335">
        <v>0.36</v>
      </c>
      <c r="G108" s="32">
        <v>10</v>
      </c>
      <c r="H108" s="335">
        <v>3.6</v>
      </c>
      <c r="I108" s="335">
        <v>4.2439999999999998</v>
      </c>
      <c r="J108" s="32">
        <v>70</v>
      </c>
      <c r="K108" s="32" t="s">
        <v>79</v>
      </c>
      <c r="L108" s="32" t="s">
        <v>67</v>
      </c>
      <c r="M108" s="33" t="s">
        <v>68</v>
      </c>
      <c r="N108" s="33"/>
      <c r="O108" s="32">
        <v>180</v>
      </c>
      <c r="P108" s="479" t="s">
        <v>208</v>
      </c>
      <c r="Q108" s="341"/>
      <c r="R108" s="341"/>
      <c r="S108" s="341"/>
      <c r="T108" s="342"/>
      <c r="U108" s="34"/>
      <c r="V108" s="34"/>
      <c r="W108" s="35" t="s">
        <v>69</v>
      </c>
      <c r="X108" s="336">
        <v>0</v>
      </c>
      <c r="Y108" s="337">
        <f>IFERROR(IF(X108="","",X108),"")</f>
        <v>0</v>
      </c>
      <c r="Z108" s="36">
        <f>IFERROR(IF(X108="","",X108*0.01788),"")</f>
        <v>0</v>
      </c>
      <c r="AA108" s="56"/>
      <c r="AB108" s="57"/>
      <c r="AC108" s="146" t="s">
        <v>168</v>
      </c>
      <c r="AG108" s="67"/>
      <c r="AJ108" s="71" t="s">
        <v>71</v>
      </c>
      <c r="AK108" s="71">
        <v>1</v>
      </c>
      <c r="BB108" s="147" t="s">
        <v>82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4301136039</v>
      </c>
      <c r="D109" s="345">
        <v>4607111035370</v>
      </c>
      <c r="E109" s="346"/>
      <c r="F109" s="335">
        <v>0.14000000000000001</v>
      </c>
      <c r="G109" s="32">
        <v>22</v>
      </c>
      <c r="H109" s="335">
        <v>3.08</v>
      </c>
      <c r="I109" s="335">
        <v>3.464</v>
      </c>
      <c r="J109" s="32">
        <v>84</v>
      </c>
      <c r="K109" s="32" t="s">
        <v>66</v>
      </c>
      <c r="L109" s="32" t="s">
        <v>67</v>
      </c>
      <c r="M109" s="33" t="s">
        <v>68</v>
      </c>
      <c r="N109" s="33"/>
      <c r="O109" s="32">
        <v>180</v>
      </c>
      <c r="P109" s="48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9" s="341"/>
      <c r="R109" s="341"/>
      <c r="S109" s="341"/>
      <c r="T109" s="342"/>
      <c r="U109" s="34"/>
      <c r="V109" s="34"/>
      <c r="W109" s="35" t="s">
        <v>69</v>
      </c>
      <c r="X109" s="336">
        <v>0</v>
      </c>
      <c r="Y109" s="337">
        <f>IFERROR(IF(X109="","",X109),"")</f>
        <v>0</v>
      </c>
      <c r="Z109" s="36">
        <f>IFERROR(IF(X109="","",X109*0.0155),"")</f>
        <v>0</v>
      </c>
      <c r="AA109" s="56"/>
      <c r="AB109" s="57"/>
      <c r="AC109" s="148" t="s">
        <v>211</v>
      </c>
      <c r="AG109" s="67"/>
      <c r="AJ109" s="71" t="s">
        <v>71</v>
      </c>
      <c r="AK109" s="71">
        <v>1</v>
      </c>
      <c r="BB109" s="149" t="s">
        <v>82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347"/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9"/>
      <c r="P110" s="353" t="s">
        <v>72</v>
      </c>
      <c r="Q110" s="354"/>
      <c r="R110" s="354"/>
      <c r="S110" s="354"/>
      <c r="T110" s="354"/>
      <c r="U110" s="354"/>
      <c r="V110" s="355"/>
      <c r="W110" s="37" t="s">
        <v>69</v>
      </c>
      <c r="X110" s="338">
        <f>IFERROR(SUM(X107:X109),"0")</f>
        <v>0</v>
      </c>
      <c r="Y110" s="338">
        <f>IFERROR(SUM(Y107:Y109),"0")</f>
        <v>0</v>
      </c>
      <c r="Z110" s="338">
        <f>IFERROR(IF(Z107="",0,Z107),"0")+IFERROR(IF(Z108="",0,Z108),"0")+IFERROR(IF(Z109="",0,Z109),"0")</f>
        <v>0</v>
      </c>
      <c r="AA110" s="339"/>
      <c r="AB110" s="339"/>
      <c r="AC110" s="339"/>
    </row>
    <row r="111" spans="1:68" x14ac:dyDescent="0.2">
      <c r="A111" s="348"/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9"/>
      <c r="P111" s="353" t="s">
        <v>72</v>
      </c>
      <c r="Q111" s="354"/>
      <c r="R111" s="354"/>
      <c r="S111" s="354"/>
      <c r="T111" s="354"/>
      <c r="U111" s="354"/>
      <c r="V111" s="355"/>
      <c r="W111" s="37" t="s">
        <v>73</v>
      </c>
      <c r="X111" s="338">
        <f>IFERROR(SUMPRODUCT(X107:X109*H107:H109),"0")</f>
        <v>0</v>
      </c>
      <c r="Y111" s="338">
        <f>IFERROR(SUMPRODUCT(Y107:Y109*H107:H109),"0")</f>
        <v>0</v>
      </c>
      <c r="Z111" s="37"/>
      <c r="AA111" s="339"/>
      <c r="AB111" s="339"/>
      <c r="AC111" s="339"/>
    </row>
    <row r="112" spans="1:68" ht="16.5" customHeight="1" x14ac:dyDescent="0.25">
      <c r="A112" s="352" t="s">
        <v>212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331"/>
      <c r="AB112" s="331"/>
      <c r="AC112" s="331"/>
    </row>
    <row r="113" spans="1:68" ht="14.25" customHeight="1" x14ac:dyDescent="0.25">
      <c r="A113" s="351" t="s">
        <v>63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32"/>
      <c r="AB113" s="332"/>
      <c r="AC113" s="332"/>
    </row>
    <row r="114" spans="1:68" ht="27" customHeight="1" x14ac:dyDescent="0.25">
      <c r="A114" s="54" t="s">
        <v>213</v>
      </c>
      <c r="B114" s="54" t="s">
        <v>214</v>
      </c>
      <c r="C114" s="31">
        <v>4301071074</v>
      </c>
      <c r="D114" s="345">
        <v>4620207491157</v>
      </c>
      <c r="E114" s="346"/>
      <c r="F114" s="335">
        <v>0.7</v>
      </c>
      <c r="G114" s="32">
        <v>10</v>
      </c>
      <c r="H114" s="335">
        <v>7</v>
      </c>
      <c r="I114" s="335">
        <v>7.28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13" t="s">
        <v>215</v>
      </c>
      <c r="Q114" s="341"/>
      <c r="R114" s="341"/>
      <c r="S114" s="341"/>
      <c r="T114" s="342"/>
      <c r="U114" s="34"/>
      <c r="V114" s="34"/>
      <c r="W114" s="35" t="s">
        <v>69</v>
      </c>
      <c r="X114" s="336">
        <v>0</v>
      </c>
      <c r="Y114" s="337">
        <f t="shared" ref="Y114:Y119" si="12">IFERROR(IF(X114="","",X114),"")</f>
        <v>0</v>
      </c>
      <c r="Z114" s="36">
        <f t="shared" ref="Z114:Z119" si="13">IFERROR(IF(X114="","",X114*0.0155),"")</f>
        <v>0</v>
      </c>
      <c r="AA114" s="56"/>
      <c r="AB114" s="57"/>
      <c r="AC114" s="150" t="s">
        <v>216</v>
      </c>
      <c r="AG114" s="67"/>
      <c r="AJ114" s="71" t="s">
        <v>71</v>
      </c>
      <c r="AK114" s="71">
        <v>1</v>
      </c>
      <c r="BB114" s="151" t="s">
        <v>1</v>
      </c>
      <c r="BM114" s="67">
        <f t="shared" ref="BM114:BM119" si="14">IFERROR(X114*I114,"0")</f>
        <v>0</v>
      </c>
      <c r="BN114" s="67">
        <f t="shared" ref="BN114:BN119" si="15">IFERROR(Y114*I114,"0")</f>
        <v>0</v>
      </c>
      <c r="BO114" s="67">
        <f t="shared" ref="BO114:BO119" si="16">IFERROR(X114/J114,"0")</f>
        <v>0</v>
      </c>
      <c r="BP114" s="67">
        <f t="shared" ref="BP114:BP119" si="17"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4301071051</v>
      </c>
      <c r="D115" s="345">
        <v>4607111039262</v>
      </c>
      <c r="E115" s="346"/>
      <c r="F115" s="335">
        <v>0.4</v>
      </c>
      <c r="G115" s="32">
        <v>16</v>
      </c>
      <c r="H115" s="335">
        <v>6.4</v>
      </c>
      <c r="I115" s="335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4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1"/>
      <c r="R115" s="341"/>
      <c r="S115" s="341"/>
      <c r="T115" s="342"/>
      <c r="U115" s="34"/>
      <c r="V115" s="34"/>
      <c r="W115" s="35" t="s">
        <v>69</v>
      </c>
      <c r="X115" s="336">
        <v>36</v>
      </c>
      <c r="Y115" s="337">
        <f t="shared" si="12"/>
        <v>36</v>
      </c>
      <c r="Z115" s="36">
        <f t="shared" si="13"/>
        <v>0.55800000000000005</v>
      </c>
      <c r="AA115" s="56"/>
      <c r="AB115" s="57"/>
      <c r="AC115" s="152" t="s">
        <v>161</v>
      </c>
      <c r="AG115" s="67"/>
      <c r="AJ115" s="71" t="s">
        <v>110</v>
      </c>
      <c r="AK115" s="71">
        <v>12</v>
      </c>
      <c r="BB115" s="153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219</v>
      </c>
      <c r="B116" s="54" t="s">
        <v>220</v>
      </c>
      <c r="C116" s="31">
        <v>4301071038</v>
      </c>
      <c r="D116" s="345">
        <v>4607111039248</v>
      </c>
      <c r="E116" s="346"/>
      <c r="F116" s="335">
        <v>0.7</v>
      </c>
      <c r="G116" s="32">
        <v>10</v>
      </c>
      <c r="H116" s="335">
        <v>7</v>
      </c>
      <c r="I116" s="335">
        <v>7.3</v>
      </c>
      <c r="J116" s="32">
        <v>84</v>
      </c>
      <c r="K116" s="32" t="s">
        <v>66</v>
      </c>
      <c r="L116" s="32" t="s">
        <v>113</v>
      </c>
      <c r="M116" s="33" t="s">
        <v>68</v>
      </c>
      <c r="N116" s="33"/>
      <c r="O116" s="32">
        <v>180</v>
      </c>
      <c r="P116" s="39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1"/>
      <c r="R116" s="341"/>
      <c r="S116" s="341"/>
      <c r="T116" s="342"/>
      <c r="U116" s="34"/>
      <c r="V116" s="34"/>
      <c r="W116" s="35" t="s">
        <v>69</v>
      </c>
      <c r="X116" s="336">
        <v>84</v>
      </c>
      <c r="Y116" s="337">
        <f t="shared" si="12"/>
        <v>84</v>
      </c>
      <c r="Z116" s="36">
        <f t="shared" si="13"/>
        <v>1.302</v>
      </c>
      <c r="AA116" s="56"/>
      <c r="AB116" s="57"/>
      <c r="AC116" s="154" t="s">
        <v>161</v>
      </c>
      <c r="AG116" s="67"/>
      <c r="AJ116" s="71" t="s">
        <v>114</v>
      </c>
      <c r="AK116" s="71">
        <v>84</v>
      </c>
      <c r="BB116" s="155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221</v>
      </c>
      <c r="B117" s="54" t="s">
        <v>222</v>
      </c>
      <c r="C117" s="31">
        <v>4301070976</v>
      </c>
      <c r="D117" s="345">
        <v>4607111034144</v>
      </c>
      <c r="E117" s="346"/>
      <c r="F117" s="335">
        <v>0.9</v>
      </c>
      <c r="G117" s="32">
        <v>8</v>
      </c>
      <c r="H117" s="335">
        <v>7.2</v>
      </c>
      <c r="I117" s="335">
        <v>7.4859999999999998</v>
      </c>
      <c r="J117" s="32">
        <v>84</v>
      </c>
      <c r="K117" s="32" t="s">
        <v>66</v>
      </c>
      <c r="L117" s="32" t="s">
        <v>113</v>
      </c>
      <c r="M117" s="33" t="s">
        <v>68</v>
      </c>
      <c r="N117" s="33"/>
      <c r="O117" s="32">
        <v>180</v>
      </c>
      <c r="P117" s="42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7" s="341"/>
      <c r="R117" s="341"/>
      <c r="S117" s="341"/>
      <c r="T117" s="342"/>
      <c r="U117" s="34"/>
      <c r="V117" s="34"/>
      <c r="W117" s="35" t="s">
        <v>69</v>
      </c>
      <c r="X117" s="336">
        <v>0</v>
      </c>
      <c r="Y117" s="337">
        <f t="shared" si="12"/>
        <v>0</v>
      </c>
      <c r="Z117" s="36">
        <f t="shared" si="13"/>
        <v>0</v>
      </c>
      <c r="AA117" s="56"/>
      <c r="AB117" s="57"/>
      <c r="AC117" s="156" t="s">
        <v>161</v>
      </c>
      <c r="AG117" s="67"/>
      <c r="AJ117" s="71" t="s">
        <v>114</v>
      </c>
      <c r="AK117" s="71">
        <v>84</v>
      </c>
      <c r="BB117" s="157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4301071049</v>
      </c>
      <c r="D118" s="345">
        <v>4607111039293</v>
      </c>
      <c r="E118" s="346"/>
      <c r="F118" s="335">
        <v>0.4</v>
      </c>
      <c r="G118" s="32">
        <v>16</v>
      </c>
      <c r="H118" s="335">
        <v>6.4</v>
      </c>
      <c r="I118" s="335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42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1"/>
      <c r="R118" s="341"/>
      <c r="S118" s="341"/>
      <c r="T118" s="342"/>
      <c r="U118" s="34"/>
      <c r="V118" s="34"/>
      <c r="W118" s="35" t="s">
        <v>69</v>
      </c>
      <c r="X118" s="336">
        <v>36</v>
      </c>
      <c r="Y118" s="337">
        <f t="shared" si="12"/>
        <v>36</v>
      </c>
      <c r="Z118" s="36">
        <f t="shared" si="13"/>
        <v>0.55800000000000005</v>
      </c>
      <c r="AA118" s="56"/>
      <c r="AB118" s="57"/>
      <c r="AC118" s="158" t="s">
        <v>161</v>
      </c>
      <c r="AG118" s="67"/>
      <c r="AJ118" s="71" t="s">
        <v>110</v>
      </c>
      <c r="AK118" s="71">
        <v>12</v>
      </c>
      <c r="BB118" s="159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225</v>
      </c>
      <c r="B119" s="54" t="s">
        <v>226</v>
      </c>
      <c r="C119" s="31">
        <v>4301071039</v>
      </c>
      <c r="D119" s="345">
        <v>4607111039279</v>
      </c>
      <c r="E119" s="346"/>
      <c r="F119" s="335">
        <v>0.7</v>
      </c>
      <c r="G119" s="32">
        <v>10</v>
      </c>
      <c r="H119" s="335">
        <v>7</v>
      </c>
      <c r="I119" s="335">
        <v>7.3</v>
      </c>
      <c r="J119" s="32">
        <v>84</v>
      </c>
      <c r="K119" s="32" t="s">
        <v>66</v>
      </c>
      <c r="L119" s="32" t="s">
        <v>113</v>
      </c>
      <c r="M119" s="33" t="s">
        <v>68</v>
      </c>
      <c r="N119" s="33"/>
      <c r="O119" s="32">
        <v>180</v>
      </c>
      <c r="P119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1"/>
      <c r="R119" s="341"/>
      <c r="S119" s="341"/>
      <c r="T119" s="342"/>
      <c r="U119" s="34"/>
      <c r="V119" s="34"/>
      <c r="W119" s="35" t="s">
        <v>69</v>
      </c>
      <c r="X119" s="336">
        <v>120</v>
      </c>
      <c r="Y119" s="337">
        <f t="shared" si="12"/>
        <v>120</v>
      </c>
      <c r="Z119" s="36">
        <f t="shared" si="13"/>
        <v>1.8599999999999999</v>
      </c>
      <c r="AA119" s="56"/>
      <c r="AB119" s="57"/>
      <c r="AC119" s="160" t="s">
        <v>161</v>
      </c>
      <c r="AG119" s="67"/>
      <c r="AJ119" s="71" t="s">
        <v>114</v>
      </c>
      <c r="AK119" s="71">
        <v>84</v>
      </c>
      <c r="BB119" s="161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x14ac:dyDescent="0.2">
      <c r="A120" s="347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49"/>
      <c r="P120" s="353" t="s">
        <v>72</v>
      </c>
      <c r="Q120" s="354"/>
      <c r="R120" s="354"/>
      <c r="S120" s="354"/>
      <c r="T120" s="354"/>
      <c r="U120" s="354"/>
      <c r="V120" s="355"/>
      <c r="W120" s="37" t="s">
        <v>69</v>
      </c>
      <c r="X120" s="338">
        <f>IFERROR(SUM(X114:X119),"0")</f>
        <v>276</v>
      </c>
      <c r="Y120" s="338">
        <f>IFERROR(SUM(Y114:Y119),"0")</f>
        <v>276</v>
      </c>
      <c r="Z120" s="338">
        <f>IFERROR(IF(Z114="",0,Z114),"0")+IFERROR(IF(Z115="",0,Z115),"0")+IFERROR(IF(Z116="",0,Z116),"0")+IFERROR(IF(Z117="",0,Z117),"0")+IFERROR(IF(Z118="",0,Z118),"0")+IFERROR(IF(Z119="",0,Z119),"0")</f>
        <v>4.2780000000000005</v>
      </c>
      <c r="AA120" s="339"/>
      <c r="AB120" s="339"/>
      <c r="AC120" s="339"/>
    </row>
    <row r="121" spans="1:68" x14ac:dyDescent="0.2">
      <c r="A121" s="348"/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9"/>
      <c r="P121" s="353" t="s">
        <v>72</v>
      </c>
      <c r="Q121" s="354"/>
      <c r="R121" s="354"/>
      <c r="S121" s="354"/>
      <c r="T121" s="354"/>
      <c r="U121" s="354"/>
      <c r="V121" s="355"/>
      <c r="W121" s="37" t="s">
        <v>73</v>
      </c>
      <c r="X121" s="338">
        <f>IFERROR(SUMPRODUCT(X114:X119*H114:H119),"0")</f>
        <v>1888.8</v>
      </c>
      <c r="Y121" s="338">
        <f>IFERROR(SUMPRODUCT(Y114:Y119*H114:H119),"0")</f>
        <v>1888.8</v>
      </c>
      <c r="Z121" s="37"/>
      <c r="AA121" s="339"/>
      <c r="AB121" s="339"/>
      <c r="AC121" s="339"/>
    </row>
    <row r="122" spans="1:68" ht="14.25" customHeight="1" x14ac:dyDescent="0.25">
      <c r="A122" s="351" t="s">
        <v>146</v>
      </c>
      <c r="B122" s="348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48"/>
      <c r="Q122" s="348"/>
      <c r="R122" s="348"/>
      <c r="S122" s="348"/>
      <c r="T122" s="348"/>
      <c r="U122" s="348"/>
      <c r="V122" s="348"/>
      <c r="W122" s="348"/>
      <c r="X122" s="348"/>
      <c r="Y122" s="348"/>
      <c r="Z122" s="348"/>
      <c r="AA122" s="332"/>
      <c r="AB122" s="332"/>
      <c r="AC122" s="332"/>
    </row>
    <row r="123" spans="1:68" ht="27" customHeight="1" x14ac:dyDescent="0.25">
      <c r="A123" s="54" t="s">
        <v>227</v>
      </c>
      <c r="B123" s="54" t="s">
        <v>228</v>
      </c>
      <c r="C123" s="31">
        <v>4301135670</v>
      </c>
      <c r="D123" s="345">
        <v>4620207490983</v>
      </c>
      <c r="E123" s="346"/>
      <c r="F123" s="335">
        <v>0.22</v>
      </c>
      <c r="G123" s="32">
        <v>12</v>
      </c>
      <c r="H123" s="335">
        <v>2.64</v>
      </c>
      <c r="I123" s="335">
        <v>3.3435999999999999</v>
      </c>
      <c r="J123" s="32">
        <v>70</v>
      </c>
      <c r="K123" s="32" t="s">
        <v>79</v>
      </c>
      <c r="L123" s="32" t="s">
        <v>67</v>
      </c>
      <c r="M123" s="33" t="s">
        <v>68</v>
      </c>
      <c r="N123" s="33"/>
      <c r="O123" s="32">
        <v>180</v>
      </c>
      <c r="P123" s="536" t="s">
        <v>229</v>
      </c>
      <c r="Q123" s="341"/>
      <c r="R123" s="341"/>
      <c r="S123" s="341"/>
      <c r="T123" s="342"/>
      <c r="U123" s="34"/>
      <c r="V123" s="34"/>
      <c r="W123" s="35" t="s">
        <v>69</v>
      </c>
      <c r="X123" s="336">
        <v>0</v>
      </c>
      <c r="Y123" s="337">
        <f>IFERROR(IF(X123="","",X123),"")</f>
        <v>0</v>
      </c>
      <c r="Z123" s="36">
        <f>IFERROR(IF(X123="","",X123*0.01788),"")</f>
        <v>0</v>
      </c>
      <c r="AA123" s="56"/>
      <c r="AB123" s="57" t="s">
        <v>230</v>
      </c>
      <c r="AC123" s="162" t="s">
        <v>231</v>
      </c>
      <c r="AG123" s="67"/>
      <c r="AJ123" s="71" t="s">
        <v>71</v>
      </c>
      <c r="AK123" s="71">
        <v>1</v>
      </c>
      <c r="BB123" s="163" t="s">
        <v>82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347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49"/>
      <c r="P124" s="353" t="s">
        <v>72</v>
      </c>
      <c r="Q124" s="354"/>
      <c r="R124" s="354"/>
      <c r="S124" s="354"/>
      <c r="T124" s="354"/>
      <c r="U124" s="354"/>
      <c r="V124" s="355"/>
      <c r="W124" s="37" t="s">
        <v>69</v>
      </c>
      <c r="X124" s="338">
        <f>IFERROR(SUM(X123:X123),"0")</f>
        <v>0</v>
      </c>
      <c r="Y124" s="338">
        <f>IFERROR(SUM(Y123:Y123),"0")</f>
        <v>0</v>
      </c>
      <c r="Z124" s="338">
        <f>IFERROR(IF(Z123="",0,Z123),"0")</f>
        <v>0</v>
      </c>
      <c r="AA124" s="339"/>
      <c r="AB124" s="339"/>
      <c r="AC124" s="339"/>
    </row>
    <row r="125" spans="1:68" x14ac:dyDescent="0.2">
      <c r="A125" s="348"/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9"/>
      <c r="P125" s="353" t="s">
        <v>72</v>
      </c>
      <c r="Q125" s="354"/>
      <c r="R125" s="354"/>
      <c r="S125" s="354"/>
      <c r="T125" s="354"/>
      <c r="U125" s="354"/>
      <c r="V125" s="355"/>
      <c r="W125" s="37" t="s">
        <v>73</v>
      </c>
      <c r="X125" s="338">
        <f>IFERROR(SUMPRODUCT(X123:X123*H123:H123),"0")</f>
        <v>0</v>
      </c>
      <c r="Y125" s="338">
        <f>IFERROR(SUMPRODUCT(Y123:Y123*H123:H123),"0")</f>
        <v>0</v>
      </c>
      <c r="Z125" s="37"/>
      <c r="AA125" s="339"/>
      <c r="AB125" s="339"/>
      <c r="AC125" s="339"/>
    </row>
    <row r="126" spans="1:68" ht="16.5" customHeight="1" x14ac:dyDescent="0.25">
      <c r="A126" s="352" t="s">
        <v>232</v>
      </c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31"/>
      <c r="AB126" s="331"/>
      <c r="AC126" s="331"/>
    </row>
    <row r="127" spans="1:68" ht="14.25" customHeight="1" x14ac:dyDescent="0.25">
      <c r="A127" s="351" t="s">
        <v>146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332"/>
      <c r="AB127" s="332"/>
      <c r="AC127" s="332"/>
    </row>
    <row r="128" spans="1:68" ht="27" customHeight="1" x14ac:dyDescent="0.25">
      <c r="A128" s="54" t="s">
        <v>233</v>
      </c>
      <c r="B128" s="54" t="s">
        <v>234</v>
      </c>
      <c r="C128" s="31">
        <v>4301135533</v>
      </c>
      <c r="D128" s="345">
        <v>4607111034014</v>
      </c>
      <c r="E128" s="346"/>
      <c r="F128" s="335">
        <v>0.25</v>
      </c>
      <c r="G128" s="32">
        <v>12</v>
      </c>
      <c r="H128" s="335">
        <v>3</v>
      </c>
      <c r="I128" s="335">
        <v>3.7035999999999998</v>
      </c>
      <c r="J128" s="32">
        <v>70</v>
      </c>
      <c r="K128" s="32" t="s">
        <v>79</v>
      </c>
      <c r="L128" s="32" t="s">
        <v>113</v>
      </c>
      <c r="M128" s="33" t="s">
        <v>68</v>
      </c>
      <c r="N128" s="33"/>
      <c r="O128" s="32">
        <v>180</v>
      </c>
      <c r="P128" s="5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8" s="341"/>
      <c r="R128" s="341"/>
      <c r="S128" s="341"/>
      <c r="T128" s="342"/>
      <c r="U128" s="34"/>
      <c r="V128" s="34"/>
      <c r="W128" s="35" t="s">
        <v>69</v>
      </c>
      <c r="X128" s="336">
        <v>42</v>
      </c>
      <c r="Y128" s="33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64" t="s">
        <v>235</v>
      </c>
      <c r="AG128" s="67"/>
      <c r="AJ128" s="71" t="s">
        <v>114</v>
      </c>
      <c r="AK128" s="71">
        <v>70</v>
      </c>
      <c r="BB128" s="165" t="s">
        <v>82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ht="27" customHeight="1" x14ac:dyDescent="0.25">
      <c r="A129" s="54" t="s">
        <v>236</v>
      </c>
      <c r="B129" s="54" t="s">
        <v>237</v>
      </c>
      <c r="C129" s="31">
        <v>4301135532</v>
      </c>
      <c r="D129" s="345">
        <v>4607111033994</v>
      </c>
      <c r="E129" s="346"/>
      <c r="F129" s="335">
        <v>0.25</v>
      </c>
      <c r="G129" s="32">
        <v>12</v>
      </c>
      <c r="H129" s="335">
        <v>3</v>
      </c>
      <c r="I129" s="335">
        <v>3.7035999999999998</v>
      </c>
      <c r="J129" s="32">
        <v>70</v>
      </c>
      <c r="K129" s="32" t="s">
        <v>79</v>
      </c>
      <c r="L129" s="32" t="s">
        <v>113</v>
      </c>
      <c r="M129" s="33" t="s">
        <v>68</v>
      </c>
      <c r="N129" s="33"/>
      <c r="O129" s="32">
        <v>180</v>
      </c>
      <c r="P129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9" s="341"/>
      <c r="R129" s="341"/>
      <c r="S129" s="341"/>
      <c r="T129" s="342"/>
      <c r="U129" s="34"/>
      <c r="V129" s="34"/>
      <c r="W129" s="35" t="s">
        <v>69</v>
      </c>
      <c r="X129" s="336">
        <v>42</v>
      </c>
      <c r="Y129" s="337">
        <f>IFERROR(IF(X129="","",X129),"")</f>
        <v>42</v>
      </c>
      <c r="Z129" s="36">
        <f>IFERROR(IF(X129="","",X129*0.01788),"")</f>
        <v>0.75095999999999996</v>
      </c>
      <c r="AA129" s="56"/>
      <c r="AB129" s="57"/>
      <c r="AC129" s="166" t="s">
        <v>168</v>
      </c>
      <c r="AG129" s="67"/>
      <c r="AJ129" s="71" t="s">
        <v>114</v>
      </c>
      <c r="AK129" s="71">
        <v>70</v>
      </c>
      <c r="BB129" s="167" t="s">
        <v>82</v>
      </c>
      <c r="BM129" s="67">
        <f>IFERROR(X129*I129,"0")</f>
        <v>155.55119999999999</v>
      </c>
      <c r="BN129" s="67">
        <f>IFERROR(Y129*I129,"0")</f>
        <v>155.55119999999999</v>
      </c>
      <c r="BO129" s="67">
        <f>IFERROR(X129/J129,"0")</f>
        <v>0.6</v>
      </c>
      <c r="BP129" s="67">
        <f>IFERROR(Y129/J129,"0")</f>
        <v>0.6</v>
      </c>
    </row>
    <row r="130" spans="1:68" x14ac:dyDescent="0.2">
      <c r="A130" s="347"/>
      <c r="B130" s="348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49"/>
      <c r="P130" s="353" t="s">
        <v>72</v>
      </c>
      <c r="Q130" s="354"/>
      <c r="R130" s="354"/>
      <c r="S130" s="354"/>
      <c r="T130" s="354"/>
      <c r="U130" s="354"/>
      <c r="V130" s="355"/>
      <c r="W130" s="37" t="s">
        <v>69</v>
      </c>
      <c r="X130" s="338">
        <f>IFERROR(SUM(X128:X129),"0")</f>
        <v>84</v>
      </c>
      <c r="Y130" s="338">
        <f>IFERROR(SUM(Y128:Y129),"0")</f>
        <v>84</v>
      </c>
      <c r="Z130" s="338">
        <f>IFERROR(IF(Z128="",0,Z128),"0")+IFERROR(IF(Z129="",0,Z129),"0")</f>
        <v>1.5019199999999999</v>
      </c>
      <c r="AA130" s="339"/>
      <c r="AB130" s="339"/>
      <c r="AC130" s="339"/>
    </row>
    <row r="131" spans="1:68" x14ac:dyDescent="0.2">
      <c r="A131" s="348"/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9"/>
      <c r="P131" s="353" t="s">
        <v>72</v>
      </c>
      <c r="Q131" s="354"/>
      <c r="R131" s="354"/>
      <c r="S131" s="354"/>
      <c r="T131" s="354"/>
      <c r="U131" s="354"/>
      <c r="V131" s="355"/>
      <c r="W131" s="37" t="s">
        <v>73</v>
      </c>
      <c r="X131" s="338">
        <f>IFERROR(SUMPRODUCT(X128:X129*H128:H129),"0")</f>
        <v>252</v>
      </c>
      <c r="Y131" s="338">
        <f>IFERROR(SUMPRODUCT(Y128:Y129*H128:H129),"0")</f>
        <v>252</v>
      </c>
      <c r="Z131" s="37"/>
      <c r="AA131" s="339"/>
      <c r="AB131" s="339"/>
      <c r="AC131" s="339"/>
    </row>
    <row r="132" spans="1:68" ht="16.5" customHeight="1" x14ac:dyDescent="0.25">
      <c r="A132" s="352" t="s">
        <v>238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31"/>
      <c r="AB132" s="331"/>
      <c r="AC132" s="331"/>
    </row>
    <row r="133" spans="1:68" ht="14.25" customHeight="1" x14ac:dyDescent="0.25">
      <c r="A133" s="351" t="s">
        <v>146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32"/>
      <c r="AB133" s="332"/>
      <c r="AC133" s="332"/>
    </row>
    <row r="134" spans="1:68" ht="27" customHeight="1" x14ac:dyDescent="0.25">
      <c r="A134" s="54" t="s">
        <v>239</v>
      </c>
      <c r="B134" s="54" t="s">
        <v>240</v>
      </c>
      <c r="C134" s="31">
        <v>4301135311</v>
      </c>
      <c r="D134" s="345">
        <v>4607111039095</v>
      </c>
      <c r="E134" s="346"/>
      <c r="F134" s="335">
        <v>0.25</v>
      </c>
      <c r="G134" s="32">
        <v>12</v>
      </c>
      <c r="H134" s="335">
        <v>3</v>
      </c>
      <c r="I134" s="335">
        <v>3.7480000000000002</v>
      </c>
      <c r="J134" s="32">
        <v>70</v>
      </c>
      <c r="K134" s="32" t="s">
        <v>79</v>
      </c>
      <c r="L134" s="32" t="s">
        <v>108</v>
      </c>
      <c r="M134" s="33" t="s">
        <v>68</v>
      </c>
      <c r="N134" s="33"/>
      <c r="O134" s="32">
        <v>180</v>
      </c>
      <c r="P134" s="545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4" s="341"/>
      <c r="R134" s="341"/>
      <c r="S134" s="341"/>
      <c r="T134" s="342"/>
      <c r="U134" s="34"/>
      <c r="V134" s="34"/>
      <c r="W134" s="35" t="s">
        <v>69</v>
      </c>
      <c r="X134" s="336">
        <v>28</v>
      </c>
      <c r="Y134" s="337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8" t="s">
        <v>241</v>
      </c>
      <c r="AG134" s="67"/>
      <c r="AJ134" s="71" t="s">
        <v>110</v>
      </c>
      <c r="AK134" s="71">
        <v>14</v>
      </c>
      <c r="BB134" s="169" t="s">
        <v>82</v>
      </c>
      <c r="BM134" s="67">
        <f>IFERROR(X134*I134,"0")</f>
        <v>104.944</v>
      </c>
      <c r="BN134" s="67">
        <f>IFERROR(Y134*I134,"0")</f>
        <v>104.944</v>
      </c>
      <c r="BO134" s="67">
        <f>IFERROR(X134/J134,"0")</f>
        <v>0.4</v>
      </c>
      <c r="BP134" s="67">
        <f>IFERROR(Y134/J134,"0")</f>
        <v>0.4</v>
      </c>
    </row>
    <row r="135" spans="1:68" ht="16.5" customHeight="1" x14ac:dyDescent="0.25">
      <c r="A135" s="54" t="s">
        <v>242</v>
      </c>
      <c r="B135" s="54" t="s">
        <v>243</v>
      </c>
      <c r="C135" s="31">
        <v>4301135534</v>
      </c>
      <c r="D135" s="345">
        <v>4607111034199</v>
      </c>
      <c r="E135" s="346"/>
      <c r="F135" s="335">
        <v>0.25</v>
      </c>
      <c r="G135" s="32">
        <v>12</v>
      </c>
      <c r="H135" s="335">
        <v>3</v>
      </c>
      <c r="I135" s="335">
        <v>3.7035999999999998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52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5" s="341"/>
      <c r="R135" s="341"/>
      <c r="S135" s="341"/>
      <c r="T135" s="342"/>
      <c r="U135" s="34"/>
      <c r="V135" s="34"/>
      <c r="W135" s="35" t="s">
        <v>69</v>
      </c>
      <c r="X135" s="336">
        <v>42</v>
      </c>
      <c r="Y135" s="337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70" t="s">
        <v>244</v>
      </c>
      <c r="AG135" s="67"/>
      <c r="AJ135" s="71" t="s">
        <v>71</v>
      </c>
      <c r="AK135" s="71">
        <v>1</v>
      </c>
      <c r="BB135" s="171" t="s">
        <v>82</v>
      </c>
      <c r="BM135" s="67">
        <f>IFERROR(X135*I135,"0")</f>
        <v>155.55119999999999</v>
      </c>
      <c r="BN135" s="67">
        <f>IFERROR(Y135*I135,"0")</f>
        <v>155.55119999999999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347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49"/>
      <c r="P136" s="353" t="s">
        <v>72</v>
      </c>
      <c r="Q136" s="354"/>
      <c r="R136" s="354"/>
      <c r="S136" s="354"/>
      <c r="T136" s="354"/>
      <c r="U136" s="354"/>
      <c r="V136" s="355"/>
      <c r="W136" s="37" t="s">
        <v>69</v>
      </c>
      <c r="X136" s="338">
        <f>IFERROR(SUM(X134:X135),"0")</f>
        <v>70</v>
      </c>
      <c r="Y136" s="338">
        <f>IFERROR(SUM(Y134:Y135),"0")</f>
        <v>70</v>
      </c>
      <c r="Z136" s="338">
        <f>IFERROR(IF(Z134="",0,Z134),"0")+IFERROR(IF(Z135="",0,Z135),"0")</f>
        <v>1.2515999999999998</v>
      </c>
      <c r="AA136" s="339"/>
      <c r="AB136" s="339"/>
      <c r="AC136" s="339"/>
    </row>
    <row r="137" spans="1:68" x14ac:dyDescent="0.2">
      <c r="A137" s="348"/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9"/>
      <c r="P137" s="353" t="s">
        <v>72</v>
      </c>
      <c r="Q137" s="354"/>
      <c r="R137" s="354"/>
      <c r="S137" s="354"/>
      <c r="T137" s="354"/>
      <c r="U137" s="354"/>
      <c r="V137" s="355"/>
      <c r="W137" s="37" t="s">
        <v>73</v>
      </c>
      <c r="X137" s="338">
        <f>IFERROR(SUMPRODUCT(X134:X135*H134:H135),"0")</f>
        <v>210</v>
      </c>
      <c r="Y137" s="338">
        <f>IFERROR(SUMPRODUCT(Y134:Y135*H134:H135),"0")</f>
        <v>210</v>
      </c>
      <c r="Z137" s="37"/>
      <c r="AA137" s="339"/>
      <c r="AB137" s="339"/>
      <c r="AC137" s="339"/>
    </row>
    <row r="138" spans="1:68" ht="16.5" customHeight="1" x14ac:dyDescent="0.25">
      <c r="A138" s="352" t="s">
        <v>245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331"/>
      <c r="AB138" s="331"/>
      <c r="AC138" s="331"/>
    </row>
    <row r="139" spans="1:68" ht="14.25" customHeight="1" x14ac:dyDescent="0.25">
      <c r="A139" s="351" t="s">
        <v>146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332"/>
      <c r="AB139" s="332"/>
      <c r="AC139" s="332"/>
    </row>
    <row r="140" spans="1:68" ht="27" customHeight="1" x14ac:dyDescent="0.25">
      <c r="A140" s="54" t="s">
        <v>246</v>
      </c>
      <c r="B140" s="54" t="s">
        <v>247</v>
      </c>
      <c r="C140" s="31">
        <v>4301135275</v>
      </c>
      <c r="D140" s="345">
        <v>4607111034380</v>
      </c>
      <c r="E140" s="346"/>
      <c r="F140" s="335">
        <v>0.25</v>
      </c>
      <c r="G140" s="32">
        <v>12</v>
      </c>
      <c r="H140" s="335">
        <v>3</v>
      </c>
      <c r="I140" s="335">
        <v>3.28</v>
      </c>
      <c r="J140" s="32">
        <v>70</v>
      </c>
      <c r="K140" s="32" t="s">
        <v>79</v>
      </c>
      <c r="L140" s="32" t="s">
        <v>108</v>
      </c>
      <c r="M140" s="33" t="s">
        <v>68</v>
      </c>
      <c r="N140" s="33"/>
      <c r="O140" s="32">
        <v>180</v>
      </c>
      <c r="P140" s="44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0" s="341"/>
      <c r="R140" s="341"/>
      <c r="S140" s="341"/>
      <c r="T140" s="342"/>
      <c r="U140" s="34"/>
      <c r="V140" s="34"/>
      <c r="W140" s="35" t="s">
        <v>69</v>
      </c>
      <c r="X140" s="336">
        <v>14</v>
      </c>
      <c r="Y140" s="337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248</v>
      </c>
      <c r="AG140" s="67"/>
      <c r="AJ140" s="71" t="s">
        <v>110</v>
      </c>
      <c r="AK140" s="71">
        <v>14</v>
      </c>
      <c r="BB140" s="173" t="s">
        <v>82</v>
      </c>
      <c r="BM140" s="67">
        <f>IFERROR(X140*I140,"0")</f>
        <v>45.919999999999995</v>
      </c>
      <c r="BN140" s="67">
        <f>IFERROR(Y140*I140,"0")</f>
        <v>45.919999999999995</v>
      </c>
      <c r="BO140" s="67">
        <f>IFERROR(X140/J140,"0")</f>
        <v>0.2</v>
      </c>
      <c r="BP140" s="67">
        <f>IFERROR(Y140/J140,"0")</f>
        <v>0.2</v>
      </c>
    </row>
    <row r="141" spans="1:68" ht="27" customHeight="1" x14ac:dyDescent="0.25">
      <c r="A141" s="54" t="s">
        <v>249</v>
      </c>
      <c r="B141" s="54" t="s">
        <v>250</v>
      </c>
      <c r="C141" s="31">
        <v>4301135277</v>
      </c>
      <c r="D141" s="345">
        <v>4607111034397</v>
      </c>
      <c r="E141" s="346"/>
      <c r="F141" s="335">
        <v>0.25</v>
      </c>
      <c r="G141" s="32">
        <v>12</v>
      </c>
      <c r="H141" s="335">
        <v>3</v>
      </c>
      <c r="I141" s="335">
        <v>3.28</v>
      </c>
      <c r="J141" s="32">
        <v>70</v>
      </c>
      <c r="K141" s="32" t="s">
        <v>79</v>
      </c>
      <c r="L141" s="32" t="s">
        <v>113</v>
      </c>
      <c r="M141" s="33" t="s">
        <v>68</v>
      </c>
      <c r="N141" s="33"/>
      <c r="O141" s="32">
        <v>180</v>
      </c>
      <c r="P141" s="46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1" s="341"/>
      <c r="R141" s="341"/>
      <c r="S141" s="341"/>
      <c r="T141" s="342"/>
      <c r="U141" s="34"/>
      <c r="V141" s="34"/>
      <c r="W141" s="35" t="s">
        <v>69</v>
      </c>
      <c r="X141" s="336">
        <v>42</v>
      </c>
      <c r="Y141" s="337">
        <f>IFERROR(IF(X141="","",X141),"")</f>
        <v>42</v>
      </c>
      <c r="Z141" s="36">
        <f>IFERROR(IF(X141="","",X141*0.01788),"")</f>
        <v>0.75095999999999996</v>
      </c>
      <c r="AA141" s="56"/>
      <c r="AB141" s="57"/>
      <c r="AC141" s="174" t="s">
        <v>235</v>
      </c>
      <c r="AG141" s="67"/>
      <c r="AJ141" s="71" t="s">
        <v>114</v>
      </c>
      <c r="AK141" s="71">
        <v>70</v>
      </c>
      <c r="BB141" s="175" t="s">
        <v>82</v>
      </c>
      <c r="BM141" s="67">
        <f>IFERROR(X141*I141,"0")</f>
        <v>137.76</v>
      </c>
      <c r="BN141" s="67">
        <f>IFERROR(Y141*I141,"0")</f>
        <v>137.76</v>
      </c>
      <c r="BO141" s="67">
        <f>IFERROR(X141/J141,"0")</f>
        <v>0.6</v>
      </c>
      <c r="BP141" s="67">
        <f>IFERROR(Y141/J141,"0")</f>
        <v>0.6</v>
      </c>
    </row>
    <row r="142" spans="1:68" x14ac:dyDescent="0.2">
      <c r="A142" s="347"/>
      <c r="B142" s="348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49"/>
      <c r="P142" s="353" t="s">
        <v>72</v>
      </c>
      <c r="Q142" s="354"/>
      <c r="R142" s="354"/>
      <c r="S142" s="354"/>
      <c r="T142" s="354"/>
      <c r="U142" s="354"/>
      <c r="V142" s="355"/>
      <c r="W142" s="37" t="s">
        <v>69</v>
      </c>
      <c r="X142" s="338">
        <f>IFERROR(SUM(X140:X141),"0")</f>
        <v>56</v>
      </c>
      <c r="Y142" s="338">
        <f>IFERROR(SUM(Y140:Y141),"0")</f>
        <v>56</v>
      </c>
      <c r="Z142" s="338">
        <f>IFERROR(IF(Z140="",0,Z140),"0")+IFERROR(IF(Z141="",0,Z141),"0")</f>
        <v>1.0012799999999999</v>
      </c>
      <c r="AA142" s="339"/>
      <c r="AB142" s="339"/>
      <c r="AC142" s="339"/>
    </row>
    <row r="143" spans="1:68" x14ac:dyDescent="0.2">
      <c r="A143" s="348"/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9"/>
      <c r="P143" s="353" t="s">
        <v>72</v>
      </c>
      <c r="Q143" s="354"/>
      <c r="R143" s="354"/>
      <c r="S143" s="354"/>
      <c r="T143" s="354"/>
      <c r="U143" s="354"/>
      <c r="V143" s="355"/>
      <c r="W143" s="37" t="s">
        <v>73</v>
      </c>
      <c r="X143" s="338">
        <f>IFERROR(SUMPRODUCT(X140:X141*H140:H141),"0")</f>
        <v>168</v>
      </c>
      <c r="Y143" s="338">
        <f>IFERROR(SUMPRODUCT(Y140:Y141*H140:H141),"0")</f>
        <v>168</v>
      </c>
      <c r="Z143" s="37"/>
      <c r="AA143" s="339"/>
      <c r="AB143" s="339"/>
      <c r="AC143" s="339"/>
    </row>
    <row r="144" spans="1:68" ht="16.5" customHeight="1" x14ac:dyDescent="0.25">
      <c r="A144" s="352" t="s">
        <v>251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31"/>
      <c r="AB144" s="331"/>
      <c r="AC144" s="331"/>
    </row>
    <row r="145" spans="1:68" ht="14.25" customHeight="1" x14ac:dyDescent="0.25">
      <c r="A145" s="351" t="s">
        <v>146</v>
      </c>
      <c r="B145" s="348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332"/>
      <c r="AB145" s="332"/>
      <c r="AC145" s="332"/>
    </row>
    <row r="146" spans="1:68" ht="27" customHeight="1" x14ac:dyDescent="0.25">
      <c r="A146" s="54" t="s">
        <v>252</v>
      </c>
      <c r="B146" s="54" t="s">
        <v>253</v>
      </c>
      <c r="C146" s="31">
        <v>4301135570</v>
      </c>
      <c r="D146" s="345">
        <v>4607111035806</v>
      </c>
      <c r="E146" s="346"/>
      <c r="F146" s="335">
        <v>0.25</v>
      </c>
      <c r="G146" s="32">
        <v>12</v>
      </c>
      <c r="H146" s="335">
        <v>3</v>
      </c>
      <c r="I146" s="335">
        <v>3.7035999999999998</v>
      </c>
      <c r="J146" s="32">
        <v>70</v>
      </c>
      <c r="K146" s="32" t="s">
        <v>79</v>
      </c>
      <c r="L146" s="32" t="s">
        <v>67</v>
      </c>
      <c r="M146" s="33" t="s">
        <v>68</v>
      </c>
      <c r="N146" s="33"/>
      <c r="O146" s="32">
        <v>180</v>
      </c>
      <c r="P146" s="534" t="s">
        <v>254</v>
      </c>
      <c r="Q146" s="341"/>
      <c r="R146" s="341"/>
      <c r="S146" s="341"/>
      <c r="T146" s="342"/>
      <c r="U146" s="34"/>
      <c r="V146" s="34"/>
      <c r="W146" s="35" t="s">
        <v>69</v>
      </c>
      <c r="X146" s="336">
        <v>0</v>
      </c>
      <c r="Y146" s="33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255</v>
      </c>
      <c r="AG146" s="67"/>
      <c r="AJ146" s="71" t="s">
        <v>71</v>
      </c>
      <c r="AK146" s="71">
        <v>1</v>
      </c>
      <c r="BB146" s="177" t="s">
        <v>82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347"/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9"/>
      <c r="P147" s="353" t="s">
        <v>72</v>
      </c>
      <c r="Q147" s="354"/>
      <c r="R147" s="354"/>
      <c r="S147" s="354"/>
      <c r="T147" s="354"/>
      <c r="U147" s="354"/>
      <c r="V147" s="355"/>
      <c r="W147" s="37" t="s">
        <v>69</v>
      </c>
      <c r="X147" s="338">
        <f>IFERROR(SUM(X146:X146),"0")</f>
        <v>0</v>
      </c>
      <c r="Y147" s="338">
        <f>IFERROR(SUM(Y146:Y146),"0")</f>
        <v>0</v>
      </c>
      <c r="Z147" s="338">
        <f>IFERROR(IF(Z146="",0,Z146),"0")</f>
        <v>0</v>
      </c>
      <c r="AA147" s="339"/>
      <c r="AB147" s="339"/>
      <c r="AC147" s="339"/>
    </row>
    <row r="148" spans="1:68" x14ac:dyDescent="0.2">
      <c r="A148" s="348"/>
      <c r="B148" s="348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9"/>
      <c r="P148" s="353" t="s">
        <v>72</v>
      </c>
      <c r="Q148" s="354"/>
      <c r="R148" s="354"/>
      <c r="S148" s="354"/>
      <c r="T148" s="354"/>
      <c r="U148" s="354"/>
      <c r="V148" s="355"/>
      <c r="W148" s="37" t="s">
        <v>73</v>
      </c>
      <c r="X148" s="338">
        <f>IFERROR(SUMPRODUCT(X146:X146*H146:H146),"0")</f>
        <v>0</v>
      </c>
      <c r="Y148" s="338">
        <f>IFERROR(SUMPRODUCT(Y146:Y146*H146:H146),"0")</f>
        <v>0</v>
      </c>
      <c r="Z148" s="37"/>
      <c r="AA148" s="339"/>
      <c r="AB148" s="339"/>
      <c r="AC148" s="339"/>
    </row>
    <row r="149" spans="1:68" ht="16.5" customHeight="1" x14ac:dyDescent="0.25">
      <c r="A149" s="352" t="s">
        <v>256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331"/>
      <c r="AB149" s="331"/>
      <c r="AC149" s="331"/>
    </row>
    <row r="150" spans="1:68" ht="14.25" customHeight="1" x14ac:dyDescent="0.25">
      <c r="A150" s="351" t="s">
        <v>146</v>
      </c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332"/>
      <c r="AB150" s="332"/>
      <c r="AC150" s="332"/>
    </row>
    <row r="151" spans="1:68" ht="16.5" customHeight="1" x14ac:dyDescent="0.25">
      <c r="A151" s="54" t="s">
        <v>257</v>
      </c>
      <c r="B151" s="54" t="s">
        <v>258</v>
      </c>
      <c r="C151" s="31">
        <v>4301135596</v>
      </c>
      <c r="D151" s="345">
        <v>4607111039613</v>
      </c>
      <c r="E151" s="346"/>
      <c r="F151" s="335">
        <v>0.09</v>
      </c>
      <c r="G151" s="32">
        <v>30</v>
      </c>
      <c r="H151" s="335">
        <v>2.7</v>
      </c>
      <c r="I151" s="335">
        <v>3.09</v>
      </c>
      <c r="J151" s="32">
        <v>126</v>
      </c>
      <c r="K151" s="32" t="s">
        <v>79</v>
      </c>
      <c r="L151" s="32" t="s">
        <v>67</v>
      </c>
      <c r="M151" s="33" t="s">
        <v>68</v>
      </c>
      <c r="N151" s="33"/>
      <c r="O151" s="32">
        <v>180</v>
      </c>
      <c r="P151" s="5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1" s="341"/>
      <c r="R151" s="341"/>
      <c r="S151" s="341"/>
      <c r="T151" s="342"/>
      <c r="U151" s="34"/>
      <c r="V151" s="34"/>
      <c r="W151" s="35" t="s">
        <v>69</v>
      </c>
      <c r="X151" s="336">
        <v>14</v>
      </c>
      <c r="Y151" s="337">
        <f>IFERROR(IF(X151="","",X151),"")</f>
        <v>14</v>
      </c>
      <c r="Z151" s="36">
        <f>IFERROR(IF(X151="","",X151*0.00936),"")</f>
        <v>0.13103999999999999</v>
      </c>
      <c r="AA151" s="56"/>
      <c r="AB151" s="57"/>
      <c r="AC151" s="178" t="s">
        <v>241</v>
      </c>
      <c r="AG151" s="67"/>
      <c r="AJ151" s="71" t="s">
        <v>71</v>
      </c>
      <c r="AK151" s="71">
        <v>1</v>
      </c>
      <c r="BB151" s="179" t="s">
        <v>82</v>
      </c>
      <c r="BM151" s="67">
        <f>IFERROR(X151*I151,"0")</f>
        <v>43.26</v>
      </c>
      <c r="BN151" s="67">
        <f>IFERROR(Y151*I151,"0")</f>
        <v>43.26</v>
      </c>
      <c r="BO151" s="67">
        <f>IFERROR(X151/J151,"0")</f>
        <v>0.1111111111111111</v>
      </c>
      <c r="BP151" s="67">
        <f>IFERROR(Y151/J151,"0")</f>
        <v>0.1111111111111111</v>
      </c>
    </row>
    <row r="152" spans="1:68" x14ac:dyDescent="0.2">
      <c r="A152" s="347"/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49"/>
      <c r="P152" s="353" t="s">
        <v>72</v>
      </c>
      <c r="Q152" s="354"/>
      <c r="R152" s="354"/>
      <c r="S152" s="354"/>
      <c r="T152" s="354"/>
      <c r="U152" s="354"/>
      <c r="V152" s="355"/>
      <c r="W152" s="37" t="s">
        <v>69</v>
      </c>
      <c r="X152" s="338">
        <f>IFERROR(SUM(X151:X151),"0")</f>
        <v>14</v>
      </c>
      <c r="Y152" s="338">
        <f>IFERROR(SUM(Y151:Y151),"0")</f>
        <v>14</v>
      </c>
      <c r="Z152" s="338">
        <f>IFERROR(IF(Z151="",0,Z151),"0")</f>
        <v>0.13103999999999999</v>
      </c>
      <c r="AA152" s="339"/>
      <c r="AB152" s="339"/>
      <c r="AC152" s="339"/>
    </row>
    <row r="153" spans="1:68" x14ac:dyDescent="0.2">
      <c r="A153" s="348"/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9"/>
      <c r="P153" s="353" t="s">
        <v>72</v>
      </c>
      <c r="Q153" s="354"/>
      <c r="R153" s="354"/>
      <c r="S153" s="354"/>
      <c r="T153" s="354"/>
      <c r="U153" s="354"/>
      <c r="V153" s="355"/>
      <c r="W153" s="37" t="s">
        <v>73</v>
      </c>
      <c r="X153" s="338">
        <f>IFERROR(SUMPRODUCT(X151:X151*H151:H151),"0")</f>
        <v>37.800000000000004</v>
      </c>
      <c r="Y153" s="338">
        <f>IFERROR(SUMPRODUCT(Y151:Y151*H151:H151),"0")</f>
        <v>37.800000000000004</v>
      </c>
      <c r="Z153" s="37"/>
      <c r="AA153" s="339"/>
      <c r="AB153" s="339"/>
      <c r="AC153" s="339"/>
    </row>
    <row r="154" spans="1:68" ht="16.5" customHeight="1" x14ac:dyDescent="0.25">
      <c r="A154" s="352" t="s">
        <v>259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331"/>
      <c r="AB154" s="331"/>
      <c r="AC154" s="331"/>
    </row>
    <row r="155" spans="1:68" ht="14.25" customHeight="1" x14ac:dyDescent="0.25">
      <c r="A155" s="351" t="s">
        <v>260</v>
      </c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332"/>
      <c r="AB155" s="332"/>
      <c r="AC155" s="332"/>
    </row>
    <row r="156" spans="1:68" ht="27" customHeight="1" x14ac:dyDescent="0.25">
      <c r="A156" s="54" t="s">
        <v>261</v>
      </c>
      <c r="B156" s="54" t="s">
        <v>262</v>
      </c>
      <c r="C156" s="31">
        <v>4301071054</v>
      </c>
      <c r="D156" s="345">
        <v>4607111035639</v>
      </c>
      <c r="E156" s="346"/>
      <c r="F156" s="335">
        <v>0.2</v>
      </c>
      <c r="G156" s="32">
        <v>8</v>
      </c>
      <c r="H156" s="335">
        <v>1.6</v>
      </c>
      <c r="I156" s="335">
        <v>2.12</v>
      </c>
      <c r="J156" s="32">
        <v>72</v>
      </c>
      <c r="K156" s="32" t="s">
        <v>263</v>
      </c>
      <c r="L156" s="32" t="s">
        <v>67</v>
      </c>
      <c r="M156" s="33" t="s">
        <v>68</v>
      </c>
      <c r="N156" s="33"/>
      <c r="O156" s="32">
        <v>180</v>
      </c>
      <c r="P156" s="473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6" s="341"/>
      <c r="R156" s="341"/>
      <c r="S156" s="341"/>
      <c r="T156" s="342"/>
      <c r="U156" s="34"/>
      <c r="V156" s="34"/>
      <c r="W156" s="35" t="s">
        <v>69</v>
      </c>
      <c r="X156" s="336">
        <v>0</v>
      </c>
      <c r="Y156" s="337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264</v>
      </c>
      <c r="AG156" s="67"/>
      <c r="AJ156" s="71" t="s">
        <v>71</v>
      </c>
      <c r="AK156" s="71">
        <v>1</v>
      </c>
      <c r="BB156" s="181" t="s">
        <v>82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265</v>
      </c>
      <c r="B157" s="54" t="s">
        <v>266</v>
      </c>
      <c r="C157" s="31">
        <v>4301135540</v>
      </c>
      <c r="D157" s="345">
        <v>4607111035646</v>
      </c>
      <c r="E157" s="346"/>
      <c r="F157" s="335">
        <v>0.2</v>
      </c>
      <c r="G157" s="32">
        <v>8</v>
      </c>
      <c r="H157" s="335">
        <v>1.6</v>
      </c>
      <c r="I157" s="335">
        <v>2.12</v>
      </c>
      <c r="J157" s="32">
        <v>72</v>
      </c>
      <c r="K157" s="32" t="s">
        <v>263</v>
      </c>
      <c r="L157" s="32" t="s">
        <v>67</v>
      </c>
      <c r="M157" s="33" t="s">
        <v>68</v>
      </c>
      <c r="N157" s="33"/>
      <c r="O157" s="32">
        <v>180</v>
      </c>
      <c r="P157" s="36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7" s="341"/>
      <c r="R157" s="341"/>
      <c r="S157" s="341"/>
      <c r="T157" s="342"/>
      <c r="U157" s="34"/>
      <c r="V157" s="34"/>
      <c r="W157" s="35" t="s">
        <v>69</v>
      </c>
      <c r="X157" s="336">
        <v>0</v>
      </c>
      <c r="Y157" s="337">
        <f>IFERROR(IF(X157="","",X157),"")</f>
        <v>0</v>
      </c>
      <c r="Z157" s="36">
        <f>IFERROR(IF(X157="","",X157*0.01157),"")</f>
        <v>0</v>
      </c>
      <c r="AA157" s="56"/>
      <c r="AB157" s="57"/>
      <c r="AC157" s="182" t="s">
        <v>264</v>
      </c>
      <c r="AG157" s="67"/>
      <c r="AJ157" s="71" t="s">
        <v>71</v>
      </c>
      <c r="AK157" s="71">
        <v>1</v>
      </c>
      <c r="BB157" s="183" t="s">
        <v>82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347"/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49"/>
      <c r="P158" s="353" t="s">
        <v>72</v>
      </c>
      <c r="Q158" s="354"/>
      <c r="R158" s="354"/>
      <c r="S158" s="354"/>
      <c r="T158" s="354"/>
      <c r="U158" s="354"/>
      <c r="V158" s="355"/>
      <c r="W158" s="37" t="s">
        <v>69</v>
      </c>
      <c r="X158" s="338">
        <f>IFERROR(SUM(X156:X157),"0")</f>
        <v>0</v>
      </c>
      <c r="Y158" s="338">
        <f>IFERROR(SUM(Y156:Y157),"0")</f>
        <v>0</v>
      </c>
      <c r="Z158" s="338">
        <f>IFERROR(IF(Z156="",0,Z156),"0")+IFERROR(IF(Z157="",0,Z157),"0")</f>
        <v>0</v>
      </c>
      <c r="AA158" s="339"/>
      <c r="AB158" s="339"/>
      <c r="AC158" s="339"/>
    </row>
    <row r="159" spans="1:68" x14ac:dyDescent="0.2">
      <c r="A159" s="348"/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9"/>
      <c r="P159" s="353" t="s">
        <v>72</v>
      </c>
      <c r="Q159" s="354"/>
      <c r="R159" s="354"/>
      <c r="S159" s="354"/>
      <c r="T159" s="354"/>
      <c r="U159" s="354"/>
      <c r="V159" s="355"/>
      <c r="W159" s="37" t="s">
        <v>73</v>
      </c>
      <c r="X159" s="338">
        <f>IFERROR(SUMPRODUCT(X156:X157*H156:H157),"0")</f>
        <v>0</v>
      </c>
      <c r="Y159" s="338">
        <f>IFERROR(SUMPRODUCT(Y156:Y157*H156:H157),"0")</f>
        <v>0</v>
      </c>
      <c r="Z159" s="37"/>
      <c r="AA159" s="339"/>
      <c r="AB159" s="339"/>
      <c r="AC159" s="339"/>
    </row>
    <row r="160" spans="1:68" ht="16.5" customHeight="1" x14ac:dyDescent="0.25">
      <c r="A160" s="352" t="s">
        <v>267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331"/>
      <c r="AB160" s="331"/>
      <c r="AC160" s="331"/>
    </row>
    <row r="161" spans="1:68" ht="14.25" customHeight="1" x14ac:dyDescent="0.25">
      <c r="A161" s="351" t="s">
        <v>146</v>
      </c>
      <c r="B161" s="348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8"/>
      <c r="O161" s="348"/>
      <c r="P161" s="348"/>
      <c r="Q161" s="348"/>
      <c r="R161" s="348"/>
      <c r="S161" s="348"/>
      <c r="T161" s="348"/>
      <c r="U161" s="348"/>
      <c r="V161" s="348"/>
      <c r="W161" s="348"/>
      <c r="X161" s="348"/>
      <c r="Y161" s="348"/>
      <c r="Z161" s="348"/>
      <c r="AA161" s="332"/>
      <c r="AB161" s="332"/>
      <c r="AC161" s="332"/>
    </row>
    <row r="162" spans="1:68" ht="27" customHeight="1" x14ac:dyDescent="0.25">
      <c r="A162" s="54" t="s">
        <v>268</v>
      </c>
      <c r="B162" s="54" t="s">
        <v>269</v>
      </c>
      <c r="C162" s="31">
        <v>4301135281</v>
      </c>
      <c r="D162" s="345">
        <v>4607111036568</v>
      </c>
      <c r="E162" s="346"/>
      <c r="F162" s="335">
        <v>0.28000000000000003</v>
      </c>
      <c r="G162" s="32">
        <v>6</v>
      </c>
      <c r="H162" s="335">
        <v>1.68</v>
      </c>
      <c r="I162" s="335">
        <v>2.1017999999999999</v>
      </c>
      <c r="J162" s="32">
        <v>140</v>
      </c>
      <c r="K162" s="32" t="s">
        <v>79</v>
      </c>
      <c r="L162" s="32" t="s">
        <v>67</v>
      </c>
      <c r="M162" s="33" t="s">
        <v>68</v>
      </c>
      <c r="N162" s="33"/>
      <c r="O162" s="32">
        <v>180</v>
      </c>
      <c r="P162" s="50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2" s="341"/>
      <c r="R162" s="341"/>
      <c r="S162" s="341"/>
      <c r="T162" s="342"/>
      <c r="U162" s="34"/>
      <c r="V162" s="34"/>
      <c r="W162" s="35" t="s">
        <v>69</v>
      </c>
      <c r="X162" s="336">
        <v>0</v>
      </c>
      <c r="Y162" s="337">
        <f>IFERROR(IF(X162="","",X162),"")</f>
        <v>0</v>
      </c>
      <c r="Z162" s="36">
        <f>IFERROR(IF(X162="","",X162*0.00941),"")</f>
        <v>0</v>
      </c>
      <c r="AA162" s="56"/>
      <c r="AB162" s="57"/>
      <c r="AC162" s="184" t="s">
        <v>270</v>
      </c>
      <c r="AG162" s="67"/>
      <c r="AJ162" s="71" t="s">
        <v>71</v>
      </c>
      <c r="AK162" s="71">
        <v>1</v>
      </c>
      <c r="BB162" s="185" t="s">
        <v>82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347"/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49"/>
      <c r="P163" s="353" t="s">
        <v>72</v>
      </c>
      <c r="Q163" s="354"/>
      <c r="R163" s="354"/>
      <c r="S163" s="354"/>
      <c r="T163" s="354"/>
      <c r="U163" s="354"/>
      <c r="V163" s="355"/>
      <c r="W163" s="37" t="s">
        <v>69</v>
      </c>
      <c r="X163" s="338">
        <f>IFERROR(SUM(X162:X162),"0")</f>
        <v>0</v>
      </c>
      <c r="Y163" s="338">
        <f>IFERROR(SUM(Y162:Y162),"0")</f>
        <v>0</v>
      </c>
      <c r="Z163" s="338">
        <f>IFERROR(IF(Z162="",0,Z162),"0")</f>
        <v>0</v>
      </c>
      <c r="AA163" s="339"/>
      <c r="AB163" s="339"/>
      <c r="AC163" s="339"/>
    </row>
    <row r="164" spans="1:68" x14ac:dyDescent="0.2">
      <c r="A164" s="348"/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9"/>
      <c r="P164" s="353" t="s">
        <v>72</v>
      </c>
      <c r="Q164" s="354"/>
      <c r="R164" s="354"/>
      <c r="S164" s="354"/>
      <c r="T164" s="354"/>
      <c r="U164" s="354"/>
      <c r="V164" s="355"/>
      <c r="W164" s="37" t="s">
        <v>73</v>
      </c>
      <c r="X164" s="338">
        <f>IFERROR(SUMPRODUCT(X162:X162*H162:H162),"0")</f>
        <v>0</v>
      </c>
      <c r="Y164" s="338">
        <f>IFERROR(SUMPRODUCT(Y162:Y162*H162:H162),"0")</f>
        <v>0</v>
      </c>
      <c r="Z164" s="37"/>
      <c r="AA164" s="339"/>
      <c r="AB164" s="339"/>
      <c r="AC164" s="339"/>
    </row>
    <row r="165" spans="1:68" ht="27.75" customHeight="1" x14ac:dyDescent="0.2">
      <c r="A165" s="369" t="s">
        <v>271</v>
      </c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48"/>
      <c r="AB165" s="48"/>
      <c r="AC165" s="48"/>
    </row>
    <row r="166" spans="1:68" ht="16.5" customHeight="1" x14ac:dyDescent="0.25">
      <c r="A166" s="352" t="s">
        <v>272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331"/>
      <c r="AB166" s="331"/>
      <c r="AC166" s="331"/>
    </row>
    <row r="167" spans="1:68" ht="14.25" customHeight="1" x14ac:dyDescent="0.25">
      <c r="A167" s="351" t="s">
        <v>146</v>
      </c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332"/>
      <c r="AB167" s="332"/>
      <c r="AC167" s="332"/>
    </row>
    <row r="168" spans="1:68" ht="27" customHeight="1" x14ac:dyDescent="0.25">
      <c r="A168" s="54" t="s">
        <v>273</v>
      </c>
      <c r="B168" s="54" t="s">
        <v>274</v>
      </c>
      <c r="C168" s="31">
        <v>4301135317</v>
      </c>
      <c r="D168" s="345">
        <v>4607111039057</v>
      </c>
      <c r="E168" s="346"/>
      <c r="F168" s="335">
        <v>1.8</v>
      </c>
      <c r="G168" s="32">
        <v>1</v>
      </c>
      <c r="H168" s="335">
        <v>1.8</v>
      </c>
      <c r="I168" s="335">
        <v>1.9</v>
      </c>
      <c r="J168" s="32">
        <v>234</v>
      </c>
      <c r="K168" s="32" t="s">
        <v>160</v>
      </c>
      <c r="L168" s="32" t="s">
        <v>108</v>
      </c>
      <c r="M168" s="33" t="s">
        <v>68</v>
      </c>
      <c r="N168" s="33"/>
      <c r="O168" s="32">
        <v>180</v>
      </c>
      <c r="P168" s="400" t="s">
        <v>275</v>
      </c>
      <c r="Q168" s="341"/>
      <c r="R168" s="341"/>
      <c r="S168" s="341"/>
      <c r="T168" s="342"/>
      <c r="U168" s="34"/>
      <c r="V168" s="34"/>
      <c r="W168" s="35" t="s">
        <v>69</v>
      </c>
      <c r="X168" s="336">
        <v>0</v>
      </c>
      <c r="Y168" s="337">
        <f>IFERROR(IF(X168="","",X168),"")</f>
        <v>0</v>
      </c>
      <c r="Z168" s="36">
        <f>IFERROR(IF(X168="","",X168*0.00502),"")</f>
        <v>0</v>
      </c>
      <c r="AA168" s="56"/>
      <c r="AB168" s="57"/>
      <c r="AC168" s="186" t="s">
        <v>241</v>
      </c>
      <c r="AG168" s="67"/>
      <c r="AJ168" s="71" t="s">
        <v>110</v>
      </c>
      <c r="AK168" s="71">
        <v>18</v>
      </c>
      <c r="BB168" s="187" t="s">
        <v>82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347"/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9"/>
      <c r="P169" s="353" t="s">
        <v>72</v>
      </c>
      <c r="Q169" s="354"/>
      <c r="R169" s="354"/>
      <c r="S169" s="354"/>
      <c r="T169" s="354"/>
      <c r="U169" s="354"/>
      <c r="V169" s="355"/>
      <c r="W169" s="37" t="s">
        <v>69</v>
      </c>
      <c r="X169" s="338">
        <f>IFERROR(SUM(X168:X168),"0")</f>
        <v>0</v>
      </c>
      <c r="Y169" s="338">
        <f>IFERROR(SUM(Y168:Y168),"0")</f>
        <v>0</v>
      </c>
      <c r="Z169" s="338">
        <f>IFERROR(IF(Z168="",0,Z168),"0")</f>
        <v>0</v>
      </c>
      <c r="AA169" s="339"/>
      <c r="AB169" s="339"/>
      <c r="AC169" s="339"/>
    </row>
    <row r="170" spans="1:68" x14ac:dyDescent="0.2">
      <c r="A170" s="348"/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9"/>
      <c r="P170" s="353" t="s">
        <v>72</v>
      </c>
      <c r="Q170" s="354"/>
      <c r="R170" s="354"/>
      <c r="S170" s="354"/>
      <c r="T170" s="354"/>
      <c r="U170" s="354"/>
      <c r="V170" s="355"/>
      <c r="W170" s="37" t="s">
        <v>73</v>
      </c>
      <c r="X170" s="338">
        <f>IFERROR(SUMPRODUCT(X168:X168*H168:H168),"0")</f>
        <v>0</v>
      </c>
      <c r="Y170" s="338">
        <f>IFERROR(SUMPRODUCT(Y168:Y168*H168:H168),"0")</f>
        <v>0</v>
      </c>
      <c r="Z170" s="37"/>
      <c r="AA170" s="339"/>
      <c r="AB170" s="339"/>
      <c r="AC170" s="339"/>
    </row>
    <row r="171" spans="1:68" ht="16.5" customHeight="1" x14ac:dyDescent="0.25">
      <c r="A171" s="352" t="s">
        <v>276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31"/>
      <c r="AB171" s="331"/>
      <c r="AC171" s="331"/>
    </row>
    <row r="172" spans="1:68" ht="14.25" customHeight="1" x14ac:dyDescent="0.25">
      <c r="A172" s="351" t="s">
        <v>63</v>
      </c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332"/>
      <c r="AB172" s="332"/>
      <c r="AC172" s="332"/>
    </row>
    <row r="173" spans="1:68" ht="16.5" customHeight="1" x14ac:dyDescent="0.25">
      <c r="A173" s="54" t="s">
        <v>277</v>
      </c>
      <c r="B173" s="54" t="s">
        <v>278</v>
      </c>
      <c r="C173" s="31">
        <v>4301071062</v>
      </c>
      <c r="D173" s="345">
        <v>4607111036384</v>
      </c>
      <c r="E173" s="346"/>
      <c r="F173" s="335">
        <v>5</v>
      </c>
      <c r="G173" s="32">
        <v>1</v>
      </c>
      <c r="H173" s="335">
        <v>5</v>
      </c>
      <c r="I173" s="335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85" t="s">
        <v>279</v>
      </c>
      <c r="Q173" s="341"/>
      <c r="R173" s="341"/>
      <c r="S173" s="341"/>
      <c r="T173" s="342"/>
      <c r="U173" s="34"/>
      <c r="V173" s="34"/>
      <c r="W173" s="35" t="s">
        <v>69</v>
      </c>
      <c r="X173" s="336">
        <v>0</v>
      </c>
      <c r="Y173" s="33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280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16.5" customHeight="1" x14ac:dyDescent="0.25">
      <c r="A174" s="54" t="s">
        <v>281</v>
      </c>
      <c r="B174" s="54" t="s">
        <v>282</v>
      </c>
      <c r="C174" s="31">
        <v>4301071056</v>
      </c>
      <c r="D174" s="345">
        <v>4640242180250</v>
      </c>
      <c r="E174" s="346"/>
      <c r="F174" s="335">
        <v>5</v>
      </c>
      <c r="G174" s="32">
        <v>1</v>
      </c>
      <c r="H174" s="335">
        <v>5</v>
      </c>
      <c r="I174" s="335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549" t="s">
        <v>283</v>
      </c>
      <c r="Q174" s="341"/>
      <c r="R174" s="341"/>
      <c r="S174" s="341"/>
      <c r="T174" s="342"/>
      <c r="U174" s="34"/>
      <c r="V174" s="34"/>
      <c r="W174" s="35" t="s">
        <v>69</v>
      </c>
      <c r="X174" s="336">
        <v>12</v>
      </c>
      <c r="Y174" s="337">
        <f>IFERROR(IF(X174="","",X174),"")</f>
        <v>12</v>
      </c>
      <c r="Z174" s="36">
        <f>IFERROR(IF(X174="","",X174*0.00866),"")</f>
        <v>0.10391999999999998</v>
      </c>
      <c r="AA174" s="56"/>
      <c r="AB174" s="57"/>
      <c r="AC174" s="190" t="s">
        <v>284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62.558399999999992</v>
      </c>
      <c r="BN174" s="67">
        <f>IFERROR(Y174*I174,"0")</f>
        <v>62.558399999999992</v>
      </c>
      <c r="BO174" s="67">
        <f>IFERROR(X174/J174,"0")</f>
        <v>8.3333333333333329E-2</v>
      </c>
      <c r="BP174" s="67">
        <f>IFERROR(Y174/J174,"0")</f>
        <v>8.3333333333333329E-2</v>
      </c>
    </row>
    <row r="175" spans="1:68" ht="27" customHeight="1" x14ac:dyDescent="0.25">
      <c r="A175" s="54" t="s">
        <v>285</v>
      </c>
      <c r="B175" s="54" t="s">
        <v>286</v>
      </c>
      <c r="C175" s="31">
        <v>4301071050</v>
      </c>
      <c r="D175" s="345">
        <v>4607111036216</v>
      </c>
      <c r="E175" s="346"/>
      <c r="F175" s="335">
        <v>5</v>
      </c>
      <c r="G175" s="32">
        <v>1</v>
      </c>
      <c r="H175" s="335">
        <v>5</v>
      </c>
      <c r="I175" s="335">
        <v>5.2131999999999996</v>
      </c>
      <c r="J175" s="32">
        <v>144</v>
      </c>
      <c r="K175" s="32" t="s">
        <v>66</v>
      </c>
      <c r="L175" s="32" t="s">
        <v>108</v>
      </c>
      <c r="M175" s="33" t="s">
        <v>68</v>
      </c>
      <c r="N175" s="33"/>
      <c r="O175" s="32">
        <v>180</v>
      </c>
      <c r="P175" s="50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41"/>
      <c r="R175" s="341"/>
      <c r="S175" s="341"/>
      <c r="T175" s="342"/>
      <c r="U175" s="34"/>
      <c r="V175" s="34"/>
      <c r="W175" s="35" t="s">
        <v>69</v>
      </c>
      <c r="X175" s="336">
        <v>48</v>
      </c>
      <c r="Y175" s="337">
        <f>IFERROR(IF(X175="","",X175),"")</f>
        <v>48</v>
      </c>
      <c r="Z175" s="36">
        <f>IFERROR(IF(X175="","",X175*0.00866),"")</f>
        <v>0.41567999999999994</v>
      </c>
      <c r="AA175" s="56"/>
      <c r="AB175" s="57"/>
      <c r="AC175" s="192" t="s">
        <v>287</v>
      </c>
      <c r="AG175" s="67"/>
      <c r="AJ175" s="71" t="s">
        <v>110</v>
      </c>
      <c r="AK175" s="71">
        <v>12</v>
      </c>
      <c r="BB175" s="193" t="s">
        <v>1</v>
      </c>
      <c r="BM175" s="67">
        <f>IFERROR(X175*I175,"0")</f>
        <v>250.23359999999997</v>
      </c>
      <c r="BN175" s="67">
        <f>IFERROR(Y175*I175,"0")</f>
        <v>250.23359999999997</v>
      </c>
      <c r="BO175" s="67">
        <f>IFERROR(X175/J175,"0")</f>
        <v>0.33333333333333331</v>
      </c>
      <c r="BP175" s="67">
        <f>IFERROR(Y175/J175,"0")</f>
        <v>0.33333333333333331</v>
      </c>
    </row>
    <row r="176" spans="1:68" ht="27" customHeight="1" x14ac:dyDescent="0.25">
      <c r="A176" s="54" t="s">
        <v>288</v>
      </c>
      <c r="B176" s="54" t="s">
        <v>289</v>
      </c>
      <c r="C176" s="31">
        <v>4301071061</v>
      </c>
      <c r="D176" s="345">
        <v>4607111036278</v>
      </c>
      <c r="E176" s="346"/>
      <c r="F176" s="335">
        <v>5</v>
      </c>
      <c r="G176" s="32">
        <v>1</v>
      </c>
      <c r="H176" s="335">
        <v>5</v>
      </c>
      <c r="I176" s="335">
        <v>5.2405999999999997</v>
      </c>
      <c r="J176" s="32">
        <v>84</v>
      </c>
      <c r="K176" s="32" t="s">
        <v>66</v>
      </c>
      <c r="L176" s="32" t="s">
        <v>67</v>
      </c>
      <c r="M176" s="33" t="s">
        <v>68</v>
      </c>
      <c r="N176" s="33"/>
      <c r="O176" s="32">
        <v>180</v>
      </c>
      <c r="P176" s="512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6" s="341"/>
      <c r="R176" s="341"/>
      <c r="S176" s="341"/>
      <c r="T176" s="342"/>
      <c r="U176" s="34"/>
      <c r="V176" s="34"/>
      <c r="W176" s="35" t="s">
        <v>69</v>
      </c>
      <c r="X176" s="336">
        <v>0</v>
      </c>
      <c r="Y176" s="337">
        <f>IFERROR(IF(X176="","",X176),"")</f>
        <v>0</v>
      </c>
      <c r="Z176" s="36">
        <f>IFERROR(IF(X176="","",X176*0.0155),"")</f>
        <v>0</v>
      </c>
      <c r="AA176" s="56"/>
      <c r="AB176" s="57"/>
      <c r="AC176" s="194" t="s">
        <v>290</v>
      </c>
      <c r="AG176" s="67"/>
      <c r="AJ176" s="71" t="s">
        <v>71</v>
      </c>
      <c r="AK176" s="71">
        <v>1</v>
      </c>
      <c r="BB176" s="195" t="s">
        <v>1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347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9"/>
      <c r="P177" s="353" t="s">
        <v>72</v>
      </c>
      <c r="Q177" s="354"/>
      <c r="R177" s="354"/>
      <c r="S177" s="354"/>
      <c r="T177" s="354"/>
      <c r="U177" s="354"/>
      <c r="V177" s="355"/>
      <c r="W177" s="37" t="s">
        <v>69</v>
      </c>
      <c r="X177" s="338">
        <f>IFERROR(SUM(X173:X176),"0")</f>
        <v>60</v>
      </c>
      <c r="Y177" s="338">
        <f>IFERROR(SUM(Y173:Y176),"0")</f>
        <v>60</v>
      </c>
      <c r="Z177" s="338">
        <f>IFERROR(IF(Z173="",0,Z173),"0")+IFERROR(IF(Z174="",0,Z174),"0")+IFERROR(IF(Z175="",0,Z175),"0")+IFERROR(IF(Z176="",0,Z176),"0")</f>
        <v>0.51959999999999995</v>
      </c>
      <c r="AA177" s="339"/>
      <c r="AB177" s="339"/>
      <c r="AC177" s="339"/>
    </row>
    <row r="178" spans="1:68" x14ac:dyDescent="0.2">
      <c r="A178" s="348"/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9"/>
      <c r="P178" s="353" t="s">
        <v>72</v>
      </c>
      <c r="Q178" s="354"/>
      <c r="R178" s="354"/>
      <c r="S178" s="354"/>
      <c r="T178" s="354"/>
      <c r="U178" s="354"/>
      <c r="V178" s="355"/>
      <c r="W178" s="37" t="s">
        <v>73</v>
      </c>
      <c r="X178" s="338">
        <f>IFERROR(SUMPRODUCT(X173:X176*H173:H176),"0")</f>
        <v>300</v>
      </c>
      <c r="Y178" s="338">
        <f>IFERROR(SUMPRODUCT(Y173:Y176*H173:H176),"0")</f>
        <v>300</v>
      </c>
      <c r="Z178" s="37"/>
      <c r="AA178" s="339"/>
      <c r="AB178" s="339"/>
      <c r="AC178" s="339"/>
    </row>
    <row r="179" spans="1:68" ht="14.25" customHeight="1" x14ac:dyDescent="0.25">
      <c r="A179" s="351" t="s">
        <v>291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332"/>
      <c r="AB179" s="332"/>
      <c r="AC179" s="332"/>
    </row>
    <row r="180" spans="1:68" ht="27" customHeight="1" x14ac:dyDescent="0.25">
      <c r="A180" s="54" t="s">
        <v>292</v>
      </c>
      <c r="B180" s="54" t="s">
        <v>293</v>
      </c>
      <c r="C180" s="31">
        <v>4301080153</v>
      </c>
      <c r="D180" s="345">
        <v>4607111036827</v>
      </c>
      <c r="E180" s="346"/>
      <c r="F180" s="335">
        <v>1</v>
      </c>
      <c r="G180" s="32">
        <v>5</v>
      </c>
      <c r="H180" s="335">
        <v>5</v>
      </c>
      <c r="I180" s="335">
        <v>5.2</v>
      </c>
      <c r="J180" s="32">
        <v>144</v>
      </c>
      <c r="K180" s="32" t="s">
        <v>66</v>
      </c>
      <c r="L180" s="32" t="s">
        <v>67</v>
      </c>
      <c r="M180" s="33" t="s">
        <v>68</v>
      </c>
      <c r="N180" s="33"/>
      <c r="O180" s="32">
        <v>90</v>
      </c>
      <c r="P180" s="42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0" s="341"/>
      <c r="R180" s="341"/>
      <c r="S180" s="341"/>
      <c r="T180" s="342"/>
      <c r="U180" s="34"/>
      <c r="V180" s="34"/>
      <c r="W180" s="35" t="s">
        <v>69</v>
      </c>
      <c r="X180" s="336">
        <v>0</v>
      </c>
      <c r="Y180" s="33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294</v>
      </c>
      <c r="AG180" s="67"/>
      <c r="AJ180" s="71" t="s">
        <v>71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295</v>
      </c>
      <c r="B181" s="54" t="s">
        <v>296</v>
      </c>
      <c r="C181" s="31">
        <v>4301080154</v>
      </c>
      <c r="D181" s="345">
        <v>4607111036834</v>
      </c>
      <c r="E181" s="346"/>
      <c r="F181" s="335">
        <v>1</v>
      </c>
      <c r="G181" s="32">
        <v>5</v>
      </c>
      <c r="H181" s="335">
        <v>5</v>
      </c>
      <c r="I181" s="335">
        <v>5.2530000000000001</v>
      </c>
      <c r="J181" s="32">
        <v>144</v>
      </c>
      <c r="K181" s="32" t="s">
        <v>66</v>
      </c>
      <c r="L181" s="32" t="s">
        <v>67</v>
      </c>
      <c r="M181" s="33" t="s">
        <v>68</v>
      </c>
      <c r="N181" s="33"/>
      <c r="O181" s="32">
        <v>90</v>
      </c>
      <c r="P181" s="5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1" s="341"/>
      <c r="R181" s="341"/>
      <c r="S181" s="341"/>
      <c r="T181" s="342"/>
      <c r="U181" s="34"/>
      <c r="V181" s="34"/>
      <c r="W181" s="35" t="s">
        <v>69</v>
      </c>
      <c r="X181" s="336">
        <v>0</v>
      </c>
      <c r="Y181" s="337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294</v>
      </c>
      <c r="AG181" s="67"/>
      <c r="AJ181" s="71" t="s">
        <v>71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347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49"/>
      <c r="P182" s="353" t="s">
        <v>72</v>
      </c>
      <c r="Q182" s="354"/>
      <c r="R182" s="354"/>
      <c r="S182" s="354"/>
      <c r="T182" s="354"/>
      <c r="U182" s="354"/>
      <c r="V182" s="355"/>
      <c r="W182" s="37" t="s">
        <v>69</v>
      </c>
      <c r="X182" s="338">
        <f>IFERROR(SUM(X180:X181),"0")</f>
        <v>0</v>
      </c>
      <c r="Y182" s="338">
        <f>IFERROR(SUM(Y180:Y181),"0")</f>
        <v>0</v>
      </c>
      <c r="Z182" s="338">
        <f>IFERROR(IF(Z180="",0,Z180),"0")+IFERROR(IF(Z181="",0,Z181),"0")</f>
        <v>0</v>
      </c>
      <c r="AA182" s="339"/>
      <c r="AB182" s="339"/>
      <c r="AC182" s="339"/>
    </row>
    <row r="183" spans="1:68" x14ac:dyDescent="0.2">
      <c r="A183" s="348"/>
      <c r="B183" s="348"/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/>
      <c r="O183" s="349"/>
      <c r="P183" s="353" t="s">
        <v>72</v>
      </c>
      <c r="Q183" s="354"/>
      <c r="R183" s="354"/>
      <c r="S183" s="354"/>
      <c r="T183" s="354"/>
      <c r="U183" s="354"/>
      <c r="V183" s="355"/>
      <c r="W183" s="37" t="s">
        <v>73</v>
      </c>
      <c r="X183" s="338">
        <f>IFERROR(SUMPRODUCT(X180:X181*H180:H181),"0")</f>
        <v>0</v>
      </c>
      <c r="Y183" s="338">
        <f>IFERROR(SUMPRODUCT(Y180:Y181*H180:H181),"0")</f>
        <v>0</v>
      </c>
      <c r="Z183" s="37"/>
      <c r="AA183" s="339"/>
      <c r="AB183" s="339"/>
      <c r="AC183" s="339"/>
    </row>
    <row r="184" spans="1:68" ht="27.75" customHeight="1" x14ac:dyDescent="0.2">
      <c r="A184" s="369" t="s">
        <v>297</v>
      </c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48"/>
      <c r="AB184" s="48"/>
      <c r="AC184" s="48"/>
    </row>
    <row r="185" spans="1:68" ht="16.5" customHeight="1" x14ac:dyDescent="0.25">
      <c r="A185" s="352" t="s">
        <v>298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31"/>
      <c r="AB185" s="331"/>
      <c r="AC185" s="331"/>
    </row>
    <row r="186" spans="1:68" ht="14.25" customHeight="1" x14ac:dyDescent="0.25">
      <c r="A186" s="351" t="s">
        <v>76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332"/>
      <c r="AB186" s="332"/>
      <c r="AC186" s="332"/>
    </row>
    <row r="187" spans="1:68" ht="27" customHeight="1" x14ac:dyDescent="0.25">
      <c r="A187" s="54" t="s">
        <v>299</v>
      </c>
      <c r="B187" s="54" t="s">
        <v>300</v>
      </c>
      <c r="C187" s="31">
        <v>4301132182</v>
      </c>
      <c r="D187" s="345">
        <v>4607111035721</v>
      </c>
      <c r="E187" s="346"/>
      <c r="F187" s="335">
        <v>0.25</v>
      </c>
      <c r="G187" s="32">
        <v>12</v>
      </c>
      <c r="H187" s="335">
        <v>3</v>
      </c>
      <c r="I187" s="335">
        <v>3.3879999999999999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365</v>
      </c>
      <c r="P187" s="41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7" s="341"/>
      <c r="R187" s="341"/>
      <c r="S187" s="341"/>
      <c r="T187" s="342"/>
      <c r="U187" s="34"/>
      <c r="V187" s="34"/>
      <c r="W187" s="35" t="s">
        <v>69</v>
      </c>
      <c r="X187" s="336">
        <v>70</v>
      </c>
      <c r="Y187" s="337">
        <f>IFERROR(IF(X187="","",X187),"")</f>
        <v>70</v>
      </c>
      <c r="Z187" s="36">
        <f>IFERROR(IF(X187="","",X187*0.01788),"")</f>
        <v>1.2516</v>
      </c>
      <c r="AA187" s="56"/>
      <c r="AB187" s="57"/>
      <c r="AC187" s="200" t="s">
        <v>301</v>
      </c>
      <c r="AG187" s="67"/>
      <c r="AJ187" s="71" t="s">
        <v>71</v>
      </c>
      <c r="AK187" s="71">
        <v>1</v>
      </c>
      <c r="BB187" s="201" t="s">
        <v>82</v>
      </c>
      <c r="BM187" s="67">
        <f>IFERROR(X187*I187,"0")</f>
        <v>237.16</v>
      </c>
      <c r="BN187" s="67">
        <f>IFERROR(Y187*I187,"0")</f>
        <v>237.16</v>
      </c>
      <c r="BO187" s="67">
        <f>IFERROR(X187/J187,"0")</f>
        <v>1</v>
      </c>
      <c r="BP187" s="67">
        <f>IFERROR(Y187/J187,"0")</f>
        <v>1</v>
      </c>
    </row>
    <row r="188" spans="1:68" ht="27" customHeight="1" x14ac:dyDescent="0.25">
      <c r="A188" s="54" t="s">
        <v>302</v>
      </c>
      <c r="B188" s="54" t="s">
        <v>303</v>
      </c>
      <c r="C188" s="31">
        <v>4301132179</v>
      </c>
      <c r="D188" s="345">
        <v>4607111035691</v>
      </c>
      <c r="E188" s="346"/>
      <c r="F188" s="335">
        <v>0.25</v>
      </c>
      <c r="G188" s="32">
        <v>12</v>
      </c>
      <c r="H188" s="335">
        <v>3</v>
      </c>
      <c r="I188" s="335">
        <v>3.3879999999999999</v>
      </c>
      <c r="J188" s="32">
        <v>70</v>
      </c>
      <c r="K188" s="32" t="s">
        <v>79</v>
      </c>
      <c r="L188" s="32" t="s">
        <v>67</v>
      </c>
      <c r="M188" s="33" t="s">
        <v>68</v>
      </c>
      <c r="N188" s="33"/>
      <c r="O188" s="32">
        <v>365</v>
      </c>
      <c r="P188" s="50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41"/>
      <c r="R188" s="341"/>
      <c r="S188" s="341"/>
      <c r="T188" s="342"/>
      <c r="U188" s="34"/>
      <c r="V188" s="34"/>
      <c r="W188" s="35" t="s">
        <v>69</v>
      </c>
      <c r="X188" s="336">
        <v>84</v>
      </c>
      <c r="Y188" s="337">
        <f>IFERROR(IF(X188="","",X188),"")</f>
        <v>84</v>
      </c>
      <c r="Z188" s="36">
        <f>IFERROR(IF(X188="","",X188*0.01788),"")</f>
        <v>1.5019199999999999</v>
      </c>
      <c r="AA188" s="56"/>
      <c r="AB188" s="57"/>
      <c r="AC188" s="202" t="s">
        <v>304</v>
      </c>
      <c r="AG188" s="67"/>
      <c r="AJ188" s="71" t="s">
        <v>71</v>
      </c>
      <c r="AK188" s="71">
        <v>1</v>
      </c>
      <c r="BB188" s="203" t="s">
        <v>82</v>
      </c>
      <c r="BM188" s="67">
        <f>IFERROR(X188*I188,"0")</f>
        <v>284.59199999999998</v>
      </c>
      <c r="BN188" s="67">
        <f>IFERROR(Y188*I188,"0")</f>
        <v>284.59199999999998</v>
      </c>
      <c r="BO188" s="67">
        <f>IFERROR(X188/J188,"0")</f>
        <v>1.2</v>
      </c>
      <c r="BP188" s="67">
        <f>IFERROR(Y188/J188,"0")</f>
        <v>1.2</v>
      </c>
    </row>
    <row r="189" spans="1:68" ht="27" customHeight="1" x14ac:dyDescent="0.25">
      <c r="A189" s="54" t="s">
        <v>305</v>
      </c>
      <c r="B189" s="54" t="s">
        <v>306</v>
      </c>
      <c r="C189" s="31">
        <v>4301132170</v>
      </c>
      <c r="D189" s="345">
        <v>4607111038487</v>
      </c>
      <c r="E189" s="346"/>
      <c r="F189" s="335">
        <v>0.25</v>
      </c>
      <c r="G189" s="32">
        <v>12</v>
      </c>
      <c r="H189" s="335">
        <v>3</v>
      </c>
      <c r="I189" s="335">
        <v>3.7360000000000002</v>
      </c>
      <c r="J189" s="32">
        <v>70</v>
      </c>
      <c r="K189" s="32" t="s">
        <v>79</v>
      </c>
      <c r="L189" s="32" t="s">
        <v>67</v>
      </c>
      <c r="M189" s="33" t="s">
        <v>68</v>
      </c>
      <c r="N189" s="33"/>
      <c r="O189" s="32">
        <v>180</v>
      </c>
      <c r="P189" s="41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9" s="341"/>
      <c r="R189" s="341"/>
      <c r="S189" s="341"/>
      <c r="T189" s="342"/>
      <c r="U189" s="34"/>
      <c r="V189" s="34"/>
      <c r="W189" s="35" t="s">
        <v>69</v>
      </c>
      <c r="X189" s="336">
        <v>56</v>
      </c>
      <c r="Y189" s="337">
        <f>IFERROR(IF(X189="","",X189),"")</f>
        <v>56</v>
      </c>
      <c r="Z189" s="36">
        <f>IFERROR(IF(X189="","",X189*0.01788),"")</f>
        <v>1.0012799999999999</v>
      </c>
      <c r="AA189" s="56"/>
      <c r="AB189" s="57"/>
      <c r="AC189" s="204" t="s">
        <v>307</v>
      </c>
      <c r="AG189" s="67"/>
      <c r="AJ189" s="71" t="s">
        <v>71</v>
      </c>
      <c r="AK189" s="71">
        <v>1</v>
      </c>
      <c r="BB189" s="205" t="s">
        <v>82</v>
      </c>
      <c r="BM189" s="67">
        <f>IFERROR(X189*I189,"0")</f>
        <v>209.21600000000001</v>
      </c>
      <c r="BN189" s="67">
        <f>IFERROR(Y189*I189,"0")</f>
        <v>209.21600000000001</v>
      </c>
      <c r="BO189" s="67">
        <f>IFERROR(X189/J189,"0")</f>
        <v>0.8</v>
      </c>
      <c r="BP189" s="67">
        <f>IFERROR(Y189/J189,"0")</f>
        <v>0.8</v>
      </c>
    </row>
    <row r="190" spans="1:68" x14ac:dyDescent="0.2">
      <c r="A190" s="347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9"/>
      <c r="P190" s="353" t="s">
        <v>72</v>
      </c>
      <c r="Q190" s="354"/>
      <c r="R190" s="354"/>
      <c r="S190" s="354"/>
      <c r="T190" s="354"/>
      <c r="U190" s="354"/>
      <c r="V190" s="355"/>
      <c r="W190" s="37" t="s">
        <v>69</v>
      </c>
      <c r="X190" s="338">
        <f>IFERROR(SUM(X187:X189),"0")</f>
        <v>210</v>
      </c>
      <c r="Y190" s="338">
        <f>IFERROR(SUM(Y187:Y189),"0")</f>
        <v>210</v>
      </c>
      <c r="Z190" s="338">
        <f>IFERROR(IF(Z187="",0,Z187),"0")+IFERROR(IF(Z188="",0,Z188),"0")+IFERROR(IF(Z189="",0,Z189),"0")</f>
        <v>3.7547999999999999</v>
      </c>
      <c r="AA190" s="339"/>
      <c r="AB190" s="339"/>
      <c r="AC190" s="339"/>
    </row>
    <row r="191" spans="1:68" x14ac:dyDescent="0.2">
      <c r="A191" s="348"/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9"/>
      <c r="P191" s="353" t="s">
        <v>72</v>
      </c>
      <c r="Q191" s="354"/>
      <c r="R191" s="354"/>
      <c r="S191" s="354"/>
      <c r="T191" s="354"/>
      <c r="U191" s="354"/>
      <c r="V191" s="355"/>
      <c r="W191" s="37" t="s">
        <v>73</v>
      </c>
      <c r="X191" s="338">
        <f>IFERROR(SUMPRODUCT(X187:X189*H187:H189),"0")</f>
        <v>630</v>
      </c>
      <c r="Y191" s="338">
        <f>IFERROR(SUMPRODUCT(Y187:Y189*H187:H189),"0")</f>
        <v>630</v>
      </c>
      <c r="Z191" s="37"/>
      <c r="AA191" s="339"/>
      <c r="AB191" s="339"/>
      <c r="AC191" s="339"/>
    </row>
    <row r="192" spans="1:68" ht="14.25" customHeight="1" x14ac:dyDescent="0.25">
      <c r="A192" s="351" t="s">
        <v>308</v>
      </c>
      <c r="B192" s="348"/>
      <c r="C192" s="348"/>
      <c r="D192" s="348"/>
      <c r="E192" s="348"/>
      <c r="F192" s="348"/>
      <c r="G192" s="348"/>
      <c r="H192" s="348"/>
      <c r="I192" s="348"/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  <c r="AA192" s="332"/>
      <c r="AB192" s="332"/>
      <c r="AC192" s="332"/>
    </row>
    <row r="193" spans="1:68" ht="27" customHeight="1" x14ac:dyDescent="0.25">
      <c r="A193" s="54" t="s">
        <v>309</v>
      </c>
      <c r="B193" s="54" t="s">
        <v>310</v>
      </c>
      <c r="C193" s="31">
        <v>4301051855</v>
      </c>
      <c r="D193" s="345">
        <v>4680115885875</v>
      </c>
      <c r="E193" s="346"/>
      <c r="F193" s="335">
        <v>1</v>
      </c>
      <c r="G193" s="32">
        <v>9</v>
      </c>
      <c r="H193" s="335">
        <v>9</v>
      </c>
      <c r="I193" s="335">
        <v>9.4350000000000005</v>
      </c>
      <c r="J193" s="32">
        <v>64</v>
      </c>
      <c r="K193" s="32" t="s">
        <v>311</v>
      </c>
      <c r="L193" s="32" t="s">
        <v>67</v>
      </c>
      <c r="M193" s="33" t="s">
        <v>312</v>
      </c>
      <c r="N193" s="33"/>
      <c r="O193" s="32">
        <v>365</v>
      </c>
      <c r="P193" s="491" t="s">
        <v>313</v>
      </c>
      <c r="Q193" s="341"/>
      <c r="R193" s="341"/>
      <c r="S193" s="341"/>
      <c r="T193" s="342"/>
      <c r="U193" s="34"/>
      <c r="V193" s="34"/>
      <c r="W193" s="35" t="s">
        <v>69</v>
      </c>
      <c r="X193" s="336">
        <v>0</v>
      </c>
      <c r="Y193" s="337">
        <f>IFERROR(IF(X193="","",X193),"")</f>
        <v>0</v>
      </c>
      <c r="Z193" s="36">
        <f>IFERROR(IF(X193="","",X193*0.01898),"")</f>
        <v>0</v>
      </c>
      <c r="AA193" s="56"/>
      <c r="AB193" s="57"/>
      <c r="AC193" s="206" t="s">
        <v>314</v>
      </c>
      <c r="AG193" s="67"/>
      <c r="AJ193" s="71" t="s">
        <v>71</v>
      </c>
      <c r="AK193" s="71">
        <v>1</v>
      </c>
      <c r="BB193" s="207" t="s">
        <v>315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347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9"/>
      <c r="P194" s="353" t="s">
        <v>72</v>
      </c>
      <c r="Q194" s="354"/>
      <c r="R194" s="354"/>
      <c r="S194" s="354"/>
      <c r="T194" s="354"/>
      <c r="U194" s="354"/>
      <c r="V194" s="355"/>
      <c r="W194" s="37" t="s">
        <v>69</v>
      </c>
      <c r="X194" s="338">
        <f>IFERROR(SUM(X193:X193),"0")</f>
        <v>0</v>
      </c>
      <c r="Y194" s="338">
        <f>IFERROR(SUM(Y193:Y193),"0")</f>
        <v>0</v>
      </c>
      <c r="Z194" s="338">
        <f>IFERROR(IF(Z193="",0,Z193),"0")</f>
        <v>0</v>
      </c>
      <c r="AA194" s="339"/>
      <c r="AB194" s="339"/>
      <c r="AC194" s="339"/>
    </row>
    <row r="195" spans="1:68" x14ac:dyDescent="0.2">
      <c r="A195" s="348"/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9"/>
      <c r="P195" s="353" t="s">
        <v>72</v>
      </c>
      <c r="Q195" s="354"/>
      <c r="R195" s="354"/>
      <c r="S195" s="354"/>
      <c r="T195" s="354"/>
      <c r="U195" s="354"/>
      <c r="V195" s="355"/>
      <c r="W195" s="37" t="s">
        <v>73</v>
      </c>
      <c r="X195" s="338">
        <f>IFERROR(SUMPRODUCT(X193:X193*H193:H193),"0")</f>
        <v>0</v>
      </c>
      <c r="Y195" s="338">
        <f>IFERROR(SUMPRODUCT(Y193:Y193*H193:H193),"0")</f>
        <v>0</v>
      </c>
      <c r="Z195" s="37"/>
      <c r="AA195" s="339"/>
      <c r="AB195" s="339"/>
      <c r="AC195" s="339"/>
    </row>
    <row r="196" spans="1:68" ht="27.75" customHeight="1" x14ac:dyDescent="0.2">
      <c r="A196" s="369" t="s">
        <v>316</v>
      </c>
      <c r="B196" s="370"/>
      <c r="C196" s="370"/>
      <c r="D196" s="370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48"/>
      <c r="AB196" s="48"/>
      <c r="AC196" s="48"/>
    </row>
    <row r="197" spans="1:68" ht="16.5" customHeight="1" x14ac:dyDescent="0.25">
      <c r="A197" s="352" t="s">
        <v>317</v>
      </c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31"/>
      <c r="AB197" s="331"/>
      <c r="AC197" s="331"/>
    </row>
    <row r="198" spans="1:68" ht="14.25" customHeight="1" x14ac:dyDescent="0.25">
      <c r="A198" s="351" t="s">
        <v>146</v>
      </c>
      <c r="B198" s="348"/>
      <c r="C198" s="348"/>
      <c r="D198" s="348"/>
      <c r="E198" s="348"/>
      <c r="F198" s="348"/>
      <c r="G198" s="348"/>
      <c r="H198" s="348"/>
      <c r="I198" s="348"/>
      <c r="J198" s="348"/>
      <c r="K198" s="348"/>
      <c r="L198" s="348"/>
      <c r="M198" s="348"/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  <c r="AA198" s="332"/>
      <c r="AB198" s="332"/>
      <c r="AC198" s="332"/>
    </row>
    <row r="199" spans="1:68" ht="27" customHeight="1" x14ac:dyDescent="0.25">
      <c r="A199" s="54" t="s">
        <v>318</v>
      </c>
      <c r="B199" s="54" t="s">
        <v>319</v>
      </c>
      <c r="C199" s="31">
        <v>4301135707</v>
      </c>
      <c r="D199" s="345">
        <v>4620207490198</v>
      </c>
      <c r="E199" s="346"/>
      <c r="F199" s="335">
        <v>0.2</v>
      </c>
      <c r="G199" s="32">
        <v>12</v>
      </c>
      <c r="H199" s="335">
        <v>2.4</v>
      </c>
      <c r="I199" s="335">
        <v>3.1036000000000001</v>
      </c>
      <c r="J199" s="32">
        <v>70</v>
      </c>
      <c r="K199" s="32" t="s">
        <v>79</v>
      </c>
      <c r="L199" s="32" t="s">
        <v>108</v>
      </c>
      <c r="M199" s="33" t="s">
        <v>68</v>
      </c>
      <c r="N199" s="33"/>
      <c r="O199" s="32">
        <v>180</v>
      </c>
      <c r="P199" s="53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9" s="341"/>
      <c r="R199" s="341"/>
      <c r="S199" s="341"/>
      <c r="T199" s="342"/>
      <c r="U199" s="34"/>
      <c r="V199" s="34"/>
      <c r="W199" s="35" t="s">
        <v>69</v>
      </c>
      <c r="X199" s="336">
        <v>0</v>
      </c>
      <c r="Y199" s="33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110</v>
      </c>
      <c r="AK199" s="71">
        <v>14</v>
      </c>
      <c r="BB199" s="209" t="s">
        <v>82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4301135719</v>
      </c>
      <c r="D200" s="345">
        <v>4620207490235</v>
      </c>
      <c r="E200" s="346"/>
      <c r="F200" s="335">
        <v>0.2</v>
      </c>
      <c r="G200" s="32">
        <v>12</v>
      </c>
      <c r="H200" s="335">
        <v>2.4</v>
      </c>
      <c r="I200" s="335">
        <v>3.1036000000000001</v>
      </c>
      <c r="J200" s="32">
        <v>70</v>
      </c>
      <c r="K200" s="32" t="s">
        <v>79</v>
      </c>
      <c r="L200" s="32" t="s">
        <v>108</v>
      </c>
      <c r="M200" s="33" t="s">
        <v>68</v>
      </c>
      <c r="N200" s="33"/>
      <c r="O200" s="32">
        <v>180</v>
      </c>
      <c r="P200" s="54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0" s="341"/>
      <c r="R200" s="341"/>
      <c r="S200" s="341"/>
      <c r="T200" s="342"/>
      <c r="U200" s="34"/>
      <c r="V200" s="34"/>
      <c r="W200" s="35" t="s">
        <v>69</v>
      </c>
      <c r="X200" s="336">
        <v>14</v>
      </c>
      <c r="Y200" s="33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323</v>
      </c>
      <c r="AG200" s="67"/>
      <c r="AJ200" s="71" t="s">
        <v>110</v>
      </c>
      <c r="AK200" s="71">
        <v>14</v>
      </c>
      <c r="BB200" s="211" t="s">
        <v>82</v>
      </c>
      <c r="BM200" s="67">
        <f>IFERROR(X200*I200,"0")</f>
        <v>43.450400000000002</v>
      </c>
      <c r="BN200" s="67">
        <f>IFERROR(Y200*I200,"0")</f>
        <v>43.450400000000002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324</v>
      </c>
      <c r="B201" s="54" t="s">
        <v>325</v>
      </c>
      <c r="C201" s="31">
        <v>4301135697</v>
      </c>
      <c r="D201" s="345">
        <v>4620207490259</v>
      </c>
      <c r="E201" s="346"/>
      <c r="F201" s="335">
        <v>0.2</v>
      </c>
      <c r="G201" s="32">
        <v>12</v>
      </c>
      <c r="H201" s="335">
        <v>2.4</v>
      </c>
      <c r="I201" s="335">
        <v>3.1036000000000001</v>
      </c>
      <c r="J201" s="32">
        <v>70</v>
      </c>
      <c r="K201" s="32" t="s">
        <v>79</v>
      </c>
      <c r="L201" s="32" t="s">
        <v>108</v>
      </c>
      <c r="M201" s="33" t="s">
        <v>68</v>
      </c>
      <c r="N201" s="33"/>
      <c r="O201" s="32">
        <v>180</v>
      </c>
      <c r="P201" s="5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1" s="341"/>
      <c r="R201" s="341"/>
      <c r="S201" s="341"/>
      <c r="T201" s="342"/>
      <c r="U201" s="34"/>
      <c r="V201" s="34"/>
      <c r="W201" s="35" t="s">
        <v>69</v>
      </c>
      <c r="X201" s="336">
        <v>0</v>
      </c>
      <c r="Y201" s="337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320</v>
      </c>
      <c r="AG201" s="67"/>
      <c r="AJ201" s="71" t="s">
        <v>110</v>
      </c>
      <c r="AK201" s="71">
        <v>14</v>
      </c>
      <c r="BB201" s="213" t="s">
        <v>82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4301135681</v>
      </c>
      <c r="D202" s="345">
        <v>4620207490143</v>
      </c>
      <c r="E202" s="346"/>
      <c r="F202" s="335">
        <v>0.22</v>
      </c>
      <c r="G202" s="32">
        <v>12</v>
      </c>
      <c r="H202" s="335">
        <v>2.64</v>
      </c>
      <c r="I202" s="335">
        <v>3.3435999999999999</v>
      </c>
      <c r="J202" s="32">
        <v>70</v>
      </c>
      <c r="K202" s="32" t="s">
        <v>79</v>
      </c>
      <c r="L202" s="32" t="s">
        <v>67</v>
      </c>
      <c r="M202" s="33" t="s">
        <v>68</v>
      </c>
      <c r="N202" s="33"/>
      <c r="O202" s="32">
        <v>180</v>
      </c>
      <c r="P202" s="55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2" s="341"/>
      <c r="R202" s="341"/>
      <c r="S202" s="341"/>
      <c r="T202" s="342"/>
      <c r="U202" s="34"/>
      <c r="V202" s="34"/>
      <c r="W202" s="35" t="s">
        <v>69</v>
      </c>
      <c r="X202" s="336">
        <v>0</v>
      </c>
      <c r="Y202" s="33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328</v>
      </c>
      <c r="AG202" s="67"/>
      <c r="AJ202" s="71" t="s">
        <v>71</v>
      </c>
      <c r="AK202" s="71">
        <v>1</v>
      </c>
      <c r="BB202" s="215" t="s">
        <v>82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47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9"/>
      <c r="P203" s="353" t="s">
        <v>72</v>
      </c>
      <c r="Q203" s="354"/>
      <c r="R203" s="354"/>
      <c r="S203" s="354"/>
      <c r="T203" s="354"/>
      <c r="U203" s="354"/>
      <c r="V203" s="355"/>
      <c r="W203" s="37" t="s">
        <v>69</v>
      </c>
      <c r="X203" s="338">
        <f>IFERROR(SUM(X199:X202),"0")</f>
        <v>14</v>
      </c>
      <c r="Y203" s="338">
        <f>IFERROR(SUM(Y199:Y202),"0")</f>
        <v>14</v>
      </c>
      <c r="Z203" s="338">
        <f>IFERROR(IF(Z199="",0,Z199),"0")+IFERROR(IF(Z200="",0,Z200),"0")+IFERROR(IF(Z201="",0,Z201),"0")+IFERROR(IF(Z202="",0,Z202),"0")</f>
        <v>0.25031999999999999</v>
      </c>
      <c r="AA203" s="339"/>
      <c r="AB203" s="339"/>
      <c r="AC203" s="339"/>
    </row>
    <row r="204" spans="1:68" x14ac:dyDescent="0.2">
      <c r="A204" s="348"/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9"/>
      <c r="P204" s="353" t="s">
        <v>72</v>
      </c>
      <c r="Q204" s="354"/>
      <c r="R204" s="354"/>
      <c r="S204" s="354"/>
      <c r="T204" s="354"/>
      <c r="U204" s="354"/>
      <c r="V204" s="355"/>
      <c r="W204" s="37" t="s">
        <v>73</v>
      </c>
      <c r="X204" s="338">
        <f>IFERROR(SUMPRODUCT(X199:X202*H199:H202),"0")</f>
        <v>33.6</v>
      </c>
      <c r="Y204" s="338">
        <f>IFERROR(SUMPRODUCT(Y199:Y202*H199:H202),"0")</f>
        <v>33.6</v>
      </c>
      <c r="Z204" s="37"/>
      <c r="AA204" s="339"/>
      <c r="AB204" s="339"/>
      <c r="AC204" s="339"/>
    </row>
    <row r="205" spans="1:68" ht="16.5" customHeight="1" x14ac:dyDescent="0.25">
      <c r="A205" s="352" t="s">
        <v>329</v>
      </c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31"/>
      <c r="AB205" s="331"/>
      <c r="AC205" s="331"/>
    </row>
    <row r="206" spans="1:68" ht="14.25" customHeight="1" x14ac:dyDescent="0.25">
      <c r="A206" s="351" t="s">
        <v>63</v>
      </c>
      <c r="B206" s="348"/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348"/>
      <c r="N206" s="348"/>
      <c r="O206" s="348"/>
      <c r="P206" s="348"/>
      <c r="Q206" s="348"/>
      <c r="R206" s="348"/>
      <c r="S206" s="348"/>
      <c r="T206" s="348"/>
      <c r="U206" s="348"/>
      <c r="V206" s="348"/>
      <c r="W206" s="348"/>
      <c r="X206" s="348"/>
      <c r="Y206" s="348"/>
      <c r="Z206" s="348"/>
      <c r="AA206" s="332"/>
      <c r="AB206" s="332"/>
      <c r="AC206" s="332"/>
    </row>
    <row r="207" spans="1:68" ht="16.5" customHeight="1" x14ac:dyDescent="0.25">
      <c r="A207" s="54" t="s">
        <v>330</v>
      </c>
      <c r="B207" s="54" t="s">
        <v>331</v>
      </c>
      <c r="C207" s="31">
        <v>4301070948</v>
      </c>
      <c r="D207" s="345">
        <v>4607111037022</v>
      </c>
      <c r="E207" s="346"/>
      <c r="F207" s="335">
        <v>0.7</v>
      </c>
      <c r="G207" s="32">
        <v>8</v>
      </c>
      <c r="H207" s="335">
        <v>5.6</v>
      </c>
      <c r="I207" s="335">
        <v>5.87</v>
      </c>
      <c r="J207" s="32">
        <v>84</v>
      </c>
      <c r="K207" s="32" t="s">
        <v>66</v>
      </c>
      <c r="L207" s="32" t="s">
        <v>113</v>
      </c>
      <c r="M207" s="33" t="s">
        <v>68</v>
      </c>
      <c r="N207" s="33"/>
      <c r="O207" s="32">
        <v>180</v>
      </c>
      <c r="P207" s="465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7" s="341"/>
      <c r="R207" s="341"/>
      <c r="S207" s="341"/>
      <c r="T207" s="342"/>
      <c r="U207" s="34"/>
      <c r="V207" s="34"/>
      <c r="W207" s="35" t="s">
        <v>69</v>
      </c>
      <c r="X207" s="336">
        <v>96</v>
      </c>
      <c r="Y207" s="337">
        <f>IFERROR(IF(X207="","",X207),"")</f>
        <v>96</v>
      </c>
      <c r="Z207" s="36">
        <f>IFERROR(IF(X207="","",X207*0.0155),"")</f>
        <v>1.488</v>
      </c>
      <c r="AA207" s="56"/>
      <c r="AB207" s="57"/>
      <c r="AC207" s="216" t="s">
        <v>332</v>
      </c>
      <c r="AG207" s="67"/>
      <c r="AJ207" s="71" t="s">
        <v>114</v>
      </c>
      <c r="AK207" s="71">
        <v>84</v>
      </c>
      <c r="BB207" s="217" t="s">
        <v>1</v>
      </c>
      <c r="BM207" s="67">
        <f>IFERROR(X207*I207,"0")</f>
        <v>563.52</v>
      </c>
      <c r="BN207" s="67">
        <f>IFERROR(Y207*I207,"0")</f>
        <v>563.52</v>
      </c>
      <c r="BO207" s="67">
        <f>IFERROR(X207/J207,"0")</f>
        <v>1.1428571428571428</v>
      </c>
      <c r="BP207" s="67">
        <f>IFERROR(Y207/J207,"0")</f>
        <v>1.1428571428571428</v>
      </c>
    </row>
    <row r="208" spans="1:68" ht="27" customHeight="1" x14ac:dyDescent="0.25">
      <c r="A208" s="54" t="s">
        <v>333</v>
      </c>
      <c r="B208" s="54" t="s">
        <v>334</v>
      </c>
      <c r="C208" s="31">
        <v>4301070990</v>
      </c>
      <c r="D208" s="345">
        <v>4607111038494</v>
      </c>
      <c r="E208" s="346"/>
      <c r="F208" s="335">
        <v>0.7</v>
      </c>
      <c r="G208" s="32">
        <v>8</v>
      </c>
      <c r="H208" s="335">
        <v>5.6</v>
      </c>
      <c r="I208" s="335">
        <v>5.87</v>
      </c>
      <c r="J208" s="32">
        <v>84</v>
      </c>
      <c r="K208" s="32" t="s">
        <v>66</v>
      </c>
      <c r="L208" s="32" t="s">
        <v>67</v>
      </c>
      <c r="M208" s="33" t="s">
        <v>68</v>
      </c>
      <c r="N208" s="33"/>
      <c r="O208" s="32">
        <v>180</v>
      </c>
      <c r="P208" s="435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8" s="341"/>
      <c r="R208" s="341"/>
      <c r="S208" s="341"/>
      <c r="T208" s="342"/>
      <c r="U208" s="34"/>
      <c r="V208" s="34"/>
      <c r="W208" s="35" t="s">
        <v>69</v>
      </c>
      <c r="X208" s="336">
        <v>0</v>
      </c>
      <c r="Y208" s="337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71</v>
      </c>
      <c r="AK208" s="71">
        <v>1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4301070966</v>
      </c>
      <c r="D209" s="345">
        <v>4607111038135</v>
      </c>
      <c r="E209" s="346"/>
      <c r="F209" s="335">
        <v>0.7</v>
      </c>
      <c r="G209" s="32">
        <v>8</v>
      </c>
      <c r="H209" s="335">
        <v>5.6</v>
      </c>
      <c r="I209" s="335">
        <v>5.87</v>
      </c>
      <c r="J209" s="32">
        <v>84</v>
      </c>
      <c r="K209" s="32" t="s">
        <v>66</v>
      </c>
      <c r="L209" s="32" t="s">
        <v>108</v>
      </c>
      <c r="M209" s="33" t="s">
        <v>68</v>
      </c>
      <c r="N209" s="33"/>
      <c r="O209" s="32">
        <v>180</v>
      </c>
      <c r="P209" s="380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9" s="341"/>
      <c r="R209" s="341"/>
      <c r="S209" s="341"/>
      <c r="T209" s="342"/>
      <c r="U209" s="34"/>
      <c r="V209" s="34"/>
      <c r="W209" s="35" t="s">
        <v>69</v>
      </c>
      <c r="X209" s="336">
        <v>12</v>
      </c>
      <c r="Y209" s="337">
        <f>IFERROR(IF(X209="","",X209),"")</f>
        <v>12</v>
      </c>
      <c r="Z209" s="36">
        <f>IFERROR(IF(X209="","",X209*0.0155),"")</f>
        <v>0.186</v>
      </c>
      <c r="AA209" s="56"/>
      <c r="AB209" s="57"/>
      <c r="AC209" s="220" t="s">
        <v>338</v>
      </c>
      <c r="AG209" s="67"/>
      <c r="AJ209" s="71" t="s">
        <v>110</v>
      </c>
      <c r="AK209" s="71">
        <v>12</v>
      </c>
      <c r="BB209" s="221" t="s">
        <v>1</v>
      </c>
      <c r="BM209" s="67">
        <f>IFERROR(X209*I209,"0")</f>
        <v>70.44</v>
      </c>
      <c r="BN209" s="67">
        <f>IFERROR(Y209*I209,"0")</f>
        <v>70.44</v>
      </c>
      <c r="BO209" s="67">
        <f>IFERROR(X209/J209,"0")</f>
        <v>0.14285714285714285</v>
      </c>
      <c r="BP209" s="67">
        <f>IFERROR(Y209/J209,"0")</f>
        <v>0.14285714285714285</v>
      </c>
    </row>
    <row r="210" spans="1:68" x14ac:dyDescent="0.2">
      <c r="A210" s="347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9"/>
      <c r="P210" s="353" t="s">
        <v>72</v>
      </c>
      <c r="Q210" s="354"/>
      <c r="R210" s="354"/>
      <c r="S210" s="354"/>
      <c r="T210" s="354"/>
      <c r="U210" s="354"/>
      <c r="V210" s="355"/>
      <c r="W210" s="37" t="s">
        <v>69</v>
      </c>
      <c r="X210" s="338">
        <f>IFERROR(SUM(X207:X209),"0")</f>
        <v>108</v>
      </c>
      <c r="Y210" s="338">
        <f>IFERROR(SUM(Y207:Y209),"0")</f>
        <v>108</v>
      </c>
      <c r="Z210" s="338">
        <f>IFERROR(IF(Z207="",0,Z207),"0")+IFERROR(IF(Z208="",0,Z208),"0")+IFERROR(IF(Z209="",0,Z209),"0")</f>
        <v>1.6739999999999999</v>
      </c>
      <c r="AA210" s="339"/>
      <c r="AB210" s="339"/>
      <c r="AC210" s="339"/>
    </row>
    <row r="211" spans="1:68" x14ac:dyDescent="0.2">
      <c r="A211" s="348"/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9"/>
      <c r="P211" s="353" t="s">
        <v>72</v>
      </c>
      <c r="Q211" s="354"/>
      <c r="R211" s="354"/>
      <c r="S211" s="354"/>
      <c r="T211" s="354"/>
      <c r="U211" s="354"/>
      <c r="V211" s="355"/>
      <c r="W211" s="37" t="s">
        <v>73</v>
      </c>
      <c r="X211" s="338">
        <f>IFERROR(SUMPRODUCT(X207:X209*H207:H209),"0")</f>
        <v>604.79999999999995</v>
      </c>
      <c r="Y211" s="338">
        <f>IFERROR(SUMPRODUCT(Y207:Y209*H207:H209),"0")</f>
        <v>604.79999999999995</v>
      </c>
      <c r="Z211" s="37"/>
      <c r="AA211" s="339"/>
      <c r="AB211" s="339"/>
      <c r="AC211" s="339"/>
    </row>
    <row r="212" spans="1:68" ht="16.5" customHeight="1" x14ac:dyDescent="0.25">
      <c r="A212" s="352" t="s">
        <v>339</v>
      </c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31"/>
      <c r="AB212" s="331"/>
      <c r="AC212" s="331"/>
    </row>
    <row r="213" spans="1:68" ht="14.25" customHeight="1" x14ac:dyDescent="0.25">
      <c r="A213" s="351" t="s">
        <v>63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332"/>
      <c r="AB213" s="332"/>
      <c r="AC213" s="332"/>
    </row>
    <row r="214" spans="1:68" ht="27" customHeight="1" x14ac:dyDescent="0.25">
      <c r="A214" s="54" t="s">
        <v>340</v>
      </c>
      <c r="B214" s="54" t="s">
        <v>341</v>
      </c>
      <c r="C214" s="31">
        <v>4301070996</v>
      </c>
      <c r="D214" s="345">
        <v>4607111038654</v>
      </c>
      <c r="E214" s="346"/>
      <c r="F214" s="335">
        <v>0.4</v>
      </c>
      <c r="G214" s="32">
        <v>16</v>
      </c>
      <c r="H214" s="335">
        <v>6.4</v>
      </c>
      <c r="I214" s="335">
        <v>6.63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1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4" s="341"/>
      <c r="R214" s="341"/>
      <c r="S214" s="341"/>
      <c r="T214" s="342"/>
      <c r="U214" s="34"/>
      <c r="V214" s="34"/>
      <c r="W214" s="35" t="s">
        <v>69</v>
      </c>
      <c r="X214" s="336">
        <v>0</v>
      </c>
      <c r="Y214" s="337">
        <f t="shared" ref="Y214:Y219" si="18">IFERROR(IF(X214="","",X214),"")</f>
        <v>0</v>
      </c>
      <c r="Z214" s="36">
        <f t="shared" ref="Z214:Z219" si="19">IFERROR(IF(X214="","",X214*0.0155),"")</f>
        <v>0</v>
      </c>
      <c r="AA214" s="56"/>
      <c r="AB214" s="57"/>
      <c r="AC214" s="222" t="s">
        <v>342</v>
      </c>
      <c r="AG214" s="67"/>
      <c r="AJ214" s="71" t="s">
        <v>71</v>
      </c>
      <c r="AK214" s="71">
        <v>1</v>
      </c>
      <c r="BB214" s="223" t="s">
        <v>1</v>
      </c>
      <c r="BM214" s="67">
        <f t="shared" ref="BM214:BM219" si="20">IFERROR(X214*I214,"0")</f>
        <v>0</v>
      </c>
      <c r="BN214" s="67">
        <f t="shared" ref="BN214:BN219" si="21">IFERROR(Y214*I214,"0")</f>
        <v>0</v>
      </c>
      <c r="BO214" s="67">
        <f t="shared" ref="BO214:BO219" si="22">IFERROR(X214/J214,"0")</f>
        <v>0</v>
      </c>
      <c r="BP214" s="67">
        <f t="shared" ref="BP214:BP219" si="23">IFERROR(Y214/J214,"0")</f>
        <v>0</v>
      </c>
    </row>
    <row r="215" spans="1:68" ht="27" customHeight="1" x14ac:dyDescent="0.25">
      <c r="A215" s="54" t="s">
        <v>343</v>
      </c>
      <c r="B215" s="54" t="s">
        <v>344</v>
      </c>
      <c r="C215" s="31">
        <v>4301070997</v>
      </c>
      <c r="D215" s="345">
        <v>4607111038586</v>
      </c>
      <c r="E215" s="346"/>
      <c r="F215" s="335">
        <v>0.7</v>
      </c>
      <c r="G215" s="32">
        <v>8</v>
      </c>
      <c r="H215" s="335">
        <v>5.6</v>
      </c>
      <c r="I215" s="335">
        <v>5.83</v>
      </c>
      <c r="J215" s="32">
        <v>84</v>
      </c>
      <c r="K215" s="32" t="s">
        <v>66</v>
      </c>
      <c r="L215" s="32" t="s">
        <v>108</v>
      </c>
      <c r="M215" s="33" t="s">
        <v>68</v>
      </c>
      <c r="N215" s="33"/>
      <c r="O215" s="32">
        <v>180</v>
      </c>
      <c r="P215" s="367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5" s="341"/>
      <c r="R215" s="341"/>
      <c r="S215" s="341"/>
      <c r="T215" s="342"/>
      <c r="U215" s="34"/>
      <c r="V215" s="34"/>
      <c r="W215" s="35" t="s">
        <v>69</v>
      </c>
      <c r="X215" s="336">
        <v>12</v>
      </c>
      <c r="Y215" s="337">
        <f t="shared" si="18"/>
        <v>12</v>
      </c>
      <c r="Z215" s="36">
        <f t="shared" si="19"/>
        <v>0.186</v>
      </c>
      <c r="AA215" s="56"/>
      <c r="AB215" s="57"/>
      <c r="AC215" s="224" t="s">
        <v>342</v>
      </c>
      <c r="AG215" s="67"/>
      <c r="AJ215" s="71" t="s">
        <v>110</v>
      </c>
      <c r="AK215" s="71">
        <v>12</v>
      </c>
      <c r="BB215" s="225" t="s">
        <v>1</v>
      </c>
      <c r="BM215" s="67">
        <f t="shared" si="20"/>
        <v>69.960000000000008</v>
      </c>
      <c r="BN215" s="67">
        <f t="shared" si="21"/>
        <v>69.960000000000008</v>
      </c>
      <c r="BO215" s="67">
        <f t="shared" si="22"/>
        <v>0.14285714285714285</v>
      </c>
      <c r="BP215" s="67">
        <f t="shared" si="23"/>
        <v>0.14285714285714285</v>
      </c>
    </row>
    <row r="216" spans="1:68" ht="27" customHeight="1" x14ac:dyDescent="0.25">
      <c r="A216" s="54" t="s">
        <v>345</v>
      </c>
      <c r="B216" s="54" t="s">
        <v>346</v>
      </c>
      <c r="C216" s="31">
        <v>4301070962</v>
      </c>
      <c r="D216" s="345">
        <v>4607111038609</v>
      </c>
      <c r="E216" s="346"/>
      <c r="F216" s="335">
        <v>0.4</v>
      </c>
      <c r="G216" s="32">
        <v>16</v>
      </c>
      <c r="H216" s="335">
        <v>6.4</v>
      </c>
      <c r="I216" s="335">
        <v>6.71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4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6" s="341"/>
      <c r="R216" s="341"/>
      <c r="S216" s="341"/>
      <c r="T216" s="342"/>
      <c r="U216" s="34"/>
      <c r="V216" s="34"/>
      <c r="W216" s="35" t="s">
        <v>69</v>
      </c>
      <c r="X216" s="336">
        <v>0</v>
      </c>
      <c r="Y216" s="337">
        <f t="shared" si="18"/>
        <v>0</v>
      </c>
      <c r="Z216" s="36">
        <f t="shared" si="19"/>
        <v>0</v>
      </c>
      <c r="AA216" s="56"/>
      <c r="AB216" s="57"/>
      <c r="AC216" s="226" t="s">
        <v>347</v>
      </c>
      <c r="AG216" s="67"/>
      <c r="AJ216" s="71" t="s">
        <v>71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customHeight="1" x14ac:dyDescent="0.25">
      <c r="A217" s="54" t="s">
        <v>348</v>
      </c>
      <c r="B217" s="54" t="s">
        <v>349</v>
      </c>
      <c r="C217" s="31">
        <v>4301070963</v>
      </c>
      <c r="D217" s="345">
        <v>4607111038630</v>
      </c>
      <c r="E217" s="346"/>
      <c r="F217" s="335">
        <v>0.7</v>
      </c>
      <c r="G217" s="32">
        <v>8</v>
      </c>
      <c r="H217" s="335">
        <v>5.6</v>
      </c>
      <c r="I217" s="335">
        <v>5.87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47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7" s="341"/>
      <c r="R217" s="341"/>
      <c r="S217" s="341"/>
      <c r="T217" s="342"/>
      <c r="U217" s="34"/>
      <c r="V217" s="34"/>
      <c r="W217" s="35" t="s">
        <v>69</v>
      </c>
      <c r="X217" s="336">
        <v>0</v>
      </c>
      <c r="Y217" s="337">
        <f t="shared" si="18"/>
        <v>0</v>
      </c>
      <c r="Z217" s="36">
        <f t="shared" si="19"/>
        <v>0</v>
      </c>
      <c r="AA217" s="56"/>
      <c r="AB217" s="57"/>
      <c r="AC217" s="228" t="s">
        <v>347</v>
      </c>
      <c r="AG217" s="67"/>
      <c r="AJ217" s="71" t="s">
        <v>71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customHeight="1" x14ac:dyDescent="0.25">
      <c r="A218" s="54" t="s">
        <v>350</v>
      </c>
      <c r="B218" s="54" t="s">
        <v>351</v>
      </c>
      <c r="C218" s="31">
        <v>4301070959</v>
      </c>
      <c r="D218" s="345">
        <v>4607111038616</v>
      </c>
      <c r="E218" s="346"/>
      <c r="F218" s="335">
        <v>0.4</v>
      </c>
      <c r="G218" s="32">
        <v>16</v>
      </c>
      <c r="H218" s="335">
        <v>6.4</v>
      </c>
      <c r="I218" s="335">
        <v>6.71</v>
      </c>
      <c r="J218" s="32">
        <v>84</v>
      </c>
      <c r="K218" s="32" t="s">
        <v>66</v>
      </c>
      <c r="L218" s="32" t="s">
        <v>67</v>
      </c>
      <c r="M218" s="33" t="s">
        <v>68</v>
      </c>
      <c r="N218" s="33"/>
      <c r="O218" s="32">
        <v>180</v>
      </c>
      <c r="P218" s="555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8" s="341"/>
      <c r="R218" s="341"/>
      <c r="S218" s="341"/>
      <c r="T218" s="342"/>
      <c r="U218" s="34"/>
      <c r="V218" s="34"/>
      <c r="W218" s="35" t="s">
        <v>69</v>
      </c>
      <c r="X218" s="336">
        <v>0</v>
      </c>
      <c r="Y218" s="337">
        <f t="shared" si="18"/>
        <v>0</v>
      </c>
      <c r="Z218" s="36">
        <f t="shared" si="19"/>
        <v>0</v>
      </c>
      <c r="AA218" s="56"/>
      <c r="AB218" s="57"/>
      <c r="AC218" s="230" t="s">
        <v>342</v>
      </c>
      <c r="AG218" s="67"/>
      <c r="AJ218" s="71" t="s">
        <v>71</v>
      </c>
      <c r="AK218" s="71">
        <v>1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ht="27" customHeight="1" x14ac:dyDescent="0.25">
      <c r="A219" s="54" t="s">
        <v>352</v>
      </c>
      <c r="B219" s="54" t="s">
        <v>353</v>
      </c>
      <c r="C219" s="31">
        <v>4301070960</v>
      </c>
      <c r="D219" s="345">
        <v>4607111038623</v>
      </c>
      <c r="E219" s="346"/>
      <c r="F219" s="335">
        <v>0.7</v>
      </c>
      <c r="G219" s="32">
        <v>8</v>
      </c>
      <c r="H219" s="335">
        <v>5.6</v>
      </c>
      <c r="I219" s="335">
        <v>5.87</v>
      </c>
      <c r="J219" s="32">
        <v>84</v>
      </c>
      <c r="K219" s="32" t="s">
        <v>66</v>
      </c>
      <c r="L219" s="32" t="s">
        <v>108</v>
      </c>
      <c r="M219" s="33" t="s">
        <v>68</v>
      </c>
      <c r="N219" s="33"/>
      <c r="O219" s="32">
        <v>180</v>
      </c>
      <c r="P219" s="438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9" s="341"/>
      <c r="R219" s="341"/>
      <c r="S219" s="341"/>
      <c r="T219" s="342"/>
      <c r="U219" s="34"/>
      <c r="V219" s="34"/>
      <c r="W219" s="35" t="s">
        <v>69</v>
      </c>
      <c r="X219" s="336">
        <v>0</v>
      </c>
      <c r="Y219" s="337">
        <f t="shared" si="18"/>
        <v>0</v>
      </c>
      <c r="Z219" s="36">
        <f t="shared" si="19"/>
        <v>0</v>
      </c>
      <c r="AA219" s="56"/>
      <c r="AB219" s="57"/>
      <c r="AC219" s="232" t="s">
        <v>342</v>
      </c>
      <c r="AG219" s="67"/>
      <c r="AJ219" s="71" t="s">
        <v>110</v>
      </c>
      <c r="AK219" s="71">
        <v>12</v>
      </c>
      <c r="BB219" s="233" t="s">
        <v>1</v>
      </c>
      <c r="BM219" s="67">
        <f t="shared" si="20"/>
        <v>0</v>
      </c>
      <c r="BN219" s="67">
        <f t="shared" si="21"/>
        <v>0</v>
      </c>
      <c r="BO219" s="67">
        <f t="shared" si="22"/>
        <v>0</v>
      </c>
      <c r="BP219" s="67">
        <f t="shared" si="23"/>
        <v>0</v>
      </c>
    </row>
    <row r="220" spans="1:68" x14ac:dyDescent="0.2">
      <c r="A220" s="347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9"/>
      <c r="P220" s="353" t="s">
        <v>72</v>
      </c>
      <c r="Q220" s="354"/>
      <c r="R220" s="354"/>
      <c r="S220" s="354"/>
      <c r="T220" s="354"/>
      <c r="U220" s="354"/>
      <c r="V220" s="355"/>
      <c r="W220" s="37" t="s">
        <v>69</v>
      </c>
      <c r="X220" s="338">
        <f>IFERROR(SUM(X214:X219),"0")</f>
        <v>12</v>
      </c>
      <c r="Y220" s="338">
        <f>IFERROR(SUM(Y214:Y219),"0")</f>
        <v>12</v>
      </c>
      <c r="Z220" s="338">
        <f>IFERROR(IF(Z214="",0,Z214),"0")+IFERROR(IF(Z215="",0,Z215),"0")+IFERROR(IF(Z216="",0,Z216),"0")+IFERROR(IF(Z217="",0,Z217),"0")+IFERROR(IF(Z218="",0,Z218),"0")+IFERROR(IF(Z219="",0,Z219),"0")</f>
        <v>0.186</v>
      </c>
      <c r="AA220" s="339"/>
      <c r="AB220" s="339"/>
      <c r="AC220" s="339"/>
    </row>
    <row r="221" spans="1:68" x14ac:dyDescent="0.2">
      <c r="A221" s="348"/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9"/>
      <c r="P221" s="353" t="s">
        <v>72</v>
      </c>
      <c r="Q221" s="354"/>
      <c r="R221" s="354"/>
      <c r="S221" s="354"/>
      <c r="T221" s="354"/>
      <c r="U221" s="354"/>
      <c r="V221" s="355"/>
      <c r="W221" s="37" t="s">
        <v>73</v>
      </c>
      <c r="X221" s="338">
        <f>IFERROR(SUMPRODUCT(X214:X219*H214:H219),"0")</f>
        <v>67.199999999999989</v>
      </c>
      <c r="Y221" s="338">
        <f>IFERROR(SUMPRODUCT(Y214:Y219*H214:H219),"0")</f>
        <v>67.199999999999989</v>
      </c>
      <c r="Z221" s="37"/>
      <c r="AA221" s="339"/>
      <c r="AB221" s="339"/>
      <c r="AC221" s="339"/>
    </row>
    <row r="222" spans="1:68" ht="16.5" customHeight="1" x14ac:dyDescent="0.25">
      <c r="A222" s="352" t="s">
        <v>354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31"/>
      <c r="AB222" s="331"/>
      <c r="AC222" s="331"/>
    </row>
    <row r="223" spans="1:68" ht="14.25" customHeight="1" x14ac:dyDescent="0.25">
      <c r="A223" s="351" t="s">
        <v>63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332"/>
      <c r="AB223" s="332"/>
      <c r="AC223" s="332"/>
    </row>
    <row r="224" spans="1:68" ht="27" customHeight="1" x14ac:dyDescent="0.25">
      <c r="A224" s="54" t="s">
        <v>355</v>
      </c>
      <c r="B224" s="54" t="s">
        <v>356</v>
      </c>
      <c r="C224" s="31">
        <v>4301070917</v>
      </c>
      <c r="D224" s="345">
        <v>4607111035912</v>
      </c>
      <c r="E224" s="346"/>
      <c r="F224" s="335">
        <v>0.43</v>
      </c>
      <c r="G224" s="32">
        <v>16</v>
      </c>
      <c r="H224" s="335">
        <v>6.88</v>
      </c>
      <c r="I224" s="335">
        <v>7.19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53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4" s="341"/>
      <c r="R224" s="341"/>
      <c r="S224" s="341"/>
      <c r="T224" s="342"/>
      <c r="U224" s="34"/>
      <c r="V224" s="34"/>
      <c r="W224" s="35" t="s">
        <v>69</v>
      </c>
      <c r="X224" s="336">
        <v>0</v>
      </c>
      <c r="Y224" s="337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357</v>
      </c>
      <c r="AG224" s="67"/>
      <c r="AJ224" s="71" t="s">
        <v>71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t="27" customHeight="1" x14ac:dyDescent="0.25">
      <c r="A225" s="54" t="s">
        <v>358</v>
      </c>
      <c r="B225" s="54" t="s">
        <v>359</v>
      </c>
      <c r="C225" s="31">
        <v>4301070920</v>
      </c>
      <c r="D225" s="345">
        <v>4607111035929</v>
      </c>
      <c r="E225" s="346"/>
      <c r="F225" s="335">
        <v>0.9</v>
      </c>
      <c r="G225" s="32">
        <v>8</v>
      </c>
      <c r="H225" s="335">
        <v>7.2</v>
      </c>
      <c r="I225" s="335">
        <v>7.47</v>
      </c>
      <c r="J225" s="32">
        <v>84</v>
      </c>
      <c r="K225" s="32" t="s">
        <v>66</v>
      </c>
      <c r="L225" s="32" t="s">
        <v>108</v>
      </c>
      <c r="M225" s="33" t="s">
        <v>68</v>
      </c>
      <c r="N225" s="33"/>
      <c r="O225" s="32">
        <v>180</v>
      </c>
      <c r="P225" s="49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5" s="341"/>
      <c r="R225" s="341"/>
      <c r="S225" s="341"/>
      <c r="T225" s="342"/>
      <c r="U225" s="34"/>
      <c r="V225" s="34"/>
      <c r="W225" s="35" t="s">
        <v>69</v>
      </c>
      <c r="X225" s="336">
        <v>12</v>
      </c>
      <c r="Y225" s="337">
        <f>IFERROR(IF(X225="","",X225),"")</f>
        <v>12</v>
      </c>
      <c r="Z225" s="36">
        <f>IFERROR(IF(X225="","",X225*0.0155),"")</f>
        <v>0.186</v>
      </c>
      <c r="AA225" s="56"/>
      <c r="AB225" s="57"/>
      <c r="AC225" s="236" t="s">
        <v>357</v>
      </c>
      <c r="AG225" s="67"/>
      <c r="AJ225" s="71" t="s">
        <v>110</v>
      </c>
      <c r="AK225" s="71">
        <v>12</v>
      </c>
      <c r="BB225" s="237" t="s">
        <v>1</v>
      </c>
      <c r="BM225" s="67">
        <f>IFERROR(X225*I225,"0")</f>
        <v>89.64</v>
      </c>
      <c r="BN225" s="67">
        <f>IFERROR(Y225*I225,"0")</f>
        <v>89.64</v>
      </c>
      <c r="BO225" s="67">
        <f>IFERROR(X225/J225,"0")</f>
        <v>0.14285714285714285</v>
      </c>
      <c r="BP225" s="67">
        <f>IFERROR(Y225/J225,"0")</f>
        <v>0.14285714285714285</v>
      </c>
    </row>
    <row r="226" spans="1:68" ht="27" customHeight="1" x14ac:dyDescent="0.25">
      <c r="A226" s="54" t="s">
        <v>360</v>
      </c>
      <c r="B226" s="54" t="s">
        <v>361</v>
      </c>
      <c r="C226" s="31">
        <v>4301070915</v>
      </c>
      <c r="D226" s="345">
        <v>4607111035882</v>
      </c>
      <c r="E226" s="346"/>
      <c r="F226" s="335">
        <v>0.43</v>
      </c>
      <c r="G226" s="32">
        <v>16</v>
      </c>
      <c r="H226" s="335">
        <v>6.88</v>
      </c>
      <c r="I226" s="335">
        <v>7.19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6" s="341"/>
      <c r="R226" s="341"/>
      <c r="S226" s="341"/>
      <c r="T226" s="342"/>
      <c r="U226" s="34"/>
      <c r="V226" s="34"/>
      <c r="W226" s="35" t="s">
        <v>69</v>
      </c>
      <c r="X226" s="336">
        <v>0</v>
      </c>
      <c r="Y226" s="337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362</v>
      </c>
      <c r="AG226" s="67"/>
      <c r="AJ226" s="71" t="s">
        <v>71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t="27" customHeight="1" x14ac:dyDescent="0.25">
      <c r="A227" s="54" t="s">
        <v>363</v>
      </c>
      <c r="B227" s="54" t="s">
        <v>364</v>
      </c>
      <c r="C227" s="31">
        <v>4301070921</v>
      </c>
      <c r="D227" s="345">
        <v>4607111035905</v>
      </c>
      <c r="E227" s="346"/>
      <c r="F227" s="335">
        <v>0.9</v>
      </c>
      <c r="G227" s="32">
        <v>8</v>
      </c>
      <c r="H227" s="335">
        <v>7.2</v>
      </c>
      <c r="I227" s="335">
        <v>7.47</v>
      </c>
      <c r="J227" s="32">
        <v>84</v>
      </c>
      <c r="K227" s="32" t="s">
        <v>66</v>
      </c>
      <c r="L227" s="32" t="s">
        <v>67</v>
      </c>
      <c r="M227" s="33" t="s">
        <v>68</v>
      </c>
      <c r="N227" s="33"/>
      <c r="O227" s="32">
        <v>180</v>
      </c>
      <c r="P227" s="50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7" s="341"/>
      <c r="R227" s="341"/>
      <c r="S227" s="341"/>
      <c r="T227" s="342"/>
      <c r="U227" s="34"/>
      <c r="V227" s="34"/>
      <c r="W227" s="35" t="s">
        <v>69</v>
      </c>
      <c r="X227" s="336">
        <v>0</v>
      </c>
      <c r="Y227" s="337">
        <f>IFERROR(IF(X227="","",X227),"")</f>
        <v>0</v>
      </c>
      <c r="Z227" s="36">
        <f>IFERROR(IF(X227="","",X227*0.0155),"")</f>
        <v>0</v>
      </c>
      <c r="AA227" s="56"/>
      <c r="AB227" s="57"/>
      <c r="AC227" s="240" t="s">
        <v>362</v>
      </c>
      <c r="AG227" s="67"/>
      <c r="AJ227" s="71" t="s">
        <v>71</v>
      </c>
      <c r="AK227" s="71">
        <v>1</v>
      </c>
      <c r="BB227" s="241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347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9"/>
      <c r="P228" s="353" t="s">
        <v>72</v>
      </c>
      <c r="Q228" s="354"/>
      <c r="R228" s="354"/>
      <c r="S228" s="354"/>
      <c r="T228" s="354"/>
      <c r="U228" s="354"/>
      <c r="V228" s="355"/>
      <c r="W228" s="37" t="s">
        <v>69</v>
      </c>
      <c r="X228" s="338">
        <f>IFERROR(SUM(X224:X227),"0")</f>
        <v>12</v>
      </c>
      <c r="Y228" s="338">
        <f>IFERROR(SUM(Y224:Y227),"0")</f>
        <v>12</v>
      </c>
      <c r="Z228" s="338">
        <f>IFERROR(IF(Z224="",0,Z224),"0")+IFERROR(IF(Z225="",0,Z225),"0")+IFERROR(IF(Z226="",0,Z226),"0")+IFERROR(IF(Z227="",0,Z227),"0")</f>
        <v>0.186</v>
      </c>
      <c r="AA228" s="339"/>
      <c r="AB228" s="339"/>
      <c r="AC228" s="339"/>
    </row>
    <row r="229" spans="1:68" x14ac:dyDescent="0.2">
      <c r="A229" s="348"/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9"/>
      <c r="P229" s="353" t="s">
        <v>72</v>
      </c>
      <c r="Q229" s="354"/>
      <c r="R229" s="354"/>
      <c r="S229" s="354"/>
      <c r="T229" s="354"/>
      <c r="U229" s="354"/>
      <c r="V229" s="355"/>
      <c r="W229" s="37" t="s">
        <v>73</v>
      </c>
      <c r="X229" s="338">
        <f>IFERROR(SUMPRODUCT(X224:X227*H224:H227),"0")</f>
        <v>86.4</v>
      </c>
      <c r="Y229" s="338">
        <f>IFERROR(SUMPRODUCT(Y224:Y227*H224:H227),"0")</f>
        <v>86.4</v>
      </c>
      <c r="Z229" s="37"/>
      <c r="AA229" s="339"/>
      <c r="AB229" s="339"/>
      <c r="AC229" s="339"/>
    </row>
    <row r="230" spans="1:68" ht="16.5" customHeight="1" x14ac:dyDescent="0.25">
      <c r="A230" s="352" t="s">
        <v>365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31"/>
      <c r="AB230" s="331"/>
      <c r="AC230" s="331"/>
    </row>
    <row r="231" spans="1:68" ht="14.25" customHeight="1" x14ac:dyDescent="0.25">
      <c r="A231" s="351" t="s">
        <v>63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332"/>
      <c r="AB231" s="332"/>
      <c r="AC231" s="332"/>
    </row>
    <row r="232" spans="1:68" ht="27" customHeight="1" x14ac:dyDescent="0.25">
      <c r="A232" s="54" t="s">
        <v>366</v>
      </c>
      <c r="B232" s="54" t="s">
        <v>367</v>
      </c>
      <c r="C232" s="31">
        <v>4301071093</v>
      </c>
      <c r="D232" s="345">
        <v>4620207490709</v>
      </c>
      <c r="E232" s="346"/>
      <c r="F232" s="335">
        <v>0.65</v>
      </c>
      <c r="G232" s="32">
        <v>8</v>
      </c>
      <c r="H232" s="335">
        <v>5.2</v>
      </c>
      <c r="I232" s="335">
        <v>5.47</v>
      </c>
      <c r="J232" s="32">
        <v>84</v>
      </c>
      <c r="K232" s="32" t="s">
        <v>66</v>
      </c>
      <c r="L232" s="32" t="s">
        <v>67</v>
      </c>
      <c r="M232" s="33" t="s">
        <v>68</v>
      </c>
      <c r="N232" s="33"/>
      <c r="O232" s="32">
        <v>180</v>
      </c>
      <c r="P232" s="467" t="s">
        <v>368</v>
      </c>
      <c r="Q232" s="341"/>
      <c r="R232" s="341"/>
      <c r="S232" s="341"/>
      <c r="T232" s="342"/>
      <c r="U232" s="34"/>
      <c r="V232" s="34"/>
      <c r="W232" s="35" t="s">
        <v>69</v>
      </c>
      <c r="X232" s="336">
        <v>0</v>
      </c>
      <c r="Y232" s="337">
        <f>IFERROR(IF(X232="","",X232),"")</f>
        <v>0</v>
      </c>
      <c r="Z232" s="36">
        <f>IFERROR(IF(X232="","",X232*0.0155),"")</f>
        <v>0</v>
      </c>
      <c r="AA232" s="56"/>
      <c r="AB232" s="57"/>
      <c r="AC232" s="242" t="s">
        <v>369</v>
      </c>
      <c r="AG232" s="67"/>
      <c r="AJ232" s="71" t="s">
        <v>71</v>
      </c>
      <c r="AK232" s="71">
        <v>1</v>
      </c>
      <c r="BB232" s="243" t="s">
        <v>1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347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49"/>
      <c r="P233" s="353" t="s">
        <v>72</v>
      </c>
      <c r="Q233" s="354"/>
      <c r="R233" s="354"/>
      <c r="S233" s="354"/>
      <c r="T233" s="354"/>
      <c r="U233" s="354"/>
      <c r="V233" s="355"/>
      <c r="W233" s="37" t="s">
        <v>69</v>
      </c>
      <c r="X233" s="338">
        <f>IFERROR(SUM(X232:X232),"0")</f>
        <v>0</v>
      </c>
      <c r="Y233" s="338">
        <f>IFERROR(SUM(Y232:Y232),"0")</f>
        <v>0</v>
      </c>
      <c r="Z233" s="338">
        <f>IFERROR(IF(Z232="",0,Z232),"0")</f>
        <v>0</v>
      </c>
      <c r="AA233" s="339"/>
      <c r="AB233" s="339"/>
      <c r="AC233" s="339"/>
    </row>
    <row r="234" spans="1:68" x14ac:dyDescent="0.2">
      <c r="A234" s="348"/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9"/>
      <c r="P234" s="353" t="s">
        <v>72</v>
      </c>
      <c r="Q234" s="354"/>
      <c r="R234" s="354"/>
      <c r="S234" s="354"/>
      <c r="T234" s="354"/>
      <c r="U234" s="354"/>
      <c r="V234" s="355"/>
      <c r="W234" s="37" t="s">
        <v>73</v>
      </c>
      <c r="X234" s="338">
        <f>IFERROR(SUMPRODUCT(X232:X232*H232:H232),"0")</f>
        <v>0</v>
      </c>
      <c r="Y234" s="338">
        <f>IFERROR(SUMPRODUCT(Y232:Y232*H232:H232),"0")</f>
        <v>0</v>
      </c>
      <c r="Z234" s="37"/>
      <c r="AA234" s="339"/>
      <c r="AB234" s="339"/>
      <c r="AC234" s="339"/>
    </row>
    <row r="235" spans="1:68" ht="14.25" customHeight="1" x14ac:dyDescent="0.25">
      <c r="A235" s="351" t="s">
        <v>146</v>
      </c>
      <c r="B235" s="348"/>
      <c r="C235" s="348"/>
      <c r="D235" s="348"/>
      <c r="E235" s="348"/>
      <c r="F235" s="348"/>
      <c r="G235" s="348"/>
      <c r="H235" s="348"/>
      <c r="I235" s="348"/>
      <c r="J235" s="348"/>
      <c r="K235" s="348"/>
      <c r="L235" s="348"/>
      <c r="M235" s="348"/>
      <c r="N235" s="348"/>
      <c r="O235" s="348"/>
      <c r="P235" s="348"/>
      <c r="Q235" s="348"/>
      <c r="R235" s="348"/>
      <c r="S235" s="348"/>
      <c r="T235" s="348"/>
      <c r="U235" s="348"/>
      <c r="V235" s="348"/>
      <c r="W235" s="348"/>
      <c r="X235" s="348"/>
      <c r="Y235" s="348"/>
      <c r="Z235" s="348"/>
      <c r="AA235" s="332"/>
      <c r="AB235" s="332"/>
      <c r="AC235" s="332"/>
    </row>
    <row r="236" spans="1:68" ht="27" customHeight="1" x14ac:dyDescent="0.25">
      <c r="A236" s="54" t="s">
        <v>370</v>
      </c>
      <c r="B236" s="54" t="s">
        <v>371</v>
      </c>
      <c r="C236" s="31">
        <v>4301135692</v>
      </c>
      <c r="D236" s="345">
        <v>4620207490570</v>
      </c>
      <c r="E236" s="346"/>
      <c r="F236" s="335">
        <v>0.2</v>
      </c>
      <c r="G236" s="32">
        <v>12</v>
      </c>
      <c r="H236" s="335">
        <v>2.4</v>
      </c>
      <c r="I236" s="335">
        <v>3.1036000000000001</v>
      </c>
      <c r="J236" s="32">
        <v>70</v>
      </c>
      <c r="K236" s="32" t="s">
        <v>79</v>
      </c>
      <c r="L236" s="32" t="s">
        <v>67</v>
      </c>
      <c r="M236" s="33" t="s">
        <v>68</v>
      </c>
      <c r="N236" s="33"/>
      <c r="O236" s="32">
        <v>180</v>
      </c>
      <c r="P236" s="384" t="s">
        <v>372</v>
      </c>
      <c r="Q236" s="341"/>
      <c r="R236" s="341"/>
      <c r="S236" s="341"/>
      <c r="T236" s="342"/>
      <c r="U236" s="34"/>
      <c r="V236" s="34"/>
      <c r="W236" s="35" t="s">
        <v>69</v>
      </c>
      <c r="X236" s="336">
        <v>0</v>
      </c>
      <c r="Y236" s="337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373</v>
      </c>
      <c r="AG236" s="67"/>
      <c r="AJ236" s="71" t="s">
        <v>71</v>
      </c>
      <c r="AK236" s="71">
        <v>1</v>
      </c>
      <c r="BB236" s="245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customHeight="1" x14ac:dyDescent="0.25">
      <c r="A237" s="54" t="s">
        <v>374</v>
      </c>
      <c r="B237" s="54" t="s">
        <v>375</v>
      </c>
      <c r="C237" s="31">
        <v>4301135691</v>
      </c>
      <c r="D237" s="345">
        <v>4620207490549</v>
      </c>
      <c r="E237" s="346"/>
      <c r="F237" s="335">
        <v>0.2</v>
      </c>
      <c r="G237" s="32">
        <v>12</v>
      </c>
      <c r="H237" s="335">
        <v>2.4</v>
      </c>
      <c r="I237" s="335">
        <v>3.1036000000000001</v>
      </c>
      <c r="J237" s="32">
        <v>70</v>
      </c>
      <c r="K237" s="32" t="s">
        <v>79</v>
      </c>
      <c r="L237" s="32" t="s">
        <v>67</v>
      </c>
      <c r="M237" s="33" t="s">
        <v>68</v>
      </c>
      <c r="N237" s="33"/>
      <c r="O237" s="32">
        <v>180</v>
      </c>
      <c r="P237" s="392" t="s">
        <v>376</v>
      </c>
      <c r="Q237" s="341"/>
      <c r="R237" s="341"/>
      <c r="S237" s="341"/>
      <c r="T237" s="342"/>
      <c r="U237" s="34"/>
      <c r="V237" s="34"/>
      <c r="W237" s="35" t="s">
        <v>69</v>
      </c>
      <c r="X237" s="336">
        <v>0</v>
      </c>
      <c r="Y237" s="337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373</v>
      </c>
      <c r="AG237" s="67"/>
      <c r="AJ237" s="71" t="s">
        <v>71</v>
      </c>
      <c r="AK237" s="71">
        <v>1</v>
      </c>
      <c r="BB237" s="247" t="s">
        <v>82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t="27" customHeight="1" x14ac:dyDescent="0.25">
      <c r="A238" s="54" t="s">
        <v>377</v>
      </c>
      <c r="B238" s="54" t="s">
        <v>378</v>
      </c>
      <c r="C238" s="31">
        <v>4301135694</v>
      </c>
      <c r="D238" s="345">
        <v>4620207490501</v>
      </c>
      <c r="E238" s="346"/>
      <c r="F238" s="335">
        <v>0.2</v>
      </c>
      <c r="G238" s="32">
        <v>12</v>
      </c>
      <c r="H238" s="335">
        <v>2.4</v>
      </c>
      <c r="I238" s="335">
        <v>3.1036000000000001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459" t="s">
        <v>379</v>
      </c>
      <c r="Q238" s="341"/>
      <c r="R238" s="341"/>
      <c r="S238" s="341"/>
      <c r="T238" s="342"/>
      <c r="U238" s="34"/>
      <c r="V238" s="34"/>
      <c r="W238" s="35" t="s">
        <v>69</v>
      </c>
      <c r="X238" s="336">
        <v>0</v>
      </c>
      <c r="Y238" s="337">
        <f>IFERROR(IF(X238="","",X238),"")</f>
        <v>0</v>
      </c>
      <c r="Z238" s="36">
        <f>IFERROR(IF(X238="","",X238*0.01788),"")</f>
        <v>0</v>
      </c>
      <c r="AA238" s="56"/>
      <c r="AB238" s="57"/>
      <c r="AC238" s="248" t="s">
        <v>373</v>
      </c>
      <c r="AG238" s="67"/>
      <c r="AJ238" s="71" t="s">
        <v>71</v>
      </c>
      <c r="AK238" s="71">
        <v>1</v>
      </c>
      <c r="BB238" s="249" t="s">
        <v>82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347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9"/>
      <c r="P239" s="353" t="s">
        <v>72</v>
      </c>
      <c r="Q239" s="354"/>
      <c r="R239" s="354"/>
      <c r="S239" s="354"/>
      <c r="T239" s="354"/>
      <c r="U239" s="354"/>
      <c r="V239" s="355"/>
      <c r="W239" s="37" t="s">
        <v>69</v>
      </c>
      <c r="X239" s="338">
        <f>IFERROR(SUM(X236:X238),"0")</f>
        <v>0</v>
      </c>
      <c r="Y239" s="338">
        <f>IFERROR(SUM(Y236:Y238),"0")</f>
        <v>0</v>
      </c>
      <c r="Z239" s="338">
        <f>IFERROR(IF(Z236="",0,Z236),"0")+IFERROR(IF(Z237="",0,Z237),"0")+IFERROR(IF(Z238="",0,Z238),"0")</f>
        <v>0</v>
      </c>
      <c r="AA239" s="339"/>
      <c r="AB239" s="339"/>
      <c r="AC239" s="339"/>
    </row>
    <row r="240" spans="1:68" x14ac:dyDescent="0.2">
      <c r="A240" s="348"/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9"/>
      <c r="P240" s="353" t="s">
        <v>72</v>
      </c>
      <c r="Q240" s="354"/>
      <c r="R240" s="354"/>
      <c r="S240" s="354"/>
      <c r="T240" s="354"/>
      <c r="U240" s="354"/>
      <c r="V240" s="355"/>
      <c r="W240" s="37" t="s">
        <v>73</v>
      </c>
      <c r="X240" s="338">
        <f>IFERROR(SUMPRODUCT(X236:X238*H236:H238),"0")</f>
        <v>0</v>
      </c>
      <c r="Y240" s="338">
        <f>IFERROR(SUMPRODUCT(Y236:Y238*H236:H238),"0")</f>
        <v>0</v>
      </c>
      <c r="Z240" s="37"/>
      <c r="AA240" s="339"/>
      <c r="AB240" s="339"/>
      <c r="AC240" s="339"/>
    </row>
    <row r="241" spans="1:68" ht="16.5" customHeight="1" x14ac:dyDescent="0.25">
      <c r="A241" s="352" t="s">
        <v>380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31"/>
      <c r="AB241" s="331"/>
      <c r="AC241" s="331"/>
    </row>
    <row r="242" spans="1:68" ht="14.25" customHeight="1" x14ac:dyDescent="0.25">
      <c r="A242" s="351" t="s">
        <v>308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332"/>
      <c r="AB242" s="332"/>
      <c r="AC242" s="332"/>
    </row>
    <row r="243" spans="1:68" ht="27" customHeight="1" x14ac:dyDescent="0.25">
      <c r="A243" s="54" t="s">
        <v>381</v>
      </c>
      <c r="B243" s="54" t="s">
        <v>382</v>
      </c>
      <c r="C243" s="31">
        <v>4301051320</v>
      </c>
      <c r="D243" s="345">
        <v>4680115881334</v>
      </c>
      <c r="E243" s="346"/>
      <c r="F243" s="335">
        <v>0.33</v>
      </c>
      <c r="G243" s="32">
        <v>6</v>
      </c>
      <c r="H243" s="335">
        <v>1.98</v>
      </c>
      <c r="I243" s="335">
        <v>2.25</v>
      </c>
      <c r="J243" s="32">
        <v>182</v>
      </c>
      <c r="K243" s="32" t="s">
        <v>79</v>
      </c>
      <c r="L243" s="32" t="s">
        <v>67</v>
      </c>
      <c r="M243" s="33" t="s">
        <v>312</v>
      </c>
      <c r="N243" s="33"/>
      <c r="O243" s="32">
        <v>365</v>
      </c>
      <c r="P243" s="546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3" s="341"/>
      <c r="R243" s="341"/>
      <c r="S243" s="341"/>
      <c r="T243" s="342"/>
      <c r="U243" s="34"/>
      <c r="V243" s="34"/>
      <c r="W243" s="35" t="s">
        <v>69</v>
      </c>
      <c r="X243" s="336">
        <v>0</v>
      </c>
      <c r="Y243" s="337">
        <f>IFERROR(IF(X243="","",X243),"")</f>
        <v>0</v>
      </c>
      <c r="Z243" s="36">
        <f>IFERROR(IF(X243="","",X243*0.00651),"")</f>
        <v>0</v>
      </c>
      <c r="AA243" s="56"/>
      <c r="AB243" s="57"/>
      <c r="AC243" s="250" t="s">
        <v>383</v>
      </c>
      <c r="AG243" s="67"/>
      <c r="AJ243" s="71" t="s">
        <v>71</v>
      </c>
      <c r="AK243" s="71">
        <v>1</v>
      </c>
      <c r="BB243" s="251" t="s">
        <v>315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347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9"/>
      <c r="P244" s="353" t="s">
        <v>72</v>
      </c>
      <c r="Q244" s="354"/>
      <c r="R244" s="354"/>
      <c r="S244" s="354"/>
      <c r="T244" s="354"/>
      <c r="U244" s="354"/>
      <c r="V244" s="355"/>
      <c r="W244" s="37" t="s">
        <v>69</v>
      </c>
      <c r="X244" s="338">
        <f>IFERROR(SUM(X243:X243),"0")</f>
        <v>0</v>
      </c>
      <c r="Y244" s="338">
        <f>IFERROR(SUM(Y243:Y243),"0")</f>
        <v>0</v>
      </c>
      <c r="Z244" s="338">
        <f>IFERROR(IF(Z243="",0,Z243),"0")</f>
        <v>0</v>
      </c>
      <c r="AA244" s="339"/>
      <c r="AB244" s="339"/>
      <c r="AC244" s="339"/>
    </row>
    <row r="245" spans="1:68" x14ac:dyDescent="0.2">
      <c r="A245" s="348"/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9"/>
      <c r="P245" s="353" t="s">
        <v>72</v>
      </c>
      <c r="Q245" s="354"/>
      <c r="R245" s="354"/>
      <c r="S245" s="354"/>
      <c r="T245" s="354"/>
      <c r="U245" s="354"/>
      <c r="V245" s="355"/>
      <c r="W245" s="37" t="s">
        <v>73</v>
      </c>
      <c r="X245" s="338">
        <f>IFERROR(SUMPRODUCT(X243:X243*H243:H243),"0")</f>
        <v>0</v>
      </c>
      <c r="Y245" s="338">
        <f>IFERROR(SUMPRODUCT(Y243:Y243*H243:H243),"0")</f>
        <v>0</v>
      </c>
      <c r="Z245" s="37"/>
      <c r="AA245" s="339"/>
      <c r="AB245" s="339"/>
      <c r="AC245" s="339"/>
    </row>
    <row r="246" spans="1:68" ht="16.5" customHeight="1" x14ac:dyDescent="0.25">
      <c r="A246" s="352" t="s">
        <v>384</v>
      </c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31"/>
      <c r="AB246" s="331"/>
      <c r="AC246" s="331"/>
    </row>
    <row r="247" spans="1:68" ht="14.25" customHeight="1" x14ac:dyDescent="0.25">
      <c r="A247" s="351" t="s">
        <v>63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332"/>
      <c r="AB247" s="332"/>
      <c r="AC247" s="332"/>
    </row>
    <row r="248" spans="1:68" ht="16.5" customHeight="1" x14ac:dyDescent="0.25">
      <c r="A248" s="54" t="s">
        <v>385</v>
      </c>
      <c r="B248" s="54" t="s">
        <v>386</v>
      </c>
      <c r="C248" s="31">
        <v>4301071063</v>
      </c>
      <c r="D248" s="345">
        <v>4607111039019</v>
      </c>
      <c r="E248" s="346"/>
      <c r="F248" s="335">
        <v>0.43</v>
      </c>
      <c r="G248" s="32">
        <v>16</v>
      </c>
      <c r="H248" s="335">
        <v>6.88</v>
      </c>
      <c r="I248" s="335">
        <v>7.2060000000000004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463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8" s="341"/>
      <c r="R248" s="341"/>
      <c r="S248" s="341"/>
      <c r="T248" s="342"/>
      <c r="U248" s="34"/>
      <c r="V248" s="34"/>
      <c r="W248" s="35" t="s">
        <v>69</v>
      </c>
      <c r="X248" s="336">
        <v>0</v>
      </c>
      <c r="Y248" s="337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387</v>
      </c>
      <c r="AG248" s="67"/>
      <c r="AJ248" s="71" t="s">
        <v>71</v>
      </c>
      <c r="AK248" s="71">
        <v>1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16.5" customHeight="1" x14ac:dyDescent="0.25">
      <c r="A249" s="54" t="s">
        <v>388</v>
      </c>
      <c r="B249" s="54" t="s">
        <v>389</v>
      </c>
      <c r="C249" s="31">
        <v>4301071000</v>
      </c>
      <c r="D249" s="345">
        <v>4607111038708</v>
      </c>
      <c r="E249" s="346"/>
      <c r="F249" s="335">
        <v>0.8</v>
      </c>
      <c r="G249" s="32">
        <v>8</v>
      </c>
      <c r="H249" s="335">
        <v>6.4</v>
      </c>
      <c r="I249" s="335">
        <v>6.67</v>
      </c>
      <c r="J249" s="32">
        <v>84</v>
      </c>
      <c r="K249" s="32" t="s">
        <v>66</v>
      </c>
      <c r="L249" s="32" t="s">
        <v>108</v>
      </c>
      <c r="M249" s="33" t="s">
        <v>68</v>
      </c>
      <c r="N249" s="33"/>
      <c r="O249" s="32">
        <v>180</v>
      </c>
      <c r="P249" s="36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9" s="341"/>
      <c r="R249" s="341"/>
      <c r="S249" s="341"/>
      <c r="T249" s="342"/>
      <c r="U249" s="34"/>
      <c r="V249" s="34"/>
      <c r="W249" s="35" t="s">
        <v>69</v>
      </c>
      <c r="X249" s="336">
        <v>0</v>
      </c>
      <c r="Y249" s="337">
        <f>IFERROR(IF(X249="","",X249),"")</f>
        <v>0</v>
      </c>
      <c r="Z249" s="36">
        <f>IFERROR(IF(X249="","",X249*0.0155),"")</f>
        <v>0</v>
      </c>
      <c r="AA249" s="56"/>
      <c r="AB249" s="57"/>
      <c r="AC249" s="254" t="s">
        <v>387</v>
      </c>
      <c r="AG249" s="67"/>
      <c r="AJ249" s="71" t="s">
        <v>110</v>
      </c>
      <c r="AK249" s="71">
        <v>12</v>
      </c>
      <c r="BB249" s="255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347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9"/>
      <c r="P250" s="353" t="s">
        <v>72</v>
      </c>
      <c r="Q250" s="354"/>
      <c r="R250" s="354"/>
      <c r="S250" s="354"/>
      <c r="T250" s="354"/>
      <c r="U250" s="354"/>
      <c r="V250" s="355"/>
      <c r="W250" s="37" t="s">
        <v>69</v>
      </c>
      <c r="X250" s="338">
        <f>IFERROR(SUM(X248:X249),"0")</f>
        <v>0</v>
      </c>
      <c r="Y250" s="338">
        <f>IFERROR(SUM(Y248:Y249),"0")</f>
        <v>0</v>
      </c>
      <c r="Z250" s="338">
        <f>IFERROR(IF(Z248="",0,Z248),"0")+IFERROR(IF(Z249="",0,Z249),"0")</f>
        <v>0</v>
      </c>
      <c r="AA250" s="339"/>
      <c r="AB250" s="339"/>
      <c r="AC250" s="339"/>
    </row>
    <row r="251" spans="1:68" x14ac:dyDescent="0.2">
      <c r="A251" s="348"/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9"/>
      <c r="P251" s="353" t="s">
        <v>72</v>
      </c>
      <c r="Q251" s="354"/>
      <c r="R251" s="354"/>
      <c r="S251" s="354"/>
      <c r="T251" s="354"/>
      <c r="U251" s="354"/>
      <c r="V251" s="355"/>
      <c r="W251" s="37" t="s">
        <v>73</v>
      </c>
      <c r="X251" s="338">
        <f>IFERROR(SUMPRODUCT(X248:X249*H248:H249),"0")</f>
        <v>0</v>
      </c>
      <c r="Y251" s="338">
        <f>IFERROR(SUMPRODUCT(Y248:Y249*H248:H249),"0")</f>
        <v>0</v>
      </c>
      <c r="Z251" s="37"/>
      <c r="AA251" s="339"/>
      <c r="AB251" s="339"/>
      <c r="AC251" s="339"/>
    </row>
    <row r="252" spans="1:68" ht="27.75" customHeight="1" x14ac:dyDescent="0.2">
      <c r="A252" s="369" t="s">
        <v>390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  <c r="AA252" s="48"/>
      <c r="AB252" s="48"/>
      <c r="AC252" s="48"/>
    </row>
    <row r="253" spans="1:68" ht="16.5" customHeight="1" x14ac:dyDescent="0.25">
      <c r="A253" s="352" t="s">
        <v>391</v>
      </c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31"/>
      <c r="AB253" s="331"/>
      <c r="AC253" s="331"/>
    </row>
    <row r="254" spans="1:68" ht="14.25" customHeight="1" x14ac:dyDescent="0.25">
      <c r="A254" s="351" t="s">
        <v>63</v>
      </c>
      <c r="B254" s="348"/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8"/>
      <c r="P254" s="348"/>
      <c r="Q254" s="348"/>
      <c r="R254" s="348"/>
      <c r="S254" s="348"/>
      <c r="T254" s="348"/>
      <c r="U254" s="348"/>
      <c r="V254" s="348"/>
      <c r="W254" s="348"/>
      <c r="X254" s="348"/>
      <c r="Y254" s="348"/>
      <c r="Z254" s="348"/>
      <c r="AA254" s="332"/>
      <c r="AB254" s="332"/>
      <c r="AC254" s="332"/>
    </row>
    <row r="255" spans="1:68" ht="27" customHeight="1" x14ac:dyDescent="0.25">
      <c r="A255" s="54" t="s">
        <v>392</v>
      </c>
      <c r="B255" s="54" t="s">
        <v>393</v>
      </c>
      <c r="C255" s="31">
        <v>4301071036</v>
      </c>
      <c r="D255" s="345">
        <v>4607111036162</v>
      </c>
      <c r="E255" s="346"/>
      <c r="F255" s="335">
        <v>0.8</v>
      </c>
      <c r="G255" s="32">
        <v>8</v>
      </c>
      <c r="H255" s="335">
        <v>6.4</v>
      </c>
      <c r="I255" s="335">
        <v>6.6811999999999996</v>
      </c>
      <c r="J255" s="32">
        <v>84</v>
      </c>
      <c r="K255" s="32" t="s">
        <v>66</v>
      </c>
      <c r="L255" s="32" t="s">
        <v>67</v>
      </c>
      <c r="M255" s="33" t="s">
        <v>68</v>
      </c>
      <c r="N255" s="33"/>
      <c r="O255" s="32">
        <v>90</v>
      </c>
      <c r="P255" s="40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5" s="341"/>
      <c r="R255" s="341"/>
      <c r="S255" s="341"/>
      <c r="T255" s="342"/>
      <c r="U255" s="34"/>
      <c r="V255" s="34"/>
      <c r="W255" s="35" t="s">
        <v>69</v>
      </c>
      <c r="X255" s="336">
        <v>0</v>
      </c>
      <c r="Y255" s="337">
        <f>IFERROR(IF(X255="","",X255),"")</f>
        <v>0</v>
      </c>
      <c r="Z255" s="36">
        <f>IFERROR(IF(X255="","",X255*0.0155),"")</f>
        <v>0</v>
      </c>
      <c r="AA255" s="56"/>
      <c r="AB255" s="57"/>
      <c r="AC255" s="256" t="s">
        <v>394</v>
      </c>
      <c r="AG255" s="67"/>
      <c r="AJ255" s="71" t="s">
        <v>71</v>
      </c>
      <c r="AK255" s="71">
        <v>1</v>
      </c>
      <c r="BB255" s="257" t="s">
        <v>1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347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49"/>
      <c r="P256" s="353" t="s">
        <v>72</v>
      </c>
      <c r="Q256" s="354"/>
      <c r="R256" s="354"/>
      <c r="S256" s="354"/>
      <c r="T256" s="354"/>
      <c r="U256" s="354"/>
      <c r="V256" s="355"/>
      <c r="W256" s="37" t="s">
        <v>69</v>
      </c>
      <c r="X256" s="338">
        <f>IFERROR(SUM(X255:X255),"0")</f>
        <v>0</v>
      </c>
      <c r="Y256" s="338">
        <f>IFERROR(SUM(Y255:Y255),"0")</f>
        <v>0</v>
      </c>
      <c r="Z256" s="338">
        <f>IFERROR(IF(Z255="",0,Z255),"0")</f>
        <v>0</v>
      </c>
      <c r="AA256" s="339"/>
      <c r="AB256" s="339"/>
      <c r="AC256" s="339"/>
    </row>
    <row r="257" spans="1:68" x14ac:dyDescent="0.2">
      <c r="A257" s="348"/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9"/>
      <c r="P257" s="353" t="s">
        <v>72</v>
      </c>
      <c r="Q257" s="354"/>
      <c r="R257" s="354"/>
      <c r="S257" s="354"/>
      <c r="T257" s="354"/>
      <c r="U257" s="354"/>
      <c r="V257" s="355"/>
      <c r="W257" s="37" t="s">
        <v>73</v>
      </c>
      <c r="X257" s="338">
        <f>IFERROR(SUMPRODUCT(X255:X255*H255:H255),"0")</f>
        <v>0</v>
      </c>
      <c r="Y257" s="338">
        <f>IFERROR(SUMPRODUCT(Y255:Y255*H255:H255),"0")</f>
        <v>0</v>
      </c>
      <c r="Z257" s="37"/>
      <c r="AA257" s="339"/>
      <c r="AB257" s="339"/>
      <c r="AC257" s="339"/>
    </row>
    <row r="258" spans="1:68" ht="27.75" customHeight="1" x14ac:dyDescent="0.2">
      <c r="A258" s="369" t="s">
        <v>395</v>
      </c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  <c r="Z258" s="370"/>
      <c r="AA258" s="48"/>
      <c r="AB258" s="48"/>
      <c r="AC258" s="48"/>
    </row>
    <row r="259" spans="1:68" ht="16.5" customHeight="1" x14ac:dyDescent="0.25">
      <c r="A259" s="352" t="s">
        <v>396</v>
      </c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31"/>
      <c r="AB259" s="331"/>
      <c r="AC259" s="331"/>
    </row>
    <row r="260" spans="1:68" ht="14.25" customHeight="1" x14ac:dyDescent="0.25">
      <c r="A260" s="351" t="s">
        <v>63</v>
      </c>
      <c r="B260" s="348"/>
      <c r="C260" s="348"/>
      <c r="D260" s="348"/>
      <c r="E260" s="348"/>
      <c r="F260" s="348"/>
      <c r="G260" s="348"/>
      <c r="H260" s="348"/>
      <c r="I260" s="348"/>
      <c r="J260" s="348"/>
      <c r="K260" s="348"/>
      <c r="L260" s="348"/>
      <c r="M260" s="348"/>
      <c r="N260" s="348"/>
      <c r="O260" s="348"/>
      <c r="P260" s="348"/>
      <c r="Q260" s="348"/>
      <c r="R260" s="348"/>
      <c r="S260" s="348"/>
      <c r="T260" s="348"/>
      <c r="U260" s="348"/>
      <c r="V260" s="348"/>
      <c r="W260" s="348"/>
      <c r="X260" s="348"/>
      <c r="Y260" s="348"/>
      <c r="Z260" s="348"/>
      <c r="AA260" s="332"/>
      <c r="AB260" s="332"/>
      <c r="AC260" s="332"/>
    </row>
    <row r="261" spans="1:68" ht="27" customHeight="1" x14ac:dyDescent="0.25">
      <c r="A261" s="54" t="s">
        <v>397</v>
      </c>
      <c r="B261" s="54" t="s">
        <v>398</v>
      </c>
      <c r="C261" s="31">
        <v>4301071029</v>
      </c>
      <c r="D261" s="345">
        <v>4607111035899</v>
      </c>
      <c r="E261" s="346"/>
      <c r="F261" s="335">
        <v>1</v>
      </c>
      <c r="G261" s="32">
        <v>5</v>
      </c>
      <c r="H261" s="335">
        <v>5</v>
      </c>
      <c r="I261" s="335">
        <v>5.2619999999999996</v>
      </c>
      <c r="J261" s="32">
        <v>84</v>
      </c>
      <c r="K261" s="32" t="s">
        <v>66</v>
      </c>
      <c r="L261" s="32" t="s">
        <v>113</v>
      </c>
      <c r="M261" s="33" t="s">
        <v>68</v>
      </c>
      <c r="N261" s="33"/>
      <c r="O261" s="32">
        <v>180</v>
      </c>
      <c r="P261" s="46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1" s="341"/>
      <c r="R261" s="341"/>
      <c r="S261" s="341"/>
      <c r="T261" s="342"/>
      <c r="U261" s="34"/>
      <c r="V261" s="34"/>
      <c r="W261" s="35" t="s">
        <v>69</v>
      </c>
      <c r="X261" s="336">
        <v>72</v>
      </c>
      <c r="Y261" s="337">
        <f>IFERROR(IF(X261="","",X261),"")</f>
        <v>72</v>
      </c>
      <c r="Z261" s="36">
        <f>IFERROR(IF(X261="","",X261*0.0155),"")</f>
        <v>1.1160000000000001</v>
      </c>
      <c r="AA261" s="56"/>
      <c r="AB261" s="57"/>
      <c r="AC261" s="258" t="s">
        <v>287</v>
      </c>
      <c r="AG261" s="67"/>
      <c r="AJ261" s="71" t="s">
        <v>114</v>
      </c>
      <c r="AK261" s="71">
        <v>84</v>
      </c>
      <c r="BB261" s="259" t="s">
        <v>1</v>
      </c>
      <c r="BM261" s="67">
        <f>IFERROR(X261*I261,"0")</f>
        <v>378.86399999999998</v>
      </c>
      <c r="BN261" s="67">
        <f>IFERROR(Y261*I261,"0")</f>
        <v>378.86399999999998</v>
      </c>
      <c r="BO261" s="67">
        <f>IFERROR(X261/J261,"0")</f>
        <v>0.8571428571428571</v>
      </c>
      <c r="BP261" s="67">
        <f>IFERROR(Y261/J261,"0")</f>
        <v>0.8571428571428571</v>
      </c>
    </row>
    <row r="262" spans="1:68" ht="27" customHeight="1" x14ac:dyDescent="0.25">
      <c r="A262" s="54" t="s">
        <v>399</v>
      </c>
      <c r="B262" s="54" t="s">
        <v>400</v>
      </c>
      <c r="C262" s="31">
        <v>4301070991</v>
      </c>
      <c r="D262" s="345">
        <v>4607111038180</v>
      </c>
      <c r="E262" s="346"/>
      <c r="F262" s="335">
        <v>0.4</v>
      </c>
      <c r="G262" s="32">
        <v>16</v>
      </c>
      <c r="H262" s="335">
        <v>6.4</v>
      </c>
      <c r="I262" s="335">
        <v>6.71</v>
      </c>
      <c r="J262" s="32">
        <v>84</v>
      </c>
      <c r="K262" s="32" t="s">
        <v>66</v>
      </c>
      <c r="L262" s="32" t="s">
        <v>108</v>
      </c>
      <c r="M262" s="33" t="s">
        <v>68</v>
      </c>
      <c r="N262" s="33"/>
      <c r="O262" s="32">
        <v>180</v>
      </c>
      <c r="P262" s="537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2" s="341"/>
      <c r="R262" s="341"/>
      <c r="S262" s="341"/>
      <c r="T262" s="342"/>
      <c r="U262" s="34"/>
      <c r="V262" s="34"/>
      <c r="W262" s="35" t="s">
        <v>69</v>
      </c>
      <c r="X262" s="336">
        <v>0</v>
      </c>
      <c r="Y262" s="337">
        <f>IFERROR(IF(X262="","",X262),"")</f>
        <v>0</v>
      </c>
      <c r="Z262" s="36">
        <f>IFERROR(IF(X262="","",X262*0.0155),"")</f>
        <v>0</v>
      </c>
      <c r="AA262" s="56"/>
      <c r="AB262" s="57"/>
      <c r="AC262" s="260" t="s">
        <v>401</v>
      </c>
      <c r="AG262" s="67"/>
      <c r="AJ262" s="71" t="s">
        <v>110</v>
      </c>
      <c r="AK262" s="71">
        <v>12</v>
      </c>
      <c r="BB262" s="261" t="s">
        <v>1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x14ac:dyDescent="0.2">
      <c r="A263" s="347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49"/>
      <c r="P263" s="353" t="s">
        <v>72</v>
      </c>
      <c r="Q263" s="354"/>
      <c r="R263" s="354"/>
      <c r="S263" s="354"/>
      <c r="T263" s="354"/>
      <c r="U263" s="354"/>
      <c r="V263" s="355"/>
      <c r="W263" s="37" t="s">
        <v>69</v>
      </c>
      <c r="X263" s="338">
        <f>IFERROR(SUM(X261:X262),"0")</f>
        <v>72</v>
      </c>
      <c r="Y263" s="338">
        <f>IFERROR(SUM(Y261:Y262),"0")</f>
        <v>72</v>
      </c>
      <c r="Z263" s="338">
        <f>IFERROR(IF(Z261="",0,Z261),"0")+IFERROR(IF(Z262="",0,Z262),"0")</f>
        <v>1.1160000000000001</v>
      </c>
      <c r="AA263" s="339"/>
      <c r="AB263" s="339"/>
      <c r="AC263" s="339"/>
    </row>
    <row r="264" spans="1:68" x14ac:dyDescent="0.2">
      <c r="A264" s="348"/>
      <c r="B264" s="348"/>
      <c r="C264" s="348"/>
      <c r="D264" s="348"/>
      <c r="E264" s="348"/>
      <c r="F264" s="348"/>
      <c r="G264" s="348"/>
      <c r="H264" s="348"/>
      <c r="I264" s="348"/>
      <c r="J264" s="348"/>
      <c r="K264" s="348"/>
      <c r="L264" s="348"/>
      <c r="M264" s="348"/>
      <c r="N264" s="348"/>
      <c r="O264" s="349"/>
      <c r="P264" s="353" t="s">
        <v>72</v>
      </c>
      <c r="Q264" s="354"/>
      <c r="R264" s="354"/>
      <c r="S264" s="354"/>
      <c r="T264" s="354"/>
      <c r="U264" s="354"/>
      <c r="V264" s="355"/>
      <c r="W264" s="37" t="s">
        <v>73</v>
      </c>
      <c r="X264" s="338">
        <f>IFERROR(SUMPRODUCT(X261:X262*H261:H262),"0")</f>
        <v>360</v>
      </c>
      <c r="Y264" s="338">
        <f>IFERROR(SUMPRODUCT(Y261:Y262*H261:H262),"0")</f>
        <v>360</v>
      </c>
      <c r="Z264" s="37"/>
      <c r="AA264" s="339"/>
      <c r="AB264" s="339"/>
      <c r="AC264" s="339"/>
    </row>
    <row r="265" spans="1:68" ht="27.75" customHeight="1" x14ac:dyDescent="0.2">
      <c r="A265" s="369" t="s">
        <v>402</v>
      </c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  <c r="AA265" s="48"/>
      <c r="AB265" s="48"/>
      <c r="AC265" s="48"/>
    </row>
    <row r="266" spans="1:68" ht="16.5" customHeight="1" x14ac:dyDescent="0.25">
      <c r="A266" s="352" t="s">
        <v>403</v>
      </c>
      <c r="B266" s="348"/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31"/>
      <c r="AB266" s="331"/>
      <c r="AC266" s="331"/>
    </row>
    <row r="267" spans="1:68" ht="14.25" customHeight="1" x14ac:dyDescent="0.25">
      <c r="A267" s="351" t="s">
        <v>404</v>
      </c>
      <c r="B267" s="348"/>
      <c r="C267" s="348"/>
      <c r="D267" s="348"/>
      <c r="E267" s="348"/>
      <c r="F267" s="348"/>
      <c r="G267" s="348"/>
      <c r="H267" s="348"/>
      <c r="I267" s="348"/>
      <c r="J267" s="348"/>
      <c r="K267" s="348"/>
      <c r="L267" s="348"/>
      <c r="M267" s="348"/>
      <c r="N267" s="348"/>
      <c r="O267" s="348"/>
      <c r="P267" s="348"/>
      <c r="Q267" s="348"/>
      <c r="R267" s="348"/>
      <c r="S267" s="348"/>
      <c r="T267" s="348"/>
      <c r="U267" s="348"/>
      <c r="V267" s="348"/>
      <c r="W267" s="348"/>
      <c r="X267" s="348"/>
      <c r="Y267" s="348"/>
      <c r="Z267" s="348"/>
      <c r="AA267" s="332"/>
      <c r="AB267" s="332"/>
      <c r="AC267" s="332"/>
    </row>
    <row r="268" spans="1:68" ht="27" customHeight="1" x14ac:dyDescent="0.25">
      <c r="A268" s="54" t="s">
        <v>405</v>
      </c>
      <c r="B268" s="54" t="s">
        <v>406</v>
      </c>
      <c r="C268" s="31">
        <v>4301133004</v>
      </c>
      <c r="D268" s="345">
        <v>4607111039774</v>
      </c>
      <c r="E268" s="346"/>
      <c r="F268" s="335">
        <v>0.25</v>
      </c>
      <c r="G268" s="32">
        <v>12</v>
      </c>
      <c r="H268" s="335">
        <v>3</v>
      </c>
      <c r="I268" s="335">
        <v>3.22</v>
      </c>
      <c r="J268" s="32">
        <v>70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98" t="s">
        <v>407</v>
      </c>
      <c r="Q268" s="341"/>
      <c r="R268" s="341"/>
      <c r="S268" s="341"/>
      <c r="T268" s="342"/>
      <c r="U268" s="34"/>
      <c r="V268" s="34"/>
      <c r="W268" s="35" t="s">
        <v>69</v>
      </c>
      <c r="X268" s="336">
        <v>0</v>
      </c>
      <c r="Y268" s="337">
        <f>IFERROR(IF(X268="","",X268),"")</f>
        <v>0</v>
      </c>
      <c r="Z268" s="36">
        <f>IFERROR(IF(X268="","",X268*0.01788),"")</f>
        <v>0</v>
      </c>
      <c r="AA268" s="56"/>
      <c r="AB268" s="57"/>
      <c r="AC268" s="262" t="s">
        <v>408</v>
      </c>
      <c r="AG268" s="67"/>
      <c r="AJ268" s="71" t="s">
        <v>71</v>
      </c>
      <c r="AK268" s="71">
        <v>1</v>
      </c>
      <c r="BB268" s="263" t="s">
        <v>82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x14ac:dyDescent="0.2">
      <c r="A269" s="347"/>
      <c r="B269" s="348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49"/>
      <c r="P269" s="353" t="s">
        <v>72</v>
      </c>
      <c r="Q269" s="354"/>
      <c r="R269" s="354"/>
      <c r="S269" s="354"/>
      <c r="T269" s="354"/>
      <c r="U269" s="354"/>
      <c r="V269" s="355"/>
      <c r="W269" s="37" t="s">
        <v>69</v>
      </c>
      <c r="X269" s="338">
        <f>IFERROR(SUM(X268:X268),"0")</f>
        <v>0</v>
      </c>
      <c r="Y269" s="338">
        <f>IFERROR(SUM(Y268:Y268),"0")</f>
        <v>0</v>
      </c>
      <c r="Z269" s="338">
        <f>IFERROR(IF(Z268="",0,Z268),"0")</f>
        <v>0</v>
      </c>
      <c r="AA269" s="339"/>
      <c r="AB269" s="339"/>
      <c r="AC269" s="339"/>
    </row>
    <row r="270" spans="1:68" x14ac:dyDescent="0.2">
      <c r="A270" s="348"/>
      <c r="B270" s="348"/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9"/>
      <c r="P270" s="353" t="s">
        <v>72</v>
      </c>
      <c r="Q270" s="354"/>
      <c r="R270" s="354"/>
      <c r="S270" s="354"/>
      <c r="T270" s="354"/>
      <c r="U270" s="354"/>
      <c r="V270" s="355"/>
      <c r="W270" s="37" t="s">
        <v>73</v>
      </c>
      <c r="X270" s="338">
        <f>IFERROR(SUMPRODUCT(X268:X268*H268:H268),"0")</f>
        <v>0</v>
      </c>
      <c r="Y270" s="338">
        <f>IFERROR(SUMPRODUCT(Y268:Y268*H268:H268),"0")</f>
        <v>0</v>
      </c>
      <c r="Z270" s="37"/>
      <c r="AA270" s="339"/>
      <c r="AB270" s="339"/>
      <c r="AC270" s="339"/>
    </row>
    <row r="271" spans="1:68" ht="14.25" customHeight="1" x14ac:dyDescent="0.25">
      <c r="A271" s="351" t="s">
        <v>146</v>
      </c>
      <c r="B271" s="348"/>
      <c r="C271" s="348"/>
      <c r="D271" s="348"/>
      <c r="E271" s="348"/>
      <c r="F271" s="348"/>
      <c r="G271" s="348"/>
      <c r="H271" s="348"/>
      <c r="I271" s="348"/>
      <c r="J271" s="348"/>
      <c r="K271" s="348"/>
      <c r="L271" s="348"/>
      <c r="M271" s="348"/>
      <c r="N271" s="348"/>
      <c r="O271" s="348"/>
      <c r="P271" s="348"/>
      <c r="Q271" s="348"/>
      <c r="R271" s="348"/>
      <c r="S271" s="348"/>
      <c r="T271" s="348"/>
      <c r="U271" s="348"/>
      <c r="V271" s="348"/>
      <c r="W271" s="348"/>
      <c r="X271" s="348"/>
      <c r="Y271" s="348"/>
      <c r="Z271" s="348"/>
      <c r="AA271" s="332"/>
      <c r="AB271" s="332"/>
      <c r="AC271" s="332"/>
    </row>
    <row r="272" spans="1:68" ht="37.5" customHeight="1" x14ac:dyDescent="0.25">
      <c r="A272" s="54" t="s">
        <v>409</v>
      </c>
      <c r="B272" s="54" t="s">
        <v>410</v>
      </c>
      <c r="C272" s="31">
        <v>4301135400</v>
      </c>
      <c r="D272" s="345">
        <v>4607111039361</v>
      </c>
      <c r="E272" s="346"/>
      <c r="F272" s="335">
        <v>0.25</v>
      </c>
      <c r="G272" s="32">
        <v>12</v>
      </c>
      <c r="H272" s="335">
        <v>3</v>
      </c>
      <c r="I272" s="335">
        <v>3.7035999999999998</v>
      </c>
      <c r="J272" s="32">
        <v>70</v>
      </c>
      <c r="K272" s="32" t="s">
        <v>79</v>
      </c>
      <c r="L272" s="32" t="s">
        <v>67</v>
      </c>
      <c r="M272" s="33" t="s">
        <v>68</v>
      </c>
      <c r="N272" s="33"/>
      <c r="O272" s="32">
        <v>180</v>
      </c>
      <c r="P272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2" s="341"/>
      <c r="R272" s="341"/>
      <c r="S272" s="341"/>
      <c r="T272" s="342"/>
      <c r="U272" s="34"/>
      <c r="V272" s="34"/>
      <c r="W272" s="35" t="s">
        <v>69</v>
      </c>
      <c r="X272" s="336">
        <v>0</v>
      </c>
      <c r="Y272" s="337">
        <f>IFERROR(IF(X272="","",X272),"")</f>
        <v>0</v>
      </c>
      <c r="Z272" s="36">
        <f>IFERROR(IF(X272="","",X272*0.01788),"")</f>
        <v>0</v>
      </c>
      <c r="AA272" s="56"/>
      <c r="AB272" s="57"/>
      <c r="AC272" s="264" t="s">
        <v>408</v>
      </c>
      <c r="AG272" s="67"/>
      <c r="AJ272" s="71" t="s">
        <v>71</v>
      </c>
      <c r="AK272" s="71">
        <v>1</v>
      </c>
      <c r="BB272" s="265" t="s">
        <v>82</v>
      </c>
      <c r="BM272" s="67">
        <f>IFERROR(X272*I272,"0")</f>
        <v>0</v>
      </c>
      <c r="BN272" s="67">
        <f>IFERROR(Y272*I272,"0")</f>
        <v>0</v>
      </c>
      <c r="BO272" s="67">
        <f>IFERROR(X272/J272,"0")</f>
        <v>0</v>
      </c>
      <c r="BP272" s="67">
        <f>IFERROR(Y272/J272,"0")</f>
        <v>0</v>
      </c>
    </row>
    <row r="273" spans="1:68" x14ac:dyDescent="0.2">
      <c r="A273" s="347"/>
      <c r="B273" s="348"/>
      <c r="C273" s="348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49"/>
      <c r="P273" s="353" t="s">
        <v>72</v>
      </c>
      <c r="Q273" s="354"/>
      <c r="R273" s="354"/>
      <c r="S273" s="354"/>
      <c r="T273" s="354"/>
      <c r="U273" s="354"/>
      <c r="V273" s="355"/>
      <c r="W273" s="37" t="s">
        <v>69</v>
      </c>
      <c r="X273" s="338">
        <f>IFERROR(SUM(X272:X272),"0")</f>
        <v>0</v>
      </c>
      <c r="Y273" s="338">
        <f>IFERROR(SUM(Y272:Y272),"0")</f>
        <v>0</v>
      </c>
      <c r="Z273" s="338">
        <f>IFERROR(IF(Z272="",0,Z272),"0")</f>
        <v>0</v>
      </c>
      <c r="AA273" s="339"/>
      <c r="AB273" s="339"/>
      <c r="AC273" s="339"/>
    </row>
    <row r="274" spans="1:68" x14ac:dyDescent="0.2">
      <c r="A274" s="348"/>
      <c r="B274" s="348"/>
      <c r="C274" s="348"/>
      <c r="D274" s="348"/>
      <c r="E274" s="348"/>
      <c r="F274" s="348"/>
      <c r="G274" s="348"/>
      <c r="H274" s="348"/>
      <c r="I274" s="348"/>
      <c r="J274" s="348"/>
      <c r="K274" s="348"/>
      <c r="L274" s="348"/>
      <c r="M274" s="348"/>
      <c r="N274" s="348"/>
      <c r="O274" s="349"/>
      <c r="P274" s="353" t="s">
        <v>72</v>
      </c>
      <c r="Q274" s="354"/>
      <c r="R274" s="354"/>
      <c r="S274" s="354"/>
      <c r="T274" s="354"/>
      <c r="U274" s="354"/>
      <c r="V274" s="355"/>
      <c r="W274" s="37" t="s">
        <v>73</v>
      </c>
      <c r="X274" s="338">
        <f>IFERROR(SUMPRODUCT(X272:X272*H272:H272),"0")</f>
        <v>0</v>
      </c>
      <c r="Y274" s="338">
        <f>IFERROR(SUMPRODUCT(Y272:Y272*H272:H272),"0")</f>
        <v>0</v>
      </c>
      <c r="Z274" s="37"/>
      <c r="AA274" s="339"/>
      <c r="AB274" s="339"/>
      <c r="AC274" s="339"/>
    </row>
    <row r="275" spans="1:68" ht="27.75" customHeight="1" x14ac:dyDescent="0.2">
      <c r="A275" s="369" t="s">
        <v>272</v>
      </c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  <c r="Z275" s="370"/>
      <c r="AA275" s="48"/>
      <c r="AB275" s="48"/>
      <c r="AC275" s="48"/>
    </row>
    <row r="276" spans="1:68" ht="16.5" customHeight="1" x14ac:dyDescent="0.25">
      <c r="A276" s="352" t="s">
        <v>272</v>
      </c>
      <c r="B276" s="348"/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31"/>
      <c r="AB276" s="331"/>
      <c r="AC276" s="331"/>
    </row>
    <row r="277" spans="1:68" ht="14.25" customHeight="1" x14ac:dyDescent="0.25">
      <c r="A277" s="351" t="s">
        <v>63</v>
      </c>
      <c r="B277" s="348"/>
      <c r="C277" s="348"/>
      <c r="D277" s="348"/>
      <c r="E277" s="348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32"/>
      <c r="AB277" s="332"/>
      <c r="AC277" s="332"/>
    </row>
    <row r="278" spans="1:68" ht="27" customHeight="1" x14ac:dyDescent="0.25">
      <c r="A278" s="54" t="s">
        <v>411</v>
      </c>
      <c r="B278" s="54" t="s">
        <v>412</v>
      </c>
      <c r="C278" s="31">
        <v>4301071014</v>
      </c>
      <c r="D278" s="345">
        <v>4640242181264</v>
      </c>
      <c r="E278" s="346"/>
      <c r="F278" s="335">
        <v>0.7</v>
      </c>
      <c r="G278" s="32">
        <v>10</v>
      </c>
      <c r="H278" s="335">
        <v>7</v>
      </c>
      <c r="I278" s="335">
        <v>7.28</v>
      </c>
      <c r="J278" s="32">
        <v>84</v>
      </c>
      <c r="K278" s="32" t="s">
        <v>66</v>
      </c>
      <c r="L278" s="32" t="s">
        <v>108</v>
      </c>
      <c r="M278" s="33" t="s">
        <v>68</v>
      </c>
      <c r="N278" s="33"/>
      <c r="O278" s="32">
        <v>180</v>
      </c>
      <c r="P278" s="519" t="s">
        <v>413</v>
      </c>
      <c r="Q278" s="341"/>
      <c r="R278" s="341"/>
      <c r="S278" s="341"/>
      <c r="T278" s="342"/>
      <c r="U278" s="34"/>
      <c r="V278" s="34"/>
      <c r="W278" s="35" t="s">
        <v>69</v>
      </c>
      <c r="X278" s="336">
        <v>0</v>
      </c>
      <c r="Y278" s="337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414</v>
      </c>
      <c r="AG278" s="67"/>
      <c r="AJ278" s="71" t="s">
        <v>110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customHeight="1" x14ac:dyDescent="0.25">
      <c r="A279" s="54" t="s">
        <v>415</v>
      </c>
      <c r="B279" s="54" t="s">
        <v>416</v>
      </c>
      <c r="C279" s="31">
        <v>4301071021</v>
      </c>
      <c r="D279" s="345">
        <v>4640242181325</v>
      </c>
      <c r="E279" s="346"/>
      <c r="F279" s="335">
        <v>0.7</v>
      </c>
      <c r="G279" s="32">
        <v>10</v>
      </c>
      <c r="H279" s="335">
        <v>7</v>
      </c>
      <c r="I279" s="335">
        <v>7.28</v>
      </c>
      <c r="J279" s="32">
        <v>84</v>
      </c>
      <c r="K279" s="32" t="s">
        <v>66</v>
      </c>
      <c r="L279" s="32" t="s">
        <v>108</v>
      </c>
      <c r="M279" s="33" t="s">
        <v>68</v>
      </c>
      <c r="N279" s="33"/>
      <c r="O279" s="32">
        <v>180</v>
      </c>
      <c r="P279" s="478" t="s">
        <v>417</v>
      </c>
      <c r="Q279" s="341"/>
      <c r="R279" s="341"/>
      <c r="S279" s="341"/>
      <c r="T279" s="342"/>
      <c r="U279" s="34"/>
      <c r="V279" s="34"/>
      <c r="W279" s="35" t="s">
        <v>69</v>
      </c>
      <c r="X279" s="336">
        <v>0</v>
      </c>
      <c r="Y279" s="337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414</v>
      </c>
      <c r="AG279" s="67"/>
      <c r="AJ279" s="71" t="s">
        <v>110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t="27" customHeight="1" x14ac:dyDescent="0.25">
      <c r="A280" s="54" t="s">
        <v>418</v>
      </c>
      <c r="B280" s="54" t="s">
        <v>419</v>
      </c>
      <c r="C280" s="31">
        <v>4301070993</v>
      </c>
      <c r="D280" s="345">
        <v>4640242180670</v>
      </c>
      <c r="E280" s="346"/>
      <c r="F280" s="335">
        <v>1</v>
      </c>
      <c r="G280" s="32">
        <v>6</v>
      </c>
      <c r="H280" s="335">
        <v>6</v>
      </c>
      <c r="I280" s="335">
        <v>6.23</v>
      </c>
      <c r="J280" s="32">
        <v>84</v>
      </c>
      <c r="K280" s="32" t="s">
        <v>66</v>
      </c>
      <c r="L280" s="32" t="s">
        <v>108</v>
      </c>
      <c r="M280" s="33" t="s">
        <v>68</v>
      </c>
      <c r="N280" s="33"/>
      <c r="O280" s="32">
        <v>180</v>
      </c>
      <c r="P280" s="425" t="s">
        <v>420</v>
      </c>
      <c r="Q280" s="341"/>
      <c r="R280" s="341"/>
      <c r="S280" s="341"/>
      <c r="T280" s="342"/>
      <c r="U280" s="34"/>
      <c r="V280" s="34"/>
      <c r="W280" s="35" t="s">
        <v>69</v>
      </c>
      <c r="X280" s="336">
        <v>0</v>
      </c>
      <c r="Y280" s="337">
        <f>IFERROR(IF(X280="","",X280),"")</f>
        <v>0</v>
      </c>
      <c r="Z280" s="36">
        <f>IFERROR(IF(X280="","",X280*0.0155),"")</f>
        <v>0</v>
      </c>
      <c r="AA280" s="56"/>
      <c r="AB280" s="57"/>
      <c r="AC280" s="270" t="s">
        <v>421</v>
      </c>
      <c r="AG280" s="67"/>
      <c r="AJ280" s="71" t="s">
        <v>110</v>
      </c>
      <c r="AK280" s="71">
        <v>12</v>
      </c>
      <c r="BB280" s="271" t="s">
        <v>1</v>
      </c>
      <c r="BM280" s="67">
        <f>IFERROR(X280*I280,"0")</f>
        <v>0</v>
      </c>
      <c r="BN280" s="67">
        <f>IFERROR(Y280*I280,"0")</f>
        <v>0</v>
      </c>
      <c r="BO280" s="67">
        <f>IFERROR(X280/J280,"0")</f>
        <v>0</v>
      </c>
      <c r="BP280" s="67">
        <f>IFERROR(Y280/J280,"0")</f>
        <v>0</v>
      </c>
    </row>
    <row r="281" spans="1:68" x14ac:dyDescent="0.2">
      <c r="A281" s="347"/>
      <c r="B281" s="348"/>
      <c r="C281" s="348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49"/>
      <c r="P281" s="353" t="s">
        <v>72</v>
      </c>
      <c r="Q281" s="354"/>
      <c r="R281" s="354"/>
      <c r="S281" s="354"/>
      <c r="T281" s="354"/>
      <c r="U281" s="354"/>
      <c r="V281" s="355"/>
      <c r="W281" s="37" t="s">
        <v>69</v>
      </c>
      <c r="X281" s="338">
        <f>IFERROR(SUM(X278:X280),"0")</f>
        <v>0</v>
      </c>
      <c r="Y281" s="338">
        <f>IFERROR(SUM(Y278:Y280),"0")</f>
        <v>0</v>
      </c>
      <c r="Z281" s="338">
        <f>IFERROR(IF(Z278="",0,Z278),"0")+IFERROR(IF(Z279="",0,Z279),"0")+IFERROR(IF(Z280="",0,Z280),"0")</f>
        <v>0</v>
      </c>
      <c r="AA281" s="339"/>
      <c r="AB281" s="339"/>
      <c r="AC281" s="339"/>
    </row>
    <row r="282" spans="1:68" x14ac:dyDescent="0.2">
      <c r="A282" s="348"/>
      <c r="B282" s="348"/>
      <c r="C282" s="348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9"/>
      <c r="P282" s="353" t="s">
        <v>72</v>
      </c>
      <c r="Q282" s="354"/>
      <c r="R282" s="354"/>
      <c r="S282" s="354"/>
      <c r="T282" s="354"/>
      <c r="U282" s="354"/>
      <c r="V282" s="355"/>
      <c r="W282" s="37" t="s">
        <v>73</v>
      </c>
      <c r="X282" s="338">
        <f>IFERROR(SUMPRODUCT(X278:X280*H278:H280),"0")</f>
        <v>0</v>
      </c>
      <c r="Y282" s="338">
        <f>IFERROR(SUMPRODUCT(Y278:Y280*H278:H280),"0")</f>
        <v>0</v>
      </c>
      <c r="Z282" s="37"/>
      <c r="AA282" s="339"/>
      <c r="AB282" s="339"/>
      <c r="AC282" s="339"/>
    </row>
    <row r="283" spans="1:68" ht="14.25" customHeight="1" x14ac:dyDescent="0.25">
      <c r="A283" s="351" t="s">
        <v>170</v>
      </c>
      <c r="B283" s="348"/>
      <c r="C283" s="348"/>
      <c r="D283" s="348"/>
      <c r="E283" s="348"/>
      <c r="F283" s="348"/>
      <c r="G283" s="348"/>
      <c r="H283" s="348"/>
      <c r="I283" s="348"/>
      <c r="J283" s="348"/>
      <c r="K283" s="348"/>
      <c r="L283" s="348"/>
      <c r="M283" s="348"/>
      <c r="N283" s="348"/>
      <c r="O283" s="348"/>
      <c r="P283" s="348"/>
      <c r="Q283" s="348"/>
      <c r="R283" s="348"/>
      <c r="S283" s="348"/>
      <c r="T283" s="348"/>
      <c r="U283" s="348"/>
      <c r="V283" s="348"/>
      <c r="W283" s="348"/>
      <c r="X283" s="348"/>
      <c r="Y283" s="348"/>
      <c r="Z283" s="348"/>
      <c r="AA283" s="332"/>
      <c r="AB283" s="332"/>
      <c r="AC283" s="332"/>
    </row>
    <row r="284" spans="1:68" ht="27" customHeight="1" x14ac:dyDescent="0.25">
      <c r="A284" s="54" t="s">
        <v>422</v>
      </c>
      <c r="B284" s="54" t="s">
        <v>423</v>
      </c>
      <c r="C284" s="31">
        <v>4301131019</v>
      </c>
      <c r="D284" s="345">
        <v>4640242180427</v>
      </c>
      <c r="E284" s="346"/>
      <c r="F284" s="335">
        <v>1.8</v>
      </c>
      <c r="G284" s="32">
        <v>1</v>
      </c>
      <c r="H284" s="335">
        <v>1.8</v>
      </c>
      <c r="I284" s="335">
        <v>1.915</v>
      </c>
      <c r="J284" s="32">
        <v>234</v>
      </c>
      <c r="K284" s="32" t="s">
        <v>160</v>
      </c>
      <c r="L284" s="32" t="s">
        <v>108</v>
      </c>
      <c r="M284" s="33" t="s">
        <v>68</v>
      </c>
      <c r="N284" s="33"/>
      <c r="O284" s="32">
        <v>180</v>
      </c>
      <c r="P284" s="40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4" s="341"/>
      <c r="R284" s="341"/>
      <c r="S284" s="341"/>
      <c r="T284" s="342"/>
      <c r="U284" s="34"/>
      <c r="V284" s="34"/>
      <c r="W284" s="35" t="s">
        <v>69</v>
      </c>
      <c r="X284" s="336">
        <v>0</v>
      </c>
      <c r="Y284" s="337">
        <f>IFERROR(IF(X284="","",X284),"")</f>
        <v>0</v>
      </c>
      <c r="Z284" s="36">
        <f>IFERROR(IF(X284="","",X284*0.00502),"")</f>
        <v>0</v>
      </c>
      <c r="AA284" s="56"/>
      <c r="AB284" s="57"/>
      <c r="AC284" s="272" t="s">
        <v>424</v>
      </c>
      <c r="AG284" s="67"/>
      <c r="AJ284" s="71" t="s">
        <v>110</v>
      </c>
      <c r="AK284" s="71">
        <v>18</v>
      </c>
      <c r="BB284" s="273" t="s">
        <v>82</v>
      </c>
      <c r="BM284" s="67">
        <f>IFERROR(X284*I284,"0")</f>
        <v>0</v>
      </c>
      <c r="BN284" s="67">
        <f>IFERROR(Y284*I284,"0")</f>
        <v>0</v>
      </c>
      <c r="BO284" s="67">
        <f>IFERROR(X284/J284,"0")</f>
        <v>0</v>
      </c>
      <c r="BP284" s="67">
        <f>IFERROR(Y284/J284,"0")</f>
        <v>0</v>
      </c>
    </row>
    <row r="285" spans="1:68" x14ac:dyDescent="0.2">
      <c r="A285" s="347"/>
      <c r="B285" s="348"/>
      <c r="C285" s="348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49"/>
      <c r="P285" s="353" t="s">
        <v>72</v>
      </c>
      <c r="Q285" s="354"/>
      <c r="R285" s="354"/>
      <c r="S285" s="354"/>
      <c r="T285" s="354"/>
      <c r="U285" s="354"/>
      <c r="V285" s="355"/>
      <c r="W285" s="37" t="s">
        <v>69</v>
      </c>
      <c r="X285" s="338">
        <f>IFERROR(SUM(X284:X284),"0")</f>
        <v>0</v>
      </c>
      <c r="Y285" s="338">
        <f>IFERROR(SUM(Y284:Y284),"0")</f>
        <v>0</v>
      </c>
      <c r="Z285" s="338">
        <f>IFERROR(IF(Z284="",0,Z284),"0")</f>
        <v>0</v>
      </c>
      <c r="AA285" s="339"/>
      <c r="AB285" s="339"/>
      <c r="AC285" s="339"/>
    </row>
    <row r="286" spans="1:68" x14ac:dyDescent="0.2">
      <c r="A286" s="348"/>
      <c r="B286" s="348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9"/>
      <c r="P286" s="353" t="s">
        <v>72</v>
      </c>
      <c r="Q286" s="354"/>
      <c r="R286" s="354"/>
      <c r="S286" s="354"/>
      <c r="T286" s="354"/>
      <c r="U286" s="354"/>
      <c r="V286" s="355"/>
      <c r="W286" s="37" t="s">
        <v>73</v>
      </c>
      <c r="X286" s="338">
        <f>IFERROR(SUMPRODUCT(X284:X284*H284:H284),"0")</f>
        <v>0</v>
      </c>
      <c r="Y286" s="338">
        <f>IFERROR(SUMPRODUCT(Y284:Y284*H284:H284),"0")</f>
        <v>0</v>
      </c>
      <c r="Z286" s="37"/>
      <c r="AA286" s="339"/>
      <c r="AB286" s="339"/>
      <c r="AC286" s="339"/>
    </row>
    <row r="287" spans="1:68" ht="14.25" customHeight="1" x14ac:dyDescent="0.25">
      <c r="A287" s="351" t="s">
        <v>76</v>
      </c>
      <c r="B287" s="348"/>
      <c r="C287" s="348"/>
      <c r="D287" s="348"/>
      <c r="E287" s="348"/>
      <c r="F287" s="348"/>
      <c r="G287" s="348"/>
      <c r="H287" s="348"/>
      <c r="I287" s="348"/>
      <c r="J287" s="348"/>
      <c r="K287" s="348"/>
      <c r="L287" s="348"/>
      <c r="M287" s="348"/>
      <c r="N287" s="348"/>
      <c r="O287" s="348"/>
      <c r="P287" s="348"/>
      <c r="Q287" s="348"/>
      <c r="R287" s="348"/>
      <c r="S287" s="348"/>
      <c r="T287" s="348"/>
      <c r="U287" s="348"/>
      <c r="V287" s="348"/>
      <c r="W287" s="348"/>
      <c r="X287" s="348"/>
      <c r="Y287" s="348"/>
      <c r="Z287" s="348"/>
      <c r="AA287" s="332"/>
      <c r="AB287" s="332"/>
      <c r="AC287" s="332"/>
    </row>
    <row r="288" spans="1:68" ht="27" customHeight="1" x14ac:dyDescent="0.25">
      <c r="A288" s="54" t="s">
        <v>425</v>
      </c>
      <c r="B288" s="54" t="s">
        <v>426</v>
      </c>
      <c r="C288" s="31">
        <v>4301132080</v>
      </c>
      <c r="D288" s="345">
        <v>4640242180397</v>
      </c>
      <c r="E288" s="346"/>
      <c r="F288" s="335">
        <v>1</v>
      </c>
      <c r="G288" s="32">
        <v>6</v>
      </c>
      <c r="H288" s="335">
        <v>6</v>
      </c>
      <c r="I288" s="335">
        <v>6.26</v>
      </c>
      <c r="J288" s="32">
        <v>84</v>
      </c>
      <c r="K288" s="32" t="s">
        <v>66</v>
      </c>
      <c r="L288" s="32" t="s">
        <v>113</v>
      </c>
      <c r="M288" s="33" t="s">
        <v>68</v>
      </c>
      <c r="N288" s="33"/>
      <c r="O288" s="32">
        <v>180</v>
      </c>
      <c r="P288" s="5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8" s="341"/>
      <c r="R288" s="341"/>
      <c r="S288" s="341"/>
      <c r="T288" s="342"/>
      <c r="U288" s="34"/>
      <c r="V288" s="34"/>
      <c r="W288" s="35" t="s">
        <v>69</v>
      </c>
      <c r="X288" s="336">
        <v>72</v>
      </c>
      <c r="Y288" s="337">
        <f>IFERROR(IF(X288="","",X288),"")</f>
        <v>72</v>
      </c>
      <c r="Z288" s="36">
        <f>IFERROR(IF(X288="","",X288*0.0155),"")</f>
        <v>1.1160000000000001</v>
      </c>
      <c r="AA288" s="56"/>
      <c r="AB288" s="57"/>
      <c r="AC288" s="274" t="s">
        <v>427</v>
      </c>
      <c r="AG288" s="67"/>
      <c r="AJ288" s="71" t="s">
        <v>114</v>
      </c>
      <c r="AK288" s="71">
        <v>84</v>
      </c>
      <c r="BB288" s="275" t="s">
        <v>82</v>
      </c>
      <c r="BM288" s="67">
        <f>IFERROR(X288*I288,"0")</f>
        <v>450.71999999999997</v>
      </c>
      <c r="BN288" s="67">
        <f>IFERROR(Y288*I288,"0")</f>
        <v>450.71999999999997</v>
      </c>
      <c r="BO288" s="67">
        <f>IFERROR(X288/J288,"0")</f>
        <v>0.8571428571428571</v>
      </c>
      <c r="BP288" s="67">
        <f>IFERROR(Y288/J288,"0")</f>
        <v>0.8571428571428571</v>
      </c>
    </row>
    <row r="289" spans="1:68" ht="27" customHeight="1" x14ac:dyDescent="0.25">
      <c r="A289" s="54" t="s">
        <v>428</v>
      </c>
      <c r="B289" s="54" t="s">
        <v>429</v>
      </c>
      <c r="C289" s="31">
        <v>4301132104</v>
      </c>
      <c r="D289" s="345">
        <v>4640242181219</v>
      </c>
      <c r="E289" s="346"/>
      <c r="F289" s="335">
        <v>0.3</v>
      </c>
      <c r="G289" s="32">
        <v>9</v>
      </c>
      <c r="H289" s="335">
        <v>2.7</v>
      </c>
      <c r="I289" s="335">
        <v>2.8450000000000002</v>
      </c>
      <c r="J289" s="32">
        <v>234</v>
      </c>
      <c r="K289" s="32" t="s">
        <v>160</v>
      </c>
      <c r="L289" s="32" t="s">
        <v>108</v>
      </c>
      <c r="M289" s="33" t="s">
        <v>68</v>
      </c>
      <c r="N289" s="33"/>
      <c r="O289" s="32">
        <v>180</v>
      </c>
      <c r="P289" s="432" t="s">
        <v>430</v>
      </c>
      <c r="Q289" s="341"/>
      <c r="R289" s="341"/>
      <c r="S289" s="341"/>
      <c r="T289" s="342"/>
      <c r="U289" s="34"/>
      <c r="V289" s="34"/>
      <c r="W289" s="35" t="s">
        <v>69</v>
      </c>
      <c r="X289" s="336">
        <v>0</v>
      </c>
      <c r="Y289" s="337">
        <f>IFERROR(IF(X289="","",X289),"")</f>
        <v>0</v>
      </c>
      <c r="Z289" s="36">
        <f>IFERROR(IF(X289="","",X289*0.00502),"")</f>
        <v>0</v>
      </c>
      <c r="AA289" s="56"/>
      <c r="AB289" s="57"/>
      <c r="AC289" s="276" t="s">
        <v>427</v>
      </c>
      <c r="AG289" s="67"/>
      <c r="AJ289" s="71" t="s">
        <v>110</v>
      </c>
      <c r="AK289" s="71">
        <v>18</v>
      </c>
      <c r="BB289" s="277" t="s">
        <v>82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47"/>
      <c r="B290" s="348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49"/>
      <c r="P290" s="353" t="s">
        <v>72</v>
      </c>
      <c r="Q290" s="354"/>
      <c r="R290" s="354"/>
      <c r="S290" s="354"/>
      <c r="T290" s="354"/>
      <c r="U290" s="354"/>
      <c r="V290" s="355"/>
      <c r="W290" s="37" t="s">
        <v>69</v>
      </c>
      <c r="X290" s="338">
        <f>IFERROR(SUM(X288:X289),"0")</f>
        <v>72</v>
      </c>
      <c r="Y290" s="338">
        <f>IFERROR(SUM(Y288:Y289),"0")</f>
        <v>72</v>
      </c>
      <c r="Z290" s="338">
        <f>IFERROR(IF(Z288="",0,Z288),"0")+IFERROR(IF(Z289="",0,Z289),"0")</f>
        <v>1.1160000000000001</v>
      </c>
      <c r="AA290" s="339"/>
      <c r="AB290" s="339"/>
      <c r="AC290" s="339"/>
    </row>
    <row r="291" spans="1:68" x14ac:dyDescent="0.2">
      <c r="A291" s="348"/>
      <c r="B291" s="348"/>
      <c r="C291" s="348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9"/>
      <c r="P291" s="353" t="s">
        <v>72</v>
      </c>
      <c r="Q291" s="354"/>
      <c r="R291" s="354"/>
      <c r="S291" s="354"/>
      <c r="T291" s="354"/>
      <c r="U291" s="354"/>
      <c r="V291" s="355"/>
      <c r="W291" s="37" t="s">
        <v>73</v>
      </c>
      <c r="X291" s="338">
        <f>IFERROR(SUMPRODUCT(X288:X289*H288:H289),"0")</f>
        <v>432</v>
      </c>
      <c r="Y291" s="338">
        <f>IFERROR(SUMPRODUCT(Y288:Y289*H288:H289),"0")</f>
        <v>432</v>
      </c>
      <c r="Z291" s="37"/>
      <c r="AA291" s="339"/>
      <c r="AB291" s="339"/>
      <c r="AC291" s="339"/>
    </row>
    <row r="292" spans="1:68" ht="14.25" customHeight="1" x14ac:dyDescent="0.25">
      <c r="A292" s="351" t="s">
        <v>142</v>
      </c>
      <c r="B292" s="348"/>
      <c r="C292" s="348"/>
      <c r="D292" s="348"/>
      <c r="E292" s="348"/>
      <c r="F292" s="348"/>
      <c r="G292" s="348"/>
      <c r="H292" s="348"/>
      <c r="I292" s="348"/>
      <c r="J292" s="348"/>
      <c r="K292" s="348"/>
      <c r="L292" s="348"/>
      <c r="M292" s="348"/>
      <c r="N292" s="348"/>
      <c r="O292" s="348"/>
      <c r="P292" s="348"/>
      <c r="Q292" s="348"/>
      <c r="R292" s="348"/>
      <c r="S292" s="348"/>
      <c r="T292" s="348"/>
      <c r="U292" s="348"/>
      <c r="V292" s="348"/>
      <c r="W292" s="348"/>
      <c r="X292" s="348"/>
      <c r="Y292" s="348"/>
      <c r="Z292" s="348"/>
      <c r="AA292" s="332"/>
      <c r="AB292" s="332"/>
      <c r="AC292" s="332"/>
    </row>
    <row r="293" spans="1:68" ht="27" customHeight="1" x14ac:dyDescent="0.25">
      <c r="A293" s="54" t="s">
        <v>431</v>
      </c>
      <c r="B293" s="54" t="s">
        <v>432</v>
      </c>
      <c r="C293" s="31">
        <v>4301136028</v>
      </c>
      <c r="D293" s="345">
        <v>4640242180304</v>
      </c>
      <c r="E293" s="346"/>
      <c r="F293" s="335">
        <v>2.7</v>
      </c>
      <c r="G293" s="32">
        <v>1</v>
      </c>
      <c r="H293" s="335">
        <v>2.7</v>
      </c>
      <c r="I293" s="335">
        <v>2.8906000000000001</v>
      </c>
      <c r="J293" s="32">
        <v>126</v>
      </c>
      <c r="K293" s="32" t="s">
        <v>79</v>
      </c>
      <c r="L293" s="32" t="s">
        <v>108</v>
      </c>
      <c r="M293" s="33" t="s">
        <v>68</v>
      </c>
      <c r="N293" s="33"/>
      <c r="O293" s="32">
        <v>180</v>
      </c>
      <c r="P293" s="542" t="s">
        <v>433</v>
      </c>
      <c r="Q293" s="341"/>
      <c r="R293" s="341"/>
      <c r="S293" s="341"/>
      <c r="T293" s="342"/>
      <c r="U293" s="34"/>
      <c r="V293" s="34"/>
      <c r="W293" s="35" t="s">
        <v>69</v>
      </c>
      <c r="X293" s="336">
        <v>0</v>
      </c>
      <c r="Y293" s="337">
        <f>IFERROR(IF(X293="","",X293),"")</f>
        <v>0</v>
      </c>
      <c r="Z293" s="36">
        <f>IFERROR(IF(X293="","",X293*0.00936),"")</f>
        <v>0</v>
      </c>
      <c r="AA293" s="56"/>
      <c r="AB293" s="57"/>
      <c r="AC293" s="278" t="s">
        <v>434</v>
      </c>
      <c r="AG293" s="67"/>
      <c r="AJ293" s="71" t="s">
        <v>110</v>
      </c>
      <c r="AK293" s="71">
        <v>14</v>
      </c>
      <c r="BB293" s="279" t="s">
        <v>82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customHeight="1" x14ac:dyDescent="0.25">
      <c r="A294" s="54" t="s">
        <v>435</v>
      </c>
      <c r="B294" s="54" t="s">
        <v>436</v>
      </c>
      <c r="C294" s="31">
        <v>4301136026</v>
      </c>
      <c r="D294" s="345">
        <v>4640242180236</v>
      </c>
      <c r="E294" s="346"/>
      <c r="F294" s="335">
        <v>5</v>
      </c>
      <c r="G294" s="32">
        <v>1</v>
      </c>
      <c r="H294" s="335">
        <v>5</v>
      </c>
      <c r="I294" s="335">
        <v>5.2350000000000003</v>
      </c>
      <c r="J294" s="32">
        <v>84</v>
      </c>
      <c r="K294" s="32" t="s">
        <v>66</v>
      </c>
      <c r="L294" s="32" t="s">
        <v>113</v>
      </c>
      <c r="M294" s="33" t="s">
        <v>68</v>
      </c>
      <c r="N294" s="33"/>
      <c r="O294" s="32">
        <v>180</v>
      </c>
      <c r="P294" s="5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4" s="341"/>
      <c r="R294" s="341"/>
      <c r="S294" s="341"/>
      <c r="T294" s="342"/>
      <c r="U294" s="34"/>
      <c r="V294" s="34"/>
      <c r="W294" s="35" t="s">
        <v>69</v>
      </c>
      <c r="X294" s="336">
        <v>36</v>
      </c>
      <c r="Y294" s="337">
        <f>IFERROR(IF(X294="","",X294),"")</f>
        <v>36</v>
      </c>
      <c r="Z294" s="36">
        <f>IFERROR(IF(X294="","",X294*0.0155),"")</f>
        <v>0.55800000000000005</v>
      </c>
      <c r="AA294" s="56"/>
      <c r="AB294" s="57"/>
      <c r="AC294" s="280" t="s">
        <v>434</v>
      </c>
      <c r="AG294" s="67"/>
      <c r="AJ294" s="71" t="s">
        <v>114</v>
      </c>
      <c r="AK294" s="71">
        <v>84</v>
      </c>
      <c r="BB294" s="281" t="s">
        <v>82</v>
      </c>
      <c r="BM294" s="67">
        <f>IFERROR(X294*I294,"0")</f>
        <v>188.46</v>
      </c>
      <c r="BN294" s="67">
        <f>IFERROR(Y294*I294,"0")</f>
        <v>188.46</v>
      </c>
      <c r="BO294" s="67">
        <f>IFERROR(X294/J294,"0")</f>
        <v>0.42857142857142855</v>
      </c>
      <c r="BP294" s="67">
        <f>IFERROR(Y294/J294,"0")</f>
        <v>0.42857142857142855</v>
      </c>
    </row>
    <row r="295" spans="1:68" ht="27" customHeight="1" x14ac:dyDescent="0.25">
      <c r="A295" s="54" t="s">
        <v>437</v>
      </c>
      <c r="B295" s="54" t="s">
        <v>438</v>
      </c>
      <c r="C295" s="31">
        <v>4301136029</v>
      </c>
      <c r="D295" s="345">
        <v>4640242180410</v>
      </c>
      <c r="E295" s="346"/>
      <c r="F295" s="335">
        <v>2.2400000000000002</v>
      </c>
      <c r="G295" s="32">
        <v>1</v>
      </c>
      <c r="H295" s="335">
        <v>2.2400000000000002</v>
      </c>
      <c r="I295" s="335">
        <v>2.4319999999999999</v>
      </c>
      <c r="J295" s="32">
        <v>126</v>
      </c>
      <c r="K295" s="32" t="s">
        <v>79</v>
      </c>
      <c r="L295" s="32" t="s">
        <v>108</v>
      </c>
      <c r="M295" s="33" t="s">
        <v>68</v>
      </c>
      <c r="N295" s="33"/>
      <c r="O295" s="32">
        <v>180</v>
      </c>
      <c r="P295" s="5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5" s="341"/>
      <c r="R295" s="341"/>
      <c r="S295" s="341"/>
      <c r="T295" s="342"/>
      <c r="U295" s="34"/>
      <c r="V295" s="34"/>
      <c r="W295" s="35" t="s">
        <v>69</v>
      </c>
      <c r="X295" s="336">
        <v>0</v>
      </c>
      <c r="Y295" s="337">
        <f>IFERROR(IF(X295="","",X295),"")</f>
        <v>0</v>
      </c>
      <c r="Z295" s="36">
        <f>IFERROR(IF(X295="","",X295*0.00936),"")</f>
        <v>0</v>
      </c>
      <c r="AA295" s="56"/>
      <c r="AB295" s="57"/>
      <c r="AC295" s="282" t="s">
        <v>434</v>
      </c>
      <c r="AG295" s="67"/>
      <c r="AJ295" s="71" t="s">
        <v>110</v>
      </c>
      <c r="AK295" s="71">
        <v>14</v>
      </c>
      <c r="BB295" s="283" t="s">
        <v>82</v>
      </c>
      <c r="BM295" s="67">
        <f>IFERROR(X295*I295,"0")</f>
        <v>0</v>
      </c>
      <c r="BN295" s="67">
        <f>IFERROR(Y295*I295,"0")</f>
        <v>0</v>
      </c>
      <c r="BO295" s="67">
        <f>IFERROR(X295/J295,"0")</f>
        <v>0</v>
      </c>
      <c r="BP295" s="67">
        <f>IFERROR(Y295/J295,"0")</f>
        <v>0</v>
      </c>
    </row>
    <row r="296" spans="1:68" x14ac:dyDescent="0.2">
      <c r="A296" s="347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49"/>
      <c r="P296" s="353" t="s">
        <v>72</v>
      </c>
      <c r="Q296" s="354"/>
      <c r="R296" s="354"/>
      <c r="S296" s="354"/>
      <c r="T296" s="354"/>
      <c r="U296" s="354"/>
      <c r="V296" s="355"/>
      <c r="W296" s="37" t="s">
        <v>69</v>
      </c>
      <c r="X296" s="338">
        <f>IFERROR(SUM(X293:X295),"0")</f>
        <v>36</v>
      </c>
      <c r="Y296" s="338">
        <f>IFERROR(SUM(Y293:Y295),"0")</f>
        <v>36</v>
      </c>
      <c r="Z296" s="338">
        <f>IFERROR(IF(Z293="",0,Z293),"0")+IFERROR(IF(Z294="",0,Z294),"0")+IFERROR(IF(Z295="",0,Z295),"0")</f>
        <v>0.55800000000000005</v>
      </c>
      <c r="AA296" s="339"/>
      <c r="AB296" s="339"/>
      <c r="AC296" s="339"/>
    </row>
    <row r="297" spans="1:68" x14ac:dyDescent="0.2">
      <c r="A297" s="348"/>
      <c r="B297" s="348"/>
      <c r="C297" s="348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9"/>
      <c r="P297" s="353" t="s">
        <v>72</v>
      </c>
      <c r="Q297" s="354"/>
      <c r="R297" s="354"/>
      <c r="S297" s="354"/>
      <c r="T297" s="354"/>
      <c r="U297" s="354"/>
      <c r="V297" s="355"/>
      <c r="W297" s="37" t="s">
        <v>73</v>
      </c>
      <c r="X297" s="338">
        <f>IFERROR(SUMPRODUCT(X293:X295*H293:H295),"0")</f>
        <v>180</v>
      </c>
      <c r="Y297" s="338">
        <f>IFERROR(SUMPRODUCT(Y293:Y295*H293:H295),"0")</f>
        <v>180</v>
      </c>
      <c r="Z297" s="37"/>
      <c r="AA297" s="339"/>
      <c r="AB297" s="339"/>
      <c r="AC297" s="339"/>
    </row>
    <row r="298" spans="1:68" ht="14.25" customHeight="1" x14ac:dyDescent="0.25">
      <c r="A298" s="351" t="s">
        <v>146</v>
      </c>
      <c r="B298" s="348"/>
      <c r="C298" s="348"/>
      <c r="D298" s="348"/>
      <c r="E298" s="348"/>
      <c r="F298" s="348"/>
      <c r="G298" s="348"/>
      <c r="H298" s="348"/>
      <c r="I298" s="348"/>
      <c r="J298" s="348"/>
      <c r="K298" s="348"/>
      <c r="L298" s="348"/>
      <c r="M298" s="348"/>
      <c r="N298" s="348"/>
      <c r="O298" s="348"/>
      <c r="P298" s="348"/>
      <c r="Q298" s="348"/>
      <c r="R298" s="348"/>
      <c r="S298" s="348"/>
      <c r="T298" s="348"/>
      <c r="U298" s="348"/>
      <c r="V298" s="348"/>
      <c r="W298" s="348"/>
      <c r="X298" s="348"/>
      <c r="Y298" s="348"/>
      <c r="Z298" s="348"/>
      <c r="AA298" s="332"/>
      <c r="AB298" s="332"/>
      <c r="AC298" s="332"/>
    </row>
    <row r="299" spans="1:68" ht="37.5" customHeight="1" x14ac:dyDescent="0.25">
      <c r="A299" s="54" t="s">
        <v>439</v>
      </c>
      <c r="B299" s="54" t="s">
        <v>440</v>
      </c>
      <c r="C299" s="31">
        <v>4301135504</v>
      </c>
      <c r="D299" s="345">
        <v>4640242181554</v>
      </c>
      <c r="E299" s="346"/>
      <c r="F299" s="335">
        <v>3</v>
      </c>
      <c r="G299" s="32">
        <v>1</v>
      </c>
      <c r="H299" s="335">
        <v>3</v>
      </c>
      <c r="I299" s="335">
        <v>3.1920000000000002</v>
      </c>
      <c r="J299" s="32">
        <v>126</v>
      </c>
      <c r="K299" s="32" t="s">
        <v>79</v>
      </c>
      <c r="L299" s="32" t="s">
        <v>67</v>
      </c>
      <c r="M299" s="33" t="s">
        <v>68</v>
      </c>
      <c r="N299" s="33"/>
      <c r="O299" s="32">
        <v>180</v>
      </c>
      <c r="P299" s="466" t="s">
        <v>441</v>
      </c>
      <c r="Q299" s="341"/>
      <c r="R299" s="341"/>
      <c r="S299" s="341"/>
      <c r="T299" s="342"/>
      <c r="U299" s="34"/>
      <c r="V299" s="34"/>
      <c r="W299" s="35" t="s">
        <v>69</v>
      </c>
      <c r="X299" s="336">
        <v>0</v>
      </c>
      <c r="Y299" s="337">
        <f t="shared" ref="Y299:Y319" si="24">IFERROR(IF(X299="","",X299),"")</f>
        <v>0</v>
      </c>
      <c r="Z299" s="36">
        <f>IFERROR(IF(X299="","",X299*0.00936),"")</f>
        <v>0</v>
      </c>
      <c r="AA299" s="56"/>
      <c r="AB299" s="57"/>
      <c r="AC299" s="284" t="s">
        <v>442</v>
      </c>
      <c r="AG299" s="67"/>
      <c r="AJ299" s="71" t="s">
        <v>71</v>
      </c>
      <c r="AK299" s="71">
        <v>1</v>
      </c>
      <c r="BB299" s="285" t="s">
        <v>82</v>
      </c>
      <c r="BM299" s="67">
        <f t="shared" ref="BM299:BM319" si="25">IFERROR(X299*I299,"0")</f>
        <v>0</v>
      </c>
      <c r="BN299" s="67">
        <f t="shared" ref="BN299:BN319" si="26">IFERROR(Y299*I299,"0")</f>
        <v>0</v>
      </c>
      <c r="BO299" s="67">
        <f t="shared" ref="BO299:BO319" si="27">IFERROR(X299/J299,"0")</f>
        <v>0</v>
      </c>
      <c r="BP299" s="67">
        <f t="shared" ref="BP299:BP319" si="28">IFERROR(Y299/J299,"0")</f>
        <v>0</v>
      </c>
    </row>
    <row r="300" spans="1:68" ht="27" customHeight="1" x14ac:dyDescent="0.25">
      <c r="A300" s="54" t="s">
        <v>443</v>
      </c>
      <c r="B300" s="54" t="s">
        <v>444</v>
      </c>
      <c r="C300" s="31">
        <v>4301135394</v>
      </c>
      <c r="D300" s="345">
        <v>4640242181561</v>
      </c>
      <c r="E300" s="346"/>
      <c r="F300" s="335">
        <v>3.7</v>
      </c>
      <c r="G300" s="32">
        <v>1</v>
      </c>
      <c r="H300" s="335">
        <v>3.7</v>
      </c>
      <c r="I300" s="335">
        <v>3.8919999999999999</v>
      </c>
      <c r="J300" s="32">
        <v>126</v>
      </c>
      <c r="K300" s="32" t="s">
        <v>79</v>
      </c>
      <c r="L300" s="32" t="s">
        <v>108</v>
      </c>
      <c r="M300" s="33" t="s">
        <v>68</v>
      </c>
      <c r="N300" s="33"/>
      <c r="O300" s="32">
        <v>180</v>
      </c>
      <c r="P300" s="428" t="s">
        <v>445</v>
      </c>
      <c r="Q300" s="341"/>
      <c r="R300" s="341"/>
      <c r="S300" s="341"/>
      <c r="T300" s="342"/>
      <c r="U300" s="34"/>
      <c r="V300" s="34"/>
      <c r="W300" s="35" t="s">
        <v>69</v>
      </c>
      <c r="X300" s="336">
        <v>28</v>
      </c>
      <c r="Y300" s="337">
        <f t="shared" si="24"/>
        <v>28</v>
      </c>
      <c r="Z300" s="36">
        <f>IFERROR(IF(X300="","",X300*0.00936),"")</f>
        <v>0.26207999999999998</v>
      </c>
      <c r="AA300" s="56"/>
      <c r="AB300" s="57"/>
      <c r="AC300" s="286" t="s">
        <v>446</v>
      </c>
      <c r="AG300" s="67"/>
      <c r="AJ300" s="71" t="s">
        <v>110</v>
      </c>
      <c r="AK300" s="71">
        <v>14</v>
      </c>
      <c r="BB300" s="287" t="s">
        <v>82</v>
      </c>
      <c r="BM300" s="67">
        <f t="shared" si="25"/>
        <v>108.976</v>
      </c>
      <c r="BN300" s="67">
        <f t="shared" si="26"/>
        <v>108.976</v>
      </c>
      <c r="BO300" s="67">
        <f t="shared" si="27"/>
        <v>0.22222222222222221</v>
      </c>
      <c r="BP300" s="67">
        <f t="shared" si="28"/>
        <v>0.22222222222222221</v>
      </c>
    </row>
    <row r="301" spans="1:68" ht="27" customHeight="1" x14ac:dyDescent="0.25">
      <c r="A301" s="54" t="s">
        <v>447</v>
      </c>
      <c r="B301" s="54" t="s">
        <v>448</v>
      </c>
      <c r="C301" s="31">
        <v>4301135374</v>
      </c>
      <c r="D301" s="345">
        <v>4640242181424</v>
      </c>
      <c r="E301" s="346"/>
      <c r="F301" s="335">
        <v>5.5</v>
      </c>
      <c r="G301" s="32">
        <v>1</v>
      </c>
      <c r="H301" s="335">
        <v>5.5</v>
      </c>
      <c r="I301" s="335">
        <v>5.7350000000000003</v>
      </c>
      <c r="J301" s="32">
        <v>84</v>
      </c>
      <c r="K301" s="32" t="s">
        <v>66</v>
      </c>
      <c r="L301" s="32" t="s">
        <v>108</v>
      </c>
      <c r="M301" s="33" t="s">
        <v>68</v>
      </c>
      <c r="N301" s="33"/>
      <c r="O301" s="32">
        <v>180</v>
      </c>
      <c r="P301" s="5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1" s="341"/>
      <c r="R301" s="341"/>
      <c r="S301" s="341"/>
      <c r="T301" s="342"/>
      <c r="U301" s="34"/>
      <c r="V301" s="34"/>
      <c r="W301" s="35" t="s">
        <v>69</v>
      </c>
      <c r="X301" s="336">
        <v>0</v>
      </c>
      <c r="Y301" s="337">
        <f t="shared" si="24"/>
        <v>0</v>
      </c>
      <c r="Z301" s="36">
        <f>IFERROR(IF(X301="","",X301*0.0155),"")</f>
        <v>0</v>
      </c>
      <c r="AA301" s="56"/>
      <c r="AB301" s="57"/>
      <c r="AC301" s="288" t="s">
        <v>442</v>
      </c>
      <c r="AG301" s="67"/>
      <c r="AJ301" s="71" t="s">
        <v>110</v>
      </c>
      <c r="AK301" s="71">
        <v>12</v>
      </c>
      <c r="BB301" s="289" t="s">
        <v>82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27" customHeight="1" x14ac:dyDescent="0.25">
      <c r="A302" s="54" t="s">
        <v>449</v>
      </c>
      <c r="B302" s="54" t="s">
        <v>450</v>
      </c>
      <c r="C302" s="31">
        <v>4301135320</v>
      </c>
      <c r="D302" s="345">
        <v>4640242181592</v>
      </c>
      <c r="E302" s="346"/>
      <c r="F302" s="335">
        <v>3.5</v>
      </c>
      <c r="G302" s="32">
        <v>1</v>
      </c>
      <c r="H302" s="335">
        <v>3.5</v>
      </c>
      <c r="I302" s="335">
        <v>3.6850000000000001</v>
      </c>
      <c r="J302" s="32">
        <v>126</v>
      </c>
      <c r="K302" s="32" t="s">
        <v>79</v>
      </c>
      <c r="L302" s="32" t="s">
        <v>67</v>
      </c>
      <c r="M302" s="33" t="s">
        <v>68</v>
      </c>
      <c r="N302" s="33"/>
      <c r="O302" s="32">
        <v>180</v>
      </c>
      <c r="P302" s="350" t="s">
        <v>451</v>
      </c>
      <c r="Q302" s="341"/>
      <c r="R302" s="341"/>
      <c r="S302" s="341"/>
      <c r="T302" s="342"/>
      <c r="U302" s="34"/>
      <c r="V302" s="34"/>
      <c r="W302" s="35" t="s">
        <v>69</v>
      </c>
      <c r="X302" s="336">
        <v>0</v>
      </c>
      <c r="Y302" s="337">
        <f t="shared" si="24"/>
        <v>0</v>
      </c>
      <c r="Z302" s="36">
        <f t="shared" ref="Z302:Z310" si="29">IFERROR(IF(X302="","",X302*0.00936),"")</f>
        <v>0</v>
      </c>
      <c r="AA302" s="56"/>
      <c r="AB302" s="57"/>
      <c r="AC302" s="290" t="s">
        <v>452</v>
      </c>
      <c r="AG302" s="67"/>
      <c r="AJ302" s="71" t="s">
        <v>71</v>
      </c>
      <c r="AK302" s="71">
        <v>1</v>
      </c>
      <c r="BB302" s="291" t="s">
        <v>82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37.5" customHeight="1" x14ac:dyDescent="0.25">
      <c r="A303" s="54" t="s">
        <v>453</v>
      </c>
      <c r="B303" s="54" t="s">
        <v>454</v>
      </c>
      <c r="C303" s="31">
        <v>4301135552</v>
      </c>
      <c r="D303" s="345">
        <v>4640242181431</v>
      </c>
      <c r="E303" s="346"/>
      <c r="F303" s="335">
        <v>3.5</v>
      </c>
      <c r="G303" s="32">
        <v>1</v>
      </c>
      <c r="H303" s="335">
        <v>3.5</v>
      </c>
      <c r="I303" s="335">
        <v>3.6920000000000002</v>
      </c>
      <c r="J303" s="32">
        <v>126</v>
      </c>
      <c r="K303" s="32" t="s">
        <v>79</v>
      </c>
      <c r="L303" s="32" t="s">
        <v>67</v>
      </c>
      <c r="M303" s="33" t="s">
        <v>68</v>
      </c>
      <c r="N303" s="33"/>
      <c r="O303" s="32">
        <v>180</v>
      </c>
      <c r="P303" s="433" t="s">
        <v>455</v>
      </c>
      <c r="Q303" s="341"/>
      <c r="R303" s="341"/>
      <c r="S303" s="341"/>
      <c r="T303" s="342"/>
      <c r="U303" s="34"/>
      <c r="V303" s="34"/>
      <c r="W303" s="35" t="s">
        <v>69</v>
      </c>
      <c r="X303" s="336">
        <v>0</v>
      </c>
      <c r="Y303" s="337">
        <f t="shared" si="24"/>
        <v>0</v>
      </c>
      <c r="Z303" s="36">
        <f t="shared" si="29"/>
        <v>0</v>
      </c>
      <c r="AA303" s="56"/>
      <c r="AB303" s="57"/>
      <c r="AC303" s="292" t="s">
        <v>456</v>
      </c>
      <c r="AG303" s="67"/>
      <c r="AJ303" s="71" t="s">
        <v>71</v>
      </c>
      <c r="AK303" s="71">
        <v>1</v>
      </c>
      <c r="BB303" s="293" t="s">
        <v>82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27" customHeight="1" x14ac:dyDescent="0.25">
      <c r="A304" s="54" t="s">
        <v>457</v>
      </c>
      <c r="B304" s="54" t="s">
        <v>458</v>
      </c>
      <c r="C304" s="31">
        <v>4301135405</v>
      </c>
      <c r="D304" s="345">
        <v>4640242181523</v>
      </c>
      <c r="E304" s="346"/>
      <c r="F304" s="335">
        <v>3</v>
      </c>
      <c r="G304" s="32">
        <v>1</v>
      </c>
      <c r="H304" s="335">
        <v>3</v>
      </c>
      <c r="I304" s="335">
        <v>3.1920000000000002</v>
      </c>
      <c r="J304" s="32">
        <v>126</v>
      </c>
      <c r="K304" s="32" t="s">
        <v>79</v>
      </c>
      <c r="L304" s="32" t="s">
        <v>108</v>
      </c>
      <c r="M304" s="33" t="s">
        <v>68</v>
      </c>
      <c r="N304" s="33"/>
      <c r="O304" s="32">
        <v>180</v>
      </c>
      <c r="P304" s="46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4" s="341"/>
      <c r="R304" s="341"/>
      <c r="S304" s="341"/>
      <c r="T304" s="342"/>
      <c r="U304" s="34"/>
      <c r="V304" s="34"/>
      <c r="W304" s="35" t="s">
        <v>69</v>
      </c>
      <c r="X304" s="336">
        <v>42</v>
      </c>
      <c r="Y304" s="337">
        <f t="shared" si="24"/>
        <v>42</v>
      </c>
      <c r="Z304" s="36">
        <f t="shared" si="29"/>
        <v>0.39312000000000002</v>
      </c>
      <c r="AA304" s="56"/>
      <c r="AB304" s="57"/>
      <c r="AC304" s="294" t="s">
        <v>446</v>
      </c>
      <c r="AG304" s="67"/>
      <c r="AJ304" s="71" t="s">
        <v>110</v>
      </c>
      <c r="AK304" s="71">
        <v>14</v>
      </c>
      <c r="BB304" s="295" t="s">
        <v>82</v>
      </c>
      <c r="BM304" s="67">
        <f t="shared" si="25"/>
        <v>134.06400000000002</v>
      </c>
      <c r="BN304" s="67">
        <f t="shared" si="26"/>
        <v>134.06400000000002</v>
      </c>
      <c r="BO304" s="67">
        <f t="shared" si="27"/>
        <v>0.33333333333333331</v>
      </c>
      <c r="BP304" s="67">
        <f t="shared" si="28"/>
        <v>0.33333333333333331</v>
      </c>
    </row>
    <row r="305" spans="1:68" ht="37.5" customHeight="1" x14ac:dyDescent="0.25">
      <c r="A305" s="54" t="s">
        <v>459</v>
      </c>
      <c r="B305" s="54" t="s">
        <v>460</v>
      </c>
      <c r="C305" s="31">
        <v>4301135404</v>
      </c>
      <c r="D305" s="345">
        <v>4640242181516</v>
      </c>
      <c r="E305" s="346"/>
      <c r="F305" s="335">
        <v>3.7</v>
      </c>
      <c r="G305" s="32">
        <v>1</v>
      </c>
      <c r="H305" s="335">
        <v>3.7</v>
      </c>
      <c r="I305" s="335">
        <v>3.8919999999999999</v>
      </c>
      <c r="J305" s="32">
        <v>126</v>
      </c>
      <c r="K305" s="32" t="s">
        <v>79</v>
      </c>
      <c r="L305" s="32" t="s">
        <v>67</v>
      </c>
      <c r="M305" s="33" t="s">
        <v>68</v>
      </c>
      <c r="N305" s="33"/>
      <c r="O305" s="32">
        <v>180</v>
      </c>
      <c r="P305" s="434" t="s">
        <v>461</v>
      </c>
      <c r="Q305" s="341"/>
      <c r="R305" s="341"/>
      <c r="S305" s="341"/>
      <c r="T305" s="342"/>
      <c r="U305" s="34"/>
      <c r="V305" s="34"/>
      <c r="W305" s="35" t="s">
        <v>69</v>
      </c>
      <c r="X305" s="336">
        <v>0</v>
      </c>
      <c r="Y305" s="337">
        <f t="shared" si="24"/>
        <v>0</v>
      </c>
      <c r="Z305" s="36">
        <f t="shared" si="29"/>
        <v>0</v>
      </c>
      <c r="AA305" s="56"/>
      <c r="AB305" s="57"/>
      <c r="AC305" s="296" t="s">
        <v>456</v>
      </c>
      <c r="AG305" s="67"/>
      <c r="AJ305" s="71" t="s">
        <v>71</v>
      </c>
      <c r="AK305" s="71">
        <v>1</v>
      </c>
      <c r="BB305" s="297" t="s">
        <v>82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462</v>
      </c>
      <c r="B306" s="54" t="s">
        <v>463</v>
      </c>
      <c r="C306" s="31">
        <v>4301135375</v>
      </c>
      <c r="D306" s="345">
        <v>4640242181486</v>
      </c>
      <c r="E306" s="346"/>
      <c r="F306" s="335">
        <v>3.7</v>
      </c>
      <c r="G306" s="32">
        <v>1</v>
      </c>
      <c r="H306" s="335">
        <v>3.7</v>
      </c>
      <c r="I306" s="335">
        <v>3.8919999999999999</v>
      </c>
      <c r="J306" s="32">
        <v>126</v>
      </c>
      <c r="K306" s="32" t="s">
        <v>79</v>
      </c>
      <c r="L306" s="32" t="s">
        <v>108</v>
      </c>
      <c r="M306" s="33" t="s">
        <v>68</v>
      </c>
      <c r="N306" s="33"/>
      <c r="O306" s="32">
        <v>180</v>
      </c>
      <c r="P306" s="4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6" s="341"/>
      <c r="R306" s="341"/>
      <c r="S306" s="341"/>
      <c r="T306" s="342"/>
      <c r="U306" s="34"/>
      <c r="V306" s="34"/>
      <c r="W306" s="35" t="s">
        <v>69</v>
      </c>
      <c r="X306" s="336">
        <v>42</v>
      </c>
      <c r="Y306" s="337">
        <f t="shared" si="24"/>
        <v>42</v>
      </c>
      <c r="Z306" s="36">
        <f t="shared" si="29"/>
        <v>0.39312000000000002</v>
      </c>
      <c r="AA306" s="56"/>
      <c r="AB306" s="57"/>
      <c r="AC306" s="298" t="s">
        <v>442</v>
      </c>
      <c r="AG306" s="67"/>
      <c r="AJ306" s="71" t="s">
        <v>110</v>
      </c>
      <c r="AK306" s="71">
        <v>14</v>
      </c>
      <c r="BB306" s="299" t="s">
        <v>82</v>
      </c>
      <c r="BM306" s="67">
        <f t="shared" si="25"/>
        <v>163.464</v>
      </c>
      <c r="BN306" s="67">
        <f t="shared" si="26"/>
        <v>163.464</v>
      </c>
      <c r="BO306" s="67">
        <f t="shared" si="27"/>
        <v>0.33333333333333331</v>
      </c>
      <c r="BP306" s="67">
        <f t="shared" si="28"/>
        <v>0.33333333333333331</v>
      </c>
    </row>
    <row r="307" spans="1:68" ht="37.5" customHeight="1" x14ac:dyDescent="0.25">
      <c r="A307" s="54" t="s">
        <v>464</v>
      </c>
      <c r="B307" s="54" t="s">
        <v>465</v>
      </c>
      <c r="C307" s="31">
        <v>4301135402</v>
      </c>
      <c r="D307" s="345">
        <v>4640242181493</v>
      </c>
      <c r="E307" s="346"/>
      <c r="F307" s="335">
        <v>3.7</v>
      </c>
      <c r="G307" s="32">
        <v>1</v>
      </c>
      <c r="H307" s="335">
        <v>3.7</v>
      </c>
      <c r="I307" s="335">
        <v>3.8919999999999999</v>
      </c>
      <c r="J307" s="32">
        <v>126</v>
      </c>
      <c r="K307" s="32" t="s">
        <v>79</v>
      </c>
      <c r="L307" s="32" t="s">
        <v>67</v>
      </c>
      <c r="M307" s="33" t="s">
        <v>68</v>
      </c>
      <c r="N307" s="33"/>
      <c r="O307" s="32">
        <v>180</v>
      </c>
      <c r="P307" s="559" t="s">
        <v>466</v>
      </c>
      <c r="Q307" s="341"/>
      <c r="R307" s="341"/>
      <c r="S307" s="341"/>
      <c r="T307" s="342"/>
      <c r="U307" s="34"/>
      <c r="V307" s="34"/>
      <c r="W307" s="35" t="s">
        <v>69</v>
      </c>
      <c r="X307" s="336">
        <v>0</v>
      </c>
      <c r="Y307" s="337">
        <f t="shared" si="24"/>
        <v>0</v>
      </c>
      <c r="Z307" s="36">
        <f t="shared" si="29"/>
        <v>0</v>
      </c>
      <c r="AA307" s="56"/>
      <c r="AB307" s="57"/>
      <c r="AC307" s="300" t="s">
        <v>442</v>
      </c>
      <c r="AG307" s="67"/>
      <c r="AJ307" s="71" t="s">
        <v>71</v>
      </c>
      <c r="AK307" s="71">
        <v>1</v>
      </c>
      <c r="BB307" s="301" t="s">
        <v>82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37.5" customHeight="1" x14ac:dyDescent="0.25">
      <c r="A308" s="54" t="s">
        <v>467</v>
      </c>
      <c r="B308" s="54" t="s">
        <v>468</v>
      </c>
      <c r="C308" s="31">
        <v>4301135403</v>
      </c>
      <c r="D308" s="345">
        <v>4640242181509</v>
      </c>
      <c r="E308" s="346"/>
      <c r="F308" s="335">
        <v>3.7</v>
      </c>
      <c r="G308" s="32">
        <v>1</v>
      </c>
      <c r="H308" s="335">
        <v>3.7</v>
      </c>
      <c r="I308" s="335">
        <v>3.8919999999999999</v>
      </c>
      <c r="J308" s="32">
        <v>126</v>
      </c>
      <c r="K308" s="32" t="s">
        <v>79</v>
      </c>
      <c r="L308" s="32" t="s">
        <v>108</v>
      </c>
      <c r="M308" s="33" t="s">
        <v>68</v>
      </c>
      <c r="N308" s="33"/>
      <c r="O308" s="32">
        <v>180</v>
      </c>
      <c r="P308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8" s="341"/>
      <c r="R308" s="341"/>
      <c r="S308" s="341"/>
      <c r="T308" s="342"/>
      <c r="U308" s="34"/>
      <c r="V308" s="34"/>
      <c r="W308" s="35" t="s">
        <v>69</v>
      </c>
      <c r="X308" s="336">
        <v>0</v>
      </c>
      <c r="Y308" s="337">
        <f t="shared" si="24"/>
        <v>0</v>
      </c>
      <c r="Z308" s="36">
        <f t="shared" si="29"/>
        <v>0</v>
      </c>
      <c r="AA308" s="56"/>
      <c r="AB308" s="57"/>
      <c r="AC308" s="302" t="s">
        <v>442</v>
      </c>
      <c r="AG308" s="67"/>
      <c r="AJ308" s="71" t="s">
        <v>110</v>
      </c>
      <c r="AK308" s="71">
        <v>14</v>
      </c>
      <c r="BB308" s="303" t="s">
        <v>82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469</v>
      </c>
      <c r="B309" s="54" t="s">
        <v>470</v>
      </c>
      <c r="C309" s="31">
        <v>4301135304</v>
      </c>
      <c r="D309" s="345">
        <v>4640242181240</v>
      </c>
      <c r="E309" s="346"/>
      <c r="F309" s="335">
        <v>0.3</v>
      </c>
      <c r="G309" s="32">
        <v>9</v>
      </c>
      <c r="H309" s="335">
        <v>2.7</v>
      </c>
      <c r="I309" s="335">
        <v>2.88</v>
      </c>
      <c r="J309" s="32">
        <v>126</v>
      </c>
      <c r="K309" s="32" t="s">
        <v>79</v>
      </c>
      <c r="L309" s="32" t="s">
        <v>108</v>
      </c>
      <c r="M309" s="33" t="s">
        <v>68</v>
      </c>
      <c r="N309" s="33"/>
      <c r="O309" s="32">
        <v>180</v>
      </c>
      <c r="P309" s="455" t="s">
        <v>471</v>
      </c>
      <c r="Q309" s="341"/>
      <c r="R309" s="341"/>
      <c r="S309" s="341"/>
      <c r="T309" s="342"/>
      <c r="U309" s="34"/>
      <c r="V309" s="34"/>
      <c r="W309" s="35" t="s">
        <v>69</v>
      </c>
      <c r="X309" s="336">
        <v>0</v>
      </c>
      <c r="Y309" s="337">
        <f t="shared" si="24"/>
        <v>0</v>
      </c>
      <c r="Z309" s="36">
        <f t="shared" si="29"/>
        <v>0</v>
      </c>
      <c r="AA309" s="56"/>
      <c r="AB309" s="57"/>
      <c r="AC309" s="304" t="s">
        <v>442</v>
      </c>
      <c r="AG309" s="67"/>
      <c r="AJ309" s="71" t="s">
        <v>110</v>
      </c>
      <c r="AK309" s="71">
        <v>14</v>
      </c>
      <c r="BB309" s="305" t="s">
        <v>82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472</v>
      </c>
      <c r="B310" s="54" t="s">
        <v>473</v>
      </c>
      <c r="C310" s="31">
        <v>4301135310</v>
      </c>
      <c r="D310" s="345">
        <v>4640242181318</v>
      </c>
      <c r="E310" s="346"/>
      <c r="F310" s="335">
        <v>0.3</v>
      </c>
      <c r="G310" s="32">
        <v>9</v>
      </c>
      <c r="H310" s="335">
        <v>2.7</v>
      </c>
      <c r="I310" s="335">
        <v>2.988</v>
      </c>
      <c r="J310" s="32">
        <v>126</v>
      </c>
      <c r="K310" s="32" t="s">
        <v>79</v>
      </c>
      <c r="L310" s="32" t="s">
        <v>108</v>
      </c>
      <c r="M310" s="33" t="s">
        <v>68</v>
      </c>
      <c r="N310" s="33"/>
      <c r="O310" s="32">
        <v>180</v>
      </c>
      <c r="P310" s="443" t="s">
        <v>474</v>
      </c>
      <c r="Q310" s="341"/>
      <c r="R310" s="341"/>
      <c r="S310" s="341"/>
      <c r="T310" s="342"/>
      <c r="U310" s="34"/>
      <c r="V310" s="34"/>
      <c r="W310" s="35" t="s">
        <v>69</v>
      </c>
      <c r="X310" s="336">
        <v>0</v>
      </c>
      <c r="Y310" s="337">
        <f t="shared" si="24"/>
        <v>0</v>
      </c>
      <c r="Z310" s="36">
        <f t="shared" si="29"/>
        <v>0</v>
      </c>
      <c r="AA310" s="56"/>
      <c r="AB310" s="57"/>
      <c r="AC310" s="306" t="s">
        <v>446</v>
      </c>
      <c r="AG310" s="67"/>
      <c r="AJ310" s="71" t="s">
        <v>110</v>
      </c>
      <c r="AK310" s="71">
        <v>14</v>
      </c>
      <c r="BB310" s="307" t="s">
        <v>82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475</v>
      </c>
      <c r="B311" s="54" t="s">
        <v>476</v>
      </c>
      <c r="C311" s="31">
        <v>4301135306</v>
      </c>
      <c r="D311" s="345">
        <v>4640242181387</v>
      </c>
      <c r="E311" s="346"/>
      <c r="F311" s="335">
        <v>0.3</v>
      </c>
      <c r="G311" s="32">
        <v>9</v>
      </c>
      <c r="H311" s="335">
        <v>2.7</v>
      </c>
      <c r="I311" s="335">
        <v>2.8450000000000002</v>
      </c>
      <c r="J311" s="32">
        <v>234</v>
      </c>
      <c r="K311" s="32" t="s">
        <v>160</v>
      </c>
      <c r="L311" s="32" t="s">
        <v>108</v>
      </c>
      <c r="M311" s="33" t="s">
        <v>68</v>
      </c>
      <c r="N311" s="33"/>
      <c r="O311" s="32">
        <v>180</v>
      </c>
      <c r="P311" s="447" t="s">
        <v>477</v>
      </c>
      <c r="Q311" s="341"/>
      <c r="R311" s="341"/>
      <c r="S311" s="341"/>
      <c r="T311" s="342"/>
      <c r="U311" s="34"/>
      <c r="V311" s="34"/>
      <c r="W311" s="35" t="s">
        <v>69</v>
      </c>
      <c r="X311" s="336">
        <v>0</v>
      </c>
      <c r="Y311" s="337">
        <f t="shared" si="24"/>
        <v>0</v>
      </c>
      <c r="Z311" s="36">
        <f>IFERROR(IF(X311="","",X311*0.00502),"")</f>
        <v>0</v>
      </c>
      <c r="AA311" s="56"/>
      <c r="AB311" s="57"/>
      <c r="AC311" s="308" t="s">
        <v>442</v>
      </c>
      <c r="AG311" s="67"/>
      <c r="AJ311" s="71" t="s">
        <v>110</v>
      </c>
      <c r="AK311" s="71">
        <v>18</v>
      </c>
      <c r="BB311" s="309" t="s">
        <v>82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478</v>
      </c>
      <c r="B312" s="54" t="s">
        <v>479</v>
      </c>
      <c r="C312" s="31">
        <v>4301135305</v>
      </c>
      <c r="D312" s="345">
        <v>4640242181394</v>
      </c>
      <c r="E312" s="346"/>
      <c r="F312" s="335">
        <v>0.3</v>
      </c>
      <c r="G312" s="32">
        <v>9</v>
      </c>
      <c r="H312" s="335">
        <v>2.7</v>
      </c>
      <c r="I312" s="335">
        <v>2.8450000000000002</v>
      </c>
      <c r="J312" s="32">
        <v>234</v>
      </c>
      <c r="K312" s="32" t="s">
        <v>160</v>
      </c>
      <c r="L312" s="32" t="s">
        <v>108</v>
      </c>
      <c r="M312" s="33" t="s">
        <v>68</v>
      </c>
      <c r="N312" s="33"/>
      <c r="O312" s="32">
        <v>180</v>
      </c>
      <c r="P312" s="416" t="s">
        <v>480</v>
      </c>
      <c r="Q312" s="341"/>
      <c r="R312" s="341"/>
      <c r="S312" s="341"/>
      <c r="T312" s="342"/>
      <c r="U312" s="34"/>
      <c r="V312" s="34"/>
      <c r="W312" s="35" t="s">
        <v>69</v>
      </c>
      <c r="X312" s="336">
        <v>0</v>
      </c>
      <c r="Y312" s="337">
        <f t="shared" si="24"/>
        <v>0</v>
      </c>
      <c r="Z312" s="36">
        <f>IFERROR(IF(X312="","",X312*0.00502),"")</f>
        <v>0</v>
      </c>
      <c r="AA312" s="56"/>
      <c r="AB312" s="57"/>
      <c r="AC312" s="310" t="s">
        <v>442</v>
      </c>
      <c r="AG312" s="67"/>
      <c r="AJ312" s="71" t="s">
        <v>110</v>
      </c>
      <c r="AK312" s="71">
        <v>18</v>
      </c>
      <c r="BB312" s="311" t="s">
        <v>82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481</v>
      </c>
      <c r="B313" s="54" t="s">
        <v>482</v>
      </c>
      <c r="C313" s="31">
        <v>4301135309</v>
      </c>
      <c r="D313" s="345">
        <v>4640242181332</v>
      </c>
      <c r="E313" s="346"/>
      <c r="F313" s="335">
        <v>0.3</v>
      </c>
      <c r="G313" s="32">
        <v>9</v>
      </c>
      <c r="H313" s="335">
        <v>2.7</v>
      </c>
      <c r="I313" s="335">
        <v>2.9079999999999999</v>
      </c>
      <c r="J313" s="32">
        <v>234</v>
      </c>
      <c r="K313" s="32" t="s">
        <v>160</v>
      </c>
      <c r="L313" s="32" t="s">
        <v>67</v>
      </c>
      <c r="M313" s="33" t="s">
        <v>68</v>
      </c>
      <c r="N313" s="33"/>
      <c r="O313" s="32">
        <v>180</v>
      </c>
      <c r="P313" s="557" t="s">
        <v>483</v>
      </c>
      <c r="Q313" s="341"/>
      <c r="R313" s="341"/>
      <c r="S313" s="341"/>
      <c r="T313" s="342"/>
      <c r="U313" s="34"/>
      <c r="V313" s="34"/>
      <c r="W313" s="35" t="s">
        <v>69</v>
      </c>
      <c r="X313" s="336">
        <v>0</v>
      </c>
      <c r="Y313" s="337">
        <f t="shared" si="24"/>
        <v>0</v>
      </c>
      <c r="Z313" s="36">
        <f>IFERROR(IF(X313="","",X313*0.00502),"")</f>
        <v>0</v>
      </c>
      <c r="AA313" s="56"/>
      <c r="AB313" s="57"/>
      <c r="AC313" s="312" t="s">
        <v>442</v>
      </c>
      <c r="AG313" s="67"/>
      <c r="AJ313" s="71" t="s">
        <v>71</v>
      </c>
      <c r="AK313" s="71">
        <v>1</v>
      </c>
      <c r="BB313" s="313" t="s">
        <v>82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484</v>
      </c>
      <c r="B314" s="54" t="s">
        <v>485</v>
      </c>
      <c r="C314" s="31">
        <v>4301135308</v>
      </c>
      <c r="D314" s="345">
        <v>4640242181349</v>
      </c>
      <c r="E314" s="346"/>
      <c r="F314" s="335">
        <v>0.3</v>
      </c>
      <c r="G314" s="32">
        <v>9</v>
      </c>
      <c r="H314" s="335">
        <v>2.7</v>
      </c>
      <c r="I314" s="335">
        <v>2.9079999999999999</v>
      </c>
      <c r="J314" s="32">
        <v>234</v>
      </c>
      <c r="K314" s="32" t="s">
        <v>160</v>
      </c>
      <c r="L314" s="32" t="s">
        <v>108</v>
      </c>
      <c r="M314" s="33" t="s">
        <v>68</v>
      </c>
      <c r="N314" s="33"/>
      <c r="O314" s="32">
        <v>180</v>
      </c>
      <c r="P314" s="493" t="s">
        <v>486</v>
      </c>
      <c r="Q314" s="341"/>
      <c r="R314" s="341"/>
      <c r="S314" s="341"/>
      <c r="T314" s="342"/>
      <c r="U314" s="34"/>
      <c r="V314" s="34"/>
      <c r="W314" s="35" t="s">
        <v>69</v>
      </c>
      <c r="X314" s="336">
        <v>0</v>
      </c>
      <c r="Y314" s="337">
        <f t="shared" si="24"/>
        <v>0</v>
      </c>
      <c r="Z314" s="36">
        <f>IFERROR(IF(X314="","",X314*0.00502),"")</f>
        <v>0</v>
      </c>
      <c r="AA314" s="56"/>
      <c r="AB314" s="57"/>
      <c r="AC314" s="314" t="s">
        <v>442</v>
      </c>
      <c r="AG314" s="67"/>
      <c r="AJ314" s="71" t="s">
        <v>110</v>
      </c>
      <c r="AK314" s="71">
        <v>18</v>
      </c>
      <c r="BB314" s="315" t="s">
        <v>82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487</v>
      </c>
      <c r="B315" s="54" t="s">
        <v>488</v>
      </c>
      <c r="C315" s="31">
        <v>4301135307</v>
      </c>
      <c r="D315" s="345">
        <v>4640242181370</v>
      </c>
      <c r="E315" s="346"/>
      <c r="F315" s="335">
        <v>0.3</v>
      </c>
      <c r="G315" s="32">
        <v>9</v>
      </c>
      <c r="H315" s="335">
        <v>2.7</v>
      </c>
      <c r="I315" s="335">
        <v>2.9079999999999999</v>
      </c>
      <c r="J315" s="32">
        <v>234</v>
      </c>
      <c r="K315" s="32" t="s">
        <v>160</v>
      </c>
      <c r="L315" s="32" t="s">
        <v>67</v>
      </c>
      <c r="M315" s="33" t="s">
        <v>68</v>
      </c>
      <c r="N315" s="33"/>
      <c r="O315" s="32">
        <v>180</v>
      </c>
      <c r="P315" s="344" t="s">
        <v>489</v>
      </c>
      <c r="Q315" s="341"/>
      <c r="R315" s="341"/>
      <c r="S315" s="341"/>
      <c r="T315" s="342"/>
      <c r="U315" s="34"/>
      <c r="V315" s="34"/>
      <c r="W315" s="35" t="s">
        <v>69</v>
      </c>
      <c r="X315" s="336">
        <v>0</v>
      </c>
      <c r="Y315" s="337">
        <f t="shared" si="24"/>
        <v>0</v>
      </c>
      <c r="Z315" s="36">
        <f>IFERROR(IF(X315="","",X315*0.00502),"")</f>
        <v>0</v>
      </c>
      <c r="AA315" s="56"/>
      <c r="AB315" s="57"/>
      <c r="AC315" s="316" t="s">
        <v>490</v>
      </c>
      <c r="AG315" s="67"/>
      <c r="AJ315" s="71" t="s">
        <v>71</v>
      </c>
      <c r="AK315" s="71">
        <v>1</v>
      </c>
      <c r="BB315" s="317" t="s">
        <v>82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491</v>
      </c>
      <c r="B316" s="54" t="s">
        <v>492</v>
      </c>
      <c r="C316" s="31">
        <v>4301135318</v>
      </c>
      <c r="D316" s="345">
        <v>4607111037480</v>
      </c>
      <c r="E316" s="346"/>
      <c r="F316" s="335">
        <v>1</v>
      </c>
      <c r="G316" s="32">
        <v>4</v>
      </c>
      <c r="H316" s="335">
        <v>4</v>
      </c>
      <c r="I316" s="335">
        <v>4.2724000000000002</v>
      </c>
      <c r="J316" s="32">
        <v>84</v>
      </c>
      <c r="K316" s="32" t="s">
        <v>66</v>
      </c>
      <c r="L316" s="32" t="s">
        <v>67</v>
      </c>
      <c r="M316" s="33" t="s">
        <v>68</v>
      </c>
      <c r="N316" s="33"/>
      <c r="O316" s="32">
        <v>180</v>
      </c>
      <c r="P316" s="376" t="s">
        <v>493</v>
      </c>
      <c r="Q316" s="341"/>
      <c r="R316" s="341"/>
      <c r="S316" s="341"/>
      <c r="T316" s="342"/>
      <c r="U316" s="34"/>
      <c r="V316" s="34"/>
      <c r="W316" s="35" t="s">
        <v>69</v>
      </c>
      <c r="X316" s="336">
        <v>0</v>
      </c>
      <c r="Y316" s="337">
        <f t="shared" si="24"/>
        <v>0</v>
      </c>
      <c r="Z316" s="36">
        <f>IFERROR(IF(X316="","",X316*0.0155),"")</f>
        <v>0</v>
      </c>
      <c r="AA316" s="56"/>
      <c r="AB316" s="57"/>
      <c r="AC316" s="318" t="s">
        <v>494</v>
      </c>
      <c r="AG316" s="67"/>
      <c r="AJ316" s="71" t="s">
        <v>71</v>
      </c>
      <c r="AK316" s="71">
        <v>1</v>
      </c>
      <c r="BB316" s="319" t="s">
        <v>82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customHeight="1" x14ac:dyDescent="0.25">
      <c r="A317" s="54" t="s">
        <v>495</v>
      </c>
      <c r="B317" s="54" t="s">
        <v>496</v>
      </c>
      <c r="C317" s="31">
        <v>4301135319</v>
      </c>
      <c r="D317" s="345">
        <v>4607111037473</v>
      </c>
      <c r="E317" s="346"/>
      <c r="F317" s="335">
        <v>1</v>
      </c>
      <c r="G317" s="32">
        <v>4</v>
      </c>
      <c r="H317" s="335">
        <v>4</v>
      </c>
      <c r="I317" s="335">
        <v>4.2300000000000004</v>
      </c>
      <c r="J317" s="32">
        <v>84</v>
      </c>
      <c r="K317" s="32" t="s">
        <v>66</v>
      </c>
      <c r="L317" s="32" t="s">
        <v>67</v>
      </c>
      <c r="M317" s="33" t="s">
        <v>68</v>
      </c>
      <c r="N317" s="33"/>
      <c r="O317" s="32">
        <v>180</v>
      </c>
      <c r="P317" s="533" t="s">
        <v>497</v>
      </c>
      <c r="Q317" s="341"/>
      <c r="R317" s="341"/>
      <c r="S317" s="341"/>
      <c r="T317" s="342"/>
      <c r="U317" s="34"/>
      <c r="V317" s="34"/>
      <c r="W317" s="35" t="s">
        <v>69</v>
      </c>
      <c r="X317" s="336">
        <v>0</v>
      </c>
      <c r="Y317" s="337">
        <f t="shared" si="24"/>
        <v>0</v>
      </c>
      <c r="Z317" s="36">
        <f>IFERROR(IF(X317="","",X317*0.0155),"")</f>
        <v>0</v>
      </c>
      <c r="AA317" s="56"/>
      <c r="AB317" s="57"/>
      <c r="AC317" s="320" t="s">
        <v>498</v>
      </c>
      <c r="AG317" s="67"/>
      <c r="AJ317" s="71" t="s">
        <v>71</v>
      </c>
      <c r="AK317" s="71">
        <v>1</v>
      </c>
      <c r="BB317" s="321" t="s">
        <v>82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customHeight="1" x14ac:dyDescent="0.25">
      <c r="A318" s="54" t="s">
        <v>499</v>
      </c>
      <c r="B318" s="54" t="s">
        <v>500</v>
      </c>
      <c r="C318" s="31">
        <v>4301135198</v>
      </c>
      <c r="D318" s="345">
        <v>4640242180663</v>
      </c>
      <c r="E318" s="346"/>
      <c r="F318" s="335">
        <v>0.9</v>
      </c>
      <c r="G318" s="32">
        <v>4</v>
      </c>
      <c r="H318" s="335">
        <v>3.6</v>
      </c>
      <c r="I318" s="335">
        <v>3.83</v>
      </c>
      <c r="J318" s="32">
        <v>84</v>
      </c>
      <c r="K318" s="32" t="s">
        <v>66</v>
      </c>
      <c r="L318" s="32" t="s">
        <v>67</v>
      </c>
      <c r="M318" s="33" t="s">
        <v>68</v>
      </c>
      <c r="N318" s="33"/>
      <c r="O318" s="32">
        <v>180</v>
      </c>
      <c r="P318" s="482" t="s">
        <v>501</v>
      </c>
      <c r="Q318" s="341"/>
      <c r="R318" s="341"/>
      <c r="S318" s="341"/>
      <c r="T318" s="342"/>
      <c r="U318" s="34"/>
      <c r="V318" s="34"/>
      <c r="W318" s="35" t="s">
        <v>69</v>
      </c>
      <c r="X318" s="336">
        <v>0</v>
      </c>
      <c r="Y318" s="337">
        <f t="shared" si="24"/>
        <v>0</v>
      </c>
      <c r="Z318" s="36">
        <f>IFERROR(IF(X318="","",X318*0.0155),"")</f>
        <v>0</v>
      </c>
      <c r="AA318" s="56"/>
      <c r="AB318" s="57"/>
      <c r="AC318" s="322" t="s">
        <v>502</v>
      </c>
      <c r="AG318" s="67"/>
      <c r="AJ318" s="71" t="s">
        <v>71</v>
      </c>
      <c r="AK318" s="71">
        <v>1</v>
      </c>
      <c r="BB318" s="323" t="s">
        <v>82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ht="27" customHeight="1" x14ac:dyDescent="0.25">
      <c r="A319" s="54" t="s">
        <v>503</v>
      </c>
      <c r="B319" s="54" t="s">
        <v>504</v>
      </c>
      <c r="C319" s="31">
        <v>4301135723</v>
      </c>
      <c r="D319" s="345">
        <v>4640242181783</v>
      </c>
      <c r="E319" s="346"/>
      <c r="F319" s="335">
        <v>0.3</v>
      </c>
      <c r="G319" s="32">
        <v>9</v>
      </c>
      <c r="H319" s="335">
        <v>2.7</v>
      </c>
      <c r="I319" s="335">
        <v>2.988</v>
      </c>
      <c r="J319" s="32">
        <v>126</v>
      </c>
      <c r="K319" s="32" t="s">
        <v>79</v>
      </c>
      <c r="L319" s="32" t="s">
        <v>67</v>
      </c>
      <c r="M319" s="33" t="s">
        <v>68</v>
      </c>
      <c r="N319" s="33"/>
      <c r="O319" s="32">
        <v>180</v>
      </c>
      <c r="P319" s="548" t="s">
        <v>505</v>
      </c>
      <c r="Q319" s="341"/>
      <c r="R319" s="341"/>
      <c r="S319" s="341"/>
      <c r="T319" s="342"/>
      <c r="U319" s="34"/>
      <c r="V319" s="34"/>
      <c r="W319" s="35" t="s">
        <v>69</v>
      </c>
      <c r="X319" s="336">
        <v>0</v>
      </c>
      <c r="Y319" s="337">
        <f t="shared" si="24"/>
        <v>0</v>
      </c>
      <c r="Z319" s="36">
        <f>IFERROR(IF(X319="","",X319*0.00936),"")</f>
        <v>0</v>
      </c>
      <c r="AA319" s="56"/>
      <c r="AB319" s="57"/>
      <c r="AC319" s="324" t="s">
        <v>506</v>
      </c>
      <c r="AG319" s="67"/>
      <c r="AJ319" s="71" t="s">
        <v>71</v>
      </c>
      <c r="AK319" s="71">
        <v>1</v>
      </c>
      <c r="BB319" s="325" t="s">
        <v>82</v>
      </c>
      <c r="BM319" s="67">
        <f t="shared" si="25"/>
        <v>0</v>
      </c>
      <c r="BN319" s="67">
        <f t="shared" si="26"/>
        <v>0</v>
      </c>
      <c r="BO319" s="67">
        <f t="shared" si="27"/>
        <v>0</v>
      </c>
      <c r="BP319" s="67">
        <f t="shared" si="28"/>
        <v>0</v>
      </c>
    </row>
    <row r="320" spans="1:68" x14ac:dyDescent="0.2">
      <c r="A320" s="347"/>
      <c r="B320" s="348"/>
      <c r="C320" s="348"/>
      <c r="D320" s="348"/>
      <c r="E320" s="348"/>
      <c r="F320" s="348"/>
      <c r="G320" s="348"/>
      <c r="H320" s="348"/>
      <c r="I320" s="348"/>
      <c r="J320" s="348"/>
      <c r="K320" s="348"/>
      <c r="L320" s="348"/>
      <c r="M320" s="348"/>
      <c r="N320" s="348"/>
      <c r="O320" s="349"/>
      <c r="P320" s="353" t="s">
        <v>72</v>
      </c>
      <c r="Q320" s="354"/>
      <c r="R320" s="354"/>
      <c r="S320" s="354"/>
      <c r="T320" s="354"/>
      <c r="U320" s="354"/>
      <c r="V320" s="355"/>
      <c r="W320" s="37" t="s">
        <v>69</v>
      </c>
      <c r="X320" s="338">
        <f>IFERROR(SUM(X299:X319),"0")</f>
        <v>112</v>
      </c>
      <c r="Y320" s="338">
        <f>IFERROR(SUM(Y299:Y319),"0")</f>
        <v>112</v>
      </c>
      <c r="Z320" s="338">
        <f>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</f>
        <v>1.0483199999999999</v>
      </c>
      <c r="AA320" s="339"/>
      <c r="AB320" s="339"/>
      <c r="AC320" s="339"/>
    </row>
    <row r="321" spans="1:68" x14ac:dyDescent="0.2">
      <c r="A321" s="348"/>
      <c r="B321" s="348"/>
      <c r="C321" s="348"/>
      <c r="D321" s="348"/>
      <c r="E321" s="348"/>
      <c r="F321" s="348"/>
      <c r="G321" s="348"/>
      <c r="H321" s="348"/>
      <c r="I321" s="348"/>
      <c r="J321" s="348"/>
      <c r="K321" s="348"/>
      <c r="L321" s="348"/>
      <c r="M321" s="348"/>
      <c r="N321" s="348"/>
      <c r="O321" s="349"/>
      <c r="P321" s="353" t="s">
        <v>72</v>
      </c>
      <c r="Q321" s="354"/>
      <c r="R321" s="354"/>
      <c r="S321" s="354"/>
      <c r="T321" s="354"/>
      <c r="U321" s="354"/>
      <c r="V321" s="355"/>
      <c r="W321" s="37" t="s">
        <v>73</v>
      </c>
      <c r="X321" s="338">
        <f>IFERROR(SUMPRODUCT(X299:X319*H299:H319),"0")</f>
        <v>385</v>
      </c>
      <c r="Y321" s="338">
        <f>IFERROR(SUMPRODUCT(Y299:Y319*H299:H319),"0")</f>
        <v>385</v>
      </c>
      <c r="Z321" s="37"/>
      <c r="AA321" s="339"/>
      <c r="AB321" s="339"/>
      <c r="AC321" s="339"/>
    </row>
    <row r="322" spans="1:68" ht="16.5" customHeight="1" x14ac:dyDescent="0.25">
      <c r="A322" s="352" t="s">
        <v>507</v>
      </c>
      <c r="B322" s="348"/>
      <c r="C322" s="348"/>
      <c r="D322" s="348"/>
      <c r="E322" s="348"/>
      <c r="F322" s="348"/>
      <c r="G322" s="348"/>
      <c r="H322" s="348"/>
      <c r="I322" s="348"/>
      <c r="J322" s="348"/>
      <c r="K322" s="348"/>
      <c r="L322" s="348"/>
      <c r="M322" s="348"/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  <c r="AA322" s="331"/>
      <c r="AB322" s="331"/>
      <c r="AC322" s="331"/>
    </row>
    <row r="323" spans="1:68" ht="14.25" customHeight="1" x14ac:dyDescent="0.25">
      <c r="A323" s="351" t="s">
        <v>146</v>
      </c>
      <c r="B323" s="348"/>
      <c r="C323" s="348"/>
      <c r="D323" s="348"/>
      <c r="E323" s="348"/>
      <c r="F323" s="348"/>
      <c r="G323" s="348"/>
      <c r="H323" s="348"/>
      <c r="I323" s="348"/>
      <c r="J323" s="348"/>
      <c r="K323" s="348"/>
      <c r="L323" s="348"/>
      <c r="M323" s="348"/>
      <c r="N323" s="348"/>
      <c r="O323" s="348"/>
      <c r="P323" s="348"/>
      <c r="Q323" s="348"/>
      <c r="R323" s="348"/>
      <c r="S323" s="348"/>
      <c r="T323" s="348"/>
      <c r="U323" s="348"/>
      <c r="V323" s="348"/>
      <c r="W323" s="348"/>
      <c r="X323" s="348"/>
      <c r="Y323" s="348"/>
      <c r="Z323" s="348"/>
      <c r="AA323" s="332"/>
      <c r="AB323" s="332"/>
      <c r="AC323" s="332"/>
    </row>
    <row r="324" spans="1:68" ht="27" customHeight="1" x14ac:dyDescent="0.25">
      <c r="A324" s="54" t="s">
        <v>508</v>
      </c>
      <c r="B324" s="54" t="s">
        <v>509</v>
      </c>
      <c r="C324" s="31">
        <v>4301135268</v>
      </c>
      <c r="D324" s="345">
        <v>4640242181134</v>
      </c>
      <c r="E324" s="346"/>
      <c r="F324" s="335">
        <v>0.8</v>
      </c>
      <c r="G324" s="32">
        <v>5</v>
      </c>
      <c r="H324" s="335">
        <v>4</v>
      </c>
      <c r="I324" s="335">
        <v>4.2830000000000004</v>
      </c>
      <c r="J324" s="32">
        <v>84</v>
      </c>
      <c r="K324" s="32" t="s">
        <v>66</v>
      </c>
      <c r="L324" s="32" t="s">
        <v>67</v>
      </c>
      <c r="M324" s="33" t="s">
        <v>68</v>
      </c>
      <c r="N324" s="33"/>
      <c r="O324" s="32">
        <v>180</v>
      </c>
      <c r="P324" s="456" t="s">
        <v>510</v>
      </c>
      <c r="Q324" s="341"/>
      <c r="R324" s="341"/>
      <c r="S324" s="341"/>
      <c r="T324" s="342"/>
      <c r="U324" s="34"/>
      <c r="V324" s="34"/>
      <c r="W324" s="35" t="s">
        <v>69</v>
      </c>
      <c r="X324" s="336">
        <v>0</v>
      </c>
      <c r="Y324" s="337">
        <f>IFERROR(IF(X324="","",X324),"")</f>
        <v>0</v>
      </c>
      <c r="Z324" s="36">
        <f>IFERROR(IF(X324="","",X324*0.0155),"")</f>
        <v>0</v>
      </c>
      <c r="AA324" s="56"/>
      <c r="AB324" s="57"/>
      <c r="AC324" s="326" t="s">
        <v>511</v>
      </c>
      <c r="AG324" s="67"/>
      <c r="AJ324" s="71" t="s">
        <v>71</v>
      </c>
      <c r="AK324" s="71">
        <v>1</v>
      </c>
      <c r="BB324" s="327" t="s">
        <v>82</v>
      </c>
      <c r="BM324" s="67">
        <f>IFERROR(X324*I324,"0")</f>
        <v>0</v>
      </c>
      <c r="BN324" s="67">
        <f>IFERROR(Y324*I324,"0")</f>
        <v>0</v>
      </c>
      <c r="BO324" s="67">
        <f>IFERROR(X324/J324,"0")</f>
        <v>0</v>
      </c>
      <c r="BP324" s="67">
        <f>IFERROR(Y324/J324,"0")</f>
        <v>0</v>
      </c>
    </row>
    <row r="325" spans="1:68" x14ac:dyDescent="0.2">
      <c r="A325" s="347"/>
      <c r="B325" s="348"/>
      <c r="C325" s="348"/>
      <c r="D325" s="348"/>
      <c r="E325" s="348"/>
      <c r="F325" s="348"/>
      <c r="G325" s="348"/>
      <c r="H325" s="348"/>
      <c r="I325" s="348"/>
      <c r="J325" s="348"/>
      <c r="K325" s="348"/>
      <c r="L325" s="348"/>
      <c r="M325" s="348"/>
      <c r="N325" s="348"/>
      <c r="O325" s="349"/>
      <c r="P325" s="353" t="s">
        <v>72</v>
      </c>
      <c r="Q325" s="354"/>
      <c r="R325" s="354"/>
      <c r="S325" s="354"/>
      <c r="T325" s="354"/>
      <c r="U325" s="354"/>
      <c r="V325" s="355"/>
      <c r="W325" s="37" t="s">
        <v>69</v>
      </c>
      <c r="X325" s="338">
        <f>IFERROR(SUM(X324:X324),"0")</f>
        <v>0</v>
      </c>
      <c r="Y325" s="338">
        <f>IFERROR(SUM(Y324:Y324),"0")</f>
        <v>0</v>
      </c>
      <c r="Z325" s="338">
        <f>IFERROR(IF(Z324="",0,Z324),"0")</f>
        <v>0</v>
      </c>
      <c r="AA325" s="339"/>
      <c r="AB325" s="339"/>
      <c r="AC325" s="339"/>
    </row>
    <row r="326" spans="1:68" x14ac:dyDescent="0.2">
      <c r="A326" s="348"/>
      <c r="B326" s="348"/>
      <c r="C326" s="348"/>
      <c r="D326" s="348"/>
      <c r="E326" s="348"/>
      <c r="F326" s="348"/>
      <c r="G326" s="348"/>
      <c r="H326" s="348"/>
      <c r="I326" s="348"/>
      <c r="J326" s="348"/>
      <c r="K326" s="348"/>
      <c r="L326" s="348"/>
      <c r="M326" s="348"/>
      <c r="N326" s="348"/>
      <c r="O326" s="349"/>
      <c r="P326" s="353" t="s">
        <v>72</v>
      </c>
      <c r="Q326" s="354"/>
      <c r="R326" s="354"/>
      <c r="S326" s="354"/>
      <c r="T326" s="354"/>
      <c r="U326" s="354"/>
      <c r="V326" s="355"/>
      <c r="W326" s="37" t="s">
        <v>73</v>
      </c>
      <c r="X326" s="338">
        <f>IFERROR(SUMPRODUCT(X324:X324*H324:H324),"0")</f>
        <v>0</v>
      </c>
      <c r="Y326" s="338">
        <f>IFERROR(SUMPRODUCT(Y324:Y324*H324:H324),"0")</f>
        <v>0</v>
      </c>
      <c r="Z326" s="37"/>
      <c r="AA326" s="339"/>
      <c r="AB326" s="339"/>
      <c r="AC326" s="339"/>
    </row>
    <row r="327" spans="1:68" ht="15" customHeight="1" x14ac:dyDescent="0.2">
      <c r="A327" s="505"/>
      <c r="B327" s="348"/>
      <c r="C327" s="348"/>
      <c r="D327" s="348"/>
      <c r="E327" s="348"/>
      <c r="F327" s="348"/>
      <c r="G327" s="348"/>
      <c r="H327" s="348"/>
      <c r="I327" s="348"/>
      <c r="J327" s="348"/>
      <c r="K327" s="348"/>
      <c r="L327" s="348"/>
      <c r="M327" s="348"/>
      <c r="N327" s="348"/>
      <c r="O327" s="445"/>
      <c r="P327" s="377" t="s">
        <v>512</v>
      </c>
      <c r="Q327" s="378"/>
      <c r="R327" s="378"/>
      <c r="S327" s="378"/>
      <c r="T327" s="378"/>
      <c r="U327" s="378"/>
      <c r="V327" s="379"/>
      <c r="W327" s="37" t="s">
        <v>73</v>
      </c>
      <c r="X327" s="338">
        <f>IFERROR(X24+X33+X40+X52+X57+X61+X65+X69+X75+X81+X86+X93+X104+X111+X121+X125+X131+X137+X143+X148+X153+X159+X164+X170+X178+X183+X191+X195+X204+X211+X221+X229+X234+X240+X245+X251+X257+X264+X270+X274+X282+X286+X291+X297+X321+X326,"0")</f>
        <v>7193.2</v>
      </c>
      <c r="Y327" s="338">
        <f>IFERROR(Y24+Y33+Y40+Y52+Y57+Y61+Y65+Y69+Y75+Y81+Y86+Y93+Y104+Y111+Y121+Y125+Y131+Y137+Y143+Y148+Y153+Y159+Y164+Y170+Y178+Y183+Y191+Y195+Y204+Y211+Y221+Y229+Y234+Y240+Y245+Y251+Y257+Y264+Y270+Y274+Y282+Y286+Y291+Y297+Y321+Y326,"0")</f>
        <v>7193.2</v>
      </c>
      <c r="Z327" s="37"/>
      <c r="AA327" s="339"/>
      <c r="AB327" s="339"/>
      <c r="AC327" s="339"/>
    </row>
    <row r="328" spans="1:68" x14ac:dyDescent="0.2">
      <c r="A328" s="348"/>
      <c r="B328" s="348"/>
      <c r="C328" s="348"/>
      <c r="D328" s="348"/>
      <c r="E328" s="348"/>
      <c r="F328" s="348"/>
      <c r="G328" s="348"/>
      <c r="H328" s="348"/>
      <c r="I328" s="348"/>
      <c r="J328" s="348"/>
      <c r="K328" s="348"/>
      <c r="L328" s="348"/>
      <c r="M328" s="348"/>
      <c r="N328" s="348"/>
      <c r="O328" s="445"/>
      <c r="P328" s="377" t="s">
        <v>513</v>
      </c>
      <c r="Q328" s="378"/>
      <c r="R328" s="378"/>
      <c r="S328" s="378"/>
      <c r="T328" s="378"/>
      <c r="U328" s="378"/>
      <c r="V328" s="379"/>
      <c r="W328" s="37" t="s">
        <v>73</v>
      </c>
      <c r="X328" s="338">
        <f>IFERROR(SUM(BM22:BM324),"0")</f>
        <v>7824.747199999998</v>
      </c>
      <c r="Y328" s="338">
        <f>IFERROR(SUM(BN22:BN324),"0")</f>
        <v>7824.747199999998</v>
      </c>
      <c r="Z328" s="37"/>
      <c r="AA328" s="339"/>
      <c r="AB328" s="339"/>
      <c r="AC328" s="339"/>
    </row>
    <row r="329" spans="1:68" x14ac:dyDescent="0.2">
      <c r="A329" s="348"/>
      <c r="B329" s="348"/>
      <c r="C329" s="348"/>
      <c r="D329" s="348"/>
      <c r="E329" s="348"/>
      <c r="F329" s="348"/>
      <c r="G329" s="348"/>
      <c r="H329" s="348"/>
      <c r="I329" s="348"/>
      <c r="J329" s="348"/>
      <c r="K329" s="348"/>
      <c r="L329" s="348"/>
      <c r="M329" s="348"/>
      <c r="N329" s="348"/>
      <c r="O329" s="445"/>
      <c r="P329" s="377" t="s">
        <v>514</v>
      </c>
      <c r="Q329" s="378"/>
      <c r="R329" s="378"/>
      <c r="S329" s="378"/>
      <c r="T329" s="378"/>
      <c r="U329" s="378"/>
      <c r="V329" s="379"/>
      <c r="W329" s="37" t="s">
        <v>515</v>
      </c>
      <c r="X329" s="38">
        <f>ROUNDUP(SUM(BO22:BO324),0)</f>
        <v>20</v>
      </c>
      <c r="Y329" s="38">
        <f>ROUNDUP(SUM(BP22:BP324),0)</f>
        <v>20</v>
      </c>
      <c r="Z329" s="37"/>
      <c r="AA329" s="339"/>
      <c r="AB329" s="339"/>
      <c r="AC329" s="339"/>
    </row>
    <row r="330" spans="1:68" x14ac:dyDescent="0.2">
      <c r="A330" s="348"/>
      <c r="B330" s="348"/>
      <c r="C330" s="348"/>
      <c r="D330" s="348"/>
      <c r="E330" s="348"/>
      <c r="F330" s="348"/>
      <c r="G330" s="348"/>
      <c r="H330" s="348"/>
      <c r="I330" s="348"/>
      <c r="J330" s="348"/>
      <c r="K330" s="348"/>
      <c r="L330" s="348"/>
      <c r="M330" s="348"/>
      <c r="N330" s="348"/>
      <c r="O330" s="445"/>
      <c r="P330" s="377" t="s">
        <v>516</v>
      </c>
      <c r="Q330" s="378"/>
      <c r="R330" s="378"/>
      <c r="S330" s="378"/>
      <c r="T330" s="378"/>
      <c r="U330" s="378"/>
      <c r="V330" s="379"/>
      <c r="W330" s="37" t="s">
        <v>73</v>
      </c>
      <c r="X330" s="338">
        <f>GrossWeightTotal+PalletQtyTotal*25</f>
        <v>8324.747199999998</v>
      </c>
      <c r="Y330" s="338">
        <f>GrossWeightTotalR+PalletQtyTotalR*25</f>
        <v>8324.747199999998</v>
      </c>
      <c r="Z330" s="37"/>
      <c r="AA330" s="339"/>
      <c r="AB330" s="339"/>
      <c r="AC330" s="339"/>
    </row>
    <row r="331" spans="1:68" x14ac:dyDescent="0.2">
      <c r="A331" s="348"/>
      <c r="B331" s="348"/>
      <c r="C331" s="348"/>
      <c r="D331" s="348"/>
      <c r="E331" s="348"/>
      <c r="F331" s="348"/>
      <c r="G331" s="348"/>
      <c r="H331" s="348"/>
      <c r="I331" s="348"/>
      <c r="J331" s="348"/>
      <c r="K331" s="348"/>
      <c r="L331" s="348"/>
      <c r="M331" s="348"/>
      <c r="N331" s="348"/>
      <c r="O331" s="445"/>
      <c r="P331" s="377" t="s">
        <v>517</v>
      </c>
      <c r="Q331" s="378"/>
      <c r="R331" s="378"/>
      <c r="S331" s="378"/>
      <c r="T331" s="378"/>
      <c r="U331" s="378"/>
      <c r="V331" s="379"/>
      <c r="W331" s="37" t="s">
        <v>515</v>
      </c>
      <c r="X331" s="338">
        <f>IFERROR(X23+X32+X39+X51+X56+X60+X64+X68+X74+X80+X85+X92+X103+X110+X120+X124+X130+X136+X142+X147+X152+X158+X163+X169+X177+X182+X190+X194+X203+X210+X220+X228+X233+X239+X244+X250+X256+X263+X269+X273+X281+X285+X290+X296+X320+X325,"0")</f>
        <v>1594</v>
      </c>
      <c r="Y331" s="338">
        <f>IFERROR(Y23+Y32+Y39+Y51+Y56+Y60+Y64+Y68+Y74+Y80+Y85+Y92+Y103+Y110+Y120+Y124+Y130+Y136+Y142+Y147+Y152+Y158+Y163+Y169+Y177+Y182+Y190+Y194+Y203+Y210+Y220+Y228+Y233+Y239+Y244+Y250+Y256+Y263+Y269+Y273+Y281+Y285+Y290+Y296+Y320+Y325,"0")</f>
        <v>1594</v>
      </c>
      <c r="Z331" s="37"/>
      <c r="AA331" s="339"/>
      <c r="AB331" s="339"/>
      <c r="AC331" s="339"/>
    </row>
    <row r="332" spans="1:68" ht="14.25" customHeight="1" x14ac:dyDescent="0.2">
      <c r="A332" s="348"/>
      <c r="B332" s="348"/>
      <c r="C332" s="348"/>
      <c r="D332" s="348"/>
      <c r="E332" s="348"/>
      <c r="F332" s="348"/>
      <c r="G332" s="348"/>
      <c r="H332" s="348"/>
      <c r="I332" s="348"/>
      <c r="J332" s="348"/>
      <c r="K332" s="348"/>
      <c r="L332" s="348"/>
      <c r="M332" s="348"/>
      <c r="N332" s="348"/>
      <c r="O332" s="445"/>
      <c r="P332" s="377" t="s">
        <v>518</v>
      </c>
      <c r="Q332" s="378"/>
      <c r="R332" s="378"/>
      <c r="S332" s="378"/>
      <c r="T332" s="378"/>
      <c r="U332" s="378"/>
      <c r="V332" s="379"/>
      <c r="W332" s="39" t="s">
        <v>519</v>
      </c>
      <c r="X332" s="37"/>
      <c r="Y332" s="37"/>
      <c r="Z332" s="37">
        <f>IFERROR(Z23+Z32+Z39+Z51+Z56+Z60+Z64+Z68+Z74+Z80+Z85+Z92+Z103+Z110+Z120+Z124+Z130+Z136+Z142+Z147+Z152+Z158+Z163+Z169+Z177+Z182+Z190+Z194+Z203+Z210+Z220+Z228+Z233+Z239+Z244+Z250+Z256+Z263+Z269+Z273+Z281+Z285+Z290+Z296+Z320+Z325,"0")</f>
        <v>24.23124</v>
      </c>
      <c r="AA332" s="339"/>
      <c r="AB332" s="339"/>
      <c r="AC332" s="339"/>
    </row>
    <row r="333" spans="1:68" ht="13.5" customHeight="1" thickBot="1" x14ac:dyDescent="0.25"/>
    <row r="334" spans="1:68" ht="27" customHeight="1" thickTop="1" thickBot="1" x14ac:dyDescent="0.25">
      <c r="A334" s="40" t="s">
        <v>520</v>
      </c>
      <c r="B334" s="333" t="s">
        <v>62</v>
      </c>
      <c r="C334" s="360" t="s">
        <v>74</v>
      </c>
      <c r="D334" s="480"/>
      <c r="E334" s="480"/>
      <c r="F334" s="480"/>
      <c r="G334" s="480"/>
      <c r="H334" s="480"/>
      <c r="I334" s="480"/>
      <c r="J334" s="480"/>
      <c r="K334" s="480"/>
      <c r="L334" s="480"/>
      <c r="M334" s="480"/>
      <c r="N334" s="480"/>
      <c r="O334" s="480"/>
      <c r="P334" s="480"/>
      <c r="Q334" s="480"/>
      <c r="R334" s="480"/>
      <c r="S334" s="480"/>
      <c r="T334" s="474"/>
      <c r="U334" s="360" t="s">
        <v>271</v>
      </c>
      <c r="V334" s="474"/>
      <c r="W334" s="333" t="s">
        <v>297</v>
      </c>
      <c r="X334" s="360" t="s">
        <v>316</v>
      </c>
      <c r="Y334" s="480"/>
      <c r="Z334" s="480"/>
      <c r="AA334" s="480"/>
      <c r="AB334" s="480"/>
      <c r="AC334" s="480"/>
      <c r="AD334" s="474"/>
      <c r="AE334" s="333" t="s">
        <v>390</v>
      </c>
      <c r="AF334" s="333" t="s">
        <v>395</v>
      </c>
      <c r="AG334" s="333" t="s">
        <v>402</v>
      </c>
      <c r="AH334" s="360" t="s">
        <v>272</v>
      </c>
      <c r="AI334" s="474"/>
    </row>
    <row r="335" spans="1:68" ht="14.25" customHeight="1" thickTop="1" x14ac:dyDescent="0.2">
      <c r="A335" s="356" t="s">
        <v>521</v>
      </c>
      <c r="B335" s="360" t="s">
        <v>62</v>
      </c>
      <c r="C335" s="360" t="s">
        <v>75</v>
      </c>
      <c r="D335" s="360" t="s">
        <v>92</v>
      </c>
      <c r="E335" s="360" t="s">
        <v>105</v>
      </c>
      <c r="F335" s="360" t="s">
        <v>128</v>
      </c>
      <c r="G335" s="360" t="s">
        <v>157</v>
      </c>
      <c r="H335" s="360" t="s">
        <v>164</v>
      </c>
      <c r="I335" s="360" t="s">
        <v>169</v>
      </c>
      <c r="J335" s="360" t="s">
        <v>182</v>
      </c>
      <c r="K335" s="360" t="s">
        <v>202</v>
      </c>
      <c r="L335" s="360" t="s">
        <v>212</v>
      </c>
      <c r="M335" s="360" t="s">
        <v>232</v>
      </c>
      <c r="N335" s="334"/>
      <c r="O335" s="360" t="s">
        <v>238</v>
      </c>
      <c r="P335" s="360" t="s">
        <v>245</v>
      </c>
      <c r="Q335" s="360" t="s">
        <v>251</v>
      </c>
      <c r="R335" s="360" t="s">
        <v>256</v>
      </c>
      <c r="S335" s="360" t="s">
        <v>259</v>
      </c>
      <c r="T335" s="360" t="s">
        <v>267</v>
      </c>
      <c r="U335" s="360" t="s">
        <v>272</v>
      </c>
      <c r="V335" s="360" t="s">
        <v>276</v>
      </c>
      <c r="W335" s="360" t="s">
        <v>298</v>
      </c>
      <c r="X335" s="360" t="s">
        <v>317</v>
      </c>
      <c r="Y335" s="360" t="s">
        <v>329</v>
      </c>
      <c r="Z335" s="360" t="s">
        <v>339</v>
      </c>
      <c r="AA335" s="360" t="s">
        <v>354</v>
      </c>
      <c r="AB335" s="360" t="s">
        <v>365</v>
      </c>
      <c r="AC335" s="360" t="s">
        <v>380</v>
      </c>
      <c r="AD335" s="360" t="s">
        <v>384</v>
      </c>
      <c r="AE335" s="360" t="s">
        <v>391</v>
      </c>
      <c r="AF335" s="360" t="s">
        <v>396</v>
      </c>
      <c r="AG335" s="360" t="s">
        <v>403</v>
      </c>
      <c r="AH335" s="360" t="s">
        <v>272</v>
      </c>
      <c r="AI335" s="360" t="s">
        <v>507</v>
      </c>
    </row>
    <row r="336" spans="1:68" ht="13.5" customHeight="1" thickBot="1" x14ac:dyDescent="0.25">
      <c r="A336" s="357"/>
      <c r="B336" s="361"/>
      <c r="C336" s="361"/>
      <c r="D336" s="361"/>
      <c r="E336" s="361"/>
      <c r="F336" s="361"/>
      <c r="G336" s="361"/>
      <c r="H336" s="361"/>
      <c r="I336" s="361"/>
      <c r="J336" s="361"/>
      <c r="K336" s="361"/>
      <c r="L336" s="361"/>
      <c r="M336" s="361"/>
      <c r="N336" s="334"/>
      <c r="O336" s="361"/>
      <c r="P336" s="361"/>
      <c r="Q336" s="361"/>
      <c r="R336" s="361"/>
      <c r="S336" s="361"/>
      <c r="T336" s="361"/>
      <c r="U336" s="361"/>
      <c r="V336" s="361"/>
      <c r="W336" s="361"/>
      <c r="X336" s="361"/>
      <c r="Y336" s="361"/>
      <c r="Z336" s="361"/>
      <c r="AA336" s="361"/>
      <c r="AB336" s="361"/>
      <c r="AC336" s="361"/>
      <c r="AD336" s="361"/>
      <c r="AE336" s="361"/>
      <c r="AF336" s="361"/>
      <c r="AG336" s="361"/>
      <c r="AH336" s="361"/>
      <c r="AI336" s="361"/>
    </row>
    <row r="337" spans="1:35" ht="18" customHeight="1" thickTop="1" thickBot="1" x14ac:dyDescent="0.25">
      <c r="A337" s="40" t="s">
        <v>522</v>
      </c>
      <c r="B337" s="46">
        <f>IFERROR(X22*H22,"0")</f>
        <v>0</v>
      </c>
      <c r="C337" s="46">
        <f>IFERROR(X28*H28,"0")+IFERROR(X29*H29,"0")+IFERROR(X30*H30,"0")+IFERROR(X31*H31,"0")</f>
        <v>126</v>
      </c>
      <c r="D337" s="46">
        <f>IFERROR(X36*H36,"0")+IFERROR(X37*H37,"0")+IFERROR(X38*H38,"0")</f>
        <v>0</v>
      </c>
      <c r="E337" s="46">
        <f>IFERROR(X43*H43,"0")+IFERROR(X44*H44,"0")+IFERROR(X45*H45,"0")+IFERROR(X46*H46,"0")+IFERROR(X47*H47,"0")+IFERROR(X48*H48,"0")+IFERROR(X49*H49,"0")+IFERROR(X50*H50,"0")</f>
        <v>588</v>
      </c>
      <c r="F337" s="46">
        <f>IFERROR(X55*H55,"0")+IFERROR(X59*H59,"0")+IFERROR(X63*H63,"0")+IFERROR(X67*H67,"0")+IFERROR(X71*H71,"0")+IFERROR(X72*H72,"0")+IFERROR(X73*H73,"0")</f>
        <v>0</v>
      </c>
      <c r="G337" s="46">
        <f>IFERROR(X78*H78,"0")+IFERROR(X79*H79,"0")</f>
        <v>180</v>
      </c>
      <c r="H337" s="46">
        <f>IFERROR(X84*H84,"0")</f>
        <v>50.4</v>
      </c>
      <c r="I337" s="46">
        <f>IFERROR(X89*H89,"0")+IFERROR(X90*H90,"0")+IFERROR(X91*H91,"0")</f>
        <v>151.19999999999999</v>
      </c>
      <c r="J337" s="46">
        <f>IFERROR(X96*H96,"0")+IFERROR(X97*H97,"0")+IFERROR(X98*H98,"0")+IFERROR(X99*H99,"0")+IFERROR(X100*H100,"0")+IFERROR(X101*H101,"0")+IFERROR(X102*H102,"0")</f>
        <v>462.00000000000006</v>
      </c>
      <c r="K337" s="46">
        <f>IFERROR(X107*H107,"0")+IFERROR(X108*H108,"0")+IFERROR(X109*H109,"0")</f>
        <v>0</v>
      </c>
      <c r="L337" s="46">
        <f>IFERROR(X114*H114,"0")+IFERROR(X115*H115,"0")+IFERROR(X116*H116,"0")+IFERROR(X117*H117,"0")+IFERROR(X118*H118,"0")+IFERROR(X119*H119,"0")+IFERROR(X123*H123,"0")</f>
        <v>1888.8</v>
      </c>
      <c r="M337" s="46">
        <f>IFERROR(X128*H128,"0")+IFERROR(X129*H129,"0")</f>
        <v>252</v>
      </c>
      <c r="N337" s="334"/>
      <c r="O337" s="46">
        <f>IFERROR(X134*H134,"0")+IFERROR(X135*H135,"0")</f>
        <v>210</v>
      </c>
      <c r="P337" s="46">
        <f>IFERROR(X140*H140,"0")+IFERROR(X141*H141,"0")</f>
        <v>168</v>
      </c>
      <c r="Q337" s="46">
        <f>IFERROR(X146*H146,"0")</f>
        <v>0</v>
      </c>
      <c r="R337" s="46">
        <f>IFERROR(X151*H151,"0")</f>
        <v>37.800000000000004</v>
      </c>
      <c r="S337" s="46">
        <f>IFERROR(X156*H156,"0")+IFERROR(X157*H157,"0")</f>
        <v>0</v>
      </c>
      <c r="T337" s="46">
        <f>IFERROR(X162*H162,"0")</f>
        <v>0</v>
      </c>
      <c r="U337" s="46">
        <f>IFERROR(X168*H168,"0")</f>
        <v>0</v>
      </c>
      <c r="V337" s="46">
        <f>IFERROR(X173*H173,"0")+IFERROR(X174*H174,"0")+IFERROR(X175*H175,"0")+IFERROR(X176*H176,"0")+IFERROR(X180*H180,"0")+IFERROR(X181*H181,"0")</f>
        <v>300</v>
      </c>
      <c r="W337" s="46">
        <f>IFERROR(X187*H187,"0")+IFERROR(X188*H188,"0")+IFERROR(X189*H189,"0")+IFERROR(X193*H193,"0")</f>
        <v>630</v>
      </c>
      <c r="X337" s="46">
        <f>IFERROR(X199*H199,"0")+IFERROR(X200*H200,"0")+IFERROR(X201*H201,"0")+IFERROR(X202*H202,"0")</f>
        <v>33.6</v>
      </c>
      <c r="Y337" s="46">
        <f>IFERROR(X207*H207,"0")+IFERROR(X208*H208,"0")+IFERROR(X209*H209,"0")</f>
        <v>604.79999999999995</v>
      </c>
      <c r="Z337" s="46">
        <f>IFERROR(X214*H214,"0")+IFERROR(X215*H215,"0")+IFERROR(X216*H216,"0")+IFERROR(X217*H217,"0")+IFERROR(X218*H218,"0")+IFERROR(X219*H219,"0")</f>
        <v>67.199999999999989</v>
      </c>
      <c r="AA337" s="46">
        <f>IFERROR(X224*H224,"0")+IFERROR(X225*H225,"0")+IFERROR(X226*H226,"0")+IFERROR(X227*H227,"0")</f>
        <v>86.4</v>
      </c>
      <c r="AB337" s="46">
        <f>IFERROR(X232*H232,"0")+IFERROR(X236*H236,"0")+IFERROR(X237*H237,"0")+IFERROR(X238*H238,"0")</f>
        <v>0</v>
      </c>
      <c r="AC337" s="46">
        <f>IFERROR(X243*H243,"0")</f>
        <v>0</v>
      </c>
      <c r="AD337" s="46">
        <f>IFERROR(X248*H248,"0")+IFERROR(X249*H249,"0")</f>
        <v>0</v>
      </c>
      <c r="AE337" s="46">
        <f>IFERROR(X255*H255,"0")</f>
        <v>0</v>
      </c>
      <c r="AF337" s="46">
        <f>IFERROR(X261*H261,"0")+IFERROR(X262*H262,"0")</f>
        <v>360</v>
      </c>
      <c r="AG337" s="46">
        <f>IFERROR(X268*H268,"0")+IFERROR(X272*H272,"0")</f>
        <v>0</v>
      </c>
      <c r="AH337" s="46">
        <f>IFERROR(X278*H278,"0")+IFERROR(X279*H279,"0")+IFERROR(X280*H280,"0")+IFERROR(X284*H284,"0")+IFERROR(X288*H288,"0")+IFERROR(X289*H289,"0")+IFERROR(X293*H293,"0")+IFERROR(X294*H294,"0")+IFERROR(X295*H295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</f>
        <v>997</v>
      </c>
      <c r="AI337" s="46">
        <f>IFERROR(X324*H324,"0")</f>
        <v>0</v>
      </c>
    </row>
    <row r="338" spans="1:35" ht="13.5" customHeight="1" thickTop="1" x14ac:dyDescent="0.2">
      <c r="C338" s="334"/>
    </row>
    <row r="339" spans="1:35" ht="19.5" customHeight="1" x14ac:dyDescent="0.2">
      <c r="A339" s="58" t="s">
        <v>523</v>
      </c>
      <c r="B339" s="58" t="s">
        <v>524</v>
      </c>
      <c r="C339" s="58" t="s">
        <v>525</v>
      </c>
    </row>
    <row r="340" spans="1:35" x14ac:dyDescent="0.2">
      <c r="A340" s="59">
        <f>SUMPRODUCT(--(BB:BB="ЗПФ"),--(W:W="кор"),H:H,Y:Y)+SUMPRODUCT(--(BB:BB="ЗПФ"),--(W:W="кг"),Y:Y)</f>
        <v>4075.2</v>
      </c>
      <c r="B340" s="60">
        <f>SUMPRODUCT(--(BB:BB="ПГП"),--(W:W="кор"),H:H,Y:Y)+SUMPRODUCT(--(BB:BB="ПГП"),--(W:W="кг"),Y:Y)</f>
        <v>3117.9999999999995</v>
      </c>
      <c r="C340" s="60">
        <f>SUMPRODUCT(--(BB:BB="КИЗ"),--(W:W="кор"),H:H,Y:Y)+SUMPRODUCT(--(BB:BB="КИЗ"),--(W:W="кг"),Y:Y)</f>
        <v>0</v>
      </c>
    </row>
  </sheetData>
  <sheetProtection algorithmName="SHA-512" hashValue="BJzX7XGgF5B3cXLSoJTWLrFrQGZqCb+mrjcWhEPOU6I3mpzDxXfVQNTQxElKQzul0nP1GPLwB83iwM81JgNmfA==" saltValue="sXE4O3nshzOAw15RCqIEyg==" spinCount="100000" sheet="1" objects="1" scenarios="1" sort="0" autoFilter="0" pivotTables="0"/>
  <autoFilter ref="A18:AF3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93">
    <mergeCell ref="AE335:AE336"/>
    <mergeCell ref="P296:V296"/>
    <mergeCell ref="D173:E173"/>
    <mergeCell ref="D17:E18"/>
    <mergeCell ref="P71:T71"/>
    <mergeCell ref="P313:T313"/>
    <mergeCell ref="P202:T202"/>
    <mergeCell ref="P307:T307"/>
    <mergeCell ref="A163:O164"/>
    <mergeCell ref="D123:E123"/>
    <mergeCell ref="D50:E50"/>
    <mergeCell ref="X17:X18"/>
    <mergeCell ref="D44:E44"/>
    <mergeCell ref="A8:C8"/>
    <mergeCell ref="D293:E293"/>
    <mergeCell ref="P163:V163"/>
    <mergeCell ref="D268:E268"/>
    <mergeCell ref="P151:T151"/>
    <mergeCell ref="D97:E97"/>
    <mergeCell ref="A10:C10"/>
    <mergeCell ref="P218:T218"/>
    <mergeCell ref="P69:V69"/>
    <mergeCell ref="A192:Z192"/>
    <mergeCell ref="A21:Z21"/>
    <mergeCell ref="Y335:Y336"/>
    <mergeCell ref="V12:W12"/>
    <mergeCell ref="P319:T319"/>
    <mergeCell ref="D262:E262"/>
    <mergeCell ref="D237:E237"/>
    <mergeCell ref="P285:V285"/>
    <mergeCell ref="A142:O143"/>
    <mergeCell ref="P174:T174"/>
    <mergeCell ref="P74:V74"/>
    <mergeCell ref="U17:V17"/>
    <mergeCell ref="Y17:Y18"/>
    <mergeCell ref="Q5:R5"/>
    <mergeCell ref="D278:E278"/>
    <mergeCell ref="D107:E107"/>
    <mergeCell ref="P288:T288"/>
    <mergeCell ref="B335:B336"/>
    <mergeCell ref="D335:D336"/>
    <mergeCell ref="A60:O61"/>
    <mergeCell ref="P293:T293"/>
    <mergeCell ref="Q6:R6"/>
    <mergeCell ref="A267:Z267"/>
    <mergeCell ref="P200:T200"/>
    <mergeCell ref="P134:T134"/>
    <mergeCell ref="P243:T243"/>
    <mergeCell ref="A124:O125"/>
    <mergeCell ref="D102:E102"/>
    <mergeCell ref="P81:V81"/>
    <mergeCell ref="P294:T294"/>
    <mergeCell ref="P23:V23"/>
    <mergeCell ref="A231:Z231"/>
    <mergeCell ref="P210:V210"/>
    <mergeCell ref="A206:Z206"/>
    <mergeCell ref="A62:Z62"/>
    <mergeCell ref="A35:Z35"/>
    <mergeCell ref="W335:W336"/>
    <mergeCell ref="U334:V334"/>
    <mergeCell ref="D249:E249"/>
    <mergeCell ref="P262:T262"/>
    <mergeCell ref="P72:T72"/>
    <mergeCell ref="D49:E49"/>
    <mergeCell ref="N17:N18"/>
    <mergeCell ref="P199:T199"/>
    <mergeCell ref="F17:F18"/>
    <mergeCell ref="P290:V290"/>
    <mergeCell ref="F5:G5"/>
    <mergeCell ref="A172:Z172"/>
    <mergeCell ref="O335:O336"/>
    <mergeCell ref="P169:V169"/>
    <mergeCell ref="G335:G336"/>
    <mergeCell ref="A25:Z25"/>
    <mergeCell ref="P67:T67"/>
    <mergeCell ref="D175:E175"/>
    <mergeCell ref="A223:Z223"/>
    <mergeCell ref="V11:W11"/>
    <mergeCell ref="P317:T317"/>
    <mergeCell ref="P146:T146"/>
    <mergeCell ref="A136:O137"/>
    <mergeCell ref="D279:E279"/>
    <mergeCell ref="A263:O264"/>
    <mergeCell ref="A254:Z254"/>
    <mergeCell ref="P181:T181"/>
    <mergeCell ref="D29:E29"/>
    <mergeCell ref="D216:E216"/>
    <mergeCell ref="P195:V195"/>
    <mergeCell ref="A20:Z20"/>
    <mergeCell ref="A194:O195"/>
    <mergeCell ref="P123:T123"/>
    <mergeCell ref="A112:Z112"/>
    <mergeCell ref="AH335:AH336"/>
    <mergeCell ref="A185:Z185"/>
    <mergeCell ref="P281:V281"/>
    <mergeCell ref="D226:E226"/>
    <mergeCell ref="A106:Z106"/>
    <mergeCell ref="P2:W3"/>
    <mergeCell ref="A269:O270"/>
    <mergeCell ref="A323:Z323"/>
    <mergeCell ref="A244:O245"/>
    <mergeCell ref="X334:AD334"/>
    <mergeCell ref="A23:O24"/>
    <mergeCell ref="D10:E10"/>
    <mergeCell ref="P135:T135"/>
    <mergeCell ref="F10:G10"/>
    <mergeCell ref="D305:E305"/>
    <mergeCell ref="D243:E243"/>
    <mergeCell ref="D99:E99"/>
    <mergeCell ref="P128:T128"/>
    <mergeCell ref="D310:E310"/>
    <mergeCell ref="AD17:AF18"/>
    <mergeCell ref="X335:X336"/>
    <mergeCell ref="A39:O40"/>
    <mergeCell ref="P142:V142"/>
    <mergeCell ref="D101:E101"/>
    <mergeCell ref="A9:C9"/>
    <mergeCell ref="D202:E202"/>
    <mergeCell ref="A179:Z179"/>
    <mergeCell ref="P335:P336"/>
    <mergeCell ref="D294:E294"/>
    <mergeCell ref="A298:Z298"/>
    <mergeCell ref="P273:V273"/>
    <mergeCell ref="P39:V39"/>
    <mergeCell ref="P32:V32"/>
    <mergeCell ref="P103:V103"/>
    <mergeCell ref="A155:Z155"/>
    <mergeCell ref="Q13:R13"/>
    <mergeCell ref="D318:E318"/>
    <mergeCell ref="P201:T201"/>
    <mergeCell ref="P176:T176"/>
    <mergeCell ref="P114:T114"/>
    <mergeCell ref="D84:E84"/>
    <mergeCell ref="D22:E22"/>
    <mergeCell ref="A222:Z222"/>
    <mergeCell ref="P301:T301"/>
    <mergeCell ref="A320:O321"/>
    <mergeCell ref="P295:T295"/>
    <mergeCell ref="M335:M336"/>
    <mergeCell ref="P214:T214"/>
    <mergeCell ref="H5:M5"/>
    <mergeCell ref="A27:Z27"/>
    <mergeCell ref="P329:V329"/>
    <mergeCell ref="A228:O229"/>
    <mergeCell ref="P158:V158"/>
    <mergeCell ref="A154:Z154"/>
    <mergeCell ref="D317:E317"/>
    <mergeCell ref="P225:T225"/>
    <mergeCell ref="D146:E146"/>
    <mergeCell ref="P98:T98"/>
    <mergeCell ref="D6:M6"/>
    <mergeCell ref="D304:E304"/>
    <mergeCell ref="P175:T175"/>
    <mergeCell ref="P162:T162"/>
    <mergeCell ref="D319:E319"/>
    <mergeCell ref="P227:T227"/>
    <mergeCell ref="P226:T226"/>
    <mergeCell ref="D207:E207"/>
    <mergeCell ref="P120:V120"/>
    <mergeCell ref="D299:E299"/>
    <mergeCell ref="A230:Z230"/>
    <mergeCell ref="P57:V57"/>
    <mergeCell ref="G17:G18"/>
    <mergeCell ref="D314:E314"/>
    <mergeCell ref="V6:W9"/>
    <mergeCell ref="D199:E199"/>
    <mergeCell ref="P38:T38"/>
    <mergeCell ref="P234:V234"/>
    <mergeCell ref="P109:T109"/>
    <mergeCell ref="D217:E217"/>
    <mergeCell ref="AI335:AI336"/>
    <mergeCell ref="P84:T84"/>
    <mergeCell ref="P193:T193"/>
    <mergeCell ref="P22:T22"/>
    <mergeCell ref="P314:T314"/>
    <mergeCell ref="P92:V92"/>
    <mergeCell ref="A88:Z88"/>
    <mergeCell ref="Z17:Z18"/>
    <mergeCell ref="A54:Z54"/>
    <mergeCell ref="AB17:AB18"/>
    <mergeCell ref="A212:Z212"/>
    <mergeCell ref="A41:Z41"/>
    <mergeCell ref="A283:Z283"/>
    <mergeCell ref="A277:Z277"/>
    <mergeCell ref="P331:V331"/>
    <mergeCell ref="A327:O332"/>
    <mergeCell ref="A152:O153"/>
    <mergeCell ref="A167:Z167"/>
    <mergeCell ref="AA17:AA18"/>
    <mergeCell ref="H10:M10"/>
    <mergeCell ref="AC17:AC18"/>
    <mergeCell ref="A122:Z122"/>
    <mergeCell ref="P279:T279"/>
    <mergeCell ref="P108:T108"/>
    <mergeCell ref="D89:E89"/>
    <mergeCell ref="C334:T334"/>
    <mergeCell ref="P147:V147"/>
    <mergeCell ref="P45:T45"/>
    <mergeCell ref="P318:T318"/>
    <mergeCell ref="D128:E128"/>
    <mergeCell ref="P121:V121"/>
    <mergeCell ref="P188:T188"/>
    <mergeCell ref="D288:E288"/>
    <mergeCell ref="P148:V148"/>
    <mergeCell ref="P59:T59"/>
    <mergeCell ref="A271:Z271"/>
    <mergeCell ref="P240:V240"/>
    <mergeCell ref="P46:T46"/>
    <mergeCell ref="D225:E225"/>
    <mergeCell ref="D200:E200"/>
    <mergeCell ref="A51:O52"/>
    <mergeCell ref="P48:T48"/>
    <mergeCell ref="AC335:AC336"/>
    <mergeCell ref="A66:Z66"/>
    <mergeCell ref="D181:E181"/>
    <mergeCell ref="P91:T91"/>
    <mergeCell ref="P156:T156"/>
    <mergeCell ref="P56:V56"/>
    <mergeCell ref="A80:O81"/>
    <mergeCell ref="AH334:AI334"/>
    <mergeCell ref="P170:V170"/>
    <mergeCell ref="A160:Z160"/>
    <mergeCell ref="Q335:Q336"/>
    <mergeCell ref="D227:E227"/>
    <mergeCell ref="A64:O65"/>
    <mergeCell ref="D151:E151"/>
    <mergeCell ref="A110:O111"/>
    <mergeCell ref="P278:T278"/>
    <mergeCell ref="P107:T107"/>
    <mergeCell ref="P101:T101"/>
    <mergeCell ref="D215:E215"/>
    <mergeCell ref="P194:V194"/>
    <mergeCell ref="P250:V250"/>
    <mergeCell ref="A246:Z246"/>
    <mergeCell ref="A103:O104"/>
    <mergeCell ref="P286:V286"/>
    <mergeCell ref="J9:M9"/>
    <mergeCell ref="A296:O297"/>
    <mergeCell ref="S335:S336"/>
    <mergeCell ref="P141:T141"/>
    <mergeCell ref="D193:E193"/>
    <mergeCell ref="P37:T37"/>
    <mergeCell ref="P304:T304"/>
    <mergeCell ref="D176:E176"/>
    <mergeCell ref="D114:E114"/>
    <mergeCell ref="A56:O57"/>
    <mergeCell ref="P220:V220"/>
    <mergeCell ref="A273:O274"/>
    <mergeCell ref="P248:T248"/>
    <mergeCell ref="P306:T306"/>
    <mergeCell ref="P86:V86"/>
    <mergeCell ref="P328:V328"/>
    <mergeCell ref="P207:T207"/>
    <mergeCell ref="F335:F336"/>
    <mergeCell ref="H335:H336"/>
    <mergeCell ref="P299:T299"/>
    <mergeCell ref="P221:V221"/>
    <mergeCell ref="P326:V326"/>
    <mergeCell ref="A186:Z186"/>
    <mergeCell ref="P232:T232"/>
    <mergeCell ref="A13:M13"/>
    <mergeCell ref="A94:Z94"/>
    <mergeCell ref="P244:V244"/>
    <mergeCell ref="A196:Z196"/>
    <mergeCell ref="P115:T115"/>
    <mergeCell ref="A15:M15"/>
    <mergeCell ref="P238:T238"/>
    <mergeCell ref="D48:E48"/>
    <mergeCell ref="A133:Z133"/>
    <mergeCell ref="A198:Z198"/>
    <mergeCell ref="P152:V152"/>
    <mergeCell ref="A82:Z82"/>
    <mergeCell ref="D140:E140"/>
    <mergeCell ref="P96:T96"/>
    <mergeCell ref="H17:H18"/>
    <mergeCell ref="A220:O221"/>
    <mergeCell ref="P90:T90"/>
    <mergeCell ref="P217:T217"/>
    <mergeCell ref="P104:V104"/>
    <mergeCell ref="P49:T49"/>
    <mergeCell ref="P36:T36"/>
    <mergeCell ref="M17:M18"/>
    <mergeCell ref="O17:O18"/>
    <mergeCell ref="P131:V131"/>
    <mergeCell ref="AB335:AB336"/>
    <mergeCell ref="D201:E201"/>
    <mergeCell ref="D188:E188"/>
    <mergeCell ref="P224:T224"/>
    <mergeCell ref="A285:O286"/>
    <mergeCell ref="P89:T89"/>
    <mergeCell ref="P309:T309"/>
    <mergeCell ref="D59:E59"/>
    <mergeCell ref="D295:E295"/>
    <mergeCell ref="P324:T324"/>
    <mergeCell ref="A138:Z138"/>
    <mergeCell ref="A275:Z275"/>
    <mergeCell ref="P261:T261"/>
    <mergeCell ref="A252:Z252"/>
    <mergeCell ref="AA335:AA336"/>
    <mergeCell ref="E335:E336"/>
    <mergeCell ref="A235:Z235"/>
    <mergeCell ref="P102:T102"/>
    <mergeCell ref="A247:Z247"/>
    <mergeCell ref="A132:Z132"/>
    <mergeCell ref="D218:E218"/>
    <mergeCell ref="P137:V137"/>
    <mergeCell ref="A127:Z127"/>
    <mergeCell ref="P239:V239"/>
    <mergeCell ref="Z335:Z336"/>
    <mergeCell ref="A12:M12"/>
    <mergeCell ref="A19:Z19"/>
    <mergeCell ref="P310:T310"/>
    <mergeCell ref="A14:M14"/>
    <mergeCell ref="D280:E280"/>
    <mergeCell ref="D109:E109"/>
    <mergeCell ref="T5:U5"/>
    <mergeCell ref="D119:E119"/>
    <mergeCell ref="V5:W5"/>
    <mergeCell ref="D46:E46"/>
    <mergeCell ref="Q8:R8"/>
    <mergeCell ref="P311:T311"/>
    <mergeCell ref="P140:T140"/>
    <mergeCell ref="D248:E248"/>
    <mergeCell ref="D219:E219"/>
    <mergeCell ref="T6:U9"/>
    <mergeCell ref="Q10:R10"/>
    <mergeCell ref="P256:V256"/>
    <mergeCell ref="P85:V85"/>
    <mergeCell ref="P60:V60"/>
    <mergeCell ref="D43:E43"/>
    <mergeCell ref="P320:V320"/>
    <mergeCell ref="A145:Z145"/>
    <mergeCell ref="T335:T336"/>
    <mergeCell ref="P110:V110"/>
    <mergeCell ref="P208:T208"/>
    <mergeCell ref="P15:T16"/>
    <mergeCell ref="A325:O326"/>
    <mergeCell ref="D116:E116"/>
    <mergeCell ref="P219:T219"/>
    <mergeCell ref="D91:E91"/>
    <mergeCell ref="D162:E162"/>
    <mergeCell ref="P272:T272"/>
    <mergeCell ref="D156:E156"/>
    <mergeCell ref="P308:T308"/>
    <mergeCell ref="A322:Z322"/>
    <mergeCell ref="P297:V297"/>
    <mergeCell ref="P291:V291"/>
    <mergeCell ref="A42:Z42"/>
    <mergeCell ref="P43:T43"/>
    <mergeCell ref="D157:E157"/>
    <mergeCell ref="P65:V65"/>
    <mergeCell ref="P136:V136"/>
    <mergeCell ref="P263:V263"/>
    <mergeCell ref="A259:Z259"/>
    <mergeCell ref="A126:Z126"/>
    <mergeCell ref="A253:Z253"/>
    <mergeCell ref="J335:J336"/>
    <mergeCell ref="P64:V64"/>
    <mergeCell ref="P191:V191"/>
    <mergeCell ref="P51:V51"/>
    <mergeCell ref="A17:A18"/>
    <mergeCell ref="P300:T300"/>
    <mergeCell ref="K17:K18"/>
    <mergeCell ref="C17:C18"/>
    <mergeCell ref="D37:E37"/>
    <mergeCell ref="D168:E168"/>
    <mergeCell ref="D180:E180"/>
    <mergeCell ref="D118:E118"/>
    <mergeCell ref="P289:T289"/>
    <mergeCell ref="D232:E232"/>
    <mergeCell ref="A210:O211"/>
    <mergeCell ref="D38:E38"/>
    <mergeCell ref="P204:V204"/>
    <mergeCell ref="A265:Z265"/>
    <mergeCell ref="P303:T303"/>
    <mergeCell ref="P75:V75"/>
    <mergeCell ref="D63:E63"/>
    <mergeCell ref="P305:T305"/>
    <mergeCell ref="R335:R336"/>
    <mergeCell ref="D96:E96"/>
    <mergeCell ref="U335:U336"/>
    <mergeCell ref="P203:V203"/>
    <mergeCell ref="D72:E72"/>
    <mergeCell ref="P178:V178"/>
    <mergeCell ref="A177:O178"/>
    <mergeCell ref="P270:V270"/>
    <mergeCell ref="A95:Z95"/>
    <mergeCell ref="Q9:R9"/>
    <mergeCell ref="P312:T312"/>
    <mergeCell ref="D255:E255"/>
    <mergeCell ref="A113:Z113"/>
    <mergeCell ref="P78:T78"/>
    <mergeCell ref="Q11:R11"/>
    <mergeCell ref="D309:E309"/>
    <mergeCell ref="P180:T180"/>
    <mergeCell ref="P118:T118"/>
    <mergeCell ref="A161:Z161"/>
    <mergeCell ref="D324:E324"/>
    <mergeCell ref="P117:T117"/>
    <mergeCell ref="D311:E311"/>
    <mergeCell ref="D115:E115"/>
    <mergeCell ref="P55:T55"/>
    <mergeCell ref="P280:T280"/>
    <mergeCell ref="A203:O204"/>
    <mergeCell ref="P321:V321"/>
    <mergeCell ref="P125:V125"/>
    <mergeCell ref="D100:E100"/>
    <mergeCell ref="P284:T284"/>
    <mergeCell ref="P17:T18"/>
    <mergeCell ref="A77:Z77"/>
    <mergeCell ref="P129:T129"/>
    <mergeCell ref="P63:T63"/>
    <mergeCell ref="P50:T50"/>
    <mergeCell ref="A166:Z166"/>
    <mergeCell ref="D31:E31"/>
    <mergeCell ref="P187:T187"/>
    <mergeCell ref="D108:E108"/>
    <mergeCell ref="A182:O183"/>
    <mergeCell ref="I17:I18"/>
    <mergeCell ref="D141:E141"/>
    <mergeCell ref="D306:E306"/>
    <mergeCell ref="P189:T189"/>
    <mergeCell ref="D135:E135"/>
    <mergeCell ref="D261:E261"/>
    <mergeCell ref="D90:E90"/>
    <mergeCell ref="A130:O131"/>
    <mergeCell ref="A68:O69"/>
    <mergeCell ref="P119:T119"/>
    <mergeCell ref="A26:Z26"/>
    <mergeCell ref="P268:T268"/>
    <mergeCell ref="P97:T97"/>
    <mergeCell ref="P168:T168"/>
    <mergeCell ref="P130:V130"/>
    <mergeCell ref="P190:V190"/>
    <mergeCell ref="D1:F1"/>
    <mergeCell ref="A242:Z242"/>
    <mergeCell ref="P47:T47"/>
    <mergeCell ref="P111:V111"/>
    <mergeCell ref="J17:J18"/>
    <mergeCell ref="P61:V61"/>
    <mergeCell ref="A85:O86"/>
    <mergeCell ref="L17:L18"/>
    <mergeCell ref="A184:Z184"/>
    <mergeCell ref="P255:T255"/>
    <mergeCell ref="A171:Z171"/>
    <mergeCell ref="A165:Z165"/>
    <mergeCell ref="A6:C6"/>
    <mergeCell ref="Q12:R12"/>
    <mergeCell ref="P183:V183"/>
    <mergeCell ref="A5:C5"/>
    <mergeCell ref="D9:E9"/>
    <mergeCell ref="F9:G9"/>
    <mergeCell ref="H1:Q1"/>
    <mergeCell ref="P274:V274"/>
    <mergeCell ref="A292:Z292"/>
    <mergeCell ref="D214:E214"/>
    <mergeCell ref="D284:E284"/>
    <mergeCell ref="P40:V40"/>
    <mergeCell ref="D28:E28"/>
    <mergeCell ref="P257:V257"/>
    <mergeCell ref="D313:E313"/>
    <mergeCell ref="A76:Z76"/>
    <mergeCell ref="D236:E236"/>
    <mergeCell ref="D117:E117"/>
    <mergeCell ref="A239:O240"/>
    <mergeCell ref="D55:E55"/>
    <mergeCell ref="D30:E30"/>
    <mergeCell ref="D67:E67"/>
    <mergeCell ref="D5:E5"/>
    <mergeCell ref="D303:E303"/>
    <mergeCell ref="A32:O33"/>
    <mergeCell ref="P177:V177"/>
    <mergeCell ref="P33:V33"/>
    <mergeCell ref="P264:V264"/>
    <mergeCell ref="P93:V93"/>
    <mergeCell ref="P164:V164"/>
    <mergeCell ref="AG335:AG336"/>
    <mergeCell ref="A213:Z213"/>
    <mergeCell ref="P325:V325"/>
    <mergeCell ref="A150:Z150"/>
    <mergeCell ref="A144:Z144"/>
    <mergeCell ref="A120:O121"/>
    <mergeCell ref="D129:E129"/>
    <mergeCell ref="D7:M7"/>
    <mergeCell ref="P236:T236"/>
    <mergeCell ref="D79:E79"/>
    <mergeCell ref="P327:V327"/>
    <mergeCell ref="D315:E315"/>
    <mergeCell ref="D302:E302"/>
    <mergeCell ref="P173:T173"/>
    <mergeCell ref="P29:T29"/>
    <mergeCell ref="P100:T100"/>
    <mergeCell ref="A290:O291"/>
    <mergeCell ref="D208:E208"/>
    <mergeCell ref="D8:M8"/>
    <mergeCell ref="D300:E300"/>
    <mergeCell ref="P44:T44"/>
    <mergeCell ref="P237:T237"/>
    <mergeCell ref="P31:T31"/>
    <mergeCell ref="AF335:AF336"/>
    <mergeCell ref="AD335:AD336"/>
    <mergeCell ref="P316:T316"/>
    <mergeCell ref="D47:E47"/>
    <mergeCell ref="P330:V330"/>
    <mergeCell ref="D289:E289"/>
    <mergeCell ref="P159:V159"/>
    <mergeCell ref="A149:Z149"/>
    <mergeCell ref="P209:T209"/>
    <mergeCell ref="W17:W18"/>
    <mergeCell ref="P332:V332"/>
    <mergeCell ref="P251:V251"/>
    <mergeCell ref="A241:Z241"/>
    <mergeCell ref="A70:Z70"/>
    <mergeCell ref="P182:V182"/>
    <mergeCell ref="K335:K336"/>
    <mergeCell ref="P269:V269"/>
    <mergeCell ref="A287:Z287"/>
    <mergeCell ref="A87:Z87"/>
    <mergeCell ref="D316:E316"/>
    <mergeCell ref="D272:E272"/>
    <mergeCell ref="A250:O251"/>
    <mergeCell ref="D308:E308"/>
    <mergeCell ref="A169:O170"/>
    <mergeCell ref="D209:E209"/>
    <mergeCell ref="R1:T1"/>
    <mergeCell ref="A158:O159"/>
    <mergeCell ref="D71:E71"/>
    <mergeCell ref="P28:T28"/>
    <mergeCell ref="V335:V336"/>
    <mergeCell ref="A74:O75"/>
    <mergeCell ref="D307:E307"/>
    <mergeCell ref="P215:T215"/>
    <mergeCell ref="P229:V229"/>
    <mergeCell ref="D98:E98"/>
    <mergeCell ref="D73:E73"/>
    <mergeCell ref="P30:T30"/>
    <mergeCell ref="I335:I336"/>
    <mergeCell ref="A147:O148"/>
    <mergeCell ref="A258:Z258"/>
    <mergeCell ref="P233:V233"/>
    <mergeCell ref="A58:Z58"/>
    <mergeCell ref="B17:B18"/>
    <mergeCell ref="P143:V143"/>
    <mergeCell ref="A266:Z266"/>
    <mergeCell ref="L335:L336"/>
    <mergeCell ref="A260:Z260"/>
    <mergeCell ref="A92:O93"/>
    <mergeCell ref="A197:Z197"/>
    <mergeCell ref="A335:A336"/>
    <mergeCell ref="D45:E45"/>
    <mergeCell ref="H9:I9"/>
    <mergeCell ref="C335:C336"/>
    <mergeCell ref="P24:V24"/>
    <mergeCell ref="P211:V211"/>
    <mergeCell ref="A256:O257"/>
    <mergeCell ref="P153:V153"/>
    <mergeCell ref="A205:Z205"/>
    <mergeCell ref="D312:E312"/>
    <mergeCell ref="D238:E238"/>
    <mergeCell ref="P157:T157"/>
    <mergeCell ref="D134:E134"/>
    <mergeCell ref="A281:O282"/>
    <mergeCell ref="D78:E78"/>
    <mergeCell ref="P249:T249"/>
    <mergeCell ref="V10:W10"/>
    <mergeCell ref="D189:E189"/>
    <mergeCell ref="P99:T99"/>
    <mergeCell ref="D301:E301"/>
    <mergeCell ref="P116:T116"/>
    <mergeCell ref="A105:Z105"/>
    <mergeCell ref="A233:O234"/>
    <mergeCell ref="D224:E224"/>
    <mergeCell ref="P79:T79"/>
    <mergeCell ref="P73:T73"/>
    <mergeCell ref="P315:T315"/>
    <mergeCell ref="D187:E187"/>
    <mergeCell ref="A190:O191"/>
    <mergeCell ref="P302:T302"/>
    <mergeCell ref="D174:E174"/>
    <mergeCell ref="A83:Z83"/>
    <mergeCell ref="A34:Z34"/>
    <mergeCell ref="A276:Z276"/>
    <mergeCell ref="P245:V245"/>
    <mergeCell ref="P282:V282"/>
    <mergeCell ref="P228:V228"/>
    <mergeCell ref="A53:Z53"/>
    <mergeCell ref="A139:Z139"/>
    <mergeCell ref="P216:T216"/>
    <mergeCell ref="P124:V124"/>
    <mergeCell ref="P80:V80"/>
    <mergeCell ref="D36:E36"/>
    <mergeCell ref="P52:V52"/>
    <mergeCell ref="P68:V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:X90 X98 X100:X101 X108:X109 X114 X123 X135 X146 X151 X156:X157 X162 X173 X176 X180:X181 X187:X189 X193 X202 X208 X214 X216:X218 X224 X226:X227 X232 X236:X238 X243 X248 X255 X268 X272 X299 X302:X303 X305 X307 X313 X315:X319 X32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1 X96 X102 X107 X115 X118 X134 X140 X168 X174:X175 X199:X201 X209 X215 X219 X225 X249 X262 X278:X280 X284 X289 X293 X295 X300:X301 X304 X306 X308:X312 X314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7 X99 X116:X117 X119 X128:X129 X141 X207 X261 X288 X294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526</v>
      </c>
      <c r="H1" s="52"/>
    </row>
    <row r="3" spans="2:8" x14ac:dyDescent="0.2">
      <c r="B3" s="47" t="s">
        <v>527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528</v>
      </c>
      <c r="D6" s="47" t="s">
        <v>529</v>
      </c>
      <c r="E6" s="47"/>
    </row>
    <row r="8" spans="2:8" x14ac:dyDescent="0.2">
      <c r="B8" s="47" t="s">
        <v>18</v>
      </c>
      <c r="C8" s="47" t="s">
        <v>528</v>
      </c>
      <c r="D8" s="47"/>
      <c r="E8" s="47"/>
    </row>
    <row r="10" spans="2:8" x14ac:dyDescent="0.2">
      <c r="B10" s="47" t="s">
        <v>530</v>
      </c>
      <c r="C10" s="47"/>
      <c r="D10" s="47"/>
      <c r="E10" s="47"/>
    </row>
    <row r="11" spans="2:8" x14ac:dyDescent="0.2">
      <c r="B11" s="47" t="s">
        <v>531</v>
      </c>
      <c r="C11" s="47"/>
      <c r="D11" s="47"/>
      <c r="E11" s="47"/>
    </row>
    <row r="12" spans="2:8" x14ac:dyDescent="0.2">
      <c r="B12" s="47" t="s">
        <v>532</v>
      </c>
      <c r="C12" s="47"/>
      <c r="D12" s="47"/>
      <c r="E12" s="47"/>
    </row>
    <row r="13" spans="2:8" x14ac:dyDescent="0.2">
      <c r="B13" s="47" t="s">
        <v>533</v>
      </c>
      <c r="C13" s="47"/>
      <c r="D13" s="47"/>
      <c r="E13" s="47"/>
    </row>
    <row r="14" spans="2:8" x14ac:dyDescent="0.2">
      <c r="B14" s="47" t="s">
        <v>534</v>
      </c>
      <c r="C14" s="47"/>
      <c r="D14" s="47"/>
      <c r="E14" s="47"/>
    </row>
    <row r="15" spans="2:8" x14ac:dyDescent="0.2">
      <c r="B15" s="47" t="s">
        <v>535</v>
      </c>
      <c r="C15" s="47"/>
      <c r="D15" s="47"/>
      <c r="E15" s="47"/>
    </row>
    <row r="16" spans="2:8" x14ac:dyDescent="0.2">
      <c r="B16" s="47" t="s">
        <v>536</v>
      </c>
      <c r="C16" s="47"/>
      <c r="D16" s="47"/>
      <c r="E16" s="47"/>
    </row>
    <row r="17" spans="2:5" x14ac:dyDescent="0.2">
      <c r="B17" s="47" t="s">
        <v>537</v>
      </c>
      <c r="C17" s="47"/>
      <c r="D17" s="47"/>
      <c r="E17" s="47"/>
    </row>
    <row r="18" spans="2:5" x14ac:dyDescent="0.2">
      <c r="B18" s="47" t="s">
        <v>538</v>
      </c>
      <c r="C18" s="47"/>
      <c r="D18" s="47"/>
      <c r="E18" s="47"/>
    </row>
    <row r="19" spans="2:5" x14ac:dyDescent="0.2">
      <c r="B19" s="47" t="s">
        <v>539</v>
      </c>
      <c r="C19" s="47"/>
      <c r="D19" s="47"/>
      <c r="E19" s="47"/>
    </row>
    <row r="20" spans="2:5" x14ac:dyDescent="0.2">
      <c r="B20" s="47" t="s">
        <v>540</v>
      </c>
      <c r="C20" s="47"/>
      <c r="D20" s="47"/>
      <c r="E20" s="47"/>
    </row>
  </sheetData>
  <sheetProtection algorithmName="SHA-512" hashValue="NyKxMlqsp1+vY4KzgVixx9k5R3HU7RndR2hIkjPMrhAFyx49KD7ErBSrGOZNzlgBJRdvQmchF0pFpu8qmkhvnQ==" saltValue="nDgZb6wmArNfZoucVCAy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553</vt:i4>
      </vt:variant>
    </vt:vector>
  </HeadingPairs>
  <TitlesOfParts>
    <vt:vector size="5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