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Симф мульт\"/>
    </mc:Choice>
  </mc:AlternateContent>
  <xr:revisionPtr revIDLastSave="0" documentId="13_ncr:1_{1ABF8012-09AE-4486-AC6E-608F6467F5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6" i="1"/>
  <c r="AH97" i="1"/>
  <c r="AH98" i="1"/>
  <c r="AH99" i="1"/>
  <c r="AH101" i="1"/>
  <c r="AH102" i="1"/>
  <c r="AH103" i="1"/>
  <c r="AH104" i="1"/>
  <c r="AH105" i="1"/>
  <c r="AH107" i="1"/>
  <c r="AH108" i="1"/>
  <c r="AH109" i="1"/>
  <c r="AH110" i="1"/>
  <c r="AH112" i="1"/>
  <c r="AH113" i="1"/>
  <c r="AH114" i="1"/>
  <c r="AH115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7" i="1"/>
  <c r="AD8" i="1"/>
  <c r="W8" i="1" s="1"/>
  <c r="Z8" i="1" s="1"/>
  <c r="AD9" i="1"/>
  <c r="W9" i="1" s="1"/>
  <c r="Z9" i="1" s="1"/>
  <c r="AD10" i="1"/>
  <c r="W10" i="1" s="1"/>
  <c r="Z10" i="1" s="1"/>
  <c r="AD11" i="1"/>
  <c r="W11" i="1" s="1"/>
  <c r="Z11" i="1" s="1"/>
  <c r="AD12" i="1"/>
  <c r="W12" i="1" s="1"/>
  <c r="Z12" i="1" s="1"/>
  <c r="AD13" i="1"/>
  <c r="W13" i="1" s="1"/>
  <c r="Z13" i="1" s="1"/>
  <c r="AD14" i="1"/>
  <c r="W14" i="1" s="1"/>
  <c r="Z14" i="1" s="1"/>
  <c r="AD15" i="1"/>
  <c r="W15" i="1" s="1"/>
  <c r="Z15" i="1" s="1"/>
  <c r="AD16" i="1"/>
  <c r="W16" i="1" s="1"/>
  <c r="Z16" i="1" s="1"/>
  <c r="AD17" i="1"/>
  <c r="W17" i="1" s="1"/>
  <c r="Z17" i="1" s="1"/>
  <c r="AD18" i="1"/>
  <c r="W18" i="1" s="1"/>
  <c r="Z18" i="1" s="1"/>
  <c r="AD19" i="1"/>
  <c r="W19" i="1" s="1"/>
  <c r="Z19" i="1" s="1"/>
  <c r="AD20" i="1"/>
  <c r="W20" i="1" s="1"/>
  <c r="Z20" i="1" s="1"/>
  <c r="AD21" i="1"/>
  <c r="W21" i="1" s="1"/>
  <c r="Z21" i="1" s="1"/>
  <c r="AD22" i="1"/>
  <c r="W22" i="1" s="1"/>
  <c r="Z22" i="1" s="1"/>
  <c r="AD23" i="1"/>
  <c r="W23" i="1" s="1"/>
  <c r="Z23" i="1" s="1"/>
  <c r="AD24" i="1"/>
  <c r="W24" i="1" s="1"/>
  <c r="Z24" i="1" s="1"/>
  <c r="AD25" i="1"/>
  <c r="W25" i="1" s="1"/>
  <c r="Z25" i="1" s="1"/>
  <c r="AD26" i="1"/>
  <c r="W26" i="1" s="1"/>
  <c r="Z26" i="1" s="1"/>
  <c r="AD27" i="1"/>
  <c r="W27" i="1" s="1"/>
  <c r="Z27" i="1" s="1"/>
  <c r="AD28" i="1"/>
  <c r="W28" i="1" s="1"/>
  <c r="Z28" i="1" s="1"/>
  <c r="AD29" i="1"/>
  <c r="W29" i="1" s="1"/>
  <c r="Z29" i="1" s="1"/>
  <c r="AD30" i="1"/>
  <c r="W30" i="1" s="1"/>
  <c r="Z30" i="1" s="1"/>
  <c r="AD31" i="1"/>
  <c r="W31" i="1" s="1"/>
  <c r="Z31" i="1" s="1"/>
  <c r="AD32" i="1"/>
  <c r="W32" i="1" s="1"/>
  <c r="Z32" i="1" s="1"/>
  <c r="AD33" i="1"/>
  <c r="W33" i="1" s="1"/>
  <c r="Z33" i="1" s="1"/>
  <c r="AD34" i="1"/>
  <c r="W34" i="1" s="1"/>
  <c r="Z34" i="1" s="1"/>
  <c r="AD35" i="1"/>
  <c r="W35" i="1" s="1"/>
  <c r="Z35" i="1" s="1"/>
  <c r="AD36" i="1"/>
  <c r="W36" i="1" s="1"/>
  <c r="Z36" i="1" s="1"/>
  <c r="AD37" i="1"/>
  <c r="W37" i="1" s="1"/>
  <c r="Z37" i="1" s="1"/>
  <c r="AD38" i="1"/>
  <c r="W38" i="1" s="1"/>
  <c r="Z38" i="1" s="1"/>
  <c r="AD39" i="1"/>
  <c r="W39" i="1" s="1"/>
  <c r="Z39" i="1" s="1"/>
  <c r="AD40" i="1"/>
  <c r="W40" i="1" s="1"/>
  <c r="Z40" i="1" s="1"/>
  <c r="AD41" i="1"/>
  <c r="W41" i="1" s="1"/>
  <c r="Z41" i="1" s="1"/>
  <c r="AD42" i="1"/>
  <c r="W42" i="1" s="1"/>
  <c r="Z42" i="1" s="1"/>
  <c r="AD43" i="1"/>
  <c r="W43" i="1" s="1"/>
  <c r="Z43" i="1" s="1"/>
  <c r="AD44" i="1"/>
  <c r="W44" i="1" s="1"/>
  <c r="Z44" i="1" s="1"/>
  <c r="AD45" i="1"/>
  <c r="W45" i="1" s="1"/>
  <c r="Z45" i="1" s="1"/>
  <c r="AD46" i="1"/>
  <c r="W46" i="1" s="1"/>
  <c r="Z46" i="1" s="1"/>
  <c r="AD47" i="1"/>
  <c r="W47" i="1" s="1"/>
  <c r="Z47" i="1" s="1"/>
  <c r="AD48" i="1"/>
  <c r="W48" i="1" s="1"/>
  <c r="Z48" i="1" s="1"/>
  <c r="AD49" i="1"/>
  <c r="W49" i="1" s="1"/>
  <c r="Z49" i="1" s="1"/>
  <c r="AD50" i="1"/>
  <c r="W50" i="1" s="1"/>
  <c r="Z50" i="1" s="1"/>
  <c r="AD51" i="1"/>
  <c r="W51" i="1" s="1"/>
  <c r="Z51" i="1" s="1"/>
  <c r="AD52" i="1"/>
  <c r="W52" i="1" s="1"/>
  <c r="Z52" i="1" s="1"/>
  <c r="AD53" i="1"/>
  <c r="W53" i="1" s="1"/>
  <c r="Z53" i="1" s="1"/>
  <c r="AD54" i="1"/>
  <c r="W54" i="1" s="1"/>
  <c r="Z54" i="1" s="1"/>
  <c r="AD55" i="1"/>
  <c r="W55" i="1" s="1"/>
  <c r="Z55" i="1" s="1"/>
  <c r="AD56" i="1"/>
  <c r="W56" i="1" s="1"/>
  <c r="Z56" i="1" s="1"/>
  <c r="AD57" i="1"/>
  <c r="W57" i="1" s="1"/>
  <c r="Z57" i="1" s="1"/>
  <c r="AD58" i="1"/>
  <c r="W58" i="1" s="1"/>
  <c r="Z58" i="1" s="1"/>
  <c r="AD59" i="1"/>
  <c r="W59" i="1" s="1"/>
  <c r="Z59" i="1" s="1"/>
  <c r="AD60" i="1"/>
  <c r="W60" i="1" s="1"/>
  <c r="Z60" i="1" s="1"/>
  <c r="AD61" i="1"/>
  <c r="W61" i="1" s="1"/>
  <c r="Z61" i="1" s="1"/>
  <c r="AD62" i="1"/>
  <c r="W62" i="1" s="1"/>
  <c r="Z62" i="1" s="1"/>
  <c r="AD63" i="1"/>
  <c r="W63" i="1" s="1"/>
  <c r="Z63" i="1" s="1"/>
  <c r="AD64" i="1"/>
  <c r="W64" i="1" s="1"/>
  <c r="Z64" i="1" s="1"/>
  <c r="AD65" i="1"/>
  <c r="W65" i="1" s="1"/>
  <c r="Z65" i="1" s="1"/>
  <c r="AD66" i="1"/>
  <c r="W66" i="1" s="1"/>
  <c r="Z66" i="1" s="1"/>
  <c r="AD67" i="1"/>
  <c r="W67" i="1" s="1"/>
  <c r="Z67" i="1" s="1"/>
  <c r="AD68" i="1"/>
  <c r="W68" i="1" s="1"/>
  <c r="Z68" i="1" s="1"/>
  <c r="AD69" i="1"/>
  <c r="W69" i="1" s="1"/>
  <c r="Z69" i="1" s="1"/>
  <c r="AD70" i="1"/>
  <c r="W70" i="1" s="1"/>
  <c r="Z70" i="1" s="1"/>
  <c r="AD71" i="1"/>
  <c r="W71" i="1" s="1"/>
  <c r="Z71" i="1" s="1"/>
  <c r="AD72" i="1"/>
  <c r="W72" i="1" s="1"/>
  <c r="Z72" i="1" s="1"/>
  <c r="AD73" i="1"/>
  <c r="W73" i="1" s="1"/>
  <c r="Z73" i="1" s="1"/>
  <c r="AD74" i="1"/>
  <c r="W74" i="1" s="1"/>
  <c r="Z74" i="1" s="1"/>
  <c r="AD75" i="1"/>
  <c r="W75" i="1" s="1"/>
  <c r="Z75" i="1" s="1"/>
  <c r="AD76" i="1"/>
  <c r="W76" i="1" s="1"/>
  <c r="Z76" i="1" s="1"/>
  <c r="AD77" i="1"/>
  <c r="W77" i="1" s="1"/>
  <c r="Z77" i="1" s="1"/>
  <c r="AD78" i="1"/>
  <c r="W78" i="1" s="1"/>
  <c r="Z78" i="1" s="1"/>
  <c r="AD79" i="1"/>
  <c r="W79" i="1" s="1"/>
  <c r="Z79" i="1" s="1"/>
  <c r="AD80" i="1"/>
  <c r="W80" i="1" s="1"/>
  <c r="Z80" i="1" s="1"/>
  <c r="AD81" i="1"/>
  <c r="W81" i="1" s="1"/>
  <c r="Z81" i="1" s="1"/>
  <c r="AD82" i="1"/>
  <c r="W82" i="1" s="1"/>
  <c r="Z82" i="1" s="1"/>
  <c r="AD83" i="1"/>
  <c r="W83" i="1" s="1"/>
  <c r="Z83" i="1" s="1"/>
  <c r="AD84" i="1"/>
  <c r="W84" i="1" s="1"/>
  <c r="Z84" i="1" s="1"/>
  <c r="AD85" i="1"/>
  <c r="W85" i="1" s="1"/>
  <c r="Z85" i="1" s="1"/>
  <c r="AD86" i="1"/>
  <c r="W86" i="1" s="1"/>
  <c r="Z86" i="1" s="1"/>
  <c r="AD87" i="1"/>
  <c r="W87" i="1" s="1"/>
  <c r="Z87" i="1" s="1"/>
  <c r="AD88" i="1"/>
  <c r="W88" i="1" s="1"/>
  <c r="Z88" i="1" s="1"/>
  <c r="AD89" i="1"/>
  <c r="W89" i="1" s="1"/>
  <c r="Z89" i="1" s="1"/>
  <c r="AD90" i="1"/>
  <c r="W90" i="1" s="1"/>
  <c r="Z90" i="1" s="1"/>
  <c r="AD91" i="1"/>
  <c r="W91" i="1" s="1"/>
  <c r="Z91" i="1" s="1"/>
  <c r="AD92" i="1"/>
  <c r="W92" i="1" s="1"/>
  <c r="Z92" i="1" s="1"/>
  <c r="AD93" i="1"/>
  <c r="W93" i="1" s="1"/>
  <c r="AD94" i="1"/>
  <c r="W94" i="1" s="1"/>
  <c r="Z94" i="1" s="1"/>
  <c r="AD95" i="1"/>
  <c r="W95" i="1" s="1"/>
  <c r="Z95" i="1" s="1"/>
  <c r="AD96" i="1"/>
  <c r="W96" i="1" s="1"/>
  <c r="Z96" i="1" s="1"/>
  <c r="AD97" i="1"/>
  <c r="W97" i="1" s="1"/>
  <c r="Z97" i="1" s="1"/>
  <c r="AD98" i="1"/>
  <c r="W98" i="1" s="1"/>
  <c r="Z98" i="1" s="1"/>
  <c r="AD99" i="1"/>
  <c r="W99" i="1" s="1"/>
  <c r="Z99" i="1" s="1"/>
  <c r="AD100" i="1"/>
  <c r="W100" i="1" s="1"/>
  <c r="Z100" i="1" s="1"/>
  <c r="AD101" i="1"/>
  <c r="W101" i="1" s="1"/>
  <c r="Z101" i="1" s="1"/>
  <c r="AD102" i="1"/>
  <c r="W102" i="1" s="1"/>
  <c r="Z102" i="1" s="1"/>
  <c r="AD103" i="1"/>
  <c r="W103" i="1" s="1"/>
  <c r="Z103" i="1" s="1"/>
  <c r="AD104" i="1"/>
  <c r="W104" i="1" s="1"/>
  <c r="Z104" i="1" s="1"/>
  <c r="AD105" i="1"/>
  <c r="W105" i="1" s="1"/>
  <c r="Z105" i="1" s="1"/>
  <c r="AD106" i="1"/>
  <c r="W106" i="1" s="1"/>
  <c r="Z106" i="1" s="1"/>
  <c r="AD107" i="1"/>
  <c r="W107" i="1" s="1"/>
  <c r="Z107" i="1" s="1"/>
  <c r="AD108" i="1"/>
  <c r="W108" i="1" s="1"/>
  <c r="Z108" i="1" s="1"/>
  <c r="AD109" i="1"/>
  <c r="W109" i="1" s="1"/>
  <c r="Z109" i="1" s="1"/>
  <c r="AD110" i="1"/>
  <c r="W110" i="1" s="1"/>
  <c r="Z110" i="1" s="1"/>
  <c r="AD111" i="1"/>
  <c r="W111" i="1" s="1"/>
  <c r="Z111" i="1" s="1"/>
  <c r="AD112" i="1"/>
  <c r="W112" i="1" s="1"/>
  <c r="Z112" i="1" s="1"/>
  <c r="AD113" i="1"/>
  <c r="W113" i="1" s="1"/>
  <c r="Z113" i="1" s="1"/>
  <c r="AD114" i="1"/>
  <c r="W114" i="1" s="1"/>
  <c r="Z114" i="1" s="1"/>
  <c r="AD115" i="1"/>
  <c r="W115" i="1" s="1"/>
  <c r="Z115" i="1" s="1"/>
  <c r="AD7" i="1"/>
  <c r="W7" i="1" s="1"/>
  <c r="Z7" i="1" s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7" i="1"/>
  <c r="L8" i="1"/>
  <c r="Y8" i="1" s="1"/>
  <c r="L9" i="1"/>
  <c r="L10" i="1"/>
  <c r="Y10" i="1" s="1"/>
  <c r="L11" i="1"/>
  <c r="L12" i="1"/>
  <c r="Y12" i="1" s="1"/>
  <c r="L13" i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L39" i="1"/>
  <c r="L40" i="1"/>
  <c r="Y40" i="1" s="1"/>
  <c r="L41" i="1"/>
  <c r="L42" i="1"/>
  <c r="Y42" i="1" s="1"/>
  <c r="L43" i="1"/>
  <c r="L44" i="1"/>
  <c r="L45" i="1"/>
  <c r="Y45" i="1" s="1"/>
  <c r="L46" i="1"/>
  <c r="L47" i="1"/>
  <c r="L48" i="1"/>
  <c r="Y48" i="1" s="1"/>
  <c r="L49" i="1"/>
  <c r="L50" i="1"/>
  <c r="Y50" i="1" s="1"/>
  <c r="L51" i="1"/>
  <c r="L52" i="1"/>
  <c r="L53" i="1"/>
  <c r="Y53" i="1" s="1"/>
  <c r="L54" i="1"/>
  <c r="L55" i="1"/>
  <c r="L56" i="1"/>
  <c r="Y56" i="1" s="1"/>
  <c r="L57" i="1"/>
  <c r="L58" i="1"/>
  <c r="Y58" i="1" s="1"/>
  <c r="L59" i="1"/>
  <c r="L60" i="1"/>
  <c r="L61" i="1"/>
  <c r="Y61" i="1" s="1"/>
  <c r="L62" i="1"/>
  <c r="L63" i="1"/>
  <c r="L64" i="1"/>
  <c r="Y64" i="1" s="1"/>
  <c r="L65" i="1"/>
  <c r="L66" i="1"/>
  <c r="Y66" i="1" s="1"/>
  <c r="L67" i="1"/>
  <c r="L68" i="1"/>
  <c r="L69" i="1"/>
  <c r="Y69" i="1" s="1"/>
  <c r="L70" i="1"/>
  <c r="L71" i="1"/>
  <c r="L72" i="1"/>
  <c r="Y72" i="1" s="1"/>
  <c r="L73" i="1"/>
  <c r="L74" i="1"/>
  <c r="L75" i="1"/>
  <c r="L76" i="1"/>
  <c r="Y76" i="1" s="1"/>
  <c r="L77" i="1"/>
  <c r="L78" i="1"/>
  <c r="Y78" i="1" s="1"/>
  <c r="L79" i="1"/>
  <c r="L80" i="1"/>
  <c r="L81" i="1"/>
  <c r="Y81" i="1" s="1"/>
  <c r="L82" i="1"/>
  <c r="L83" i="1"/>
  <c r="L84" i="1"/>
  <c r="L85" i="1"/>
  <c r="Y85" i="1" s="1"/>
  <c r="L86" i="1"/>
  <c r="L87" i="1"/>
  <c r="L88" i="1"/>
  <c r="Y88" i="1" s="1"/>
  <c r="L89" i="1"/>
  <c r="L90" i="1"/>
  <c r="Y90" i="1" s="1"/>
  <c r="L91" i="1"/>
  <c r="L92" i="1"/>
  <c r="L93" i="1"/>
  <c r="L94" i="1"/>
  <c r="Y94" i="1" s="1"/>
  <c r="L95" i="1"/>
  <c r="L96" i="1"/>
  <c r="L97" i="1"/>
  <c r="Y97" i="1" s="1"/>
  <c r="L98" i="1"/>
  <c r="L99" i="1"/>
  <c r="L100" i="1"/>
  <c r="Y100" i="1" s="1"/>
  <c r="L101" i="1"/>
  <c r="L102" i="1"/>
  <c r="Y102" i="1" s="1"/>
  <c r="L103" i="1"/>
  <c r="L104" i="1"/>
  <c r="L105" i="1"/>
  <c r="Y105" i="1" s="1"/>
  <c r="L106" i="1"/>
  <c r="L107" i="1"/>
  <c r="L108" i="1"/>
  <c r="Y108" i="1" s="1"/>
  <c r="L109" i="1"/>
  <c r="L110" i="1"/>
  <c r="Y110" i="1" s="1"/>
  <c r="L111" i="1"/>
  <c r="L112" i="1"/>
  <c r="L113" i="1"/>
  <c r="Y113" i="1" s="1"/>
  <c r="L114" i="1"/>
  <c r="L115" i="1"/>
  <c r="L7" i="1"/>
  <c r="Y7" i="1" s="1"/>
  <c r="Y93" i="1" l="1"/>
  <c r="Z93" i="1"/>
  <c r="Y114" i="1"/>
  <c r="Y109" i="1"/>
  <c r="Y101" i="1"/>
  <c r="Y89" i="1"/>
  <c r="Y77" i="1"/>
  <c r="Y73" i="1"/>
  <c r="Y65" i="1"/>
  <c r="Y57" i="1"/>
  <c r="Y49" i="1"/>
  <c r="Y41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112" i="1"/>
  <c r="Y106" i="1"/>
  <c r="Y104" i="1"/>
  <c r="Y98" i="1"/>
  <c r="Y96" i="1"/>
  <c r="Y92" i="1"/>
  <c r="Y86" i="1"/>
  <c r="Y84" i="1"/>
  <c r="Y80" i="1"/>
  <c r="Y74" i="1"/>
  <c r="Y70" i="1"/>
  <c r="Y68" i="1"/>
  <c r="Y62" i="1"/>
  <c r="Y60" i="1"/>
  <c r="Y54" i="1"/>
  <c r="Y52" i="1"/>
  <c r="Y46" i="1"/>
  <c r="Y44" i="1"/>
  <c r="Y79" i="1"/>
  <c r="Y75" i="1"/>
  <c r="Y71" i="1"/>
  <c r="Y67" i="1"/>
  <c r="Y63" i="1"/>
  <c r="Y59" i="1"/>
  <c r="Y55" i="1"/>
  <c r="Y51" i="1"/>
  <c r="Y47" i="1"/>
  <c r="Y43" i="1"/>
  <c r="Y39" i="1"/>
  <c r="Y91" i="1"/>
  <c r="Y87" i="1"/>
  <c r="Y83" i="1"/>
  <c r="Y115" i="1"/>
  <c r="Y111" i="1"/>
  <c r="Y107" i="1"/>
  <c r="Y103" i="1"/>
  <c r="Y99" i="1"/>
  <c r="Y95" i="1"/>
  <c r="Y38" i="1"/>
  <c r="Y82" i="1"/>
  <c r="K111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2" i="1"/>
  <c r="K112" i="1" s="1"/>
  <c r="J113" i="1"/>
  <c r="K113" i="1" s="1"/>
  <c r="J114" i="1"/>
  <c r="K114" i="1" s="1"/>
  <c r="J115" i="1"/>
  <c r="K115" i="1" s="1"/>
  <c r="J7" i="1"/>
  <c r="K7" i="1" s="1"/>
  <c r="AB6" i="1"/>
  <c r="AC6" i="1"/>
  <c r="AD6" i="1"/>
  <c r="AE6" i="1"/>
  <c r="AF6" i="1"/>
  <c r="AG6" i="1"/>
  <c r="AH6" i="1"/>
  <c r="AA6" i="1"/>
  <c r="L6" i="1"/>
  <c r="M6" i="1"/>
  <c r="N6" i="1"/>
  <c r="O6" i="1"/>
  <c r="P6" i="1"/>
  <c r="Q6" i="1"/>
  <c r="R6" i="1"/>
  <c r="S6" i="1"/>
  <c r="T6" i="1"/>
  <c r="U6" i="1"/>
  <c r="V6" i="1"/>
  <c r="W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7" i="1"/>
  <c r="H8" i="1"/>
  <c r="AJ8" i="1" s="1"/>
  <c r="H9" i="1"/>
  <c r="AJ9" i="1" s="1"/>
  <c r="H10" i="1"/>
  <c r="AJ10" i="1" s="1"/>
  <c r="H11" i="1"/>
  <c r="AJ11" i="1" s="1"/>
  <c r="H12" i="1"/>
  <c r="AJ12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AJ6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110" i="1"/>
  <c r="AJ110" i="1" s="1"/>
  <c r="H111" i="1"/>
  <c r="AJ111" i="1" s="1"/>
  <c r="H112" i="1"/>
  <c r="AJ112" i="1" s="1"/>
  <c r="H113" i="1"/>
  <c r="AJ113" i="1" s="1"/>
  <c r="H114" i="1"/>
  <c r="AJ114" i="1" s="1"/>
  <c r="H115" i="1"/>
  <c r="AJ115" i="1" s="1"/>
  <c r="H7" i="1"/>
  <c r="AJ7" i="1" s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7" i="1"/>
  <c r="K6" i="1" l="1"/>
  <c r="J6" i="1"/>
</calcChain>
</file>

<file path=xl/sharedStrings.xml><?xml version="1.0" encoding="utf-8"?>
<sst xmlns="http://schemas.openxmlformats.org/spreadsheetml/2006/main" count="268" uniqueCount="145">
  <si>
    <t>Период: 10.04.2025 - 17.04.2025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</si>
  <si>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</si>
  <si>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</si>
  <si>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</si>
  <si>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</si>
  <si>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</si>
  <si>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</si>
  <si>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</si>
  <si>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</si>
  <si>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</si>
  <si>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</si>
  <si>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</si>
  <si>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</si>
  <si>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</si>
  <si>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</si>
  <si>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</si>
  <si>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</si>
  <si>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</si>
  <si>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</si>
  <si>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</si>
  <si>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</si>
  <si>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</si>
  <si>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</si>
  <si>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</si>
  <si>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</si>
  <si>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</si>
  <si>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</si>
  <si>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</si>
  <si>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</si>
  <si>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</si>
  <si>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</si>
  <si>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</si>
  <si>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</si>
  <si>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</si>
  <si>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</si>
  <si>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</si>
  <si>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</si>
  <si>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</si>
  <si>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</si>
  <si>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</si>
  <si>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</si>
  <si>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</si>
  <si>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</si>
  <si>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</si>
  <si>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</si>
  <si>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</si>
  <si>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</si>
  <si>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</si>
  <si>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</si>
  <si>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</si>
  <si>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</si>
  <si>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</si>
  <si>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</si>
  <si>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</si>
  <si>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</si>
  <si>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</si>
  <si>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</si>
  <si>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</si>
  <si>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</si>
  <si>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</si>
  <si>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</si>
  <si>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</si>
  <si>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</si>
  <si>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</si>
  <si>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</si>
  <si>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</si>
  <si>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</si>
  <si>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</si>
  <si>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</si>
  <si>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</si>
  <si>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</si>
  <si>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</si>
  <si>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</si>
  <si>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</si>
  <si>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</si>
  <si>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</si>
  <si>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</si>
  <si>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</si>
  <si>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</si>
  <si>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</si>
  <si>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</si>
  <si>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</si>
  <si>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</si>
  <si>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</si>
  <si>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</si>
  <si>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</si>
  <si>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</si>
  <si>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</si>
  <si>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</si>
  <si>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</si>
  <si>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</si>
  <si>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</si>
  <si>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</si>
  <si>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</si>
  <si>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</si>
  <si>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</si>
  <si>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</si>
  <si>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</si>
  <si>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</si>
  <si>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</si>
  <si>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</si>
  <si>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</si>
  <si>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</si>
  <si>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491  Колбаса Филейская Рубленая ТМ Вязанка  0,3 кг. срез.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</si>
  <si>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</si>
  <si>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</si>
  <si>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</si>
  <si>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</si>
  <si>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</si>
  <si>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502  Колбаски Краковюрст ТМ Баварушка с изысканными пряностями в оболочке NDX в мгс 0,28 кг.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</si>
  <si>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</si>
  <si>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</si>
  <si>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</si>
  <si>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</si>
  <si>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</si>
  <si>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</si>
  <si>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517  Сосиски С сыром ТМ Ядрена копоть 0,3кг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</si>
  <si>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</si>
  <si>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</si>
  <si>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</si>
  <si>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</si>
  <si>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</si>
  <si>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</si>
  <si>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</si>
  <si>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</si>
  <si>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</si>
  <si>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</si>
  <si>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</si>
  <si>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</si>
  <si>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</si>
  <si>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</si>
  <si>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</si>
  <si>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</si>
  <si>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</si>
  <si>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</si>
  <si>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17,04,</t>
  </si>
  <si>
    <t>18,04,</t>
  </si>
  <si>
    <t>21-1,</t>
  </si>
  <si>
    <t>21-2,</t>
  </si>
  <si>
    <t>22,04,</t>
  </si>
  <si>
    <t>23,04,</t>
  </si>
  <si>
    <t>28,03,</t>
  </si>
  <si>
    <t>04,04,</t>
  </si>
  <si>
    <t>11,04,</t>
  </si>
  <si>
    <t>6т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</si>
</sst>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" fontId="6" fillId="0" borderId="0" xfId="0" applyNumberFormat="1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0" fontId="6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6,04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1-17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7,04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09.04.2025 - 16.04.2025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16,04,</v>
          </cell>
          <cell r="M5" t="str">
            <v>17,04,</v>
          </cell>
          <cell r="N5" t="str">
            <v>18,04,</v>
          </cell>
          <cell r="T5" t="str">
            <v>21,04,</v>
          </cell>
          <cell r="U5" t="str">
            <v>21,04-1</v>
          </cell>
          <cell r="V5" t="str">
            <v>21,04-2</v>
          </cell>
          <cell r="X5" t="str">
            <v>22,04,</v>
          </cell>
          <cell r="AE5" t="str">
            <v>28,03,</v>
          </cell>
          <cell r="AF5" t="str">
            <v>04,04,</v>
          </cell>
          <cell r="AG5" t="str">
            <v>11,04,</v>
          </cell>
          <cell r="AH5" t="str">
            <v>16,04,</v>
          </cell>
        </row>
        <row r="6">
          <cell r="E6">
            <v>122750.94799999999</v>
          </cell>
          <cell r="F6">
            <v>33161.498</v>
          </cell>
          <cell r="J6">
            <v>133740.73199999999</v>
          </cell>
          <cell r="K6">
            <v>-10989.784000000003</v>
          </cell>
          <cell r="L6">
            <v>9710</v>
          </cell>
          <cell r="M6">
            <v>26710</v>
          </cell>
          <cell r="N6">
            <v>29710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10318</v>
          </cell>
          <cell r="U6">
            <v>18430</v>
          </cell>
          <cell r="V6">
            <v>26000</v>
          </cell>
          <cell r="W6">
            <v>22358.58960000001</v>
          </cell>
          <cell r="X6">
            <v>27270</v>
          </cell>
          <cell r="AA6">
            <v>0</v>
          </cell>
          <cell r="AB6">
            <v>0</v>
          </cell>
          <cell r="AC6">
            <v>0</v>
          </cell>
          <cell r="AD6">
            <v>10958</v>
          </cell>
          <cell r="AE6">
            <v>19710.881799999999</v>
          </cell>
          <cell r="AF6">
            <v>20648.307999999994</v>
          </cell>
          <cell r="AG6">
            <v>21830.324200000003</v>
          </cell>
          <cell r="AH6">
            <v>27615.170999999991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221.959</v>
          </cell>
          <cell r="D7">
            <v>668.947</v>
          </cell>
          <cell r="E7">
            <v>511.87799999999999</v>
          </cell>
          <cell r="F7">
            <v>276.39600000000002</v>
          </cell>
          <cell r="G7" t="str">
            <v>н</v>
          </cell>
          <cell r="H7">
            <v>1</v>
          </cell>
          <cell r="I7">
            <v>45</v>
          </cell>
          <cell r="J7">
            <v>528.30999999999995</v>
          </cell>
          <cell r="K7">
            <v>-16.43199999999996</v>
          </cell>
          <cell r="L7">
            <v>0</v>
          </cell>
          <cell r="M7">
            <v>150</v>
          </cell>
          <cell r="N7">
            <v>160</v>
          </cell>
          <cell r="U7">
            <v>80</v>
          </cell>
          <cell r="W7">
            <v>102.37559999999999</v>
          </cell>
          <cell r="X7">
            <v>150</v>
          </cell>
          <cell r="Y7">
            <v>7.9745173654659904</v>
          </cell>
          <cell r="Z7">
            <v>2.6998230047003391</v>
          </cell>
          <cell r="AD7">
            <v>0</v>
          </cell>
          <cell r="AE7">
            <v>106.89320000000001</v>
          </cell>
          <cell r="AF7">
            <v>106.89919999999999</v>
          </cell>
          <cell r="AG7">
            <v>111.00160000000001</v>
          </cell>
          <cell r="AH7">
            <v>147.60300000000001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257.267</v>
          </cell>
          <cell r="D8">
            <v>893.20699999999999</v>
          </cell>
          <cell r="E8">
            <v>580.30899999999997</v>
          </cell>
          <cell r="F8">
            <v>400.65499999999997</v>
          </cell>
          <cell r="G8" t="str">
            <v>ябл</v>
          </cell>
          <cell r="H8">
            <v>1</v>
          </cell>
          <cell r="I8">
            <v>45</v>
          </cell>
          <cell r="J8">
            <v>595.62800000000004</v>
          </cell>
          <cell r="K8">
            <v>-15.319000000000074</v>
          </cell>
          <cell r="L8">
            <v>100</v>
          </cell>
          <cell r="M8">
            <v>100</v>
          </cell>
          <cell r="N8">
            <v>110</v>
          </cell>
          <cell r="V8">
            <v>50</v>
          </cell>
          <cell r="W8">
            <v>116.06179999999999</v>
          </cell>
          <cell r="X8">
            <v>120</v>
          </cell>
          <cell r="Y8">
            <v>7.5878109765659332</v>
          </cell>
          <cell r="Z8">
            <v>3.4520832866627953</v>
          </cell>
          <cell r="AD8">
            <v>0</v>
          </cell>
          <cell r="AE8">
            <v>105.64179999999999</v>
          </cell>
          <cell r="AF8">
            <v>137.91820000000001</v>
          </cell>
          <cell r="AG8">
            <v>124.7272</v>
          </cell>
          <cell r="AH8">
            <v>123.664</v>
          </cell>
          <cell r="AI8" t="str">
            <v>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338.67</v>
          </cell>
          <cell r="D9">
            <v>3454.1759999999999</v>
          </cell>
          <cell r="E9">
            <v>2641</v>
          </cell>
          <cell r="F9">
            <v>700</v>
          </cell>
          <cell r="G9" t="str">
            <v>тк3004,</v>
          </cell>
          <cell r="H9">
            <v>1</v>
          </cell>
          <cell r="I9">
            <v>45</v>
          </cell>
          <cell r="J9">
            <v>2043.2950000000001</v>
          </cell>
          <cell r="K9">
            <v>597.70499999999993</v>
          </cell>
          <cell r="L9">
            <v>200</v>
          </cell>
          <cell r="M9">
            <v>500</v>
          </cell>
          <cell r="N9">
            <v>750</v>
          </cell>
          <cell r="U9">
            <v>800</v>
          </cell>
          <cell r="V9">
            <v>400</v>
          </cell>
          <cell r="W9">
            <v>528.20000000000005</v>
          </cell>
          <cell r="X9">
            <v>850</v>
          </cell>
          <cell r="Y9">
            <v>7.9515335100340776</v>
          </cell>
          <cell r="Z9">
            <v>1.3252555850056795</v>
          </cell>
          <cell r="AD9">
            <v>0</v>
          </cell>
          <cell r="AE9">
            <v>409.8</v>
          </cell>
          <cell r="AF9">
            <v>423.8</v>
          </cell>
          <cell r="AG9">
            <v>491.8</v>
          </cell>
          <cell r="AH9">
            <v>577.33100000000002</v>
          </cell>
          <cell r="AI9" t="str">
            <v>продапр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860</v>
          </cell>
          <cell r="D10">
            <v>8210</v>
          </cell>
          <cell r="E10">
            <v>2941</v>
          </cell>
          <cell r="F10">
            <v>434</v>
          </cell>
          <cell r="G10" t="str">
            <v>ябл</v>
          </cell>
          <cell r="H10">
            <v>0.4</v>
          </cell>
          <cell r="I10">
            <v>45</v>
          </cell>
          <cell r="J10">
            <v>3404</v>
          </cell>
          <cell r="K10">
            <v>-463</v>
          </cell>
          <cell r="L10">
            <v>200</v>
          </cell>
          <cell r="M10">
            <v>600</v>
          </cell>
          <cell r="N10">
            <v>800</v>
          </cell>
          <cell r="T10">
            <v>1200</v>
          </cell>
          <cell r="U10">
            <v>500</v>
          </cell>
          <cell r="V10">
            <v>500</v>
          </cell>
          <cell r="W10">
            <v>468.2</v>
          </cell>
          <cell r="X10">
            <v>600</v>
          </cell>
          <cell r="Y10">
            <v>7.7616403246475869</v>
          </cell>
          <cell r="Z10">
            <v>0.92695429303716359</v>
          </cell>
          <cell r="AD10">
            <v>600</v>
          </cell>
          <cell r="AE10">
            <v>389.8</v>
          </cell>
          <cell r="AF10">
            <v>423.2</v>
          </cell>
          <cell r="AG10">
            <v>500.8</v>
          </cell>
          <cell r="AH10">
            <v>679</v>
          </cell>
          <cell r="AI10" t="str">
            <v>продапр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1007</v>
          </cell>
          <cell r="D11">
            <v>6956</v>
          </cell>
          <cell r="E11">
            <v>5853</v>
          </cell>
          <cell r="F11">
            <v>1976</v>
          </cell>
          <cell r="G11">
            <v>0</v>
          </cell>
          <cell r="H11">
            <v>0.45</v>
          </cell>
          <cell r="I11">
            <v>45</v>
          </cell>
          <cell r="J11">
            <v>5972</v>
          </cell>
          <cell r="K11">
            <v>-119</v>
          </cell>
          <cell r="L11">
            <v>0</v>
          </cell>
          <cell r="M11">
            <v>700</v>
          </cell>
          <cell r="N11">
            <v>1400</v>
          </cell>
          <cell r="T11">
            <v>492</v>
          </cell>
          <cell r="U11">
            <v>900</v>
          </cell>
          <cell r="V11">
            <v>1000</v>
          </cell>
          <cell r="W11">
            <v>954.6</v>
          </cell>
          <cell r="X11">
            <v>1200</v>
          </cell>
          <cell r="Y11">
            <v>7.5172847265870519</v>
          </cell>
          <cell r="Z11">
            <v>2.0699769536978838</v>
          </cell>
          <cell r="AD11">
            <v>1080</v>
          </cell>
          <cell r="AE11">
            <v>683.8</v>
          </cell>
          <cell r="AF11">
            <v>853.2</v>
          </cell>
          <cell r="AG11">
            <v>913</v>
          </cell>
          <cell r="AH11">
            <v>1080</v>
          </cell>
          <cell r="AI11" t="str">
            <v>апряб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2408</v>
          </cell>
          <cell r="D12">
            <v>5172</v>
          </cell>
          <cell r="E12">
            <v>6272</v>
          </cell>
          <cell r="F12">
            <v>1216</v>
          </cell>
          <cell r="G12" t="str">
            <v>оконч</v>
          </cell>
          <cell r="H12">
            <v>0.45</v>
          </cell>
          <cell r="I12">
            <v>45</v>
          </cell>
          <cell r="J12">
            <v>6350</v>
          </cell>
          <cell r="K12">
            <v>-78</v>
          </cell>
          <cell r="L12">
            <v>200</v>
          </cell>
          <cell r="M12">
            <v>1000</v>
          </cell>
          <cell r="N12">
            <v>1200</v>
          </cell>
          <cell r="T12">
            <v>486</v>
          </cell>
          <cell r="U12">
            <v>700</v>
          </cell>
          <cell r="V12">
            <v>900</v>
          </cell>
          <cell r="W12">
            <v>857.2</v>
          </cell>
          <cell r="X12">
            <v>1200</v>
          </cell>
          <cell r="Y12">
            <v>7.4848343443770409</v>
          </cell>
          <cell r="Z12">
            <v>1.4185720951936536</v>
          </cell>
          <cell r="AD12">
            <v>1986</v>
          </cell>
          <cell r="AE12">
            <v>899</v>
          </cell>
          <cell r="AF12">
            <v>913</v>
          </cell>
          <cell r="AG12">
            <v>793.4</v>
          </cell>
          <cell r="AH12">
            <v>1064</v>
          </cell>
          <cell r="AI12" t="str">
            <v>оконч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35</v>
          </cell>
          <cell r="D13">
            <v>238</v>
          </cell>
          <cell r="E13">
            <v>37</v>
          </cell>
          <cell r="F13">
            <v>20</v>
          </cell>
          <cell r="G13">
            <v>0</v>
          </cell>
          <cell r="H13">
            <v>0.4</v>
          </cell>
          <cell r="I13">
            <v>50</v>
          </cell>
          <cell r="J13">
            <v>67</v>
          </cell>
          <cell r="K13">
            <v>-30</v>
          </cell>
          <cell r="L13">
            <v>20</v>
          </cell>
          <cell r="M13">
            <v>10</v>
          </cell>
          <cell r="N13">
            <v>10</v>
          </cell>
          <cell r="V13">
            <v>10</v>
          </cell>
          <cell r="W13">
            <v>7.4</v>
          </cell>
          <cell r="Y13">
            <v>9.4594594594594597</v>
          </cell>
          <cell r="Z13">
            <v>2.7027027027027026</v>
          </cell>
          <cell r="AD13">
            <v>0</v>
          </cell>
          <cell r="AE13">
            <v>7.2</v>
          </cell>
          <cell r="AF13">
            <v>6.6</v>
          </cell>
          <cell r="AG13">
            <v>8.4</v>
          </cell>
          <cell r="AH13">
            <v>12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216</v>
          </cell>
          <cell r="D14">
            <v>424</v>
          </cell>
          <cell r="E14">
            <v>320</v>
          </cell>
          <cell r="F14">
            <v>317</v>
          </cell>
          <cell r="G14">
            <v>0</v>
          </cell>
          <cell r="H14">
            <v>0.17</v>
          </cell>
          <cell r="I14">
            <v>180</v>
          </cell>
          <cell r="J14">
            <v>330</v>
          </cell>
          <cell r="K14">
            <v>-10</v>
          </cell>
          <cell r="L14">
            <v>0</v>
          </cell>
          <cell r="M14">
            <v>0</v>
          </cell>
          <cell r="N14">
            <v>200</v>
          </cell>
          <cell r="V14">
            <v>100</v>
          </cell>
          <cell r="W14">
            <v>64</v>
          </cell>
          <cell r="X14">
            <v>200</v>
          </cell>
          <cell r="Y14">
            <v>12.765625</v>
          </cell>
          <cell r="Z14">
            <v>4.953125</v>
          </cell>
          <cell r="AD14">
            <v>0</v>
          </cell>
          <cell r="AE14">
            <v>13.8</v>
          </cell>
          <cell r="AF14">
            <v>21.8</v>
          </cell>
          <cell r="AG14">
            <v>68.599999999999994</v>
          </cell>
          <cell r="AH14">
            <v>62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143</v>
          </cell>
          <cell r="D15">
            <v>1351</v>
          </cell>
          <cell r="E15">
            <v>140</v>
          </cell>
          <cell r="F15">
            <v>64</v>
          </cell>
          <cell r="G15">
            <v>0</v>
          </cell>
          <cell r="H15">
            <v>0.3</v>
          </cell>
          <cell r="I15">
            <v>40</v>
          </cell>
          <cell r="J15">
            <v>278</v>
          </cell>
          <cell r="K15">
            <v>-138</v>
          </cell>
          <cell r="L15">
            <v>40</v>
          </cell>
          <cell r="M15">
            <v>30</v>
          </cell>
          <cell r="N15">
            <v>60</v>
          </cell>
          <cell r="V15">
            <v>50</v>
          </cell>
          <cell r="W15">
            <v>28</v>
          </cell>
          <cell r="Y15">
            <v>8.7142857142857135</v>
          </cell>
          <cell r="Z15">
            <v>2.2857142857142856</v>
          </cell>
          <cell r="AD15">
            <v>0</v>
          </cell>
          <cell r="AE15">
            <v>42</v>
          </cell>
          <cell r="AF15">
            <v>29.2</v>
          </cell>
          <cell r="AG15">
            <v>41.4</v>
          </cell>
          <cell r="AH15">
            <v>62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478</v>
          </cell>
          <cell r="D16">
            <v>2029</v>
          </cell>
          <cell r="E16">
            <v>1558</v>
          </cell>
          <cell r="F16">
            <v>930</v>
          </cell>
          <cell r="G16">
            <v>0</v>
          </cell>
          <cell r="H16">
            <v>0.17</v>
          </cell>
          <cell r="I16">
            <v>180</v>
          </cell>
          <cell r="J16">
            <v>1737</v>
          </cell>
          <cell r="K16">
            <v>-179</v>
          </cell>
          <cell r="L16">
            <v>0</v>
          </cell>
          <cell r="M16">
            <v>500</v>
          </cell>
          <cell r="N16">
            <v>1700</v>
          </cell>
          <cell r="V16">
            <v>500</v>
          </cell>
          <cell r="W16">
            <v>311.60000000000002</v>
          </cell>
          <cell r="X16">
            <v>600</v>
          </cell>
          <cell r="Y16">
            <v>13.575096277278561</v>
          </cell>
          <cell r="Z16">
            <v>2.9845956354300385</v>
          </cell>
          <cell r="AD16">
            <v>0</v>
          </cell>
          <cell r="AE16">
            <v>110.2</v>
          </cell>
          <cell r="AF16">
            <v>76.2</v>
          </cell>
          <cell r="AG16">
            <v>265.39999999999998</v>
          </cell>
          <cell r="AH16">
            <v>414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198</v>
          </cell>
          <cell r="D17">
            <v>1144</v>
          </cell>
          <cell r="E17">
            <v>768</v>
          </cell>
          <cell r="F17">
            <v>63</v>
          </cell>
          <cell r="G17">
            <v>0</v>
          </cell>
          <cell r="H17">
            <v>0.35</v>
          </cell>
          <cell r="I17">
            <v>45</v>
          </cell>
          <cell r="J17">
            <v>1295</v>
          </cell>
          <cell r="K17">
            <v>-527</v>
          </cell>
          <cell r="L17">
            <v>100</v>
          </cell>
          <cell r="M17">
            <v>350</v>
          </cell>
          <cell r="N17">
            <v>250</v>
          </cell>
          <cell r="U17">
            <v>300</v>
          </cell>
          <cell r="W17">
            <v>153.6</v>
          </cell>
          <cell r="X17">
            <v>250</v>
          </cell>
          <cell r="Y17">
            <v>8.5481770833333339</v>
          </cell>
          <cell r="Z17">
            <v>0.41015625</v>
          </cell>
          <cell r="AD17">
            <v>0</v>
          </cell>
          <cell r="AE17">
            <v>67.2</v>
          </cell>
          <cell r="AF17">
            <v>55.6</v>
          </cell>
          <cell r="AG17">
            <v>166.4</v>
          </cell>
          <cell r="AH17">
            <v>265</v>
          </cell>
          <cell r="AI17" t="str">
            <v>продапр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89</v>
          </cell>
          <cell r="D18">
            <v>2719</v>
          </cell>
          <cell r="E18">
            <v>158</v>
          </cell>
          <cell r="F18">
            <v>129</v>
          </cell>
          <cell r="G18" t="str">
            <v>н</v>
          </cell>
          <cell r="H18">
            <v>0.35</v>
          </cell>
          <cell r="I18">
            <v>45</v>
          </cell>
          <cell r="J18">
            <v>180</v>
          </cell>
          <cell r="K18">
            <v>-22</v>
          </cell>
          <cell r="L18">
            <v>30</v>
          </cell>
          <cell r="M18">
            <v>0</v>
          </cell>
          <cell r="N18">
            <v>0</v>
          </cell>
          <cell r="T18">
            <v>90</v>
          </cell>
          <cell r="W18">
            <v>20.8</v>
          </cell>
          <cell r="X18">
            <v>20</v>
          </cell>
          <cell r="Y18">
            <v>8.6057692307692299</v>
          </cell>
          <cell r="Z18">
            <v>6.2019230769230766</v>
          </cell>
          <cell r="AD18">
            <v>54</v>
          </cell>
          <cell r="AE18">
            <v>26.6</v>
          </cell>
          <cell r="AF18">
            <v>39</v>
          </cell>
          <cell r="AG18">
            <v>21</v>
          </cell>
          <cell r="AH18">
            <v>32</v>
          </cell>
          <cell r="AI18" t="str">
            <v>300пуд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99</v>
          </cell>
          <cell r="D19">
            <v>832</v>
          </cell>
          <cell r="E19">
            <v>210</v>
          </cell>
          <cell r="F19">
            <v>61</v>
          </cell>
          <cell r="G19">
            <v>0</v>
          </cell>
          <cell r="H19">
            <v>0.35</v>
          </cell>
          <cell r="I19">
            <v>45</v>
          </cell>
          <cell r="J19">
            <v>265</v>
          </cell>
          <cell r="K19">
            <v>-55</v>
          </cell>
          <cell r="L19">
            <v>30</v>
          </cell>
          <cell r="M19">
            <v>0</v>
          </cell>
          <cell r="N19">
            <v>50</v>
          </cell>
          <cell r="U19">
            <v>50</v>
          </cell>
          <cell r="V19">
            <v>70</v>
          </cell>
          <cell r="W19">
            <v>42</v>
          </cell>
          <cell r="X19">
            <v>60</v>
          </cell>
          <cell r="Y19">
            <v>7.6428571428571432</v>
          </cell>
          <cell r="Z19">
            <v>1.4523809523809523</v>
          </cell>
          <cell r="AD19">
            <v>0</v>
          </cell>
          <cell r="AE19">
            <v>22</v>
          </cell>
          <cell r="AF19">
            <v>23.2</v>
          </cell>
          <cell r="AG19">
            <v>33.200000000000003</v>
          </cell>
          <cell r="AH19">
            <v>61</v>
          </cell>
          <cell r="AI19">
            <v>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60</v>
          </cell>
          <cell r="D20">
            <v>1794</v>
          </cell>
          <cell r="E20">
            <v>633</v>
          </cell>
          <cell r="F20">
            <v>327</v>
          </cell>
          <cell r="G20">
            <v>0</v>
          </cell>
          <cell r="H20">
            <v>0.35</v>
          </cell>
          <cell r="I20">
            <v>45</v>
          </cell>
          <cell r="J20">
            <v>710</v>
          </cell>
          <cell r="K20">
            <v>-77</v>
          </cell>
          <cell r="L20">
            <v>100</v>
          </cell>
          <cell r="M20">
            <v>150</v>
          </cell>
          <cell r="N20">
            <v>150</v>
          </cell>
          <cell r="U20">
            <v>200</v>
          </cell>
          <cell r="W20">
            <v>126.6</v>
          </cell>
          <cell r="X20">
            <v>200</v>
          </cell>
          <cell r="Y20">
            <v>8.902053712480253</v>
          </cell>
          <cell r="Z20">
            <v>2.5829383886255926</v>
          </cell>
          <cell r="AD20">
            <v>0</v>
          </cell>
          <cell r="AE20">
            <v>60.2</v>
          </cell>
          <cell r="AF20">
            <v>86.6</v>
          </cell>
          <cell r="AG20">
            <v>116.6</v>
          </cell>
          <cell r="AH20">
            <v>196</v>
          </cell>
          <cell r="AI20" t="str">
            <v>апряб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254.977</v>
          </cell>
          <cell r="D21">
            <v>1137.403</v>
          </cell>
          <cell r="E21">
            <v>588.053</v>
          </cell>
          <cell r="F21">
            <v>134.59100000000001</v>
          </cell>
          <cell r="G21" t="str">
            <v>тк3004,</v>
          </cell>
          <cell r="H21">
            <v>1</v>
          </cell>
          <cell r="I21">
            <v>50</v>
          </cell>
          <cell r="J21">
            <v>604.19600000000003</v>
          </cell>
          <cell r="K21">
            <v>-16.143000000000029</v>
          </cell>
          <cell r="L21">
            <v>50</v>
          </cell>
          <cell r="M21">
            <v>150</v>
          </cell>
          <cell r="N21">
            <v>120</v>
          </cell>
          <cell r="U21">
            <v>100</v>
          </cell>
          <cell r="V21">
            <v>200</v>
          </cell>
          <cell r="W21">
            <v>117.61060000000001</v>
          </cell>
          <cell r="X21">
            <v>250</v>
          </cell>
          <cell r="Y21">
            <v>8.541670563707692</v>
          </cell>
          <cell r="Z21">
            <v>1.1443781427864494</v>
          </cell>
          <cell r="AD21">
            <v>0</v>
          </cell>
          <cell r="AE21">
            <v>74.717799999999997</v>
          </cell>
          <cell r="AF21">
            <v>95.37</v>
          </cell>
          <cell r="AG21">
            <v>102.1352</v>
          </cell>
          <cell r="AH21">
            <v>122.256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3021.6579999999999</v>
          </cell>
          <cell r="D22">
            <v>3538.3049999999998</v>
          </cell>
          <cell r="E22">
            <v>5515.4859999999999</v>
          </cell>
          <cell r="F22">
            <v>873.77200000000005</v>
          </cell>
          <cell r="G22" t="str">
            <v>тк3004,</v>
          </cell>
          <cell r="H22">
            <v>1</v>
          </cell>
          <cell r="I22">
            <v>50</v>
          </cell>
          <cell r="J22">
            <v>5876.192</v>
          </cell>
          <cell r="K22">
            <v>-360.70600000000013</v>
          </cell>
          <cell r="L22">
            <v>800</v>
          </cell>
          <cell r="M22">
            <v>1500</v>
          </cell>
          <cell r="N22">
            <v>1200</v>
          </cell>
          <cell r="U22">
            <v>1300</v>
          </cell>
          <cell r="V22">
            <v>1400</v>
          </cell>
          <cell r="W22">
            <v>1103.0971999999999</v>
          </cell>
          <cell r="X22">
            <v>1600</v>
          </cell>
          <cell r="Y22">
            <v>7.8631076209784609</v>
          </cell>
          <cell r="Z22">
            <v>0.79210789402783377</v>
          </cell>
          <cell r="AD22">
            <v>0</v>
          </cell>
          <cell r="AE22">
            <v>919.26939999999991</v>
          </cell>
          <cell r="AF22">
            <v>976.05799999999999</v>
          </cell>
          <cell r="AG22">
            <v>971.89419999999996</v>
          </cell>
          <cell r="AH22">
            <v>1237.232</v>
          </cell>
          <cell r="AI22" t="str">
            <v>оконч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85.715999999999994</v>
          </cell>
          <cell r="D23">
            <v>1189.5730000000001</v>
          </cell>
          <cell r="E23">
            <v>398.86200000000002</v>
          </cell>
          <cell r="F23">
            <v>255.06700000000001</v>
          </cell>
          <cell r="G23">
            <v>0</v>
          </cell>
          <cell r="H23">
            <v>1</v>
          </cell>
          <cell r="I23">
            <v>50</v>
          </cell>
          <cell r="J23">
            <v>378.90899999999999</v>
          </cell>
          <cell r="K23">
            <v>19.953000000000031</v>
          </cell>
          <cell r="L23">
            <v>0</v>
          </cell>
          <cell r="M23">
            <v>50</v>
          </cell>
          <cell r="N23">
            <v>80</v>
          </cell>
          <cell r="U23">
            <v>50</v>
          </cell>
          <cell r="V23">
            <v>70</v>
          </cell>
          <cell r="W23">
            <v>79.772400000000005</v>
          </cell>
          <cell r="X23">
            <v>100</v>
          </cell>
          <cell r="Y23">
            <v>7.5849165876919837</v>
          </cell>
          <cell r="Z23">
            <v>3.197434200299853</v>
          </cell>
          <cell r="AD23">
            <v>0</v>
          </cell>
          <cell r="AE23">
            <v>66.025400000000005</v>
          </cell>
          <cell r="AF23">
            <v>76.8262</v>
          </cell>
          <cell r="AG23">
            <v>81.249800000000008</v>
          </cell>
          <cell r="AH23">
            <v>128.83000000000001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311.834</v>
          </cell>
          <cell r="D24">
            <v>5104.0110000000004</v>
          </cell>
          <cell r="E24">
            <v>853.46400000000006</v>
          </cell>
          <cell r="F24">
            <v>272.00900000000001</v>
          </cell>
          <cell r="G24">
            <v>0</v>
          </cell>
          <cell r="H24">
            <v>1</v>
          </cell>
          <cell r="I24">
            <v>60</v>
          </cell>
          <cell r="J24">
            <v>942.524</v>
          </cell>
          <cell r="K24">
            <v>-89.059999999999945</v>
          </cell>
          <cell r="L24">
            <v>100</v>
          </cell>
          <cell r="M24">
            <v>100</v>
          </cell>
          <cell r="N24">
            <v>140</v>
          </cell>
          <cell r="U24">
            <v>200</v>
          </cell>
          <cell r="V24">
            <v>300</v>
          </cell>
          <cell r="W24">
            <v>170.69280000000001</v>
          </cell>
          <cell r="X24">
            <v>200</v>
          </cell>
          <cell r="Y24">
            <v>7.6863757580870429</v>
          </cell>
          <cell r="Z24">
            <v>1.5935587206958934</v>
          </cell>
          <cell r="AD24">
            <v>0</v>
          </cell>
          <cell r="AE24">
            <v>121.2432</v>
          </cell>
          <cell r="AF24">
            <v>128.1498</v>
          </cell>
          <cell r="AG24">
            <v>149.3588</v>
          </cell>
          <cell r="AH24">
            <v>186.84899999999999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340.67500000000001</v>
          </cell>
          <cell r="D25">
            <v>1341.223</v>
          </cell>
          <cell r="E25">
            <v>631.53599999999994</v>
          </cell>
          <cell r="F25">
            <v>195.24</v>
          </cell>
          <cell r="G25" t="str">
            <v>тк3004,</v>
          </cell>
          <cell r="H25">
            <v>1</v>
          </cell>
          <cell r="I25">
            <v>50</v>
          </cell>
          <cell r="J25">
            <v>622.03099999999995</v>
          </cell>
          <cell r="K25">
            <v>9.5049999999999955</v>
          </cell>
          <cell r="L25">
            <v>30</v>
          </cell>
          <cell r="M25">
            <v>150</v>
          </cell>
          <cell r="N25">
            <v>110</v>
          </cell>
          <cell r="U25">
            <v>200</v>
          </cell>
          <cell r="V25">
            <v>200</v>
          </cell>
          <cell r="W25">
            <v>126.30719999999999</v>
          </cell>
          <cell r="X25">
            <v>120</v>
          </cell>
          <cell r="Y25">
            <v>7.9586911910009883</v>
          </cell>
          <cell r="Z25">
            <v>1.5457551113475718</v>
          </cell>
          <cell r="AD25">
            <v>0</v>
          </cell>
          <cell r="AE25">
            <v>98.832599999999999</v>
          </cell>
          <cell r="AF25">
            <v>119.3468</v>
          </cell>
          <cell r="AG25">
            <v>111.00840000000001</v>
          </cell>
          <cell r="AH25">
            <v>138.6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94.715000000000003</v>
          </cell>
          <cell r="D26">
            <v>214.15</v>
          </cell>
          <cell r="E26">
            <v>195.119</v>
          </cell>
          <cell r="F26">
            <v>109.33499999999999</v>
          </cell>
          <cell r="G26">
            <v>0</v>
          </cell>
          <cell r="H26">
            <v>1</v>
          </cell>
          <cell r="I26">
            <v>60</v>
          </cell>
          <cell r="J26">
            <v>248.79</v>
          </cell>
          <cell r="K26">
            <v>-53.670999999999992</v>
          </cell>
          <cell r="L26">
            <v>20</v>
          </cell>
          <cell r="M26">
            <v>30</v>
          </cell>
          <cell r="N26">
            <v>50</v>
          </cell>
          <cell r="V26">
            <v>40</v>
          </cell>
          <cell r="W26">
            <v>39.023800000000001</v>
          </cell>
          <cell r="X26">
            <v>40</v>
          </cell>
          <cell r="Y26">
            <v>7.4143215166129384</v>
          </cell>
          <cell r="Z26">
            <v>2.801751751495241</v>
          </cell>
          <cell r="AD26">
            <v>0</v>
          </cell>
          <cell r="AE26">
            <v>29.428199999999997</v>
          </cell>
          <cell r="AF26">
            <v>38.744</v>
          </cell>
          <cell r="AG26">
            <v>41.490400000000001</v>
          </cell>
          <cell r="AH26">
            <v>53.392000000000003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108.175</v>
          </cell>
          <cell r="D27">
            <v>174.02</v>
          </cell>
          <cell r="E27">
            <v>228.45599999999999</v>
          </cell>
          <cell r="F27">
            <v>49.357999999999997</v>
          </cell>
          <cell r="G27">
            <v>0</v>
          </cell>
          <cell r="H27">
            <v>1</v>
          </cell>
          <cell r="I27">
            <v>60</v>
          </cell>
          <cell r="J27">
            <v>230.536</v>
          </cell>
          <cell r="K27">
            <v>-2.0800000000000125</v>
          </cell>
          <cell r="L27">
            <v>0</v>
          </cell>
          <cell r="M27">
            <v>60</v>
          </cell>
          <cell r="N27">
            <v>50</v>
          </cell>
          <cell r="U27">
            <v>40</v>
          </cell>
          <cell r="V27">
            <v>100</v>
          </cell>
          <cell r="W27">
            <v>45.691199999999995</v>
          </cell>
          <cell r="X27">
            <v>40</v>
          </cell>
          <cell r="Y27">
            <v>7.4272069895297133</v>
          </cell>
          <cell r="Z27">
            <v>1.0802517771474596</v>
          </cell>
          <cell r="AD27">
            <v>0</v>
          </cell>
          <cell r="AE27">
            <v>27.014400000000002</v>
          </cell>
          <cell r="AF27">
            <v>40.2742</v>
          </cell>
          <cell r="AG27">
            <v>39.212200000000003</v>
          </cell>
          <cell r="AH27">
            <v>57.444000000000003</v>
          </cell>
          <cell r="AI27">
            <v>0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212.97300000000001</v>
          </cell>
          <cell r="D28">
            <v>433.40499999999997</v>
          </cell>
          <cell r="E28">
            <v>554.21799999999996</v>
          </cell>
          <cell r="F28">
            <v>84.275999999999996</v>
          </cell>
          <cell r="G28" t="str">
            <v>тк3004,</v>
          </cell>
          <cell r="H28">
            <v>1</v>
          </cell>
          <cell r="I28">
            <v>60</v>
          </cell>
          <cell r="J28">
            <v>605.72500000000002</v>
          </cell>
          <cell r="K28">
            <v>-51.507000000000062</v>
          </cell>
          <cell r="L28">
            <v>60</v>
          </cell>
          <cell r="M28">
            <v>120</v>
          </cell>
          <cell r="N28">
            <v>130</v>
          </cell>
          <cell r="U28">
            <v>120</v>
          </cell>
          <cell r="V28">
            <v>220</v>
          </cell>
          <cell r="W28">
            <v>110.8436</v>
          </cell>
          <cell r="X28">
            <v>150</v>
          </cell>
          <cell r="Y28">
            <v>7.9776910890660364</v>
          </cell>
          <cell r="Z28">
            <v>0.76031453327030163</v>
          </cell>
          <cell r="AD28">
            <v>0</v>
          </cell>
          <cell r="AE28">
            <v>72.019199999999998</v>
          </cell>
          <cell r="AF28">
            <v>93.930399999999992</v>
          </cell>
          <cell r="AG28">
            <v>94.239599999999996</v>
          </cell>
          <cell r="AH28">
            <v>106.89400000000001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93.064999999999998</v>
          </cell>
          <cell r="D29">
            <v>451.64299999999997</v>
          </cell>
          <cell r="E29">
            <v>174.09800000000001</v>
          </cell>
          <cell r="F29">
            <v>94.997</v>
          </cell>
          <cell r="G29">
            <v>0</v>
          </cell>
          <cell r="H29">
            <v>1</v>
          </cell>
          <cell r="I29">
            <v>30</v>
          </cell>
          <cell r="J29">
            <v>183.38399999999999</v>
          </cell>
          <cell r="K29">
            <v>-9.2859999999999729</v>
          </cell>
          <cell r="L29">
            <v>20</v>
          </cell>
          <cell r="M29">
            <v>0</v>
          </cell>
          <cell r="N29">
            <v>30</v>
          </cell>
          <cell r="U29">
            <v>30</v>
          </cell>
          <cell r="V29">
            <v>30</v>
          </cell>
          <cell r="W29">
            <v>34.819600000000001</v>
          </cell>
          <cell r="X29">
            <v>30</v>
          </cell>
          <cell r="Y29">
            <v>6.748986203172926</v>
          </cell>
          <cell r="Z29">
            <v>2.7282622431044583</v>
          </cell>
          <cell r="AD29">
            <v>0</v>
          </cell>
          <cell r="AE29">
            <v>34.702199999999998</v>
          </cell>
          <cell r="AF29">
            <v>34.361399999999996</v>
          </cell>
          <cell r="AG29">
            <v>32.448999999999998</v>
          </cell>
          <cell r="AH29">
            <v>47.207000000000001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57.106999999999999</v>
          </cell>
          <cell r="D30">
            <v>180.626</v>
          </cell>
          <cell r="E30">
            <v>137.453</v>
          </cell>
          <cell r="F30">
            <v>87.355999999999995</v>
          </cell>
          <cell r="G30" t="str">
            <v>н</v>
          </cell>
          <cell r="H30">
            <v>1</v>
          </cell>
          <cell r="I30">
            <v>30</v>
          </cell>
          <cell r="J30">
            <v>140.375</v>
          </cell>
          <cell r="K30">
            <v>-2.921999999999997</v>
          </cell>
          <cell r="L30">
            <v>0</v>
          </cell>
          <cell r="M30">
            <v>0</v>
          </cell>
          <cell r="N30">
            <v>20</v>
          </cell>
          <cell r="U30">
            <v>30</v>
          </cell>
          <cell r="V30">
            <v>40</v>
          </cell>
          <cell r="W30">
            <v>27.490600000000001</v>
          </cell>
          <cell r="X30">
            <v>20</v>
          </cell>
          <cell r="Y30">
            <v>7.1790357431267413</v>
          </cell>
          <cell r="Z30">
            <v>3.1776680028809845</v>
          </cell>
          <cell r="AD30">
            <v>0</v>
          </cell>
          <cell r="AE30">
            <v>21.943000000000001</v>
          </cell>
          <cell r="AF30">
            <v>33.3294</v>
          </cell>
          <cell r="AG30">
            <v>26.762400000000003</v>
          </cell>
          <cell r="AH30">
            <v>23.835000000000001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454.07100000000003</v>
          </cell>
          <cell r="D31">
            <v>1225.675</v>
          </cell>
          <cell r="E31">
            <v>1289.289</v>
          </cell>
          <cell r="F31">
            <v>347.60300000000001</v>
          </cell>
          <cell r="G31" t="str">
            <v>тк3004,</v>
          </cell>
          <cell r="H31">
            <v>1</v>
          </cell>
          <cell r="I31">
            <v>30</v>
          </cell>
          <cell r="J31">
            <v>1388.5540000000001</v>
          </cell>
          <cell r="K31">
            <v>-99.2650000000001</v>
          </cell>
          <cell r="L31">
            <v>150</v>
          </cell>
          <cell r="M31">
            <v>300</v>
          </cell>
          <cell r="N31">
            <v>350</v>
          </cell>
          <cell r="U31">
            <v>200</v>
          </cell>
          <cell r="V31">
            <v>300</v>
          </cell>
          <cell r="W31">
            <v>257.8578</v>
          </cell>
          <cell r="X31">
            <v>200</v>
          </cell>
          <cell r="Y31">
            <v>7.1652011302353467</v>
          </cell>
          <cell r="Z31">
            <v>1.3480414398943914</v>
          </cell>
          <cell r="AD31">
            <v>0</v>
          </cell>
          <cell r="AE31">
            <v>211.52579999999998</v>
          </cell>
          <cell r="AF31">
            <v>244.84440000000001</v>
          </cell>
          <cell r="AG31">
            <v>254.77800000000002</v>
          </cell>
          <cell r="AH31">
            <v>291.27100000000002</v>
          </cell>
          <cell r="AI31">
            <v>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36.475000000000001</v>
          </cell>
          <cell r="D32">
            <v>195.61500000000001</v>
          </cell>
          <cell r="E32">
            <v>29.695</v>
          </cell>
          <cell r="F32">
            <v>90.244</v>
          </cell>
          <cell r="G32">
            <v>0</v>
          </cell>
          <cell r="H32">
            <v>1</v>
          </cell>
          <cell r="I32">
            <v>40</v>
          </cell>
          <cell r="J32">
            <v>112.55</v>
          </cell>
          <cell r="K32">
            <v>-82.85499999999999</v>
          </cell>
          <cell r="L32">
            <v>20</v>
          </cell>
          <cell r="M32">
            <v>0</v>
          </cell>
          <cell r="N32">
            <v>0</v>
          </cell>
          <cell r="W32">
            <v>5.9390000000000001</v>
          </cell>
          <cell r="Y32">
            <v>18.56272099680081</v>
          </cell>
          <cell r="Z32">
            <v>15.195150698770837</v>
          </cell>
          <cell r="AD32">
            <v>0</v>
          </cell>
          <cell r="AE32">
            <v>14.171600000000002</v>
          </cell>
          <cell r="AF32">
            <v>11.7372</v>
          </cell>
          <cell r="AG32">
            <v>17.648199999999999</v>
          </cell>
          <cell r="AH32">
            <v>7.0620000000000003</v>
          </cell>
          <cell r="AI32" t="str">
            <v>склад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42.939</v>
          </cell>
          <cell r="D33">
            <v>505.46899999999999</v>
          </cell>
          <cell r="E33">
            <v>145.63300000000001</v>
          </cell>
          <cell r="F33">
            <v>36.347999999999999</v>
          </cell>
          <cell r="G33" t="str">
            <v>н</v>
          </cell>
          <cell r="H33">
            <v>1</v>
          </cell>
          <cell r="I33">
            <v>35</v>
          </cell>
          <cell r="J33">
            <v>211.917</v>
          </cell>
          <cell r="K33">
            <v>-66.283999999999992</v>
          </cell>
          <cell r="L33">
            <v>30</v>
          </cell>
          <cell r="M33">
            <v>40</v>
          </cell>
          <cell r="N33">
            <v>40</v>
          </cell>
          <cell r="V33">
            <v>40</v>
          </cell>
          <cell r="W33">
            <v>29.126600000000003</v>
          </cell>
          <cell r="X33">
            <v>30</v>
          </cell>
          <cell r="Y33">
            <v>7.4278494571972011</v>
          </cell>
          <cell r="Z33">
            <v>1.247931444109508</v>
          </cell>
          <cell r="AD33">
            <v>0</v>
          </cell>
          <cell r="AE33">
            <v>24.026</v>
          </cell>
          <cell r="AF33">
            <v>26.629000000000001</v>
          </cell>
          <cell r="AG33">
            <v>34.061</v>
          </cell>
          <cell r="AH33">
            <v>24.681000000000001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34.756999999999998</v>
          </cell>
          <cell r="D34">
            <v>120.36199999999999</v>
          </cell>
          <cell r="E34">
            <v>116.029</v>
          </cell>
          <cell r="F34">
            <v>30.934999999999999</v>
          </cell>
          <cell r="G34">
            <v>0</v>
          </cell>
          <cell r="H34">
            <v>1</v>
          </cell>
          <cell r="I34">
            <v>30</v>
          </cell>
          <cell r="J34">
            <v>130.96799999999999</v>
          </cell>
          <cell r="K34">
            <v>-14.938999999999993</v>
          </cell>
          <cell r="L34">
            <v>10</v>
          </cell>
          <cell r="M34">
            <v>40</v>
          </cell>
          <cell r="N34">
            <v>40</v>
          </cell>
          <cell r="V34">
            <v>30</v>
          </cell>
          <cell r="W34">
            <v>23.2058</v>
          </cell>
          <cell r="X34">
            <v>10</v>
          </cell>
          <cell r="Y34">
            <v>6.9351196683587721</v>
          </cell>
          <cell r="Z34">
            <v>1.3330719044376835</v>
          </cell>
          <cell r="AD34">
            <v>0</v>
          </cell>
          <cell r="AE34">
            <v>11.385</v>
          </cell>
          <cell r="AF34">
            <v>19.8126</v>
          </cell>
          <cell r="AG34">
            <v>22.334</v>
          </cell>
          <cell r="AH34">
            <v>25.556000000000001</v>
          </cell>
          <cell r="AI34" t="str">
            <v>склад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-0.112</v>
          </cell>
          <cell r="D35">
            <v>50.73</v>
          </cell>
          <cell r="E35">
            <v>13.523999999999999</v>
          </cell>
          <cell r="F35">
            <v>29.931000000000001</v>
          </cell>
          <cell r="G35" t="str">
            <v>н</v>
          </cell>
          <cell r="H35">
            <v>1</v>
          </cell>
          <cell r="I35">
            <v>45</v>
          </cell>
          <cell r="J35">
            <v>16.762</v>
          </cell>
          <cell r="K35">
            <v>-3.2380000000000013</v>
          </cell>
          <cell r="L35">
            <v>0</v>
          </cell>
          <cell r="M35">
            <v>10</v>
          </cell>
          <cell r="N35">
            <v>10</v>
          </cell>
          <cell r="W35">
            <v>2.7047999999999996</v>
          </cell>
          <cell r="Y35">
            <v>18.460144927536234</v>
          </cell>
          <cell r="Z35">
            <v>11.065882874889088</v>
          </cell>
          <cell r="AD35">
            <v>0</v>
          </cell>
          <cell r="AE35">
            <v>3.6795999999999998</v>
          </cell>
          <cell r="AF35">
            <v>1.7276</v>
          </cell>
          <cell r="AG35">
            <v>4.8155999999999999</v>
          </cell>
          <cell r="AH35">
            <v>7.2480000000000002</v>
          </cell>
          <cell r="AI35" t="str">
            <v>склад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7.3440000000000003</v>
          </cell>
          <cell r="D36">
            <v>51.457000000000001</v>
          </cell>
          <cell r="E36">
            <v>13.336</v>
          </cell>
          <cell r="F36">
            <v>24.579000000000001</v>
          </cell>
          <cell r="G36" t="str">
            <v>н</v>
          </cell>
          <cell r="H36">
            <v>1</v>
          </cell>
          <cell r="I36">
            <v>45</v>
          </cell>
          <cell r="J36">
            <v>27.931000000000001</v>
          </cell>
          <cell r="K36">
            <v>-14.595000000000001</v>
          </cell>
          <cell r="L36">
            <v>0</v>
          </cell>
          <cell r="M36">
            <v>10</v>
          </cell>
          <cell r="N36">
            <v>10</v>
          </cell>
          <cell r="W36">
            <v>2.6672000000000002</v>
          </cell>
          <cell r="Y36">
            <v>16.713782243551289</v>
          </cell>
          <cell r="Z36">
            <v>9.2152819436112772</v>
          </cell>
          <cell r="AD36">
            <v>0</v>
          </cell>
          <cell r="AE36">
            <v>2.2738</v>
          </cell>
          <cell r="AF36">
            <v>2.6423999999999999</v>
          </cell>
          <cell r="AG36">
            <v>5.8472</v>
          </cell>
          <cell r="AH36">
            <v>6.3680000000000003</v>
          </cell>
          <cell r="AI36" t="str">
            <v>склад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11.949</v>
          </cell>
          <cell r="D37">
            <v>41.158000000000001</v>
          </cell>
          <cell r="E37">
            <v>29.984000000000002</v>
          </cell>
          <cell r="F37">
            <v>12.064</v>
          </cell>
          <cell r="G37" t="str">
            <v>н</v>
          </cell>
          <cell r="H37">
            <v>1</v>
          </cell>
          <cell r="I37">
            <v>45</v>
          </cell>
          <cell r="J37">
            <v>32.500999999999998</v>
          </cell>
          <cell r="K37">
            <v>-2.5169999999999959</v>
          </cell>
          <cell r="L37">
            <v>10</v>
          </cell>
          <cell r="M37">
            <v>10</v>
          </cell>
          <cell r="N37">
            <v>0</v>
          </cell>
          <cell r="V37">
            <v>10</v>
          </cell>
          <cell r="W37">
            <v>5.9968000000000004</v>
          </cell>
          <cell r="X37">
            <v>10</v>
          </cell>
          <cell r="Y37">
            <v>8.6819637139807888</v>
          </cell>
          <cell r="Z37">
            <v>2.0117395944503733</v>
          </cell>
          <cell r="AD37">
            <v>0</v>
          </cell>
          <cell r="AE37">
            <v>3.8345999999999996</v>
          </cell>
          <cell r="AF37">
            <v>2.7510000000000003</v>
          </cell>
          <cell r="AG37">
            <v>5.6712000000000007</v>
          </cell>
          <cell r="AH37">
            <v>11.026999999999999</v>
          </cell>
          <cell r="AI37" t="str">
            <v>склад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1543</v>
          </cell>
          <cell r="D38">
            <v>826</v>
          </cell>
          <cell r="E38">
            <v>1593</v>
          </cell>
          <cell r="F38">
            <v>611</v>
          </cell>
          <cell r="G38" t="str">
            <v>бнмарт</v>
          </cell>
          <cell r="H38">
            <v>0.35</v>
          </cell>
          <cell r="I38">
            <v>40</v>
          </cell>
          <cell r="J38">
            <v>1045</v>
          </cell>
          <cell r="K38">
            <v>548</v>
          </cell>
          <cell r="L38">
            <v>0</v>
          </cell>
          <cell r="M38">
            <v>350</v>
          </cell>
          <cell r="N38">
            <v>400</v>
          </cell>
          <cell r="U38">
            <v>300</v>
          </cell>
          <cell r="V38">
            <v>400</v>
          </cell>
          <cell r="W38">
            <v>318.60000000000002</v>
          </cell>
          <cell r="X38">
            <v>300</v>
          </cell>
          <cell r="Y38">
            <v>7.4105461393596981</v>
          </cell>
          <cell r="Z38">
            <v>1.9177652228499684</v>
          </cell>
          <cell r="AD38">
            <v>0</v>
          </cell>
          <cell r="AE38">
            <v>462.8</v>
          </cell>
          <cell r="AF38">
            <v>370.4</v>
          </cell>
          <cell r="AG38">
            <v>296.60000000000002</v>
          </cell>
          <cell r="AH38">
            <v>209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1531</v>
          </cell>
          <cell r="D39">
            <v>18920</v>
          </cell>
          <cell r="E39">
            <v>3829</v>
          </cell>
          <cell r="F39">
            <v>1128</v>
          </cell>
          <cell r="G39">
            <v>0</v>
          </cell>
          <cell r="H39">
            <v>0.4</v>
          </cell>
          <cell r="I39">
            <v>40</v>
          </cell>
          <cell r="J39">
            <v>3926</v>
          </cell>
          <cell r="K39">
            <v>-97</v>
          </cell>
          <cell r="L39">
            <v>400</v>
          </cell>
          <cell r="M39">
            <v>450</v>
          </cell>
          <cell r="N39">
            <v>800</v>
          </cell>
          <cell r="T39">
            <v>756</v>
          </cell>
          <cell r="U39">
            <v>500</v>
          </cell>
          <cell r="V39">
            <v>600</v>
          </cell>
          <cell r="W39">
            <v>600.20000000000005</v>
          </cell>
          <cell r="X39">
            <v>600</v>
          </cell>
          <cell r="Y39">
            <v>7.4608463845384865</v>
          </cell>
          <cell r="Z39">
            <v>1.8793735421526157</v>
          </cell>
          <cell r="AD39">
            <v>828</v>
          </cell>
          <cell r="AE39">
            <v>478.4</v>
          </cell>
          <cell r="AF39">
            <v>594.4</v>
          </cell>
          <cell r="AG39">
            <v>576.20000000000005</v>
          </cell>
          <cell r="AH39">
            <v>798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4042</v>
          </cell>
          <cell r="D40">
            <v>999</v>
          </cell>
          <cell r="E40">
            <v>3505</v>
          </cell>
          <cell r="F40">
            <v>1480</v>
          </cell>
          <cell r="G40">
            <v>0</v>
          </cell>
          <cell r="H40">
            <v>0.45</v>
          </cell>
          <cell r="I40">
            <v>45</v>
          </cell>
          <cell r="J40">
            <v>3563</v>
          </cell>
          <cell r="K40">
            <v>-58</v>
          </cell>
          <cell r="L40">
            <v>0</v>
          </cell>
          <cell r="M40">
            <v>0</v>
          </cell>
          <cell r="N40">
            <v>850</v>
          </cell>
          <cell r="T40">
            <v>2020</v>
          </cell>
          <cell r="U40">
            <v>800</v>
          </cell>
          <cell r="V40">
            <v>1000</v>
          </cell>
          <cell r="W40">
            <v>633</v>
          </cell>
          <cell r="X40">
            <v>600</v>
          </cell>
          <cell r="Y40">
            <v>7.4723538704581358</v>
          </cell>
          <cell r="Z40">
            <v>2.3380726698262242</v>
          </cell>
          <cell r="AD40">
            <v>340</v>
          </cell>
          <cell r="AE40">
            <v>881</v>
          </cell>
          <cell r="AF40">
            <v>766.2</v>
          </cell>
          <cell r="AG40">
            <v>559.6</v>
          </cell>
          <cell r="AH40">
            <v>810</v>
          </cell>
          <cell r="AI40">
            <v>0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401.68</v>
          </cell>
          <cell r="D41">
            <v>1932.6079999999999</v>
          </cell>
          <cell r="E41">
            <v>512.90300000000002</v>
          </cell>
          <cell r="F41">
            <v>255.13200000000001</v>
          </cell>
          <cell r="G41">
            <v>0</v>
          </cell>
          <cell r="H41">
            <v>1</v>
          </cell>
          <cell r="I41">
            <v>40</v>
          </cell>
          <cell r="J41">
            <v>525.41600000000005</v>
          </cell>
          <cell r="K41">
            <v>-12.513000000000034</v>
          </cell>
          <cell r="L41">
            <v>100</v>
          </cell>
          <cell r="M41">
            <v>50</v>
          </cell>
          <cell r="N41">
            <v>120</v>
          </cell>
          <cell r="U41">
            <v>50</v>
          </cell>
          <cell r="V41">
            <v>90</v>
          </cell>
          <cell r="W41">
            <v>102.5806</v>
          </cell>
          <cell r="X41">
            <v>100</v>
          </cell>
          <cell r="Y41">
            <v>7.4588372460289767</v>
          </cell>
          <cell r="Z41">
            <v>2.4871369440225539</v>
          </cell>
          <cell r="AD41">
            <v>0</v>
          </cell>
          <cell r="AE41">
            <v>101.27380000000001</v>
          </cell>
          <cell r="AF41">
            <v>110.652</v>
          </cell>
          <cell r="AG41">
            <v>96.189800000000005</v>
          </cell>
          <cell r="AH41">
            <v>129.99199999999999</v>
          </cell>
          <cell r="AI41">
            <v>0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1723</v>
          </cell>
          <cell r="D42">
            <v>1406</v>
          </cell>
          <cell r="E42">
            <v>559</v>
          </cell>
          <cell r="F42">
            <v>1182</v>
          </cell>
          <cell r="G42">
            <v>0</v>
          </cell>
          <cell r="H42">
            <v>0.1</v>
          </cell>
          <cell r="I42">
            <v>730</v>
          </cell>
          <cell r="J42">
            <v>583</v>
          </cell>
          <cell r="K42">
            <v>-24</v>
          </cell>
          <cell r="L42">
            <v>0</v>
          </cell>
          <cell r="M42">
            <v>0</v>
          </cell>
          <cell r="N42">
            <v>0</v>
          </cell>
          <cell r="W42">
            <v>111.8</v>
          </cell>
          <cell r="X42">
            <v>500</v>
          </cell>
          <cell r="Y42">
            <v>15.044722719141324</v>
          </cell>
          <cell r="Z42">
            <v>10.572450805008945</v>
          </cell>
          <cell r="AD42">
            <v>0</v>
          </cell>
          <cell r="AE42">
            <v>96</v>
          </cell>
          <cell r="AF42">
            <v>145.80000000000001</v>
          </cell>
          <cell r="AG42">
            <v>119.8</v>
          </cell>
          <cell r="AH42">
            <v>120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800</v>
          </cell>
          <cell r="D43">
            <v>737</v>
          </cell>
          <cell r="E43">
            <v>1006</v>
          </cell>
          <cell r="F43">
            <v>502</v>
          </cell>
          <cell r="G43">
            <v>0</v>
          </cell>
          <cell r="H43">
            <v>0.35</v>
          </cell>
          <cell r="I43">
            <v>40</v>
          </cell>
          <cell r="J43">
            <v>1304</v>
          </cell>
          <cell r="K43">
            <v>-298</v>
          </cell>
          <cell r="L43">
            <v>200</v>
          </cell>
          <cell r="M43">
            <v>250</v>
          </cell>
          <cell r="N43">
            <v>300</v>
          </cell>
          <cell r="V43">
            <v>200</v>
          </cell>
          <cell r="W43">
            <v>201.2</v>
          </cell>
          <cell r="X43">
            <v>100</v>
          </cell>
          <cell r="Y43">
            <v>7.7137176938369789</v>
          </cell>
          <cell r="Z43">
            <v>2.4950298210735586</v>
          </cell>
          <cell r="AD43">
            <v>0</v>
          </cell>
          <cell r="AE43">
            <v>196.6</v>
          </cell>
          <cell r="AF43">
            <v>247.8</v>
          </cell>
          <cell r="AG43">
            <v>220.6</v>
          </cell>
          <cell r="AH43">
            <v>182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143.21600000000001</v>
          </cell>
          <cell r="D44">
            <v>401.55700000000002</v>
          </cell>
          <cell r="E44">
            <v>282.24599999999998</v>
          </cell>
          <cell r="F44">
            <v>99.715000000000003</v>
          </cell>
          <cell r="G44">
            <v>0</v>
          </cell>
          <cell r="H44">
            <v>1</v>
          </cell>
          <cell r="I44">
            <v>40</v>
          </cell>
          <cell r="J44">
            <v>290.18700000000001</v>
          </cell>
          <cell r="K44">
            <v>-7.9410000000000309</v>
          </cell>
          <cell r="L44">
            <v>30</v>
          </cell>
          <cell r="M44">
            <v>30</v>
          </cell>
          <cell r="N44">
            <v>50</v>
          </cell>
          <cell r="U44">
            <v>50</v>
          </cell>
          <cell r="V44">
            <v>100</v>
          </cell>
          <cell r="W44">
            <v>56.449199999999998</v>
          </cell>
          <cell r="X44">
            <v>80</v>
          </cell>
          <cell r="Y44">
            <v>7.7895700913387618</v>
          </cell>
          <cell r="Z44">
            <v>1.7664555033552292</v>
          </cell>
          <cell r="AD44">
            <v>0</v>
          </cell>
          <cell r="AE44">
            <v>42.25</v>
          </cell>
          <cell r="AF44">
            <v>46.416600000000003</v>
          </cell>
          <cell r="AG44">
            <v>46.542999999999999</v>
          </cell>
          <cell r="AH44">
            <v>83.484999999999999</v>
          </cell>
          <cell r="AI44" t="str">
            <v>увел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649</v>
          </cell>
          <cell r="D45">
            <v>1056</v>
          </cell>
          <cell r="E45">
            <v>1061</v>
          </cell>
          <cell r="F45">
            <v>595</v>
          </cell>
          <cell r="G45">
            <v>0</v>
          </cell>
          <cell r="H45">
            <v>0.4</v>
          </cell>
          <cell r="I45">
            <v>35</v>
          </cell>
          <cell r="J45">
            <v>1112</v>
          </cell>
          <cell r="K45">
            <v>-51</v>
          </cell>
          <cell r="L45">
            <v>150</v>
          </cell>
          <cell r="M45">
            <v>50</v>
          </cell>
          <cell r="N45">
            <v>300</v>
          </cell>
          <cell r="U45">
            <v>200</v>
          </cell>
          <cell r="V45">
            <v>200</v>
          </cell>
          <cell r="W45">
            <v>212.2</v>
          </cell>
          <cell r="X45">
            <v>200</v>
          </cell>
          <cell r="Y45">
            <v>7.9877474081055615</v>
          </cell>
          <cell r="Z45">
            <v>2.8039585296889729</v>
          </cell>
          <cell r="AD45">
            <v>0</v>
          </cell>
          <cell r="AE45">
            <v>190.8</v>
          </cell>
          <cell r="AF45">
            <v>224.4</v>
          </cell>
          <cell r="AG45">
            <v>214.8</v>
          </cell>
          <cell r="AH45">
            <v>280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919</v>
          </cell>
          <cell r="D46">
            <v>3447</v>
          </cell>
          <cell r="E46">
            <v>2211</v>
          </cell>
          <cell r="F46">
            <v>973</v>
          </cell>
          <cell r="G46" t="str">
            <v>оконч</v>
          </cell>
          <cell r="H46">
            <v>0.4</v>
          </cell>
          <cell r="I46">
            <v>40</v>
          </cell>
          <cell r="J46">
            <v>2352</v>
          </cell>
          <cell r="K46">
            <v>-141</v>
          </cell>
          <cell r="L46">
            <v>100</v>
          </cell>
          <cell r="M46">
            <v>500</v>
          </cell>
          <cell r="N46">
            <v>600</v>
          </cell>
          <cell r="U46">
            <v>200</v>
          </cell>
          <cell r="V46">
            <v>500</v>
          </cell>
          <cell r="W46">
            <v>442.2</v>
          </cell>
          <cell r="X46">
            <v>400</v>
          </cell>
          <cell r="Y46">
            <v>7.4016282225237449</v>
          </cell>
          <cell r="Z46">
            <v>2.200361827227499</v>
          </cell>
          <cell r="AD46">
            <v>0</v>
          </cell>
          <cell r="AE46">
            <v>390</v>
          </cell>
          <cell r="AF46">
            <v>416</v>
          </cell>
          <cell r="AG46">
            <v>458.8</v>
          </cell>
          <cell r="AH46">
            <v>601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77.16</v>
          </cell>
          <cell r="D47">
            <v>194.024</v>
          </cell>
          <cell r="E47">
            <v>97.659000000000006</v>
          </cell>
          <cell r="F47">
            <v>51.613999999999997</v>
          </cell>
          <cell r="G47" t="str">
            <v>лид, я</v>
          </cell>
          <cell r="H47">
            <v>1</v>
          </cell>
          <cell r="I47">
            <v>40</v>
          </cell>
          <cell r="J47">
            <v>172.42699999999999</v>
          </cell>
          <cell r="K47">
            <v>-74.767999999999986</v>
          </cell>
          <cell r="L47">
            <v>10</v>
          </cell>
          <cell r="M47">
            <v>100</v>
          </cell>
          <cell r="N47">
            <v>40</v>
          </cell>
          <cell r="W47">
            <v>19.5318</v>
          </cell>
          <cell r="X47">
            <v>20</v>
          </cell>
          <cell r="Y47">
            <v>11.346317287705178</v>
          </cell>
          <cell r="Z47">
            <v>2.6425623854432256</v>
          </cell>
          <cell r="AD47">
            <v>0</v>
          </cell>
          <cell r="AE47">
            <v>19.794800000000002</v>
          </cell>
          <cell r="AF47">
            <v>16.1312</v>
          </cell>
          <cell r="AG47">
            <v>26.122399999999999</v>
          </cell>
          <cell r="AH47">
            <v>36.552999999999997</v>
          </cell>
          <cell r="AI47" t="str">
            <v>склад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234.048</v>
          </cell>
          <cell r="D48">
            <v>383.49799999999999</v>
          </cell>
          <cell r="E48">
            <v>317.81400000000002</v>
          </cell>
          <cell r="F48">
            <v>127.324</v>
          </cell>
          <cell r="G48" t="str">
            <v>тк3004,</v>
          </cell>
          <cell r="H48">
            <v>1</v>
          </cell>
          <cell r="I48">
            <v>40</v>
          </cell>
          <cell r="J48">
            <v>365.69200000000001</v>
          </cell>
          <cell r="K48">
            <v>-47.877999999999986</v>
          </cell>
          <cell r="L48">
            <v>100</v>
          </cell>
          <cell r="M48">
            <v>30</v>
          </cell>
          <cell r="N48">
            <v>80</v>
          </cell>
          <cell r="U48">
            <v>30</v>
          </cell>
          <cell r="V48">
            <v>80</v>
          </cell>
          <cell r="W48">
            <v>63.562800000000003</v>
          </cell>
          <cell r="X48">
            <v>90</v>
          </cell>
          <cell r="Y48">
            <v>8.4534350280352673</v>
          </cell>
          <cell r="Z48">
            <v>2.0031213225345641</v>
          </cell>
          <cell r="AD48">
            <v>0</v>
          </cell>
          <cell r="AE48">
            <v>71.41040000000001</v>
          </cell>
          <cell r="AF48">
            <v>50.720399999999998</v>
          </cell>
          <cell r="AG48">
            <v>61.866</v>
          </cell>
          <cell r="AH48">
            <v>72.159000000000006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874</v>
          </cell>
          <cell r="D49">
            <v>893</v>
          </cell>
          <cell r="E49">
            <v>1361</v>
          </cell>
          <cell r="F49">
            <v>360</v>
          </cell>
          <cell r="G49" t="str">
            <v>лид, я</v>
          </cell>
          <cell r="H49">
            <v>0.35</v>
          </cell>
          <cell r="I49">
            <v>40</v>
          </cell>
          <cell r="J49">
            <v>1496</v>
          </cell>
          <cell r="K49">
            <v>-135</v>
          </cell>
          <cell r="L49">
            <v>200</v>
          </cell>
          <cell r="M49">
            <v>250</v>
          </cell>
          <cell r="N49">
            <v>350</v>
          </cell>
          <cell r="U49">
            <v>200</v>
          </cell>
          <cell r="V49">
            <v>400</v>
          </cell>
          <cell r="W49">
            <v>272.2</v>
          </cell>
          <cell r="X49">
            <v>280</v>
          </cell>
          <cell r="Y49">
            <v>7.4944893460690674</v>
          </cell>
          <cell r="Z49">
            <v>1.322556943423953</v>
          </cell>
          <cell r="AD49">
            <v>0</v>
          </cell>
          <cell r="AE49">
            <v>220.6</v>
          </cell>
          <cell r="AF49">
            <v>270.39999999999998</v>
          </cell>
          <cell r="AG49">
            <v>250</v>
          </cell>
          <cell r="AH49">
            <v>334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1102</v>
          </cell>
          <cell r="D50">
            <v>1679</v>
          </cell>
          <cell r="E50">
            <v>2072</v>
          </cell>
          <cell r="F50">
            <v>649</v>
          </cell>
          <cell r="G50" t="str">
            <v>неакк</v>
          </cell>
          <cell r="H50">
            <v>0.35</v>
          </cell>
          <cell r="I50">
            <v>40</v>
          </cell>
          <cell r="J50">
            <v>2129</v>
          </cell>
          <cell r="K50">
            <v>-57</v>
          </cell>
          <cell r="L50">
            <v>150</v>
          </cell>
          <cell r="M50">
            <v>400</v>
          </cell>
          <cell r="N50">
            <v>550</v>
          </cell>
          <cell r="U50">
            <v>300</v>
          </cell>
          <cell r="V50">
            <v>600</v>
          </cell>
          <cell r="W50">
            <v>414.4</v>
          </cell>
          <cell r="X50">
            <v>450</v>
          </cell>
          <cell r="Y50">
            <v>7.478281853281854</v>
          </cell>
          <cell r="Z50">
            <v>1.5661196911196913</v>
          </cell>
          <cell r="AD50">
            <v>0</v>
          </cell>
          <cell r="AE50">
            <v>325.39999999999998</v>
          </cell>
          <cell r="AF50">
            <v>413</v>
          </cell>
          <cell r="AG50">
            <v>386.8</v>
          </cell>
          <cell r="AH50">
            <v>561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94</v>
          </cell>
          <cell r="D51">
            <v>824</v>
          </cell>
          <cell r="E51">
            <v>651</v>
          </cell>
          <cell r="F51">
            <v>247</v>
          </cell>
          <cell r="G51">
            <v>0</v>
          </cell>
          <cell r="H51">
            <v>0.4</v>
          </cell>
          <cell r="I51">
            <v>35</v>
          </cell>
          <cell r="J51">
            <v>1217</v>
          </cell>
          <cell r="K51">
            <v>-566</v>
          </cell>
          <cell r="L51">
            <v>100</v>
          </cell>
          <cell r="M51">
            <v>200</v>
          </cell>
          <cell r="N51">
            <v>40</v>
          </cell>
          <cell r="U51">
            <v>150</v>
          </cell>
          <cell r="V51">
            <v>100</v>
          </cell>
          <cell r="W51">
            <v>130.19999999999999</v>
          </cell>
          <cell r="X51">
            <v>200</v>
          </cell>
          <cell r="Y51">
            <v>7.9646697388632877</v>
          </cell>
          <cell r="Z51">
            <v>1.8970814132104457</v>
          </cell>
          <cell r="AD51">
            <v>0</v>
          </cell>
          <cell r="AE51">
            <v>170.2</v>
          </cell>
          <cell r="AF51">
            <v>5.8</v>
          </cell>
          <cell r="AG51">
            <v>130</v>
          </cell>
          <cell r="AH51">
            <v>206</v>
          </cell>
          <cell r="AI51" t="str">
            <v>складзавод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196.27500000000001</v>
          </cell>
          <cell r="D52">
            <v>566.19799999999998</v>
          </cell>
          <cell r="E52">
            <v>256.07400000000001</v>
          </cell>
          <cell r="F52">
            <v>4.0540000000000003</v>
          </cell>
          <cell r="G52" t="str">
            <v>оконч</v>
          </cell>
          <cell r="H52">
            <v>1</v>
          </cell>
          <cell r="I52">
            <v>50</v>
          </cell>
          <cell r="J52">
            <v>328.29700000000003</v>
          </cell>
          <cell r="K52">
            <v>-72.223000000000013</v>
          </cell>
          <cell r="L52">
            <v>100</v>
          </cell>
          <cell r="M52">
            <v>50</v>
          </cell>
          <cell r="N52">
            <v>70</v>
          </cell>
          <cell r="U52">
            <v>50</v>
          </cell>
          <cell r="V52">
            <v>60</v>
          </cell>
          <cell r="W52">
            <v>51.214800000000004</v>
          </cell>
          <cell r="X52">
            <v>50</v>
          </cell>
          <cell r="Y52">
            <v>7.4988870404648642</v>
          </cell>
          <cell r="Z52">
            <v>7.9156806235697499E-2</v>
          </cell>
          <cell r="AD52">
            <v>0</v>
          </cell>
          <cell r="AE52">
            <v>47.263999999999996</v>
          </cell>
          <cell r="AF52">
            <v>53.483199999999997</v>
          </cell>
          <cell r="AG52">
            <v>49.335599999999999</v>
          </cell>
          <cell r="AH52">
            <v>66.296999999999997</v>
          </cell>
          <cell r="AI52" t="str">
            <v>увел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341.49400000000003</v>
          </cell>
          <cell r="D53">
            <v>815.84400000000005</v>
          </cell>
          <cell r="E53">
            <v>740.50900000000001</v>
          </cell>
          <cell r="F53">
            <v>383.68200000000002</v>
          </cell>
          <cell r="G53" t="str">
            <v>н</v>
          </cell>
          <cell r="H53">
            <v>1</v>
          </cell>
          <cell r="I53">
            <v>50</v>
          </cell>
          <cell r="J53">
            <v>822.85900000000004</v>
          </cell>
          <cell r="K53">
            <v>-82.350000000000023</v>
          </cell>
          <cell r="L53">
            <v>0</v>
          </cell>
          <cell r="M53">
            <v>200</v>
          </cell>
          <cell r="N53">
            <v>200</v>
          </cell>
          <cell r="U53">
            <v>70</v>
          </cell>
          <cell r="V53">
            <v>120</v>
          </cell>
          <cell r="W53">
            <v>148.1018</v>
          </cell>
          <cell r="X53">
            <v>150</v>
          </cell>
          <cell r="Y53">
            <v>7.5872271640182634</v>
          </cell>
          <cell r="Z53">
            <v>2.5906639892290304</v>
          </cell>
          <cell r="AD53">
            <v>0</v>
          </cell>
          <cell r="AE53">
            <v>119.06559999999999</v>
          </cell>
          <cell r="AF53">
            <v>136.85139999999998</v>
          </cell>
          <cell r="AG53">
            <v>161.17239999999998</v>
          </cell>
          <cell r="AH53">
            <v>207.892</v>
          </cell>
          <cell r="AI53">
            <v>0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99.287000000000006</v>
          </cell>
          <cell r="D54">
            <v>1.498</v>
          </cell>
          <cell r="E54">
            <v>50.552999999999997</v>
          </cell>
          <cell r="F54">
            <v>41.22</v>
          </cell>
          <cell r="G54">
            <v>0</v>
          </cell>
          <cell r="H54">
            <v>1</v>
          </cell>
          <cell r="I54">
            <v>50</v>
          </cell>
          <cell r="J54">
            <v>56.9</v>
          </cell>
          <cell r="K54">
            <v>-6.3470000000000013</v>
          </cell>
          <cell r="L54">
            <v>0</v>
          </cell>
          <cell r="M54">
            <v>10</v>
          </cell>
          <cell r="N54">
            <v>10</v>
          </cell>
          <cell r="V54">
            <v>10</v>
          </cell>
          <cell r="W54">
            <v>10.1106</v>
          </cell>
          <cell r="X54">
            <v>10</v>
          </cell>
          <cell r="Y54">
            <v>8.0331533242339717</v>
          </cell>
          <cell r="Z54">
            <v>4.0769093822325084</v>
          </cell>
          <cell r="AD54">
            <v>0</v>
          </cell>
          <cell r="AE54">
            <v>15.9054</v>
          </cell>
          <cell r="AF54">
            <v>9.9034000000000013</v>
          </cell>
          <cell r="AG54">
            <v>10.7446</v>
          </cell>
          <cell r="AH54">
            <v>15.006</v>
          </cell>
          <cell r="AI54" t="str">
            <v>склад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1451.9670000000001</v>
          </cell>
          <cell r="D55">
            <v>14093.415000000001</v>
          </cell>
          <cell r="E55">
            <v>4001.52</v>
          </cell>
          <cell r="F55">
            <v>1550.3140000000001</v>
          </cell>
          <cell r="G55">
            <v>0</v>
          </cell>
          <cell r="H55">
            <v>1</v>
          </cell>
          <cell r="I55">
            <v>40</v>
          </cell>
          <cell r="J55">
            <v>3778.2629999999999</v>
          </cell>
          <cell r="K55">
            <v>223.25700000000006</v>
          </cell>
          <cell r="L55">
            <v>0</v>
          </cell>
          <cell r="M55">
            <v>1400</v>
          </cell>
          <cell r="N55">
            <v>1200</v>
          </cell>
          <cell r="U55">
            <v>400</v>
          </cell>
          <cell r="V55">
            <v>600</v>
          </cell>
          <cell r="W55">
            <v>800.30399999999997</v>
          </cell>
          <cell r="X55">
            <v>1000</v>
          </cell>
          <cell r="Y55">
            <v>7.6849722105599882</v>
          </cell>
          <cell r="Z55">
            <v>1.9371563805753815</v>
          </cell>
          <cell r="AD55">
            <v>0</v>
          </cell>
          <cell r="AE55">
            <v>748.14139999999998</v>
          </cell>
          <cell r="AF55">
            <v>655.12439999999992</v>
          </cell>
          <cell r="AG55">
            <v>828.63060000000007</v>
          </cell>
          <cell r="AH55">
            <v>774.71600000000001</v>
          </cell>
          <cell r="AI55" t="str">
            <v>апряб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905</v>
          </cell>
          <cell r="D56">
            <v>22708</v>
          </cell>
          <cell r="E56">
            <v>5943</v>
          </cell>
          <cell r="F56">
            <v>131</v>
          </cell>
          <cell r="G56" t="str">
            <v>оконч</v>
          </cell>
          <cell r="H56">
            <v>0.45</v>
          </cell>
          <cell r="I56">
            <v>50</v>
          </cell>
          <cell r="J56">
            <v>6714</v>
          </cell>
          <cell r="K56">
            <v>-771</v>
          </cell>
          <cell r="L56">
            <v>500</v>
          </cell>
          <cell r="M56">
            <v>1200</v>
          </cell>
          <cell r="N56">
            <v>1000</v>
          </cell>
          <cell r="T56">
            <v>370</v>
          </cell>
          <cell r="U56">
            <v>600</v>
          </cell>
          <cell r="V56">
            <v>800</v>
          </cell>
          <cell r="W56">
            <v>630.6</v>
          </cell>
          <cell r="X56">
            <v>700</v>
          </cell>
          <cell r="Y56">
            <v>7.8195369489375199</v>
          </cell>
          <cell r="Z56">
            <v>0.20773866159213447</v>
          </cell>
          <cell r="AD56">
            <v>2790</v>
          </cell>
          <cell r="AE56">
            <v>447.8</v>
          </cell>
          <cell r="AF56">
            <v>546.79999999999995</v>
          </cell>
          <cell r="AG56">
            <v>619.20000000000005</v>
          </cell>
          <cell r="AH56">
            <v>898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1846</v>
          </cell>
          <cell r="D57">
            <v>61058</v>
          </cell>
          <cell r="E57">
            <v>4092</v>
          </cell>
          <cell r="F57">
            <v>1205</v>
          </cell>
          <cell r="G57" t="str">
            <v>акяб</v>
          </cell>
          <cell r="H57">
            <v>0.45</v>
          </cell>
          <cell r="I57">
            <v>50</v>
          </cell>
          <cell r="J57">
            <v>4206</v>
          </cell>
          <cell r="K57">
            <v>-114</v>
          </cell>
          <cell r="L57">
            <v>500</v>
          </cell>
          <cell r="M57">
            <v>800</v>
          </cell>
          <cell r="N57">
            <v>1000</v>
          </cell>
          <cell r="T57">
            <v>680</v>
          </cell>
          <cell r="U57">
            <v>600</v>
          </cell>
          <cell r="V57">
            <v>800</v>
          </cell>
          <cell r="W57">
            <v>744.4</v>
          </cell>
          <cell r="X57">
            <v>900</v>
          </cell>
          <cell r="Y57">
            <v>7.798226759806556</v>
          </cell>
          <cell r="Z57">
            <v>1.6187533584094573</v>
          </cell>
          <cell r="AD57">
            <v>370</v>
          </cell>
          <cell r="AE57">
            <v>716.8</v>
          </cell>
          <cell r="AF57">
            <v>740.4</v>
          </cell>
          <cell r="AG57">
            <v>725.4</v>
          </cell>
          <cell r="AH57">
            <v>979</v>
          </cell>
          <cell r="AI57" t="str">
            <v>оконч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656</v>
          </cell>
          <cell r="D58">
            <v>1178</v>
          </cell>
          <cell r="E58">
            <v>1326</v>
          </cell>
          <cell r="F58">
            <v>473</v>
          </cell>
          <cell r="G58">
            <v>0</v>
          </cell>
          <cell r="H58">
            <v>0.45</v>
          </cell>
          <cell r="I58">
            <v>50</v>
          </cell>
          <cell r="J58">
            <v>1450</v>
          </cell>
          <cell r="K58">
            <v>-124</v>
          </cell>
          <cell r="L58">
            <v>200</v>
          </cell>
          <cell r="M58">
            <v>300</v>
          </cell>
          <cell r="N58">
            <v>300</v>
          </cell>
          <cell r="U58">
            <v>200</v>
          </cell>
          <cell r="V58">
            <v>400</v>
          </cell>
          <cell r="W58">
            <v>265.2</v>
          </cell>
          <cell r="X58">
            <v>200</v>
          </cell>
          <cell r="Y58">
            <v>7.8167420814479645</v>
          </cell>
          <cell r="Z58">
            <v>1.7835595776772248</v>
          </cell>
          <cell r="AD58">
            <v>0</v>
          </cell>
          <cell r="AE58">
            <v>196.8</v>
          </cell>
          <cell r="AF58">
            <v>222</v>
          </cell>
          <cell r="AG58">
            <v>262.39999999999998</v>
          </cell>
          <cell r="AH58">
            <v>342</v>
          </cell>
          <cell r="AI58" t="str">
            <v>апряб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276</v>
          </cell>
          <cell r="D59">
            <v>1497</v>
          </cell>
          <cell r="E59">
            <v>396</v>
          </cell>
          <cell r="F59">
            <v>220</v>
          </cell>
          <cell r="G59">
            <v>0</v>
          </cell>
          <cell r="H59">
            <v>0.4</v>
          </cell>
          <cell r="I59">
            <v>40</v>
          </cell>
          <cell r="J59">
            <v>424</v>
          </cell>
          <cell r="K59">
            <v>-28</v>
          </cell>
          <cell r="L59">
            <v>0</v>
          </cell>
          <cell r="M59">
            <v>30</v>
          </cell>
          <cell r="N59">
            <v>110</v>
          </cell>
          <cell r="U59">
            <v>50</v>
          </cell>
          <cell r="V59">
            <v>100</v>
          </cell>
          <cell r="W59">
            <v>79.2</v>
          </cell>
          <cell r="X59">
            <v>90</v>
          </cell>
          <cell r="Y59">
            <v>7.5757575757575752</v>
          </cell>
          <cell r="Z59">
            <v>2.7777777777777777</v>
          </cell>
          <cell r="AD59">
            <v>0</v>
          </cell>
          <cell r="AE59">
            <v>73.2</v>
          </cell>
          <cell r="AF59">
            <v>98.6</v>
          </cell>
          <cell r="AG59">
            <v>75.8</v>
          </cell>
          <cell r="AH59">
            <v>74</v>
          </cell>
          <cell r="AI59" t="e">
            <v>#N/A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216</v>
          </cell>
          <cell r="D60">
            <v>1345</v>
          </cell>
          <cell r="E60">
            <v>334</v>
          </cell>
          <cell r="F60">
            <v>258</v>
          </cell>
          <cell r="G60">
            <v>0</v>
          </cell>
          <cell r="H60">
            <v>0.4</v>
          </cell>
          <cell r="I60">
            <v>40</v>
          </cell>
          <cell r="J60">
            <v>392</v>
          </cell>
          <cell r="K60">
            <v>-58</v>
          </cell>
          <cell r="L60">
            <v>0</v>
          </cell>
          <cell r="M60">
            <v>30</v>
          </cell>
          <cell r="N60">
            <v>100</v>
          </cell>
          <cell r="V60">
            <v>50</v>
          </cell>
          <cell r="W60">
            <v>66.8</v>
          </cell>
          <cell r="X60">
            <v>70</v>
          </cell>
          <cell r="Y60">
            <v>7.6047904191616773</v>
          </cell>
          <cell r="Z60">
            <v>3.8622754491017965</v>
          </cell>
          <cell r="AD60">
            <v>0</v>
          </cell>
          <cell r="AE60">
            <v>65.400000000000006</v>
          </cell>
          <cell r="AF60">
            <v>81</v>
          </cell>
          <cell r="AG60">
            <v>67.599999999999994</v>
          </cell>
          <cell r="AH60">
            <v>82</v>
          </cell>
          <cell r="AI60" t="e">
            <v>#N/A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254.77799999999999</v>
          </cell>
          <cell r="D61">
            <v>1763.6679999999999</v>
          </cell>
          <cell r="E61">
            <v>935</v>
          </cell>
          <cell r="F61">
            <v>590.87800000000004</v>
          </cell>
          <cell r="G61" t="str">
            <v>оконч</v>
          </cell>
          <cell r="H61">
            <v>1</v>
          </cell>
          <cell r="I61">
            <v>50</v>
          </cell>
          <cell r="J61">
            <v>1226.489</v>
          </cell>
          <cell r="K61">
            <v>-291.48900000000003</v>
          </cell>
          <cell r="L61">
            <v>100</v>
          </cell>
          <cell r="M61">
            <v>200</v>
          </cell>
          <cell r="N61">
            <v>320</v>
          </cell>
          <cell r="V61">
            <v>100</v>
          </cell>
          <cell r="W61">
            <v>187</v>
          </cell>
          <cell r="X61">
            <v>200</v>
          </cell>
          <cell r="Y61">
            <v>8.0795614973262033</v>
          </cell>
          <cell r="Z61">
            <v>3.1597754010695192</v>
          </cell>
          <cell r="AD61">
            <v>0</v>
          </cell>
          <cell r="AE61">
            <v>148.19999999999999</v>
          </cell>
          <cell r="AF61">
            <v>167.56</v>
          </cell>
          <cell r="AG61">
            <v>222.09399999999999</v>
          </cell>
          <cell r="AH61">
            <v>309.05399999999997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1313</v>
          </cell>
          <cell r="D62">
            <v>739</v>
          </cell>
          <cell r="E62">
            <v>304</v>
          </cell>
          <cell r="F62">
            <v>1012</v>
          </cell>
          <cell r="G62">
            <v>0</v>
          </cell>
          <cell r="H62">
            <v>0.1</v>
          </cell>
          <cell r="I62">
            <v>730</v>
          </cell>
          <cell r="J62">
            <v>320</v>
          </cell>
          <cell r="K62">
            <v>-16</v>
          </cell>
          <cell r="L62">
            <v>0</v>
          </cell>
          <cell r="M62">
            <v>0</v>
          </cell>
          <cell r="N62">
            <v>0</v>
          </cell>
          <cell r="W62">
            <v>60.8</v>
          </cell>
          <cell r="Y62">
            <v>16.644736842105264</v>
          </cell>
          <cell r="Z62">
            <v>16.644736842105264</v>
          </cell>
          <cell r="AD62">
            <v>0</v>
          </cell>
          <cell r="AE62">
            <v>46.8</v>
          </cell>
          <cell r="AF62">
            <v>88.6</v>
          </cell>
          <cell r="AG62">
            <v>69.8</v>
          </cell>
          <cell r="AH62">
            <v>55</v>
          </cell>
          <cell r="AI62" t="e">
            <v>#N/A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256.14800000000002</v>
          </cell>
          <cell r="D63">
            <v>93.156999999999996</v>
          </cell>
          <cell r="E63">
            <v>243.054</v>
          </cell>
          <cell r="F63">
            <v>76.933000000000007</v>
          </cell>
          <cell r="G63">
            <v>0</v>
          </cell>
          <cell r="H63">
            <v>1</v>
          </cell>
          <cell r="I63">
            <v>50</v>
          </cell>
          <cell r="J63">
            <v>302.10599999999999</v>
          </cell>
          <cell r="K63">
            <v>-59.051999999999992</v>
          </cell>
          <cell r="L63">
            <v>0</v>
          </cell>
          <cell r="M63">
            <v>100</v>
          </cell>
          <cell r="N63">
            <v>60</v>
          </cell>
          <cell r="V63">
            <v>80</v>
          </cell>
          <cell r="W63">
            <v>48.610799999999998</v>
          </cell>
          <cell r="X63">
            <v>50</v>
          </cell>
          <cell r="Y63">
            <v>7.548384309659582</v>
          </cell>
          <cell r="Z63">
            <v>1.5826318431295106</v>
          </cell>
          <cell r="AD63">
            <v>0</v>
          </cell>
          <cell r="AE63">
            <v>39.630200000000002</v>
          </cell>
          <cell r="AF63">
            <v>38.0794</v>
          </cell>
          <cell r="AG63">
            <v>50.447600000000001</v>
          </cell>
          <cell r="AH63">
            <v>44.055999999999997</v>
          </cell>
          <cell r="AI63" t="str">
            <v>склад</v>
          </cell>
        </row>
        <row r="64">
          <cell r="A64" t="str">
            <v xml:space="preserve"> 336  Ветчина Сливушка с индейкой ТМ Вязанка. ВЕС  ПОКОМ</v>
          </cell>
          <cell r="B64" t="str">
            <v>кг</v>
          </cell>
          <cell r="C64">
            <v>20.038</v>
          </cell>
          <cell r="D64">
            <v>4.1280000000000001</v>
          </cell>
          <cell r="E64">
            <v>0</v>
          </cell>
          <cell r="G64" t="str">
            <v>выв0502</v>
          </cell>
          <cell r="H64">
            <v>0</v>
          </cell>
          <cell r="I64" t="e">
            <v>#N/A</v>
          </cell>
          <cell r="J64">
            <v>6.5510000000000002</v>
          </cell>
          <cell r="K64">
            <v>-6.5510000000000002</v>
          </cell>
          <cell r="L64">
            <v>0</v>
          </cell>
          <cell r="M64">
            <v>0</v>
          </cell>
          <cell r="N64">
            <v>0</v>
          </cell>
          <cell r="W64">
            <v>0</v>
          </cell>
          <cell r="Y64" t="e">
            <v>#DIV/0!</v>
          </cell>
          <cell r="Z64" t="e">
            <v>#DIV/0!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увел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1335</v>
          </cell>
          <cell r="D65">
            <v>3096</v>
          </cell>
          <cell r="E65">
            <v>3608</v>
          </cell>
          <cell r="F65">
            <v>728</v>
          </cell>
          <cell r="G65">
            <v>0</v>
          </cell>
          <cell r="H65">
            <v>0.4</v>
          </cell>
          <cell r="I65">
            <v>40</v>
          </cell>
          <cell r="J65">
            <v>3728</v>
          </cell>
          <cell r="K65">
            <v>-120</v>
          </cell>
          <cell r="L65">
            <v>300</v>
          </cell>
          <cell r="M65">
            <v>600</v>
          </cell>
          <cell r="N65">
            <v>800</v>
          </cell>
          <cell r="T65">
            <v>1092</v>
          </cell>
          <cell r="U65">
            <v>300</v>
          </cell>
          <cell r="V65">
            <v>1000</v>
          </cell>
          <cell r="W65">
            <v>580</v>
          </cell>
          <cell r="X65">
            <v>700</v>
          </cell>
          <cell r="Y65">
            <v>7.63448275862069</v>
          </cell>
          <cell r="Z65">
            <v>1.2551724137931035</v>
          </cell>
          <cell r="AD65">
            <v>708</v>
          </cell>
          <cell r="AE65">
            <v>441.6</v>
          </cell>
          <cell r="AF65">
            <v>505.6</v>
          </cell>
          <cell r="AG65">
            <v>537.6</v>
          </cell>
          <cell r="AH65">
            <v>781</v>
          </cell>
          <cell r="AI65">
            <v>0</v>
          </cell>
        </row>
        <row r="66">
          <cell r="A66" t="str">
            <v xml:space="preserve"> 343 Сосиски Сочинки Сливочные ТМ Стародворье  0,4 кг</v>
          </cell>
          <cell r="B66" t="str">
            <v>шт</v>
          </cell>
          <cell r="C66">
            <v>286</v>
          </cell>
          <cell r="D66">
            <v>8358</v>
          </cell>
          <cell r="E66">
            <v>1721</v>
          </cell>
          <cell r="F66">
            <v>-1</v>
          </cell>
          <cell r="G66">
            <v>0</v>
          </cell>
          <cell r="H66">
            <v>0.4</v>
          </cell>
          <cell r="I66">
            <v>40</v>
          </cell>
          <cell r="J66">
            <v>3033</v>
          </cell>
          <cell r="K66">
            <v>-1312</v>
          </cell>
          <cell r="L66">
            <v>300</v>
          </cell>
          <cell r="M66">
            <v>700</v>
          </cell>
          <cell r="N66">
            <v>600</v>
          </cell>
          <cell r="U66">
            <v>200</v>
          </cell>
          <cell r="V66">
            <v>400</v>
          </cell>
          <cell r="W66">
            <v>344.2</v>
          </cell>
          <cell r="X66">
            <v>600</v>
          </cell>
          <cell r="Y66">
            <v>8.131900058105753</v>
          </cell>
          <cell r="Z66">
            <v>-2.905287623474724E-3</v>
          </cell>
          <cell r="AD66">
            <v>0</v>
          </cell>
          <cell r="AE66">
            <v>380.2</v>
          </cell>
          <cell r="AF66">
            <v>428</v>
          </cell>
          <cell r="AG66">
            <v>264.8</v>
          </cell>
          <cell r="AH66">
            <v>466</v>
          </cell>
          <cell r="AI66">
            <v>0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356.96899999999999</v>
          </cell>
          <cell r="D67">
            <v>430.23399999999998</v>
          </cell>
          <cell r="E67">
            <v>652.33299999999997</v>
          </cell>
          <cell r="F67">
            <v>106.871</v>
          </cell>
          <cell r="G67" t="str">
            <v>ябл</v>
          </cell>
          <cell r="H67">
            <v>1</v>
          </cell>
          <cell r="I67">
            <v>40</v>
          </cell>
          <cell r="J67">
            <v>678.09400000000005</v>
          </cell>
          <cell r="K67">
            <v>-25.761000000000081</v>
          </cell>
          <cell r="L67">
            <v>50</v>
          </cell>
          <cell r="M67">
            <v>120</v>
          </cell>
          <cell r="N67">
            <v>160</v>
          </cell>
          <cell r="U67">
            <v>150</v>
          </cell>
          <cell r="V67">
            <v>250</v>
          </cell>
          <cell r="W67">
            <v>130.4666</v>
          </cell>
          <cell r="X67">
            <v>150</v>
          </cell>
          <cell r="Y67">
            <v>7.5641658478108571</v>
          </cell>
          <cell r="Z67">
            <v>0.81914451668089761</v>
          </cell>
          <cell r="AD67">
            <v>0</v>
          </cell>
          <cell r="AE67">
            <v>92.891800000000003</v>
          </cell>
          <cell r="AF67">
            <v>116.42319999999999</v>
          </cell>
          <cell r="AG67">
            <v>109.62260000000001</v>
          </cell>
          <cell r="AH67">
            <v>161.923</v>
          </cell>
          <cell r="AI67" t="e">
            <v>#N/A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259.13</v>
          </cell>
          <cell r="D68">
            <v>151.45699999999999</v>
          </cell>
          <cell r="E68">
            <v>313.63</v>
          </cell>
          <cell r="F68">
            <v>92.893000000000001</v>
          </cell>
          <cell r="G68">
            <v>0</v>
          </cell>
          <cell r="H68">
            <v>1</v>
          </cell>
          <cell r="I68">
            <v>40</v>
          </cell>
          <cell r="J68">
            <v>321.97500000000002</v>
          </cell>
          <cell r="K68">
            <v>-8.3450000000000273</v>
          </cell>
          <cell r="L68">
            <v>50</v>
          </cell>
          <cell r="M68">
            <v>60</v>
          </cell>
          <cell r="N68">
            <v>80</v>
          </cell>
          <cell r="U68">
            <v>60</v>
          </cell>
          <cell r="V68">
            <v>60</v>
          </cell>
          <cell r="W68">
            <v>62.725999999999999</v>
          </cell>
          <cell r="X68">
            <v>80</v>
          </cell>
          <cell r="Y68">
            <v>7.6984504033415178</v>
          </cell>
          <cell r="Z68">
            <v>1.4809329464655805</v>
          </cell>
          <cell r="AD68">
            <v>0</v>
          </cell>
          <cell r="AE68">
            <v>55.431200000000004</v>
          </cell>
          <cell r="AF68">
            <v>61.742999999999995</v>
          </cell>
          <cell r="AG68">
            <v>59.354200000000006</v>
          </cell>
          <cell r="AH68">
            <v>67.481999999999999</v>
          </cell>
          <cell r="AI68" t="e">
            <v>#N/A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384.00900000000001</v>
          </cell>
          <cell r="D69">
            <v>591.13599999999997</v>
          </cell>
          <cell r="E69">
            <v>812.53899999999999</v>
          </cell>
          <cell r="F69">
            <v>142.303</v>
          </cell>
          <cell r="G69" t="str">
            <v>ябл</v>
          </cell>
          <cell r="H69">
            <v>1</v>
          </cell>
          <cell r="I69">
            <v>40</v>
          </cell>
          <cell r="J69">
            <v>830.82899999999995</v>
          </cell>
          <cell r="K69">
            <v>-18.289999999999964</v>
          </cell>
          <cell r="L69">
            <v>70</v>
          </cell>
          <cell r="M69">
            <v>60</v>
          </cell>
          <cell r="N69">
            <v>190</v>
          </cell>
          <cell r="U69">
            <v>250</v>
          </cell>
          <cell r="V69">
            <v>300</v>
          </cell>
          <cell r="W69">
            <v>162.5078</v>
          </cell>
          <cell r="X69">
            <v>220</v>
          </cell>
          <cell r="Y69">
            <v>7.5830390910467056</v>
          </cell>
          <cell r="Z69">
            <v>0.87566873713138693</v>
          </cell>
          <cell r="AD69">
            <v>0</v>
          </cell>
          <cell r="AE69">
            <v>109.35740000000001</v>
          </cell>
          <cell r="AF69">
            <v>145.36600000000001</v>
          </cell>
          <cell r="AG69">
            <v>127.4718</v>
          </cell>
          <cell r="AH69">
            <v>208.60900000000001</v>
          </cell>
          <cell r="AI69" t="e">
            <v>#N/A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341.83300000000003</v>
          </cell>
          <cell r="D70">
            <v>206.92599999999999</v>
          </cell>
          <cell r="E70">
            <v>452.64299999999997</v>
          </cell>
          <cell r="F70">
            <v>81.402000000000001</v>
          </cell>
          <cell r="G70">
            <v>0</v>
          </cell>
          <cell r="H70">
            <v>1</v>
          </cell>
          <cell r="I70">
            <v>40</v>
          </cell>
          <cell r="J70">
            <v>464.91199999999998</v>
          </cell>
          <cell r="K70">
            <v>-12.269000000000005</v>
          </cell>
          <cell r="L70">
            <v>50</v>
          </cell>
          <cell r="M70">
            <v>80</v>
          </cell>
          <cell r="N70">
            <v>100</v>
          </cell>
          <cell r="U70">
            <v>120</v>
          </cell>
          <cell r="V70">
            <v>150</v>
          </cell>
          <cell r="W70">
            <v>90.528599999999997</v>
          </cell>
          <cell r="X70">
            <v>110</v>
          </cell>
          <cell r="Y70">
            <v>7.6373875217334639</v>
          </cell>
          <cell r="Z70">
            <v>0.89918545078571854</v>
          </cell>
          <cell r="AD70">
            <v>0</v>
          </cell>
          <cell r="AE70">
            <v>83.256799999999998</v>
          </cell>
          <cell r="AF70">
            <v>83.473399999999998</v>
          </cell>
          <cell r="AG70">
            <v>76.770399999999995</v>
          </cell>
          <cell r="AH70">
            <v>106.477</v>
          </cell>
          <cell r="AI70" t="e">
            <v>#N/A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B71" t="str">
            <v>шт</v>
          </cell>
          <cell r="C71">
            <v>30</v>
          </cell>
          <cell r="D71">
            <v>138</v>
          </cell>
          <cell r="E71">
            <v>100</v>
          </cell>
          <cell r="F71">
            <v>29</v>
          </cell>
          <cell r="G71" t="str">
            <v>дк</v>
          </cell>
          <cell r="H71">
            <v>0.6</v>
          </cell>
          <cell r="I71">
            <v>60</v>
          </cell>
          <cell r="J71">
            <v>147</v>
          </cell>
          <cell r="K71">
            <v>-47</v>
          </cell>
          <cell r="L71">
            <v>0</v>
          </cell>
          <cell r="M71">
            <v>40</v>
          </cell>
          <cell r="N71">
            <v>30</v>
          </cell>
          <cell r="V71">
            <v>30</v>
          </cell>
          <cell r="W71">
            <v>20</v>
          </cell>
          <cell r="X71">
            <v>30</v>
          </cell>
          <cell r="Y71">
            <v>7.95</v>
          </cell>
          <cell r="Z71">
            <v>1.45</v>
          </cell>
          <cell r="AD71">
            <v>0</v>
          </cell>
          <cell r="AE71">
            <v>19.399999999999999</v>
          </cell>
          <cell r="AF71">
            <v>6.6</v>
          </cell>
          <cell r="AG71">
            <v>17.8</v>
          </cell>
          <cell r="AH71">
            <v>19</v>
          </cell>
          <cell r="AI71" t="str">
            <v>склад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B72" t="str">
            <v>шт</v>
          </cell>
          <cell r="C72">
            <v>50</v>
          </cell>
          <cell r="D72">
            <v>408</v>
          </cell>
          <cell r="E72">
            <v>319</v>
          </cell>
          <cell r="F72">
            <v>83</v>
          </cell>
          <cell r="G72" t="str">
            <v>ябл</v>
          </cell>
          <cell r="H72">
            <v>0.6</v>
          </cell>
          <cell r="I72">
            <v>60</v>
          </cell>
          <cell r="J72">
            <v>343</v>
          </cell>
          <cell r="K72">
            <v>-24</v>
          </cell>
          <cell r="L72">
            <v>0</v>
          </cell>
          <cell r="M72">
            <v>130</v>
          </cell>
          <cell r="N72">
            <v>90</v>
          </cell>
          <cell r="V72">
            <v>100</v>
          </cell>
          <cell r="W72">
            <v>63.8</v>
          </cell>
          <cell r="X72">
            <v>90</v>
          </cell>
          <cell r="Y72">
            <v>7.7272727272727275</v>
          </cell>
          <cell r="Z72">
            <v>1.3009404388714734</v>
          </cell>
          <cell r="AD72">
            <v>0</v>
          </cell>
          <cell r="AE72">
            <v>44.4</v>
          </cell>
          <cell r="AF72">
            <v>52.4</v>
          </cell>
          <cell r="AG72">
            <v>58.4</v>
          </cell>
          <cell r="AH72">
            <v>76</v>
          </cell>
          <cell r="AI72">
            <v>0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B73" t="str">
            <v>шт</v>
          </cell>
          <cell r="C73">
            <v>341</v>
          </cell>
          <cell r="D73">
            <v>466</v>
          </cell>
          <cell r="E73">
            <v>534</v>
          </cell>
          <cell r="F73">
            <v>244</v>
          </cell>
          <cell r="G73" t="str">
            <v>ябл</v>
          </cell>
          <cell r="H73">
            <v>0.6</v>
          </cell>
          <cell r="I73">
            <v>60</v>
          </cell>
          <cell r="J73">
            <v>620</v>
          </cell>
          <cell r="K73">
            <v>-86</v>
          </cell>
          <cell r="L73">
            <v>50</v>
          </cell>
          <cell r="M73">
            <v>230</v>
          </cell>
          <cell r="N73">
            <v>190</v>
          </cell>
          <cell r="W73">
            <v>106.8</v>
          </cell>
          <cell r="X73">
            <v>100</v>
          </cell>
          <cell r="Y73">
            <v>7.6217228464419478</v>
          </cell>
          <cell r="Z73">
            <v>2.2846441947565546</v>
          </cell>
          <cell r="AD73">
            <v>0</v>
          </cell>
          <cell r="AE73">
            <v>99.8</v>
          </cell>
          <cell r="AF73">
            <v>115</v>
          </cell>
          <cell r="AG73">
            <v>128</v>
          </cell>
          <cell r="AH73">
            <v>77</v>
          </cell>
          <cell r="AI73" t="str">
            <v>продапр</v>
          </cell>
        </row>
        <row r="74">
          <cell r="A74" t="str">
            <v xml:space="preserve"> 364  Сардельки Филейские Вязанка ВЕС NDX ТМ Вязанка  ПОКОМ</v>
          </cell>
          <cell r="B74" t="str">
            <v>кг</v>
          </cell>
          <cell r="C74">
            <v>48.447000000000003</v>
          </cell>
          <cell r="D74">
            <v>279.04700000000003</v>
          </cell>
          <cell r="E74">
            <v>116.18300000000001</v>
          </cell>
          <cell r="F74">
            <v>211.31100000000001</v>
          </cell>
          <cell r="G74">
            <v>0</v>
          </cell>
          <cell r="H74">
            <v>1</v>
          </cell>
          <cell r="I74">
            <v>30</v>
          </cell>
          <cell r="J74">
            <v>115.506</v>
          </cell>
          <cell r="K74">
            <v>0.67700000000000671</v>
          </cell>
          <cell r="L74">
            <v>0</v>
          </cell>
          <cell r="M74">
            <v>0</v>
          </cell>
          <cell r="N74">
            <v>20</v>
          </cell>
          <cell r="W74">
            <v>23.236600000000003</v>
          </cell>
          <cell r="X74">
            <v>20</v>
          </cell>
          <cell r="Y74">
            <v>10.815308607971906</v>
          </cell>
          <cell r="Z74">
            <v>9.0938863689179996</v>
          </cell>
          <cell r="AD74">
            <v>0</v>
          </cell>
          <cell r="AE74">
            <v>24.509399999999999</v>
          </cell>
          <cell r="AF74">
            <v>28.659199999999998</v>
          </cell>
          <cell r="AG74">
            <v>31.5534</v>
          </cell>
          <cell r="AH74">
            <v>23.134</v>
          </cell>
          <cell r="AI74" t="str">
            <v>склад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 t="str">
            <v>шт</v>
          </cell>
          <cell r="C75">
            <v>253</v>
          </cell>
          <cell r="D75">
            <v>3224</v>
          </cell>
          <cell r="E75">
            <v>776</v>
          </cell>
          <cell r="F75">
            <v>268</v>
          </cell>
          <cell r="G75" t="str">
            <v>ябл,дк</v>
          </cell>
          <cell r="H75">
            <v>0.6</v>
          </cell>
          <cell r="I75">
            <v>60</v>
          </cell>
          <cell r="J75">
            <v>808</v>
          </cell>
          <cell r="K75">
            <v>-32</v>
          </cell>
          <cell r="L75">
            <v>50</v>
          </cell>
          <cell r="M75">
            <v>130</v>
          </cell>
          <cell r="N75">
            <v>200</v>
          </cell>
          <cell r="U75">
            <v>100</v>
          </cell>
          <cell r="V75">
            <v>250</v>
          </cell>
          <cell r="W75">
            <v>155.19999999999999</v>
          </cell>
          <cell r="X75">
            <v>180</v>
          </cell>
          <cell r="Y75">
            <v>7.5902061855670109</v>
          </cell>
          <cell r="Z75">
            <v>1.7268041237113403</v>
          </cell>
          <cell r="AD75">
            <v>0</v>
          </cell>
          <cell r="AE75">
            <v>103.4</v>
          </cell>
          <cell r="AF75">
            <v>123.8</v>
          </cell>
          <cell r="AG75">
            <v>146.80000000000001</v>
          </cell>
          <cell r="AH75">
            <v>234</v>
          </cell>
          <cell r="AI75" t="str">
            <v>апряб</v>
          </cell>
        </row>
        <row r="76">
          <cell r="A76" t="str">
            <v xml:space="preserve"> 377  Колбаса Молочная Дугушка 0,6кг ТМ Стародворье  ПОКОМ</v>
          </cell>
          <cell r="B76" t="str">
            <v>шт</v>
          </cell>
          <cell r="C76">
            <v>450</v>
          </cell>
          <cell r="D76">
            <v>4221</v>
          </cell>
          <cell r="E76">
            <v>1018</v>
          </cell>
          <cell r="F76">
            <v>357</v>
          </cell>
          <cell r="G76" t="str">
            <v>ябл,дк</v>
          </cell>
          <cell r="H76">
            <v>0.6</v>
          </cell>
          <cell r="I76">
            <v>60</v>
          </cell>
          <cell r="J76">
            <v>1071</v>
          </cell>
          <cell r="K76">
            <v>-53</v>
          </cell>
          <cell r="L76">
            <v>60</v>
          </cell>
          <cell r="M76">
            <v>260</v>
          </cell>
          <cell r="N76">
            <v>290</v>
          </cell>
          <cell r="U76">
            <v>100</v>
          </cell>
          <cell r="V76">
            <v>250</v>
          </cell>
          <cell r="W76">
            <v>203.6</v>
          </cell>
          <cell r="X76">
            <v>220</v>
          </cell>
          <cell r="Y76">
            <v>7.5491159135559922</v>
          </cell>
          <cell r="Z76">
            <v>1.7534381139489195</v>
          </cell>
          <cell r="AD76">
            <v>0</v>
          </cell>
          <cell r="AE76">
            <v>159.6</v>
          </cell>
          <cell r="AF76">
            <v>176.4</v>
          </cell>
          <cell r="AG76">
            <v>202.2</v>
          </cell>
          <cell r="AH76">
            <v>246</v>
          </cell>
          <cell r="AI76" t="str">
            <v>апряб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 t="str">
            <v>шт</v>
          </cell>
          <cell r="C77">
            <v>402</v>
          </cell>
          <cell r="D77">
            <v>618</v>
          </cell>
          <cell r="E77">
            <v>737</v>
          </cell>
          <cell r="F77">
            <v>266</v>
          </cell>
          <cell r="G77">
            <v>0</v>
          </cell>
          <cell r="H77">
            <v>0.4</v>
          </cell>
          <cell r="I77" t="e">
            <v>#N/A</v>
          </cell>
          <cell r="J77">
            <v>776</v>
          </cell>
          <cell r="K77">
            <v>-39</v>
          </cell>
          <cell r="L77">
            <v>150</v>
          </cell>
          <cell r="M77">
            <v>200</v>
          </cell>
          <cell r="N77">
            <v>210</v>
          </cell>
          <cell r="V77">
            <v>130</v>
          </cell>
          <cell r="W77">
            <v>147.4</v>
          </cell>
          <cell r="X77">
            <v>150</v>
          </cell>
          <cell r="Y77">
            <v>7.5033921302578017</v>
          </cell>
          <cell r="Z77">
            <v>1.8046132971506106</v>
          </cell>
          <cell r="AD77">
            <v>0</v>
          </cell>
          <cell r="AE77">
            <v>132</v>
          </cell>
          <cell r="AF77">
            <v>135</v>
          </cell>
          <cell r="AG77">
            <v>154</v>
          </cell>
          <cell r="AH77">
            <v>167</v>
          </cell>
          <cell r="AI77">
            <v>0</v>
          </cell>
        </row>
        <row r="78">
          <cell r="A78" t="str">
            <v xml:space="preserve"> 388  Сосиски Восточные Халяль ТМ Вязанка 0,33 кг АК. ПОКОМ</v>
          </cell>
          <cell r="B78" t="str">
            <v>шт</v>
          </cell>
          <cell r="C78">
            <v>351</v>
          </cell>
          <cell r="D78">
            <v>1251</v>
          </cell>
          <cell r="E78">
            <v>686</v>
          </cell>
          <cell r="F78">
            <v>389</v>
          </cell>
          <cell r="G78">
            <v>0</v>
          </cell>
          <cell r="H78">
            <v>0.33</v>
          </cell>
          <cell r="I78">
            <v>60</v>
          </cell>
          <cell r="J78">
            <v>734</v>
          </cell>
          <cell r="K78">
            <v>-48</v>
          </cell>
          <cell r="L78">
            <v>120</v>
          </cell>
          <cell r="M78">
            <v>200</v>
          </cell>
          <cell r="N78">
            <v>220</v>
          </cell>
          <cell r="W78">
            <v>137.19999999999999</v>
          </cell>
          <cell r="X78">
            <v>100</v>
          </cell>
          <cell r="Y78">
            <v>7.5000000000000009</v>
          </cell>
          <cell r="Z78">
            <v>2.8352769679300294</v>
          </cell>
          <cell r="AD78">
            <v>0</v>
          </cell>
          <cell r="AE78">
            <v>156</v>
          </cell>
          <cell r="AF78">
            <v>138.80000000000001</v>
          </cell>
          <cell r="AG78">
            <v>158.19999999999999</v>
          </cell>
          <cell r="AH78">
            <v>151</v>
          </cell>
          <cell r="AI78">
            <v>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 t="str">
            <v>шт</v>
          </cell>
          <cell r="C79">
            <v>294</v>
          </cell>
          <cell r="D79">
            <v>1168</v>
          </cell>
          <cell r="E79">
            <v>513</v>
          </cell>
          <cell r="F79">
            <v>172</v>
          </cell>
          <cell r="G79">
            <v>0</v>
          </cell>
          <cell r="H79">
            <v>0.35</v>
          </cell>
          <cell r="I79" t="e">
            <v>#N/A</v>
          </cell>
          <cell r="J79">
            <v>575</v>
          </cell>
          <cell r="K79">
            <v>-62</v>
          </cell>
          <cell r="L79">
            <v>120</v>
          </cell>
          <cell r="M79">
            <v>170</v>
          </cell>
          <cell r="N79">
            <v>160</v>
          </cell>
          <cell r="V79">
            <v>50</v>
          </cell>
          <cell r="W79">
            <v>102.6</v>
          </cell>
          <cell r="X79">
            <v>100</v>
          </cell>
          <cell r="Y79">
            <v>7.5243664717348935</v>
          </cell>
          <cell r="Z79">
            <v>1.6764132553606239</v>
          </cell>
          <cell r="AD79">
            <v>0</v>
          </cell>
          <cell r="AE79">
            <v>92.4</v>
          </cell>
          <cell r="AF79">
            <v>95.2</v>
          </cell>
          <cell r="AG79">
            <v>110.6</v>
          </cell>
          <cell r="AH79">
            <v>92</v>
          </cell>
          <cell r="AI79">
            <v>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 t="str">
            <v>шт</v>
          </cell>
          <cell r="C80">
            <v>228</v>
          </cell>
          <cell r="D80">
            <v>1333</v>
          </cell>
          <cell r="E80">
            <v>233</v>
          </cell>
          <cell r="F80">
            <v>256</v>
          </cell>
          <cell r="G80" t="str">
            <v>ябл</v>
          </cell>
          <cell r="H80">
            <v>0.33</v>
          </cell>
          <cell r="I80" t="e">
            <v>#N/A</v>
          </cell>
          <cell r="J80">
            <v>265</v>
          </cell>
          <cell r="K80">
            <v>-32</v>
          </cell>
          <cell r="L80">
            <v>0</v>
          </cell>
          <cell r="M80">
            <v>0</v>
          </cell>
          <cell r="N80">
            <v>70</v>
          </cell>
          <cell r="W80">
            <v>46.6</v>
          </cell>
          <cell r="X80">
            <v>30</v>
          </cell>
          <cell r="Y80">
            <v>7.6394849785407724</v>
          </cell>
          <cell r="Z80">
            <v>5.4935622317596566</v>
          </cell>
          <cell r="AD80">
            <v>0</v>
          </cell>
          <cell r="AE80">
            <v>74</v>
          </cell>
          <cell r="AF80">
            <v>75.400000000000006</v>
          </cell>
          <cell r="AG80">
            <v>50.4</v>
          </cell>
          <cell r="AH80">
            <v>37</v>
          </cell>
          <cell r="AI80" t="str">
            <v>оконч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974</v>
          </cell>
          <cell r="D81">
            <v>14130</v>
          </cell>
          <cell r="E81">
            <v>5776</v>
          </cell>
          <cell r="F81">
            <v>899</v>
          </cell>
          <cell r="G81">
            <v>0</v>
          </cell>
          <cell r="H81">
            <v>0.35</v>
          </cell>
          <cell r="I81">
            <v>40</v>
          </cell>
          <cell r="J81">
            <v>6860</v>
          </cell>
          <cell r="K81">
            <v>-1084</v>
          </cell>
          <cell r="L81">
            <v>600</v>
          </cell>
          <cell r="M81">
            <v>2000</v>
          </cell>
          <cell r="N81">
            <v>1500</v>
          </cell>
          <cell r="T81">
            <v>972</v>
          </cell>
          <cell r="V81">
            <v>700</v>
          </cell>
          <cell r="W81">
            <v>824</v>
          </cell>
          <cell r="X81">
            <v>1000</v>
          </cell>
          <cell r="Y81">
            <v>8.1298543689320386</v>
          </cell>
          <cell r="Z81">
            <v>1.0910194174757282</v>
          </cell>
          <cell r="AD81">
            <v>1656</v>
          </cell>
          <cell r="AE81">
            <v>517.4</v>
          </cell>
          <cell r="AF81">
            <v>510</v>
          </cell>
          <cell r="AG81">
            <v>1004</v>
          </cell>
          <cell r="AH81">
            <v>1384</v>
          </cell>
          <cell r="AI81" t="str">
            <v>апряб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C82">
            <v>6306</v>
          </cell>
          <cell r="D82">
            <v>14543</v>
          </cell>
          <cell r="E82">
            <v>6922</v>
          </cell>
          <cell r="F82">
            <v>2549</v>
          </cell>
          <cell r="G82" t="str">
            <v>бнмарт</v>
          </cell>
          <cell r="H82">
            <v>0.35</v>
          </cell>
          <cell r="I82">
            <v>45</v>
          </cell>
          <cell r="J82">
            <v>5533</v>
          </cell>
          <cell r="K82">
            <v>1389</v>
          </cell>
          <cell r="L82">
            <v>400</v>
          </cell>
          <cell r="M82">
            <v>1300</v>
          </cell>
          <cell r="N82">
            <v>1900</v>
          </cell>
          <cell r="T82">
            <v>2160</v>
          </cell>
          <cell r="U82">
            <v>1000</v>
          </cell>
          <cell r="V82">
            <v>1000</v>
          </cell>
          <cell r="W82">
            <v>1275.2</v>
          </cell>
          <cell r="X82">
            <v>1400</v>
          </cell>
          <cell r="Y82">
            <v>7.4882371392722709</v>
          </cell>
          <cell r="Z82">
            <v>1.9989021329987453</v>
          </cell>
          <cell r="AD82">
            <v>546</v>
          </cell>
          <cell r="AE82">
            <v>1832</v>
          </cell>
          <cell r="AF82">
            <v>1594.4</v>
          </cell>
          <cell r="AG82">
            <v>1267.8</v>
          </cell>
          <cell r="AH82">
            <v>1182</v>
          </cell>
          <cell r="AI82" t="str">
            <v>оконч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 t="str">
            <v>шт</v>
          </cell>
          <cell r="C83">
            <v>324</v>
          </cell>
          <cell r="D83">
            <v>220</v>
          </cell>
          <cell r="E83">
            <v>400</v>
          </cell>
          <cell r="F83">
            <v>134</v>
          </cell>
          <cell r="G83">
            <v>0</v>
          </cell>
          <cell r="H83">
            <v>0.4</v>
          </cell>
          <cell r="I83" t="e">
            <v>#N/A</v>
          </cell>
          <cell r="J83">
            <v>419</v>
          </cell>
          <cell r="K83">
            <v>-19</v>
          </cell>
          <cell r="L83">
            <v>50</v>
          </cell>
          <cell r="M83">
            <v>150</v>
          </cell>
          <cell r="N83">
            <v>120</v>
          </cell>
          <cell r="V83">
            <v>70</v>
          </cell>
          <cell r="W83">
            <v>80</v>
          </cell>
          <cell r="X83">
            <v>80</v>
          </cell>
          <cell r="Y83">
            <v>7.55</v>
          </cell>
          <cell r="Z83">
            <v>1.675</v>
          </cell>
          <cell r="AD83">
            <v>0</v>
          </cell>
          <cell r="AE83">
            <v>70.400000000000006</v>
          </cell>
          <cell r="AF83">
            <v>84.6</v>
          </cell>
          <cell r="AG83">
            <v>83.6</v>
          </cell>
          <cell r="AH83">
            <v>91</v>
          </cell>
          <cell r="AI83">
            <v>0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B84" t="str">
            <v>кг</v>
          </cell>
          <cell r="C84">
            <v>110.67100000000001</v>
          </cell>
          <cell r="D84">
            <v>191.34100000000001</v>
          </cell>
          <cell r="E84">
            <v>228.80799999999999</v>
          </cell>
          <cell r="F84">
            <v>60.265000000000001</v>
          </cell>
          <cell r="G84" t="str">
            <v>н</v>
          </cell>
          <cell r="H84">
            <v>1</v>
          </cell>
          <cell r="I84" t="e">
            <v>#N/A</v>
          </cell>
          <cell r="J84">
            <v>243.006</v>
          </cell>
          <cell r="K84">
            <v>-14.198000000000008</v>
          </cell>
          <cell r="L84">
            <v>0</v>
          </cell>
          <cell r="M84">
            <v>30</v>
          </cell>
          <cell r="N84">
            <v>30</v>
          </cell>
          <cell r="V84">
            <v>150</v>
          </cell>
          <cell r="W84">
            <v>45.761600000000001</v>
          </cell>
          <cell r="X84">
            <v>70</v>
          </cell>
          <cell r="Y84">
            <v>7.4356010279360856</v>
          </cell>
          <cell r="Z84">
            <v>1.3169338484668367</v>
          </cell>
          <cell r="AD84">
            <v>0</v>
          </cell>
          <cell r="AE84">
            <v>28.042399999999997</v>
          </cell>
          <cell r="AF84">
            <v>42.596800000000002</v>
          </cell>
          <cell r="AG84">
            <v>36.206599999999995</v>
          </cell>
          <cell r="AH84">
            <v>54.975000000000001</v>
          </cell>
          <cell r="AI84" t="str">
            <v>Паша50%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 t="str">
            <v>кг</v>
          </cell>
          <cell r="C85">
            <v>6.351</v>
          </cell>
          <cell r="D85">
            <v>17.059000000000001</v>
          </cell>
          <cell r="E85">
            <v>26.286999999999999</v>
          </cell>
          <cell r="F85">
            <v>-4.3499999999999996</v>
          </cell>
          <cell r="G85">
            <v>0</v>
          </cell>
          <cell r="H85">
            <v>1</v>
          </cell>
          <cell r="I85" t="e">
            <v>#N/A</v>
          </cell>
          <cell r="J85">
            <v>27.2</v>
          </cell>
          <cell r="K85">
            <v>-0.91300000000000026</v>
          </cell>
          <cell r="L85">
            <v>10</v>
          </cell>
          <cell r="M85">
            <v>0</v>
          </cell>
          <cell r="N85">
            <v>10</v>
          </cell>
          <cell r="V85">
            <v>20</v>
          </cell>
          <cell r="W85">
            <v>5.2573999999999996</v>
          </cell>
          <cell r="Y85">
            <v>6.780918324647164</v>
          </cell>
          <cell r="Z85">
            <v>-0.82740518126830753</v>
          </cell>
          <cell r="AD85">
            <v>0</v>
          </cell>
          <cell r="AE85">
            <v>1.7478000000000002</v>
          </cell>
          <cell r="AF85">
            <v>2.6052</v>
          </cell>
          <cell r="AG85">
            <v>2.5931999999999999</v>
          </cell>
          <cell r="AH85">
            <v>4.3499999999999996</v>
          </cell>
          <cell r="AI85" t="str">
            <v>увел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134</v>
          </cell>
          <cell r="D86">
            <v>1578</v>
          </cell>
          <cell r="E86">
            <v>248</v>
          </cell>
          <cell r="F86">
            <v>63</v>
          </cell>
          <cell r="G86">
            <v>0</v>
          </cell>
          <cell r="H86">
            <v>0.4</v>
          </cell>
          <cell r="I86" t="e">
            <v>#N/A</v>
          </cell>
          <cell r="J86">
            <v>270</v>
          </cell>
          <cell r="K86">
            <v>-22</v>
          </cell>
          <cell r="L86">
            <v>0</v>
          </cell>
          <cell r="M86">
            <v>80</v>
          </cell>
          <cell r="N86">
            <v>60</v>
          </cell>
          <cell r="V86">
            <v>120</v>
          </cell>
          <cell r="W86">
            <v>49.6</v>
          </cell>
          <cell r="X86">
            <v>50</v>
          </cell>
          <cell r="Y86">
            <v>7.5201612903225801</v>
          </cell>
          <cell r="Z86">
            <v>1.2701612903225805</v>
          </cell>
          <cell r="AD86">
            <v>0</v>
          </cell>
          <cell r="AE86">
            <v>40.4</v>
          </cell>
          <cell r="AF86">
            <v>49.4</v>
          </cell>
          <cell r="AG86">
            <v>43</v>
          </cell>
          <cell r="AH86">
            <v>52</v>
          </cell>
          <cell r="AI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44.337000000000003</v>
          </cell>
          <cell r="D87">
            <v>92.588999999999999</v>
          </cell>
          <cell r="E87">
            <v>121.73</v>
          </cell>
          <cell r="F87">
            <v>12.295999999999999</v>
          </cell>
          <cell r="G87">
            <v>0</v>
          </cell>
          <cell r="H87">
            <v>1</v>
          </cell>
          <cell r="I87" t="e">
            <v>#N/A</v>
          </cell>
          <cell r="J87">
            <v>121.10299999999999</v>
          </cell>
          <cell r="K87">
            <v>0.62700000000000955</v>
          </cell>
          <cell r="L87">
            <v>0</v>
          </cell>
          <cell r="M87">
            <v>0</v>
          </cell>
          <cell r="N87">
            <v>20</v>
          </cell>
          <cell r="V87">
            <v>120</v>
          </cell>
          <cell r="W87">
            <v>24.346</v>
          </cell>
          <cell r="X87">
            <v>30</v>
          </cell>
          <cell r="Y87">
            <v>7.4877187217612748</v>
          </cell>
          <cell r="Z87">
            <v>0.50505216462663272</v>
          </cell>
          <cell r="AD87">
            <v>0</v>
          </cell>
          <cell r="AE87">
            <v>13.8934</v>
          </cell>
          <cell r="AF87">
            <v>20.5228</v>
          </cell>
          <cell r="AG87">
            <v>15.894200000000001</v>
          </cell>
          <cell r="AH87">
            <v>20.297999999999998</v>
          </cell>
          <cell r="AI87" t="str">
            <v>Паша50%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B88" t="str">
            <v>шт</v>
          </cell>
          <cell r="C88">
            <v>50</v>
          </cell>
          <cell r="D88">
            <v>103</v>
          </cell>
          <cell r="E88">
            <v>40</v>
          </cell>
          <cell r="F88">
            <v>41</v>
          </cell>
          <cell r="G88">
            <v>0</v>
          </cell>
          <cell r="H88">
            <v>0.2</v>
          </cell>
          <cell r="I88" t="e">
            <v>#N/A</v>
          </cell>
          <cell r="J88">
            <v>60</v>
          </cell>
          <cell r="K88">
            <v>-20</v>
          </cell>
          <cell r="L88">
            <v>0</v>
          </cell>
          <cell r="M88">
            <v>30</v>
          </cell>
          <cell r="N88">
            <v>10</v>
          </cell>
          <cell r="W88">
            <v>8</v>
          </cell>
          <cell r="Y88">
            <v>10.125</v>
          </cell>
          <cell r="Z88">
            <v>5.125</v>
          </cell>
          <cell r="AD88">
            <v>0</v>
          </cell>
          <cell r="AE88">
            <v>4.5999999999999996</v>
          </cell>
          <cell r="AF88">
            <v>6</v>
          </cell>
          <cell r="AG88">
            <v>8.4</v>
          </cell>
          <cell r="AH88">
            <v>7</v>
          </cell>
          <cell r="AI88" t="str">
            <v>увел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B89" t="str">
            <v>шт</v>
          </cell>
          <cell r="C89">
            <v>11</v>
          </cell>
          <cell r="D89">
            <v>291</v>
          </cell>
          <cell r="E89">
            <v>97</v>
          </cell>
          <cell r="F89">
            <v>153</v>
          </cell>
          <cell r="G89">
            <v>0</v>
          </cell>
          <cell r="H89">
            <v>0.2</v>
          </cell>
          <cell r="I89" t="e">
            <v>#N/A</v>
          </cell>
          <cell r="J89">
            <v>268</v>
          </cell>
          <cell r="K89">
            <v>-171</v>
          </cell>
          <cell r="L89">
            <v>50</v>
          </cell>
          <cell r="M89">
            <v>50</v>
          </cell>
          <cell r="N89">
            <v>30</v>
          </cell>
          <cell r="V89">
            <v>50</v>
          </cell>
          <cell r="W89">
            <v>19.399999999999999</v>
          </cell>
          <cell r="X89">
            <v>70</v>
          </cell>
          <cell r="Y89">
            <v>20.773195876288661</v>
          </cell>
          <cell r="Z89">
            <v>7.8865979381443303</v>
          </cell>
          <cell r="AD89">
            <v>0</v>
          </cell>
          <cell r="AE89">
            <v>14</v>
          </cell>
          <cell r="AF89">
            <v>13</v>
          </cell>
          <cell r="AG89">
            <v>31.6</v>
          </cell>
          <cell r="AH89">
            <v>69</v>
          </cell>
          <cell r="AI89" t="str">
            <v>склад</v>
          </cell>
        </row>
        <row r="90">
          <cell r="A90" t="str">
            <v xml:space="preserve"> 448  Сосиски Сливушки по-венски ТМ Вязанка. 0,3 кг ПОКОМ</v>
          </cell>
          <cell r="B90" t="str">
            <v>шт</v>
          </cell>
          <cell r="C90">
            <v>217</v>
          </cell>
          <cell r="D90">
            <v>256</v>
          </cell>
          <cell r="E90">
            <v>341</v>
          </cell>
          <cell r="F90">
            <v>108</v>
          </cell>
          <cell r="G90">
            <v>0</v>
          </cell>
          <cell r="H90">
            <v>0.3</v>
          </cell>
          <cell r="I90" t="e">
            <v>#N/A</v>
          </cell>
          <cell r="J90">
            <v>376</v>
          </cell>
          <cell r="K90">
            <v>-35</v>
          </cell>
          <cell r="L90">
            <v>0</v>
          </cell>
          <cell r="M90">
            <v>90</v>
          </cell>
          <cell r="N90">
            <v>100</v>
          </cell>
          <cell r="U90">
            <v>50</v>
          </cell>
          <cell r="V90">
            <v>100</v>
          </cell>
          <cell r="W90">
            <v>68.2</v>
          </cell>
          <cell r="X90">
            <v>60</v>
          </cell>
          <cell r="Y90">
            <v>7.448680351906158</v>
          </cell>
          <cell r="Z90">
            <v>1.5835777126099706</v>
          </cell>
          <cell r="AD90">
            <v>0</v>
          </cell>
          <cell r="AE90">
            <v>81</v>
          </cell>
          <cell r="AF90">
            <v>79.400000000000006</v>
          </cell>
          <cell r="AG90">
            <v>64.400000000000006</v>
          </cell>
          <cell r="AH90">
            <v>105</v>
          </cell>
          <cell r="AI90" t="str">
            <v>оконч</v>
          </cell>
        </row>
        <row r="91">
          <cell r="A91" t="str">
            <v xml:space="preserve"> 449  Колбаса Дугушка Стародворская ВЕС ТС Дугушка ПОКОМ</v>
          </cell>
          <cell r="B91" t="str">
            <v>кг</v>
          </cell>
          <cell r="C91">
            <v>267.935</v>
          </cell>
          <cell r="D91">
            <v>905.46699999999998</v>
          </cell>
          <cell r="E91">
            <v>399.59899999999999</v>
          </cell>
          <cell r="F91">
            <v>154.89400000000001</v>
          </cell>
          <cell r="G91" t="str">
            <v>тк3004,</v>
          </cell>
          <cell r="H91">
            <v>1</v>
          </cell>
          <cell r="I91" t="e">
            <v>#N/A</v>
          </cell>
          <cell r="J91">
            <v>399.59500000000003</v>
          </cell>
          <cell r="K91">
            <v>3.999999999962256E-3</v>
          </cell>
          <cell r="L91">
            <v>0</v>
          </cell>
          <cell r="M91">
            <v>120</v>
          </cell>
          <cell r="N91">
            <v>120</v>
          </cell>
          <cell r="U91">
            <v>50</v>
          </cell>
          <cell r="V91">
            <v>100</v>
          </cell>
          <cell r="W91">
            <v>79.919799999999995</v>
          </cell>
          <cell r="X91">
            <v>150</v>
          </cell>
          <cell r="Y91">
            <v>8.6948916288579312</v>
          </cell>
          <cell r="Z91">
            <v>1.9381179632581664</v>
          </cell>
          <cell r="AD91">
            <v>0</v>
          </cell>
          <cell r="AE91">
            <v>56.546799999999998</v>
          </cell>
          <cell r="AF91">
            <v>73.0364</v>
          </cell>
          <cell r="AG91">
            <v>78.226199999999992</v>
          </cell>
          <cell r="AH91">
            <v>96.751000000000005</v>
          </cell>
          <cell r="AI91" t="e">
            <v>#N/A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864.44299999999998</v>
          </cell>
          <cell r="D92">
            <v>24010.175999999999</v>
          </cell>
          <cell r="E92">
            <v>4632.5559999999996</v>
          </cell>
          <cell r="F92">
            <v>299.32499999999999</v>
          </cell>
          <cell r="G92" t="str">
            <v>тк3004,</v>
          </cell>
          <cell r="H92">
            <v>1</v>
          </cell>
          <cell r="I92" t="e">
            <v>#N/A</v>
          </cell>
          <cell r="J92">
            <v>6317.3789999999999</v>
          </cell>
          <cell r="K92">
            <v>-1684.8230000000003</v>
          </cell>
          <cell r="L92">
            <v>500</v>
          </cell>
          <cell r="M92">
            <v>1600</v>
          </cell>
          <cell r="N92">
            <v>1100</v>
          </cell>
          <cell r="U92">
            <v>1000</v>
          </cell>
          <cell r="V92">
            <v>1500</v>
          </cell>
          <cell r="W92">
            <v>926.51119999999992</v>
          </cell>
          <cell r="X92">
            <v>1400</v>
          </cell>
          <cell r="Y92">
            <v>7.9862229404242502</v>
          </cell>
          <cell r="Z92">
            <v>0.32306679077381906</v>
          </cell>
          <cell r="AD92">
            <v>0</v>
          </cell>
          <cell r="AE92">
            <v>630.44839999999999</v>
          </cell>
          <cell r="AF92">
            <v>714.28459999999995</v>
          </cell>
          <cell r="AG92">
            <v>936.80679999999995</v>
          </cell>
          <cell r="AH92">
            <v>1512.79</v>
          </cell>
          <cell r="AI92">
            <v>0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3403.78</v>
          </cell>
          <cell r="D93">
            <v>4984.7060000000001</v>
          </cell>
          <cell r="E93">
            <v>5719</v>
          </cell>
          <cell r="F93">
            <v>100</v>
          </cell>
          <cell r="G93">
            <v>0</v>
          </cell>
          <cell r="H93">
            <v>1</v>
          </cell>
          <cell r="I93" t="e">
            <v>#N/A</v>
          </cell>
          <cell r="J93">
            <v>5155.8180000000002</v>
          </cell>
          <cell r="K93">
            <v>563.18199999999979</v>
          </cell>
          <cell r="L93">
            <v>0</v>
          </cell>
          <cell r="M93">
            <v>1700</v>
          </cell>
          <cell r="N93">
            <v>1200</v>
          </cell>
          <cell r="U93">
            <v>1750</v>
          </cell>
          <cell r="V93">
            <v>2600</v>
          </cell>
          <cell r="W93">
            <v>1143.8</v>
          </cell>
          <cell r="X93">
            <v>1600</v>
          </cell>
          <cell r="Y93">
            <v>7.8247945445007874</v>
          </cell>
          <cell r="Z93">
            <v>8.7427872005595389E-2</v>
          </cell>
          <cell r="AD93">
            <v>0</v>
          </cell>
          <cell r="AE93">
            <v>1456.2</v>
          </cell>
          <cell r="AF93">
            <v>1342.8</v>
          </cell>
          <cell r="AG93">
            <v>1189.2</v>
          </cell>
          <cell r="AH93">
            <v>1070.587</v>
          </cell>
          <cell r="AI93">
            <v>0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1623.174</v>
          </cell>
          <cell r="D94">
            <v>9086.2489999999998</v>
          </cell>
          <cell r="E94">
            <v>5820.4880000000003</v>
          </cell>
          <cell r="F94">
            <v>-4.8769999999999998</v>
          </cell>
          <cell r="G94" t="str">
            <v>тк3004,</v>
          </cell>
          <cell r="H94">
            <v>1</v>
          </cell>
          <cell r="I94" t="e">
            <v>#N/A</v>
          </cell>
          <cell r="J94">
            <v>8094.665</v>
          </cell>
          <cell r="K94">
            <v>-2274.1769999999997</v>
          </cell>
          <cell r="L94">
            <v>900</v>
          </cell>
          <cell r="M94">
            <v>1700</v>
          </cell>
          <cell r="N94">
            <v>1200</v>
          </cell>
          <cell r="U94">
            <v>2000</v>
          </cell>
          <cell r="V94">
            <v>1800</v>
          </cell>
          <cell r="W94">
            <v>1164.0976000000001</v>
          </cell>
          <cell r="X94">
            <v>1800</v>
          </cell>
          <cell r="Y94">
            <v>8.0707347906223657</v>
          </cell>
          <cell r="Z94">
            <v>-4.1895112574753179E-3</v>
          </cell>
          <cell r="AD94">
            <v>0</v>
          </cell>
          <cell r="AE94">
            <v>653.50600000000009</v>
          </cell>
          <cell r="AF94">
            <v>885.09359999999992</v>
          </cell>
          <cell r="AG94">
            <v>1029.1654000000001</v>
          </cell>
          <cell r="AH94">
            <v>1453.0239999999999</v>
          </cell>
          <cell r="AI94" t="str">
            <v>апряб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9.9169999999999998</v>
          </cell>
          <cell r="E95">
            <v>5.3869999999999996</v>
          </cell>
          <cell r="F95">
            <v>4.53</v>
          </cell>
          <cell r="G95">
            <v>0</v>
          </cell>
          <cell r="H95">
            <v>1</v>
          </cell>
          <cell r="I95" t="e">
            <v>#N/A</v>
          </cell>
          <cell r="J95">
            <v>9.1</v>
          </cell>
          <cell r="K95">
            <v>-3.7130000000000001</v>
          </cell>
          <cell r="L95">
            <v>0</v>
          </cell>
          <cell r="M95">
            <v>0</v>
          </cell>
          <cell r="N95">
            <v>0</v>
          </cell>
          <cell r="W95">
            <v>1.0773999999999999</v>
          </cell>
          <cell r="Y95">
            <v>4.2045665490996846</v>
          </cell>
          <cell r="Z95">
            <v>4.2045665490996846</v>
          </cell>
          <cell r="AD95">
            <v>0</v>
          </cell>
          <cell r="AE95">
            <v>0.80519999999999992</v>
          </cell>
          <cell r="AF95">
            <v>1.0651999999999999</v>
          </cell>
          <cell r="AG95">
            <v>1.345</v>
          </cell>
          <cell r="AH95">
            <v>0</v>
          </cell>
          <cell r="AI95" t="str">
            <v>увел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B96" t="str">
            <v>кг</v>
          </cell>
          <cell r="C96">
            <v>216.96600000000001</v>
          </cell>
          <cell r="D96">
            <v>971.98800000000006</v>
          </cell>
          <cell r="E96">
            <v>218.66800000000001</v>
          </cell>
          <cell r="F96">
            <v>162.93799999999999</v>
          </cell>
          <cell r="G96" t="str">
            <v>г</v>
          </cell>
          <cell r="H96">
            <v>1</v>
          </cell>
          <cell r="I96" t="e">
            <v>#N/A</v>
          </cell>
          <cell r="J96">
            <v>218.84200000000001</v>
          </cell>
          <cell r="K96">
            <v>-0.17400000000000659</v>
          </cell>
          <cell r="L96">
            <v>0</v>
          </cell>
          <cell r="M96">
            <v>40</v>
          </cell>
          <cell r="N96">
            <v>40</v>
          </cell>
          <cell r="U96">
            <v>50</v>
          </cell>
          <cell r="W96">
            <v>43.733600000000003</v>
          </cell>
          <cell r="X96">
            <v>40</v>
          </cell>
          <cell r="Y96">
            <v>7.6128651654563075</v>
          </cell>
          <cell r="Z96">
            <v>3.7256937457698425</v>
          </cell>
          <cell r="AD96">
            <v>0</v>
          </cell>
          <cell r="AE96">
            <v>46.438400000000001</v>
          </cell>
          <cell r="AF96">
            <v>46.959199999999996</v>
          </cell>
          <cell r="AG96">
            <v>39.220199999999998</v>
          </cell>
          <cell r="AH96">
            <v>53.908999999999999</v>
          </cell>
          <cell r="AI96">
            <v>0</v>
          </cell>
        </row>
        <row r="97">
          <cell r="A97" t="str">
            <v xml:space="preserve"> 467  Колбаса Филейная 0,5кг ТМ Особый рецепт  ПОКОМ</v>
          </cell>
          <cell r="B97" t="str">
            <v>шт</v>
          </cell>
          <cell r="C97">
            <v>57</v>
          </cell>
          <cell r="D97">
            <v>103</v>
          </cell>
          <cell r="E97">
            <v>69</v>
          </cell>
          <cell r="F97">
            <v>86</v>
          </cell>
          <cell r="G97">
            <v>0</v>
          </cell>
          <cell r="H97">
            <v>0.5</v>
          </cell>
          <cell r="I97" t="e">
            <v>#N/A</v>
          </cell>
          <cell r="J97">
            <v>126</v>
          </cell>
          <cell r="K97">
            <v>-57</v>
          </cell>
          <cell r="L97">
            <v>0</v>
          </cell>
          <cell r="M97">
            <v>30</v>
          </cell>
          <cell r="N97">
            <v>30</v>
          </cell>
          <cell r="W97">
            <v>13.8</v>
          </cell>
          <cell r="Y97">
            <v>10.579710144927535</v>
          </cell>
          <cell r="Z97">
            <v>6.2318840579710137</v>
          </cell>
          <cell r="AD97">
            <v>0</v>
          </cell>
          <cell r="AE97">
            <v>20.399999999999999</v>
          </cell>
          <cell r="AF97">
            <v>20.399999999999999</v>
          </cell>
          <cell r="AG97">
            <v>19.8</v>
          </cell>
          <cell r="AH97">
            <v>26</v>
          </cell>
          <cell r="AI97" t="e">
            <v>#N/A</v>
          </cell>
        </row>
        <row r="98">
          <cell r="A98" t="str">
            <v xml:space="preserve"> 468  Колбаса Стародворская Традиционная ТМ Стародворье в оболочке полиамид 0,4 кг. ПОКОМ</v>
          </cell>
          <cell r="B98" t="str">
            <v>шт</v>
          </cell>
          <cell r="C98">
            <v>7</v>
          </cell>
          <cell r="D98">
            <v>5</v>
          </cell>
          <cell r="E98">
            <v>1</v>
          </cell>
          <cell r="F98">
            <v>11</v>
          </cell>
          <cell r="G98">
            <v>0</v>
          </cell>
          <cell r="H98">
            <v>0.4</v>
          </cell>
          <cell r="I98">
            <v>0</v>
          </cell>
          <cell r="J98">
            <v>3</v>
          </cell>
          <cell r="K98">
            <v>-2</v>
          </cell>
          <cell r="L98">
            <v>0</v>
          </cell>
          <cell r="M98">
            <v>0</v>
          </cell>
          <cell r="N98">
            <v>0</v>
          </cell>
          <cell r="W98">
            <v>0.2</v>
          </cell>
          <cell r="Y98">
            <v>55</v>
          </cell>
          <cell r="Z98">
            <v>55</v>
          </cell>
          <cell r="AD98">
            <v>0</v>
          </cell>
          <cell r="AE98">
            <v>0.6</v>
          </cell>
          <cell r="AF98">
            <v>0</v>
          </cell>
          <cell r="AG98">
            <v>0.2</v>
          </cell>
          <cell r="AH98">
            <v>0</v>
          </cell>
          <cell r="AI98" t="str">
            <v>зв 2</v>
          </cell>
        </row>
        <row r="99">
          <cell r="A99" t="str">
            <v xml:space="preserve"> 478  Сардельки Зареченские ВЕС ТМ Зареченские  ПОКОМ</v>
          </cell>
          <cell r="B99" t="str">
            <v>кг</v>
          </cell>
          <cell r="C99">
            <v>45.305999999999997</v>
          </cell>
          <cell r="D99">
            <v>62.076999999999998</v>
          </cell>
          <cell r="E99">
            <v>49.219000000000001</v>
          </cell>
          <cell r="F99">
            <v>55.497999999999998</v>
          </cell>
          <cell r="G99" t="str">
            <v>нов1202</v>
          </cell>
          <cell r="H99">
            <v>1</v>
          </cell>
          <cell r="I99" t="e">
            <v>#N/A</v>
          </cell>
          <cell r="J99">
            <v>77.411000000000001</v>
          </cell>
          <cell r="K99">
            <v>-28.192</v>
          </cell>
          <cell r="L99">
            <v>0</v>
          </cell>
          <cell r="M99">
            <v>0</v>
          </cell>
          <cell r="N99">
            <v>20</v>
          </cell>
          <cell r="W99">
            <v>9.8437999999999999</v>
          </cell>
          <cell r="Y99">
            <v>7.6695991385440569</v>
          </cell>
          <cell r="Z99">
            <v>5.6378634267254517</v>
          </cell>
          <cell r="AD99">
            <v>0</v>
          </cell>
          <cell r="AE99">
            <v>20.179200000000002</v>
          </cell>
          <cell r="AF99">
            <v>7.1328000000000005</v>
          </cell>
          <cell r="AG99">
            <v>12.169599999999999</v>
          </cell>
          <cell r="AH99">
            <v>13.601000000000001</v>
          </cell>
          <cell r="AI99" t="str">
            <v>склад</v>
          </cell>
        </row>
        <row r="100">
          <cell r="A100" t="str">
            <v xml:space="preserve"> 491  Колбаса Филейская Рубленая ТМ Вязанка  0,3 кг. срез.  ПОКОМ</v>
          </cell>
          <cell r="B100" t="str">
            <v>шт</v>
          </cell>
          <cell r="C100">
            <v>3</v>
          </cell>
          <cell r="E100">
            <v>0</v>
          </cell>
          <cell r="G100" t="str">
            <v>выв2703</v>
          </cell>
          <cell r="H100">
            <v>0</v>
          </cell>
          <cell r="I100" t="e">
            <v>#N/A</v>
          </cell>
          <cell r="J100">
            <v>12</v>
          </cell>
          <cell r="K100">
            <v>-12</v>
          </cell>
          <cell r="L100">
            <v>0</v>
          </cell>
          <cell r="M100">
            <v>0</v>
          </cell>
          <cell r="N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</v>
          </cell>
          <cell r="AF100">
            <v>0.2</v>
          </cell>
          <cell r="AG100">
            <v>0</v>
          </cell>
          <cell r="AH100">
            <v>0</v>
          </cell>
          <cell r="AI100" t="str">
            <v>вывод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 t="str">
            <v>шт</v>
          </cell>
          <cell r="C101">
            <v>426</v>
          </cell>
          <cell r="D101">
            <v>7329</v>
          </cell>
          <cell r="E101">
            <v>1079</v>
          </cell>
          <cell r="F101">
            <v>228</v>
          </cell>
          <cell r="G101" t="str">
            <v>нов041,</v>
          </cell>
          <cell r="H101">
            <v>0.3</v>
          </cell>
          <cell r="I101" t="e">
            <v>#N/A</v>
          </cell>
          <cell r="J101">
            <v>1236</v>
          </cell>
          <cell r="K101">
            <v>-157</v>
          </cell>
          <cell r="L101">
            <v>150</v>
          </cell>
          <cell r="M101">
            <v>300</v>
          </cell>
          <cell r="N101">
            <v>200</v>
          </cell>
          <cell r="U101">
            <v>300</v>
          </cell>
          <cell r="V101">
            <v>200</v>
          </cell>
          <cell r="W101">
            <v>215.8</v>
          </cell>
          <cell r="X101">
            <v>350</v>
          </cell>
          <cell r="Y101">
            <v>8.007414272474513</v>
          </cell>
          <cell r="Z101">
            <v>1.0565338276181648</v>
          </cell>
          <cell r="AD101">
            <v>0</v>
          </cell>
          <cell r="AE101">
            <v>166</v>
          </cell>
          <cell r="AF101">
            <v>116</v>
          </cell>
          <cell r="AG101">
            <v>193.8</v>
          </cell>
          <cell r="AH101">
            <v>276</v>
          </cell>
          <cell r="AI101" t="e">
            <v>#N/A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 t="str">
            <v>шт</v>
          </cell>
          <cell r="C102">
            <v>357</v>
          </cell>
          <cell r="D102">
            <v>507</v>
          </cell>
          <cell r="E102">
            <v>687</v>
          </cell>
          <cell r="F102">
            <v>159</v>
          </cell>
          <cell r="G102" t="str">
            <v>нов041,</v>
          </cell>
          <cell r="H102">
            <v>0.3</v>
          </cell>
          <cell r="I102" t="e">
            <v>#N/A</v>
          </cell>
          <cell r="J102">
            <v>784</v>
          </cell>
          <cell r="K102">
            <v>-97</v>
          </cell>
          <cell r="L102">
            <v>100</v>
          </cell>
          <cell r="M102">
            <v>200</v>
          </cell>
          <cell r="N102">
            <v>150</v>
          </cell>
          <cell r="U102">
            <v>100</v>
          </cell>
          <cell r="V102">
            <v>200</v>
          </cell>
          <cell r="W102">
            <v>137.4</v>
          </cell>
          <cell r="X102">
            <v>200</v>
          </cell>
          <cell r="Y102">
            <v>8.0713245997088787</v>
          </cell>
          <cell r="Z102">
            <v>1.1572052401746724</v>
          </cell>
          <cell r="AD102">
            <v>0</v>
          </cell>
          <cell r="AE102">
            <v>94.4</v>
          </cell>
          <cell r="AF102">
            <v>124.2</v>
          </cell>
          <cell r="AG102">
            <v>127.8</v>
          </cell>
          <cell r="AH102">
            <v>124</v>
          </cell>
          <cell r="AI102" t="e">
            <v>#N/A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 t="str">
            <v>шт</v>
          </cell>
          <cell r="C103">
            <v>359</v>
          </cell>
          <cell r="D103">
            <v>1109</v>
          </cell>
          <cell r="E103">
            <v>909</v>
          </cell>
          <cell r="F103">
            <v>110</v>
          </cell>
          <cell r="G103" t="str">
            <v>нов041,</v>
          </cell>
          <cell r="H103">
            <v>0.3</v>
          </cell>
          <cell r="I103" t="e">
            <v>#N/A</v>
          </cell>
          <cell r="J103">
            <v>1050</v>
          </cell>
          <cell r="K103">
            <v>-141</v>
          </cell>
          <cell r="L103">
            <v>150</v>
          </cell>
          <cell r="M103">
            <v>350</v>
          </cell>
          <cell r="N103">
            <v>200</v>
          </cell>
          <cell r="U103">
            <v>200</v>
          </cell>
          <cell r="V103">
            <v>200</v>
          </cell>
          <cell r="W103">
            <v>181.8</v>
          </cell>
          <cell r="X103">
            <v>250</v>
          </cell>
          <cell r="Y103">
            <v>8.030803080308031</v>
          </cell>
          <cell r="Z103">
            <v>0.60506050605060502</v>
          </cell>
          <cell r="AD103">
            <v>0</v>
          </cell>
          <cell r="AE103">
            <v>121</v>
          </cell>
          <cell r="AF103">
            <v>131.80000000000001</v>
          </cell>
          <cell r="AG103">
            <v>167.2</v>
          </cell>
          <cell r="AH103">
            <v>206</v>
          </cell>
          <cell r="AI103" t="e">
            <v>#N/A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 t="str">
            <v>шт</v>
          </cell>
          <cell r="C104">
            <v>225</v>
          </cell>
          <cell r="D104">
            <v>493</v>
          </cell>
          <cell r="E104">
            <v>599</v>
          </cell>
          <cell r="F104">
            <v>102</v>
          </cell>
          <cell r="G104" t="str">
            <v>нов041,</v>
          </cell>
          <cell r="H104">
            <v>0.3</v>
          </cell>
          <cell r="I104" t="e">
            <v>#N/A</v>
          </cell>
          <cell r="J104">
            <v>733</v>
          </cell>
          <cell r="K104">
            <v>-134</v>
          </cell>
          <cell r="L104">
            <v>100</v>
          </cell>
          <cell r="M104">
            <v>250</v>
          </cell>
          <cell r="N104">
            <v>120</v>
          </cell>
          <cell r="U104">
            <v>100</v>
          </cell>
          <cell r="V104">
            <v>100</v>
          </cell>
          <cell r="W104">
            <v>119.8</v>
          </cell>
          <cell r="X104">
            <v>200</v>
          </cell>
          <cell r="Y104">
            <v>8.1135225375626039</v>
          </cell>
          <cell r="Z104">
            <v>0.85141903171953259</v>
          </cell>
          <cell r="AD104">
            <v>0</v>
          </cell>
          <cell r="AE104">
            <v>88.8</v>
          </cell>
          <cell r="AF104">
            <v>87.8</v>
          </cell>
          <cell r="AG104">
            <v>114.4</v>
          </cell>
          <cell r="AH104">
            <v>157</v>
          </cell>
          <cell r="AI104" t="e">
            <v>#N/A</v>
          </cell>
        </row>
        <row r="105">
          <cell r="A105" t="str">
            <v xml:space="preserve"> 499  Сардельки Дугушки со сливочным маслом ВЕС ТМ Стародворье ТС Дугушка  ПОКОМ</v>
          </cell>
          <cell r="B105" t="str">
            <v>кг</v>
          </cell>
          <cell r="C105">
            <v>1.4530000000000001</v>
          </cell>
          <cell r="D105">
            <v>51.835000000000001</v>
          </cell>
          <cell r="E105">
            <v>8.2810000000000006</v>
          </cell>
          <cell r="F105">
            <v>27.686</v>
          </cell>
          <cell r="G105" t="str">
            <v>нов041,</v>
          </cell>
          <cell r="H105">
            <v>1</v>
          </cell>
          <cell r="I105" t="e">
            <v>#N/A</v>
          </cell>
          <cell r="J105">
            <v>14.65</v>
          </cell>
          <cell r="K105">
            <v>-6.3689999999999998</v>
          </cell>
          <cell r="L105">
            <v>0</v>
          </cell>
          <cell r="M105">
            <v>0</v>
          </cell>
          <cell r="N105">
            <v>0</v>
          </cell>
          <cell r="W105">
            <v>1.6562000000000001</v>
          </cell>
          <cell r="Y105">
            <v>16.716580123173529</v>
          </cell>
          <cell r="Z105">
            <v>16.716580123173529</v>
          </cell>
          <cell r="AD105">
            <v>0</v>
          </cell>
          <cell r="AE105">
            <v>2.1800000000000002</v>
          </cell>
          <cell r="AF105">
            <v>3.0309999999999997</v>
          </cell>
          <cell r="AG105">
            <v>1.623</v>
          </cell>
          <cell r="AH105">
            <v>0</v>
          </cell>
          <cell r="AI105" t="str">
            <v>увел</v>
          </cell>
        </row>
        <row r="106">
          <cell r="A106" t="str">
            <v xml:space="preserve"> 502  Колбаски Краковюрст ТМ Баварушка с изысканными пряностями в оболочке NDX в мгс 0,28 кг. ПОКОМ</v>
          </cell>
          <cell r="B106" t="str">
            <v>шт</v>
          </cell>
          <cell r="D106">
            <v>3</v>
          </cell>
          <cell r="E106">
            <v>2</v>
          </cell>
          <cell r="F106">
            <v>1</v>
          </cell>
          <cell r="G106">
            <v>0</v>
          </cell>
          <cell r="H106">
            <v>0.28000000000000003</v>
          </cell>
          <cell r="I106" t="e">
            <v>#N/A</v>
          </cell>
          <cell r="J106">
            <v>101</v>
          </cell>
          <cell r="K106">
            <v>-99</v>
          </cell>
          <cell r="L106">
            <v>0</v>
          </cell>
          <cell r="M106">
            <v>0</v>
          </cell>
          <cell r="N106">
            <v>0</v>
          </cell>
          <cell r="W106">
            <v>0.4</v>
          </cell>
          <cell r="Y106">
            <v>2.5</v>
          </cell>
          <cell r="Z106">
            <v>2.5</v>
          </cell>
          <cell r="AD106">
            <v>0</v>
          </cell>
          <cell r="AE106">
            <v>3.4</v>
          </cell>
          <cell r="AF106">
            <v>0</v>
          </cell>
          <cell r="AG106">
            <v>0</v>
          </cell>
          <cell r="AH106">
            <v>2</v>
          </cell>
          <cell r="AI106">
            <v>0</v>
          </cell>
        </row>
        <row r="107">
          <cell r="A107" t="str">
            <v xml:space="preserve"> 504  Ветчина Мясорубская с окороком 0,33кг срез ТМ Стародворье  ПОКОМ</v>
          </cell>
          <cell r="B107" t="str">
            <v>шт</v>
          </cell>
          <cell r="C107">
            <v>23</v>
          </cell>
          <cell r="D107">
            <v>12</v>
          </cell>
          <cell r="E107">
            <v>12</v>
          </cell>
          <cell r="F107">
            <v>13</v>
          </cell>
          <cell r="G107" t="str">
            <v>нов 06,11,</v>
          </cell>
          <cell r="H107">
            <v>0.33</v>
          </cell>
          <cell r="I107" t="e">
            <v>#N/A</v>
          </cell>
          <cell r="J107">
            <v>16</v>
          </cell>
          <cell r="K107">
            <v>-4</v>
          </cell>
          <cell r="L107">
            <v>0</v>
          </cell>
          <cell r="M107">
            <v>0</v>
          </cell>
          <cell r="N107">
            <v>0</v>
          </cell>
          <cell r="W107">
            <v>2.4</v>
          </cell>
          <cell r="Y107">
            <v>5.416666666666667</v>
          </cell>
          <cell r="Z107">
            <v>5.416666666666667</v>
          </cell>
          <cell r="AD107">
            <v>0</v>
          </cell>
          <cell r="AE107">
            <v>0</v>
          </cell>
          <cell r="AF107">
            <v>0</v>
          </cell>
          <cell r="AG107">
            <v>0.4</v>
          </cell>
          <cell r="AH107">
            <v>9</v>
          </cell>
          <cell r="AI107" t="str">
            <v>склад</v>
          </cell>
        </row>
        <row r="108">
          <cell r="A108" t="str">
            <v xml:space="preserve"> 506 Сосиски Филейские рубленые ТМ Вязанка в оболочке целлофан в м/г среде. ВЕС.ПОКОМ</v>
          </cell>
          <cell r="B108" t="str">
            <v>кг</v>
          </cell>
          <cell r="C108">
            <v>25.507999999999999</v>
          </cell>
          <cell r="E108">
            <v>17.227</v>
          </cell>
          <cell r="F108">
            <v>7.0039999999999996</v>
          </cell>
          <cell r="G108" t="str">
            <v>н0801,</v>
          </cell>
          <cell r="H108">
            <v>1</v>
          </cell>
          <cell r="I108" t="e">
            <v>#N/A</v>
          </cell>
          <cell r="J108">
            <v>22.201000000000001</v>
          </cell>
          <cell r="K108">
            <v>-4.9740000000000002</v>
          </cell>
          <cell r="L108">
            <v>10</v>
          </cell>
          <cell r="M108">
            <v>10</v>
          </cell>
          <cell r="N108">
            <v>0</v>
          </cell>
          <cell r="W108">
            <v>3.4454000000000002</v>
          </cell>
          <cell r="Y108">
            <v>7.8376966389969223</v>
          </cell>
          <cell r="Z108">
            <v>2.0328554014047713</v>
          </cell>
          <cell r="AD108">
            <v>0</v>
          </cell>
          <cell r="AE108">
            <v>4.0091999999999999</v>
          </cell>
          <cell r="AF108">
            <v>2.6751999999999998</v>
          </cell>
          <cell r="AG108">
            <v>4.8027999999999995</v>
          </cell>
          <cell r="AH108">
            <v>2.69</v>
          </cell>
          <cell r="AI108" t="str">
            <v>увел</v>
          </cell>
        </row>
        <row r="109">
          <cell r="A109" t="str">
            <v xml:space="preserve"> 515  Колбаса Сервелат Мясорубский Делюкс 0,3кг ТМ Стародворье  ПОКОМ</v>
          </cell>
          <cell r="B109" t="str">
            <v>шт</v>
          </cell>
          <cell r="C109">
            <v>37</v>
          </cell>
          <cell r="D109">
            <v>1</v>
          </cell>
          <cell r="E109">
            <v>14</v>
          </cell>
          <cell r="F109">
            <v>20</v>
          </cell>
          <cell r="G109" t="str">
            <v>нов14,03</v>
          </cell>
          <cell r="H109">
            <v>0.3</v>
          </cell>
          <cell r="I109" t="e">
            <v>#N/A</v>
          </cell>
          <cell r="J109">
            <v>42</v>
          </cell>
          <cell r="K109">
            <v>-28</v>
          </cell>
          <cell r="L109">
            <v>10</v>
          </cell>
          <cell r="M109">
            <v>10</v>
          </cell>
          <cell r="N109">
            <v>10</v>
          </cell>
          <cell r="W109">
            <v>2.8</v>
          </cell>
          <cell r="Y109">
            <v>17.857142857142858</v>
          </cell>
          <cell r="Z109">
            <v>7.1428571428571432</v>
          </cell>
          <cell r="AD109">
            <v>0</v>
          </cell>
          <cell r="AE109">
            <v>5.4</v>
          </cell>
          <cell r="AF109">
            <v>5.8</v>
          </cell>
          <cell r="AG109">
            <v>6.2</v>
          </cell>
          <cell r="AH109">
            <v>0</v>
          </cell>
          <cell r="AI109" t="str">
            <v>увел</v>
          </cell>
        </row>
        <row r="110">
          <cell r="A110" t="str">
            <v xml:space="preserve"> 516  Сосиски Классические ТМ Ядрена копоть 0,3кг  ПОКОМ</v>
          </cell>
          <cell r="B110" t="str">
            <v>шт</v>
          </cell>
          <cell r="C110">
            <v>140</v>
          </cell>
          <cell r="D110">
            <v>15</v>
          </cell>
          <cell r="E110">
            <v>141</v>
          </cell>
          <cell r="F110">
            <v>3</v>
          </cell>
          <cell r="G110" t="str">
            <v>завод</v>
          </cell>
          <cell r="H110">
            <v>0.3</v>
          </cell>
          <cell r="I110" t="e">
            <v>#N/A</v>
          </cell>
          <cell r="J110">
            <v>209</v>
          </cell>
          <cell r="K110">
            <v>-68</v>
          </cell>
          <cell r="L110">
            <v>50</v>
          </cell>
          <cell r="M110">
            <v>50</v>
          </cell>
          <cell r="N110">
            <v>60</v>
          </cell>
          <cell r="V110">
            <v>50</v>
          </cell>
          <cell r="W110">
            <v>28.2</v>
          </cell>
          <cell r="X110">
            <v>50</v>
          </cell>
          <cell r="Y110">
            <v>9.3262411347517737</v>
          </cell>
          <cell r="Z110">
            <v>0.10638297872340426</v>
          </cell>
          <cell r="AD110">
            <v>0</v>
          </cell>
          <cell r="AE110">
            <v>0</v>
          </cell>
          <cell r="AF110">
            <v>0</v>
          </cell>
          <cell r="AG110">
            <v>39.799999999999997</v>
          </cell>
          <cell r="AH110">
            <v>0</v>
          </cell>
          <cell r="AI110" t="str">
            <v>Макс</v>
          </cell>
        </row>
        <row r="111">
          <cell r="A111" t="str">
            <v xml:space="preserve"> 517  Сосиски С сыром ТМ Ядрена копоть 0,3кг  ПОКОМ</v>
          </cell>
          <cell r="B111" t="str">
            <v>шт</v>
          </cell>
          <cell r="C111">
            <v>336</v>
          </cell>
          <cell r="E111">
            <v>0</v>
          </cell>
          <cell r="G111" t="str">
            <v>завод</v>
          </cell>
          <cell r="H111">
            <v>0</v>
          </cell>
          <cell r="I111" t="e">
            <v>#N/A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W111">
            <v>0</v>
          </cell>
          <cell r="Y111" t="e">
            <v>#DIV/0!</v>
          </cell>
          <cell r="Z111" t="e">
            <v>#DIV/0!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увел</v>
          </cell>
        </row>
        <row r="112">
          <cell r="A112" t="str">
            <v>БОНУС_ 017  Сосиски Вязанка Сливочные, Вязанка амицел ВЕС.ПОКОМ</v>
          </cell>
          <cell r="B112" t="str">
            <v>кг</v>
          </cell>
          <cell r="C112">
            <v>374.59199999999998</v>
          </cell>
          <cell r="D112">
            <v>206.774</v>
          </cell>
          <cell r="E112">
            <v>634.91300000000001</v>
          </cell>
          <cell r="F112">
            <v>-63.101999999999997</v>
          </cell>
          <cell r="G112">
            <v>0</v>
          </cell>
          <cell r="H112">
            <v>0</v>
          </cell>
          <cell r="I112" t="e">
            <v>#N/A</v>
          </cell>
          <cell r="J112">
            <v>616.43899999999996</v>
          </cell>
          <cell r="K112">
            <v>18.474000000000046</v>
          </cell>
          <cell r="L112">
            <v>0</v>
          </cell>
          <cell r="M112">
            <v>0</v>
          </cell>
          <cell r="N112">
            <v>0</v>
          </cell>
          <cell r="W112">
            <v>126.98260000000001</v>
          </cell>
          <cell r="Y112">
            <v>-0.4969342256340632</v>
          </cell>
          <cell r="Z112">
            <v>-0.4969342256340632</v>
          </cell>
          <cell r="AD112">
            <v>0</v>
          </cell>
          <cell r="AE112">
            <v>103.58520000000001</v>
          </cell>
          <cell r="AF112">
            <v>99.174800000000005</v>
          </cell>
          <cell r="AG112">
            <v>109.792</v>
          </cell>
          <cell r="AH112">
            <v>185.60900000000001</v>
          </cell>
          <cell r="AI112">
            <v>0</v>
          </cell>
        </row>
        <row r="113">
          <cell r="A113" t="str">
            <v>БОНУС_ 456  Колбаса Филейная ТМ Особый рецепт ВЕС большой батон  ПОКОМ</v>
          </cell>
          <cell r="B113" t="str">
            <v>кг</v>
          </cell>
          <cell r="C113">
            <v>1435.8440000000001</v>
          </cell>
          <cell r="D113">
            <v>429.57499999999999</v>
          </cell>
          <cell r="E113">
            <v>1644.703</v>
          </cell>
          <cell r="F113">
            <v>-371.01100000000002</v>
          </cell>
          <cell r="G113">
            <v>0</v>
          </cell>
          <cell r="H113">
            <v>0</v>
          </cell>
          <cell r="I113" t="e">
            <v>#N/A</v>
          </cell>
          <cell r="J113">
            <v>2057.7420000000002</v>
          </cell>
          <cell r="K113">
            <v>-413.03900000000021</v>
          </cell>
          <cell r="L113">
            <v>0</v>
          </cell>
          <cell r="M113">
            <v>0</v>
          </cell>
          <cell r="N113">
            <v>0</v>
          </cell>
          <cell r="W113">
            <v>328.94060000000002</v>
          </cell>
          <cell r="Y113">
            <v>-1.1278966476014212</v>
          </cell>
          <cell r="Z113">
            <v>-1.1278966476014212</v>
          </cell>
          <cell r="AD113">
            <v>0</v>
          </cell>
          <cell r="AE113">
            <v>256.89080000000001</v>
          </cell>
          <cell r="AF113">
            <v>285.79180000000002</v>
          </cell>
          <cell r="AG113">
            <v>347.07679999999999</v>
          </cell>
          <cell r="AH113">
            <v>438.40199999999999</v>
          </cell>
          <cell r="AI113">
            <v>0</v>
          </cell>
        </row>
        <row r="114">
          <cell r="A114" t="str">
            <v>БОНУС_412  Сосиски Баварские ТМ Стародворье 0,35 кг ПОКОМ</v>
          </cell>
          <cell r="B114" t="str">
            <v>шт</v>
          </cell>
          <cell r="C114">
            <v>79</v>
          </cell>
          <cell r="D114">
            <v>2144</v>
          </cell>
          <cell r="E114">
            <v>1502</v>
          </cell>
          <cell r="F114">
            <v>569</v>
          </cell>
          <cell r="G114">
            <v>0</v>
          </cell>
          <cell r="H114">
            <v>0</v>
          </cell>
          <cell r="I114" t="e">
            <v>#N/A</v>
          </cell>
          <cell r="J114">
            <v>1546</v>
          </cell>
          <cell r="K114">
            <v>-44</v>
          </cell>
          <cell r="L114">
            <v>0</v>
          </cell>
          <cell r="M114">
            <v>0</v>
          </cell>
          <cell r="N114">
            <v>0</v>
          </cell>
          <cell r="W114">
            <v>300.39999999999998</v>
          </cell>
          <cell r="Y114">
            <v>1.8941411451398138</v>
          </cell>
          <cell r="Z114">
            <v>1.8941411451398138</v>
          </cell>
          <cell r="AD114">
            <v>0</v>
          </cell>
          <cell r="AE114">
            <v>239.6</v>
          </cell>
          <cell r="AF114">
            <v>265.60000000000002</v>
          </cell>
          <cell r="AG114">
            <v>282.8</v>
          </cell>
          <cell r="AH114">
            <v>424</v>
          </cell>
          <cell r="AI114">
            <v>0</v>
          </cell>
        </row>
        <row r="115">
          <cell r="A115" t="str">
            <v>БОНУС_Колбаса Сервелат Филедворский, фиброуз, в/у 0,35 кг срез,  ПОКОМ</v>
          </cell>
          <cell r="B115" t="str">
            <v>шт</v>
          </cell>
          <cell r="C115">
            <v>371</v>
          </cell>
          <cell r="D115">
            <v>449</v>
          </cell>
          <cell r="E115">
            <v>575</v>
          </cell>
          <cell r="F115">
            <v>197</v>
          </cell>
          <cell r="G115">
            <v>0</v>
          </cell>
          <cell r="H115">
            <v>0</v>
          </cell>
          <cell r="I115" t="e">
            <v>#N/A</v>
          </cell>
          <cell r="J115">
            <v>593</v>
          </cell>
          <cell r="K115">
            <v>-18</v>
          </cell>
          <cell r="L115">
            <v>0</v>
          </cell>
          <cell r="M115">
            <v>0</v>
          </cell>
          <cell r="N115">
            <v>0</v>
          </cell>
          <cell r="W115">
            <v>115</v>
          </cell>
          <cell r="Y115">
            <v>1.7130434782608697</v>
          </cell>
          <cell r="Z115">
            <v>1.7130434782608697</v>
          </cell>
          <cell r="AD115">
            <v>0</v>
          </cell>
          <cell r="AE115">
            <v>77</v>
          </cell>
          <cell r="AF115">
            <v>85.8</v>
          </cell>
          <cell r="AG115">
            <v>100.2</v>
          </cell>
          <cell r="AH115">
            <v>159</v>
          </cell>
          <cell r="AI115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11.04.2025 - 17.04.2025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529.80899999999997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</v>
          </cell>
          <cell r="F8">
            <v>643.75900000000001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106.15</v>
          </cell>
          <cell r="F9">
            <v>2045.16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</v>
          </cell>
          <cell r="F10">
            <v>3514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21</v>
          </cell>
          <cell r="F11">
            <v>6075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</v>
          </cell>
          <cell r="F12">
            <v>6447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81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</v>
          </cell>
          <cell r="F14">
            <v>385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</v>
          </cell>
          <cell r="F15">
            <v>320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8</v>
          </cell>
          <cell r="F16">
            <v>1743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</v>
          </cell>
          <cell r="F17">
            <v>1317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181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</v>
          </cell>
          <cell r="F19">
            <v>272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</v>
          </cell>
          <cell r="F20">
            <v>729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4.0010000000000003</v>
          </cell>
          <cell r="F21">
            <v>633.39</v>
          </cell>
        </row>
        <row r="22">
          <cell r="A22" t="str">
            <v xml:space="preserve"> 201  Ветчина Нежная ТМ Особый рецепт, (2,5кг), ПОКОМ</v>
          </cell>
          <cell r="D22">
            <v>547.5</v>
          </cell>
          <cell r="F22">
            <v>5936.6769999999997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</v>
          </cell>
          <cell r="F23">
            <v>386.375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1020.029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3.2</v>
          </cell>
          <cell r="F25">
            <v>614.35199999999998</v>
          </cell>
        </row>
        <row r="26">
          <cell r="A26" t="str">
            <v xml:space="preserve"> 235  Колбаса Особая ТМ Особый рецепт, ВЕС, ТМ Стародворье ПОКОМ</v>
          </cell>
          <cell r="F26">
            <v>2.5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2.4009999999999998</v>
          </cell>
          <cell r="F27">
            <v>250.32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0.8</v>
          </cell>
          <cell r="F28">
            <v>236.70699999999999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34.799999999999997</v>
          </cell>
          <cell r="F29">
            <v>619.80100000000004</v>
          </cell>
        </row>
        <row r="30">
          <cell r="A30" t="str">
            <v xml:space="preserve"> 247  Сардельки Нежные, ВЕС.  ПОКОМ</v>
          </cell>
          <cell r="F30">
            <v>187.52500000000001</v>
          </cell>
        </row>
        <row r="31">
          <cell r="A31" t="str">
            <v xml:space="preserve"> 248  Сардельки Сочные ТМ Особый рецепт,   ПОКОМ</v>
          </cell>
          <cell r="D31">
            <v>1.4</v>
          </cell>
          <cell r="F31">
            <v>156.89099999999999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105.2</v>
          </cell>
          <cell r="F32">
            <v>1380.002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95.8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186.92599999999999</v>
          </cell>
        </row>
        <row r="35">
          <cell r="A35" t="str">
            <v xml:space="preserve"> 263  Шпикачки Стародворские, ВЕС.  ПОКОМ</v>
          </cell>
          <cell r="F35">
            <v>137.41800000000001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23.963999999999999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34.582999999999998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33.203000000000003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3</v>
          </cell>
          <cell r="F39">
            <v>1075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18</v>
          </cell>
          <cell r="F40">
            <v>4034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25</v>
          </cell>
          <cell r="F41">
            <v>3669</v>
          </cell>
        </row>
        <row r="42">
          <cell r="A42" t="str">
            <v xml:space="preserve"> 283  Сосиски Сочинки, ВЕС, ТМ Стародворье ПОКОМ</v>
          </cell>
          <cell r="F42">
            <v>512.07299999999998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11</v>
          </cell>
          <cell r="F43">
            <v>568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11</v>
          </cell>
          <cell r="F44">
            <v>1312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1.5</v>
          </cell>
          <cell r="F45">
            <v>317.04199999999997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12</v>
          </cell>
          <cell r="F46">
            <v>1065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15</v>
          </cell>
          <cell r="F47">
            <v>2380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D49">
            <v>0.8</v>
          </cell>
          <cell r="F49">
            <v>180.65899999999999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9.5</v>
          </cell>
          <cell r="F50">
            <v>407.01400000000001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12</v>
          </cell>
          <cell r="F51">
            <v>1541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16</v>
          </cell>
          <cell r="F52">
            <v>2210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8</v>
          </cell>
          <cell r="F53">
            <v>1302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10.4</v>
          </cell>
          <cell r="F54">
            <v>349.63799999999998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1.3</v>
          </cell>
          <cell r="F55">
            <v>823.71699999999998</v>
          </cell>
        </row>
        <row r="56">
          <cell r="A56" t="str">
            <v xml:space="preserve"> 316  Колбаса Нежная ТМ Зареченские ВЕС  ПОКОМ</v>
          </cell>
          <cell r="F56">
            <v>61</v>
          </cell>
        </row>
        <row r="57">
          <cell r="A57" t="str">
            <v xml:space="preserve"> 318  Сосиски Датские ТМ Зареченские, ВЕС  ПОКОМ</v>
          </cell>
          <cell r="D57">
            <v>11.8</v>
          </cell>
          <cell r="F57">
            <v>3790.6260000000002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17</v>
          </cell>
          <cell r="F58">
            <v>6864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22</v>
          </cell>
          <cell r="F59">
            <v>4394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4</v>
          </cell>
          <cell r="F60">
            <v>1451</v>
          </cell>
        </row>
        <row r="61">
          <cell r="A61" t="str">
            <v xml:space="preserve"> 328  Сардельки Сочинки Стародворье ТМ  0,4 кг ПОКОМ</v>
          </cell>
          <cell r="D61">
            <v>12</v>
          </cell>
          <cell r="F61">
            <v>438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8</v>
          </cell>
          <cell r="F62">
            <v>381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19.5</v>
          </cell>
          <cell r="F63">
            <v>1240.739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11</v>
          </cell>
          <cell r="F64">
            <v>301</v>
          </cell>
        </row>
        <row r="65">
          <cell r="A65" t="str">
            <v xml:space="preserve"> 335  Колбаса Сливушка ТМ Вязанка. ВЕС.  ПОКОМ </v>
          </cell>
          <cell r="F65">
            <v>300.74799999999999</v>
          </cell>
        </row>
        <row r="66">
          <cell r="A66" t="str">
            <v xml:space="preserve"> 336  Ветчина Сливушка с индейкой ТМ Вязанка. ВЕС  ПОКОМ</v>
          </cell>
          <cell r="F66">
            <v>3.95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15</v>
          </cell>
          <cell r="F67">
            <v>3804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15</v>
          </cell>
          <cell r="F68">
            <v>2924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4</v>
          </cell>
          <cell r="F69">
            <v>718.02300000000002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1.6</v>
          </cell>
          <cell r="F70">
            <v>328.37599999999998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3.2</v>
          </cell>
          <cell r="F71">
            <v>862.649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2.4</v>
          </cell>
          <cell r="F72">
            <v>504.51799999999997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1</v>
          </cell>
          <cell r="F73">
            <v>150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2</v>
          </cell>
          <cell r="F74">
            <v>343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3</v>
          </cell>
          <cell r="F75">
            <v>621</v>
          </cell>
        </row>
        <row r="76">
          <cell r="A76" t="str">
            <v xml:space="preserve"> 364  Сардельки Филейские Вязанка ВЕС NDX ТМ Вязанка  ПОКОМ</v>
          </cell>
          <cell r="F76">
            <v>141.209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4</v>
          </cell>
          <cell r="F77">
            <v>823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6</v>
          </cell>
          <cell r="F78">
            <v>1087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11</v>
          </cell>
          <cell r="F79">
            <v>812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6</v>
          </cell>
          <cell r="F80">
            <v>752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6</v>
          </cell>
          <cell r="F81">
            <v>568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D82">
            <v>2</v>
          </cell>
          <cell r="F82">
            <v>270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24</v>
          </cell>
          <cell r="F83">
            <v>6825</v>
          </cell>
        </row>
        <row r="84">
          <cell r="A84" t="str">
            <v xml:space="preserve"> 412  Сосиски Баварские ТМ Стародворье 0,35 кг ПОКОМ</v>
          </cell>
          <cell r="D84">
            <v>25</v>
          </cell>
          <cell r="F84">
            <v>5666</v>
          </cell>
        </row>
        <row r="85">
          <cell r="A85" t="str">
            <v xml:space="preserve"> 414  Колбаса Филейбургская с филе сочного окорока 0,11 кг ТМ Баварушка ПОКОМ</v>
          </cell>
          <cell r="D85">
            <v>1</v>
          </cell>
          <cell r="F85">
            <v>12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D86">
            <v>2</v>
          </cell>
          <cell r="F86">
            <v>437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D87">
            <v>22.9</v>
          </cell>
          <cell r="F87">
            <v>263.35899999999998</v>
          </cell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F88">
            <v>21.8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2</v>
          </cell>
          <cell r="F89">
            <v>262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1.6</v>
          </cell>
          <cell r="F90">
            <v>136.804</v>
          </cell>
        </row>
        <row r="91">
          <cell r="A91" t="str">
            <v xml:space="preserve"> 445  Колбаса Краковюрст ТМ Баварушка рубленая в оболочке черева в в.у 0,2 кг ПОКОМ</v>
          </cell>
          <cell r="D91">
            <v>2</v>
          </cell>
          <cell r="F91">
            <v>56</v>
          </cell>
        </row>
        <row r="92">
          <cell r="A92" t="str">
            <v xml:space="preserve"> 446  Колбаса Краковюрст ТМ Баварушка с душистым чесноком в оболочке черева в в.у 0,2 кг. ПОКОМ</v>
          </cell>
          <cell r="F92">
            <v>5</v>
          </cell>
        </row>
        <row r="93">
          <cell r="A93" t="str">
            <v xml:space="preserve"> 447  Колбаски Краковюрст ТМ Баварушка с изысканными пряностями в оболочке NDX в в.у 0,2 кг. ПОКОМ </v>
          </cell>
          <cell r="D93">
            <v>1</v>
          </cell>
          <cell r="F93">
            <v>361</v>
          </cell>
        </row>
        <row r="94">
          <cell r="A94" t="str">
            <v xml:space="preserve"> 448  Сосиски Сливушки по-венски ТМ Вязанка. 0,3 кг ПОКОМ</v>
          </cell>
          <cell r="D94">
            <v>1</v>
          </cell>
          <cell r="F94">
            <v>391</v>
          </cell>
        </row>
        <row r="95">
          <cell r="A95" t="str">
            <v xml:space="preserve"> 449  Колбаса Дугушка Стародворская ВЕС ТС Дугушка ПОКОМ</v>
          </cell>
          <cell r="D95">
            <v>1.6</v>
          </cell>
          <cell r="F95">
            <v>395.36500000000001</v>
          </cell>
        </row>
        <row r="96">
          <cell r="A96" t="str">
            <v xml:space="preserve"> 452  Колбаса Со шпиком ВЕС большой батон ТМ Особый рецепт  ПОКОМ</v>
          </cell>
          <cell r="D96">
            <v>522.5</v>
          </cell>
          <cell r="F96">
            <v>6412.1629999999996</v>
          </cell>
        </row>
        <row r="97">
          <cell r="A97" t="str">
            <v xml:space="preserve"> 456  Колбаса Филейная ТМ Особый рецепт ВЕС большой батон  ПОКОМ</v>
          </cell>
          <cell r="D97">
            <v>37.500999999999998</v>
          </cell>
          <cell r="F97">
            <v>5422.6369999999997</v>
          </cell>
        </row>
        <row r="98">
          <cell r="A98" t="str">
            <v xml:space="preserve"> 457  Колбаса Молочная ТМ Особый рецепт ВЕС большой батон  ПОКОМ</v>
          </cell>
          <cell r="D98">
            <v>513.29999999999995</v>
          </cell>
          <cell r="F98">
            <v>7965.75</v>
          </cell>
        </row>
        <row r="99">
          <cell r="A99" t="str">
            <v xml:space="preserve"> 460  Колбаса Стародворская Традиционная ВЕС ТМ Стародворье в оболочке полиамид. ПОКОМ</v>
          </cell>
          <cell r="D99">
            <v>6.5</v>
          </cell>
          <cell r="F99">
            <v>9.1</v>
          </cell>
        </row>
        <row r="100">
          <cell r="A100" t="str">
            <v xml:space="preserve"> 465  Колбаса Филейная оригинальная ВЕС 0,8кг ТМ Особый рецепт в оболочке полиамид  ПОКОМ</v>
          </cell>
          <cell r="D100">
            <v>2.4</v>
          </cell>
          <cell r="F100">
            <v>220.83600000000001</v>
          </cell>
        </row>
        <row r="101">
          <cell r="A101" t="str">
            <v xml:space="preserve"> 467  Колбаса Филейная 0,5кг ТМ Особый рецепт  ПОКОМ</v>
          </cell>
          <cell r="D101">
            <v>1</v>
          </cell>
          <cell r="F101">
            <v>144</v>
          </cell>
        </row>
        <row r="102">
          <cell r="A102" t="str">
            <v xml:space="preserve"> 468  Колбаса Стародворская Традиционная ТМ Стародворье в оболочке полиамид 0,4 кг. ПОКОМ</v>
          </cell>
          <cell r="F102">
            <v>3</v>
          </cell>
        </row>
        <row r="103">
          <cell r="A103" t="str">
            <v xml:space="preserve"> 478  Сардельки Зареченские ВЕС ТМ Зареченские  ПОКОМ</v>
          </cell>
          <cell r="F103">
            <v>80.010000000000005</v>
          </cell>
        </row>
        <row r="104">
          <cell r="A104" t="str">
            <v xml:space="preserve"> 490  Колбаса Сервелат Филейский ТМ Вязанка  0,3 кг. срез  ПОКОМ</v>
          </cell>
          <cell r="F104">
            <v>6</v>
          </cell>
        </row>
        <row r="105">
          <cell r="A105" t="str">
            <v xml:space="preserve"> 491  Колбаса Филейская Рубленая ТМ Вязанка  0,3 кг. срез.  ПОКОМ</v>
          </cell>
          <cell r="F105">
            <v>7</v>
          </cell>
        </row>
        <row r="106">
          <cell r="A106" t="str">
            <v xml:space="preserve"> 492  Колбаса Салями Филейская 0,3кг ТМ Вязанка  ПОКОМ</v>
          </cell>
          <cell r="F106">
            <v>2</v>
          </cell>
        </row>
        <row r="107">
          <cell r="A107" t="str">
            <v xml:space="preserve"> 495  Колбаса Сочинка по-европейски с сочной грудинкой 0,3кг ТМ Стародворье  ПОКОМ</v>
          </cell>
          <cell r="D107">
            <v>12</v>
          </cell>
          <cell r="F107">
            <v>1252</v>
          </cell>
        </row>
        <row r="108">
          <cell r="A108" t="str">
            <v xml:space="preserve"> 496  Колбаса Сочинка по-фински с сочным окроком 0,3кг ТМ Стародворье  ПОКОМ</v>
          </cell>
          <cell r="D108">
            <v>6</v>
          </cell>
          <cell r="F108">
            <v>842</v>
          </cell>
        </row>
        <row r="109">
          <cell r="A109" t="str">
            <v xml:space="preserve"> 497  Колбаса Сочинка зернистая с сочной грудинкой 0,3кг ТМ Стародворье  ПОКОМ</v>
          </cell>
          <cell r="D109">
            <v>9</v>
          </cell>
          <cell r="F109">
            <v>1091</v>
          </cell>
        </row>
        <row r="110">
          <cell r="A110" t="str">
            <v xml:space="preserve"> 498  Колбаса Сочинка рубленая с сочным окороком 0,3кг ТМ Стародворье  ПОКОМ</v>
          </cell>
          <cell r="D110">
            <v>8</v>
          </cell>
          <cell r="F110">
            <v>772</v>
          </cell>
        </row>
        <row r="111">
          <cell r="A111" t="str">
            <v xml:space="preserve"> 499  Сардельки Дугушки со сливочным маслом ВЕС ТМ Стародворье ТС Дугушка  ПОКОМ</v>
          </cell>
          <cell r="F111">
            <v>18.649999999999999</v>
          </cell>
        </row>
        <row r="112">
          <cell r="A112" t="str">
            <v xml:space="preserve"> 502  Колбаски Краковюрст ТМ Баварушка с изысканными пряностями в оболочке NDX в мгс 0,28 кг. ПОКОМ</v>
          </cell>
          <cell r="F112">
            <v>103</v>
          </cell>
        </row>
        <row r="113">
          <cell r="A113" t="str">
            <v xml:space="preserve"> 504  Ветчина Мясорубская с окороком 0,33кг срез ТМ Стародворье  ПОКОМ</v>
          </cell>
          <cell r="F113">
            <v>17</v>
          </cell>
        </row>
        <row r="114">
          <cell r="A114" t="str">
            <v xml:space="preserve"> 506 Сосиски Филейские рубленые ТМ Вязанка в оболочке целлофан в м/г среде. ВЕС.ПОКОМ</v>
          </cell>
          <cell r="F114">
            <v>20.901</v>
          </cell>
        </row>
        <row r="115">
          <cell r="A115" t="str">
            <v xml:space="preserve"> 513  Колбаса вареная Стародворская 0,4кг ТМ Стародворье  ПОКОМ</v>
          </cell>
          <cell r="F115">
            <v>1</v>
          </cell>
        </row>
        <row r="116">
          <cell r="A116" t="str">
            <v xml:space="preserve"> 515  Колбаса Сервелат Мясорубский Делюкс 0,3кг ТМ Стародворье  ПОКОМ</v>
          </cell>
          <cell r="F116">
            <v>33</v>
          </cell>
        </row>
        <row r="117">
          <cell r="A117" t="str">
            <v xml:space="preserve"> 516  Сосиски Классические ТМ Ядрена копоть 0,3кг  ПОКОМ</v>
          </cell>
          <cell r="D117">
            <v>4</v>
          </cell>
          <cell r="F117">
            <v>76</v>
          </cell>
        </row>
        <row r="118">
          <cell r="A118" t="str">
            <v>2704 Сливочный со вкусом топл. молока 45% тм Папа Может. брус (2шт)  ОСТАНКИНО</v>
          </cell>
          <cell r="D118">
            <v>25.3</v>
          </cell>
          <cell r="F118">
            <v>25.3</v>
          </cell>
        </row>
        <row r="119">
          <cell r="A119" t="str">
            <v>3215 ВЕТЧ.МЯСНАЯ Папа может п/о 0.4кг 8шт.    ОСТАНКИНО</v>
          </cell>
          <cell r="D119">
            <v>687</v>
          </cell>
          <cell r="F119">
            <v>687</v>
          </cell>
        </row>
        <row r="120">
          <cell r="A120" t="str">
            <v>3680 ПРЕСИЖН с/к дек. спец мгс ОСТАНКИНО</v>
          </cell>
          <cell r="D120">
            <v>5.7</v>
          </cell>
          <cell r="F120">
            <v>5.7</v>
          </cell>
        </row>
        <row r="121">
          <cell r="A121" t="str">
            <v>3684 ПРЕСИЖН с/к в/у 1/250 8шт.   ОСТАНКИНО</v>
          </cell>
          <cell r="D121">
            <v>127</v>
          </cell>
          <cell r="F121">
            <v>127</v>
          </cell>
        </row>
        <row r="122">
          <cell r="A122" t="str">
            <v>3701 Российский сливочный 45% ТМ Папа Может, брус (2шт)  ОСТАНКИНО</v>
          </cell>
          <cell r="D122">
            <v>8.5</v>
          </cell>
          <cell r="F122">
            <v>8.5</v>
          </cell>
        </row>
        <row r="123">
          <cell r="A123" t="str">
            <v>3798 Сыч/Прод Коровино Российский 50% 200г СЗМЖ  ОСТАНКИНО</v>
          </cell>
          <cell r="D123">
            <v>1942</v>
          </cell>
          <cell r="F123">
            <v>1942</v>
          </cell>
        </row>
        <row r="124">
          <cell r="A124" t="str">
            <v>3804 Сыч/Прод Коровино Тильзитер 50% 200г СЗМЖ  ОСТАНКИНО</v>
          </cell>
          <cell r="D124">
            <v>1563</v>
          </cell>
          <cell r="F124">
            <v>1563</v>
          </cell>
        </row>
        <row r="125">
          <cell r="A125" t="str">
            <v>3811 Сыч/Прод Коровино Российский Оригин 50% ВЕС (5 кг)  ОСТАНКИНО</v>
          </cell>
          <cell r="D125">
            <v>157.1</v>
          </cell>
          <cell r="F125">
            <v>157.1</v>
          </cell>
        </row>
        <row r="126">
          <cell r="A126" t="str">
            <v>3828 Сыч/Прод Коровино Тильзитер Оригин 50% ВЕС (5 кг брус) СЗМЖ  ОСТАНКИНО</v>
          </cell>
          <cell r="D126">
            <v>129</v>
          </cell>
          <cell r="F126">
            <v>129</v>
          </cell>
        </row>
        <row r="127">
          <cell r="A127" t="str">
            <v>4063 МЯСНАЯ Папа может вар п/о_Л   ОСТАНКИНО</v>
          </cell>
          <cell r="D127">
            <v>1736.874</v>
          </cell>
          <cell r="F127">
            <v>1738.2329999999999</v>
          </cell>
        </row>
        <row r="128">
          <cell r="A128" t="str">
            <v>4117 ЭКСТРА Папа может с/к в/у_Л   ОСТАНКИНО</v>
          </cell>
          <cell r="D128">
            <v>76.400000000000006</v>
          </cell>
          <cell r="F128">
            <v>76.400000000000006</v>
          </cell>
        </row>
        <row r="129">
          <cell r="A129" t="str">
            <v>4163 Сыр Боккончини копченый 40% 100 гр.  ОСТАНКИНО</v>
          </cell>
          <cell r="D129">
            <v>111</v>
          </cell>
          <cell r="F129">
            <v>111</v>
          </cell>
        </row>
        <row r="130">
          <cell r="A130" t="str">
            <v>4170 Сыр Скаморца свежий 40% 100 гр.  ОСТАНКИНО</v>
          </cell>
          <cell r="D130">
            <v>106</v>
          </cell>
          <cell r="F130">
            <v>106</v>
          </cell>
        </row>
        <row r="131">
          <cell r="A131" t="str">
            <v>4187 Сыр рассольный жирный Чечил 45% 100 гр  ОСТАНКИНО</v>
          </cell>
          <cell r="D131">
            <v>2</v>
          </cell>
          <cell r="F131">
            <v>2</v>
          </cell>
        </row>
        <row r="132">
          <cell r="A132" t="str">
            <v>4187 Сыр Чечил свежий 45% 100г/6шт ТМ Папа Может  ОСТАНКИНО</v>
          </cell>
          <cell r="D132">
            <v>202</v>
          </cell>
          <cell r="F132">
            <v>202</v>
          </cell>
        </row>
        <row r="133">
          <cell r="A133" t="str">
            <v>4194 Сыр рассольный жирный Чечил копченый 45% 100 гр  ОСТАНКИНО</v>
          </cell>
          <cell r="D133">
            <v>2</v>
          </cell>
          <cell r="F133">
            <v>2</v>
          </cell>
        </row>
        <row r="134">
          <cell r="A134" t="str">
            <v>4194 Сыр Чечил копченый 43% 100г/6шт ТМ Папа Может  ОСТАНКИНО</v>
          </cell>
          <cell r="D134">
            <v>147</v>
          </cell>
          <cell r="F134">
            <v>147</v>
          </cell>
        </row>
        <row r="135">
          <cell r="A135" t="str">
            <v>4574 Колбаса вар Мясная со шпиком 1кг Папа может п/о (код покуп. 24784) Останкино</v>
          </cell>
          <cell r="D135">
            <v>120.65</v>
          </cell>
          <cell r="F135">
            <v>120.65</v>
          </cell>
        </row>
        <row r="136">
          <cell r="A136" t="str">
            <v>4574 Мясная со шпиком Папа может вар п/о ОСТАНКИНО</v>
          </cell>
          <cell r="D136">
            <v>4</v>
          </cell>
          <cell r="F136">
            <v>4</v>
          </cell>
        </row>
        <row r="137">
          <cell r="A137" t="str">
            <v>4813 ФИЛЕЙНАЯ Папа может вар п/о_Л   ОСТАНКИНО</v>
          </cell>
          <cell r="D137">
            <v>591.9</v>
          </cell>
          <cell r="F137">
            <v>591.9</v>
          </cell>
        </row>
        <row r="138">
          <cell r="A138" t="str">
            <v>4819 Сыр "Пармезан" 40% кусок 180 гр  ОСТАНКИНО</v>
          </cell>
          <cell r="D138">
            <v>26</v>
          </cell>
          <cell r="F138">
            <v>26</v>
          </cell>
        </row>
        <row r="139">
          <cell r="A139" t="str">
            <v>4903 Сыр Перлини 40% 100гр (8шт)  ОСТАНКИНО</v>
          </cell>
          <cell r="D139">
            <v>46</v>
          </cell>
          <cell r="F139">
            <v>46</v>
          </cell>
        </row>
        <row r="140">
          <cell r="A140" t="str">
            <v>4910 Сыр Перлини копченый 40% 100гр (8шт)  ОСТАНКИНО</v>
          </cell>
          <cell r="D140">
            <v>42</v>
          </cell>
          <cell r="F140">
            <v>42</v>
          </cell>
        </row>
        <row r="141">
          <cell r="A141" t="str">
            <v>4927 Сыр Перлини со вкусом Васаби 40% 100гр (8шт)  ОСТАНКИНО</v>
          </cell>
          <cell r="D141">
            <v>36</v>
          </cell>
          <cell r="F141">
            <v>36</v>
          </cell>
        </row>
        <row r="142">
          <cell r="A142" t="str">
            <v>4993 САЛЯМИ ИТАЛЬЯНСКАЯ с/к в/у 1/250*8_120c ОСТАНКИНО</v>
          </cell>
          <cell r="D142">
            <v>482</v>
          </cell>
          <cell r="F142">
            <v>482</v>
          </cell>
        </row>
        <row r="143">
          <cell r="A143" t="str">
            <v>5235 Сыр полутвердый "Голландский" 45%, брус ВЕС  ОСТАНКИНО</v>
          </cell>
          <cell r="D143">
            <v>21.5</v>
          </cell>
          <cell r="F143">
            <v>21.5</v>
          </cell>
        </row>
        <row r="144">
          <cell r="A144" t="str">
            <v>5242 Сыр полутвердый "Гауда", 45%, ВЕС брус из блока 1/5  ОСТАНКИНО</v>
          </cell>
          <cell r="D144">
            <v>9.5</v>
          </cell>
          <cell r="F144">
            <v>9.5</v>
          </cell>
        </row>
        <row r="145">
          <cell r="A145" t="str">
            <v>5246 ДОКТОРСКАЯ ПРЕМИУМ вар б/о мгс_30с ОСТАНКИНО</v>
          </cell>
          <cell r="D145">
            <v>44.4</v>
          </cell>
          <cell r="F145">
            <v>44.4</v>
          </cell>
        </row>
        <row r="146">
          <cell r="A146" t="str">
            <v>5247 РУССКАЯ ПРЕМИУМ вар б/о мгс_30с ОСТАНКИНО</v>
          </cell>
          <cell r="D146">
            <v>30</v>
          </cell>
          <cell r="F146">
            <v>30</v>
          </cell>
        </row>
        <row r="147">
          <cell r="A147" t="str">
            <v>5259 Сыр полутвердый "Тильзитер" 45%, ВЕС брус ТМ "Папа может"  ОСТАНКИНО</v>
          </cell>
          <cell r="D147">
            <v>33.799999999999997</v>
          </cell>
          <cell r="F147">
            <v>33.799999999999997</v>
          </cell>
        </row>
        <row r="148">
          <cell r="A148" t="str">
            <v>5483 ЭКСТРА Папа может с/к в/у 1/250 8шт.   ОСТАНКИНО</v>
          </cell>
          <cell r="D148">
            <v>945</v>
          </cell>
          <cell r="F148">
            <v>945</v>
          </cell>
        </row>
        <row r="149">
          <cell r="A149" t="str">
            <v>5544 Сервелат Финский в/к в/у_45с НОВАЯ ОСТАНКИНО</v>
          </cell>
          <cell r="D149">
            <v>1301.2</v>
          </cell>
          <cell r="F149">
            <v>1301.2</v>
          </cell>
        </row>
        <row r="150">
          <cell r="A150" t="str">
            <v>5679 САЛЯМИ ИТАЛЬЯНСКАЯ с/к в/у 1/150_60с ОСТАНКИНО</v>
          </cell>
          <cell r="D150">
            <v>332</v>
          </cell>
          <cell r="F150">
            <v>332</v>
          </cell>
        </row>
        <row r="151">
          <cell r="A151" t="str">
            <v>5682 САЛЯМИ МЕЛКОЗЕРНЕНАЯ с/к в/у 1/120_60с   ОСТАНКИНО</v>
          </cell>
          <cell r="D151">
            <v>2376</v>
          </cell>
          <cell r="F151">
            <v>2376</v>
          </cell>
        </row>
        <row r="152">
          <cell r="A152" t="str">
            <v>5706 АРОМАТНАЯ Папа может с/к в/у 1/250 8шт.  ОСТАНКИНО</v>
          </cell>
          <cell r="D152">
            <v>917</v>
          </cell>
          <cell r="F152">
            <v>917</v>
          </cell>
        </row>
        <row r="153">
          <cell r="A153" t="str">
            <v>5708 ПОСОЛЬСКАЯ Папа может с/к в/у ОСТАНКИНО</v>
          </cell>
          <cell r="D153">
            <v>100.7</v>
          </cell>
          <cell r="F153">
            <v>100.7</v>
          </cell>
        </row>
        <row r="154">
          <cell r="A154" t="str">
            <v>5851 ЭКСТРА Папа может вар п/о   ОСТАНКИНО</v>
          </cell>
          <cell r="D154">
            <v>355.65300000000002</v>
          </cell>
          <cell r="F154">
            <v>355.65300000000002</v>
          </cell>
        </row>
        <row r="155">
          <cell r="A155" t="str">
            <v>5931 ОХОТНИЧЬЯ Папа может с/к в/у 1/220 8шт.   ОСТАНКИНО</v>
          </cell>
          <cell r="D155">
            <v>1175</v>
          </cell>
          <cell r="F155">
            <v>1175</v>
          </cell>
        </row>
        <row r="156">
          <cell r="A156" t="str">
            <v>5992 ВРЕМЯ ОКРОШКИ Папа может вар п/о 0.4кг   ОСТАНКИНО</v>
          </cell>
          <cell r="D156">
            <v>738</v>
          </cell>
          <cell r="F156">
            <v>738</v>
          </cell>
        </row>
        <row r="157">
          <cell r="A157" t="str">
            <v>6004 РАГУ СВИНОЕ 1кг 8шт.зам_120с ОСТАНКИНО</v>
          </cell>
          <cell r="D157">
            <v>91</v>
          </cell>
          <cell r="F157">
            <v>91</v>
          </cell>
        </row>
        <row r="158">
          <cell r="A158" t="str">
            <v>6221 НЕАПОЛИТАНСКИЙ ДУЭТ с/к с/н мгс 1/90  ОСТАНКИНО</v>
          </cell>
          <cell r="D158">
            <v>397</v>
          </cell>
          <cell r="F158">
            <v>397</v>
          </cell>
        </row>
        <row r="159">
          <cell r="A159" t="str">
            <v>6222 ИТАЛЬЯНСКОЕ АССОРТИ с/в с/н мгс 1/90 ОСТАНКИНО</v>
          </cell>
          <cell r="D159">
            <v>16</v>
          </cell>
          <cell r="F159">
            <v>16</v>
          </cell>
        </row>
        <row r="160">
          <cell r="A160" t="str">
            <v>6228 МЯСНОЕ АССОРТИ к/з с/н мгс 1/90 10шт.  ОСТАНКИНО</v>
          </cell>
          <cell r="D160">
            <v>355</v>
          </cell>
          <cell r="F160">
            <v>355</v>
          </cell>
        </row>
        <row r="161">
          <cell r="A161" t="str">
            <v>6247 ДОМАШНЯЯ Папа может вар п/о 0,4кг 8шт.  ОСТАНКИНО</v>
          </cell>
          <cell r="D161">
            <v>98</v>
          </cell>
          <cell r="F161">
            <v>98</v>
          </cell>
        </row>
        <row r="162">
          <cell r="A162" t="str">
            <v>6268 ГОВЯЖЬЯ Папа может вар п/о 0,4кг 8 шт.  ОСТАНКИНО</v>
          </cell>
          <cell r="D162">
            <v>487</v>
          </cell>
          <cell r="F162">
            <v>487</v>
          </cell>
        </row>
        <row r="163">
          <cell r="A163" t="str">
            <v>6279 КОРЕЙКА ПО-ОСТ.к/в в/с с/н в/у 1/150_45с  ОСТАНКИНО</v>
          </cell>
          <cell r="D163">
            <v>392</v>
          </cell>
          <cell r="F163">
            <v>392</v>
          </cell>
        </row>
        <row r="164">
          <cell r="A164" t="str">
            <v>6303 МЯСНЫЕ Папа может сос п/о мгс 1.5*3  ОСТАНКИНО</v>
          </cell>
          <cell r="D164">
            <v>340.4</v>
          </cell>
          <cell r="F164">
            <v>340.4</v>
          </cell>
        </row>
        <row r="165">
          <cell r="A165" t="str">
            <v>6324 ДОКТОРСКАЯ ГОСТ вар п/о 0.4кг 8шт.  ОСТАНКИНО</v>
          </cell>
          <cell r="D165">
            <v>96</v>
          </cell>
          <cell r="F165">
            <v>96</v>
          </cell>
        </row>
        <row r="166">
          <cell r="A166" t="str">
            <v>6325 ДОКТОРСКАЯ ПРЕМИУМ вар п/о 0.4кг 8шт.  ОСТАНКИНО</v>
          </cell>
          <cell r="D166">
            <v>1903</v>
          </cell>
          <cell r="F166">
            <v>1903</v>
          </cell>
        </row>
        <row r="167">
          <cell r="A167" t="str">
            <v>6333 МЯСНАЯ Папа может вар п/о 0.4кг 8шт.  ОСТАНКИНО</v>
          </cell>
          <cell r="D167">
            <v>6207</v>
          </cell>
          <cell r="F167">
            <v>6207</v>
          </cell>
        </row>
        <row r="168">
          <cell r="A168" t="str">
            <v>6340 ДОМАШНИЙ РЕЦЕПТ Коровино 0.5кг 8шт.  ОСТАНКИНО</v>
          </cell>
          <cell r="D168">
            <v>382</v>
          </cell>
          <cell r="F168">
            <v>382</v>
          </cell>
        </row>
        <row r="169">
          <cell r="A169" t="str">
            <v>6353 ЭКСТРА Папа может вар п/о 0.4кг 8шт.  ОСТАНКИНО</v>
          </cell>
          <cell r="D169">
            <v>2311</v>
          </cell>
          <cell r="F169">
            <v>2311</v>
          </cell>
        </row>
        <row r="170">
          <cell r="A170" t="str">
            <v>6392 ФИЛЕЙНАЯ Папа может вар п/о 0.4кг. ОСТАНКИНО</v>
          </cell>
          <cell r="D170">
            <v>4052</v>
          </cell>
          <cell r="F170">
            <v>4052</v>
          </cell>
        </row>
        <row r="171">
          <cell r="A171" t="str">
            <v>6411 ВЕТЧ.РУБЛЕНАЯ ПМ в/у срез 0.3кг 6шт.  ОСТАНКИНО</v>
          </cell>
          <cell r="D171">
            <v>8</v>
          </cell>
          <cell r="F171">
            <v>8</v>
          </cell>
        </row>
        <row r="172">
          <cell r="A172" t="str">
            <v>6426 КЛАССИЧЕСКАЯ ПМ вар п/о 0.3кг 8шт.  ОСТАНКИНО</v>
          </cell>
          <cell r="D172">
            <v>1931</v>
          </cell>
          <cell r="F172">
            <v>1931</v>
          </cell>
        </row>
        <row r="173">
          <cell r="A173" t="str">
            <v>6448 СВИНИНА МАДЕРА с/к с/н в/у 1/100 10шт.   ОСТАНКИНО</v>
          </cell>
          <cell r="D173">
            <v>353</v>
          </cell>
          <cell r="F173">
            <v>353</v>
          </cell>
        </row>
        <row r="174">
          <cell r="A174" t="str">
            <v>6453 ЭКСТРА Папа может с/к с/н в/у 1/100 14шт.   ОСТАНКИНО</v>
          </cell>
          <cell r="D174">
            <v>1972</v>
          </cell>
          <cell r="F174">
            <v>1972</v>
          </cell>
        </row>
        <row r="175">
          <cell r="A175" t="str">
            <v>6454 АРОМАТНАЯ с/к с/н в/у 1/100 14шт.  ОСТАНКИНО</v>
          </cell>
          <cell r="D175">
            <v>1954</v>
          </cell>
          <cell r="F175">
            <v>1954</v>
          </cell>
        </row>
        <row r="176">
          <cell r="A176" t="str">
            <v>6459 СЕРВЕЛАТ ШВЕЙЦАРСК. в/к с/н в/у 1/100*10  ОСТАНКИНО</v>
          </cell>
          <cell r="D176">
            <v>772</v>
          </cell>
          <cell r="F176">
            <v>772</v>
          </cell>
        </row>
        <row r="177">
          <cell r="A177" t="str">
            <v>6470 ВЕТЧ.МРАМОРНАЯ в/у_45с  ОСТАНКИНО</v>
          </cell>
          <cell r="D177">
            <v>30.2</v>
          </cell>
          <cell r="F177">
            <v>30.2</v>
          </cell>
        </row>
        <row r="178">
          <cell r="A178" t="str">
            <v>6495 ВЕТЧ.МРАМОРНАЯ в/у срез 0.3кг 6шт_45с  ОСТАНКИНО</v>
          </cell>
          <cell r="D178">
            <v>641</v>
          </cell>
          <cell r="F178">
            <v>641</v>
          </cell>
        </row>
        <row r="179">
          <cell r="A179" t="str">
            <v>6527 ШПИКАЧКИ СОЧНЫЕ ПМ сар б/о мгс 1*3 45с ОСТАНКИНО</v>
          </cell>
          <cell r="D179">
            <v>456.6</v>
          </cell>
          <cell r="F179">
            <v>456.6</v>
          </cell>
        </row>
        <row r="180">
          <cell r="A180" t="str">
            <v>6528 ШПИКАЧКИ СОЧНЫЕ ПМ сар б/о мгс 0.4кг 45с  ОСТАНКИНО</v>
          </cell>
          <cell r="D180">
            <v>33</v>
          </cell>
          <cell r="F180">
            <v>33</v>
          </cell>
        </row>
        <row r="181">
          <cell r="A181" t="str">
            <v>6586 МРАМОРНАЯ И БАЛЫКОВАЯ в/к с/н мгс 1/90 ОСТАНКИНО</v>
          </cell>
          <cell r="D181">
            <v>145</v>
          </cell>
          <cell r="F181">
            <v>145</v>
          </cell>
        </row>
        <row r="182">
          <cell r="A182" t="str">
            <v>6609 С ГОВЯДИНОЙ ПМ сар б/о мгс 0.4кг_45с ОСТАНКИНО</v>
          </cell>
          <cell r="D182">
            <v>45</v>
          </cell>
          <cell r="F182">
            <v>45</v>
          </cell>
        </row>
        <row r="183">
          <cell r="A183" t="str">
            <v>6616 МОЛОЧНЫЕ КЛАССИЧЕСКИЕ сос п/о в/у 0.3кг  ОСТАНКИНО</v>
          </cell>
          <cell r="D183">
            <v>985</v>
          </cell>
          <cell r="F183">
            <v>985</v>
          </cell>
        </row>
        <row r="184">
          <cell r="A184" t="str">
            <v>6684 СЕРВЕЛАТ КАРЕЛЬСКИЙ ПМ в/к в/у 0.28кг  ОСТАНКИНО</v>
          </cell>
          <cell r="D184">
            <v>3811</v>
          </cell>
          <cell r="F184">
            <v>3811</v>
          </cell>
        </row>
        <row r="185">
          <cell r="A185" t="str">
            <v>6697 СЕРВЕЛАТ ФИНСКИЙ ПМ в/к в/у 0,35кг 8шт.  ОСТАНКИНО</v>
          </cell>
          <cell r="D185">
            <v>5101</v>
          </cell>
          <cell r="F185">
            <v>5101</v>
          </cell>
        </row>
        <row r="186">
          <cell r="A186" t="str">
            <v>6713 СОЧНЫЙ ГРИЛЬ ПМ сос п/о мгс 0.41кг 8шт.  ОСТАНКИНО</v>
          </cell>
          <cell r="D186">
            <v>2819</v>
          </cell>
          <cell r="F186">
            <v>2819</v>
          </cell>
        </row>
        <row r="187">
          <cell r="A187" t="str">
            <v>6724 МОЛОЧНЫЕ ПМ сос п/о мгс 0.41кг 10шт.  ОСТАНКИНО</v>
          </cell>
          <cell r="D187">
            <v>456</v>
          </cell>
          <cell r="F187">
            <v>456</v>
          </cell>
        </row>
        <row r="188">
          <cell r="A188" t="str">
            <v>6762 СЛИВОЧНЫЕ сос ц/о мгс 0.41кг 8шт.  ОСТАНКИНО</v>
          </cell>
          <cell r="D188">
            <v>64</v>
          </cell>
          <cell r="F188">
            <v>64</v>
          </cell>
        </row>
        <row r="189">
          <cell r="A189" t="str">
            <v>6765 РУБЛЕНЫЕ сос ц/о мгс 0.36кг 6шт.  ОСТАНКИНО</v>
          </cell>
          <cell r="D189">
            <v>590</v>
          </cell>
          <cell r="F189">
            <v>590</v>
          </cell>
        </row>
        <row r="190">
          <cell r="A190" t="str">
            <v>6773 САЛЯМИ Папа может п/к в/у 0,28кг 8шт.  ОСТАНКИНО</v>
          </cell>
          <cell r="D190">
            <v>777</v>
          </cell>
          <cell r="F190">
            <v>777</v>
          </cell>
        </row>
        <row r="191">
          <cell r="A191" t="str">
            <v>6785 ВЕНСКАЯ САЛЯМИ п/к в/у 0.33кг 8шт.  ОСТАНКИНО</v>
          </cell>
          <cell r="D191">
            <v>287</v>
          </cell>
          <cell r="F191">
            <v>295</v>
          </cell>
        </row>
        <row r="192">
          <cell r="A192" t="str">
            <v>6787 СЕРВЕЛАТ КРЕМЛЕВСКИЙ в/к в/у 0,33кг 8шт.  ОСТАНКИНО</v>
          </cell>
          <cell r="D192">
            <v>288</v>
          </cell>
          <cell r="F192">
            <v>288</v>
          </cell>
        </row>
        <row r="193">
          <cell r="A193" t="str">
            <v>6793 БАЛЫКОВАЯ в/к в/у 0,33кг 8шт.  ОСТАНКИНО</v>
          </cell>
          <cell r="D193">
            <v>531</v>
          </cell>
          <cell r="F193">
            <v>531</v>
          </cell>
        </row>
        <row r="194">
          <cell r="A194" t="str">
            <v>6801 ОСТАНКИНСКАЯ вар п/о 0.4кг 8шт.  ОСТАНКИНО</v>
          </cell>
          <cell r="D194">
            <v>8</v>
          </cell>
          <cell r="F194">
            <v>8</v>
          </cell>
        </row>
        <row r="195">
          <cell r="A195" t="str">
            <v>6822 ИЗ ОТБОРНОГО МЯСА ПМ сос п/о мгс 0,36кг  ОСТАНКИНО</v>
          </cell>
          <cell r="D195">
            <v>7</v>
          </cell>
          <cell r="F195">
            <v>7</v>
          </cell>
        </row>
        <row r="196">
          <cell r="A196" t="str">
            <v>6829 МОЛОЧНЫЕ КЛАССИЧЕСКИЕ сос п/о мгс 2*4_С  ОСТАНКИНО</v>
          </cell>
          <cell r="D196">
            <v>704</v>
          </cell>
          <cell r="F196">
            <v>704</v>
          </cell>
        </row>
        <row r="197">
          <cell r="A197" t="str">
            <v>6837 ФИЛЕЙНЫЕ Папа Может сос ц/о мгс 0.4кг  ОСТАНКИНО</v>
          </cell>
          <cell r="D197">
            <v>1153</v>
          </cell>
          <cell r="F197">
            <v>1153</v>
          </cell>
        </row>
        <row r="198">
          <cell r="A198" t="str">
            <v>6842 ДЫМОВИЦА ИЗ ОКОРОКА к/в мл/к в/у 0,3кг  ОСТАНКИНО</v>
          </cell>
          <cell r="D198">
            <v>82</v>
          </cell>
          <cell r="F198">
            <v>82</v>
          </cell>
        </row>
        <row r="199">
          <cell r="A199" t="str">
            <v>6861 ДОМАШНИЙ РЕЦЕПТ Коровино вар п/о  ОСТАНКИНО</v>
          </cell>
          <cell r="D199">
            <v>230.2</v>
          </cell>
          <cell r="F199">
            <v>230.2</v>
          </cell>
        </row>
        <row r="200">
          <cell r="A200" t="str">
            <v>6866 ВЕТЧ.НЕЖНАЯ Коровино п/о_Маяк  ОСТАНКИНО</v>
          </cell>
          <cell r="D200">
            <v>161</v>
          </cell>
          <cell r="F200">
            <v>161</v>
          </cell>
        </row>
        <row r="201">
          <cell r="A201" t="str">
            <v>6872 ШАШЛЫК ИЗ СВИНИНЫ зам. ВЕС ОСТАНКИНО</v>
          </cell>
          <cell r="D201">
            <v>42</v>
          </cell>
          <cell r="F201">
            <v>42</v>
          </cell>
        </row>
        <row r="202">
          <cell r="A202" t="str">
            <v>6877 В ОБВЯЗКЕ вар п/о  ОСТАНКИНО</v>
          </cell>
          <cell r="D202">
            <v>25.5</v>
          </cell>
          <cell r="F202">
            <v>25.5</v>
          </cell>
        </row>
        <row r="203">
          <cell r="A203" t="str">
            <v>6888 С ГРУДИНКОЙ вар б/о в/у срез 0.4кг 8шт.  ОСТАНКИНО</v>
          </cell>
          <cell r="D203">
            <v>1</v>
          </cell>
          <cell r="F203">
            <v>1</v>
          </cell>
        </row>
        <row r="204">
          <cell r="A204" t="str">
            <v>6909 ДЛЯ ДЕТЕЙ сос п/о мгс 0.33кг 8шт.  ОСТАНКИНО</v>
          </cell>
          <cell r="D204">
            <v>325</v>
          </cell>
          <cell r="F204">
            <v>325</v>
          </cell>
        </row>
        <row r="205">
          <cell r="A205" t="str">
            <v>6919 БЕКОН с/к с/н в/у 1/180 10шт.  ОСТАНКИНО</v>
          </cell>
          <cell r="D205">
            <v>10</v>
          </cell>
          <cell r="F205">
            <v>10</v>
          </cell>
        </row>
        <row r="206">
          <cell r="A206" t="str">
            <v>6987 СУПЕР СЫТНЫЕ ПМ сос п/о мгс 0.6кг 8 шт.  ОСТАНКИНО</v>
          </cell>
          <cell r="D206">
            <v>37</v>
          </cell>
          <cell r="F206">
            <v>37</v>
          </cell>
        </row>
        <row r="207">
          <cell r="A207" t="str">
            <v>7001 КЛАССИЧЕСКИЕ Папа может сар б/о мгс 1*3  ОСТАНКИНО</v>
          </cell>
          <cell r="D207">
            <v>166.7</v>
          </cell>
          <cell r="F207">
            <v>166.7</v>
          </cell>
        </row>
        <row r="208">
          <cell r="A208" t="str">
            <v>7035 ВЕТЧ.КЛАССИЧЕСКАЯ ПМ п/о 0.35кг 8шт.  ОСТАНКИНО</v>
          </cell>
          <cell r="D208">
            <v>196</v>
          </cell>
          <cell r="F208">
            <v>196</v>
          </cell>
        </row>
        <row r="209">
          <cell r="A209" t="str">
            <v>7038 С ГОВЯДИНОЙ ПМ сос п/о мгс 1.5*4  ОСТАНКИНО</v>
          </cell>
          <cell r="D209">
            <v>192.2</v>
          </cell>
          <cell r="F209">
            <v>192.2</v>
          </cell>
        </row>
        <row r="210">
          <cell r="A210" t="str">
            <v>7040 С ИНДЕЙКОЙ ПМ сос ц/о в/у 1/270 8шт.  ОСТАНКИНО</v>
          </cell>
          <cell r="D210">
            <v>191</v>
          </cell>
          <cell r="F210">
            <v>191</v>
          </cell>
        </row>
        <row r="211">
          <cell r="A211" t="str">
            <v>7059 ШПИКАЧКИ СОЧНЫЕ С БЕК. п/о мгс 0.3кг_60с  ОСТАНКИНО</v>
          </cell>
          <cell r="D211">
            <v>164</v>
          </cell>
          <cell r="F211">
            <v>164</v>
          </cell>
        </row>
        <row r="212">
          <cell r="A212" t="str">
            <v>7066 СОЧНЫЕ ПМ сос п/о мгс 0.41кг 10шт_50с  ОСТАНКИНО</v>
          </cell>
          <cell r="D212">
            <v>7484</v>
          </cell>
          <cell r="F212">
            <v>7484</v>
          </cell>
        </row>
        <row r="213">
          <cell r="A213" t="str">
            <v>7070 СОЧНЫЕ ПМ сос п/о мгс 1.5*4_А_50с  ОСТАНКИНО</v>
          </cell>
          <cell r="D213">
            <v>3828.3</v>
          </cell>
          <cell r="F213">
            <v>3828.3</v>
          </cell>
        </row>
        <row r="214">
          <cell r="A214" t="str">
            <v>7073 МОЛОЧ.ПРЕМИУМ ПМ сос п/о в/у 1/350_50с  ОСТАНКИНО</v>
          </cell>
          <cell r="D214">
            <v>2236</v>
          </cell>
          <cell r="F214">
            <v>2236</v>
          </cell>
        </row>
        <row r="215">
          <cell r="A215" t="str">
            <v>7074 МОЛОЧ.ПРЕМИУМ ПМ сос п/о мгс 0.6кг_50с  ОСТАНКИНО</v>
          </cell>
          <cell r="D215">
            <v>252</v>
          </cell>
          <cell r="F215">
            <v>252</v>
          </cell>
        </row>
        <row r="216">
          <cell r="A216" t="str">
            <v>7075 МОЛОЧ.ПРЕМИУМ ПМ сос п/о мгс 1.5*4_О_50с  ОСТАНКИНО</v>
          </cell>
          <cell r="D216">
            <v>157.80000000000001</v>
          </cell>
          <cell r="F216">
            <v>157.80000000000001</v>
          </cell>
        </row>
        <row r="217">
          <cell r="A217" t="str">
            <v>7077 МЯСНЫЕ С ГОВЯД.ПМ сос п/о мгс 0.4кг_50с  ОСТАНКИНО</v>
          </cell>
          <cell r="D217">
            <v>1378</v>
          </cell>
          <cell r="F217">
            <v>1378</v>
          </cell>
        </row>
        <row r="218">
          <cell r="A218" t="str">
            <v>7080 СЛИВОЧНЫЕ ПМ сос п/о мгс 0.41кг 10шт. 50с  ОСТАНКИНО</v>
          </cell>
          <cell r="D218">
            <v>4236</v>
          </cell>
          <cell r="F218">
            <v>4236</v>
          </cell>
        </row>
        <row r="219">
          <cell r="A219" t="str">
            <v>7082 СЛИВОЧНЫЕ ПМ сос п/о мгс 1.5*4_50с  ОСТАНКИНО</v>
          </cell>
          <cell r="D219">
            <v>125.9</v>
          </cell>
          <cell r="F219">
            <v>125.9</v>
          </cell>
        </row>
        <row r="220">
          <cell r="A220" t="str">
            <v>7087 ШПИК С ЧЕСНОК.И ПЕРЦЕМ к/в в/у 0.3кг_50с  ОСТАНКИНО</v>
          </cell>
          <cell r="D220">
            <v>239</v>
          </cell>
          <cell r="F220">
            <v>239</v>
          </cell>
        </row>
        <row r="221">
          <cell r="A221" t="str">
            <v>7090 СВИНИНА ПО-ДОМ. к/в мл/к в/у 0.3кг_50с  ОСТАНКИНО</v>
          </cell>
          <cell r="D221">
            <v>657</v>
          </cell>
          <cell r="F221">
            <v>657</v>
          </cell>
        </row>
        <row r="222">
          <cell r="A222" t="str">
            <v>7092 БЕКОН Папа может с/к с/н в/у 1/140_50с  ОСТАНКИНО</v>
          </cell>
          <cell r="D222">
            <v>1247</v>
          </cell>
          <cell r="F222">
            <v>1247</v>
          </cell>
        </row>
        <row r="223">
          <cell r="A223" t="str">
            <v>7103 БЕКОН с/к с/н в/у 1/180 10шт.  ОСТАНКИНО</v>
          </cell>
          <cell r="D223">
            <v>2</v>
          </cell>
          <cell r="F223">
            <v>2</v>
          </cell>
        </row>
        <row r="224">
          <cell r="A224" t="str">
            <v>7105 МИЛАНО с/к с/н мгс 1/90 12шт.  ОСТАНКИНО</v>
          </cell>
          <cell r="D224">
            <v>134</v>
          </cell>
          <cell r="F224">
            <v>134</v>
          </cell>
        </row>
        <row r="225">
          <cell r="A225" t="str">
            <v>7106 ТОСКАНО с/к с/н мгс 1/90 12шт.  ОСТАНКИНО</v>
          </cell>
          <cell r="D225">
            <v>233</v>
          </cell>
          <cell r="F225">
            <v>233</v>
          </cell>
        </row>
        <row r="226">
          <cell r="A226" t="str">
            <v>7107 САН-РЕМО с/в с/н мгс 1/90 12шт.  ОСТАНКИНО</v>
          </cell>
          <cell r="D226">
            <v>209</v>
          </cell>
          <cell r="F226">
            <v>209</v>
          </cell>
        </row>
        <row r="227">
          <cell r="A227" t="str">
            <v>7126 МОЛОЧНАЯ Останкино вар п/о 0.4кг 8шт.  ОСТАНКИНО</v>
          </cell>
          <cell r="D227">
            <v>25</v>
          </cell>
          <cell r="F227">
            <v>25</v>
          </cell>
        </row>
        <row r="228">
          <cell r="A228" t="str">
            <v>7143 БРАУНШВЕЙГСКАЯ ГОСТ с/к в/у 1/220 8шт. ОСТАНКИНО</v>
          </cell>
          <cell r="D228">
            <v>13</v>
          </cell>
          <cell r="F228">
            <v>13</v>
          </cell>
        </row>
        <row r="229">
          <cell r="A229" t="str">
            <v>7149 БАЛЫКОВАЯ Коровино п/к в/у 0.84кг_50с  ОСТАНКИНО</v>
          </cell>
          <cell r="D229">
            <v>60</v>
          </cell>
          <cell r="F229">
            <v>60</v>
          </cell>
        </row>
        <row r="230">
          <cell r="A230" t="str">
            <v>7154 СЕРВЕЛАТ ЗЕРНИСТЫЙ ПМ в/к в/у 0.35кг_50с  ОСТАНКИНО</v>
          </cell>
          <cell r="D230">
            <v>3644</v>
          </cell>
          <cell r="F230">
            <v>3644</v>
          </cell>
        </row>
        <row r="231">
          <cell r="A231" t="str">
            <v>7166 СЕРВЕЛТ ОХОТНИЧИЙ ПМ в/к в/у_50с  ОСТАНКИНО</v>
          </cell>
          <cell r="D231">
            <v>616.09500000000003</v>
          </cell>
          <cell r="F231">
            <v>616.09500000000003</v>
          </cell>
        </row>
        <row r="232">
          <cell r="A232" t="str">
            <v>7169 СЕРВЕЛАТ ОХОТНИЧИЙ ПМ в/к в/у 0.35кг_50с  ОСТАНКИНО</v>
          </cell>
          <cell r="D232">
            <v>4309</v>
          </cell>
          <cell r="F232">
            <v>4309</v>
          </cell>
        </row>
        <row r="233">
          <cell r="A233" t="str">
            <v>7173 БОЯNСКАЯ ПМ п/к в/у 0.28кг 8шт_50с  ОСТАНКИНО</v>
          </cell>
          <cell r="D233">
            <v>1392</v>
          </cell>
          <cell r="F233">
            <v>1392</v>
          </cell>
        </row>
        <row r="234">
          <cell r="A234" t="str">
            <v>7187 ГРУДИНКА ПРЕМИУМ к/в мл/к в/у 0,3кг_50с ОСТАНКИНО</v>
          </cell>
          <cell r="D234">
            <v>477</v>
          </cell>
          <cell r="F234">
            <v>477</v>
          </cell>
        </row>
        <row r="235">
          <cell r="A235" t="str">
            <v>7232 БОЯNСКАЯ ПМ п/к в/у 0,28кг 8шт_209к ОСТАНКИНО</v>
          </cell>
          <cell r="D235">
            <v>161</v>
          </cell>
          <cell r="F235">
            <v>161</v>
          </cell>
        </row>
        <row r="236">
          <cell r="A236" t="str">
            <v>8377 Творожный Сыр 60% Сливочный  СТМ "ПапаМожет" - 140гр  ОСТАНКИНО</v>
          </cell>
          <cell r="D236">
            <v>253</v>
          </cell>
          <cell r="F236">
            <v>253</v>
          </cell>
        </row>
        <row r="237">
          <cell r="A237" t="str">
            <v>8391 Сыр творожный с зеленью 60% Папа может 140 гр.  ОСТАНКИНО</v>
          </cell>
          <cell r="D237">
            <v>45</v>
          </cell>
          <cell r="F237">
            <v>45</v>
          </cell>
        </row>
        <row r="238">
          <cell r="A238" t="str">
            <v>8398 Сыр ПАПА МОЖЕТ "Тильзитер" 45% 180 г  ОСТАНКИНО</v>
          </cell>
          <cell r="D238">
            <v>262</v>
          </cell>
          <cell r="F238">
            <v>262</v>
          </cell>
        </row>
        <row r="239">
          <cell r="A239" t="str">
            <v>8411 Сыр ПАПА МОЖЕТ "Гауда Голд" 45% 180 г  ОСТАНКИНО</v>
          </cell>
          <cell r="D239">
            <v>441</v>
          </cell>
          <cell r="F239">
            <v>441</v>
          </cell>
        </row>
        <row r="240">
          <cell r="A240" t="str">
            <v>8435 Сыр ПАПА МОЖЕТ "Российский традиционный" 45% 180 г  ОСТАНКИНО</v>
          </cell>
          <cell r="D240">
            <v>651</v>
          </cell>
          <cell r="F240">
            <v>651</v>
          </cell>
        </row>
        <row r="241">
          <cell r="A241" t="str">
            <v>8438 Плавленый Сыр 45% "С ветчиной" СТМ "ПапаМожет" 180гр  ОСТАНКИНО</v>
          </cell>
          <cell r="D241">
            <v>38</v>
          </cell>
          <cell r="F241">
            <v>38</v>
          </cell>
        </row>
        <row r="242">
          <cell r="A242" t="str">
            <v>8445 Плавленый Сыр 45% "С грибами" СТМ "ПапаМожет 180гр  ОСТАНКИНО</v>
          </cell>
          <cell r="D242">
            <v>21</v>
          </cell>
          <cell r="F242">
            <v>21</v>
          </cell>
        </row>
        <row r="243">
          <cell r="A243" t="str">
            <v>8452 Сыр колбасный копченый Папа Может 400 гр  ОСТАНКИНО</v>
          </cell>
          <cell r="D243">
            <v>25</v>
          </cell>
          <cell r="F243">
            <v>25</v>
          </cell>
        </row>
        <row r="244">
          <cell r="A244" t="str">
            <v>8459 Сыр ПАПА МОЖЕТ "Голландский традиционный" 45% 180 г  ОСТАНКИНО</v>
          </cell>
          <cell r="D244">
            <v>607</v>
          </cell>
          <cell r="F244">
            <v>607</v>
          </cell>
        </row>
        <row r="245">
          <cell r="A245" t="str">
            <v>8476 Продукт колбасный с сыром копченый Коровино 400 гр  ОСТАНКИНО</v>
          </cell>
          <cell r="D245">
            <v>12</v>
          </cell>
          <cell r="F245">
            <v>12</v>
          </cell>
        </row>
        <row r="246">
          <cell r="A246" t="str">
            <v>8558 Сыр Папа Может "Российский традиционный" ВЕС брусок массовая доля жира 50%  ОСТАНКИНО</v>
          </cell>
          <cell r="D246">
            <v>5.5</v>
          </cell>
          <cell r="F246">
            <v>5.5</v>
          </cell>
        </row>
        <row r="247">
          <cell r="A247" t="str">
            <v>8572 Сыр Папа Может "Гауда Голд", 45% брусок ВЕС ОСТАНКИНО</v>
          </cell>
          <cell r="D247">
            <v>27</v>
          </cell>
          <cell r="F247">
            <v>27</v>
          </cell>
        </row>
        <row r="248">
          <cell r="A248" t="str">
            <v>8619 Сыр Папа Может "Тильзитер", 45% брусок ВЕС   ОСТАНКИНО</v>
          </cell>
          <cell r="D248">
            <v>38</v>
          </cell>
          <cell r="F248">
            <v>38</v>
          </cell>
        </row>
        <row r="249">
          <cell r="A249" t="str">
            <v>8674 Плавленый сыр "Шоколадный" 30% 180 гр ТМ "ПАПА МОЖЕТ"  ОСТАНКИНО</v>
          </cell>
          <cell r="D249">
            <v>27</v>
          </cell>
          <cell r="F249">
            <v>27</v>
          </cell>
        </row>
        <row r="250">
          <cell r="A250" t="str">
            <v>8681 Сыр плавленый Сливочный ж 45 % 180г ТМ Папа Может (16шт) ОСТАНКИНО</v>
          </cell>
          <cell r="D250">
            <v>66</v>
          </cell>
          <cell r="F250">
            <v>66</v>
          </cell>
        </row>
        <row r="251">
          <cell r="A251" t="str">
            <v>8831 Сыр ПАПА МОЖЕТ "Министерский" 180гр, 45 %  ОСТАНКИНО</v>
          </cell>
          <cell r="D251">
            <v>104</v>
          </cell>
          <cell r="F251">
            <v>104</v>
          </cell>
        </row>
        <row r="252">
          <cell r="A252" t="str">
            <v>8855 Сыр ПАПА МОЖЕТ "Папин завтрак" 180гр, 45 %  ОСТАНКИНО</v>
          </cell>
          <cell r="D252">
            <v>61</v>
          </cell>
          <cell r="F252">
            <v>61</v>
          </cell>
        </row>
        <row r="253">
          <cell r="A253" t="str">
            <v>Балык говяжий с/к "Эликатессе" 0,10 кг.шт. нарезка (лоток с ср.защ.атм.)  СПК</v>
          </cell>
          <cell r="D253">
            <v>222</v>
          </cell>
          <cell r="F253">
            <v>222</v>
          </cell>
        </row>
        <row r="254">
          <cell r="A254" t="str">
            <v>Балык свиной с/к "Эликатессе" 0,10 кг.шт. нарезка (лоток с ср.защ.атм.)  СПК</v>
          </cell>
          <cell r="D254">
            <v>254</v>
          </cell>
          <cell r="F254">
            <v>254</v>
          </cell>
        </row>
        <row r="255">
          <cell r="A255" t="str">
            <v>Балыковая с/к 200 гр. срез "Эликатессе" термоформ.пак.  СПК</v>
          </cell>
          <cell r="D255">
            <v>165</v>
          </cell>
          <cell r="F255">
            <v>165</v>
          </cell>
        </row>
        <row r="256">
          <cell r="A256" t="str">
            <v>БОНУС МОЛОЧНЫЕ КЛАССИЧЕСКИЕ сос п/о в/у 0.3кг (6084)  ОСТАНКИНО</v>
          </cell>
          <cell r="D256">
            <v>51</v>
          </cell>
          <cell r="F256">
            <v>51</v>
          </cell>
        </row>
        <row r="257">
          <cell r="A257" t="str">
            <v>БОНУС МОЛОЧНЫЕ КЛАССИЧЕСКИЕ сос п/о мгс 2*4_С (4980)  ОСТАНКИНО</v>
          </cell>
          <cell r="D257">
            <v>28</v>
          </cell>
          <cell r="F257">
            <v>28</v>
          </cell>
        </row>
        <row r="258">
          <cell r="A258" t="str">
            <v>БОНУС СОЧНЫЕ Папа может сос п/о мгс 1.5*4 (6954)  ОСТАНКИНО</v>
          </cell>
          <cell r="D258">
            <v>356</v>
          </cell>
          <cell r="F258">
            <v>356</v>
          </cell>
        </row>
        <row r="259">
          <cell r="A259" t="str">
            <v>БОНУС СОЧНЫЕ сос п/о мгс 0.41кг_UZ (6087)  ОСТАНКИНО</v>
          </cell>
          <cell r="D259">
            <v>90</v>
          </cell>
          <cell r="F259">
            <v>90</v>
          </cell>
        </row>
        <row r="260">
          <cell r="A260" t="str">
            <v>БОНУС_ 017  Сосиски Вязанка Сливочные, Вязанка амицел ВЕС.ПОКОМ</v>
          </cell>
          <cell r="F260">
            <v>610.04200000000003</v>
          </cell>
        </row>
        <row r="261">
          <cell r="A261" t="str">
            <v>БОНУС_ 456  Колбаса Филейная ТМ Особый рецепт ВЕС большой батон  ПОКОМ</v>
          </cell>
          <cell r="F261">
            <v>2077.52</v>
          </cell>
        </row>
        <row r="262">
          <cell r="A262" t="str">
            <v>БОНУС_ 457  Колбаса Молочная ТМ Особый рецепт ВЕС большой батон  ПОКОМ</v>
          </cell>
          <cell r="F262">
            <v>2.5</v>
          </cell>
        </row>
        <row r="263">
          <cell r="A263" t="str">
            <v>БОНУС_305  Колбаса Сервелат Мясорубский с мелкорубленным окороком в/у  ТМ Стародворье ВЕС   ПОКОМ</v>
          </cell>
          <cell r="F263">
            <v>0.8</v>
          </cell>
        </row>
        <row r="264">
          <cell r="A264" t="str">
            <v>БОНУС_412  Сосиски Баварские ТМ Стародворье 0,35 кг ПОКОМ</v>
          </cell>
          <cell r="F264">
            <v>1635</v>
          </cell>
        </row>
        <row r="265">
          <cell r="A265" t="str">
            <v>БОНУС_Готовые чебупели с ветчиной и сыром Горячая штучка 0,3кг зам  ПОКОМ</v>
          </cell>
          <cell r="F265">
            <v>704</v>
          </cell>
        </row>
        <row r="266">
          <cell r="A266" t="str">
            <v>БОНУС_Колбаса вареная Филейская ТМ Вязанка. ВЕС  ПОКОМ</v>
          </cell>
          <cell r="F266">
            <v>2.5</v>
          </cell>
        </row>
        <row r="267">
          <cell r="A267" t="str">
            <v>БОНУС_Колбаса Сервелат Филедворский, фиброуз, в/у 0,35 кг срез,  ПОКОМ</v>
          </cell>
          <cell r="F267">
            <v>627</v>
          </cell>
        </row>
        <row r="268">
          <cell r="A268" t="str">
            <v>БОНУС_Пельмени Бульмени с говядиной и свининой ТМ Горячая штучка. флоу-пак сфера 0,4 кг ПОКОМ</v>
          </cell>
          <cell r="F268">
            <v>408</v>
          </cell>
        </row>
        <row r="269">
          <cell r="A269" t="str">
            <v>Бутербродная вареная 0,47 кг шт.  СПК</v>
          </cell>
          <cell r="D269">
            <v>37</v>
          </cell>
          <cell r="F269">
            <v>37</v>
          </cell>
        </row>
        <row r="270">
          <cell r="A270" t="str">
            <v>Вацлавская п/к (черева) 390 гр.шт. термоус.пак  СПК</v>
          </cell>
          <cell r="D270">
            <v>64</v>
          </cell>
          <cell r="F270">
            <v>64</v>
          </cell>
        </row>
        <row r="271">
          <cell r="A271" t="str">
            <v>Ветчина Альтаирская Столовая (для ХОРЕКА)  СПК</v>
          </cell>
          <cell r="D271">
            <v>1</v>
          </cell>
          <cell r="F271">
            <v>7.0730000000000004</v>
          </cell>
        </row>
        <row r="272">
          <cell r="A272" t="str">
            <v>Готовые бельмеши сочные с мясом ТМ Горячая штучка 0,3кг зам  ПОКОМ</v>
          </cell>
          <cell r="D272">
            <v>1</v>
          </cell>
          <cell r="F272">
            <v>259</v>
          </cell>
        </row>
        <row r="273">
          <cell r="A273" t="str">
            <v>Готовые чебупели острые с мясом Горячая штучка 0,3 кг зам  ПОКОМ</v>
          </cell>
          <cell r="F273">
            <v>483</v>
          </cell>
        </row>
        <row r="274">
          <cell r="A274" t="str">
            <v>Готовые чебупели с ветчиной и сыром Горячая штучка 0,3кг зам  ПОКОМ</v>
          </cell>
          <cell r="D274">
            <v>1335</v>
          </cell>
          <cell r="F274">
            <v>2565</v>
          </cell>
        </row>
        <row r="275">
          <cell r="A275" t="str">
            <v>Готовые чебупели сочные с мясом ТМ Горячая штучка  0,3кг зам  ПОКОМ</v>
          </cell>
          <cell r="D275">
            <v>1120</v>
          </cell>
          <cell r="F275">
            <v>2655</v>
          </cell>
        </row>
        <row r="276">
          <cell r="A276" t="str">
            <v>Готовые чебуреки мясо-томато ТМ Горячая штучка 0,36 кг зам.  ПОКОМ_НЕАКТИВНА</v>
          </cell>
          <cell r="F276">
            <v>1</v>
          </cell>
        </row>
        <row r="277">
          <cell r="A277" t="str">
            <v>Готовые чебуреки с мясом ТМ Горячая штучка 0,09 кг флоу-пак ПОКОМ</v>
          </cell>
          <cell r="F277">
            <v>295</v>
          </cell>
        </row>
        <row r="278">
          <cell r="A278" t="str">
            <v>Грудинка "По-московски" в/к термоус.пак.  СПК</v>
          </cell>
          <cell r="D278">
            <v>20</v>
          </cell>
          <cell r="F278">
            <v>20</v>
          </cell>
        </row>
        <row r="279">
          <cell r="A279" t="str">
            <v>Гуцульская с/к "КолбасГрад" 160 гр.шт. термоус. пак  СПК</v>
          </cell>
          <cell r="D279">
            <v>194</v>
          </cell>
          <cell r="F279">
            <v>194</v>
          </cell>
        </row>
        <row r="280">
          <cell r="A280" t="str">
            <v>Дельгаро с/в "Эликатессе" 140 гр.шт.  СПК</v>
          </cell>
          <cell r="D280">
            <v>40</v>
          </cell>
          <cell r="F280">
            <v>40</v>
          </cell>
        </row>
        <row r="281">
          <cell r="A281" t="str">
            <v>Деревенская с чесночком и сальцем п/к (черева) 390 гр.шт. термоус. пак.  СПК</v>
          </cell>
          <cell r="D281">
            <v>274</v>
          </cell>
          <cell r="F281">
            <v>274</v>
          </cell>
        </row>
        <row r="282">
          <cell r="A282" t="str">
            <v>Докторская вареная в/с  СПК</v>
          </cell>
          <cell r="D282">
            <v>1</v>
          </cell>
          <cell r="F282">
            <v>1</v>
          </cell>
        </row>
        <row r="283">
          <cell r="A283" t="str">
            <v>Докторская вареная в/с 0,47 кг шт.  СПК</v>
          </cell>
          <cell r="D283">
            <v>48</v>
          </cell>
          <cell r="F283">
            <v>49</v>
          </cell>
        </row>
        <row r="284">
          <cell r="A284" t="str">
            <v>Докторская вареная термоус.пак. "Высокий вкус"  СПК</v>
          </cell>
          <cell r="D284">
            <v>109.4</v>
          </cell>
          <cell r="F284">
            <v>109.4</v>
          </cell>
        </row>
        <row r="285">
          <cell r="A285" t="str">
            <v>ЖАР-ладушки с клубникой и вишней ТМ Стародворье 0,2 кг ПОКОМ</v>
          </cell>
          <cell r="F285">
            <v>46</v>
          </cell>
        </row>
        <row r="286">
          <cell r="A286" t="str">
            <v>ЖАР-ладушки с мясом 0,2кг ТМ Стародворье  ПОКОМ</v>
          </cell>
          <cell r="D286">
            <v>7</v>
          </cell>
          <cell r="F286">
            <v>462</v>
          </cell>
        </row>
        <row r="287">
          <cell r="A287" t="str">
            <v>ЖАР-ладушки с яблоком и грушей ТМ Стародворье 0,2 кг. ПОКОМ</v>
          </cell>
          <cell r="F287">
            <v>37</v>
          </cell>
        </row>
        <row r="288">
          <cell r="A288" t="str">
            <v>Карбонад Юбилейный термоус.пак.  СПК</v>
          </cell>
          <cell r="D288">
            <v>63.5</v>
          </cell>
          <cell r="F288">
            <v>63.5</v>
          </cell>
        </row>
        <row r="289">
          <cell r="A289" t="str">
            <v>Каша гречневая с говядиной "СПК" ж/б 0,340 кг.шт. термоус. пл. ЧМК  СПК</v>
          </cell>
          <cell r="D289">
            <v>35</v>
          </cell>
          <cell r="F289">
            <v>35</v>
          </cell>
        </row>
        <row r="290">
          <cell r="A290" t="str">
            <v>Каша перловая с говядиной "СПК" ж/б 0,340 кг.шт. термоус. пл. ЧМК СПК</v>
          </cell>
          <cell r="D290">
            <v>87</v>
          </cell>
          <cell r="F290">
            <v>87</v>
          </cell>
        </row>
        <row r="291">
          <cell r="A291" t="str">
            <v>Классическая с/к 80 гр.шт.нар. (лоток с ср.защ.атм.)  СПК</v>
          </cell>
          <cell r="D291">
            <v>35</v>
          </cell>
          <cell r="F291">
            <v>35</v>
          </cell>
        </row>
        <row r="292">
          <cell r="A292" t="str">
            <v>Колбаски ПодПивасики оригинальные с/к 0,10 кг.шт. термофор.пак.  СПК</v>
          </cell>
          <cell r="D292">
            <v>802</v>
          </cell>
          <cell r="F292">
            <v>802</v>
          </cell>
        </row>
        <row r="293">
          <cell r="A293" t="str">
            <v>Колбаски ПодПивасики острые с/к 0,10 кг.шт. термофор.пак.  СПК</v>
          </cell>
          <cell r="D293">
            <v>730</v>
          </cell>
          <cell r="F293">
            <v>730</v>
          </cell>
        </row>
        <row r="294">
          <cell r="A294" t="str">
            <v>Колбаски ПодПивасики с сыром с/к 100 гр.шт. (в ср.защ.атм.)  СПК</v>
          </cell>
          <cell r="D294">
            <v>153</v>
          </cell>
          <cell r="F294">
            <v>153</v>
          </cell>
        </row>
        <row r="295">
          <cell r="A295" t="str">
            <v>Круггетсы с сырным соусом ТМ Горячая штучка 0,25 кг зам  ПОКОМ</v>
          </cell>
          <cell r="D295">
            <v>3</v>
          </cell>
          <cell r="F295">
            <v>682</v>
          </cell>
        </row>
        <row r="296">
          <cell r="A296" t="str">
            <v>Круггетсы сочные ТМ Горячая штучка ТС Круггетсы  ВЕС(3 кг)  ПОКОМ</v>
          </cell>
          <cell r="D296">
            <v>1</v>
          </cell>
          <cell r="F296">
            <v>1</v>
          </cell>
        </row>
        <row r="297">
          <cell r="A297" t="str">
            <v>Круггетсы сочные ТМ Горячая штучка ТС Круггетсы 0,25 кг зам  ПОКОМ</v>
          </cell>
          <cell r="D297">
            <v>1059</v>
          </cell>
          <cell r="F297">
            <v>2461</v>
          </cell>
        </row>
        <row r="298">
          <cell r="A298" t="str">
            <v>Ла Фаворте с/в "Эликатессе" 140 гр.шт.  СПК</v>
          </cell>
          <cell r="D298">
            <v>92</v>
          </cell>
          <cell r="F298">
            <v>92</v>
          </cell>
        </row>
        <row r="299">
          <cell r="A299" t="str">
            <v>Ливерная Печеночная "Просто выгодно" 0,3 кг.шт.  СПК</v>
          </cell>
          <cell r="D299">
            <v>114</v>
          </cell>
          <cell r="F299">
            <v>114</v>
          </cell>
        </row>
        <row r="300">
          <cell r="A300" t="str">
            <v>Любительская вареная термоус.пак. "Высокий вкус"  СПК</v>
          </cell>
          <cell r="D300">
            <v>152.69999999999999</v>
          </cell>
          <cell r="F300">
            <v>152.69999999999999</v>
          </cell>
        </row>
        <row r="301">
          <cell r="A301" t="str">
            <v>Мини-пицца с ветчиной и сыром ТМ Зареченские ВЕС,  ПОКОМ</v>
          </cell>
          <cell r="F301">
            <v>12</v>
          </cell>
        </row>
        <row r="302">
          <cell r="A302" t="str">
            <v>Мини-сосиски в тесте 3,7кг ВЕС заморож. ТМ Зареченские  ПОКОМ</v>
          </cell>
          <cell r="F302">
            <v>244.20099999999999</v>
          </cell>
        </row>
        <row r="303">
          <cell r="A303" t="str">
            <v>Мини-чебуречки с мясом ВЕС 5,5кг ТМ Зареченские  ПОКОМ</v>
          </cell>
          <cell r="D303">
            <v>5.5</v>
          </cell>
          <cell r="F303">
            <v>104.5</v>
          </cell>
        </row>
        <row r="304">
          <cell r="A304" t="str">
            <v>Мини-шарики с курочкой и сыром ТМ Зареченские ВЕС  ПОКОМ</v>
          </cell>
          <cell r="F304">
            <v>204</v>
          </cell>
        </row>
        <row r="305">
          <cell r="A305" t="str">
            <v>Наггетсы из печи 0,25кг ТМ Вязанка ТС Няняггетсы Сливушки замор.  ПОКОМ</v>
          </cell>
          <cell r="D305">
            <v>10</v>
          </cell>
          <cell r="F305">
            <v>2548</v>
          </cell>
        </row>
        <row r="306">
          <cell r="A306" t="str">
            <v>Наггетсы Нагетосы Сочная курочка ТМ Горячая штучка 0,25 кг зам  ПОКОМ</v>
          </cell>
          <cell r="D306">
            <v>17</v>
          </cell>
          <cell r="F306">
            <v>1424</v>
          </cell>
        </row>
        <row r="307">
          <cell r="A307" t="str">
            <v>Наггетсы с индейкой 0,25кг ТМ Вязанка ТС Няняггетсы Сливушки НД2 замор.  ПОКОМ</v>
          </cell>
          <cell r="D307">
            <v>17</v>
          </cell>
          <cell r="F307">
            <v>2098</v>
          </cell>
        </row>
        <row r="308">
          <cell r="A308" t="str">
            <v>Наггетсы с куриным филе и сыром ТМ Вязанка 0,25 кг ПОКОМ</v>
          </cell>
          <cell r="D308">
            <v>4</v>
          </cell>
          <cell r="F308">
            <v>1695</v>
          </cell>
        </row>
        <row r="309">
          <cell r="A309" t="str">
            <v>Наггетсы Хрустящие 0,3кг ТМ Зареченские  ПОКОМ</v>
          </cell>
          <cell r="F309">
            <v>128</v>
          </cell>
        </row>
        <row r="310">
          <cell r="A310" t="str">
            <v>Наггетсы Хрустящие ТМ Зареченские. ВЕС ПОКОМ</v>
          </cell>
          <cell r="F310">
            <v>754</v>
          </cell>
        </row>
        <row r="311">
          <cell r="A311" t="str">
            <v>Оригинальная с перцем с/к  СПК</v>
          </cell>
          <cell r="D311">
            <v>120.7</v>
          </cell>
          <cell r="F311">
            <v>120.7</v>
          </cell>
        </row>
        <row r="312">
          <cell r="A312" t="str">
            <v>Оригинальная с перцем с/к 0,235 кг.шт.  СПК</v>
          </cell>
          <cell r="D312">
            <v>64.2</v>
          </cell>
          <cell r="F312">
            <v>64.2</v>
          </cell>
        </row>
        <row r="313">
          <cell r="A313" t="str">
            <v>Паштет печеночный 140 гр.шт.  СПК</v>
          </cell>
          <cell r="D313">
            <v>28</v>
          </cell>
          <cell r="F313">
            <v>32</v>
          </cell>
        </row>
        <row r="314">
          <cell r="A314" t="str">
            <v>Пекерсы с индейкой в сливочном соусе ТМ Горячая штучка 0,25 кг зам  ПОКОМ</v>
          </cell>
          <cell r="F314">
            <v>298</v>
          </cell>
        </row>
        <row r="315">
          <cell r="A315" t="str">
            <v>Пельмени Grandmeni с говядиной и свининой 0,7кг ТМ Горячая штучка  ПОКОМ</v>
          </cell>
          <cell r="F315">
            <v>113</v>
          </cell>
        </row>
        <row r="316">
          <cell r="A316" t="str">
            <v>Пельмени Бигбули #МЕГАВКУСИЩЕ с сочной грудинкой ТМ Горячая штучка 0,4 кг. ПОКОМ</v>
          </cell>
          <cell r="D316">
            <v>3</v>
          </cell>
          <cell r="F316">
            <v>198</v>
          </cell>
        </row>
        <row r="317">
          <cell r="A317" t="str">
            <v>Пельмени Бигбули #МЕГАВКУСИЩЕ с сочной грудинкой ТМ Горячая штучка 0,7 кг. ПОКОМ</v>
          </cell>
          <cell r="F317">
            <v>500</v>
          </cell>
        </row>
        <row r="318">
          <cell r="A318" t="str">
            <v>Пельмени Бигбули с мясом ТМ Горячая штучка. флоу-пак сфера 0,4 кг. ПОКОМ</v>
          </cell>
          <cell r="D318">
            <v>5</v>
          </cell>
          <cell r="F318">
            <v>222</v>
          </cell>
        </row>
        <row r="319">
          <cell r="A319" t="str">
            <v>Пельмени Бигбули с мясом ТМ Горячая штучка. флоу-пак сфера 0,7 кг ПОКОМ</v>
          </cell>
          <cell r="D319">
            <v>643</v>
          </cell>
          <cell r="F319">
            <v>2133</v>
          </cell>
        </row>
        <row r="320">
          <cell r="A320" t="str">
            <v>Пельмени Бигбули со сливоч.маслом (Мегамаслище) ТМ БУЛЬМЕНИ сфера 0,43. замор. ПОКОМ</v>
          </cell>
          <cell r="F320">
            <v>6</v>
          </cell>
        </row>
        <row r="321">
          <cell r="A321" t="str">
            <v>Пельмени Бигбули со сливочным маслом ТМ Горячая штучка, флоу-пак сфера 0,4. ПОКОМ</v>
          </cell>
          <cell r="F321">
            <v>173</v>
          </cell>
        </row>
        <row r="322">
          <cell r="A322" t="str">
            <v>Пельмени Бигбули со сливочным маслом ТМ Горячая штучка, флоу-пак сфера 0,7. ПОКОМ</v>
          </cell>
          <cell r="F322">
            <v>978</v>
          </cell>
        </row>
        <row r="323">
          <cell r="A323" t="str">
            <v>Пельмени Бульмени по-сибирски с говядиной и свининой ТМ Горячая штучка 0,8 кг ПОКОМ</v>
          </cell>
          <cell r="F323">
            <v>807</v>
          </cell>
        </row>
        <row r="324">
          <cell r="A324" t="str">
            <v>Пельмени Бульмени с говядиной и свининой Горячая шт. 0,9 кг  ПОКОМ</v>
          </cell>
          <cell r="F324">
            <v>2</v>
          </cell>
        </row>
        <row r="325">
          <cell r="A325" t="str">
            <v>Пельмени Бульмени с говядиной и свининой Горячая штучка 0,43  ПОКОМ</v>
          </cell>
          <cell r="F325">
            <v>2</v>
          </cell>
        </row>
        <row r="326">
          <cell r="A326" t="str">
            <v>Пельмени Бульмени с говядиной и свининой Наваристые 2,7кг Горячая штучка ВЕС  ПОКОМ</v>
          </cell>
          <cell r="D326">
            <v>2.7</v>
          </cell>
          <cell r="F326">
            <v>83.302000000000007</v>
          </cell>
        </row>
        <row r="327">
          <cell r="A327" t="str">
            <v>Пельмени Бульмени с говядиной и свининой Наваристые 5кг Горячая штучка ВЕС  ПОКОМ</v>
          </cell>
          <cell r="D327">
            <v>10</v>
          </cell>
          <cell r="F327">
            <v>1202.701</v>
          </cell>
        </row>
        <row r="328">
          <cell r="A328" t="str">
            <v>Пельмени Бульмени с говядиной и свининой ТМ Горячая штучка. флоу-пак сфера 0,4 кг ПОКОМ</v>
          </cell>
          <cell r="D328">
            <v>17</v>
          </cell>
          <cell r="F328">
            <v>795</v>
          </cell>
        </row>
        <row r="329">
          <cell r="A329" t="str">
            <v>Пельмени Бульмени с говядиной и свининой ТМ Горячая штучка. флоу-пак сфера 0,7 кг ПОКОМ</v>
          </cell>
          <cell r="D329">
            <v>969</v>
          </cell>
          <cell r="F329">
            <v>2806</v>
          </cell>
        </row>
        <row r="330">
          <cell r="A330" t="str">
            <v>Пельмени Бульмени со сливочным маслом ТМ Горячая шт. 0,43 кг  ПОКОМ</v>
          </cell>
          <cell r="F330">
            <v>1</v>
          </cell>
        </row>
        <row r="331">
          <cell r="A331" t="str">
            <v>Пельмени Бульмени со сливочным маслом ТМ Горячая штучка. флоу-пак сфера 0,4 кг. ПОКОМ</v>
          </cell>
          <cell r="D331">
            <v>16</v>
          </cell>
          <cell r="F331">
            <v>1185</v>
          </cell>
        </row>
        <row r="332">
          <cell r="A332" t="str">
            <v>Пельмени Бульмени со сливочным маслом ТМ Горячая штучка.флоу-пак сфера 0,7 кг. ПОКОМ</v>
          </cell>
          <cell r="D332">
            <v>1416</v>
          </cell>
          <cell r="F332">
            <v>3667</v>
          </cell>
        </row>
        <row r="333">
          <cell r="A333" t="str">
            <v>Пельмени Домашние с говядиной и свининой 0,7кг, сфера ТМ Зареченские  ПОКОМ</v>
          </cell>
          <cell r="F333">
            <v>8</v>
          </cell>
        </row>
        <row r="334">
          <cell r="A334" t="str">
            <v>Пельмени Медвежьи ушки с фермерскими сливками 0,7кг  ПОКОМ</v>
          </cell>
          <cell r="F334">
            <v>247</v>
          </cell>
        </row>
        <row r="335">
          <cell r="A335" t="str">
            <v>Пельмени Медвежьи ушки с фермерской свининой и говядиной Малые 0,7кг  ПОКОМ</v>
          </cell>
          <cell r="F335">
            <v>283</v>
          </cell>
        </row>
        <row r="336">
          <cell r="A336" t="str">
            <v>Пельмени Мясорубские с рубленой грудинкой ТМ Стародворье флоупак  0,7 кг. ПОКОМ</v>
          </cell>
          <cell r="F336">
            <v>132</v>
          </cell>
        </row>
        <row r="337">
          <cell r="A337" t="str">
            <v>Пельмени Мясорубские ТМ Стародворье фоупак равиоли 0,7 кг  ПОКОМ</v>
          </cell>
          <cell r="D337">
            <v>16</v>
          </cell>
          <cell r="F337">
            <v>1276</v>
          </cell>
        </row>
        <row r="338">
          <cell r="A338" t="str">
            <v>Пельмени Отборные из свинины и говядины 0,9 кг ТМ Стародворье ТС Медвежье ушко  ПОКОМ</v>
          </cell>
          <cell r="F338">
            <v>301</v>
          </cell>
        </row>
        <row r="339">
          <cell r="A339" t="str">
            <v>Пельмени С говядиной и свининой, ВЕС, сфера пуговки Мясная Галерея  ПОКОМ</v>
          </cell>
          <cell r="F339">
            <v>500</v>
          </cell>
        </row>
        <row r="340">
          <cell r="A340" t="str">
            <v>Пельмени Со свининой и говядиной ТМ Особый рецепт Любимая ложка 1,0 кг  ПОКОМ</v>
          </cell>
          <cell r="D340">
            <v>4</v>
          </cell>
          <cell r="F340">
            <v>654</v>
          </cell>
        </row>
        <row r="341">
          <cell r="A341" t="str">
            <v>Пельмени Сочные сфера 0,8 кг ТМ Стародворье  ПОКОМ</v>
          </cell>
          <cell r="F341">
            <v>76</v>
          </cell>
        </row>
        <row r="342">
          <cell r="A342" t="str">
            <v>Пирожки с мясом 0,3кг ТМ Зареченские  ПОКОМ</v>
          </cell>
          <cell r="F342">
            <v>32</v>
          </cell>
        </row>
        <row r="343">
          <cell r="A343" t="str">
            <v>Пирожки с мясом 3,7кг ВЕС ТМ Зареченские  ПОКОМ</v>
          </cell>
          <cell r="F343">
            <v>196.11500000000001</v>
          </cell>
        </row>
        <row r="344">
          <cell r="A344" t="str">
            <v>Покровская вареная 0,47 кг шт.  СПК</v>
          </cell>
          <cell r="D344">
            <v>11</v>
          </cell>
          <cell r="F344">
            <v>11</v>
          </cell>
        </row>
        <row r="345">
          <cell r="A345" t="str">
            <v>Ричеза с/к 230 гр.шт.  СПК</v>
          </cell>
          <cell r="D345">
            <v>83</v>
          </cell>
          <cell r="F345">
            <v>85</v>
          </cell>
        </row>
        <row r="346">
          <cell r="A346" t="str">
            <v>Сальчетти с/к 230 гр.шт.  СПК</v>
          </cell>
          <cell r="D346">
            <v>125</v>
          </cell>
          <cell r="F346">
            <v>125</v>
          </cell>
        </row>
        <row r="347">
          <cell r="A347" t="str">
            <v>Сальчичон с/к 200 гр. срез "Эликатессе" термоформ.пак.  СПК</v>
          </cell>
          <cell r="D347">
            <v>8</v>
          </cell>
          <cell r="F347">
            <v>8</v>
          </cell>
        </row>
        <row r="348">
          <cell r="A348" t="str">
            <v>Салями с перчиком с/к "КолбасГрад" 160 гр.шт. термоус. пак.  СПК</v>
          </cell>
          <cell r="D348">
            <v>206</v>
          </cell>
          <cell r="F348">
            <v>206</v>
          </cell>
        </row>
        <row r="349">
          <cell r="A349" t="str">
            <v>Салями с/к 100 гр.шт.нар. (лоток с ср.защ.атм.)  СПК</v>
          </cell>
          <cell r="D349">
            <v>59</v>
          </cell>
          <cell r="F349">
            <v>59</v>
          </cell>
        </row>
        <row r="350">
          <cell r="A350" t="str">
            <v>Салями Трюфель с/в "Эликатессе" 0,16 кг.шт.  СПК</v>
          </cell>
          <cell r="D350">
            <v>154</v>
          </cell>
          <cell r="F350">
            <v>154</v>
          </cell>
        </row>
        <row r="351">
          <cell r="A351" t="str">
            <v>Сардельки "Докторские" (черева) ( в ср.защ.атм.) 1.0 кг. "Высокий вкус"  СПК</v>
          </cell>
          <cell r="D351">
            <v>64</v>
          </cell>
          <cell r="F351">
            <v>64</v>
          </cell>
        </row>
        <row r="352">
          <cell r="A352" t="str">
            <v>Сардельки из говядины (черева) (в ср.защ.атм.) "Высокий вкус"  СПК</v>
          </cell>
          <cell r="D352">
            <v>24</v>
          </cell>
          <cell r="F352">
            <v>26.071000000000002</v>
          </cell>
        </row>
        <row r="353">
          <cell r="A353" t="str">
            <v>Семейная с чесночком Экстра вареная  СПК</v>
          </cell>
          <cell r="D353">
            <v>6</v>
          </cell>
          <cell r="F353">
            <v>6</v>
          </cell>
        </row>
        <row r="354">
          <cell r="A354" t="str">
            <v>Сервелат Европейский в/к, в/с 0,38 кг.шт.термофор.пак  СПК</v>
          </cell>
          <cell r="D354">
            <v>33</v>
          </cell>
          <cell r="F354">
            <v>33</v>
          </cell>
        </row>
        <row r="355">
          <cell r="A355" t="str">
            <v>Сервелат Коньячный в/к 0,38 кг.шт термофор.пак  СПК</v>
          </cell>
          <cell r="D355">
            <v>3</v>
          </cell>
          <cell r="F355">
            <v>3</v>
          </cell>
        </row>
        <row r="356">
          <cell r="A356" t="str">
            <v>Сервелат мелкозернистый в/к 0,5 кг.шт. термоус.пак. "Высокий вкус"  СПК</v>
          </cell>
          <cell r="D356">
            <v>75</v>
          </cell>
          <cell r="F356">
            <v>75</v>
          </cell>
        </row>
        <row r="357">
          <cell r="A357" t="str">
            <v>Сервелат Финский в/к 0,38 кг.шт. термофор.пак.  СПК</v>
          </cell>
          <cell r="D357">
            <v>27</v>
          </cell>
          <cell r="F357">
            <v>27</v>
          </cell>
        </row>
        <row r="358">
          <cell r="A358" t="str">
            <v>Сервелат Фирменный в/к 0,10 кг.шт. нарезка (лоток с ср.защ.атм.)  СПК</v>
          </cell>
          <cell r="D358">
            <v>74</v>
          </cell>
          <cell r="F358">
            <v>74</v>
          </cell>
        </row>
        <row r="359">
          <cell r="A359" t="str">
            <v>Сибирская особая с/к 0,10 кг.шт. нарезка (лоток с ср.защ.атм.)  СПК</v>
          </cell>
          <cell r="D359">
            <v>158</v>
          </cell>
          <cell r="F359">
            <v>158</v>
          </cell>
        </row>
        <row r="360">
          <cell r="A360" t="str">
            <v>Сибирская особая с/к 0,235 кг шт.  СПК</v>
          </cell>
          <cell r="D360">
            <v>188</v>
          </cell>
          <cell r="F360">
            <v>188</v>
          </cell>
        </row>
        <row r="361">
          <cell r="A361" t="str">
            <v>Сосиски "Баварские" 0,36 кг.шт. вак.упак.  СПК</v>
          </cell>
          <cell r="D361">
            <v>2</v>
          </cell>
          <cell r="F361">
            <v>2</v>
          </cell>
        </row>
        <row r="362">
          <cell r="A362" t="str">
            <v>Сосиски "Молочные" 0,36 кг.шт. вак.упак.  СПК</v>
          </cell>
          <cell r="D362">
            <v>9</v>
          </cell>
          <cell r="F362">
            <v>9</v>
          </cell>
        </row>
        <row r="363">
          <cell r="A363" t="str">
            <v>Сосиски Мусульманские "Просто выгодно" (в ср.защ.атм.)  СПК</v>
          </cell>
          <cell r="D363">
            <v>6</v>
          </cell>
          <cell r="F363">
            <v>6</v>
          </cell>
        </row>
        <row r="364">
          <cell r="A364" t="str">
            <v>Сосиски Хот-дог подкопченные (лоток с ср.защ.атм.)  СПК</v>
          </cell>
          <cell r="D364">
            <v>11</v>
          </cell>
          <cell r="F364">
            <v>11</v>
          </cell>
        </row>
        <row r="365">
          <cell r="A365" t="str">
            <v>Сочный мегачебурек ТМ Зареченские ВЕС ПОКОМ</v>
          </cell>
          <cell r="F365">
            <v>148.34399999999999</v>
          </cell>
        </row>
        <row r="366">
          <cell r="A366" t="str">
            <v>Торо Неро с/в "Эликатессе" 140 гр.шт.  СПК</v>
          </cell>
          <cell r="D366">
            <v>51</v>
          </cell>
          <cell r="F366">
            <v>52</v>
          </cell>
        </row>
        <row r="367">
          <cell r="A367" t="str">
            <v>У_517  Сосиски С сыром ТМ Ядрена копоть 0,3кг  ПОКОМ</v>
          </cell>
          <cell r="D367">
            <v>9</v>
          </cell>
          <cell r="F367">
            <v>340</v>
          </cell>
        </row>
        <row r="368">
          <cell r="A368" t="str">
            <v>Утренняя вареная ВЕС СПК</v>
          </cell>
          <cell r="D368">
            <v>19</v>
          </cell>
          <cell r="F368">
            <v>19</v>
          </cell>
        </row>
        <row r="369">
          <cell r="A369" t="str">
            <v>Уши свиные копченые к пиву 0,15кг нар. д/ф шт.  СПК</v>
          </cell>
          <cell r="D369">
            <v>44</v>
          </cell>
          <cell r="F369">
            <v>44</v>
          </cell>
        </row>
        <row r="370">
          <cell r="A370" t="str">
            <v>Фестивальная пора с/к 100 гр.шт.нар. (лоток с ср.защ.атм.)  СПК</v>
          </cell>
          <cell r="D370">
            <v>239</v>
          </cell>
          <cell r="F370">
            <v>239</v>
          </cell>
        </row>
        <row r="371">
          <cell r="A371" t="str">
            <v>Фестивальная пора с/к 235 гр.шт.  СПК</v>
          </cell>
          <cell r="D371">
            <v>361</v>
          </cell>
          <cell r="F371">
            <v>361</v>
          </cell>
        </row>
        <row r="372">
          <cell r="A372" t="str">
            <v>Фестивальная пора с/к термоус.пак  СПК</v>
          </cell>
          <cell r="D372">
            <v>39.5</v>
          </cell>
          <cell r="F372">
            <v>40.683999999999997</v>
          </cell>
        </row>
        <row r="373">
          <cell r="A373" t="str">
            <v>Фирменная с/к 200 гр. срез "Эликатессе" термоформ.пак.  СПК</v>
          </cell>
          <cell r="D373">
            <v>115</v>
          </cell>
          <cell r="F373">
            <v>115</v>
          </cell>
        </row>
        <row r="374">
          <cell r="A374" t="str">
            <v>Фуэт с/в "Эликатессе" 160 гр.шт.  СПК</v>
          </cell>
          <cell r="D374">
            <v>150</v>
          </cell>
          <cell r="F374">
            <v>152</v>
          </cell>
        </row>
        <row r="375">
          <cell r="A375" t="str">
            <v>Хинкали Классические ТМ Зареченские ВЕС ПОКОМ</v>
          </cell>
          <cell r="F375">
            <v>110</v>
          </cell>
        </row>
        <row r="376">
          <cell r="A376" t="str">
            <v>Хот-догстер ТМ Горячая штучка ТС Хот-Догстер флоу-пак 0,09 кг. ПОКОМ</v>
          </cell>
          <cell r="D376">
            <v>3</v>
          </cell>
          <cell r="F376">
            <v>279</v>
          </cell>
        </row>
        <row r="377">
          <cell r="A377" t="str">
            <v>Хотстеры с сыром 0,25кг ТМ Горячая штучка  ПОКОМ</v>
          </cell>
          <cell r="D377">
            <v>7</v>
          </cell>
          <cell r="F377">
            <v>584</v>
          </cell>
        </row>
        <row r="378">
          <cell r="A378" t="str">
            <v>Хотстеры ТМ Горячая штучка ТС Хотстеры 0,25 кг зам  ПОКОМ</v>
          </cell>
          <cell r="D378">
            <v>729</v>
          </cell>
          <cell r="F378">
            <v>2560</v>
          </cell>
        </row>
        <row r="379">
          <cell r="A379" t="str">
            <v>Хрустящие крылышки острые к пиву ТМ Горячая штучка 0,3кг зам  ПОКОМ</v>
          </cell>
          <cell r="D379">
            <v>1</v>
          </cell>
          <cell r="F379">
            <v>579</v>
          </cell>
        </row>
        <row r="380">
          <cell r="A380" t="str">
            <v>Хрустящие крылышки ТМ Горячая штучка 0,3 кг зам  ПОКОМ</v>
          </cell>
          <cell r="D380">
            <v>2</v>
          </cell>
          <cell r="F380">
            <v>470</v>
          </cell>
        </row>
        <row r="381">
          <cell r="A381" t="str">
            <v>Чебупели Foodgital 0,25кг ТМ Горячая штучка  ПОКОМ</v>
          </cell>
          <cell r="D381">
            <v>1</v>
          </cell>
          <cell r="F381">
            <v>15</v>
          </cell>
        </row>
        <row r="382">
          <cell r="A382" t="str">
            <v>Чебупели Курочка гриль ТМ Горячая штучка, 0,3 кг зам  ПОКОМ</v>
          </cell>
          <cell r="D382">
            <v>3</v>
          </cell>
          <cell r="F382">
            <v>400</v>
          </cell>
        </row>
        <row r="383">
          <cell r="A383" t="str">
            <v>Чебупицца курочка по-итальянски Горячая штучка 0,25 кг зам  ПОКОМ</v>
          </cell>
          <cell r="D383">
            <v>969</v>
          </cell>
          <cell r="F383">
            <v>2885</v>
          </cell>
        </row>
        <row r="384">
          <cell r="A384" t="str">
            <v>Чебупицца Пепперони ТМ Горячая штучка ТС Чебупицца 0.25кг зам  ПОКОМ</v>
          </cell>
          <cell r="D384">
            <v>1387</v>
          </cell>
          <cell r="F384">
            <v>4149</v>
          </cell>
        </row>
        <row r="385">
          <cell r="A385" t="str">
            <v>Чебуреки Мясные вес 2,7 кг ТМ Зареченские ВЕС ПОКОМ</v>
          </cell>
          <cell r="F385">
            <v>13.512</v>
          </cell>
        </row>
        <row r="386">
          <cell r="A386" t="str">
            <v>Чебуреки сочные ВЕС ТМ Зареченские  ПОКОМ</v>
          </cell>
          <cell r="F386">
            <v>517.20000000000005</v>
          </cell>
        </row>
        <row r="387">
          <cell r="A387" t="str">
            <v>Шпикачки Русские (черева) (в ср.защ.атм.) "Высокий вкус"  СПК</v>
          </cell>
          <cell r="D387">
            <v>52</v>
          </cell>
          <cell r="F387">
            <v>52</v>
          </cell>
        </row>
        <row r="388">
          <cell r="A388" t="str">
            <v>Эликапреза с/в "Эликатессе" 85 гр.шт. нарезка (лоток с ср.защ.атм.)  СПК</v>
          </cell>
          <cell r="D388">
            <v>9</v>
          </cell>
          <cell r="F388">
            <v>9</v>
          </cell>
        </row>
        <row r="389">
          <cell r="A389" t="str">
            <v>Юбилейная с/к 0,235 кг.шт.  СПК</v>
          </cell>
          <cell r="D389">
            <v>672</v>
          </cell>
          <cell r="F389">
            <v>672</v>
          </cell>
        </row>
        <row r="390">
          <cell r="A390" t="str">
            <v>Итого</v>
          </cell>
          <cell r="D390">
            <v>117172.925</v>
          </cell>
          <cell r="F390">
            <v>293352.04300000001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17.04.2025 - 17.04.2025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29.754000000000001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152.90299999999999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168.21700000000001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335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680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731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145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87</v>
          </cell>
        </row>
        <row r="16">
          <cell r="A16" t="str">
            <v xml:space="preserve"> 073  Колбаса Салями Баварушка зернистая, в/у 0.35 кг срез, ТМ Стародворье ПОКОМ</v>
          </cell>
          <cell r="D16">
            <v>-1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442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112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43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56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105.468</v>
          </cell>
        </row>
        <row r="23">
          <cell r="A23" t="str">
            <v xml:space="preserve"> 201  Ветчина Нежная ТМ Особый рецепт, (2,5кг), ПОКОМ</v>
          </cell>
          <cell r="D23">
            <v>849.12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75.64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207.21899999999999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101.422</v>
          </cell>
        </row>
        <row r="27">
          <cell r="A27" t="str">
            <v xml:space="preserve"> 230  Колбаса Молочная Особая ТМ Особый рецепт, п/а, ВЕС. ПОКОМ</v>
          </cell>
          <cell r="D27">
            <v>-0.104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49.835000000000001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13.262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96.305999999999997</v>
          </cell>
        </row>
        <row r="31">
          <cell r="A31" t="str">
            <v xml:space="preserve"> 247  Сардельки Нежные, ВЕС.  ПОКОМ</v>
          </cell>
          <cell r="D31">
            <v>33.073</v>
          </cell>
        </row>
        <row r="32">
          <cell r="A32" t="str">
            <v xml:space="preserve"> 248  Сардельки Сочные ТМ Особый рецепт,   ПОКОМ</v>
          </cell>
          <cell r="D32">
            <v>29.08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131.13200000000001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37.046999999999997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D35">
            <v>11.753</v>
          </cell>
        </row>
        <row r="36">
          <cell r="A36" t="str">
            <v xml:space="preserve"> 263  Шпикачки Стародворские, ВЕС.  ПОКОМ</v>
          </cell>
          <cell r="D36">
            <v>6.8</v>
          </cell>
        </row>
        <row r="37">
          <cell r="A37" t="str">
            <v xml:space="preserve"> 265  Колбаса Балыкбургская, ВЕС, ТМ Баварушка  ПОКОМ</v>
          </cell>
          <cell r="D37">
            <v>5.444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D38">
            <v>8.0299999999999994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D39">
            <v>5.4530000000000003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160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783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507</v>
          </cell>
        </row>
        <row r="43">
          <cell r="A43" t="str">
            <v xml:space="preserve"> 283  Сосиски Сочинки, ВЕС, ТМ Стародворье ПОКОМ</v>
          </cell>
          <cell r="D43">
            <v>76.658000000000001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147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199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59.734000000000002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223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349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D49">
            <v>1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19.443000000000001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117.70399999999999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325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375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224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47.08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76.525999999999996</v>
          </cell>
        </row>
        <row r="57">
          <cell r="A57" t="str">
            <v xml:space="preserve"> 316  Колбаса Нежная ТМ Зареченские ВЕС  ПОКОМ</v>
          </cell>
          <cell r="D57">
            <v>19.521999999999998</v>
          </cell>
        </row>
        <row r="58">
          <cell r="A58" t="str">
            <v xml:space="preserve"> 318  Сосиски Датские ТМ Зареченские, ВЕС  ПОКОМ</v>
          </cell>
          <cell r="D58">
            <v>231.626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544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723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156</v>
          </cell>
        </row>
        <row r="62">
          <cell r="A62" t="str">
            <v xml:space="preserve"> 328  Сардельки Сочинки Стародворье ТМ  0,4 кг ПОКОМ</v>
          </cell>
          <cell r="D62">
            <v>98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49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125.218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90</v>
          </cell>
        </row>
        <row r="66">
          <cell r="A66" t="str">
            <v xml:space="preserve"> 335  Колбаса Сливушка ТМ Вязанка. ВЕС.  ПОКОМ </v>
          </cell>
          <cell r="D66">
            <v>5.5579999999999998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455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224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147.12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71.745999999999995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146.39500000000001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116.22199999999999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28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33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86</v>
          </cell>
        </row>
        <row r="76">
          <cell r="A76" t="str">
            <v xml:space="preserve"> 364  Сардельки Филейские Вязанка ВЕС NDX ТМ Вязанка  ПОКОМ</v>
          </cell>
          <cell r="D76">
            <v>60.945999999999998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86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133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207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181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132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D82">
            <v>19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498</v>
          </cell>
        </row>
        <row r="84">
          <cell r="A84" t="str">
            <v xml:space="preserve"> 412  Сосиски Баварские ТМ Стародворье 0,35 кг ПОКОМ</v>
          </cell>
          <cell r="D84">
            <v>996</v>
          </cell>
        </row>
        <row r="85">
          <cell r="A85" t="str">
            <v xml:space="preserve"> 414  Колбаса Филейбургская с филе сочного окорока 0,11 кг ТМ Баварушка ПОКОМ</v>
          </cell>
          <cell r="D85">
            <v>6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D86">
            <v>73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D87">
            <v>54.689</v>
          </cell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D88">
            <v>1.45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27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27.524000000000001</v>
          </cell>
        </row>
        <row r="91">
          <cell r="A91" t="str">
            <v xml:space="preserve"> 445  Колбаса Краковюрст ТМ Баварушка рубленая в оболочке черева в в.у 0,2 кг ПОКОМ</v>
          </cell>
          <cell r="D91">
            <v>8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65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39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55.106999999999999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613.46600000000001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68.739999999999995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558.52300000000002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50.631999999999998</v>
          </cell>
        </row>
        <row r="99">
          <cell r="A99" t="str">
            <v xml:space="preserve"> 467  Колбаса Филейная 0,5кг ТМ Особый рецепт  ПОКОМ</v>
          </cell>
          <cell r="D99">
            <v>31</v>
          </cell>
        </row>
        <row r="100">
          <cell r="A100" t="str">
            <v xml:space="preserve"> 468  Колбаса Стародворская Традиционная ТМ Стародворье в оболочке полиамид 0,4 кг. ПОКОМ</v>
          </cell>
          <cell r="D100">
            <v>2</v>
          </cell>
        </row>
        <row r="101">
          <cell r="A101" t="str">
            <v xml:space="preserve"> 478  Сардельки Зареченские ВЕС ТМ Зареченские  ПОКОМ</v>
          </cell>
          <cell r="D101">
            <v>16.097000000000001</v>
          </cell>
        </row>
        <row r="102">
          <cell r="A102" t="str">
            <v xml:space="preserve"> 495  Колбаса Сочинка по-европейски с сочной грудинкой 0,3кг ТМ Стародворье  ПОКОМ</v>
          </cell>
          <cell r="D102">
            <v>301</v>
          </cell>
        </row>
        <row r="103">
          <cell r="A103" t="str">
            <v xml:space="preserve"> 496  Колбаса Сочинка по-фински с сочным окроком 0,3кг ТМ Стародворье  ПОКОМ</v>
          </cell>
          <cell r="D103">
            <v>146</v>
          </cell>
        </row>
        <row r="104">
          <cell r="A104" t="str">
            <v xml:space="preserve"> 497  Колбаса Сочинка зернистая с сочной грудинкой 0,3кг ТМ Стародворье  ПОКОМ</v>
          </cell>
          <cell r="D104">
            <v>213</v>
          </cell>
        </row>
        <row r="105">
          <cell r="A105" t="str">
            <v xml:space="preserve"> 498  Колбаса Сочинка рубленая с сочным окороком 0,3кг ТМ Стародворье  ПОКОМ</v>
          </cell>
          <cell r="D105">
            <v>133</v>
          </cell>
        </row>
        <row r="106">
          <cell r="A106" t="str">
            <v xml:space="preserve"> 499  Сардельки Дугушки со сливочным маслом ВЕС ТМ Стародворье ТС Дугушка  ПОКОМ</v>
          </cell>
          <cell r="D106">
            <v>5.5039999999999996</v>
          </cell>
        </row>
        <row r="107">
          <cell r="A107" t="str">
            <v xml:space="preserve"> 504  Ветчина Мясорубская с окороком 0,33кг срез ТМ Стародворье  ПОКОМ</v>
          </cell>
          <cell r="D107">
            <v>1</v>
          </cell>
        </row>
        <row r="108">
          <cell r="A108" t="str">
            <v xml:space="preserve"> 506 Сосиски Филейские рубленые ТМ Вязанка в оболочке целлофан в м/г среде. ВЕС.ПОКОМ</v>
          </cell>
          <cell r="D108">
            <v>2.72</v>
          </cell>
        </row>
        <row r="109">
          <cell r="A109" t="str">
            <v xml:space="preserve"> 515  Колбаса Сервелат Мясорубский Делюкс 0,3кг ТМ Стародворье  ПОКОМ</v>
          </cell>
          <cell r="D109">
            <v>1</v>
          </cell>
        </row>
        <row r="110">
          <cell r="A110" t="str">
            <v xml:space="preserve"> 516  Сосиски Классические ТМ Ядрена копоть 0,3кг  ПОКОМ</v>
          </cell>
          <cell r="D110">
            <v>7</v>
          </cell>
        </row>
        <row r="111">
          <cell r="A111" t="str">
            <v>3215 ВЕТЧ.МЯСНАЯ Папа может п/о 0.4кг 8шт.    ОСТАНКИНО</v>
          </cell>
          <cell r="D111">
            <v>96</v>
          </cell>
        </row>
        <row r="112">
          <cell r="A112" t="str">
            <v>3680 ПРЕСИЖН с/к дек. спец мгс ОСТАНКИНО</v>
          </cell>
          <cell r="D112">
            <v>-1.629</v>
          </cell>
        </row>
        <row r="113">
          <cell r="A113" t="str">
            <v>3684 ПРЕСИЖН с/к в/у 1/250 8шт.   ОСТАНКИНО</v>
          </cell>
          <cell r="D113">
            <v>25</v>
          </cell>
        </row>
        <row r="114">
          <cell r="A114" t="str">
            <v>4063 МЯСНАЯ Папа может вар п/о_Л   ОСТАНКИНО</v>
          </cell>
          <cell r="D114">
            <v>305.78399999999999</v>
          </cell>
        </row>
        <row r="115">
          <cell r="A115" t="str">
            <v>4117 ЭКСТРА Папа может с/к в/у_Л   ОСТАНКИНО</v>
          </cell>
          <cell r="D115">
            <v>4.8410000000000002</v>
          </cell>
        </row>
        <row r="116">
          <cell r="A116" t="str">
            <v>4574 Колбаса вар Мясная со шпиком 1кг Папа может п/о (код покуп. 24784) Останкино</v>
          </cell>
          <cell r="D116">
            <v>38.658999999999999</v>
          </cell>
        </row>
        <row r="117">
          <cell r="A117" t="str">
            <v>4813 ФИЛЕЙНАЯ Папа может вар п/о_Л   ОСТАНКИНО</v>
          </cell>
          <cell r="D117">
            <v>69.292000000000002</v>
          </cell>
        </row>
        <row r="118">
          <cell r="A118" t="str">
            <v>4993 САЛЯМИ ИТАЛЬЯНСКАЯ с/к в/у 1/250*8_120c ОСТАНКИНО</v>
          </cell>
          <cell r="D118">
            <v>96</v>
          </cell>
        </row>
        <row r="119">
          <cell r="A119" t="str">
            <v>5246 ДОКТОРСКАЯ ПРЕМИУМ вар б/о мгс_30с ОСТАНКИНО</v>
          </cell>
          <cell r="D119">
            <v>6.0309999999999997</v>
          </cell>
        </row>
        <row r="120">
          <cell r="A120" t="str">
            <v>5483 ЭКСТРА Папа может с/к в/у 1/250 8шт.   ОСТАНКИНО</v>
          </cell>
          <cell r="D120">
            <v>175</v>
          </cell>
        </row>
        <row r="121">
          <cell r="A121" t="str">
            <v>5544 Сервелат Финский в/к в/у_45с НОВАЯ ОСТАНКИНО</v>
          </cell>
          <cell r="D121">
            <v>108.23699999999999</v>
          </cell>
        </row>
        <row r="122">
          <cell r="A122" t="str">
            <v>5679 САЛЯМИ ИТАЛЬЯНСКАЯ с/к в/у 1/150_60с ОСТАНКИНО</v>
          </cell>
          <cell r="D122">
            <v>32</v>
          </cell>
        </row>
        <row r="123">
          <cell r="A123" t="str">
            <v>5682 САЛЯМИ МЕЛКОЗЕРНЕНАЯ с/к в/у 1/120_60с   ОСТАНКИНО</v>
          </cell>
          <cell r="D123">
            <v>325</v>
          </cell>
        </row>
        <row r="124">
          <cell r="A124" t="str">
            <v>5706 АРОМАТНАЯ Папа может с/к в/у 1/250 8шт.  ОСТАНКИНО</v>
          </cell>
          <cell r="D124">
            <v>269</v>
          </cell>
        </row>
        <row r="125">
          <cell r="A125" t="str">
            <v>5708 ПОСОЛЬСКАЯ Папа может с/к в/у ОСТАНКИНО</v>
          </cell>
          <cell r="D125">
            <v>33.765999999999998</v>
          </cell>
        </row>
        <row r="126">
          <cell r="A126" t="str">
            <v>5851 ЭКСТРА Папа может вар п/о   ОСТАНКИНО</v>
          </cell>
          <cell r="D126">
            <v>56.137</v>
          </cell>
        </row>
        <row r="127">
          <cell r="A127" t="str">
            <v>5931 ОХОТНИЧЬЯ Папа может с/к в/у 1/220 8шт.   ОСТАНКИНО</v>
          </cell>
          <cell r="D127">
            <v>216</v>
          </cell>
        </row>
        <row r="128">
          <cell r="A128" t="str">
            <v>5992 ВРЕМЯ ОКРОШКИ Папа может вар п/о 0.4кг   ОСТАНКИНО</v>
          </cell>
          <cell r="D128">
            <v>-1</v>
          </cell>
        </row>
        <row r="129">
          <cell r="A129" t="str">
            <v>6004 РАГУ СВИНОЕ 1кг 8шт.зам_120с ОСТАНКИНО</v>
          </cell>
          <cell r="D129">
            <v>24</v>
          </cell>
        </row>
        <row r="130">
          <cell r="A130" t="str">
            <v>6206 СВИНИНА ПО-ДОМАШНЕМУ к/в мл/к в/у 0.3кг  ОСТАНКИНО</v>
          </cell>
          <cell r="D130">
            <v>-2</v>
          </cell>
        </row>
        <row r="131">
          <cell r="A131" t="str">
            <v>6221 НЕАПОЛИТАНСКИЙ ДУЭТ с/к с/н мгс 1/90  ОСТАНКИНО</v>
          </cell>
          <cell r="D131">
            <v>86</v>
          </cell>
        </row>
        <row r="132">
          <cell r="A132" t="str">
            <v>6222 ИТАЛЬЯНСКОЕ АССОРТИ с/в с/н мгс 1/90 ОСТАНКИНО</v>
          </cell>
          <cell r="D132">
            <v>-2</v>
          </cell>
        </row>
        <row r="133">
          <cell r="A133" t="str">
            <v>6228 МЯСНОЕ АССОРТИ к/з с/н мгс 1/90 10шт.  ОСТАНКИНО</v>
          </cell>
          <cell r="D133">
            <v>15</v>
          </cell>
        </row>
        <row r="134">
          <cell r="A134" t="str">
            <v>6247 ДОМАШНЯЯ Папа может вар п/о 0,4кг 8шт.  ОСТАНКИНО</v>
          </cell>
          <cell r="D134">
            <v>7</v>
          </cell>
        </row>
        <row r="135">
          <cell r="A135" t="str">
            <v>6268 ГОВЯЖЬЯ Папа может вар п/о 0,4кг 8 шт.  ОСТАНКИНО</v>
          </cell>
          <cell r="D135">
            <v>77</v>
          </cell>
        </row>
        <row r="136">
          <cell r="A136" t="str">
            <v>6279 КОРЕЙКА ПО-ОСТ.к/в в/с с/н в/у 1/150_45с  ОСТАНКИНО</v>
          </cell>
          <cell r="D136">
            <v>-4</v>
          </cell>
        </row>
        <row r="137">
          <cell r="A137" t="str">
            <v>6303 МЯСНЫЕ Папа может сос п/о мгс 1.5*3  ОСТАНКИНО</v>
          </cell>
          <cell r="D137">
            <v>29.439</v>
          </cell>
        </row>
        <row r="138">
          <cell r="A138" t="str">
            <v>6324 ДОКТОРСКАЯ ГОСТ вар п/о 0.4кг 8шт.  ОСТАНКИНО</v>
          </cell>
          <cell r="D138">
            <v>21</v>
          </cell>
        </row>
        <row r="139">
          <cell r="A139" t="str">
            <v>6325 ДОКТОРСКАЯ ПРЕМИУМ вар п/о 0.4кг 8шт.  ОСТАНКИНО</v>
          </cell>
          <cell r="D139">
            <v>452</v>
          </cell>
        </row>
        <row r="140">
          <cell r="A140" t="str">
            <v>6333 МЯСНАЯ Папа может вар п/о 0.4кг 8шт.  ОСТАНКИНО</v>
          </cell>
          <cell r="D140">
            <v>838</v>
          </cell>
        </row>
        <row r="141">
          <cell r="A141" t="str">
            <v>6340 ДОМАШНИЙ РЕЦЕПТ Коровино 0.5кг 8шт.  ОСТАНКИНО</v>
          </cell>
          <cell r="D141">
            <v>82</v>
          </cell>
        </row>
        <row r="142">
          <cell r="A142" t="str">
            <v>6353 ЭКСТРА Папа может вар п/о 0.4кг 8шт.  ОСТАНКИНО</v>
          </cell>
          <cell r="D142">
            <v>337</v>
          </cell>
        </row>
        <row r="143">
          <cell r="A143" t="str">
            <v>6392 ФИЛЕЙНАЯ Папа может вар п/о 0.4кг. ОСТАНКИНО</v>
          </cell>
          <cell r="D143">
            <v>721</v>
          </cell>
        </row>
        <row r="144">
          <cell r="A144" t="str">
            <v>6411 ВЕТЧ.РУБЛЕНАЯ ПМ в/у срез 0.3кг 6шт.  ОСТАНКИНО</v>
          </cell>
          <cell r="D144">
            <v>-2</v>
          </cell>
        </row>
        <row r="145">
          <cell r="A145" t="str">
            <v>6426 КЛАССИЧЕСКАЯ ПМ вар п/о 0.3кг 8шт.  ОСТАНКИНО</v>
          </cell>
          <cell r="D145">
            <v>143</v>
          </cell>
        </row>
        <row r="146">
          <cell r="A146" t="str">
            <v>6448 СВИНИНА МАДЕРА с/к с/н в/у 1/100 10шт.   ОСТАНКИНО</v>
          </cell>
          <cell r="D146">
            <v>28</v>
          </cell>
        </row>
        <row r="147">
          <cell r="A147" t="str">
            <v>6453 ЭКСТРА Папа может с/к с/н в/у 1/100 14шт.   ОСТАНКИНО</v>
          </cell>
          <cell r="D147">
            <v>438</v>
          </cell>
        </row>
        <row r="148">
          <cell r="A148" t="str">
            <v>6454 АРОМАТНАЯ с/к с/н в/у 1/100 14шт.  ОСТАНКИНО</v>
          </cell>
          <cell r="D148">
            <v>439</v>
          </cell>
        </row>
        <row r="149">
          <cell r="A149" t="str">
            <v>6459 СЕРВЕЛАТ ШВЕЙЦАРСК. в/к с/н в/у 1/100*10  ОСТАНКИНО</v>
          </cell>
          <cell r="D149">
            <v>202</v>
          </cell>
        </row>
        <row r="150">
          <cell r="A150" t="str">
            <v>6470 ВЕТЧ.МРАМОРНАЯ в/у_45с  ОСТАНКИНО</v>
          </cell>
          <cell r="D150">
            <v>1.214</v>
          </cell>
        </row>
        <row r="151">
          <cell r="A151" t="str">
            <v>6495 ВЕТЧ.МРАМОРНАЯ в/у срез 0.3кг 6шт_45с  ОСТАНКИНО</v>
          </cell>
          <cell r="D151">
            <v>141</v>
          </cell>
        </row>
        <row r="152">
          <cell r="A152" t="str">
            <v>6527 ШПИКАЧКИ СОЧНЫЕ ПМ сар б/о мгс 1*3 45с ОСТАНКИНО</v>
          </cell>
          <cell r="D152">
            <v>108.14100000000001</v>
          </cell>
        </row>
        <row r="153">
          <cell r="A153" t="str">
            <v>6528 ШПИКАЧКИ СОЧНЫЕ ПМ сар б/о мгс 0.4кг 45с  ОСТАНКИНО</v>
          </cell>
          <cell r="D153">
            <v>13</v>
          </cell>
        </row>
        <row r="154">
          <cell r="A154" t="str">
            <v>6586 МРАМОРНАЯ И БАЛЫКОВАЯ в/к с/н мгс 1/90 ОСТАНКИНО</v>
          </cell>
          <cell r="D154">
            <v>14</v>
          </cell>
        </row>
        <row r="155">
          <cell r="A155" t="str">
            <v>6609 С ГОВЯДИНОЙ ПМ сар б/о мгс 0.4кг_45с ОСТАНКИНО</v>
          </cell>
          <cell r="D155">
            <v>12</v>
          </cell>
        </row>
        <row r="156">
          <cell r="A156" t="str">
            <v>6616 МОЛОЧНЫЕ КЛАССИЧЕСКИЕ сос п/о в/у 0.3кг  ОСТАНКИНО</v>
          </cell>
          <cell r="D156">
            <v>153</v>
          </cell>
        </row>
        <row r="157">
          <cell r="A157" t="str">
            <v>6666 БОЯНСКАЯ Папа может п/к в/у 0,28кг 8 шт. ОСТАНКИНО</v>
          </cell>
          <cell r="D157">
            <v>-3</v>
          </cell>
        </row>
        <row r="158">
          <cell r="A158" t="str">
            <v>6684 СЕРВЕЛАТ КАРЕЛЬСКИЙ ПМ в/к в/у 0.28кг  ОСТАНКИНО</v>
          </cell>
          <cell r="D158">
            <v>532</v>
          </cell>
        </row>
        <row r="159">
          <cell r="A159" t="str">
            <v>6697 СЕРВЕЛАТ ФИНСКИЙ ПМ в/к в/у 0,35кг 8шт.  ОСТАНКИНО</v>
          </cell>
          <cell r="D159">
            <v>856</v>
          </cell>
        </row>
        <row r="160">
          <cell r="A160" t="str">
            <v>6713 СОЧНЫЙ ГРИЛЬ ПМ сос п/о мгс 0.41кг 8шт.  ОСТАНКИНО</v>
          </cell>
          <cell r="D160">
            <v>-15</v>
          </cell>
        </row>
        <row r="161">
          <cell r="A161" t="str">
            <v>6724 МОЛОЧНЫЕ ПМ сос п/о мгс 0.41кг 10шт.  ОСТАНКИНО</v>
          </cell>
          <cell r="D161">
            <v>122</v>
          </cell>
        </row>
        <row r="162">
          <cell r="A162" t="str">
            <v>6762 СЛИВОЧНЫЕ сос ц/о мгс 0.41кг 8шт.  ОСТАНКИНО</v>
          </cell>
        </row>
        <row r="163">
          <cell r="A163" t="str">
            <v>6765 РУБЛЕНЫЕ сос ц/о мгс 0.36кг 6шт.  ОСТАНКИНО</v>
          </cell>
          <cell r="D163">
            <v>138</v>
          </cell>
        </row>
        <row r="164">
          <cell r="A164" t="str">
            <v>6773 САЛЯМИ Папа может п/к в/у 0,28кг 8шт.  ОСТАНКИНО</v>
          </cell>
          <cell r="D164">
            <v>103</v>
          </cell>
        </row>
        <row r="165">
          <cell r="A165" t="str">
            <v>6785 ВЕНСКАЯ САЛЯМИ п/к в/у 0.33кг 8шт.  ОСТАНКИНО</v>
          </cell>
          <cell r="D165">
            <v>22</v>
          </cell>
        </row>
        <row r="166">
          <cell r="A166" t="str">
            <v>6787 СЕРВЕЛАТ КРЕМЛЕВСКИЙ в/к в/у 0,33кг 8шт.  ОСТАНКИНО</v>
          </cell>
          <cell r="D166">
            <v>57</v>
          </cell>
        </row>
        <row r="167">
          <cell r="A167" t="str">
            <v>6793 БАЛЫКОВАЯ в/к в/у 0,33кг 8шт.  ОСТАНКИНО</v>
          </cell>
          <cell r="D167">
            <v>84</v>
          </cell>
        </row>
        <row r="168">
          <cell r="A168" t="str">
            <v>6801 ОСТАНКИНСКАЯ вар п/о 0.4кг 8шт.  ОСТАНКИНО</v>
          </cell>
          <cell r="D168">
            <v>-3</v>
          </cell>
        </row>
        <row r="169">
          <cell r="A169" t="str">
            <v>6822 ИЗ ОТБОРНОГО МЯСА ПМ сос п/о мгс 0,36кг  ОСТАНКИНО</v>
          </cell>
          <cell r="D169">
            <v>7</v>
          </cell>
        </row>
        <row r="170">
          <cell r="A170" t="str">
            <v>6829 МОЛОЧНЫЕ КЛАССИЧЕСКИЕ сос п/о мгс 2*4_С  ОСТАНКИНО</v>
          </cell>
          <cell r="D170">
            <v>3.8570000000000002</v>
          </cell>
        </row>
        <row r="171">
          <cell r="A171" t="str">
            <v>6837 ФИЛЕЙНЫЕ Папа Может сос ц/о мгс 0.4кг  ОСТАНКИНО</v>
          </cell>
          <cell r="D171">
            <v>160</v>
          </cell>
        </row>
        <row r="172">
          <cell r="A172" t="str">
            <v>6842 ДЫМОВИЦА ИЗ ОКОРОКА к/в мл/к в/у 0,3кг  ОСТАНКИНО</v>
          </cell>
          <cell r="D172">
            <v>-2</v>
          </cell>
        </row>
        <row r="173">
          <cell r="A173" t="str">
            <v>6861 ДОМАШНИЙ РЕЦЕПТ Коровино вар п/о  ОСТАНКИНО</v>
          </cell>
          <cell r="D173">
            <v>25.638000000000002</v>
          </cell>
        </row>
        <row r="174">
          <cell r="A174" t="str">
            <v>6866 ВЕТЧ.НЕЖНАЯ Коровино п/о_Маяк  ОСТАНКИНО</v>
          </cell>
          <cell r="D174">
            <v>12.13</v>
          </cell>
        </row>
        <row r="175">
          <cell r="A175" t="str">
            <v>6872 ШАШЛЫК ИЗ СВИНИНЫ зам. ВЕС ОСТАНКИНО</v>
          </cell>
          <cell r="D175">
            <v>42.301000000000002</v>
          </cell>
        </row>
        <row r="176">
          <cell r="A176" t="str">
            <v>6909 ДЛЯ ДЕТЕЙ сос п/о мгс 0.33кг 8шт.  ОСТАНКИНО</v>
          </cell>
          <cell r="D176">
            <v>67</v>
          </cell>
        </row>
        <row r="177">
          <cell r="A177" t="str">
            <v>6919 БЕКОН с/к с/н в/у 1/180 10шт.  ОСТАНКИНО</v>
          </cell>
          <cell r="D177">
            <v>-2</v>
          </cell>
        </row>
        <row r="178">
          <cell r="A178" t="str">
            <v>6987 СУПЕР СЫТНЫЕ ПМ сос п/о мгс 0.6кг 8 шт.  ОСТАНКИНО</v>
          </cell>
          <cell r="D178">
            <v>16</v>
          </cell>
        </row>
        <row r="179">
          <cell r="A179" t="str">
            <v>7001 КЛАССИЧЕСКИЕ Папа может сар б/о мгс 1*3  ОСТАНКИНО</v>
          </cell>
          <cell r="D179">
            <v>38.225000000000001</v>
          </cell>
        </row>
        <row r="180">
          <cell r="A180" t="str">
            <v>7035 ВЕТЧ.КЛАССИЧЕСКАЯ ПМ п/о 0.35кг 8шт.  ОСТАНКИНО</v>
          </cell>
          <cell r="D180">
            <v>20</v>
          </cell>
        </row>
        <row r="181">
          <cell r="A181" t="str">
            <v>7038 С ГОВЯДИНОЙ ПМ сос п/о мгс 1.5*4  ОСТАНКИНО</v>
          </cell>
          <cell r="D181">
            <v>6.2779999999999996</v>
          </cell>
        </row>
        <row r="182">
          <cell r="A182" t="str">
            <v>7040 С ИНДЕЙКОЙ ПМ сос ц/о в/у 1/270 8шт.  ОСТАНКИНО</v>
          </cell>
          <cell r="D182">
            <v>20</v>
          </cell>
        </row>
        <row r="183">
          <cell r="A183" t="str">
            <v>7059 ШПИКАЧКИ СОЧНЫЕ С БЕК. п/о мгс 0.3кг_60с  ОСТАНКИНО</v>
          </cell>
          <cell r="D183">
            <v>24</v>
          </cell>
        </row>
        <row r="184">
          <cell r="A184" t="str">
            <v>7066 СОЧНЫЕ ПМ сос п/о мгс 0.41кг 10шт_50с  ОСТАНКИНО</v>
          </cell>
          <cell r="D184">
            <v>986</v>
          </cell>
        </row>
        <row r="185">
          <cell r="A185" t="str">
            <v>7070 СОЧНЫЕ ПМ сос п/о мгс 1.5*4_А_50с  ОСТАНКИНО</v>
          </cell>
          <cell r="D185">
            <v>510.75</v>
          </cell>
        </row>
        <row r="186">
          <cell r="A186" t="str">
            <v>7073 МОЛОЧ.ПРЕМИУМ ПМ сос п/о в/у 1/350_50с  ОСТАНКИНО</v>
          </cell>
          <cell r="D186">
            <v>300</v>
          </cell>
        </row>
        <row r="187">
          <cell r="A187" t="str">
            <v>7074 МОЛОЧ.ПРЕМИУМ ПМ сос п/о мгс 0.6кг_50с  ОСТАНКИНО</v>
          </cell>
          <cell r="D187">
            <v>45</v>
          </cell>
        </row>
        <row r="188">
          <cell r="A188" t="str">
            <v>7075 МОЛОЧ.ПРЕМИУМ ПМ сос п/о мгс 1.5*4_О_50с  ОСТАНКИНО</v>
          </cell>
          <cell r="D188">
            <v>31.652000000000001</v>
          </cell>
        </row>
        <row r="189">
          <cell r="A189" t="str">
            <v>7077 МЯСНЫЕ С ГОВЯД.ПМ сос п/о мгс 0.4кг_50с  ОСТАНКИНО</v>
          </cell>
          <cell r="D189">
            <v>176</v>
          </cell>
        </row>
        <row r="190">
          <cell r="A190" t="str">
            <v>7080 СЛИВОЧНЫЕ ПМ сос п/о мгс 0.41кг 10шт. 50с  ОСТАНКИНО</v>
          </cell>
          <cell r="D190">
            <v>489</v>
          </cell>
        </row>
        <row r="191">
          <cell r="A191" t="str">
            <v>7082 СЛИВОЧНЫЕ ПМ сос п/о мгс 1.5*4_50с  ОСТАНКИНО</v>
          </cell>
          <cell r="D191">
            <v>18.866</v>
          </cell>
        </row>
        <row r="192">
          <cell r="A192" t="str">
            <v>7087 ШПИК С ЧЕСНОК.И ПЕРЦЕМ к/в в/у 0.3кг_50с  ОСТАНКИНО</v>
          </cell>
          <cell r="D192">
            <v>29</v>
          </cell>
        </row>
        <row r="193">
          <cell r="A193" t="str">
            <v>7090 СВИНИНА ПО-ДОМ. к/в мл/к в/у 0.3кг_50с  ОСТАНКИНО</v>
          </cell>
          <cell r="D193">
            <v>2</v>
          </cell>
        </row>
        <row r="194">
          <cell r="A194" t="str">
            <v>7092 БЕКОН Папа может с/к с/н в/у 1/140_50с  ОСТАНКИНО</v>
          </cell>
          <cell r="D194">
            <v>271</v>
          </cell>
        </row>
        <row r="195">
          <cell r="A195" t="str">
            <v>7103 БЕКОН с/к с/н в/у 1/180 10шт.  ОСТАНКИНО</v>
          </cell>
          <cell r="D195">
            <v>-3</v>
          </cell>
        </row>
        <row r="196">
          <cell r="A196" t="str">
            <v>7105 МИЛАНО с/к с/н мгс 1/90 12шт.  ОСТАНКИНО</v>
          </cell>
          <cell r="D196">
            <v>24</v>
          </cell>
        </row>
        <row r="197">
          <cell r="A197" t="str">
            <v>7106 ТОСКАНО с/к с/н мгс 1/90 12шт.  ОСТАНКИНО</v>
          </cell>
          <cell r="D197">
            <v>27</v>
          </cell>
        </row>
        <row r="198">
          <cell r="A198" t="str">
            <v>7126 МОЛОЧНАЯ Останкино вар п/о 0.4кг 8шт.  ОСТАНКИНО</v>
          </cell>
          <cell r="D198">
            <v>13</v>
          </cell>
        </row>
        <row r="199">
          <cell r="A199" t="str">
            <v>7143 БРАУНШВЕЙГСКАЯ ГОСТ с/к в/у 1/220 8шт. ОСТАНКИНО</v>
          </cell>
          <cell r="D199">
            <v>2</v>
          </cell>
        </row>
        <row r="200">
          <cell r="A200" t="str">
            <v>7149 БАЛЫКОВАЯ Коровино п/к в/у 0.84кг_50с  ОСТАНКИНО</v>
          </cell>
          <cell r="D200">
            <v>12</v>
          </cell>
        </row>
        <row r="201">
          <cell r="A201" t="str">
            <v>7154 СЕРВЕЛАТ ЗЕРНИСТЫЙ ПМ в/к в/у 0.35кг_50с  ОСТАНКИНО</v>
          </cell>
          <cell r="D201">
            <v>640</v>
          </cell>
        </row>
        <row r="202">
          <cell r="A202" t="str">
            <v>7166 СЕРВЕЛТ ОХОТНИЧИЙ ПМ в/к в/у_50с  ОСТАНКИНО</v>
          </cell>
          <cell r="D202">
            <v>109.408</v>
          </cell>
        </row>
        <row r="203">
          <cell r="A203" t="str">
            <v>7169 СЕРВЕЛАТ ОХОТНИЧИЙ ПМ в/к в/у 0.35кг_50с  ОСТАНКИНО</v>
          </cell>
          <cell r="D203">
            <v>728</v>
          </cell>
        </row>
        <row r="204">
          <cell r="A204" t="str">
            <v>7173 БОЯNСКАЯ ПМ п/к в/у 0.28кг 8шт_50с  ОСТАНКИНО</v>
          </cell>
          <cell r="D204">
            <v>42</v>
          </cell>
        </row>
        <row r="205">
          <cell r="A205" t="str">
            <v>7187 ГРУДИНКА ПРЕМИУМ к/в мл/к в/у 0,3кг_50с ОСТАНКИНО</v>
          </cell>
          <cell r="D205">
            <v>-3</v>
          </cell>
        </row>
        <row r="206">
          <cell r="A206" t="str">
            <v>7232 БОЯNСКАЯ ПМ п/к в/у 0,28кг 8шт_209к ОСТАНКИНО</v>
          </cell>
          <cell r="D206">
            <v>156</v>
          </cell>
        </row>
        <row r="207">
          <cell r="A207" t="str">
            <v>Балык говяжий с/к "Эликатессе" 0,10 кг.шт. нарезка (лоток с ср.защ.атм.)  СПК</v>
          </cell>
          <cell r="D207">
            <v>20</v>
          </cell>
        </row>
        <row r="208">
          <cell r="A208" t="str">
            <v>Балык свиной с/к "Эликатессе" 0,10 кг.шт. нарезка (лоток с ср.защ.атм.)  СПК</v>
          </cell>
          <cell r="D208">
            <v>35</v>
          </cell>
        </row>
        <row r="209">
          <cell r="A209" t="str">
            <v>Балыковая с/к 200 гр. срез "Эликатессе" термоформ.пак.  СПК</v>
          </cell>
          <cell r="D209">
            <v>-1</v>
          </cell>
        </row>
        <row r="210">
          <cell r="A210" t="str">
            <v>БОНУС МОЛОЧНЫЕ КЛАССИЧЕСКИЕ сос п/о в/у 0.3кг (6084)  ОСТАНКИНО</v>
          </cell>
          <cell r="D210">
            <v>8</v>
          </cell>
        </row>
        <row r="211">
          <cell r="A211" t="str">
            <v>БОНУС СОЧНЫЕ Папа может сос п/о мгс 1.5*4 (6954)  ОСТАНКИНО</v>
          </cell>
          <cell r="D211">
            <v>13.99</v>
          </cell>
        </row>
        <row r="212">
          <cell r="A212" t="str">
            <v>БОНУС СОЧНЫЕ сос п/о мгс 0.41кг_UZ (6087)  ОСТАНКИНО</v>
          </cell>
          <cell r="D212">
            <v>11</v>
          </cell>
        </row>
        <row r="213">
          <cell r="A213" t="str">
            <v>БОНУС_ 017  Сосиски Вязанка Сливочные, Вязанка амицел ВЕС.ПОКОМ</v>
          </cell>
          <cell r="D213">
            <v>89.554000000000002</v>
          </cell>
        </row>
        <row r="214">
          <cell r="A214" t="str">
            <v>БОНУС_ 456  Колбаса Филейная ТМ Особый рецепт ВЕС большой батон  ПОКОМ</v>
          </cell>
          <cell r="D214">
            <v>23.263000000000002</v>
          </cell>
        </row>
        <row r="215">
          <cell r="A215" t="str">
            <v>БОНУС_ 457  Колбаса Молочная ТМ Особый рецепт ВЕС большой батон  ПОКОМ</v>
          </cell>
          <cell r="D215">
            <v>2.5</v>
          </cell>
        </row>
        <row r="216">
          <cell r="A216" t="str">
            <v>БОНУС_305  Колбаса Сервелат Мясорубский с мелкорубленным окороком в/у  ТМ Стародворье ВЕС   ПОКОМ</v>
          </cell>
          <cell r="D216">
            <v>0.74</v>
          </cell>
        </row>
        <row r="217">
          <cell r="A217" t="str">
            <v>БОНУС_412  Сосиски Баварские ТМ Стародворье 0,35 кг ПОКОМ</v>
          </cell>
          <cell r="D217">
            <v>369</v>
          </cell>
        </row>
        <row r="218">
          <cell r="A218" t="str">
            <v>БОНУС_Готовые чебупели с ветчиной и сыром Горячая штучка 0,3кг зам  ПОКОМ</v>
          </cell>
          <cell r="D218">
            <v>134</v>
          </cell>
        </row>
        <row r="219">
          <cell r="A219" t="str">
            <v>БОНУС_Колбаса Сервелат Филедворский, фиброуз, в/у 0,35 кг срез,  ПОКОМ</v>
          </cell>
          <cell r="D219">
            <v>143</v>
          </cell>
        </row>
        <row r="220">
          <cell r="A220" t="str">
            <v>БОНУС_Пельмени Бульмени с говядиной и свининой ТМ Горячая штучка. флоу-пак сфера 0,4 кг ПОКОМ</v>
          </cell>
          <cell r="D220">
            <v>81</v>
          </cell>
        </row>
        <row r="221">
          <cell r="A221" t="str">
            <v>Бутербродная вареная 0,47 кг шт.  СПК</v>
          </cell>
          <cell r="D221">
            <v>-2</v>
          </cell>
        </row>
        <row r="222">
          <cell r="A222" t="str">
            <v>Готовые бельмеши сочные с мясом ТМ Горячая штучка 0,3кг зам  ПОКОМ</v>
          </cell>
          <cell r="D222">
            <v>44</v>
          </cell>
        </row>
        <row r="223">
          <cell r="A223" t="str">
            <v>Готовые чебупели острые с мясом Горячая штучка 0,3 кг зам  ПОКОМ</v>
          </cell>
          <cell r="D223">
            <v>98</v>
          </cell>
        </row>
        <row r="224">
          <cell r="A224" t="str">
            <v>Готовые чебупели с ветчиной и сыром Горячая штучка 0,3кг зам  ПОКОМ</v>
          </cell>
          <cell r="D224">
            <v>196</v>
          </cell>
        </row>
        <row r="225">
          <cell r="A225" t="str">
            <v>Готовые чебупели сочные с мясом ТМ Горячая штучка  0,3кг зам  ПОКОМ</v>
          </cell>
          <cell r="D225">
            <v>428</v>
          </cell>
        </row>
        <row r="226">
          <cell r="A226" t="str">
            <v>Готовые чебуреки с мясом ТМ Горячая штучка 0,09 кг флоу-пак ПОКОМ</v>
          </cell>
          <cell r="D226">
            <v>68</v>
          </cell>
        </row>
        <row r="227">
          <cell r="A227" t="str">
            <v>Грудинка "По-московски" в/к термоус.пак.  СПК</v>
          </cell>
          <cell r="D227">
            <v>-1.4339999999999999</v>
          </cell>
        </row>
        <row r="228">
          <cell r="A228" t="str">
            <v>Гуцульская с/к "КолбасГрад" 160 гр.шт. термоус. пак  СПК</v>
          </cell>
          <cell r="D228">
            <v>8</v>
          </cell>
        </row>
        <row r="229">
          <cell r="A229" t="str">
            <v>Дельгаро с/в "Эликатессе" 140 гр.шт.  СПК</v>
          </cell>
          <cell r="D229">
            <v>6</v>
          </cell>
        </row>
        <row r="230">
          <cell r="A230" t="str">
            <v>Деревенская с чесночком и сальцем п/к (черева) 390 гр.шт. термоус. пак.  СПК</v>
          </cell>
          <cell r="D230">
            <v>23</v>
          </cell>
        </row>
        <row r="231">
          <cell r="A231" t="str">
            <v>Докторская вареная в/с  СПК</v>
          </cell>
          <cell r="D231">
            <v>-1.3</v>
          </cell>
        </row>
        <row r="232">
          <cell r="A232" t="str">
            <v>Докторская вареная в/с 0,47 кг шт.  СПК</v>
          </cell>
          <cell r="D232">
            <v>8</v>
          </cell>
        </row>
        <row r="233">
          <cell r="A233" t="str">
            <v>Докторская вареная термоус.пак. "Высокий вкус"  СПК</v>
          </cell>
          <cell r="D233">
            <v>-3.58</v>
          </cell>
        </row>
        <row r="234">
          <cell r="A234" t="str">
            <v>ЖАР-ладушки с клубникой и вишней ТМ Стародворье 0,2 кг ПОКОМ</v>
          </cell>
          <cell r="D234">
            <v>5</v>
          </cell>
        </row>
        <row r="235">
          <cell r="A235" t="str">
            <v>ЖАР-ладушки с мясом 0,2кг ТМ Стародворье  ПОКОМ</v>
          </cell>
          <cell r="D235">
            <v>60</v>
          </cell>
        </row>
        <row r="236">
          <cell r="A236" t="str">
            <v>ЖАР-ладушки с яблоком и грушей ТМ Стародворье 0,2 кг. ПОКОМ</v>
          </cell>
          <cell r="D236">
            <v>3</v>
          </cell>
        </row>
        <row r="237">
          <cell r="A237" t="str">
            <v>Карбонад Юбилейный термоус.пак.  СПК</v>
          </cell>
          <cell r="D237">
            <v>-0.14799999999999999</v>
          </cell>
        </row>
        <row r="238">
          <cell r="A238" t="str">
            <v>Каша гречневая с говядиной "СПК" ж/б 0,340 кг.шт. термоус. пл. ЧМК  СПК</v>
          </cell>
          <cell r="D238">
            <v>30</v>
          </cell>
        </row>
        <row r="239">
          <cell r="A239" t="str">
            <v>Каша перловая с говядиной "СПК" ж/б 0,340 кг.шт. термоус. пл. ЧМК СПК</v>
          </cell>
          <cell r="D239">
            <v>80</v>
          </cell>
        </row>
        <row r="240">
          <cell r="A240" t="str">
            <v>Классическая с/к 80 гр.шт.нар. (лоток с ср.защ.атм.)  СПК</v>
          </cell>
          <cell r="D240">
            <v>6</v>
          </cell>
        </row>
        <row r="241">
          <cell r="A241" t="str">
            <v>Колбаски ПодПивасики оригинальные с/к 0,10 кг.шт. термофор.пак.  СПК</v>
          </cell>
          <cell r="D241">
            <v>119</v>
          </cell>
        </row>
        <row r="242">
          <cell r="A242" t="str">
            <v>Колбаски ПодПивасики острые с/к 0,10 кг.шт. термофор.пак.  СПК</v>
          </cell>
          <cell r="D242">
            <v>100</v>
          </cell>
        </row>
        <row r="243">
          <cell r="A243" t="str">
            <v>Колбаски ПодПивасики с сыром с/к 100 гр.шт. (в ср.защ.атм.)  СПК</v>
          </cell>
          <cell r="D243">
            <v>16</v>
          </cell>
        </row>
        <row r="244">
          <cell r="A244" t="str">
            <v>Круггетсы с сырным соусом ТМ Горячая штучка 0,25 кг зам  ПОКОМ</v>
          </cell>
          <cell r="D244">
            <v>159</v>
          </cell>
        </row>
        <row r="245">
          <cell r="A245" t="str">
            <v>Круггетсы сочные ТМ Горячая штучка ТС Круггетсы 0,25 кг зам  ПОКОМ</v>
          </cell>
          <cell r="D245">
            <v>156</v>
          </cell>
        </row>
        <row r="246">
          <cell r="A246" t="str">
            <v>Ла Фаворте с/в "Эликатессе" 140 гр.шт.  СПК</v>
          </cell>
          <cell r="D246">
            <v>-1</v>
          </cell>
        </row>
        <row r="247">
          <cell r="A247" t="str">
            <v>Ливерная Печеночная "Просто выгодно" 0,3 кг.шт.  СПК</v>
          </cell>
          <cell r="D247">
            <v>19</v>
          </cell>
        </row>
        <row r="248">
          <cell r="A248" t="str">
            <v>Любительская вареная термоус.пак. "Высокий вкус"  СПК</v>
          </cell>
          <cell r="D248">
            <v>-0.22900000000000001</v>
          </cell>
        </row>
        <row r="249">
          <cell r="A249" t="str">
            <v>Мини-сосиски в тесте 3,7кг ВЕС заморож. ТМ Зареченские  ПОКОМ</v>
          </cell>
          <cell r="D249">
            <v>81.400000000000006</v>
          </cell>
        </row>
        <row r="250">
          <cell r="A250" t="str">
            <v>Мини-чебуречки с мясом ВЕС 5,5кг ТМ Зареченские  ПОКОМ</v>
          </cell>
          <cell r="D250">
            <v>16.5</v>
          </cell>
        </row>
        <row r="251">
          <cell r="A251" t="str">
            <v>Мини-шарики с курочкой и сыром ТМ Зареченские ВЕС  ПОКОМ</v>
          </cell>
          <cell r="D251">
            <v>72</v>
          </cell>
        </row>
        <row r="252">
          <cell r="A252" t="str">
            <v>Наггетсы из печи 0,25кг ТМ Вязанка ТС Няняггетсы Сливушки замор.  ПОКОМ</v>
          </cell>
          <cell r="D252">
            <v>331</v>
          </cell>
        </row>
        <row r="253">
          <cell r="A253" t="str">
            <v>Наггетсы Нагетосы Сочная курочка ТМ Горячая штучка 0,25 кг зам  ПОКОМ</v>
          </cell>
          <cell r="D253">
            <v>259</v>
          </cell>
        </row>
        <row r="254">
          <cell r="A254" t="str">
            <v>Наггетсы с индейкой 0,25кг ТМ Вязанка ТС Няняггетсы Сливушки НД2 замор.  ПОКОМ</v>
          </cell>
          <cell r="D254">
            <v>234</v>
          </cell>
        </row>
        <row r="255">
          <cell r="A255" t="str">
            <v>Наггетсы с куриным филе и сыром ТМ Вязанка 0,25 кг ПОКОМ</v>
          </cell>
          <cell r="D255">
            <v>210</v>
          </cell>
        </row>
        <row r="256">
          <cell r="A256" t="str">
            <v>Наггетсы Хрустящие 0,3кг ТМ Зареченские  ПОКОМ</v>
          </cell>
          <cell r="D256">
            <v>49</v>
          </cell>
        </row>
        <row r="257">
          <cell r="A257" t="str">
            <v>Наггетсы Хрустящие ТМ Зареченские. ВЕС ПОКОМ</v>
          </cell>
          <cell r="D257">
            <v>120</v>
          </cell>
        </row>
        <row r="258">
          <cell r="A258" t="str">
            <v>Оригинальная с перцем с/к  СПК</v>
          </cell>
          <cell r="D258">
            <v>1.7450000000000001</v>
          </cell>
        </row>
        <row r="259">
          <cell r="A259" t="str">
            <v>Оригинальная с перцем с/к 0,235 кг.шт.  СПК</v>
          </cell>
          <cell r="D259">
            <v>20</v>
          </cell>
        </row>
        <row r="260">
          <cell r="A260" t="str">
            <v>Паштет печеночный 140 гр.шт.  СПК</v>
          </cell>
          <cell r="D260">
            <v>4</v>
          </cell>
        </row>
        <row r="261">
          <cell r="A261" t="str">
            <v>Пекерсы с индейкой в сливочном соусе ТМ Горячая штучка 0,25 кг зам  ПОКОМ</v>
          </cell>
          <cell r="D261">
            <v>74</v>
          </cell>
        </row>
        <row r="262">
          <cell r="A262" t="str">
            <v>Пельмени Grandmeni с говядиной и свининой 0,7кг ТМ Горячая штучка  ПОКОМ</v>
          </cell>
          <cell r="D262">
            <v>3</v>
          </cell>
        </row>
        <row r="263">
          <cell r="A263" t="str">
            <v>Пельмени Бигбули #МЕГАВКУСИЩЕ с сочной грудинкой ТМ Горячая штучка 0,4 кг. ПОКОМ</v>
          </cell>
          <cell r="D263">
            <v>51</v>
          </cell>
        </row>
        <row r="264">
          <cell r="A264" t="str">
            <v>Пельмени Бигбули #МЕГАВКУСИЩЕ с сочной грудинкой ТМ Горячая штучка 0,7 кг. ПОКОМ</v>
          </cell>
          <cell r="D264">
            <v>62</v>
          </cell>
        </row>
        <row r="265">
          <cell r="A265" t="str">
            <v>Пельмени Бигбули с мясом ТМ Горячая штучка. флоу-пак сфера 0,4 кг. ПОКОМ</v>
          </cell>
          <cell r="D265">
            <v>56</v>
          </cell>
        </row>
        <row r="266">
          <cell r="A266" t="str">
            <v>Пельмени Бигбули с мясом ТМ Горячая штучка. флоу-пак сфера 0,7 кг ПОКОМ</v>
          </cell>
          <cell r="D266">
            <v>65</v>
          </cell>
        </row>
        <row r="267">
          <cell r="A267" t="str">
            <v>Пельмени Бигбули со сливочным маслом ТМ Горячая штучка, флоу-пак сфера 0,4. ПОКОМ</v>
          </cell>
          <cell r="D267">
            <v>23</v>
          </cell>
        </row>
        <row r="268">
          <cell r="A268" t="str">
            <v>Пельмени Бигбули со сливочным маслом ТМ Горячая штучка, флоу-пак сфера 0,7. ПОКОМ</v>
          </cell>
          <cell r="D268">
            <v>47</v>
          </cell>
        </row>
        <row r="269">
          <cell r="A269" t="str">
            <v>Пельмени Бульмени по-сибирски с говядиной и свининой ТМ Горячая штучка 0,8 кг ПОКОМ</v>
          </cell>
          <cell r="D269">
            <v>37</v>
          </cell>
        </row>
        <row r="270">
          <cell r="A270" t="str">
            <v>Пельмени Бульмени с говядиной и свининой Наваристые 2,7кг Горячая штучка ВЕС  ПОКОМ</v>
          </cell>
          <cell r="D270">
            <v>10.8</v>
          </cell>
        </row>
        <row r="271">
          <cell r="A271" t="str">
            <v>Пельмени Бульмени с говядиной и свининой Наваристые 5кг Горячая штучка ВЕС  ПОКОМ</v>
          </cell>
          <cell r="D271">
            <v>200</v>
          </cell>
        </row>
        <row r="272">
          <cell r="A272" t="str">
            <v>Пельмени Бульмени с говядиной и свининой ТМ Горячая штучка. флоу-пак сфера 0,4 кг ПОКОМ</v>
          </cell>
          <cell r="D272">
            <v>207</v>
          </cell>
        </row>
        <row r="273">
          <cell r="A273" t="str">
            <v>Пельмени Бульмени с говядиной и свининой ТМ Горячая штучка. флоу-пак сфера 0,7 кг ПОКОМ</v>
          </cell>
          <cell r="D273">
            <v>231</v>
          </cell>
        </row>
        <row r="274">
          <cell r="A274" t="str">
            <v>Пельмени Бульмени со сливочным маслом ТМ Горячая штучка. флоу-пак сфера 0,4 кг. ПОКОМ</v>
          </cell>
          <cell r="D274">
            <v>282</v>
          </cell>
        </row>
        <row r="275">
          <cell r="A275" t="str">
            <v>Пельмени Бульмени со сливочным маслом ТМ Горячая штучка.флоу-пак сфера 0,7 кг. ПОКОМ</v>
          </cell>
          <cell r="D275">
            <v>361</v>
          </cell>
        </row>
        <row r="276">
          <cell r="A276" t="str">
            <v>Пельмени Медвежьи ушки с фермерскими сливками 0,7кг  ПОКОМ</v>
          </cell>
          <cell r="D276">
            <v>19</v>
          </cell>
        </row>
        <row r="277">
          <cell r="A277" t="str">
            <v>Пельмени Медвежьи ушки с фермерской свининой и говядиной Малые 0,7кг  ПОКОМ</v>
          </cell>
          <cell r="D277">
            <v>28</v>
          </cell>
        </row>
        <row r="278">
          <cell r="A278" t="str">
            <v>Пельмени Мясорубские с рубленой грудинкой ТМ Стародворье флоупак  0,7 кг. ПОКОМ</v>
          </cell>
          <cell r="D278">
            <v>27</v>
          </cell>
        </row>
        <row r="279">
          <cell r="A279" t="str">
            <v>Пельмени Мясорубские ТМ Стародворье фоупак равиоли 0,7 кг  ПОКОМ</v>
          </cell>
          <cell r="D279">
            <v>225</v>
          </cell>
        </row>
        <row r="280">
          <cell r="A280" t="str">
            <v>Пельмени Отборные из свинины и говядины 0,9 кг ТМ Стародворье ТС Медвежье ушко  ПОКОМ</v>
          </cell>
          <cell r="D280">
            <v>42</v>
          </cell>
        </row>
        <row r="281">
          <cell r="A281" t="str">
            <v>Пельмени С говядиной и свининой, ВЕС, сфера пуговки Мясная Галерея  ПОКОМ</v>
          </cell>
          <cell r="D281">
            <v>115</v>
          </cell>
        </row>
        <row r="282">
          <cell r="A282" t="str">
            <v>Пельмени Со свининой и говядиной ТМ Особый рецепт Любимая ложка 1,0 кг  ПОКОМ</v>
          </cell>
          <cell r="D282">
            <v>145</v>
          </cell>
        </row>
        <row r="283">
          <cell r="A283" t="str">
            <v>Пельмени Сочные сфера 0,8 кг ТМ Стародворье  ПОКОМ</v>
          </cell>
          <cell r="D283">
            <v>16</v>
          </cell>
        </row>
        <row r="284">
          <cell r="A284" t="str">
            <v>Пирожки с мясом 0,3кг ТМ Зареченские  ПОКОМ</v>
          </cell>
          <cell r="D284">
            <v>6</v>
          </cell>
        </row>
        <row r="285">
          <cell r="A285" t="str">
            <v>Пирожки с мясом 3,7кг ВЕС ТМ Зареченские  ПОКОМ</v>
          </cell>
          <cell r="D285">
            <v>22.2</v>
          </cell>
        </row>
        <row r="286">
          <cell r="A286" t="str">
            <v>Покровская вареная 0,47 кг шт.  СПК</v>
          </cell>
          <cell r="D286">
            <v>4</v>
          </cell>
        </row>
        <row r="287">
          <cell r="A287" t="str">
            <v>Ричеза с/к 230 гр.шт.  СПК</v>
          </cell>
          <cell r="D287">
            <v>10</v>
          </cell>
        </row>
        <row r="288">
          <cell r="A288" t="str">
            <v>Сальчетти с/к 230 гр.шт.  СПК</v>
          </cell>
          <cell r="D288">
            <v>-1</v>
          </cell>
        </row>
        <row r="289">
          <cell r="A289" t="str">
            <v>Сальчичон с/к 200 гр. срез "Эликатессе" термоформ.пак.  СПК</v>
          </cell>
          <cell r="D289">
            <v>-1</v>
          </cell>
        </row>
        <row r="290">
          <cell r="A290" t="str">
            <v>Салями с перчиком с/к "КолбасГрад" 160 гр.шт. термоус. пак.  СПК</v>
          </cell>
          <cell r="D290">
            <v>11</v>
          </cell>
        </row>
        <row r="291">
          <cell r="A291" t="str">
            <v>Салями с/к 100 гр.шт.нар. (лоток с ср.защ.атм.)  СПК</v>
          </cell>
          <cell r="D291">
            <v>-3</v>
          </cell>
        </row>
        <row r="292">
          <cell r="A292" t="str">
            <v>Сардельки "Докторские" (черева) ( в ср.защ.атм.) 1.0 кг. "Высокий вкус"  СПК</v>
          </cell>
          <cell r="D292">
            <v>10.73</v>
          </cell>
        </row>
        <row r="293">
          <cell r="A293" t="str">
            <v>Сардельки из говядины (черева) (в ср.защ.атм.) "Высокий вкус"  СПК</v>
          </cell>
          <cell r="D293">
            <v>0.30199999999999999</v>
          </cell>
        </row>
        <row r="294">
          <cell r="A294" t="str">
            <v>Сервелат Европейский в/к, в/с 0,38 кг.шт.термофор.пак  СПК</v>
          </cell>
          <cell r="D294">
            <v>-4</v>
          </cell>
        </row>
        <row r="295">
          <cell r="A295" t="str">
            <v>Сервелат Коньячный в/к 0,38 кг.шт термофор.пак  СПК</v>
          </cell>
          <cell r="D295">
            <v>-2</v>
          </cell>
        </row>
        <row r="296">
          <cell r="A296" t="str">
            <v>Сервелат мелкозернистый в/к 0,5 кг.шт. термоус.пак. "Высокий вкус"  СПК</v>
          </cell>
          <cell r="D296">
            <v>-1</v>
          </cell>
        </row>
        <row r="297">
          <cell r="A297" t="str">
            <v>Сервелат Финский в/к 0,38 кг.шт. термофор.пак.  СПК</v>
          </cell>
          <cell r="D297">
            <v>-2</v>
          </cell>
        </row>
        <row r="298">
          <cell r="A298" t="str">
            <v>Сервелат Фирменный в/к 0,10 кг.шт. нарезка (лоток с ср.защ.атм.)  СПК</v>
          </cell>
          <cell r="D298">
            <v>16</v>
          </cell>
        </row>
        <row r="299">
          <cell r="A299" t="str">
            <v>Сибирская особая с/к 0,10 кг.шт. нарезка (лоток с ср.защ.атм.)  СПК</v>
          </cell>
          <cell r="D299">
            <v>40</v>
          </cell>
        </row>
        <row r="300">
          <cell r="A300" t="str">
            <v>Сибирская особая с/к 0,235 кг шт.  СПК</v>
          </cell>
          <cell r="D300">
            <v>33</v>
          </cell>
        </row>
        <row r="301">
          <cell r="A301" t="str">
            <v>Сосиски "Баварские" 0,36 кг.шт. вак.упак.  СПК</v>
          </cell>
          <cell r="D301">
            <v>1</v>
          </cell>
        </row>
        <row r="302">
          <cell r="A302" t="str">
            <v>Сосиски "Молочные" 0,36 кг.шт. вак.упак.  СПК</v>
          </cell>
          <cell r="D302">
            <v>2</v>
          </cell>
        </row>
        <row r="303">
          <cell r="A303" t="str">
            <v>Сосиски Мусульманские "Просто выгодно" (в ср.защ.атм.)  СПК</v>
          </cell>
          <cell r="D303">
            <v>1.228</v>
          </cell>
        </row>
        <row r="304">
          <cell r="A304" t="str">
            <v>Сосиски Хот-дог подкопченные (лоток с ср.защ.атм.)  СПК</v>
          </cell>
          <cell r="D304">
            <v>1.9710000000000001</v>
          </cell>
        </row>
        <row r="305">
          <cell r="A305" t="str">
            <v>Сочный мегачебурек ТМ Зареченские ВЕС ПОКОМ</v>
          </cell>
          <cell r="D305">
            <v>35.840000000000003</v>
          </cell>
        </row>
        <row r="306">
          <cell r="A306" t="str">
            <v>Торо Неро с/в "Эликатессе" 140 гр.шт.  СПК</v>
          </cell>
          <cell r="D306">
            <v>-3</v>
          </cell>
        </row>
        <row r="307">
          <cell r="A307" t="str">
            <v>У_517  Сосиски С сыром ТМ Ядрена копоть 0,3кг  ПОКОМ</v>
          </cell>
          <cell r="D307">
            <v>58</v>
          </cell>
        </row>
        <row r="308">
          <cell r="A308" t="str">
            <v>Утренняя вареная ВЕС СПК</v>
          </cell>
          <cell r="D308">
            <v>4.8620000000000001</v>
          </cell>
        </row>
        <row r="309">
          <cell r="A309" t="str">
            <v>Уши свиные копченые к пиву 0,15кг нар. д/ф шт.  СПК</v>
          </cell>
          <cell r="D309">
            <v>8</v>
          </cell>
        </row>
        <row r="310">
          <cell r="A310" t="str">
            <v>Фестивальная пора с/к 100 гр.шт.нар. (лоток с ср.защ.атм.)  СПК</v>
          </cell>
          <cell r="D310">
            <v>4</v>
          </cell>
        </row>
        <row r="311">
          <cell r="A311" t="str">
            <v>Фестивальная пора с/к 235 гр.шт.  СПК</v>
          </cell>
          <cell r="D311">
            <v>63</v>
          </cell>
        </row>
        <row r="312">
          <cell r="A312" t="str">
            <v>Фестивальная пора с/к термоус.пак  СПК</v>
          </cell>
          <cell r="D312">
            <v>5.3979999999999997</v>
          </cell>
        </row>
        <row r="313">
          <cell r="A313" t="str">
            <v>Фирменная с/к 200 гр. срез "Эликатессе" термоформ.пак.  СПК</v>
          </cell>
          <cell r="D313">
            <v>1</v>
          </cell>
        </row>
        <row r="314">
          <cell r="A314" t="str">
            <v>Фуэт с/в "Эликатессе" 160 гр.шт.  СПК</v>
          </cell>
          <cell r="D314">
            <v>4</v>
          </cell>
        </row>
        <row r="315">
          <cell r="A315" t="str">
            <v>Хинкали Классические ТМ Зареченские ВЕС ПОКОМ</v>
          </cell>
          <cell r="D315">
            <v>15</v>
          </cell>
        </row>
        <row r="316">
          <cell r="A316" t="str">
            <v>Хот-догстер ТМ Горячая штучка ТС Хот-Догстер флоу-пак 0,09 кг. ПОКОМ</v>
          </cell>
          <cell r="D316">
            <v>65</v>
          </cell>
        </row>
        <row r="317">
          <cell r="A317" t="str">
            <v>Хотстеры с сыром 0,25кг ТМ Горячая штучка  ПОКОМ</v>
          </cell>
          <cell r="D317">
            <v>133</v>
          </cell>
        </row>
        <row r="318">
          <cell r="A318" t="str">
            <v>Хотстеры ТМ Горячая штучка ТС Хотстеры 0,25 кг зам  ПОКОМ</v>
          </cell>
          <cell r="D318">
            <v>205</v>
          </cell>
        </row>
        <row r="319">
          <cell r="A319" t="str">
            <v>Хрустящие крылышки острые к пиву ТМ Горячая штучка 0,3кг зам  ПОКОМ</v>
          </cell>
          <cell r="D319">
            <v>100</v>
          </cell>
        </row>
        <row r="320">
          <cell r="A320" t="str">
            <v>Хрустящие крылышки ТМ Горячая штучка 0,3 кг зам  ПОКОМ</v>
          </cell>
          <cell r="D320">
            <v>90</v>
          </cell>
        </row>
        <row r="321">
          <cell r="A321" t="str">
            <v>Чебупели Курочка гриль ТМ Горячая штучка, 0,3 кг зам  ПОКОМ</v>
          </cell>
          <cell r="D321">
            <v>40</v>
          </cell>
        </row>
        <row r="322">
          <cell r="A322" t="str">
            <v>Чебупицца курочка по-итальянски Горячая штучка 0,25 кг зам  ПОКОМ</v>
          </cell>
          <cell r="D322">
            <v>493</v>
          </cell>
        </row>
        <row r="323">
          <cell r="A323" t="str">
            <v>Чебупицца Пепперони ТМ Горячая штучка ТС Чебупицца 0.25кг зам  ПОКОМ</v>
          </cell>
          <cell r="D323">
            <v>457</v>
          </cell>
        </row>
        <row r="324">
          <cell r="A324" t="str">
            <v>Чебуреки Мясные вес 2,7 кг ТМ Зареченские ВЕС ПОКОМ</v>
          </cell>
          <cell r="D324">
            <v>2.7</v>
          </cell>
        </row>
        <row r="325">
          <cell r="A325" t="str">
            <v>Чебуреки сочные ВЕС ТМ Зареченские  ПОКОМ</v>
          </cell>
          <cell r="D325">
            <v>85</v>
          </cell>
        </row>
        <row r="326">
          <cell r="A326" t="str">
            <v>Шпикачки Русские (черева) (в ср.защ.атм.) "Высокий вкус"  СПК</v>
          </cell>
          <cell r="D326">
            <v>8.4280000000000008</v>
          </cell>
        </row>
        <row r="327">
          <cell r="A327" t="str">
            <v>Эликапреза с/в "Эликатессе" 85 гр.шт. нарезка (лоток с ср.защ.атм.)  СПК</v>
          </cell>
          <cell r="D327">
            <v>-2</v>
          </cell>
        </row>
        <row r="328">
          <cell r="A328" t="str">
            <v>Юбилейная с/к 0,235 кг.шт.  СПК</v>
          </cell>
          <cell r="D328">
            <v>23</v>
          </cell>
        </row>
        <row r="329">
          <cell r="A329" t="str">
            <v>Итого</v>
          </cell>
          <cell r="D329">
            <v>38162.281000000003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15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5" sqref="AO5"/>
    </sheetView>
  </sheetViews>
  <sheetFormatPr defaultColWidth="10.5" defaultRowHeight="11.45" customHeight="1" outlineLevelRow="1" x14ac:dyDescent="0.2"/>
  <cols>
    <col min="1" max="1" width="62" style="1" customWidth="1"/>
    <col min="2" max="2" width="4.332031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7.33203125" style="5" bestFit="1" customWidth="1"/>
    <col min="12" max="16" width="6.5" style="5" bestFit="1" customWidth="1"/>
    <col min="17" max="22" width="0.83203125" style="5" customWidth="1"/>
    <col min="23" max="23" width="6.6640625" style="5" bestFit="1" customWidth="1"/>
    <col min="24" max="24" width="6.5" style="5" bestFit="1" customWidth="1"/>
    <col min="25" max="25" width="6" style="5" customWidth="1"/>
    <col min="26" max="26" width="5.6640625" style="5" bestFit="1" customWidth="1"/>
    <col min="27" max="29" width="0.83203125" style="5" customWidth="1"/>
    <col min="30" max="34" width="6.6640625" style="5" bestFit="1" customWidth="1"/>
    <col min="35" max="35" width="8.1640625" style="5" customWidth="1"/>
    <col min="36" max="36" width="6.83203125" style="5" customWidth="1"/>
    <col min="37" max="38" width="1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>
      <c r="AJ3" s="19" t="s">
        <v>144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119</v>
      </c>
      <c r="H4" s="10" t="s">
        <v>120</v>
      </c>
      <c r="I4" s="9" t="s">
        <v>121</v>
      </c>
      <c r="J4" s="9" t="s">
        <v>122</v>
      </c>
      <c r="K4" s="9" t="s">
        <v>123</v>
      </c>
      <c r="L4" s="9" t="s">
        <v>124</v>
      </c>
      <c r="M4" s="9" t="s">
        <v>124</v>
      </c>
      <c r="N4" s="9" t="s">
        <v>124</v>
      </c>
      <c r="O4" s="9" t="s">
        <v>124</v>
      </c>
      <c r="P4" s="9" t="s">
        <v>124</v>
      </c>
      <c r="Q4" s="9" t="s">
        <v>124</v>
      </c>
      <c r="R4" s="9" t="s">
        <v>124</v>
      </c>
      <c r="S4" s="11" t="s">
        <v>124</v>
      </c>
      <c r="T4" s="9" t="s">
        <v>125</v>
      </c>
      <c r="U4" s="11" t="s">
        <v>124</v>
      </c>
      <c r="V4" s="11" t="s">
        <v>124</v>
      </c>
      <c r="W4" s="9" t="s">
        <v>121</v>
      </c>
      <c r="X4" s="11" t="s">
        <v>124</v>
      </c>
      <c r="Y4" s="9" t="s">
        <v>126</v>
      </c>
      <c r="Z4" s="11" t="s">
        <v>127</v>
      </c>
      <c r="AA4" s="9" t="s">
        <v>128</v>
      </c>
      <c r="AB4" s="9" t="s">
        <v>129</v>
      </c>
      <c r="AC4" s="9" t="s">
        <v>130</v>
      </c>
      <c r="AD4" s="9" t="s">
        <v>131</v>
      </c>
      <c r="AE4" s="9" t="s">
        <v>121</v>
      </c>
      <c r="AF4" s="9" t="s">
        <v>121</v>
      </c>
      <c r="AG4" s="9" t="s">
        <v>121</v>
      </c>
      <c r="AH4" s="9" t="s">
        <v>132</v>
      </c>
      <c r="AI4" s="9" t="s">
        <v>133</v>
      </c>
      <c r="AJ4" s="11" t="s">
        <v>134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135</v>
      </c>
      <c r="M5" s="14" t="s">
        <v>136</v>
      </c>
      <c r="N5" s="14" t="s">
        <v>137</v>
      </c>
      <c r="O5" s="15" t="s">
        <v>138</v>
      </c>
      <c r="P5" s="14" t="s">
        <v>139</v>
      </c>
      <c r="X5" s="14" t="s">
        <v>140</v>
      </c>
      <c r="AE5" s="14" t="s">
        <v>141</v>
      </c>
      <c r="AF5" s="14" t="s">
        <v>142</v>
      </c>
      <c r="AG5" s="14" t="s">
        <v>143</v>
      </c>
      <c r="AH5" s="14" t="s">
        <v>135</v>
      </c>
      <c r="AJ5" s="14" t="s">
        <v>140</v>
      </c>
    </row>
    <row r="6" spans="1:39" ht="11.1" customHeight="1" x14ac:dyDescent="0.2">
      <c r="A6" s="6"/>
      <c r="B6" s="6"/>
      <c r="C6" s="3"/>
      <c r="D6" s="3"/>
      <c r="E6" s="12">
        <f>SUM(E7:E156)</f>
        <v>122261.57200000001</v>
      </c>
      <c r="F6" s="12">
        <f>SUM(F7:F156)</f>
        <v>26577.109</v>
      </c>
      <c r="J6" s="12">
        <f>SUM(J7:J156)</f>
        <v>136152.609</v>
      </c>
      <c r="K6" s="12">
        <f t="shared" ref="K6:X6" si="0">SUM(K7:K156)</f>
        <v>-13891.036999999998</v>
      </c>
      <c r="L6" s="12">
        <f t="shared" si="0"/>
        <v>26710</v>
      </c>
      <c r="M6" s="12">
        <f t="shared" si="0"/>
        <v>29710</v>
      </c>
      <c r="N6" s="12">
        <f t="shared" si="0"/>
        <v>18430</v>
      </c>
      <c r="O6" s="12">
        <f t="shared" si="0"/>
        <v>26000</v>
      </c>
      <c r="P6" s="12">
        <f t="shared" si="0"/>
        <v>27270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22260.714399999993</v>
      </c>
      <c r="X6" s="12">
        <f t="shared" si="0"/>
        <v>10840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10958</v>
      </c>
      <c r="AE6" s="12">
        <f t="shared" ref="AE6" si="5">SUM(AE7:AE156)</f>
        <v>19710.881799999999</v>
      </c>
      <c r="AF6" s="12">
        <f t="shared" ref="AF6" si="6">SUM(AF7:AF156)</f>
        <v>20648.307999999994</v>
      </c>
      <c r="AG6" s="12">
        <f t="shared" ref="AG6" si="7">SUM(AG7:AG156)</f>
        <v>21830.324200000003</v>
      </c>
      <c r="AH6" s="12">
        <f t="shared" ref="AH6" si="8">SUM(AH7:AH156)</f>
        <v>17297.725000000002</v>
      </c>
      <c r="AI6" s="12"/>
      <c r="AJ6" s="12">
        <f t="shared" ref="AJ6" si="9">SUM(AJ7:AJ156)</f>
        <v>7019.6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257.06099999999998</v>
      </c>
      <c r="D7" s="8">
        <v>610.78800000000001</v>
      </c>
      <c r="E7" s="8">
        <v>507.505</v>
      </c>
      <c r="F7" s="8">
        <v>250.67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529.80899999999997</v>
      </c>
      <c r="K7" s="13">
        <f>E7-J7</f>
        <v>-22.303999999999974</v>
      </c>
      <c r="L7" s="13">
        <f>VLOOKUP(A:A,[1]TDSheet!$A:$M,13,0)</f>
        <v>150</v>
      </c>
      <c r="M7" s="13">
        <f>VLOOKUP(A:A,[1]TDSheet!$A:$N,14,0)</f>
        <v>160</v>
      </c>
      <c r="N7" s="13">
        <f>VLOOKUP(A:A,[1]TDSheet!$A:$U,21,0)</f>
        <v>80</v>
      </c>
      <c r="O7" s="13">
        <f>VLOOKUP(A:A,[1]TDSheet!$A:$V,22,0)</f>
        <v>0</v>
      </c>
      <c r="P7" s="13">
        <f>VLOOKUP(A:A,[1]TDSheet!$A:$X,24,0)</f>
        <v>150</v>
      </c>
      <c r="Q7" s="13"/>
      <c r="R7" s="13"/>
      <c r="S7" s="13"/>
      <c r="T7" s="13"/>
      <c r="U7" s="13"/>
      <c r="V7" s="13"/>
      <c r="W7" s="13">
        <f>(E7-AD7)/5</f>
        <v>101.501</v>
      </c>
      <c r="X7" s="16"/>
      <c r="Y7" s="17">
        <f>(F7+L7+M7+N7+O7+P7+X7)/W7</f>
        <v>7.7897754701924109</v>
      </c>
      <c r="Z7" s="13">
        <f>F7/W7</f>
        <v>2.4696308410754573</v>
      </c>
      <c r="AA7" s="13"/>
      <c r="AB7" s="13"/>
      <c r="AC7" s="13"/>
      <c r="AD7" s="13">
        <f>VLOOKUP(A:A,[1]TDSheet!$A:$AD,30,0)</f>
        <v>0</v>
      </c>
      <c r="AE7" s="13">
        <f>VLOOKUP(A:A,[1]TDSheet!$A:$AE,31,0)</f>
        <v>106.89320000000001</v>
      </c>
      <c r="AF7" s="13">
        <f>VLOOKUP(A:A,[1]TDSheet!$A:$AF,32,0)</f>
        <v>106.89919999999999</v>
      </c>
      <c r="AG7" s="13">
        <f>VLOOKUP(A:A,[1]TDSheet!$A:$AG,33,0)</f>
        <v>111.00160000000001</v>
      </c>
      <c r="AH7" s="13">
        <f>VLOOKUP(A:A,[3]TDSheet!$A:$D,4,0)</f>
        <v>29.754000000000001</v>
      </c>
      <c r="AI7" s="13" t="str">
        <f>VLOOKUP(A:A,[1]TDSheet!$A:$AI,35,0)</f>
        <v>оконч</v>
      </c>
      <c r="AJ7" s="13">
        <f>X7*H7</f>
        <v>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313.58600000000001</v>
      </c>
      <c r="D8" s="8">
        <v>867.077</v>
      </c>
      <c r="E8" s="8">
        <v>627.79300000000001</v>
      </c>
      <c r="F8" s="8">
        <v>376.49799999999999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643.75900000000001</v>
      </c>
      <c r="K8" s="13">
        <f t="shared" ref="K8:K71" si="10">E8-J8</f>
        <v>-15.966000000000008</v>
      </c>
      <c r="L8" s="13">
        <f>VLOOKUP(A:A,[1]TDSheet!$A:$M,13,0)</f>
        <v>100</v>
      </c>
      <c r="M8" s="13">
        <f>VLOOKUP(A:A,[1]TDSheet!$A:$N,14,0)</f>
        <v>110</v>
      </c>
      <c r="N8" s="13">
        <f>VLOOKUP(A:A,[1]TDSheet!$A:$U,21,0)</f>
        <v>0</v>
      </c>
      <c r="O8" s="13">
        <f>VLOOKUP(A:A,[1]TDSheet!$A:$V,22,0)</f>
        <v>50</v>
      </c>
      <c r="P8" s="13">
        <f>VLOOKUP(A:A,[1]TDSheet!$A:$X,24,0)</f>
        <v>120</v>
      </c>
      <c r="Q8" s="13"/>
      <c r="R8" s="13"/>
      <c r="S8" s="13"/>
      <c r="T8" s="13"/>
      <c r="U8" s="13"/>
      <c r="V8" s="13"/>
      <c r="W8" s="13">
        <f t="shared" ref="W8:W71" si="11">(E8-AD8)/5</f>
        <v>125.5586</v>
      </c>
      <c r="X8" s="16">
        <v>120</v>
      </c>
      <c r="Y8" s="17">
        <f t="shared" ref="Y8:Y71" si="12">(F8+L8+M8+N8+O8+P8+X8)/W8</f>
        <v>6.9807882534529702</v>
      </c>
      <c r="Z8" s="13">
        <f t="shared" ref="Z8:Z71" si="13">F8/W8</f>
        <v>2.9985839281419193</v>
      </c>
      <c r="AA8" s="13"/>
      <c r="AB8" s="13"/>
      <c r="AC8" s="13"/>
      <c r="AD8" s="13">
        <f>VLOOKUP(A:A,[1]TDSheet!$A:$AD,30,0)</f>
        <v>0</v>
      </c>
      <c r="AE8" s="13">
        <f>VLOOKUP(A:A,[1]TDSheet!$A:$AE,31,0)</f>
        <v>105.64179999999999</v>
      </c>
      <c r="AF8" s="13">
        <f>VLOOKUP(A:A,[1]TDSheet!$A:$AF,32,0)</f>
        <v>137.91820000000001</v>
      </c>
      <c r="AG8" s="13">
        <f>VLOOKUP(A:A,[1]TDSheet!$A:$AG,33,0)</f>
        <v>124.7272</v>
      </c>
      <c r="AH8" s="13">
        <f>VLOOKUP(A:A,[3]TDSheet!$A:$D,4,0)</f>
        <v>152.90299999999999</v>
      </c>
      <c r="AI8" s="13" t="str">
        <f>VLOOKUP(A:A,[1]TDSheet!$A:$AI,35,0)</f>
        <v>оконч</v>
      </c>
      <c r="AJ8" s="13">
        <f t="shared" ref="AJ8:AJ71" si="14">X8*H8</f>
        <v>120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489.18599999999998</v>
      </c>
      <c r="D9" s="8">
        <v>3432.3159999999998</v>
      </c>
      <c r="E9" s="18">
        <v>2622</v>
      </c>
      <c r="F9" s="18">
        <v>670</v>
      </c>
      <c r="G9" s="1" t="str">
        <f>VLOOKUP(A:A,[1]TDSheet!$A:$G,7,0)</f>
        <v>тк3004,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2045.16</v>
      </c>
      <c r="K9" s="13">
        <f t="shared" si="10"/>
        <v>576.83999999999992</v>
      </c>
      <c r="L9" s="13">
        <f>VLOOKUP(A:A,[1]TDSheet!$A:$M,13,0)</f>
        <v>500</v>
      </c>
      <c r="M9" s="13">
        <f>VLOOKUP(A:A,[1]TDSheet!$A:$N,14,0)</f>
        <v>750</v>
      </c>
      <c r="N9" s="13">
        <f>VLOOKUP(A:A,[1]TDSheet!$A:$U,21,0)</f>
        <v>800</v>
      </c>
      <c r="O9" s="13">
        <f>VLOOKUP(A:A,[1]TDSheet!$A:$V,22,0)</f>
        <v>400</v>
      </c>
      <c r="P9" s="13">
        <f>VLOOKUP(A:A,[1]TDSheet!$A:$X,24,0)</f>
        <v>850</v>
      </c>
      <c r="Q9" s="13"/>
      <c r="R9" s="13"/>
      <c r="S9" s="13"/>
      <c r="T9" s="13"/>
      <c r="U9" s="13"/>
      <c r="V9" s="13"/>
      <c r="W9" s="13">
        <f t="shared" si="11"/>
        <v>524.4</v>
      </c>
      <c r="X9" s="16">
        <v>300</v>
      </c>
      <c r="Y9" s="17">
        <f t="shared" si="12"/>
        <v>8.1426392067124329</v>
      </c>
      <c r="Z9" s="13">
        <f t="shared" si="13"/>
        <v>1.2776506483600305</v>
      </c>
      <c r="AA9" s="13"/>
      <c r="AB9" s="13"/>
      <c r="AC9" s="13"/>
      <c r="AD9" s="13">
        <f>VLOOKUP(A:A,[1]TDSheet!$A:$AD,30,0)</f>
        <v>0</v>
      </c>
      <c r="AE9" s="13">
        <f>VLOOKUP(A:A,[1]TDSheet!$A:$AE,31,0)</f>
        <v>409.8</v>
      </c>
      <c r="AF9" s="13">
        <f>VLOOKUP(A:A,[1]TDSheet!$A:$AF,32,0)</f>
        <v>423.8</v>
      </c>
      <c r="AG9" s="13">
        <f>VLOOKUP(A:A,[1]TDSheet!$A:$AG,33,0)</f>
        <v>491.8</v>
      </c>
      <c r="AH9" s="13">
        <f>VLOOKUP(A:A,[3]TDSheet!$A:$D,4,0)</f>
        <v>168.21700000000001</v>
      </c>
      <c r="AI9" s="13" t="str">
        <f>VLOOKUP(A:A,[1]TDSheet!$A:$AI,35,0)</f>
        <v>продапр</v>
      </c>
      <c r="AJ9" s="13">
        <f t="shared" si="14"/>
        <v>300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919</v>
      </c>
      <c r="D10" s="8">
        <v>8120</v>
      </c>
      <c r="E10" s="8">
        <v>3003</v>
      </c>
      <c r="F10" s="8">
        <v>310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3514</v>
      </c>
      <c r="K10" s="13">
        <f t="shared" si="10"/>
        <v>-511</v>
      </c>
      <c r="L10" s="13">
        <f>VLOOKUP(A:A,[1]TDSheet!$A:$M,13,0)</f>
        <v>600</v>
      </c>
      <c r="M10" s="13">
        <f>VLOOKUP(A:A,[1]TDSheet!$A:$N,14,0)</f>
        <v>800</v>
      </c>
      <c r="N10" s="13">
        <f>VLOOKUP(A:A,[1]TDSheet!$A:$U,21,0)</f>
        <v>500</v>
      </c>
      <c r="O10" s="13">
        <f>VLOOKUP(A:A,[1]TDSheet!$A:$V,22,0)</f>
        <v>500</v>
      </c>
      <c r="P10" s="13">
        <f>VLOOKUP(A:A,[1]TDSheet!$A:$X,24,0)</f>
        <v>600</v>
      </c>
      <c r="Q10" s="13"/>
      <c r="R10" s="13"/>
      <c r="S10" s="13"/>
      <c r="T10" s="13"/>
      <c r="U10" s="13"/>
      <c r="V10" s="13"/>
      <c r="W10" s="13">
        <f t="shared" si="11"/>
        <v>480.6</v>
      </c>
      <c r="X10" s="16">
        <v>200</v>
      </c>
      <c r="Y10" s="17">
        <f t="shared" si="12"/>
        <v>7.3033707865168536</v>
      </c>
      <c r="Z10" s="13">
        <f t="shared" si="13"/>
        <v>0.64502704952143153</v>
      </c>
      <c r="AA10" s="13"/>
      <c r="AB10" s="13"/>
      <c r="AC10" s="13"/>
      <c r="AD10" s="13">
        <f>VLOOKUP(A:A,[1]TDSheet!$A:$AD,30,0)</f>
        <v>600</v>
      </c>
      <c r="AE10" s="13">
        <f>VLOOKUP(A:A,[1]TDSheet!$A:$AE,31,0)</f>
        <v>389.8</v>
      </c>
      <c r="AF10" s="13">
        <f>VLOOKUP(A:A,[1]TDSheet!$A:$AF,32,0)</f>
        <v>423.2</v>
      </c>
      <c r="AG10" s="13">
        <f>VLOOKUP(A:A,[1]TDSheet!$A:$AG,33,0)</f>
        <v>500.8</v>
      </c>
      <c r="AH10" s="13">
        <f>VLOOKUP(A:A,[3]TDSheet!$A:$D,4,0)</f>
        <v>335</v>
      </c>
      <c r="AI10" s="13" t="str">
        <f>VLOOKUP(A:A,[1]TDSheet!$A:$AI,35,0)</f>
        <v>продапр</v>
      </c>
      <c r="AJ10" s="13">
        <f t="shared" si="14"/>
        <v>80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1246</v>
      </c>
      <c r="D11" s="8">
        <v>6189</v>
      </c>
      <c r="E11" s="8">
        <v>5921</v>
      </c>
      <c r="F11" s="8">
        <v>1347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6075</v>
      </c>
      <c r="K11" s="13">
        <f t="shared" si="10"/>
        <v>-154</v>
      </c>
      <c r="L11" s="13">
        <f>VLOOKUP(A:A,[1]TDSheet!$A:$M,13,0)</f>
        <v>700</v>
      </c>
      <c r="M11" s="13">
        <f>VLOOKUP(A:A,[1]TDSheet!$A:$N,14,0)</f>
        <v>1400</v>
      </c>
      <c r="N11" s="13">
        <f>VLOOKUP(A:A,[1]TDSheet!$A:$U,21,0)</f>
        <v>900</v>
      </c>
      <c r="O11" s="13">
        <f>VLOOKUP(A:A,[1]TDSheet!$A:$V,22,0)</f>
        <v>1000</v>
      </c>
      <c r="P11" s="13">
        <f>VLOOKUP(A:A,[1]TDSheet!$A:$X,24,0)</f>
        <v>1200</v>
      </c>
      <c r="Q11" s="13"/>
      <c r="R11" s="13"/>
      <c r="S11" s="13"/>
      <c r="T11" s="13"/>
      <c r="U11" s="13"/>
      <c r="V11" s="13"/>
      <c r="W11" s="13">
        <f t="shared" si="11"/>
        <v>968.2</v>
      </c>
      <c r="X11" s="16">
        <v>300</v>
      </c>
      <c r="Y11" s="17">
        <f t="shared" si="12"/>
        <v>7.0718859739723197</v>
      </c>
      <c r="Z11" s="13">
        <f t="shared" si="13"/>
        <v>1.3912414790332575</v>
      </c>
      <c r="AA11" s="13"/>
      <c r="AB11" s="13"/>
      <c r="AC11" s="13"/>
      <c r="AD11" s="13">
        <f>VLOOKUP(A:A,[1]TDSheet!$A:$AD,30,0)</f>
        <v>1080</v>
      </c>
      <c r="AE11" s="13">
        <f>VLOOKUP(A:A,[1]TDSheet!$A:$AE,31,0)</f>
        <v>683.8</v>
      </c>
      <c r="AF11" s="13">
        <f>VLOOKUP(A:A,[1]TDSheet!$A:$AF,32,0)</f>
        <v>853.2</v>
      </c>
      <c r="AG11" s="13">
        <f>VLOOKUP(A:A,[1]TDSheet!$A:$AG,33,0)</f>
        <v>913</v>
      </c>
      <c r="AH11" s="13">
        <f>VLOOKUP(A:A,[3]TDSheet!$A:$D,4,0)</f>
        <v>680</v>
      </c>
      <c r="AI11" s="13" t="str">
        <f>VLOOKUP(A:A,[1]TDSheet!$A:$AI,35,0)</f>
        <v>апряб</v>
      </c>
      <c r="AJ11" s="13">
        <f t="shared" si="14"/>
        <v>135</v>
      </c>
      <c r="AK11" s="13"/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2779</v>
      </c>
      <c r="D12" s="8">
        <v>4364</v>
      </c>
      <c r="E12" s="8">
        <v>6274</v>
      </c>
      <c r="F12" s="8">
        <v>728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6447</v>
      </c>
      <c r="K12" s="13">
        <f t="shared" si="10"/>
        <v>-173</v>
      </c>
      <c r="L12" s="13">
        <f>VLOOKUP(A:A,[1]TDSheet!$A:$M,13,0)</f>
        <v>1000</v>
      </c>
      <c r="M12" s="13">
        <f>VLOOKUP(A:A,[1]TDSheet!$A:$N,14,0)</f>
        <v>1200</v>
      </c>
      <c r="N12" s="13">
        <f>VLOOKUP(A:A,[1]TDSheet!$A:$U,21,0)</f>
        <v>700</v>
      </c>
      <c r="O12" s="13">
        <f>VLOOKUP(A:A,[1]TDSheet!$A:$V,22,0)</f>
        <v>900</v>
      </c>
      <c r="P12" s="13">
        <f>VLOOKUP(A:A,[1]TDSheet!$A:$X,24,0)</f>
        <v>1200</v>
      </c>
      <c r="Q12" s="13"/>
      <c r="R12" s="13"/>
      <c r="S12" s="13"/>
      <c r="T12" s="13"/>
      <c r="U12" s="13"/>
      <c r="V12" s="13"/>
      <c r="W12" s="13">
        <f t="shared" si="11"/>
        <v>857.6</v>
      </c>
      <c r="X12" s="16">
        <v>300</v>
      </c>
      <c r="Y12" s="17">
        <f t="shared" si="12"/>
        <v>7.0289179104477606</v>
      </c>
      <c r="Z12" s="13">
        <f t="shared" si="13"/>
        <v>0.84888059701492535</v>
      </c>
      <c r="AA12" s="13"/>
      <c r="AB12" s="13"/>
      <c r="AC12" s="13"/>
      <c r="AD12" s="13">
        <f>VLOOKUP(A:A,[1]TDSheet!$A:$AD,30,0)</f>
        <v>1986</v>
      </c>
      <c r="AE12" s="13">
        <f>VLOOKUP(A:A,[1]TDSheet!$A:$AE,31,0)</f>
        <v>899</v>
      </c>
      <c r="AF12" s="13">
        <f>VLOOKUP(A:A,[1]TDSheet!$A:$AF,32,0)</f>
        <v>913</v>
      </c>
      <c r="AG12" s="13">
        <f>VLOOKUP(A:A,[1]TDSheet!$A:$AG,33,0)</f>
        <v>793.4</v>
      </c>
      <c r="AH12" s="13">
        <f>VLOOKUP(A:A,[3]TDSheet!$A:$D,4,0)</f>
        <v>731</v>
      </c>
      <c r="AI12" s="13" t="str">
        <f>VLOOKUP(A:A,[1]TDSheet!$A:$AI,35,0)</f>
        <v>оконч</v>
      </c>
      <c r="AJ12" s="13">
        <f t="shared" si="14"/>
        <v>135</v>
      </c>
      <c r="AK12" s="13"/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29</v>
      </c>
      <c r="D13" s="8">
        <v>250</v>
      </c>
      <c r="E13" s="8">
        <v>47</v>
      </c>
      <c r="F13" s="8">
        <v>18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81</v>
      </c>
      <c r="K13" s="13">
        <f t="shared" si="10"/>
        <v>-34</v>
      </c>
      <c r="L13" s="13">
        <f>VLOOKUP(A:A,[1]TDSheet!$A:$M,13,0)</f>
        <v>10</v>
      </c>
      <c r="M13" s="13">
        <f>VLOOKUP(A:A,[1]TDSheet!$A:$N,14,0)</f>
        <v>10</v>
      </c>
      <c r="N13" s="13">
        <f>VLOOKUP(A:A,[1]TDSheet!$A:$U,21,0)</f>
        <v>0</v>
      </c>
      <c r="O13" s="13">
        <f>VLOOKUP(A:A,[1]TDSheet!$A:$V,22,0)</f>
        <v>10</v>
      </c>
      <c r="P13" s="13">
        <f>VLOOKUP(A:A,[1]TDSheet!$A:$X,24,0)</f>
        <v>0</v>
      </c>
      <c r="Q13" s="13"/>
      <c r="R13" s="13"/>
      <c r="S13" s="13"/>
      <c r="T13" s="13"/>
      <c r="U13" s="13"/>
      <c r="V13" s="13"/>
      <c r="W13" s="13">
        <f t="shared" si="11"/>
        <v>9.4</v>
      </c>
      <c r="X13" s="16">
        <v>20</v>
      </c>
      <c r="Y13" s="17">
        <f t="shared" si="12"/>
        <v>7.2340425531914887</v>
      </c>
      <c r="Z13" s="13">
        <f t="shared" si="13"/>
        <v>1.9148936170212765</v>
      </c>
      <c r="AA13" s="13"/>
      <c r="AB13" s="13"/>
      <c r="AC13" s="13"/>
      <c r="AD13" s="13">
        <f>VLOOKUP(A:A,[1]TDSheet!$A:$AD,30,0)</f>
        <v>0</v>
      </c>
      <c r="AE13" s="13">
        <f>VLOOKUP(A:A,[1]TDSheet!$A:$AE,31,0)</f>
        <v>7.2</v>
      </c>
      <c r="AF13" s="13">
        <f>VLOOKUP(A:A,[1]TDSheet!$A:$AF,32,0)</f>
        <v>6.6</v>
      </c>
      <c r="AG13" s="13">
        <f>VLOOKUP(A:A,[1]TDSheet!$A:$AG,33,0)</f>
        <v>8.4</v>
      </c>
      <c r="AH13" s="13">
        <f>VLOOKUP(A:A,[3]TDSheet!$A:$D,4,0)</f>
        <v>24</v>
      </c>
      <c r="AI13" s="13">
        <f>VLOOKUP(A:A,[1]TDSheet!$A:$AI,35,0)</f>
        <v>0</v>
      </c>
      <c r="AJ13" s="13">
        <f t="shared" si="14"/>
        <v>8</v>
      </c>
      <c r="AK13" s="13"/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129</v>
      </c>
      <c r="D14" s="8">
        <v>424</v>
      </c>
      <c r="E14" s="8">
        <v>366</v>
      </c>
      <c r="F14" s="8">
        <v>174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385</v>
      </c>
      <c r="K14" s="13">
        <f t="shared" si="10"/>
        <v>-19</v>
      </c>
      <c r="L14" s="13">
        <f>VLOOKUP(A:A,[1]TDSheet!$A:$M,13,0)</f>
        <v>0</v>
      </c>
      <c r="M14" s="13">
        <f>VLOOKUP(A:A,[1]TDSheet!$A:$N,14,0)</f>
        <v>200</v>
      </c>
      <c r="N14" s="13">
        <f>VLOOKUP(A:A,[1]TDSheet!$A:$U,21,0)</f>
        <v>0</v>
      </c>
      <c r="O14" s="13">
        <f>VLOOKUP(A:A,[1]TDSheet!$A:$V,22,0)</f>
        <v>100</v>
      </c>
      <c r="P14" s="13">
        <f>VLOOKUP(A:A,[1]TDSheet!$A:$X,24,0)</f>
        <v>200</v>
      </c>
      <c r="Q14" s="13"/>
      <c r="R14" s="13"/>
      <c r="S14" s="13"/>
      <c r="T14" s="13"/>
      <c r="U14" s="13"/>
      <c r="V14" s="13"/>
      <c r="W14" s="13">
        <f t="shared" si="11"/>
        <v>73.2</v>
      </c>
      <c r="X14" s="16"/>
      <c r="Y14" s="17">
        <f t="shared" si="12"/>
        <v>9.2076502732240435</v>
      </c>
      <c r="Z14" s="13">
        <f t="shared" si="13"/>
        <v>2.3770491803278686</v>
      </c>
      <c r="AA14" s="13"/>
      <c r="AB14" s="13"/>
      <c r="AC14" s="13"/>
      <c r="AD14" s="13">
        <f>VLOOKUP(A:A,[1]TDSheet!$A:$AD,30,0)</f>
        <v>0</v>
      </c>
      <c r="AE14" s="13">
        <f>VLOOKUP(A:A,[1]TDSheet!$A:$AE,31,0)</f>
        <v>13.8</v>
      </c>
      <c r="AF14" s="13">
        <f>VLOOKUP(A:A,[1]TDSheet!$A:$AF,32,0)</f>
        <v>21.8</v>
      </c>
      <c r="AG14" s="13">
        <f>VLOOKUP(A:A,[1]TDSheet!$A:$AG,33,0)</f>
        <v>68.599999999999994</v>
      </c>
      <c r="AH14" s="13">
        <f>VLOOKUP(A:A,[3]TDSheet!$A:$D,4,0)</f>
        <v>145</v>
      </c>
      <c r="AI14" s="13" t="str">
        <f>VLOOKUP(A:A,[1]TDSheet!$A:$AI,35,0)</f>
        <v>склад</v>
      </c>
      <c r="AJ14" s="13">
        <f t="shared" si="14"/>
        <v>0</v>
      </c>
      <c r="AK14" s="13"/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97</v>
      </c>
      <c r="D15" s="8">
        <v>1391</v>
      </c>
      <c r="E15" s="8">
        <v>176</v>
      </c>
      <c r="F15" s="8">
        <v>19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320</v>
      </c>
      <c r="K15" s="13">
        <f t="shared" si="10"/>
        <v>-144</v>
      </c>
      <c r="L15" s="13">
        <f>VLOOKUP(A:A,[1]TDSheet!$A:$M,13,0)</f>
        <v>30</v>
      </c>
      <c r="M15" s="13">
        <f>VLOOKUP(A:A,[1]TDSheet!$A:$N,14,0)</f>
        <v>60</v>
      </c>
      <c r="N15" s="13">
        <f>VLOOKUP(A:A,[1]TDSheet!$A:$U,21,0)</f>
        <v>0</v>
      </c>
      <c r="O15" s="13">
        <f>VLOOKUP(A:A,[1]TDSheet!$A:$V,22,0)</f>
        <v>50</v>
      </c>
      <c r="P15" s="13">
        <f>VLOOKUP(A:A,[1]TDSheet!$A:$X,24,0)</f>
        <v>0</v>
      </c>
      <c r="Q15" s="13"/>
      <c r="R15" s="13"/>
      <c r="S15" s="13"/>
      <c r="T15" s="13"/>
      <c r="U15" s="13"/>
      <c r="V15" s="13"/>
      <c r="W15" s="13">
        <f t="shared" si="11"/>
        <v>35.200000000000003</v>
      </c>
      <c r="X15" s="16">
        <v>90</v>
      </c>
      <c r="Y15" s="17">
        <f t="shared" si="12"/>
        <v>7.0738636363636358</v>
      </c>
      <c r="Z15" s="13">
        <f t="shared" si="13"/>
        <v>0.53977272727272718</v>
      </c>
      <c r="AA15" s="13"/>
      <c r="AB15" s="13"/>
      <c r="AC15" s="13"/>
      <c r="AD15" s="13">
        <f>VLOOKUP(A:A,[1]TDSheet!$A:$AD,30,0)</f>
        <v>0</v>
      </c>
      <c r="AE15" s="13">
        <f>VLOOKUP(A:A,[1]TDSheet!$A:$AE,31,0)</f>
        <v>42</v>
      </c>
      <c r="AF15" s="13">
        <f>VLOOKUP(A:A,[1]TDSheet!$A:$AF,32,0)</f>
        <v>29.2</v>
      </c>
      <c r="AG15" s="13">
        <f>VLOOKUP(A:A,[1]TDSheet!$A:$AG,33,0)</f>
        <v>41.4</v>
      </c>
      <c r="AH15" s="13">
        <f>VLOOKUP(A:A,[3]TDSheet!$A:$D,4,0)</f>
        <v>87</v>
      </c>
      <c r="AI15" s="13">
        <f>VLOOKUP(A:A,[1]TDSheet!$A:$AI,35,0)</f>
        <v>0</v>
      </c>
      <c r="AJ15" s="13">
        <f t="shared" si="14"/>
        <v>27</v>
      </c>
      <c r="AK15" s="13"/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79</v>
      </c>
      <c r="D16" s="8">
        <v>2030</v>
      </c>
      <c r="E16" s="8">
        <v>1583</v>
      </c>
      <c r="F16" s="8">
        <v>491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1743</v>
      </c>
      <c r="K16" s="13">
        <f t="shared" si="10"/>
        <v>-160</v>
      </c>
      <c r="L16" s="13">
        <f>VLOOKUP(A:A,[1]TDSheet!$A:$M,13,0)</f>
        <v>500</v>
      </c>
      <c r="M16" s="13">
        <f>VLOOKUP(A:A,[1]TDSheet!$A:$N,14,0)</f>
        <v>1700</v>
      </c>
      <c r="N16" s="13">
        <f>VLOOKUP(A:A,[1]TDSheet!$A:$U,21,0)</f>
        <v>0</v>
      </c>
      <c r="O16" s="13">
        <f>VLOOKUP(A:A,[1]TDSheet!$A:$V,22,0)</f>
        <v>500</v>
      </c>
      <c r="P16" s="13">
        <f>VLOOKUP(A:A,[1]TDSheet!$A:$X,24,0)</f>
        <v>600</v>
      </c>
      <c r="Q16" s="13"/>
      <c r="R16" s="13"/>
      <c r="S16" s="13"/>
      <c r="T16" s="13"/>
      <c r="U16" s="13"/>
      <c r="V16" s="13"/>
      <c r="W16" s="13">
        <f t="shared" si="11"/>
        <v>316.60000000000002</v>
      </c>
      <c r="X16" s="16"/>
      <c r="Y16" s="17">
        <f t="shared" si="12"/>
        <v>11.974099810486416</v>
      </c>
      <c r="Z16" s="13">
        <f t="shared" si="13"/>
        <v>1.5508528111181301</v>
      </c>
      <c r="AA16" s="13"/>
      <c r="AB16" s="13"/>
      <c r="AC16" s="13"/>
      <c r="AD16" s="13">
        <f>VLOOKUP(A:A,[1]TDSheet!$A:$AD,30,0)</f>
        <v>0</v>
      </c>
      <c r="AE16" s="13">
        <f>VLOOKUP(A:A,[1]TDSheet!$A:$AE,31,0)</f>
        <v>110.2</v>
      </c>
      <c r="AF16" s="13">
        <f>VLOOKUP(A:A,[1]TDSheet!$A:$AF,32,0)</f>
        <v>76.2</v>
      </c>
      <c r="AG16" s="13">
        <f>VLOOKUP(A:A,[1]TDSheet!$A:$AG,33,0)</f>
        <v>265.39999999999998</v>
      </c>
      <c r="AH16" s="13">
        <f>VLOOKUP(A:A,[3]TDSheet!$A:$D,4,0)</f>
        <v>442</v>
      </c>
      <c r="AI16" s="13">
        <f>VLOOKUP(A:A,[1]TDSheet!$A:$AI,35,0)</f>
        <v>0</v>
      </c>
      <c r="AJ16" s="13">
        <f t="shared" si="14"/>
        <v>0</v>
      </c>
      <c r="AK16" s="13"/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195</v>
      </c>
      <c r="D17" s="8">
        <v>1167</v>
      </c>
      <c r="E17" s="8">
        <v>801</v>
      </c>
      <c r="F17" s="8">
        <v>45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1317</v>
      </c>
      <c r="K17" s="13">
        <f t="shared" si="10"/>
        <v>-516</v>
      </c>
      <c r="L17" s="13">
        <f>VLOOKUP(A:A,[1]TDSheet!$A:$M,13,0)</f>
        <v>350</v>
      </c>
      <c r="M17" s="13">
        <f>VLOOKUP(A:A,[1]TDSheet!$A:$N,14,0)</f>
        <v>250</v>
      </c>
      <c r="N17" s="13">
        <f>VLOOKUP(A:A,[1]TDSheet!$A:$U,21,0)</f>
        <v>300</v>
      </c>
      <c r="O17" s="13">
        <f>VLOOKUP(A:A,[1]TDSheet!$A:$V,22,0)</f>
        <v>0</v>
      </c>
      <c r="P17" s="13">
        <f>VLOOKUP(A:A,[1]TDSheet!$A:$X,24,0)</f>
        <v>250</v>
      </c>
      <c r="Q17" s="13"/>
      <c r="R17" s="13"/>
      <c r="S17" s="13"/>
      <c r="T17" s="13"/>
      <c r="U17" s="13"/>
      <c r="V17" s="13"/>
      <c r="W17" s="13">
        <f t="shared" si="11"/>
        <v>160.19999999999999</v>
      </c>
      <c r="X17" s="16">
        <v>100</v>
      </c>
      <c r="Y17" s="17">
        <f t="shared" si="12"/>
        <v>8.083645443196005</v>
      </c>
      <c r="Z17" s="13">
        <f t="shared" si="13"/>
        <v>0.2808988764044944</v>
      </c>
      <c r="AA17" s="13"/>
      <c r="AB17" s="13"/>
      <c r="AC17" s="13"/>
      <c r="AD17" s="13">
        <f>VLOOKUP(A:A,[1]TDSheet!$A:$AD,30,0)</f>
        <v>0</v>
      </c>
      <c r="AE17" s="13">
        <f>VLOOKUP(A:A,[1]TDSheet!$A:$AE,31,0)</f>
        <v>67.2</v>
      </c>
      <c r="AF17" s="13">
        <f>VLOOKUP(A:A,[1]TDSheet!$A:$AF,32,0)</f>
        <v>55.6</v>
      </c>
      <c r="AG17" s="13">
        <f>VLOOKUP(A:A,[1]TDSheet!$A:$AG,33,0)</f>
        <v>166.4</v>
      </c>
      <c r="AH17" s="13">
        <f>VLOOKUP(A:A,[3]TDSheet!$A:$D,4,0)</f>
        <v>112</v>
      </c>
      <c r="AI17" s="13" t="str">
        <f>VLOOKUP(A:A,[1]TDSheet!$A:$AI,35,0)</f>
        <v>продапр</v>
      </c>
      <c r="AJ17" s="13">
        <f t="shared" si="14"/>
        <v>35</v>
      </c>
      <c r="AK17" s="13"/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82</v>
      </c>
      <c r="D18" s="8">
        <v>2725</v>
      </c>
      <c r="E18" s="8">
        <v>169</v>
      </c>
      <c r="F18" s="8">
        <v>116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181</v>
      </c>
      <c r="K18" s="13">
        <f t="shared" si="10"/>
        <v>-12</v>
      </c>
      <c r="L18" s="13">
        <f>VLOOKUP(A:A,[1]TDSheet!$A:$M,13,0)</f>
        <v>0</v>
      </c>
      <c r="M18" s="13">
        <f>VLOOKUP(A:A,[1]TDSheet!$A:$N,14,0)</f>
        <v>0</v>
      </c>
      <c r="N18" s="13">
        <f>VLOOKUP(A:A,[1]TDSheet!$A:$U,21,0)</f>
        <v>0</v>
      </c>
      <c r="O18" s="13">
        <f>VLOOKUP(A:A,[1]TDSheet!$A:$V,22,0)</f>
        <v>0</v>
      </c>
      <c r="P18" s="13">
        <f>VLOOKUP(A:A,[1]TDSheet!$A:$X,24,0)</f>
        <v>20</v>
      </c>
      <c r="Q18" s="13"/>
      <c r="R18" s="13"/>
      <c r="S18" s="13"/>
      <c r="T18" s="13"/>
      <c r="U18" s="13"/>
      <c r="V18" s="13"/>
      <c r="W18" s="13">
        <f t="shared" si="11"/>
        <v>23</v>
      </c>
      <c r="X18" s="16">
        <v>30</v>
      </c>
      <c r="Y18" s="17">
        <f t="shared" si="12"/>
        <v>7.2173913043478262</v>
      </c>
      <c r="Z18" s="13">
        <f t="shared" si="13"/>
        <v>5.0434782608695654</v>
      </c>
      <c r="AA18" s="13"/>
      <c r="AB18" s="13"/>
      <c r="AC18" s="13"/>
      <c r="AD18" s="13">
        <f>VLOOKUP(A:A,[1]TDSheet!$A:$AD,30,0)</f>
        <v>54</v>
      </c>
      <c r="AE18" s="13">
        <f>VLOOKUP(A:A,[1]TDSheet!$A:$AE,31,0)</f>
        <v>26.6</v>
      </c>
      <c r="AF18" s="13">
        <f>VLOOKUP(A:A,[1]TDSheet!$A:$AF,32,0)</f>
        <v>39</v>
      </c>
      <c r="AG18" s="13">
        <f>VLOOKUP(A:A,[1]TDSheet!$A:$AG,33,0)</f>
        <v>21</v>
      </c>
      <c r="AH18" s="13">
        <f>VLOOKUP(A:A,[3]TDSheet!$A:$D,4,0)</f>
        <v>43</v>
      </c>
      <c r="AI18" s="13" t="str">
        <f>VLOOKUP(A:A,[1]TDSheet!$A:$AI,35,0)</f>
        <v>300пуд</v>
      </c>
      <c r="AJ18" s="13">
        <f t="shared" si="14"/>
        <v>10.5</v>
      </c>
      <c r="AK18" s="13"/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84</v>
      </c>
      <c r="D19" s="8">
        <v>841</v>
      </c>
      <c r="E19" s="8">
        <v>216</v>
      </c>
      <c r="F19" s="8">
        <v>46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272</v>
      </c>
      <c r="K19" s="13">
        <f t="shared" si="10"/>
        <v>-56</v>
      </c>
      <c r="L19" s="13">
        <f>VLOOKUP(A:A,[1]TDSheet!$A:$M,13,0)</f>
        <v>0</v>
      </c>
      <c r="M19" s="13">
        <f>VLOOKUP(A:A,[1]TDSheet!$A:$N,14,0)</f>
        <v>50</v>
      </c>
      <c r="N19" s="13">
        <f>VLOOKUP(A:A,[1]TDSheet!$A:$U,21,0)</f>
        <v>50</v>
      </c>
      <c r="O19" s="13">
        <f>VLOOKUP(A:A,[1]TDSheet!$A:$V,22,0)</f>
        <v>70</v>
      </c>
      <c r="P19" s="13">
        <f>VLOOKUP(A:A,[1]TDSheet!$A:$X,24,0)</f>
        <v>60</v>
      </c>
      <c r="Q19" s="13"/>
      <c r="R19" s="13"/>
      <c r="S19" s="13"/>
      <c r="T19" s="13"/>
      <c r="U19" s="13"/>
      <c r="V19" s="13"/>
      <c r="W19" s="13">
        <f t="shared" si="11"/>
        <v>43.2</v>
      </c>
      <c r="X19" s="16">
        <v>30</v>
      </c>
      <c r="Y19" s="17">
        <f t="shared" si="12"/>
        <v>7.083333333333333</v>
      </c>
      <c r="Z19" s="13">
        <f t="shared" si="13"/>
        <v>1.0648148148148147</v>
      </c>
      <c r="AA19" s="13"/>
      <c r="AB19" s="13"/>
      <c r="AC19" s="13"/>
      <c r="AD19" s="13">
        <f>VLOOKUP(A:A,[1]TDSheet!$A:$AD,30,0)</f>
        <v>0</v>
      </c>
      <c r="AE19" s="13">
        <f>VLOOKUP(A:A,[1]TDSheet!$A:$AE,31,0)</f>
        <v>22</v>
      </c>
      <c r="AF19" s="13">
        <f>VLOOKUP(A:A,[1]TDSheet!$A:$AF,32,0)</f>
        <v>23.2</v>
      </c>
      <c r="AG19" s="13">
        <f>VLOOKUP(A:A,[1]TDSheet!$A:$AG,33,0)</f>
        <v>33.200000000000003</v>
      </c>
      <c r="AH19" s="13">
        <f>VLOOKUP(A:A,[3]TDSheet!$A:$D,4,0)</f>
        <v>48</v>
      </c>
      <c r="AI19" s="13">
        <f>VLOOKUP(A:A,[1]TDSheet!$A:$AI,35,0)</f>
        <v>0</v>
      </c>
      <c r="AJ19" s="13">
        <f t="shared" si="14"/>
        <v>10.5</v>
      </c>
      <c r="AK19" s="13"/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91</v>
      </c>
      <c r="D20" s="8">
        <v>1823</v>
      </c>
      <c r="E20" s="8">
        <v>660</v>
      </c>
      <c r="F20" s="8">
        <v>359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729</v>
      </c>
      <c r="K20" s="13">
        <f t="shared" si="10"/>
        <v>-69</v>
      </c>
      <c r="L20" s="13">
        <f>VLOOKUP(A:A,[1]TDSheet!$A:$M,13,0)</f>
        <v>150</v>
      </c>
      <c r="M20" s="13">
        <f>VLOOKUP(A:A,[1]TDSheet!$A:$N,14,0)</f>
        <v>150</v>
      </c>
      <c r="N20" s="13">
        <f>VLOOKUP(A:A,[1]TDSheet!$A:$U,21,0)</f>
        <v>200</v>
      </c>
      <c r="O20" s="13">
        <f>VLOOKUP(A:A,[1]TDSheet!$A:$V,22,0)</f>
        <v>0</v>
      </c>
      <c r="P20" s="13">
        <f>VLOOKUP(A:A,[1]TDSheet!$A:$X,24,0)</f>
        <v>200</v>
      </c>
      <c r="Q20" s="13"/>
      <c r="R20" s="13"/>
      <c r="S20" s="13"/>
      <c r="T20" s="13"/>
      <c r="U20" s="13"/>
      <c r="V20" s="13"/>
      <c r="W20" s="13">
        <f t="shared" si="11"/>
        <v>132</v>
      </c>
      <c r="X20" s="16"/>
      <c r="Y20" s="17">
        <f t="shared" si="12"/>
        <v>8.0227272727272734</v>
      </c>
      <c r="Z20" s="13">
        <f t="shared" si="13"/>
        <v>2.7196969696969697</v>
      </c>
      <c r="AA20" s="13"/>
      <c r="AB20" s="13"/>
      <c r="AC20" s="13"/>
      <c r="AD20" s="13">
        <f>VLOOKUP(A:A,[1]TDSheet!$A:$AD,30,0)</f>
        <v>0</v>
      </c>
      <c r="AE20" s="13">
        <f>VLOOKUP(A:A,[1]TDSheet!$A:$AE,31,0)</f>
        <v>60.2</v>
      </c>
      <c r="AF20" s="13">
        <f>VLOOKUP(A:A,[1]TDSheet!$A:$AF,32,0)</f>
        <v>86.6</v>
      </c>
      <c r="AG20" s="13">
        <f>VLOOKUP(A:A,[1]TDSheet!$A:$AG,33,0)</f>
        <v>116.6</v>
      </c>
      <c r="AH20" s="13">
        <f>VLOOKUP(A:A,[3]TDSheet!$A:$D,4,0)</f>
        <v>56</v>
      </c>
      <c r="AI20" s="13" t="str">
        <f>VLOOKUP(A:A,[1]TDSheet!$A:$AI,35,0)</f>
        <v>апряб</v>
      </c>
      <c r="AJ20" s="13">
        <f t="shared" si="14"/>
        <v>0</v>
      </c>
      <c r="AK20" s="13"/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181.74299999999999</v>
      </c>
      <c r="D21" s="8">
        <v>1190.3900000000001</v>
      </c>
      <c r="E21" s="8">
        <v>614.96299999999997</v>
      </c>
      <c r="F21" s="8">
        <v>85.658000000000001</v>
      </c>
      <c r="G21" s="1" t="str">
        <f>VLOOKUP(A:A,[1]TDSheet!$A:$G,7,0)</f>
        <v>тк3004,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633.39</v>
      </c>
      <c r="K21" s="13">
        <f t="shared" si="10"/>
        <v>-18.427000000000021</v>
      </c>
      <c r="L21" s="13">
        <f>VLOOKUP(A:A,[1]TDSheet!$A:$M,13,0)</f>
        <v>150</v>
      </c>
      <c r="M21" s="13">
        <f>VLOOKUP(A:A,[1]TDSheet!$A:$N,14,0)</f>
        <v>120</v>
      </c>
      <c r="N21" s="13">
        <f>VLOOKUP(A:A,[1]TDSheet!$A:$U,21,0)</f>
        <v>100</v>
      </c>
      <c r="O21" s="13">
        <f>VLOOKUP(A:A,[1]TDSheet!$A:$V,22,0)</f>
        <v>200</v>
      </c>
      <c r="P21" s="13">
        <f>VLOOKUP(A:A,[1]TDSheet!$A:$X,24,0)</f>
        <v>250</v>
      </c>
      <c r="Q21" s="13"/>
      <c r="R21" s="13"/>
      <c r="S21" s="13"/>
      <c r="T21" s="13"/>
      <c r="U21" s="13"/>
      <c r="V21" s="13"/>
      <c r="W21" s="13">
        <f t="shared" si="11"/>
        <v>122.9926</v>
      </c>
      <c r="X21" s="16">
        <v>100</v>
      </c>
      <c r="Y21" s="17">
        <f t="shared" si="12"/>
        <v>8.1765732247305944</v>
      </c>
      <c r="Z21" s="13">
        <f t="shared" si="13"/>
        <v>0.69644840421293641</v>
      </c>
      <c r="AA21" s="13"/>
      <c r="AB21" s="13"/>
      <c r="AC21" s="13"/>
      <c r="AD21" s="13">
        <f>VLOOKUP(A:A,[1]TDSheet!$A:$AD,30,0)</f>
        <v>0</v>
      </c>
      <c r="AE21" s="13">
        <f>VLOOKUP(A:A,[1]TDSheet!$A:$AE,31,0)</f>
        <v>74.717799999999997</v>
      </c>
      <c r="AF21" s="13">
        <f>VLOOKUP(A:A,[1]TDSheet!$A:$AF,32,0)</f>
        <v>95.37</v>
      </c>
      <c r="AG21" s="13">
        <f>VLOOKUP(A:A,[1]TDSheet!$A:$AG,33,0)</f>
        <v>102.1352</v>
      </c>
      <c r="AH21" s="13">
        <f>VLOOKUP(A:A,[3]TDSheet!$A:$D,4,0)</f>
        <v>105.468</v>
      </c>
      <c r="AI21" s="13">
        <f>VLOOKUP(A:A,[1]TDSheet!$A:$AI,35,0)</f>
        <v>0</v>
      </c>
      <c r="AJ21" s="13">
        <f t="shared" si="14"/>
        <v>100</v>
      </c>
      <c r="AK21" s="13"/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2851.7170000000001</v>
      </c>
      <c r="D22" s="8">
        <v>3772.9870000000001</v>
      </c>
      <c r="E22" s="8">
        <v>5665.027</v>
      </c>
      <c r="F22" s="8">
        <v>857.05600000000004</v>
      </c>
      <c r="G22" s="1" t="str">
        <f>VLOOKUP(A:A,[1]TDSheet!$A:$G,7,0)</f>
        <v>тк3004,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5936.6769999999997</v>
      </c>
      <c r="K22" s="13">
        <f t="shared" si="10"/>
        <v>-271.64999999999964</v>
      </c>
      <c r="L22" s="13">
        <f>VLOOKUP(A:A,[1]TDSheet!$A:$M,13,0)</f>
        <v>1500</v>
      </c>
      <c r="M22" s="13">
        <f>VLOOKUP(A:A,[1]TDSheet!$A:$N,14,0)</f>
        <v>1200</v>
      </c>
      <c r="N22" s="13">
        <f>VLOOKUP(A:A,[1]TDSheet!$A:$U,21,0)</f>
        <v>1300</v>
      </c>
      <c r="O22" s="13">
        <f>VLOOKUP(A:A,[1]TDSheet!$A:$V,22,0)</f>
        <v>1400</v>
      </c>
      <c r="P22" s="13">
        <f>VLOOKUP(A:A,[1]TDSheet!$A:$X,24,0)</f>
        <v>1600</v>
      </c>
      <c r="Q22" s="13"/>
      <c r="R22" s="13"/>
      <c r="S22" s="13"/>
      <c r="T22" s="13"/>
      <c r="U22" s="13"/>
      <c r="V22" s="13"/>
      <c r="W22" s="13">
        <f t="shared" si="11"/>
        <v>1133.0054</v>
      </c>
      <c r="X22" s="16">
        <v>500</v>
      </c>
      <c r="Y22" s="17">
        <f t="shared" si="12"/>
        <v>7.3760072105569847</v>
      </c>
      <c r="Z22" s="13">
        <f t="shared" si="13"/>
        <v>0.75644476186962573</v>
      </c>
      <c r="AA22" s="13"/>
      <c r="AB22" s="13"/>
      <c r="AC22" s="13"/>
      <c r="AD22" s="13">
        <f>VLOOKUP(A:A,[1]TDSheet!$A:$AD,30,0)</f>
        <v>0</v>
      </c>
      <c r="AE22" s="13">
        <f>VLOOKUP(A:A,[1]TDSheet!$A:$AE,31,0)</f>
        <v>919.26939999999991</v>
      </c>
      <c r="AF22" s="13">
        <f>VLOOKUP(A:A,[1]TDSheet!$A:$AF,32,0)</f>
        <v>976.05799999999999</v>
      </c>
      <c r="AG22" s="13">
        <f>VLOOKUP(A:A,[1]TDSheet!$A:$AG,33,0)</f>
        <v>971.89419999999996</v>
      </c>
      <c r="AH22" s="13">
        <f>VLOOKUP(A:A,[3]TDSheet!$A:$D,4,0)</f>
        <v>849.12</v>
      </c>
      <c r="AI22" s="13" t="str">
        <f>VLOOKUP(A:A,[1]TDSheet!$A:$AI,35,0)</f>
        <v>оконч</v>
      </c>
      <c r="AJ22" s="13">
        <f t="shared" si="14"/>
        <v>500</v>
      </c>
      <c r="AK22" s="13"/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119.69199999999999</v>
      </c>
      <c r="D23" s="8">
        <v>1088.7470000000001</v>
      </c>
      <c r="E23" s="8">
        <v>395.596</v>
      </c>
      <c r="F23" s="8">
        <v>180.30500000000001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386.375</v>
      </c>
      <c r="K23" s="13">
        <f t="shared" si="10"/>
        <v>9.2210000000000036</v>
      </c>
      <c r="L23" s="13">
        <f>VLOOKUP(A:A,[1]TDSheet!$A:$M,13,0)</f>
        <v>50</v>
      </c>
      <c r="M23" s="13">
        <f>VLOOKUP(A:A,[1]TDSheet!$A:$N,14,0)</f>
        <v>80</v>
      </c>
      <c r="N23" s="13">
        <f>VLOOKUP(A:A,[1]TDSheet!$A:$U,21,0)</f>
        <v>50</v>
      </c>
      <c r="O23" s="13">
        <f>VLOOKUP(A:A,[1]TDSheet!$A:$V,22,0)</f>
        <v>70</v>
      </c>
      <c r="P23" s="13">
        <f>VLOOKUP(A:A,[1]TDSheet!$A:$X,24,0)</f>
        <v>100</v>
      </c>
      <c r="Q23" s="13"/>
      <c r="R23" s="13"/>
      <c r="S23" s="13"/>
      <c r="T23" s="13"/>
      <c r="U23" s="13"/>
      <c r="V23" s="13"/>
      <c r="W23" s="13">
        <f t="shared" si="11"/>
        <v>79.119200000000006</v>
      </c>
      <c r="X23" s="16">
        <v>50</v>
      </c>
      <c r="Y23" s="17">
        <f t="shared" si="12"/>
        <v>7.3345660724577604</v>
      </c>
      <c r="Z23" s="13">
        <f t="shared" si="13"/>
        <v>2.2789032245017644</v>
      </c>
      <c r="AA23" s="13"/>
      <c r="AB23" s="13"/>
      <c r="AC23" s="13"/>
      <c r="AD23" s="13">
        <f>VLOOKUP(A:A,[1]TDSheet!$A:$AD,30,0)</f>
        <v>0</v>
      </c>
      <c r="AE23" s="13">
        <f>VLOOKUP(A:A,[1]TDSheet!$A:$AE,31,0)</f>
        <v>66.025400000000005</v>
      </c>
      <c r="AF23" s="13">
        <f>VLOOKUP(A:A,[1]TDSheet!$A:$AF,32,0)</f>
        <v>76.8262</v>
      </c>
      <c r="AG23" s="13">
        <f>VLOOKUP(A:A,[1]TDSheet!$A:$AG,33,0)</f>
        <v>81.249800000000008</v>
      </c>
      <c r="AH23" s="13">
        <f>VLOOKUP(A:A,[3]TDSheet!$A:$D,4,0)</f>
        <v>75.64</v>
      </c>
      <c r="AI23" s="13">
        <f>VLOOKUP(A:A,[1]TDSheet!$A:$AI,35,0)</f>
        <v>0</v>
      </c>
      <c r="AJ23" s="13">
        <f t="shared" si="14"/>
        <v>50</v>
      </c>
      <c r="AK23" s="13"/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236.4</v>
      </c>
      <c r="D24" s="8">
        <v>5149.1019999999999</v>
      </c>
      <c r="E24" s="8">
        <v>917.75400000000002</v>
      </c>
      <c r="F24" s="8">
        <v>172.315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1020.029</v>
      </c>
      <c r="K24" s="13">
        <f t="shared" si="10"/>
        <v>-102.27499999999998</v>
      </c>
      <c r="L24" s="13">
        <f>VLOOKUP(A:A,[1]TDSheet!$A:$M,13,0)</f>
        <v>100</v>
      </c>
      <c r="M24" s="13">
        <f>VLOOKUP(A:A,[1]TDSheet!$A:$N,14,0)</f>
        <v>140</v>
      </c>
      <c r="N24" s="13">
        <f>VLOOKUP(A:A,[1]TDSheet!$A:$U,21,0)</f>
        <v>200</v>
      </c>
      <c r="O24" s="13">
        <f>VLOOKUP(A:A,[1]TDSheet!$A:$V,22,0)</f>
        <v>300</v>
      </c>
      <c r="P24" s="13">
        <f>VLOOKUP(A:A,[1]TDSheet!$A:$X,24,0)</f>
        <v>200</v>
      </c>
      <c r="Q24" s="13"/>
      <c r="R24" s="13"/>
      <c r="S24" s="13"/>
      <c r="T24" s="13"/>
      <c r="U24" s="13"/>
      <c r="V24" s="13"/>
      <c r="W24" s="13">
        <f t="shared" si="11"/>
        <v>183.55080000000001</v>
      </c>
      <c r="X24" s="16">
        <v>200</v>
      </c>
      <c r="Y24" s="17">
        <f t="shared" si="12"/>
        <v>7.1496010913599939</v>
      </c>
      <c r="Z24" s="13">
        <f t="shared" si="13"/>
        <v>0.93878642860723016</v>
      </c>
      <c r="AA24" s="13"/>
      <c r="AB24" s="13"/>
      <c r="AC24" s="13"/>
      <c r="AD24" s="13">
        <f>VLOOKUP(A:A,[1]TDSheet!$A:$AD,30,0)</f>
        <v>0</v>
      </c>
      <c r="AE24" s="13">
        <f>VLOOKUP(A:A,[1]TDSheet!$A:$AE,31,0)</f>
        <v>121.2432</v>
      </c>
      <c r="AF24" s="13">
        <f>VLOOKUP(A:A,[1]TDSheet!$A:$AF,32,0)</f>
        <v>128.1498</v>
      </c>
      <c r="AG24" s="13">
        <f>VLOOKUP(A:A,[1]TDSheet!$A:$AG,33,0)</f>
        <v>149.3588</v>
      </c>
      <c r="AH24" s="13">
        <f>VLOOKUP(A:A,[3]TDSheet!$A:$D,4,0)</f>
        <v>207.21899999999999</v>
      </c>
      <c r="AI24" s="13">
        <f>VLOOKUP(A:A,[1]TDSheet!$A:$AI,35,0)</f>
        <v>0</v>
      </c>
      <c r="AJ24" s="13">
        <f t="shared" si="14"/>
        <v>200</v>
      </c>
      <c r="AK24" s="13"/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319.35599999999999</v>
      </c>
      <c r="D25" s="8">
        <v>1288.914</v>
      </c>
      <c r="E25" s="8">
        <v>618.69299999999998</v>
      </c>
      <c r="F25" s="8">
        <v>129.11099999999999</v>
      </c>
      <c r="G25" s="1" t="str">
        <f>VLOOKUP(A:A,[1]TDSheet!$A:$G,7,0)</f>
        <v>тк3004,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614.35199999999998</v>
      </c>
      <c r="K25" s="13">
        <f t="shared" si="10"/>
        <v>4.3410000000000082</v>
      </c>
      <c r="L25" s="13">
        <f>VLOOKUP(A:A,[1]TDSheet!$A:$M,13,0)</f>
        <v>150</v>
      </c>
      <c r="M25" s="13">
        <f>VLOOKUP(A:A,[1]TDSheet!$A:$N,14,0)</f>
        <v>110</v>
      </c>
      <c r="N25" s="13">
        <f>VLOOKUP(A:A,[1]TDSheet!$A:$U,21,0)</f>
        <v>200</v>
      </c>
      <c r="O25" s="13">
        <f>VLOOKUP(A:A,[1]TDSheet!$A:$V,22,0)</f>
        <v>200</v>
      </c>
      <c r="P25" s="13">
        <f>VLOOKUP(A:A,[1]TDSheet!$A:$X,24,0)</f>
        <v>120</v>
      </c>
      <c r="Q25" s="13"/>
      <c r="R25" s="13"/>
      <c r="S25" s="13"/>
      <c r="T25" s="13"/>
      <c r="U25" s="13"/>
      <c r="V25" s="13"/>
      <c r="W25" s="13">
        <f t="shared" si="11"/>
        <v>123.73859999999999</v>
      </c>
      <c r="X25" s="16">
        <v>100</v>
      </c>
      <c r="Y25" s="17">
        <f t="shared" si="12"/>
        <v>8.1551835886295798</v>
      </c>
      <c r="Z25" s="13">
        <f t="shared" si="13"/>
        <v>1.0434173329906755</v>
      </c>
      <c r="AA25" s="13"/>
      <c r="AB25" s="13"/>
      <c r="AC25" s="13"/>
      <c r="AD25" s="13">
        <f>VLOOKUP(A:A,[1]TDSheet!$A:$AD,30,0)</f>
        <v>0</v>
      </c>
      <c r="AE25" s="13">
        <f>VLOOKUP(A:A,[1]TDSheet!$A:$AE,31,0)</f>
        <v>98.832599999999999</v>
      </c>
      <c r="AF25" s="13">
        <f>VLOOKUP(A:A,[1]TDSheet!$A:$AF,32,0)</f>
        <v>119.3468</v>
      </c>
      <c r="AG25" s="13">
        <f>VLOOKUP(A:A,[1]TDSheet!$A:$AG,33,0)</f>
        <v>111.00840000000001</v>
      </c>
      <c r="AH25" s="13">
        <f>VLOOKUP(A:A,[3]TDSheet!$A:$D,4,0)</f>
        <v>101.422</v>
      </c>
      <c r="AI25" s="13">
        <f>VLOOKUP(A:A,[1]TDSheet!$A:$AI,35,0)</f>
        <v>0</v>
      </c>
      <c r="AJ25" s="13">
        <f t="shared" si="14"/>
        <v>100</v>
      </c>
      <c r="AK25" s="13"/>
      <c r="AL25" s="13"/>
      <c r="AM25" s="13"/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80.787000000000006</v>
      </c>
      <c r="D26" s="8">
        <v>205.102</v>
      </c>
      <c r="E26" s="8">
        <v>199.34299999999999</v>
      </c>
      <c r="F26" s="8">
        <v>82.135000000000005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250.32</v>
      </c>
      <c r="K26" s="13">
        <f t="shared" si="10"/>
        <v>-50.977000000000004</v>
      </c>
      <c r="L26" s="13">
        <f>VLOOKUP(A:A,[1]TDSheet!$A:$M,13,0)</f>
        <v>30</v>
      </c>
      <c r="M26" s="13">
        <f>VLOOKUP(A:A,[1]TDSheet!$A:$N,14,0)</f>
        <v>50</v>
      </c>
      <c r="N26" s="13">
        <f>VLOOKUP(A:A,[1]TDSheet!$A:$U,21,0)</f>
        <v>0</v>
      </c>
      <c r="O26" s="13">
        <f>VLOOKUP(A:A,[1]TDSheet!$A:$V,22,0)</f>
        <v>40</v>
      </c>
      <c r="P26" s="13">
        <f>VLOOKUP(A:A,[1]TDSheet!$A:$X,24,0)</f>
        <v>40</v>
      </c>
      <c r="Q26" s="13"/>
      <c r="R26" s="13"/>
      <c r="S26" s="13"/>
      <c r="T26" s="13"/>
      <c r="U26" s="13"/>
      <c r="V26" s="13"/>
      <c r="W26" s="13">
        <f t="shared" si="11"/>
        <v>39.868600000000001</v>
      </c>
      <c r="X26" s="16">
        <v>40</v>
      </c>
      <c r="Y26" s="17">
        <f t="shared" si="12"/>
        <v>7.0766217022920292</v>
      </c>
      <c r="Z26" s="13">
        <f t="shared" si="13"/>
        <v>2.0601425683369872</v>
      </c>
      <c r="AA26" s="13"/>
      <c r="AB26" s="13"/>
      <c r="AC26" s="13"/>
      <c r="AD26" s="13">
        <f>VLOOKUP(A:A,[1]TDSheet!$A:$AD,30,0)</f>
        <v>0</v>
      </c>
      <c r="AE26" s="13">
        <f>VLOOKUP(A:A,[1]TDSheet!$A:$AE,31,0)</f>
        <v>29.428199999999997</v>
      </c>
      <c r="AF26" s="13">
        <f>VLOOKUP(A:A,[1]TDSheet!$A:$AF,32,0)</f>
        <v>38.744</v>
      </c>
      <c r="AG26" s="13">
        <f>VLOOKUP(A:A,[1]TDSheet!$A:$AG,33,0)</f>
        <v>41.490400000000001</v>
      </c>
      <c r="AH26" s="13">
        <f>VLOOKUP(A:A,[3]TDSheet!$A:$D,4,0)</f>
        <v>49.835000000000001</v>
      </c>
      <c r="AI26" s="13">
        <f>VLOOKUP(A:A,[1]TDSheet!$A:$AI,35,0)</f>
        <v>0</v>
      </c>
      <c r="AJ26" s="13">
        <f t="shared" si="14"/>
        <v>40</v>
      </c>
      <c r="AK26" s="13"/>
      <c r="AL26" s="13"/>
      <c r="AM26" s="13"/>
    </row>
    <row r="27" spans="1:39" s="1" customFormat="1" ht="21.95" customHeight="1" outlineLevel="1" x14ac:dyDescent="0.2">
      <c r="A27" s="7" t="s">
        <v>30</v>
      </c>
      <c r="B27" s="7" t="s">
        <v>8</v>
      </c>
      <c r="C27" s="8">
        <v>130.24199999999999</v>
      </c>
      <c r="D27" s="8">
        <v>120.384</v>
      </c>
      <c r="E27" s="8">
        <v>201.25200000000001</v>
      </c>
      <c r="F27" s="8">
        <v>36.985999999999997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236.70699999999999</v>
      </c>
      <c r="K27" s="13">
        <f t="shared" si="10"/>
        <v>-35.454999999999984</v>
      </c>
      <c r="L27" s="13">
        <f>VLOOKUP(A:A,[1]TDSheet!$A:$M,13,0)</f>
        <v>60</v>
      </c>
      <c r="M27" s="13">
        <f>VLOOKUP(A:A,[1]TDSheet!$A:$N,14,0)</f>
        <v>50</v>
      </c>
      <c r="N27" s="13">
        <f>VLOOKUP(A:A,[1]TDSheet!$A:$U,21,0)</f>
        <v>40</v>
      </c>
      <c r="O27" s="13">
        <f>VLOOKUP(A:A,[1]TDSheet!$A:$V,22,0)</f>
        <v>100</v>
      </c>
      <c r="P27" s="13">
        <f>VLOOKUP(A:A,[1]TDSheet!$A:$X,24,0)</f>
        <v>40</v>
      </c>
      <c r="Q27" s="13"/>
      <c r="R27" s="13"/>
      <c r="S27" s="13"/>
      <c r="T27" s="13"/>
      <c r="U27" s="13"/>
      <c r="V27" s="13"/>
      <c r="W27" s="13">
        <f t="shared" si="11"/>
        <v>40.250399999999999</v>
      </c>
      <c r="X27" s="16"/>
      <c r="Y27" s="17">
        <f t="shared" si="12"/>
        <v>8.1237950430306274</v>
      </c>
      <c r="Z27" s="13">
        <f t="shared" si="13"/>
        <v>0.91889770039552399</v>
      </c>
      <c r="AA27" s="13"/>
      <c r="AB27" s="13"/>
      <c r="AC27" s="13"/>
      <c r="AD27" s="13">
        <f>VLOOKUP(A:A,[1]TDSheet!$A:$AD,30,0)</f>
        <v>0</v>
      </c>
      <c r="AE27" s="13">
        <f>VLOOKUP(A:A,[1]TDSheet!$A:$AE,31,0)</f>
        <v>27.014400000000002</v>
      </c>
      <c r="AF27" s="13">
        <f>VLOOKUP(A:A,[1]TDSheet!$A:$AF,32,0)</f>
        <v>40.2742</v>
      </c>
      <c r="AG27" s="13">
        <f>VLOOKUP(A:A,[1]TDSheet!$A:$AG,33,0)</f>
        <v>39.212200000000003</v>
      </c>
      <c r="AH27" s="13">
        <f>VLOOKUP(A:A,[3]TDSheet!$A:$D,4,0)</f>
        <v>13.262</v>
      </c>
      <c r="AI27" s="13">
        <f>VLOOKUP(A:A,[1]TDSheet!$A:$AI,35,0)</f>
        <v>0</v>
      </c>
      <c r="AJ27" s="13">
        <f t="shared" si="14"/>
        <v>0</v>
      </c>
      <c r="AK27" s="13"/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195.536</v>
      </c>
      <c r="D28" s="8">
        <v>425.13499999999999</v>
      </c>
      <c r="E28" s="8">
        <v>557.39599999999996</v>
      </c>
      <c r="F28" s="8">
        <v>53.67</v>
      </c>
      <c r="G28" s="1" t="str">
        <f>VLOOKUP(A:A,[1]TDSheet!$A:$G,7,0)</f>
        <v>тк3004,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619.80100000000004</v>
      </c>
      <c r="K28" s="13">
        <f t="shared" si="10"/>
        <v>-62.405000000000086</v>
      </c>
      <c r="L28" s="13">
        <f>VLOOKUP(A:A,[1]TDSheet!$A:$M,13,0)</f>
        <v>120</v>
      </c>
      <c r="M28" s="13">
        <f>VLOOKUP(A:A,[1]TDSheet!$A:$N,14,0)</f>
        <v>130</v>
      </c>
      <c r="N28" s="13">
        <f>VLOOKUP(A:A,[1]TDSheet!$A:$U,21,0)</f>
        <v>120</v>
      </c>
      <c r="O28" s="13">
        <f>VLOOKUP(A:A,[1]TDSheet!$A:$V,22,0)</f>
        <v>220</v>
      </c>
      <c r="P28" s="13">
        <f>VLOOKUP(A:A,[1]TDSheet!$A:$X,24,0)</f>
        <v>150</v>
      </c>
      <c r="Q28" s="13"/>
      <c r="R28" s="13"/>
      <c r="S28" s="13"/>
      <c r="T28" s="13"/>
      <c r="U28" s="13"/>
      <c r="V28" s="13"/>
      <c r="W28" s="13">
        <f t="shared" si="11"/>
        <v>111.47919999999999</v>
      </c>
      <c r="X28" s="16">
        <v>100</v>
      </c>
      <c r="Y28" s="17">
        <f t="shared" si="12"/>
        <v>8.0164730281523386</v>
      </c>
      <c r="Z28" s="13">
        <f t="shared" si="13"/>
        <v>0.48143510179477433</v>
      </c>
      <c r="AA28" s="13"/>
      <c r="AB28" s="13"/>
      <c r="AC28" s="13"/>
      <c r="AD28" s="13">
        <f>VLOOKUP(A:A,[1]TDSheet!$A:$AD,30,0)</f>
        <v>0</v>
      </c>
      <c r="AE28" s="13">
        <f>VLOOKUP(A:A,[1]TDSheet!$A:$AE,31,0)</f>
        <v>72.019199999999998</v>
      </c>
      <c r="AF28" s="13">
        <f>VLOOKUP(A:A,[1]TDSheet!$A:$AF,32,0)</f>
        <v>93.930399999999992</v>
      </c>
      <c r="AG28" s="13">
        <f>VLOOKUP(A:A,[1]TDSheet!$A:$AG,33,0)</f>
        <v>94.239599999999996</v>
      </c>
      <c r="AH28" s="13">
        <f>VLOOKUP(A:A,[3]TDSheet!$A:$D,4,0)</f>
        <v>96.305999999999997</v>
      </c>
      <c r="AI28" s="13">
        <f>VLOOKUP(A:A,[1]TDSheet!$A:$AI,35,0)</f>
        <v>0</v>
      </c>
      <c r="AJ28" s="13">
        <f t="shared" si="14"/>
        <v>100</v>
      </c>
      <c r="AK28" s="13"/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105.09399999999999</v>
      </c>
      <c r="D29" s="8">
        <v>446.74900000000002</v>
      </c>
      <c r="E29" s="8">
        <v>172.98500000000001</v>
      </c>
      <c r="F29" s="8">
        <v>96.774000000000001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187.52500000000001</v>
      </c>
      <c r="K29" s="13">
        <f t="shared" si="10"/>
        <v>-14.539999999999992</v>
      </c>
      <c r="L29" s="13">
        <f>VLOOKUP(A:A,[1]TDSheet!$A:$M,13,0)</f>
        <v>0</v>
      </c>
      <c r="M29" s="13">
        <f>VLOOKUP(A:A,[1]TDSheet!$A:$N,14,0)</f>
        <v>30</v>
      </c>
      <c r="N29" s="13">
        <f>VLOOKUP(A:A,[1]TDSheet!$A:$U,21,0)</f>
        <v>30</v>
      </c>
      <c r="O29" s="13">
        <f>VLOOKUP(A:A,[1]TDSheet!$A:$V,22,0)</f>
        <v>30</v>
      </c>
      <c r="P29" s="13">
        <f>VLOOKUP(A:A,[1]TDSheet!$A:$X,24,0)</f>
        <v>30</v>
      </c>
      <c r="Q29" s="13"/>
      <c r="R29" s="13"/>
      <c r="S29" s="13"/>
      <c r="T29" s="13"/>
      <c r="U29" s="13"/>
      <c r="V29" s="13"/>
      <c r="W29" s="13">
        <f t="shared" si="11"/>
        <v>34.597000000000001</v>
      </c>
      <c r="X29" s="16">
        <v>20</v>
      </c>
      <c r="Y29" s="17">
        <f t="shared" si="12"/>
        <v>6.8437725814376966</v>
      </c>
      <c r="Z29" s="13">
        <f t="shared" si="13"/>
        <v>2.7971789461514005</v>
      </c>
      <c r="AA29" s="13"/>
      <c r="AB29" s="13"/>
      <c r="AC29" s="13"/>
      <c r="AD29" s="13">
        <f>VLOOKUP(A:A,[1]TDSheet!$A:$AD,30,0)</f>
        <v>0</v>
      </c>
      <c r="AE29" s="13">
        <f>VLOOKUP(A:A,[1]TDSheet!$A:$AE,31,0)</f>
        <v>34.702199999999998</v>
      </c>
      <c r="AF29" s="13">
        <f>VLOOKUP(A:A,[1]TDSheet!$A:$AF,32,0)</f>
        <v>34.361399999999996</v>
      </c>
      <c r="AG29" s="13">
        <f>VLOOKUP(A:A,[1]TDSheet!$A:$AG,33,0)</f>
        <v>32.448999999999998</v>
      </c>
      <c r="AH29" s="13">
        <f>VLOOKUP(A:A,[3]TDSheet!$A:$D,4,0)</f>
        <v>33.073</v>
      </c>
      <c r="AI29" s="13">
        <f>VLOOKUP(A:A,[1]TDSheet!$A:$AI,35,0)</f>
        <v>0</v>
      </c>
      <c r="AJ29" s="13">
        <f t="shared" si="14"/>
        <v>20</v>
      </c>
      <c r="AK29" s="13"/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76.308999999999997</v>
      </c>
      <c r="D30" s="8">
        <v>152.50899999999999</v>
      </c>
      <c r="E30" s="8">
        <v>150.41399999999999</v>
      </c>
      <c r="F30" s="8">
        <v>66.98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156.89099999999999</v>
      </c>
      <c r="K30" s="13">
        <f t="shared" si="10"/>
        <v>-6.4770000000000039</v>
      </c>
      <c r="L30" s="13">
        <f>VLOOKUP(A:A,[1]TDSheet!$A:$M,13,0)</f>
        <v>0</v>
      </c>
      <c r="M30" s="13">
        <f>VLOOKUP(A:A,[1]TDSheet!$A:$N,14,0)</f>
        <v>20</v>
      </c>
      <c r="N30" s="13">
        <f>VLOOKUP(A:A,[1]TDSheet!$A:$U,21,0)</f>
        <v>30</v>
      </c>
      <c r="O30" s="13">
        <f>VLOOKUP(A:A,[1]TDSheet!$A:$V,22,0)</f>
        <v>40</v>
      </c>
      <c r="P30" s="13">
        <f>VLOOKUP(A:A,[1]TDSheet!$A:$X,24,0)</f>
        <v>20</v>
      </c>
      <c r="Q30" s="13"/>
      <c r="R30" s="13"/>
      <c r="S30" s="13"/>
      <c r="T30" s="13"/>
      <c r="U30" s="13"/>
      <c r="V30" s="13"/>
      <c r="W30" s="13">
        <f t="shared" si="11"/>
        <v>30.082799999999999</v>
      </c>
      <c r="X30" s="16">
        <v>30</v>
      </c>
      <c r="Y30" s="17">
        <f t="shared" si="12"/>
        <v>6.8803435850386272</v>
      </c>
      <c r="Z30" s="13">
        <f t="shared" si="13"/>
        <v>2.226521467416597</v>
      </c>
      <c r="AA30" s="13"/>
      <c r="AB30" s="13"/>
      <c r="AC30" s="13"/>
      <c r="AD30" s="13">
        <f>VLOOKUP(A:A,[1]TDSheet!$A:$AD,30,0)</f>
        <v>0</v>
      </c>
      <c r="AE30" s="13">
        <f>VLOOKUP(A:A,[1]TDSheet!$A:$AE,31,0)</f>
        <v>21.943000000000001</v>
      </c>
      <c r="AF30" s="13">
        <f>VLOOKUP(A:A,[1]TDSheet!$A:$AF,32,0)</f>
        <v>33.3294</v>
      </c>
      <c r="AG30" s="13">
        <f>VLOOKUP(A:A,[1]TDSheet!$A:$AG,33,0)</f>
        <v>26.762400000000003</v>
      </c>
      <c r="AH30" s="13">
        <f>VLOOKUP(A:A,[3]TDSheet!$A:$D,4,0)</f>
        <v>29.08</v>
      </c>
      <c r="AI30" s="13">
        <f>VLOOKUP(A:A,[1]TDSheet!$A:$AI,35,0)</f>
        <v>0</v>
      </c>
      <c r="AJ30" s="13">
        <f t="shared" si="14"/>
        <v>30</v>
      </c>
      <c r="AK30" s="13"/>
      <c r="AL30" s="13"/>
      <c r="AM30" s="13"/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455.51900000000001</v>
      </c>
      <c r="D31" s="8">
        <v>1224.4939999999999</v>
      </c>
      <c r="E31" s="8">
        <v>1256.479</v>
      </c>
      <c r="F31" s="8">
        <v>373.92700000000002</v>
      </c>
      <c r="G31" s="1" t="str">
        <f>VLOOKUP(A:A,[1]TDSheet!$A:$G,7,0)</f>
        <v>тк3004,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1380.002</v>
      </c>
      <c r="K31" s="13">
        <f t="shared" si="10"/>
        <v>-123.52299999999991</v>
      </c>
      <c r="L31" s="13">
        <f>VLOOKUP(A:A,[1]TDSheet!$A:$M,13,0)</f>
        <v>300</v>
      </c>
      <c r="M31" s="13">
        <f>VLOOKUP(A:A,[1]TDSheet!$A:$N,14,0)</f>
        <v>350</v>
      </c>
      <c r="N31" s="13">
        <f>VLOOKUP(A:A,[1]TDSheet!$A:$U,21,0)</f>
        <v>200</v>
      </c>
      <c r="O31" s="13">
        <f>VLOOKUP(A:A,[1]TDSheet!$A:$V,22,0)</f>
        <v>300</v>
      </c>
      <c r="P31" s="13">
        <f>VLOOKUP(A:A,[1]TDSheet!$A:$X,24,0)</f>
        <v>200</v>
      </c>
      <c r="Q31" s="13"/>
      <c r="R31" s="13"/>
      <c r="S31" s="13"/>
      <c r="T31" s="13"/>
      <c r="U31" s="13"/>
      <c r="V31" s="13"/>
      <c r="W31" s="13">
        <f t="shared" si="11"/>
        <v>251.29580000000001</v>
      </c>
      <c r="X31" s="16">
        <v>150</v>
      </c>
      <c r="Y31" s="17">
        <f t="shared" si="12"/>
        <v>7.457056584312193</v>
      </c>
      <c r="Z31" s="13">
        <f t="shared" si="13"/>
        <v>1.487995422128026</v>
      </c>
      <c r="AA31" s="13"/>
      <c r="AB31" s="13"/>
      <c r="AC31" s="13"/>
      <c r="AD31" s="13">
        <f>VLOOKUP(A:A,[1]TDSheet!$A:$AD,30,0)</f>
        <v>0</v>
      </c>
      <c r="AE31" s="13">
        <f>VLOOKUP(A:A,[1]TDSheet!$A:$AE,31,0)</f>
        <v>211.52579999999998</v>
      </c>
      <c r="AF31" s="13">
        <f>VLOOKUP(A:A,[1]TDSheet!$A:$AF,32,0)</f>
        <v>244.84440000000001</v>
      </c>
      <c r="AG31" s="13">
        <f>VLOOKUP(A:A,[1]TDSheet!$A:$AG,33,0)</f>
        <v>254.77800000000002</v>
      </c>
      <c r="AH31" s="13">
        <f>VLOOKUP(A:A,[3]TDSheet!$A:$D,4,0)</f>
        <v>131.13200000000001</v>
      </c>
      <c r="AI31" s="13">
        <f>VLOOKUP(A:A,[1]TDSheet!$A:$AI,35,0)</f>
        <v>0</v>
      </c>
      <c r="AJ31" s="13">
        <f t="shared" si="14"/>
        <v>150</v>
      </c>
      <c r="AK31" s="13"/>
      <c r="AL31" s="13"/>
      <c r="AM31" s="13"/>
    </row>
    <row r="32" spans="1:39" s="1" customFormat="1" ht="21.95" customHeight="1" outlineLevel="1" x14ac:dyDescent="0.2">
      <c r="A32" s="7" t="s">
        <v>35</v>
      </c>
      <c r="B32" s="7" t="s">
        <v>8</v>
      </c>
      <c r="C32" s="8">
        <v>30.378</v>
      </c>
      <c r="D32" s="8">
        <v>218.94200000000001</v>
      </c>
      <c r="E32" s="8">
        <v>57.808999999999997</v>
      </c>
      <c r="F32" s="8">
        <v>79.36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95.8</v>
      </c>
      <c r="K32" s="13">
        <f t="shared" si="10"/>
        <v>-37.991</v>
      </c>
      <c r="L32" s="13">
        <f>VLOOKUP(A:A,[1]TDSheet!$A:$M,13,0)</f>
        <v>0</v>
      </c>
      <c r="M32" s="13">
        <f>VLOOKUP(A:A,[1]TDSheet!$A:$N,14,0)</f>
        <v>0</v>
      </c>
      <c r="N32" s="13">
        <f>VLOOKUP(A:A,[1]TDSheet!$A:$U,21,0)</f>
        <v>0</v>
      </c>
      <c r="O32" s="13">
        <f>VLOOKUP(A:A,[1]TDSheet!$A:$V,22,0)</f>
        <v>0</v>
      </c>
      <c r="P32" s="13">
        <f>VLOOKUP(A:A,[1]TDSheet!$A:$X,24,0)</f>
        <v>0</v>
      </c>
      <c r="Q32" s="13"/>
      <c r="R32" s="13"/>
      <c r="S32" s="13"/>
      <c r="T32" s="13"/>
      <c r="U32" s="13"/>
      <c r="V32" s="13"/>
      <c r="W32" s="13">
        <f t="shared" si="11"/>
        <v>11.5618</v>
      </c>
      <c r="X32" s="16"/>
      <c r="Y32" s="17">
        <f t="shared" si="12"/>
        <v>6.8639831168157208</v>
      </c>
      <c r="Z32" s="13">
        <f t="shared" si="13"/>
        <v>6.8639831168157208</v>
      </c>
      <c r="AA32" s="13"/>
      <c r="AB32" s="13"/>
      <c r="AC32" s="13"/>
      <c r="AD32" s="13">
        <f>VLOOKUP(A:A,[1]TDSheet!$A:$AD,30,0)</f>
        <v>0</v>
      </c>
      <c r="AE32" s="13">
        <f>VLOOKUP(A:A,[1]TDSheet!$A:$AE,31,0)</f>
        <v>14.171600000000002</v>
      </c>
      <c r="AF32" s="13">
        <f>VLOOKUP(A:A,[1]TDSheet!$A:$AF,32,0)</f>
        <v>11.7372</v>
      </c>
      <c r="AG32" s="13">
        <f>VLOOKUP(A:A,[1]TDSheet!$A:$AG,33,0)</f>
        <v>17.648199999999999</v>
      </c>
      <c r="AH32" s="13">
        <f>VLOOKUP(A:A,[3]TDSheet!$A:$D,4,0)</f>
        <v>37.046999999999997</v>
      </c>
      <c r="AI32" s="13" t="str">
        <f>VLOOKUP(A:A,[1]TDSheet!$A:$AI,35,0)</f>
        <v>склад</v>
      </c>
      <c r="AJ32" s="13">
        <f t="shared" si="14"/>
        <v>0</v>
      </c>
      <c r="AK32" s="13"/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48.451000000000001</v>
      </c>
      <c r="D33" s="8">
        <v>510.69099999999997</v>
      </c>
      <c r="E33" s="8">
        <v>124.01</v>
      </c>
      <c r="F33" s="8">
        <v>69.813000000000002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186.92599999999999</v>
      </c>
      <c r="K33" s="13">
        <f t="shared" si="10"/>
        <v>-62.915999999999983</v>
      </c>
      <c r="L33" s="13">
        <f>VLOOKUP(A:A,[1]TDSheet!$A:$M,13,0)</f>
        <v>40</v>
      </c>
      <c r="M33" s="13">
        <f>VLOOKUP(A:A,[1]TDSheet!$A:$N,14,0)</f>
        <v>40</v>
      </c>
      <c r="N33" s="13">
        <f>VLOOKUP(A:A,[1]TDSheet!$A:$U,21,0)</f>
        <v>0</v>
      </c>
      <c r="O33" s="13">
        <f>VLOOKUP(A:A,[1]TDSheet!$A:$V,22,0)</f>
        <v>40</v>
      </c>
      <c r="P33" s="13">
        <f>VLOOKUP(A:A,[1]TDSheet!$A:$X,24,0)</f>
        <v>30</v>
      </c>
      <c r="Q33" s="13"/>
      <c r="R33" s="13"/>
      <c r="S33" s="13"/>
      <c r="T33" s="13"/>
      <c r="U33" s="13"/>
      <c r="V33" s="13"/>
      <c r="W33" s="13">
        <f t="shared" si="11"/>
        <v>24.802</v>
      </c>
      <c r="X33" s="16"/>
      <c r="Y33" s="17">
        <f t="shared" si="12"/>
        <v>8.8627126844609307</v>
      </c>
      <c r="Z33" s="13">
        <f t="shared" si="13"/>
        <v>2.8148133215063305</v>
      </c>
      <c r="AA33" s="13"/>
      <c r="AB33" s="13"/>
      <c r="AC33" s="13"/>
      <c r="AD33" s="13">
        <f>VLOOKUP(A:A,[1]TDSheet!$A:$AD,30,0)</f>
        <v>0</v>
      </c>
      <c r="AE33" s="13">
        <f>VLOOKUP(A:A,[1]TDSheet!$A:$AE,31,0)</f>
        <v>24.026</v>
      </c>
      <c r="AF33" s="13">
        <f>VLOOKUP(A:A,[1]TDSheet!$A:$AF,32,0)</f>
        <v>26.629000000000001</v>
      </c>
      <c r="AG33" s="13">
        <f>VLOOKUP(A:A,[1]TDSheet!$A:$AG,33,0)</f>
        <v>34.061</v>
      </c>
      <c r="AH33" s="13">
        <f>VLOOKUP(A:A,[3]TDSheet!$A:$D,4,0)</f>
        <v>11.753</v>
      </c>
      <c r="AI33" s="13">
        <f>VLOOKUP(A:A,[1]TDSheet!$A:$AI,35,0)</f>
        <v>0</v>
      </c>
      <c r="AJ33" s="13">
        <f t="shared" si="14"/>
        <v>0</v>
      </c>
      <c r="AK33" s="13"/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39.045999999999999</v>
      </c>
      <c r="D34" s="8">
        <v>107.20699999999999</v>
      </c>
      <c r="E34" s="8">
        <v>97.346999999999994</v>
      </c>
      <c r="F34" s="8">
        <v>36.716000000000001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137.41800000000001</v>
      </c>
      <c r="K34" s="13">
        <f t="shared" si="10"/>
        <v>-40.071000000000012</v>
      </c>
      <c r="L34" s="13">
        <f>VLOOKUP(A:A,[1]TDSheet!$A:$M,13,0)</f>
        <v>40</v>
      </c>
      <c r="M34" s="13">
        <f>VLOOKUP(A:A,[1]TDSheet!$A:$N,14,0)</f>
        <v>40</v>
      </c>
      <c r="N34" s="13">
        <f>VLOOKUP(A:A,[1]TDSheet!$A:$U,21,0)</f>
        <v>0</v>
      </c>
      <c r="O34" s="13">
        <f>VLOOKUP(A:A,[1]TDSheet!$A:$V,22,0)</f>
        <v>30</v>
      </c>
      <c r="P34" s="13">
        <f>VLOOKUP(A:A,[1]TDSheet!$A:$X,24,0)</f>
        <v>10</v>
      </c>
      <c r="Q34" s="13"/>
      <c r="R34" s="13"/>
      <c r="S34" s="13"/>
      <c r="T34" s="13"/>
      <c r="U34" s="13"/>
      <c r="V34" s="13"/>
      <c r="W34" s="13">
        <f t="shared" si="11"/>
        <v>19.4694</v>
      </c>
      <c r="X34" s="16"/>
      <c r="Y34" s="17">
        <f t="shared" si="12"/>
        <v>8.0493492352101246</v>
      </c>
      <c r="Z34" s="13">
        <f t="shared" si="13"/>
        <v>1.8858310990580089</v>
      </c>
      <c r="AA34" s="13"/>
      <c r="AB34" s="13"/>
      <c r="AC34" s="13"/>
      <c r="AD34" s="13">
        <f>VLOOKUP(A:A,[1]TDSheet!$A:$AD,30,0)</f>
        <v>0</v>
      </c>
      <c r="AE34" s="13">
        <f>VLOOKUP(A:A,[1]TDSheet!$A:$AE,31,0)</f>
        <v>11.385</v>
      </c>
      <c r="AF34" s="13">
        <f>VLOOKUP(A:A,[1]TDSheet!$A:$AF,32,0)</f>
        <v>19.8126</v>
      </c>
      <c r="AG34" s="13">
        <f>VLOOKUP(A:A,[1]TDSheet!$A:$AG,33,0)</f>
        <v>22.334</v>
      </c>
      <c r="AH34" s="13">
        <f>VLOOKUP(A:A,[3]TDSheet!$A:$D,4,0)</f>
        <v>6.8</v>
      </c>
      <c r="AI34" s="13" t="str">
        <f>VLOOKUP(A:A,[1]TDSheet!$A:$AI,35,0)</f>
        <v>склад</v>
      </c>
      <c r="AJ34" s="13">
        <f t="shared" si="14"/>
        <v>0</v>
      </c>
      <c r="AK34" s="13"/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/>
      <c r="D35" s="8">
        <v>43.454999999999998</v>
      </c>
      <c r="E35" s="8">
        <v>17.155999999999999</v>
      </c>
      <c r="F35" s="8">
        <v>24.486999999999998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23.963999999999999</v>
      </c>
      <c r="K35" s="13">
        <f t="shared" si="10"/>
        <v>-6.8079999999999998</v>
      </c>
      <c r="L35" s="13">
        <f>VLOOKUP(A:A,[1]TDSheet!$A:$M,13,0)</f>
        <v>10</v>
      </c>
      <c r="M35" s="13">
        <f>VLOOKUP(A:A,[1]TDSheet!$A:$N,14,0)</f>
        <v>10</v>
      </c>
      <c r="N35" s="13">
        <f>VLOOKUP(A:A,[1]TDSheet!$A:$U,21,0)</f>
        <v>0</v>
      </c>
      <c r="O35" s="13">
        <f>VLOOKUP(A:A,[1]TDSheet!$A:$V,22,0)</f>
        <v>0</v>
      </c>
      <c r="P35" s="13">
        <f>VLOOKUP(A:A,[1]TDSheet!$A:$X,24,0)</f>
        <v>0</v>
      </c>
      <c r="Q35" s="13"/>
      <c r="R35" s="13"/>
      <c r="S35" s="13"/>
      <c r="T35" s="13"/>
      <c r="U35" s="13"/>
      <c r="V35" s="13"/>
      <c r="W35" s="13">
        <f t="shared" si="11"/>
        <v>3.4311999999999996</v>
      </c>
      <c r="X35" s="16"/>
      <c r="Y35" s="17">
        <f t="shared" si="12"/>
        <v>12.965434833294474</v>
      </c>
      <c r="Z35" s="13">
        <f t="shared" si="13"/>
        <v>7.1365702961063189</v>
      </c>
      <c r="AA35" s="13"/>
      <c r="AB35" s="13"/>
      <c r="AC35" s="13"/>
      <c r="AD35" s="13">
        <f>VLOOKUP(A:A,[1]TDSheet!$A:$AD,30,0)</f>
        <v>0</v>
      </c>
      <c r="AE35" s="13">
        <f>VLOOKUP(A:A,[1]TDSheet!$A:$AE,31,0)</f>
        <v>3.6795999999999998</v>
      </c>
      <c r="AF35" s="13">
        <f>VLOOKUP(A:A,[1]TDSheet!$A:$AF,32,0)</f>
        <v>1.7276</v>
      </c>
      <c r="AG35" s="13">
        <f>VLOOKUP(A:A,[1]TDSheet!$A:$AG,33,0)</f>
        <v>4.8155999999999999</v>
      </c>
      <c r="AH35" s="13">
        <f>VLOOKUP(A:A,[3]TDSheet!$A:$D,4,0)</f>
        <v>5.444</v>
      </c>
      <c r="AI35" s="13" t="str">
        <f>VLOOKUP(A:A,[1]TDSheet!$A:$AI,35,0)</f>
        <v>склад</v>
      </c>
      <c r="AJ35" s="13">
        <f t="shared" si="14"/>
        <v>0</v>
      </c>
      <c r="AK35" s="13"/>
      <c r="AL35" s="13"/>
      <c r="AM35" s="13"/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2.7770000000000001</v>
      </c>
      <c r="D36" s="8">
        <v>36.756999999999998</v>
      </c>
      <c r="E36" s="8">
        <v>20.449000000000002</v>
      </c>
      <c r="F36" s="8">
        <v>17.457999999999998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34.582999999999998</v>
      </c>
      <c r="K36" s="13">
        <f t="shared" si="10"/>
        <v>-14.133999999999997</v>
      </c>
      <c r="L36" s="13">
        <f>VLOOKUP(A:A,[1]TDSheet!$A:$M,13,0)</f>
        <v>10</v>
      </c>
      <c r="M36" s="13">
        <f>VLOOKUP(A:A,[1]TDSheet!$A:$N,14,0)</f>
        <v>10</v>
      </c>
      <c r="N36" s="13">
        <f>VLOOKUP(A:A,[1]TDSheet!$A:$U,21,0)</f>
        <v>0</v>
      </c>
      <c r="O36" s="13">
        <f>VLOOKUP(A:A,[1]TDSheet!$A:$V,22,0)</f>
        <v>0</v>
      </c>
      <c r="P36" s="13">
        <f>VLOOKUP(A:A,[1]TDSheet!$A:$X,24,0)</f>
        <v>0</v>
      </c>
      <c r="Q36" s="13"/>
      <c r="R36" s="13"/>
      <c r="S36" s="13"/>
      <c r="T36" s="13"/>
      <c r="U36" s="13"/>
      <c r="V36" s="13"/>
      <c r="W36" s="13">
        <f t="shared" si="11"/>
        <v>4.0898000000000003</v>
      </c>
      <c r="X36" s="16"/>
      <c r="Y36" s="17">
        <f t="shared" si="12"/>
        <v>9.1588830749669903</v>
      </c>
      <c r="Z36" s="13">
        <f t="shared" si="13"/>
        <v>4.2686683945425195</v>
      </c>
      <c r="AA36" s="13"/>
      <c r="AB36" s="13"/>
      <c r="AC36" s="13"/>
      <c r="AD36" s="13">
        <f>VLOOKUP(A:A,[1]TDSheet!$A:$AD,30,0)</f>
        <v>0</v>
      </c>
      <c r="AE36" s="13">
        <f>VLOOKUP(A:A,[1]TDSheet!$A:$AE,31,0)</f>
        <v>2.2738</v>
      </c>
      <c r="AF36" s="13">
        <f>VLOOKUP(A:A,[1]TDSheet!$A:$AF,32,0)</f>
        <v>2.6423999999999999</v>
      </c>
      <c r="AG36" s="13">
        <f>VLOOKUP(A:A,[1]TDSheet!$A:$AG,33,0)</f>
        <v>5.8472</v>
      </c>
      <c r="AH36" s="13">
        <f>VLOOKUP(A:A,[3]TDSheet!$A:$D,4,0)</f>
        <v>8.0299999999999994</v>
      </c>
      <c r="AI36" s="13" t="str">
        <f>VLOOKUP(A:A,[1]TDSheet!$A:$AI,35,0)</f>
        <v>склад</v>
      </c>
      <c r="AJ36" s="13">
        <f t="shared" si="14"/>
        <v>0</v>
      </c>
      <c r="AK36" s="13"/>
      <c r="AL36" s="13"/>
      <c r="AM36" s="13"/>
    </row>
    <row r="37" spans="1:39" s="1" customFormat="1" ht="21.95" customHeight="1" outlineLevel="1" x14ac:dyDescent="0.2">
      <c r="A37" s="7" t="s">
        <v>40</v>
      </c>
      <c r="B37" s="7" t="s">
        <v>8</v>
      </c>
      <c r="C37" s="8">
        <v>2.976</v>
      </c>
      <c r="D37" s="8">
        <v>43.783999999999999</v>
      </c>
      <c r="E37" s="8">
        <v>27.41</v>
      </c>
      <c r="F37" s="8">
        <v>17.53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33.203000000000003</v>
      </c>
      <c r="K37" s="13">
        <f t="shared" si="10"/>
        <v>-5.7930000000000028</v>
      </c>
      <c r="L37" s="13">
        <f>VLOOKUP(A:A,[1]TDSheet!$A:$M,13,0)</f>
        <v>10</v>
      </c>
      <c r="M37" s="13">
        <f>VLOOKUP(A:A,[1]TDSheet!$A:$N,14,0)</f>
        <v>0</v>
      </c>
      <c r="N37" s="13">
        <f>VLOOKUP(A:A,[1]TDSheet!$A:$U,21,0)</f>
        <v>0</v>
      </c>
      <c r="O37" s="13">
        <f>VLOOKUP(A:A,[1]TDSheet!$A:$V,22,0)</f>
        <v>10</v>
      </c>
      <c r="P37" s="13">
        <f>VLOOKUP(A:A,[1]TDSheet!$A:$X,24,0)</f>
        <v>10</v>
      </c>
      <c r="Q37" s="13"/>
      <c r="R37" s="13"/>
      <c r="S37" s="13"/>
      <c r="T37" s="13"/>
      <c r="U37" s="13"/>
      <c r="V37" s="13"/>
      <c r="W37" s="13">
        <f t="shared" si="11"/>
        <v>5.4820000000000002</v>
      </c>
      <c r="X37" s="16"/>
      <c r="Y37" s="17">
        <f t="shared" si="12"/>
        <v>8.6701933600875591</v>
      </c>
      <c r="Z37" s="13">
        <f t="shared" si="13"/>
        <v>3.1977380518059104</v>
      </c>
      <c r="AA37" s="13"/>
      <c r="AB37" s="13"/>
      <c r="AC37" s="13"/>
      <c r="AD37" s="13">
        <f>VLOOKUP(A:A,[1]TDSheet!$A:$AD,30,0)</f>
        <v>0</v>
      </c>
      <c r="AE37" s="13">
        <f>VLOOKUP(A:A,[1]TDSheet!$A:$AE,31,0)</f>
        <v>3.8345999999999996</v>
      </c>
      <c r="AF37" s="13">
        <f>VLOOKUP(A:A,[1]TDSheet!$A:$AF,32,0)</f>
        <v>2.7510000000000003</v>
      </c>
      <c r="AG37" s="13">
        <f>VLOOKUP(A:A,[1]TDSheet!$A:$AG,33,0)</f>
        <v>5.6712000000000007</v>
      </c>
      <c r="AH37" s="13">
        <f>VLOOKUP(A:A,[3]TDSheet!$A:$D,4,0)</f>
        <v>5.4530000000000003</v>
      </c>
      <c r="AI37" s="13" t="str">
        <f>VLOOKUP(A:A,[1]TDSheet!$A:$AI,35,0)</f>
        <v>склад</v>
      </c>
      <c r="AJ37" s="13">
        <f t="shared" si="14"/>
        <v>0</v>
      </c>
      <c r="AK37" s="13"/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1391</v>
      </c>
      <c r="D38" s="8">
        <v>827</v>
      </c>
      <c r="E38" s="18">
        <v>1631</v>
      </c>
      <c r="F38" s="18">
        <v>303</v>
      </c>
      <c r="G38" s="1" t="str">
        <f>VLOOKUP(A:A,[1]TDSheet!$A:$G,7,0)</f>
        <v>бнмарт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1075</v>
      </c>
      <c r="K38" s="13">
        <f t="shared" si="10"/>
        <v>556</v>
      </c>
      <c r="L38" s="13">
        <f>VLOOKUP(A:A,[1]TDSheet!$A:$M,13,0)</f>
        <v>350</v>
      </c>
      <c r="M38" s="13">
        <f>VLOOKUP(A:A,[1]TDSheet!$A:$N,14,0)</f>
        <v>400</v>
      </c>
      <c r="N38" s="13">
        <f>VLOOKUP(A:A,[1]TDSheet!$A:$U,21,0)</f>
        <v>300</v>
      </c>
      <c r="O38" s="13">
        <f>VLOOKUP(A:A,[1]TDSheet!$A:$V,22,0)</f>
        <v>400</v>
      </c>
      <c r="P38" s="13">
        <f>VLOOKUP(A:A,[1]TDSheet!$A:$X,24,0)</f>
        <v>300</v>
      </c>
      <c r="Q38" s="13"/>
      <c r="R38" s="13"/>
      <c r="S38" s="13"/>
      <c r="T38" s="13"/>
      <c r="U38" s="13"/>
      <c r="V38" s="13"/>
      <c r="W38" s="13">
        <f t="shared" si="11"/>
        <v>326.2</v>
      </c>
      <c r="X38" s="16">
        <v>250</v>
      </c>
      <c r="Y38" s="17">
        <f t="shared" si="12"/>
        <v>7.0600858369098711</v>
      </c>
      <c r="Z38" s="13">
        <f t="shared" si="13"/>
        <v>0.9288779889638259</v>
      </c>
      <c r="AA38" s="13"/>
      <c r="AB38" s="13"/>
      <c r="AC38" s="13"/>
      <c r="AD38" s="13">
        <f>VLOOKUP(A:A,[1]TDSheet!$A:$AD,30,0)</f>
        <v>0</v>
      </c>
      <c r="AE38" s="13">
        <f>VLOOKUP(A:A,[1]TDSheet!$A:$AE,31,0)</f>
        <v>462.8</v>
      </c>
      <c r="AF38" s="13">
        <f>VLOOKUP(A:A,[1]TDSheet!$A:$AF,32,0)</f>
        <v>370.4</v>
      </c>
      <c r="AG38" s="13">
        <f>VLOOKUP(A:A,[1]TDSheet!$A:$AG,33,0)</f>
        <v>296.60000000000002</v>
      </c>
      <c r="AH38" s="13">
        <f>VLOOKUP(A:A,[3]TDSheet!$A:$D,4,0)</f>
        <v>160</v>
      </c>
      <c r="AI38" s="13" t="str">
        <f>VLOOKUP(A:A,[1]TDSheet!$A:$AI,35,0)</f>
        <v>оконч</v>
      </c>
      <c r="AJ38" s="13">
        <f t="shared" si="14"/>
        <v>87.5</v>
      </c>
      <c r="AK38" s="13"/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1355</v>
      </c>
      <c r="D39" s="8">
        <v>18822</v>
      </c>
      <c r="E39" s="8">
        <v>3916</v>
      </c>
      <c r="F39" s="8">
        <v>753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4034</v>
      </c>
      <c r="K39" s="13">
        <f t="shared" si="10"/>
        <v>-118</v>
      </c>
      <c r="L39" s="13">
        <f>VLOOKUP(A:A,[1]TDSheet!$A:$M,13,0)</f>
        <v>450</v>
      </c>
      <c r="M39" s="13">
        <f>VLOOKUP(A:A,[1]TDSheet!$A:$N,14,0)</f>
        <v>800</v>
      </c>
      <c r="N39" s="13">
        <f>VLOOKUP(A:A,[1]TDSheet!$A:$U,21,0)</f>
        <v>500</v>
      </c>
      <c r="O39" s="13">
        <f>VLOOKUP(A:A,[1]TDSheet!$A:$V,22,0)</f>
        <v>600</v>
      </c>
      <c r="P39" s="13">
        <f>VLOOKUP(A:A,[1]TDSheet!$A:$X,24,0)</f>
        <v>600</v>
      </c>
      <c r="Q39" s="13"/>
      <c r="R39" s="13"/>
      <c r="S39" s="13"/>
      <c r="T39" s="13"/>
      <c r="U39" s="13"/>
      <c r="V39" s="13"/>
      <c r="W39" s="13">
        <f t="shared" si="11"/>
        <v>617.6</v>
      </c>
      <c r="X39" s="16">
        <v>600</v>
      </c>
      <c r="Y39" s="17">
        <f t="shared" si="12"/>
        <v>6.9672927461139897</v>
      </c>
      <c r="Z39" s="13">
        <f t="shared" si="13"/>
        <v>1.2192357512953367</v>
      </c>
      <c r="AA39" s="13"/>
      <c r="AB39" s="13"/>
      <c r="AC39" s="13"/>
      <c r="AD39" s="13">
        <f>VLOOKUP(A:A,[1]TDSheet!$A:$AD,30,0)</f>
        <v>828</v>
      </c>
      <c r="AE39" s="13">
        <f>VLOOKUP(A:A,[1]TDSheet!$A:$AE,31,0)</f>
        <v>478.4</v>
      </c>
      <c r="AF39" s="13">
        <f>VLOOKUP(A:A,[1]TDSheet!$A:$AF,32,0)</f>
        <v>594.4</v>
      </c>
      <c r="AG39" s="13">
        <f>VLOOKUP(A:A,[1]TDSheet!$A:$AG,33,0)</f>
        <v>576.20000000000005</v>
      </c>
      <c r="AH39" s="13">
        <f>VLOOKUP(A:A,[3]TDSheet!$A:$D,4,0)</f>
        <v>783</v>
      </c>
      <c r="AI39" s="13">
        <f>VLOOKUP(A:A,[1]TDSheet!$A:$AI,35,0)</f>
        <v>0</v>
      </c>
      <c r="AJ39" s="13">
        <f t="shared" si="14"/>
        <v>240</v>
      </c>
      <c r="AK39" s="13"/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12</v>
      </c>
      <c r="C40" s="8">
        <v>3614</v>
      </c>
      <c r="D40" s="8">
        <v>1000</v>
      </c>
      <c r="E40" s="8">
        <v>3564</v>
      </c>
      <c r="F40" s="8">
        <v>986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3669</v>
      </c>
      <c r="K40" s="13">
        <f t="shared" si="10"/>
        <v>-105</v>
      </c>
      <c r="L40" s="13">
        <f>VLOOKUP(A:A,[1]TDSheet!$A:$M,13,0)</f>
        <v>0</v>
      </c>
      <c r="M40" s="13">
        <f>VLOOKUP(A:A,[1]TDSheet!$A:$N,14,0)</f>
        <v>850</v>
      </c>
      <c r="N40" s="13">
        <f>VLOOKUP(A:A,[1]TDSheet!$A:$U,21,0)</f>
        <v>800</v>
      </c>
      <c r="O40" s="13">
        <f>VLOOKUP(A:A,[1]TDSheet!$A:$V,22,0)</f>
        <v>1000</v>
      </c>
      <c r="P40" s="13">
        <f>VLOOKUP(A:A,[1]TDSheet!$A:$X,24,0)</f>
        <v>600</v>
      </c>
      <c r="Q40" s="13"/>
      <c r="R40" s="13"/>
      <c r="S40" s="13"/>
      <c r="T40" s="13"/>
      <c r="U40" s="13"/>
      <c r="V40" s="13"/>
      <c r="W40" s="13">
        <f t="shared" si="11"/>
        <v>644.79999999999995</v>
      </c>
      <c r="X40" s="16">
        <v>280</v>
      </c>
      <c r="Y40" s="17">
        <f t="shared" si="12"/>
        <v>7.0037220843672463</v>
      </c>
      <c r="Z40" s="13">
        <f t="shared" si="13"/>
        <v>1.5291563275434243</v>
      </c>
      <c r="AA40" s="13"/>
      <c r="AB40" s="13"/>
      <c r="AC40" s="13"/>
      <c r="AD40" s="13">
        <f>VLOOKUP(A:A,[1]TDSheet!$A:$AD,30,0)</f>
        <v>340</v>
      </c>
      <c r="AE40" s="13">
        <f>VLOOKUP(A:A,[1]TDSheet!$A:$AE,31,0)</f>
        <v>881</v>
      </c>
      <c r="AF40" s="13">
        <f>VLOOKUP(A:A,[1]TDSheet!$A:$AF,32,0)</f>
        <v>766.2</v>
      </c>
      <c r="AG40" s="13">
        <f>VLOOKUP(A:A,[1]TDSheet!$A:$AG,33,0)</f>
        <v>559.6</v>
      </c>
      <c r="AH40" s="13">
        <f>VLOOKUP(A:A,[3]TDSheet!$A:$D,4,0)</f>
        <v>507</v>
      </c>
      <c r="AI40" s="13">
        <f>VLOOKUP(A:A,[1]TDSheet!$A:$AI,35,0)</f>
        <v>0</v>
      </c>
      <c r="AJ40" s="13">
        <f t="shared" si="14"/>
        <v>126</v>
      </c>
      <c r="AK40" s="13"/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8</v>
      </c>
      <c r="C41" s="8">
        <v>376.19799999999998</v>
      </c>
      <c r="D41" s="8">
        <v>1982.645</v>
      </c>
      <c r="E41" s="8">
        <v>498.64400000000001</v>
      </c>
      <c r="F41" s="8">
        <v>289.55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512.07299999999998</v>
      </c>
      <c r="K41" s="13">
        <f t="shared" si="10"/>
        <v>-13.428999999999974</v>
      </c>
      <c r="L41" s="13">
        <f>VLOOKUP(A:A,[1]TDSheet!$A:$M,13,0)</f>
        <v>50</v>
      </c>
      <c r="M41" s="13">
        <f>VLOOKUP(A:A,[1]TDSheet!$A:$N,14,0)</f>
        <v>120</v>
      </c>
      <c r="N41" s="13">
        <f>VLOOKUP(A:A,[1]TDSheet!$A:$U,21,0)</f>
        <v>50</v>
      </c>
      <c r="O41" s="13">
        <f>VLOOKUP(A:A,[1]TDSheet!$A:$V,22,0)</f>
        <v>90</v>
      </c>
      <c r="P41" s="13">
        <f>VLOOKUP(A:A,[1]TDSheet!$A:$X,24,0)</f>
        <v>100</v>
      </c>
      <c r="Q41" s="13"/>
      <c r="R41" s="13"/>
      <c r="S41" s="13"/>
      <c r="T41" s="13"/>
      <c r="U41" s="13"/>
      <c r="V41" s="13"/>
      <c r="W41" s="13">
        <f t="shared" si="11"/>
        <v>99.728800000000007</v>
      </c>
      <c r="X41" s="16"/>
      <c r="Y41" s="17">
        <f t="shared" si="12"/>
        <v>7.0145233874267001</v>
      </c>
      <c r="Z41" s="13">
        <f t="shared" si="13"/>
        <v>2.9033739501528144</v>
      </c>
      <c r="AA41" s="13"/>
      <c r="AB41" s="13"/>
      <c r="AC41" s="13"/>
      <c r="AD41" s="13">
        <f>VLOOKUP(A:A,[1]TDSheet!$A:$AD,30,0)</f>
        <v>0</v>
      </c>
      <c r="AE41" s="13">
        <f>VLOOKUP(A:A,[1]TDSheet!$A:$AE,31,0)</f>
        <v>101.27380000000001</v>
      </c>
      <c r="AF41" s="13">
        <f>VLOOKUP(A:A,[1]TDSheet!$A:$AF,32,0)</f>
        <v>110.652</v>
      </c>
      <c r="AG41" s="13">
        <f>VLOOKUP(A:A,[1]TDSheet!$A:$AG,33,0)</f>
        <v>96.189800000000005</v>
      </c>
      <c r="AH41" s="13">
        <f>VLOOKUP(A:A,[3]TDSheet!$A:$D,4,0)</f>
        <v>76.658000000000001</v>
      </c>
      <c r="AI41" s="13">
        <f>VLOOKUP(A:A,[1]TDSheet!$A:$AI,35,0)</f>
        <v>0</v>
      </c>
      <c r="AJ41" s="13">
        <f t="shared" si="14"/>
        <v>0</v>
      </c>
      <c r="AK41" s="13"/>
      <c r="AL41" s="13"/>
      <c r="AM41" s="13"/>
    </row>
    <row r="42" spans="1:39" s="1" customFormat="1" ht="11.1" customHeight="1" outlineLevel="1" x14ac:dyDescent="0.2">
      <c r="A42" s="7" t="s">
        <v>45</v>
      </c>
      <c r="B42" s="7" t="s">
        <v>12</v>
      </c>
      <c r="C42" s="8">
        <v>1566</v>
      </c>
      <c r="D42" s="8">
        <v>1410</v>
      </c>
      <c r="E42" s="8">
        <v>535</v>
      </c>
      <c r="F42" s="8">
        <v>1049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568</v>
      </c>
      <c r="K42" s="13">
        <f t="shared" si="10"/>
        <v>-33</v>
      </c>
      <c r="L42" s="13">
        <f>VLOOKUP(A:A,[1]TDSheet!$A:$M,13,0)</f>
        <v>0</v>
      </c>
      <c r="M42" s="13">
        <f>VLOOKUP(A:A,[1]TDSheet!$A:$N,14,0)</f>
        <v>0</v>
      </c>
      <c r="N42" s="13">
        <f>VLOOKUP(A:A,[1]TDSheet!$A:$U,21,0)</f>
        <v>0</v>
      </c>
      <c r="O42" s="13">
        <f>VLOOKUP(A:A,[1]TDSheet!$A:$V,22,0)</f>
        <v>0</v>
      </c>
      <c r="P42" s="13">
        <f>VLOOKUP(A:A,[1]TDSheet!$A:$X,24,0)</f>
        <v>500</v>
      </c>
      <c r="Q42" s="13"/>
      <c r="R42" s="13"/>
      <c r="S42" s="13"/>
      <c r="T42" s="13"/>
      <c r="U42" s="13"/>
      <c r="V42" s="13"/>
      <c r="W42" s="13">
        <f t="shared" si="11"/>
        <v>107</v>
      </c>
      <c r="X42" s="16"/>
      <c r="Y42" s="17">
        <f t="shared" si="12"/>
        <v>14.476635514018692</v>
      </c>
      <c r="Z42" s="13">
        <f t="shared" si="13"/>
        <v>9.8037383177570092</v>
      </c>
      <c r="AA42" s="13"/>
      <c r="AB42" s="13"/>
      <c r="AC42" s="13"/>
      <c r="AD42" s="13">
        <f>VLOOKUP(A:A,[1]TDSheet!$A:$AD,30,0)</f>
        <v>0</v>
      </c>
      <c r="AE42" s="13">
        <f>VLOOKUP(A:A,[1]TDSheet!$A:$AE,31,0)</f>
        <v>96</v>
      </c>
      <c r="AF42" s="13">
        <f>VLOOKUP(A:A,[1]TDSheet!$A:$AF,32,0)</f>
        <v>145.80000000000001</v>
      </c>
      <c r="AG42" s="13">
        <f>VLOOKUP(A:A,[1]TDSheet!$A:$AG,33,0)</f>
        <v>119.8</v>
      </c>
      <c r="AH42" s="13">
        <f>VLOOKUP(A:A,[3]TDSheet!$A:$D,4,0)</f>
        <v>147</v>
      </c>
      <c r="AI42" s="13">
        <f>VLOOKUP(A:A,[1]TDSheet!$A:$AI,35,0)</f>
        <v>0</v>
      </c>
      <c r="AJ42" s="13">
        <f t="shared" si="14"/>
        <v>0</v>
      </c>
      <c r="AK42" s="13"/>
      <c r="AL42" s="13"/>
      <c r="AM42" s="13"/>
    </row>
    <row r="43" spans="1:39" s="1" customFormat="1" ht="21.95" customHeight="1" outlineLevel="1" x14ac:dyDescent="0.2">
      <c r="A43" s="7" t="s">
        <v>46</v>
      </c>
      <c r="B43" s="7" t="s">
        <v>12</v>
      </c>
      <c r="C43" s="8">
        <v>780</v>
      </c>
      <c r="D43" s="8">
        <v>634</v>
      </c>
      <c r="E43" s="8">
        <v>871</v>
      </c>
      <c r="F43" s="8">
        <v>509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1312</v>
      </c>
      <c r="K43" s="13">
        <f t="shared" si="10"/>
        <v>-441</v>
      </c>
      <c r="L43" s="13">
        <f>VLOOKUP(A:A,[1]TDSheet!$A:$M,13,0)</f>
        <v>250</v>
      </c>
      <c r="M43" s="13">
        <f>VLOOKUP(A:A,[1]TDSheet!$A:$N,14,0)</f>
        <v>300</v>
      </c>
      <c r="N43" s="13">
        <f>VLOOKUP(A:A,[1]TDSheet!$A:$U,21,0)</f>
        <v>0</v>
      </c>
      <c r="O43" s="13">
        <f>VLOOKUP(A:A,[1]TDSheet!$A:$V,22,0)</f>
        <v>200</v>
      </c>
      <c r="P43" s="13">
        <f>VLOOKUP(A:A,[1]TDSheet!$A:$X,24,0)</f>
        <v>100</v>
      </c>
      <c r="Q43" s="13"/>
      <c r="R43" s="13"/>
      <c r="S43" s="13"/>
      <c r="T43" s="13"/>
      <c r="U43" s="13"/>
      <c r="V43" s="13"/>
      <c r="W43" s="13">
        <f t="shared" si="11"/>
        <v>174.2</v>
      </c>
      <c r="X43" s="16"/>
      <c r="Y43" s="17">
        <f t="shared" si="12"/>
        <v>7.8013777267508617</v>
      </c>
      <c r="Z43" s="13">
        <f t="shared" si="13"/>
        <v>2.9219288174512057</v>
      </c>
      <c r="AA43" s="13"/>
      <c r="AB43" s="13"/>
      <c r="AC43" s="13"/>
      <c r="AD43" s="13">
        <f>VLOOKUP(A:A,[1]TDSheet!$A:$AD,30,0)</f>
        <v>0</v>
      </c>
      <c r="AE43" s="13">
        <f>VLOOKUP(A:A,[1]TDSheet!$A:$AE,31,0)</f>
        <v>196.6</v>
      </c>
      <c r="AF43" s="13">
        <f>VLOOKUP(A:A,[1]TDSheet!$A:$AF,32,0)</f>
        <v>247.8</v>
      </c>
      <c r="AG43" s="13">
        <f>VLOOKUP(A:A,[1]TDSheet!$A:$AG,33,0)</f>
        <v>220.6</v>
      </c>
      <c r="AH43" s="13">
        <f>VLOOKUP(A:A,[3]TDSheet!$A:$D,4,0)</f>
        <v>199</v>
      </c>
      <c r="AI43" s="13">
        <f>VLOOKUP(A:A,[1]TDSheet!$A:$AI,35,0)</f>
        <v>0</v>
      </c>
      <c r="AJ43" s="13">
        <f t="shared" si="14"/>
        <v>0</v>
      </c>
      <c r="AK43" s="13"/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115.98399999999999</v>
      </c>
      <c r="D44" s="8">
        <v>430.91</v>
      </c>
      <c r="E44" s="8">
        <v>305.47899999999998</v>
      </c>
      <c r="F44" s="8">
        <v>77.13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317.04199999999997</v>
      </c>
      <c r="K44" s="13">
        <f t="shared" si="10"/>
        <v>-11.562999999999988</v>
      </c>
      <c r="L44" s="13">
        <f>VLOOKUP(A:A,[1]TDSheet!$A:$M,13,0)</f>
        <v>30</v>
      </c>
      <c r="M44" s="13">
        <f>VLOOKUP(A:A,[1]TDSheet!$A:$N,14,0)</f>
        <v>50</v>
      </c>
      <c r="N44" s="13">
        <f>VLOOKUP(A:A,[1]TDSheet!$A:$U,21,0)</f>
        <v>50</v>
      </c>
      <c r="O44" s="13">
        <f>VLOOKUP(A:A,[1]TDSheet!$A:$V,22,0)</f>
        <v>100</v>
      </c>
      <c r="P44" s="13">
        <f>VLOOKUP(A:A,[1]TDSheet!$A:$X,24,0)</f>
        <v>80</v>
      </c>
      <c r="Q44" s="13"/>
      <c r="R44" s="13"/>
      <c r="S44" s="13"/>
      <c r="T44" s="13"/>
      <c r="U44" s="13"/>
      <c r="V44" s="13"/>
      <c r="W44" s="13">
        <f t="shared" si="11"/>
        <v>61.095799999999997</v>
      </c>
      <c r="X44" s="16">
        <v>50</v>
      </c>
      <c r="Y44" s="17">
        <f t="shared" si="12"/>
        <v>7.1548289735137276</v>
      </c>
      <c r="Z44" s="13">
        <f t="shared" si="13"/>
        <v>1.262443572225914</v>
      </c>
      <c r="AA44" s="13"/>
      <c r="AB44" s="13"/>
      <c r="AC44" s="13"/>
      <c r="AD44" s="13">
        <f>VLOOKUP(A:A,[1]TDSheet!$A:$AD,30,0)</f>
        <v>0</v>
      </c>
      <c r="AE44" s="13">
        <f>VLOOKUP(A:A,[1]TDSheet!$A:$AE,31,0)</f>
        <v>42.25</v>
      </c>
      <c r="AF44" s="13">
        <f>VLOOKUP(A:A,[1]TDSheet!$A:$AF,32,0)</f>
        <v>46.416600000000003</v>
      </c>
      <c r="AG44" s="13">
        <f>VLOOKUP(A:A,[1]TDSheet!$A:$AG,33,0)</f>
        <v>46.542999999999999</v>
      </c>
      <c r="AH44" s="13">
        <f>VLOOKUP(A:A,[3]TDSheet!$A:$D,4,0)</f>
        <v>59.734000000000002</v>
      </c>
      <c r="AI44" s="13" t="str">
        <f>VLOOKUP(A:A,[1]TDSheet!$A:$AI,35,0)</f>
        <v>увел</v>
      </c>
      <c r="AJ44" s="13">
        <f t="shared" si="14"/>
        <v>50</v>
      </c>
      <c r="AK44" s="13"/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629</v>
      </c>
      <c r="D45" s="8">
        <v>960</v>
      </c>
      <c r="E45" s="8">
        <v>1003</v>
      </c>
      <c r="F45" s="8">
        <v>533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1065</v>
      </c>
      <c r="K45" s="13">
        <f t="shared" si="10"/>
        <v>-62</v>
      </c>
      <c r="L45" s="13">
        <f>VLOOKUP(A:A,[1]TDSheet!$A:$M,13,0)</f>
        <v>50</v>
      </c>
      <c r="M45" s="13">
        <f>VLOOKUP(A:A,[1]TDSheet!$A:$N,14,0)</f>
        <v>300</v>
      </c>
      <c r="N45" s="13">
        <f>VLOOKUP(A:A,[1]TDSheet!$A:$U,21,0)</f>
        <v>200</v>
      </c>
      <c r="O45" s="13">
        <f>VLOOKUP(A:A,[1]TDSheet!$A:$V,22,0)</f>
        <v>200</v>
      </c>
      <c r="P45" s="13">
        <f>VLOOKUP(A:A,[1]TDSheet!$A:$X,24,0)</f>
        <v>200</v>
      </c>
      <c r="Q45" s="13"/>
      <c r="R45" s="13"/>
      <c r="S45" s="13"/>
      <c r="T45" s="13"/>
      <c r="U45" s="13"/>
      <c r="V45" s="13"/>
      <c r="W45" s="13">
        <f t="shared" si="11"/>
        <v>200.6</v>
      </c>
      <c r="X45" s="16"/>
      <c r="Y45" s="17">
        <f t="shared" si="12"/>
        <v>7.3928215353938187</v>
      </c>
      <c r="Z45" s="13">
        <f t="shared" si="13"/>
        <v>2.6570289132602194</v>
      </c>
      <c r="AA45" s="13"/>
      <c r="AB45" s="13"/>
      <c r="AC45" s="13"/>
      <c r="AD45" s="13">
        <f>VLOOKUP(A:A,[1]TDSheet!$A:$AD,30,0)</f>
        <v>0</v>
      </c>
      <c r="AE45" s="13">
        <f>VLOOKUP(A:A,[1]TDSheet!$A:$AE,31,0)</f>
        <v>190.8</v>
      </c>
      <c r="AF45" s="13">
        <f>VLOOKUP(A:A,[1]TDSheet!$A:$AF,32,0)</f>
        <v>224.4</v>
      </c>
      <c r="AG45" s="13">
        <f>VLOOKUP(A:A,[1]TDSheet!$A:$AG,33,0)</f>
        <v>214.8</v>
      </c>
      <c r="AH45" s="13">
        <f>VLOOKUP(A:A,[3]TDSheet!$A:$D,4,0)</f>
        <v>223</v>
      </c>
      <c r="AI45" s="13">
        <f>VLOOKUP(A:A,[1]TDSheet!$A:$AI,35,0)</f>
        <v>0</v>
      </c>
      <c r="AJ45" s="13">
        <f t="shared" si="14"/>
        <v>0</v>
      </c>
      <c r="AK45" s="13"/>
      <c r="AL45" s="13"/>
      <c r="AM45" s="13"/>
    </row>
    <row r="46" spans="1:39" s="1" customFormat="1" ht="11.1" customHeight="1" outlineLevel="1" x14ac:dyDescent="0.2">
      <c r="A46" s="7" t="s">
        <v>49</v>
      </c>
      <c r="B46" s="7" t="s">
        <v>12</v>
      </c>
      <c r="C46" s="8">
        <v>938</v>
      </c>
      <c r="D46" s="8">
        <v>3217</v>
      </c>
      <c r="E46" s="8">
        <v>2183</v>
      </c>
      <c r="F46" s="8">
        <v>755</v>
      </c>
      <c r="G46" s="1" t="str">
        <f>VLOOKUP(A:A,[1]TDSheet!$A:$G,7,0)</f>
        <v>оконч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2380</v>
      </c>
      <c r="K46" s="13">
        <f t="shared" si="10"/>
        <v>-197</v>
      </c>
      <c r="L46" s="13">
        <f>VLOOKUP(A:A,[1]TDSheet!$A:$M,13,0)</f>
        <v>500</v>
      </c>
      <c r="M46" s="13">
        <f>VLOOKUP(A:A,[1]TDSheet!$A:$N,14,0)</f>
        <v>600</v>
      </c>
      <c r="N46" s="13">
        <f>VLOOKUP(A:A,[1]TDSheet!$A:$U,21,0)</f>
        <v>200</v>
      </c>
      <c r="O46" s="13">
        <f>VLOOKUP(A:A,[1]TDSheet!$A:$V,22,0)</f>
        <v>500</v>
      </c>
      <c r="P46" s="13">
        <f>VLOOKUP(A:A,[1]TDSheet!$A:$X,24,0)</f>
        <v>400</v>
      </c>
      <c r="Q46" s="13"/>
      <c r="R46" s="13"/>
      <c r="S46" s="13"/>
      <c r="T46" s="13"/>
      <c r="U46" s="13"/>
      <c r="V46" s="13"/>
      <c r="W46" s="13">
        <f t="shared" si="11"/>
        <v>436.6</v>
      </c>
      <c r="X46" s="16">
        <v>300</v>
      </c>
      <c r="Y46" s="17">
        <f t="shared" si="12"/>
        <v>7.4553366926248277</v>
      </c>
      <c r="Z46" s="13">
        <f t="shared" si="13"/>
        <v>1.7292716445258818</v>
      </c>
      <c r="AA46" s="13"/>
      <c r="AB46" s="13"/>
      <c r="AC46" s="13"/>
      <c r="AD46" s="13">
        <f>VLOOKUP(A:A,[1]TDSheet!$A:$AD,30,0)</f>
        <v>0</v>
      </c>
      <c r="AE46" s="13">
        <f>VLOOKUP(A:A,[1]TDSheet!$A:$AE,31,0)</f>
        <v>390</v>
      </c>
      <c r="AF46" s="13">
        <f>VLOOKUP(A:A,[1]TDSheet!$A:$AF,32,0)</f>
        <v>416</v>
      </c>
      <c r="AG46" s="13">
        <f>VLOOKUP(A:A,[1]TDSheet!$A:$AG,33,0)</f>
        <v>458.8</v>
      </c>
      <c r="AH46" s="13">
        <f>VLOOKUP(A:A,[3]TDSheet!$A:$D,4,0)</f>
        <v>349</v>
      </c>
      <c r="AI46" s="13">
        <f>VLOOKUP(A:A,[1]TDSheet!$A:$AI,35,0)</f>
        <v>0</v>
      </c>
      <c r="AJ46" s="13">
        <f t="shared" si="14"/>
        <v>120</v>
      </c>
      <c r="AK46" s="13"/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62.082000000000001</v>
      </c>
      <c r="D47" s="8">
        <v>207.804</v>
      </c>
      <c r="E47" s="8">
        <v>101.871</v>
      </c>
      <c r="F47" s="8">
        <v>43.899000000000001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180.65899999999999</v>
      </c>
      <c r="K47" s="13">
        <f t="shared" si="10"/>
        <v>-78.787999999999997</v>
      </c>
      <c r="L47" s="13">
        <f>VLOOKUP(A:A,[1]TDSheet!$A:$M,13,0)</f>
        <v>100</v>
      </c>
      <c r="M47" s="13">
        <f>VLOOKUP(A:A,[1]TDSheet!$A:$N,14,0)</f>
        <v>40</v>
      </c>
      <c r="N47" s="13">
        <f>VLOOKUP(A:A,[1]TDSheet!$A:$U,21,0)</f>
        <v>0</v>
      </c>
      <c r="O47" s="13">
        <f>VLOOKUP(A:A,[1]TDSheet!$A:$V,22,0)</f>
        <v>0</v>
      </c>
      <c r="P47" s="13">
        <f>VLOOKUP(A:A,[1]TDSheet!$A:$X,24,0)</f>
        <v>20</v>
      </c>
      <c r="Q47" s="13"/>
      <c r="R47" s="13"/>
      <c r="S47" s="13"/>
      <c r="T47" s="13"/>
      <c r="U47" s="13"/>
      <c r="V47" s="13"/>
      <c r="W47" s="13">
        <f t="shared" si="11"/>
        <v>20.374199999999998</v>
      </c>
      <c r="X47" s="16"/>
      <c r="Y47" s="17">
        <f t="shared" si="12"/>
        <v>10.007705824032355</v>
      </c>
      <c r="Z47" s="13">
        <f t="shared" si="13"/>
        <v>2.1546367464734812</v>
      </c>
      <c r="AA47" s="13"/>
      <c r="AB47" s="13"/>
      <c r="AC47" s="13"/>
      <c r="AD47" s="13">
        <f>VLOOKUP(A:A,[1]TDSheet!$A:$AD,30,0)</f>
        <v>0</v>
      </c>
      <c r="AE47" s="13">
        <f>VLOOKUP(A:A,[1]TDSheet!$A:$AE,31,0)</f>
        <v>19.794800000000002</v>
      </c>
      <c r="AF47" s="13">
        <f>VLOOKUP(A:A,[1]TDSheet!$A:$AF,32,0)</f>
        <v>16.1312</v>
      </c>
      <c r="AG47" s="13">
        <f>VLOOKUP(A:A,[1]TDSheet!$A:$AG,33,0)</f>
        <v>26.122399999999999</v>
      </c>
      <c r="AH47" s="13">
        <f>VLOOKUP(A:A,[3]TDSheet!$A:$D,4,0)</f>
        <v>19.443000000000001</v>
      </c>
      <c r="AI47" s="13" t="str">
        <f>VLOOKUP(A:A,[1]TDSheet!$A:$AI,35,0)</f>
        <v>склад</v>
      </c>
      <c r="AJ47" s="13">
        <f t="shared" si="14"/>
        <v>0</v>
      </c>
      <c r="AK47" s="13"/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8</v>
      </c>
      <c r="C48" s="8">
        <v>160.06399999999999</v>
      </c>
      <c r="D48" s="8">
        <v>488.209</v>
      </c>
      <c r="E48" s="8">
        <v>360.81200000000001</v>
      </c>
      <c r="F48" s="8">
        <v>114.331</v>
      </c>
      <c r="G48" s="1" t="str">
        <f>VLOOKUP(A:A,[1]TDSheet!$A:$G,7,0)</f>
        <v>тк3004,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407.01400000000001</v>
      </c>
      <c r="K48" s="13">
        <f t="shared" si="10"/>
        <v>-46.201999999999998</v>
      </c>
      <c r="L48" s="13">
        <f>VLOOKUP(A:A,[1]TDSheet!$A:$M,13,0)</f>
        <v>30</v>
      </c>
      <c r="M48" s="13">
        <f>VLOOKUP(A:A,[1]TDSheet!$A:$N,14,0)</f>
        <v>80</v>
      </c>
      <c r="N48" s="13">
        <f>VLOOKUP(A:A,[1]TDSheet!$A:$U,21,0)</f>
        <v>30</v>
      </c>
      <c r="O48" s="13">
        <f>VLOOKUP(A:A,[1]TDSheet!$A:$V,22,0)</f>
        <v>80</v>
      </c>
      <c r="P48" s="13">
        <f>VLOOKUP(A:A,[1]TDSheet!$A:$X,24,0)</f>
        <v>90</v>
      </c>
      <c r="Q48" s="13"/>
      <c r="R48" s="13"/>
      <c r="S48" s="13"/>
      <c r="T48" s="13"/>
      <c r="U48" s="13"/>
      <c r="V48" s="13"/>
      <c r="W48" s="13">
        <f t="shared" si="11"/>
        <v>72.162400000000005</v>
      </c>
      <c r="X48" s="16">
        <v>120</v>
      </c>
      <c r="Y48" s="17">
        <f t="shared" si="12"/>
        <v>7.5431388091305163</v>
      </c>
      <c r="Z48" s="13">
        <f t="shared" si="13"/>
        <v>1.5843569504340209</v>
      </c>
      <c r="AA48" s="13"/>
      <c r="AB48" s="13"/>
      <c r="AC48" s="13"/>
      <c r="AD48" s="13">
        <f>VLOOKUP(A:A,[1]TDSheet!$A:$AD,30,0)</f>
        <v>0</v>
      </c>
      <c r="AE48" s="13">
        <f>VLOOKUP(A:A,[1]TDSheet!$A:$AE,31,0)</f>
        <v>71.41040000000001</v>
      </c>
      <c r="AF48" s="13">
        <f>VLOOKUP(A:A,[1]TDSheet!$A:$AF,32,0)</f>
        <v>50.720399999999998</v>
      </c>
      <c r="AG48" s="13">
        <f>VLOOKUP(A:A,[1]TDSheet!$A:$AG,33,0)</f>
        <v>61.866</v>
      </c>
      <c r="AH48" s="13">
        <f>VLOOKUP(A:A,[3]TDSheet!$A:$D,4,0)</f>
        <v>117.70399999999999</v>
      </c>
      <c r="AI48" s="13">
        <f>VLOOKUP(A:A,[1]TDSheet!$A:$AI,35,0)</f>
        <v>0</v>
      </c>
      <c r="AJ48" s="13">
        <f t="shared" si="14"/>
        <v>120</v>
      </c>
      <c r="AK48" s="13"/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582</v>
      </c>
      <c r="D49" s="8">
        <v>1094</v>
      </c>
      <c r="E49" s="8">
        <v>1381</v>
      </c>
      <c r="F49" s="8">
        <v>247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1541</v>
      </c>
      <c r="K49" s="13">
        <f t="shared" si="10"/>
        <v>-160</v>
      </c>
      <c r="L49" s="13">
        <f>VLOOKUP(A:A,[1]TDSheet!$A:$M,13,0)</f>
        <v>250</v>
      </c>
      <c r="M49" s="13">
        <f>VLOOKUP(A:A,[1]TDSheet!$A:$N,14,0)</f>
        <v>350</v>
      </c>
      <c r="N49" s="13">
        <f>VLOOKUP(A:A,[1]TDSheet!$A:$U,21,0)</f>
        <v>200</v>
      </c>
      <c r="O49" s="13">
        <f>VLOOKUP(A:A,[1]TDSheet!$A:$V,22,0)</f>
        <v>400</v>
      </c>
      <c r="P49" s="13">
        <f>VLOOKUP(A:A,[1]TDSheet!$A:$X,24,0)</f>
        <v>280</v>
      </c>
      <c r="Q49" s="13"/>
      <c r="R49" s="13"/>
      <c r="S49" s="13"/>
      <c r="T49" s="13"/>
      <c r="U49" s="13"/>
      <c r="V49" s="13"/>
      <c r="W49" s="13">
        <f t="shared" si="11"/>
        <v>276.2</v>
      </c>
      <c r="X49" s="16">
        <v>200</v>
      </c>
      <c r="Y49" s="17">
        <f t="shared" si="12"/>
        <v>6.9768283852280959</v>
      </c>
      <c r="Z49" s="13">
        <f t="shared" si="13"/>
        <v>0.89427950760318609</v>
      </c>
      <c r="AA49" s="13"/>
      <c r="AB49" s="13"/>
      <c r="AC49" s="13"/>
      <c r="AD49" s="13">
        <f>VLOOKUP(A:A,[1]TDSheet!$A:$AD,30,0)</f>
        <v>0</v>
      </c>
      <c r="AE49" s="13">
        <f>VLOOKUP(A:A,[1]TDSheet!$A:$AE,31,0)</f>
        <v>220.6</v>
      </c>
      <c r="AF49" s="13">
        <f>VLOOKUP(A:A,[1]TDSheet!$A:$AF,32,0)</f>
        <v>270.39999999999998</v>
      </c>
      <c r="AG49" s="13">
        <f>VLOOKUP(A:A,[1]TDSheet!$A:$AG,33,0)</f>
        <v>250</v>
      </c>
      <c r="AH49" s="13">
        <f>VLOOKUP(A:A,[3]TDSheet!$A:$D,4,0)</f>
        <v>325</v>
      </c>
      <c r="AI49" s="13">
        <f>VLOOKUP(A:A,[1]TDSheet!$A:$AI,35,0)</f>
        <v>0</v>
      </c>
      <c r="AJ49" s="13">
        <f t="shared" si="14"/>
        <v>70</v>
      </c>
      <c r="AK49" s="13"/>
      <c r="AL49" s="13"/>
      <c r="AM49" s="13"/>
    </row>
    <row r="50" spans="1:39" s="1" customFormat="1" ht="21.95" customHeight="1" outlineLevel="1" x14ac:dyDescent="0.2">
      <c r="A50" s="7" t="s">
        <v>53</v>
      </c>
      <c r="B50" s="7" t="s">
        <v>12</v>
      </c>
      <c r="C50" s="8">
        <v>1076</v>
      </c>
      <c r="D50" s="8">
        <v>1499</v>
      </c>
      <c r="E50" s="8">
        <v>2094</v>
      </c>
      <c r="F50" s="8">
        <v>414</v>
      </c>
      <c r="G50" s="1" t="str">
        <f>VLOOKUP(A:A,[1]TDSheet!$A:$G,7,0)</f>
        <v>неакк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2210</v>
      </c>
      <c r="K50" s="13">
        <f t="shared" si="10"/>
        <v>-116</v>
      </c>
      <c r="L50" s="13">
        <f>VLOOKUP(A:A,[1]TDSheet!$A:$M,13,0)</f>
        <v>400</v>
      </c>
      <c r="M50" s="13">
        <f>VLOOKUP(A:A,[1]TDSheet!$A:$N,14,0)</f>
        <v>550</v>
      </c>
      <c r="N50" s="13">
        <f>VLOOKUP(A:A,[1]TDSheet!$A:$U,21,0)</f>
        <v>300</v>
      </c>
      <c r="O50" s="13">
        <f>VLOOKUP(A:A,[1]TDSheet!$A:$V,22,0)</f>
        <v>600</v>
      </c>
      <c r="P50" s="13">
        <f>VLOOKUP(A:A,[1]TDSheet!$A:$X,24,0)</f>
        <v>450</v>
      </c>
      <c r="Q50" s="13"/>
      <c r="R50" s="13"/>
      <c r="S50" s="13"/>
      <c r="T50" s="13"/>
      <c r="U50" s="13"/>
      <c r="V50" s="13"/>
      <c r="W50" s="13">
        <f t="shared" si="11"/>
        <v>418.8</v>
      </c>
      <c r="X50" s="16">
        <v>200</v>
      </c>
      <c r="Y50" s="17">
        <f t="shared" si="12"/>
        <v>6.9579751671442214</v>
      </c>
      <c r="Z50" s="13">
        <f t="shared" si="13"/>
        <v>0.98853868194842409</v>
      </c>
      <c r="AA50" s="13"/>
      <c r="AB50" s="13"/>
      <c r="AC50" s="13"/>
      <c r="AD50" s="13">
        <f>VLOOKUP(A:A,[1]TDSheet!$A:$AD,30,0)</f>
        <v>0</v>
      </c>
      <c r="AE50" s="13">
        <f>VLOOKUP(A:A,[1]TDSheet!$A:$AE,31,0)</f>
        <v>325.39999999999998</v>
      </c>
      <c r="AF50" s="13">
        <f>VLOOKUP(A:A,[1]TDSheet!$A:$AF,32,0)</f>
        <v>413</v>
      </c>
      <c r="AG50" s="13">
        <f>VLOOKUP(A:A,[1]TDSheet!$A:$AG,33,0)</f>
        <v>386.8</v>
      </c>
      <c r="AH50" s="13">
        <f>VLOOKUP(A:A,[3]TDSheet!$A:$D,4,0)</f>
        <v>375</v>
      </c>
      <c r="AI50" s="13">
        <f>VLOOKUP(A:A,[1]TDSheet!$A:$AI,35,0)</f>
        <v>0</v>
      </c>
      <c r="AJ50" s="13">
        <f t="shared" si="14"/>
        <v>70</v>
      </c>
      <c r="AK50" s="13"/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12</v>
      </c>
      <c r="C51" s="8">
        <v>53</v>
      </c>
      <c r="D51" s="8">
        <v>929</v>
      </c>
      <c r="E51" s="8">
        <v>830</v>
      </c>
      <c r="F51" s="8">
        <v>125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1302</v>
      </c>
      <c r="K51" s="13">
        <f t="shared" si="10"/>
        <v>-472</v>
      </c>
      <c r="L51" s="13">
        <f>VLOOKUP(A:A,[1]TDSheet!$A:$M,13,0)</f>
        <v>200</v>
      </c>
      <c r="M51" s="13">
        <f>VLOOKUP(A:A,[1]TDSheet!$A:$N,14,0)</f>
        <v>40</v>
      </c>
      <c r="N51" s="13">
        <f>VLOOKUP(A:A,[1]TDSheet!$A:$U,21,0)</f>
        <v>150</v>
      </c>
      <c r="O51" s="13">
        <f>VLOOKUP(A:A,[1]TDSheet!$A:$V,22,0)</f>
        <v>100</v>
      </c>
      <c r="P51" s="13">
        <f>VLOOKUP(A:A,[1]TDSheet!$A:$X,24,0)</f>
        <v>200</v>
      </c>
      <c r="Q51" s="13"/>
      <c r="R51" s="13"/>
      <c r="S51" s="13"/>
      <c r="T51" s="13"/>
      <c r="U51" s="13"/>
      <c r="V51" s="13"/>
      <c r="W51" s="13">
        <f t="shared" si="11"/>
        <v>166</v>
      </c>
      <c r="X51" s="16">
        <v>300</v>
      </c>
      <c r="Y51" s="17">
        <f t="shared" si="12"/>
        <v>6.7168674698795181</v>
      </c>
      <c r="Z51" s="13">
        <f t="shared" si="13"/>
        <v>0.75301204819277112</v>
      </c>
      <c r="AA51" s="13"/>
      <c r="AB51" s="13"/>
      <c r="AC51" s="13"/>
      <c r="AD51" s="13">
        <f>VLOOKUP(A:A,[1]TDSheet!$A:$AD,30,0)</f>
        <v>0</v>
      </c>
      <c r="AE51" s="13">
        <f>VLOOKUP(A:A,[1]TDSheet!$A:$AE,31,0)</f>
        <v>170.2</v>
      </c>
      <c r="AF51" s="13">
        <f>VLOOKUP(A:A,[1]TDSheet!$A:$AF,32,0)</f>
        <v>5.8</v>
      </c>
      <c r="AG51" s="13">
        <f>VLOOKUP(A:A,[1]TDSheet!$A:$AG,33,0)</f>
        <v>130</v>
      </c>
      <c r="AH51" s="13">
        <f>VLOOKUP(A:A,[3]TDSheet!$A:$D,4,0)</f>
        <v>224</v>
      </c>
      <c r="AI51" s="13" t="str">
        <f>VLOOKUP(A:A,[1]TDSheet!$A:$AI,35,0)</f>
        <v>складзавод</v>
      </c>
      <c r="AJ51" s="13">
        <f t="shared" si="14"/>
        <v>120</v>
      </c>
      <c r="AK51" s="13"/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121.367</v>
      </c>
      <c r="D52" s="8">
        <v>309.065</v>
      </c>
      <c r="E52" s="8">
        <v>264.13600000000002</v>
      </c>
      <c r="F52" s="8">
        <v>68.075000000000003</v>
      </c>
      <c r="G52" s="1" t="str">
        <f>VLOOKUP(A:A,[1]TDSheet!$A:$G,7,0)</f>
        <v>оконч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349.63799999999998</v>
      </c>
      <c r="K52" s="13">
        <f t="shared" si="10"/>
        <v>-85.501999999999953</v>
      </c>
      <c r="L52" s="13">
        <f>VLOOKUP(A:A,[1]TDSheet!$A:$M,13,0)</f>
        <v>50</v>
      </c>
      <c r="M52" s="13">
        <f>VLOOKUP(A:A,[1]TDSheet!$A:$N,14,0)</f>
        <v>70</v>
      </c>
      <c r="N52" s="13">
        <f>VLOOKUP(A:A,[1]TDSheet!$A:$U,21,0)</f>
        <v>50</v>
      </c>
      <c r="O52" s="13">
        <f>VLOOKUP(A:A,[1]TDSheet!$A:$V,22,0)</f>
        <v>60</v>
      </c>
      <c r="P52" s="13">
        <f>VLOOKUP(A:A,[1]TDSheet!$A:$X,24,0)</f>
        <v>50</v>
      </c>
      <c r="Q52" s="13"/>
      <c r="R52" s="13"/>
      <c r="S52" s="13"/>
      <c r="T52" s="13"/>
      <c r="U52" s="13"/>
      <c r="V52" s="13"/>
      <c r="W52" s="13">
        <f t="shared" si="11"/>
        <v>52.827200000000005</v>
      </c>
      <c r="X52" s="16">
        <v>50</v>
      </c>
      <c r="Y52" s="17">
        <f t="shared" si="12"/>
        <v>7.5354173607535504</v>
      </c>
      <c r="Z52" s="13">
        <f t="shared" si="13"/>
        <v>1.2886353999454825</v>
      </c>
      <c r="AA52" s="13"/>
      <c r="AB52" s="13"/>
      <c r="AC52" s="13"/>
      <c r="AD52" s="13">
        <f>VLOOKUP(A:A,[1]TDSheet!$A:$AD,30,0)</f>
        <v>0</v>
      </c>
      <c r="AE52" s="13">
        <f>VLOOKUP(A:A,[1]TDSheet!$A:$AE,31,0)</f>
        <v>47.263999999999996</v>
      </c>
      <c r="AF52" s="13">
        <f>VLOOKUP(A:A,[1]TDSheet!$A:$AF,32,0)</f>
        <v>53.483199999999997</v>
      </c>
      <c r="AG52" s="13">
        <f>VLOOKUP(A:A,[1]TDSheet!$A:$AG,33,0)</f>
        <v>49.335599999999999</v>
      </c>
      <c r="AH52" s="13">
        <f>VLOOKUP(A:A,[3]TDSheet!$A:$D,4,0)</f>
        <v>47.08</v>
      </c>
      <c r="AI52" s="13" t="str">
        <f>VLOOKUP(A:A,[1]TDSheet!$A:$AI,35,0)</f>
        <v>увел</v>
      </c>
      <c r="AJ52" s="13">
        <f t="shared" si="14"/>
        <v>50</v>
      </c>
      <c r="AK52" s="13"/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>
        <v>261.13499999999999</v>
      </c>
      <c r="D53" s="8">
        <v>818.69399999999996</v>
      </c>
      <c r="E53" s="8">
        <v>734.44100000000003</v>
      </c>
      <c r="F53" s="8">
        <v>312.14699999999999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823.71699999999998</v>
      </c>
      <c r="K53" s="13">
        <f t="shared" si="10"/>
        <v>-89.275999999999954</v>
      </c>
      <c r="L53" s="13">
        <f>VLOOKUP(A:A,[1]TDSheet!$A:$M,13,0)</f>
        <v>200</v>
      </c>
      <c r="M53" s="13">
        <f>VLOOKUP(A:A,[1]TDSheet!$A:$N,14,0)</f>
        <v>200</v>
      </c>
      <c r="N53" s="13">
        <f>VLOOKUP(A:A,[1]TDSheet!$A:$U,21,0)</f>
        <v>70</v>
      </c>
      <c r="O53" s="13">
        <f>VLOOKUP(A:A,[1]TDSheet!$A:$V,22,0)</f>
        <v>120</v>
      </c>
      <c r="P53" s="13">
        <f>VLOOKUP(A:A,[1]TDSheet!$A:$X,24,0)</f>
        <v>150</v>
      </c>
      <c r="Q53" s="13"/>
      <c r="R53" s="13"/>
      <c r="S53" s="13"/>
      <c r="T53" s="13"/>
      <c r="U53" s="13"/>
      <c r="V53" s="13"/>
      <c r="W53" s="13">
        <f t="shared" si="11"/>
        <v>146.88820000000001</v>
      </c>
      <c r="X53" s="16"/>
      <c r="Y53" s="17">
        <f t="shared" si="12"/>
        <v>7.1629102950407173</v>
      </c>
      <c r="Z53" s="13">
        <f t="shared" si="13"/>
        <v>2.1250651856309761</v>
      </c>
      <c r="AA53" s="13"/>
      <c r="AB53" s="13"/>
      <c r="AC53" s="13"/>
      <c r="AD53" s="13">
        <f>VLOOKUP(A:A,[1]TDSheet!$A:$AD,30,0)</f>
        <v>0</v>
      </c>
      <c r="AE53" s="13">
        <f>VLOOKUP(A:A,[1]TDSheet!$A:$AE,31,0)</f>
        <v>119.06559999999999</v>
      </c>
      <c r="AF53" s="13">
        <f>VLOOKUP(A:A,[1]TDSheet!$A:$AF,32,0)</f>
        <v>136.85139999999998</v>
      </c>
      <c r="AG53" s="13">
        <f>VLOOKUP(A:A,[1]TDSheet!$A:$AG,33,0)</f>
        <v>161.17239999999998</v>
      </c>
      <c r="AH53" s="13">
        <f>VLOOKUP(A:A,[3]TDSheet!$A:$D,4,0)</f>
        <v>76.525999999999996</v>
      </c>
      <c r="AI53" s="13">
        <f>VLOOKUP(A:A,[1]TDSheet!$A:$AI,35,0)</f>
        <v>0</v>
      </c>
      <c r="AJ53" s="13">
        <f t="shared" si="14"/>
        <v>0</v>
      </c>
      <c r="AK53" s="13"/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82.747</v>
      </c>
      <c r="D54" s="8">
        <v>104.084</v>
      </c>
      <c r="E54" s="8">
        <v>52.037999999999997</v>
      </c>
      <c r="F54" s="8">
        <v>11.923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61</v>
      </c>
      <c r="K54" s="13">
        <f t="shared" si="10"/>
        <v>-8.9620000000000033</v>
      </c>
      <c r="L54" s="13">
        <f>VLOOKUP(A:A,[1]TDSheet!$A:$M,13,0)</f>
        <v>10</v>
      </c>
      <c r="M54" s="13">
        <f>VLOOKUP(A:A,[1]TDSheet!$A:$N,14,0)</f>
        <v>10</v>
      </c>
      <c r="N54" s="13">
        <f>VLOOKUP(A:A,[1]TDSheet!$A:$U,21,0)</f>
        <v>0</v>
      </c>
      <c r="O54" s="13">
        <f>VLOOKUP(A:A,[1]TDSheet!$A:$V,22,0)</f>
        <v>10</v>
      </c>
      <c r="P54" s="13">
        <f>VLOOKUP(A:A,[1]TDSheet!$A:$X,24,0)</f>
        <v>10</v>
      </c>
      <c r="Q54" s="13"/>
      <c r="R54" s="13"/>
      <c r="S54" s="13"/>
      <c r="T54" s="13"/>
      <c r="U54" s="13"/>
      <c r="V54" s="13"/>
      <c r="W54" s="13">
        <f t="shared" si="11"/>
        <v>10.407599999999999</v>
      </c>
      <c r="X54" s="16">
        <v>20</v>
      </c>
      <c r="Y54" s="17">
        <f t="shared" si="12"/>
        <v>6.9106230062646539</v>
      </c>
      <c r="Z54" s="13">
        <f t="shared" si="13"/>
        <v>1.1456051347092511</v>
      </c>
      <c r="AA54" s="13"/>
      <c r="AB54" s="13"/>
      <c r="AC54" s="13"/>
      <c r="AD54" s="13">
        <f>VLOOKUP(A:A,[1]TDSheet!$A:$AD,30,0)</f>
        <v>0</v>
      </c>
      <c r="AE54" s="13">
        <f>VLOOKUP(A:A,[1]TDSheet!$A:$AE,31,0)</f>
        <v>15.9054</v>
      </c>
      <c r="AF54" s="13">
        <f>VLOOKUP(A:A,[1]TDSheet!$A:$AF,32,0)</f>
        <v>9.9034000000000013</v>
      </c>
      <c r="AG54" s="13">
        <f>VLOOKUP(A:A,[1]TDSheet!$A:$AG,33,0)</f>
        <v>10.7446</v>
      </c>
      <c r="AH54" s="13">
        <f>VLOOKUP(A:A,[3]TDSheet!$A:$D,4,0)</f>
        <v>19.521999999999998</v>
      </c>
      <c r="AI54" s="13" t="str">
        <f>VLOOKUP(A:A,[1]TDSheet!$A:$AI,35,0)</f>
        <v>склад</v>
      </c>
      <c r="AJ54" s="13">
        <f t="shared" si="14"/>
        <v>20</v>
      </c>
      <c r="AK54" s="13"/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8</v>
      </c>
      <c r="C55" s="8">
        <v>1220.67</v>
      </c>
      <c r="D55" s="8">
        <v>14155.535</v>
      </c>
      <c r="E55" s="8">
        <v>3924.239</v>
      </c>
      <c r="F55" s="8">
        <v>1381.778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3790.6260000000002</v>
      </c>
      <c r="K55" s="13">
        <f t="shared" si="10"/>
        <v>133.61299999999983</v>
      </c>
      <c r="L55" s="13">
        <f>VLOOKUP(A:A,[1]TDSheet!$A:$M,13,0)</f>
        <v>1400</v>
      </c>
      <c r="M55" s="13">
        <f>VLOOKUP(A:A,[1]TDSheet!$A:$N,14,0)</f>
        <v>1200</v>
      </c>
      <c r="N55" s="13">
        <f>VLOOKUP(A:A,[1]TDSheet!$A:$U,21,0)</f>
        <v>400</v>
      </c>
      <c r="O55" s="13">
        <f>VLOOKUP(A:A,[1]TDSheet!$A:$V,22,0)</f>
        <v>600</v>
      </c>
      <c r="P55" s="13">
        <f>VLOOKUP(A:A,[1]TDSheet!$A:$X,24,0)</f>
        <v>1000</v>
      </c>
      <c r="Q55" s="13"/>
      <c r="R55" s="13"/>
      <c r="S55" s="13"/>
      <c r="T55" s="13"/>
      <c r="U55" s="13"/>
      <c r="V55" s="13"/>
      <c r="W55" s="13">
        <f t="shared" si="11"/>
        <v>784.84780000000001</v>
      </c>
      <c r="X55" s="16"/>
      <c r="Y55" s="17">
        <f t="shared" si="12"/>
        <v>7.6215770751985294</v>
      </c>
      <c r="Z55" s="13">
        <f t="shared" si="13"/>
        <v>1.760568099955176</v>
      </c>
      <c r="AA55" s="13"/>
      <c r="AB55" s="13"/>
      <c r="AC55" s="13"/>
      <c r="AD55" s="13">
        <f>VLOOKUP(A:A,[1]TDSheet!$A:$AD,30,0)</f>
        <v>0</v>
      </c>
      <c r="AE55" s="13">
        <f>VLOOKUP(A:A,[1]TDSheet!$A:$AE,31,0)</f>
        <v>748.14139999999998</v>
      </c>
      <c r="AF55" s="13">
        <f>VLOOKUP(A:A,[1]TDSheet!$A:$AF,32,0)</f>
        <v>655.12439999999992</v>
      </c>
      <c r="AG55" s="13">
        <f>VLOOKUP(A:A,[1]TDSheet!$A:$AG,33,0)</f>
        <v>828.63060000000007</v>
      </c>
      <c r="AH55" s="13">
        <f>VLOOKUP(A:A,[3]TDSheet!$A:$D,4,0)</f>
        <v>231.626</v>
      </c>
      <c r="AI55" s="13" t="str">
        <f>VLOOKUP(A:A,[1]TDSheet!$A:$AI,35,0)</f>
        <v>апряб</v>
      </c>
      <c r="AJ55" s="13">
        <f t="shared" si="14"/>
        <v>0</v>
      </c>
      <c r="AK55" s="13"/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1025</v>
      </c>
      <c r="D56" s="8">
        <v>22740</v>
      </c>
      <c r="E56" s="8">
        <v>6083</v>
      </c>
      <c r="F56" s="8">
        <v>114</v>
      </c>
      <c r="G56" s="1" t="str">
        <f>VLOOKUP(A:A,[1]TDSheet!$A:$G,7,0)</f>
        <v>оконч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6864</v>
      </c>
      <c r="K56" s="13">
        <f t="shared" si="10"/>
        <v>-781</v>
      </c>
      <c r="L56" s="13">
        <f>VLOOKUP(A:A,[1]TDSheet!$A:$M,13,0)</f>
        <v>1200</v>
      </c>
      <c r="M56" s="13">
        <f>VLOOKUP(A:A,[1]TDSheet!$A:$N,14,0)</f>
        <v>1000</v>
      </c>
      <c r="N56" s="13">
        <f>VLOOKUP(A:A,[1]TDSheet!$A:$U,21,0)</f>
        <v>600</v>
      </c>
      <c r="O56" s="13">
        <f>VLOOKUP(A:A,[1]TDSheet!$A:$V,22,0)</f>
        <v>800</v>
      </c>
      <c r="P56" s="13">
        <f>VLOOKUP(A:A,[1]TDSheet!$A:$X,24,0)</f>
        <v>700</v>
      </c>
      <c r="Q56" s="13"/>
      <c r="R56" s="13"/>
      <c r="S56" s="13"/>
      <c r="T56" s="13"/>
      <c r="U56" s="13"/>
      <c r="V56" s="13"/>
      <c r="W56" s="13">
        <f t="shared" si="11"/>
        <v>658.6</v>
      </c>
      <c r="X56" s="16">
        <v>500</v>
      </c>
      <c r="Y56" s="17">
        <f t="shared" si="12"/>
        <v>7.4612815062253262</v>
      </c>
      <c r="Z56" s="13">
        <f t="shared" si="13"/>
        <v>0.1730944427573641</v>
      </c>
      <c r="AA56" s="13"/>
      <c r="AB56" s="13"/>
      <c r="AC56" s="13"/>
      <c r="AD56" s="13">
        <f>VLOOKUP(A:A,[1]TDSheet!$A:$AD,30,0)</f>
        <v>2790</v>
      </c>
      <c r="AE56" s="13">
        <f>VLOOKUP(A:A,[1]TDSheet!$A:$AE,31,0)</f>
        <v>447.8</v>
      </c>
      <c r="AF56" s="13">
        <f>VLOOKUP(A:A,[1]TDSheet!$A:$AF,32,0)</f>
        <v>546.79999999999995</v>
      </c>
      <c r="AG56" s="13">
        <f>VLOOKUP(A:A,[1]TDSheet!$A:$AG,33,0)</f>
        <v>619.20000000000005</v>
      </c>
      <c r="AH56" s="13">
        <f>VLOOKUP(A:A,[3]TDSheet!$A:$D,4,0)</f>
        <v>544</v>
      </c>
      <c r="AI56" s="13">
        <f>VLOOKUP(A:A,[1]TDSheet!$A:$AI,35,0)</f>
        <v>0</v>
      </c>
      <c r="AJ56" s="13">
        <f t="shared" si="14"/>
        <v>225</v>
      </c>
      <c r="AK56" s="13"/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2198</v>
      </c>
      <c r="D57" s="8">
        <v>60571</v>
      </c>
      <c r="E57" s="8">
        <v>4114</v>
      </c>
      <c r="F57" s="8">
        <v>1013</v>
      </c>
      <c r="G57" s="1" t="str">
        <f>VLOOKUP(A:A,[1]TDSheet!$A:$G,7,0)</f>
        <v>акяб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4394</v>
      </c>
      <c r="K57" s="13">
        <f t="shared" si="10"/>
        <v>-280</v>
      </c>
      <c r="L57" s="13">
        <f>VLOOKUP(A:A,[1]TDSheet!$A:$M,13,0)</f>
        <v>800</v>
      </c>
      <c r="M57" s="13">
        <f>VLOOKUP(A:A,[1]TDSheet!$A:$N,14,0)</f>
        <v>1000</v>
      </c>
      <c r="N57" s="13">
        <f>VLOOKUP(A:A,[1]TDSheet!$A:$U,21,0)</f>
        <v>600</v>
      </c>
      <c r="O57" s="13">
        <f>VLOOKUP(A:A,[1]TDSheet!$A:$V,22,0)</f>
        <v>800</v>
      </c>
      <c r="P57" s="13">
        <f>VLOOKUP(A:A,[1]TDSheet!$A:$X,24,0)</f>
        <v>900</v>
      </c>
      <c r="Q57" s="13"/>
      <c r="R57" s="13"/>
      <c r="S57" s="13"/>
      <c r="T57" s="13"/>
      <c r="U57" s="13"/>
      <c r="V57" s="13"/>
      <c r="W57" s="13">
        <f t="shared" si="11"/>
        <v>748.8</v>
      </c>
      <c r="X57" s="16">
        <v>300</v>
      </c>
      <c r="Y57" s="17">
        <f t="shared" si="12"/>
        <v>7.2288995726495733</v>
      </c>
      <c r="Z57" s="13">
        <f t="shared" si="13"/>
        <v>1.3528311965811968</v>
      </c>
      <c r="AA57" s="13"/>
      <c r="AB57" s="13"/>
      <c r="AC57" s="13"/>
      <c r="AD57" s="13">
        <f>VLOOKUP(A:A,[1]TDSheet!$A:$AD,30,0)</f>
        <v>370</v>
      </c>
      <c r="AE57" s="13">
        <f>VLOOKUP(A:A,[1]TDSheet!$A:$AE,31,0)</f>
        <v>716.8</v>
      </c>
      <c r="AF57" s="13">
        <f>VLOOKUP(A:A,[1]TDSheet!$A:$AF,32,0)</f>
        <v>740.4</v>
      </c>
      <c r="AG57" s="13">
        <f>VLOOKUP(A:A,[1]TDSheet!$A:$AG,33,0)</f>
        <v>725.4</v>
      </c>
      <c r="AH57" s="13">
        <f>VLOOKUP(A:A,[3]TDSheet!$A:$D,4,0)</f>
        <v>723</v>
      </c>
      <c r="AI57" s="13" t="str">
        <f>VLOOKUP(A:A,[1]TDSheet!$A:$AI,35,0)</f>
        <v>оконч</v>
      </c>
      <c r="AJ57" s="13">
        <f t="shared" si="14"/>
        <v>135</v>
      </c>
      <c r="AK57" s="13"/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588</v>
      </c>
      <c r="D58" s="8">
        <v>1292</v>
      </c>
      <c r="E58" s="8">
        <v>1316</v>
      </c>
      <c r="F58" s="8">
        <v>528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1451</v>
      </c>
      <c r="K58" s="13">
        <f t="shared" si="10"/>
        <v>-135</v>
      </c>
      <c r="L58" s="13">
        <f>VLOOKUP(A:A,[1]TDSheet!$A:$M,13,0)</f>
        <v>300</v>
      </c>
      <c r="M58" s="13">
        <f>VLOOKUP(A:A,[1]TDSheet!$A:$N,14,0)</f>
        <v>300</v>
      </c>
      <c r="N58" s="13">
        <f>VLOOKUP(A:A,[1]TDSheet!$A:$U,21,0)</f>
        <v>200</v>
      </c>
      <c r="O58" s="13">
        <f>VLOOKUP(A:A,[1]TDSheet!$A:$V,22,0)</f>
        <v>400</v>
      </c>
      <c r="P58" s="13">
        <f>VLOOKUP(A:A,[1]TDSheet!$A:$X,24,0)</f>
        <v>200</v>
      </c>
      <c r="Q58" s="13"/>
      <c r="R58" s="13"/>
      <c r="S58" s="13"/>
      <c r="T58" s="13"/>
      <c r="U58" s="13"/>
      <c r="V58" s="13"/>
      <c r="W58" s="13">
        <f t="shared" si="11"/>
        <v>263.2</v>
      </c>
      <c r="X58" s="16"/>
      <c r="Y58" s="17">
        <f t="shared" si="12"/>
        <v>7.3252279635258359</v>
      </c>
      <c r="Z58" s="13">
        <f t="shared" si="13"/>
        <v>2.0060790273556233</v>
      </c>
      <c r="AA58" s="13"/>
      <c r="AB58" s="13"/>
      <c r="AC58" s="13"/>
      <c r="AD58" s="13">
        <f>VLOOKUP(A:A,[1]TDSheet!$A:$AD,30,0)</f>
        <v>0</v>
      </c>
      <c r="AE58" s="13">
        <f>VLOOKUP(A:A,[1]TDSheet!$A:$AE,31,0)</f>
        <v>196.8</v>
      </c>
      <c r="AF58" s="13">
        <f>VLOOKUP(A:A,[1]TDSheet!$A:$AF,32,0)</f>
        <v>222</v>
      </c>
      <c r="AG58" s="13">
        <f>VLOOKUP(A:A,[1]TDSheet!$A:$AG,33,0)</f>
        <v>262.39999999999998</v>
      </c>
      <c r="AH58" s="13">
        <f>VLOOKUP(A:A,[3]TDSheet!$A:$D,4,0)</f>
        <v>156</v>
      </c>
      <c r="AI58" s="13" t="str">
        <f>VLOOKUP(A:A,[1]TDSheet!$A:$AI,35,0)</f>
        <v>апряб</v>
      </c>
      <c r="AJ58" s="13">
        <f t="shared" si="14"/>
        <v>0</v>
      </c>
      <c r="AK58" s="13"/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405</v>
      </c>
      <c r="D59" s="8">
        <v>1270</v>
      </c>
      <c r="E59" s="8">
        <v>396</v>
      </c>
      <c r="F59" s="8">
        <v>123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438</v>
      </c>
      <c r="K59" s="13">
        <f t="shared" si="10"/>
        <v>-42</v>
      </c>
      <c r="L59" s="13">
        <f>VLOOKUP(A:A,[1]TDSheet!$A:$M,13,0)</f>
        <v>30</v>
      </c>
      <c r="M59" s="13">
        <f>VLOOKUP(A:A,[1]TDSheet!$A:$N,14,0)</f>
        <v>110</v>
      </c>
      <c r="N59" s="13">
        <f>VLOOKUP(A:A,[1]TDSheet!$A:$U,21,0)</f>
        <v>50</v>
      </c>
      <c r="O59" s="13">
        <f>VLOOKUP(A:A,[1]TDSheet!$A:$V,22,0)</f>
        <v>100</v>
      </c>
      <c r="P59" s="13">
        <f>VLOOKUP(A:A,[1]TDSheet!$A:$X,24,0)</f>
        <v>90</v>
      </c>
      <c r="Q59" s="13"/>
      <c r="R59" s="13"/>
      <c r="S59" s="13"/>
      <c r="T59" s="13"/>
      <c r="U59" s="13"/>
      <c r="V59" s="13"/>
      <c r="W59" s="13">
        <f t="shared" si="11"/>
        <v>79.2</v>
      </c>
      <c r="X59" s="16">
        <v>50</v>
      </c>
      <c r="Y59" s="17">
        <f t="shared" si="12"/>
        <v>6.9823232323232318</v>
      </c>
      <c r="Z59" s="13">
        <f t="shared" si="13"/>
        <v>1.553030303030303</v>
      </c>
      <c r="AA59" s="13"/>
      <c r="AB59" s="13"/>
      <c r="AC59" s="13"/>
      <c r="AD59" s="13">
        <f>VLOOKUP(A:A,[1]TDSheet!$A:$AD,30,0)</f>
        <v>0</v>
      </c>
      <c r="AE59" s="13">
        <f>VLOOKUP(A:A,[1]TDSheet!$A:$AE,31,0)</f>
        <v>73.2</v>
      </c>
      <c r="AF59" s="13">
        <f>VLOOKUP(A:A,[1]TDSheet!$A:$AF,32,0)</f>
        <v>98.6</v>
      </c>
      <c r="AG59" s="13">
        <f>VLOOKUP(A:A,[1]TDSheet!$A:$AG,33,0)</f>
        <v>75.8</v>
      </c>
      <c r="AH59" s="13">
        <f>VLOOKUP(A:A,[3]TDSheet!$A:$D,4,0)</f>
        <v>98</v>
      </c>
      <c r="AI59" s="13" t="e">
        <f>VLOOKUP(A:A,[1]TDSheet!$A:$AI,35,0)</f>
        <v>#N/A</v>
      </c>
      <c r="AJ59" s="13">
        <f t="shared" si="14"/>
        <v>20</v>
      </c>
      <c r="AK59" s="13"/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12</v>
      </c>
      <c r="C60" s="8">
        <v>260</v>
      </c>
      <c r="D60" s="8">
        <v>1222</v>
      </c>
      <c r="E60" s="8">
        <v>294</v>
      </c>
      <c r="F60" s="8">
        <v>212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381</v>
      </c>
      <c r="K60" s="13">
        <f t="shared" si="10"/>
        <v>-87</v>
      </c>
      <c r="L60" s="13">
        <f>VLOOKUP(A:A,[1]TDSheet!$A:$M,13,0)</f>
        <v>30</v>
      </c>
      <c r="M60" s="13">
        <f>VLOOKUP(A:A,[1]TDSheet!$A:$N,14,0)</f>
        <v>100</v>
      </c>
      <c r="N60" s="13">
        <f>VLOOKUP(A:A,[1]TDSheet!$A:$U,21,0)</f>
        <v>0</v>
      </c>
      <c r="O60" s="13">
        <f>VLOOKUP(A:A,[1]TDSheet!$A:$V,22,0)</f>
        <v>50</v>
      </c>
      <c r="P60" s="13">
        <f>VLOOKUP(A:A,[1]TDSheet!$A:$X,24,0)</f>
        <v>70</v>
      </c>
      <c r="Q60" s="13"/>
      <c r="R60" s="13"/>
      <c r="S60" s="13"/>
      <c r="T60" s="13"/>
      <c r="U60" s="13"/>
      <c r="V60" s="13"/>
      <c r="W60" s="13">
        <f t="shared" si="11"/>
        <v>58.8</v>
      </c>
      <c r="X60" s="16"/>
      <c r="Y60" s="17">
        <f t="shared" si="12"/>
        <v>7.8571428571428577</v>
      </c>
      <c r="Z60" s="13">
        <f t="shared" si="13"/>
        <v>3.6054421768707483</v>
      </c>
      <c r="AA60" s="13"/>
      <c r="AB60" s="13"/>
      <c r="AC60" s="13"/>
      <c r="AD60" s="13">
        <f>VLOOKUP(A:A,[1]TDSheet!$A:$AD,30,0)</f>
        <v>0</v>
      </c>
      <c r="AE60" s="13">
        <f>VLOOKUP(A:A,[1]TDSheet!$A:$AE,31,0)</f>
        <v>65.400000000000006</v>
      </c>
      <c r="AF60" s="13">
        <f>VLOOKUP(A:A,[1]TDSheet!$A:$AF,32,0)</f>
        <v>81</v>
      </c>
      <c r="AG60" s="13">
        <f>VLOOKUP(A:A,[1]TDSheet!$A:$AG,33,0)</f>
        <v>67.599999999999994</v>
      </c>
      <c r="AH60" s="13">
        <f>VLOOKUP(A:A,[3]TDSheet!$A:$D,4,0)</f>
        <v>49</v>
      </c>
      <c r="AI60" s="13" t="e">
        <f>VLOOKUP(A:A,[1]TDSheet!$A:$AI,35,0)</f>
        <v>#N/A</v>
      </c>
      <c r="AJ60" s="13">
        <f t="shared" si="14"/>
        <v>0</v>
      </c>
      <c r="AK60" s="13"/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8</v>
      </c>
      <c r="C61" s="8">
        <v>280.34899999999999</v>
      </c>
      <c r="D61" s="8">
        <v>1720.7940000000001</v>
      </c>
      <c r="E61" s="8">
        <v>940.24199999999996</v>
      </c>
      <c r="F61" s="8">
        <v>572.35500000000002</v>
      </c>
      <c r="G61" s="1" t="str">
        <f>VLOOKUP(A:A,[1]TDSheet!$A:$G,7,0)</f>
        <v>оконч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1240.739</v>
      </c>
      <c r="K61" s="13">
        <f t="shared" si="10"/>
        <v>-300.49700000000007</v>
      </c>
      <c r="L61" s="13">
        <f>VLOOKUP(A:A,[1]TDSheet!$A:$M,13,0)</f>
        <v>200</v>
      </c>
      <c r="M61" s="13">
        <f>VLOOKUP(A:A,[1]TDSheet!$A:$N,14,0)</f>
        <v>320</v>
      </c>
      <c r="N61" s="13">
        <f>VLOOKUP(A:A,[1]TDSheet!$A:$U,21,0)</f>
        <v>0</v>
      </c>
      <c r="O61" s="13">
        <f>VLOOKUP(A:A,[1]TDSheet!$A:$V,22,0)</f>
        <v>100</v>
      </c>
      <c r="P61" s="13">
        <f>VLOOKUP(A:A,[1]TDSheet!$A:$X,24,0)</f>
        <v>200</v>
      </c>
      <c r="Q61" s="13"/>
      <c r="R61" s="13"/>
      <c r="S61" s="13"/>
      <c r="T61" s="13"/>
      <c r="U61" s="13"/>
      <c r="V61" s="13"/>
      <c r="W61" s="13">
        <f t="shared" si="11"/>
        <v>188.04839999999999</v>
      </c>
      <c r="X61" s="16"/>
      <c r="Y61" s="17">
        <f t="shared" si="12"/>
        <v>7.4042374197281129</v>
      </c>
      <c r="Z61" s="13">
        <f t="shared" si="13"/>
        <v>3.0436579093467429</v>
      </c>
      <c r="AA61" s="13"/>
      <c r="AB61" s="13"/>
      <c r="AC61" s="13"/>
      <c r="AD61" s="13">
        <f>VLOOKUP(A:A,[1]TDSheet!$A:$AD,30,0)</f>
        <v>0</v>
      </c>
      <c r="AE61" s="13">
        <f>VLOOKUP(A:A,[1]TDSheet!$A:$AE,31,0)</f>
        <v>148.19999999999999</v>
      </c>
      <c r="AF61" s="13">
        <f>VLOOKUP(A:A,[1]TDSheet!$A:$AF,32,0)</f>
        <v>167.56</v>
      </c>
      <c r="AG61" s="13">
        <f>VLOOKUP(A:A,[1]TDSheet!$A:$AG,33,0)</f>
        <v>222.09399999999999</v>
      </c>
      <c r="AH61" s="13">
        <f>VLOOKUP(A:A,[3]TDSheet!$A:$D,4,0)</f>
        <v>125.218</v>
      </c>
      <c r="AI61" s="13">
        <f>VLOOKUP(A:A,[1]TDSheet!$A:$AI,35,0)</f>
        <v>0</v>
      </c>
      <c r="AJ61" s="13">
        <f t="shared" si="14"/>
        <v>0</v>
      </c>
      <c r="AK61" s="13"/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12</v>
      </c>
      <c r="C62" s="8">
        <v>1207</v>
      </c>
      <c r="D62" s="8">
        <v>736</v>
      </c>
      <c r="E62" s="8">
        <v>287</v>
      </c>
      <c r="F62" s="8">
        <v>922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301</v>
      </c>
      <c r="K62" s="13">
        <f t="shared" si="10"/>
        <v>-14</v>
      </c>
      <c r="L62" s="13">
        <f>VLOOKUP(A:A,[1]TDSheet!$A:$M,13,0)</f>
        <v>0</v>
      </c>
      <c r="M62" s="13">
        <f>VLOOKUP(A:A,[1]TDSheet!$A:$N,14,0)</f>
        <v>0</v>
      </c>
      <c r="N62" s="13">
        <f>VLOOKUP(A:A,[1]TDSheet!$A:$U,21,0)</f>
        <v>0</v>
      </c>
      <c r="O62" s="13">
        <f>VLOOKUP(A:A,[1]TDSheet!$A:$V,22,0)</f>
        <v>0</v>
      </c>
      <c r="P62" s="13">
        <f>VLOOKUP(A:A,[1]TDSheet!$A:$X,24,0)</f>
        <v>0</v>
      </c>
      <c r="Q62" s="13"/>
      <c r="R62" s="13"/>
      <c r="S62" s="13"/>
      <c r="T62" s="13"/>
      <c r="U62" s="13"/>
      <c r="V62" s="13"/>
      <c r="W62" s="13">
        <f t="shared" si="11"/>
        <v>57.4</v>
      </c>
      <c r="X62" s="16"/>
      <c r="Y62" s="17">
        <f t="shared" si="12"/>
        <v>16.062717770034844</v>
      </c>
      <c r="Z62" s="13">
        <f t="shared" si="13"/>
        <v>16.062717770034844</v>
      </c>
      <c r="AA62" s="13"/>
      <c r="AB62" s="13"/>
      <c r="AC62" s="13"/>
      <c r="AD62" s="13">
        <f>VLOOKUP(A:A,[1]TDSheet!$A:$AD,30,0)</f>
        <v>0</v>
      </c>
      <c r="AE62" s="13">
        <f>VLOOKUP(A:A,[1]TDSheet!$A:$AE,31,0)</f>
        <v>46.8</v>
      </c>
      <c r="AF62" s="13">
        <f>VLOOKUP(A:A,[1]TDSheet!$A:$AF,32,0)</f>
        <v>88.6</v>
      </c>
      <c r="AG62" s="13">
        <f>VLOOKUP(A:A,[1]TDSheet!$A:$AG,33,0)</f>
        <v>69.8</v>
      </c>
      <c r="AH62" s="13">
        <f>VLOOKUP(A:A,[3]TDSheet!$A:$D,4,0)</f>
        <v>90</v>
      </c>
      <c r="AI62" s="13" t="e">
        <f>VLOOKUP(A:A,[1]TDSheet!$A:$AI,35,0)</f>
        <v>#N/A</v>
      </c>
      <c r="AJ62" s="13">
        <f t="shared" si="14"/>
        <v>0</v>
      </c>
      <c r="AK62" s="13"/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8</v>
      </c>
      <c r="C63" s="8">
        <v>243.62100000000001</v>
      </c>
      <c r="D63" s="8">
        <v>61.942999999999998</v>
      </c>
      <c r="E63" s="8">
        <v>200.749</v>
      </c>
      <c r="F63" s="8">
        <v>74.106999999999999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300.74799999999999</v>
      </c>
      <c r="K63" s="13">
        <f t="shared" si="10"/>
        <v>-99.998999999999995</v>
      </c>
      <c r="L63" s="13">
        <f>VLOOKUP(A:A,[1]TDSheet!$A:$M,13,0)</f>
        <v>100</v>
      </c>
      <c r="M63" s="13">
        <f>VLOOKUP(A:A,[1]TDSheet!$A:$N,14,0)</f>
        <v>60</v>
      </c>
      <c r="N63" s="13">
        <f>VLOOKUP(A:A,[1]TDSheet!$A:$U,21,0)</f>
        <v>0</v>
      </c>
      <c r="O63" s="13">
        <f>VLOOKUP(A:A,[1]TDSheet!$A:$V,22,0)</f>
        <v>80</v>
      </c>
      <c r="P63" s="13">
        <f>VLOOKUP(A:A,[1]TDSheet!$A:$X,24,0)</f>
        <v>50</v>
      </c>
      <c r="Q63" s="13"/>
      <c r="R63" s="13"/>
      <c r="S63" s="13"/>
      <c r="T63" s="13"/>
      <c r="U63" s="13"/>
      <c r="V63" s="13"/>
      <c r="W63" s="13">
        <f t="shared" si="11"/>
        <v>40.149799999999999</v>
      </c>
      <c r="X63" s="16"/>
      <c r="Y63" s="17">
        <f t="shared" si="12"/>
        <v>9.0687126710469279</v>
      </c>
      <c r="Z63" s="13">
        <f t="shared" si="13"/>
        <v>1.8457626189918754</v>
      </c>
      <c r="AA63" s="13"/>
      <c r="AB63" s="13"/>
      <c r="AC63" s="13"/>
      <c r="AD63" s="13">
        <f>VLOOKUP(A:A,[1]TDSheet!$A:$AD,30,0)</f>
        <v>0</v>
      </c>
      <c r="AE63" s="13">
        <f>VLOOKUP(A:A,[1]TDSheet!$A:$AE,31,0)</f>
        <v>39.630200000000002</v>
      </c>
      <c r="AF63" s="13">
        <f>VLOOKUP(A:A,[1]TDSheet!$A:$AF,32,0)</f>
        <v>38.0794</v>
      </c>
      <c r="AG63" s="13">
        <f>VLOOKUP(A:A,[1]TDSheet!$A:$AG,33,0)</f>
        <v>50.447600000000001</v>
      </c>
      <c r="AH63" s="13">
        <f>VLOOKUP(A:A,[3]TDSheet!$A:$D,4,0)</f>
        <v>5.5579999999999998</v>
      </c>
      <c r="AI63" s="13" t="str">
        <f>VLOOKUP(A:A,[1]TDSheet!$A:$AI,35,0)</f>
        <v>склад</v>
      </c>
      <c r="AJ63" s="13">
        <f t="shared" si="14"/>
        <v>0</v>
      </c>
      <c r="AK63" s="13"/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8</v>
      </c>
      <c r="C64" s="8">
        <v>20.038</v>
      </c>
      <c r="D64" s="8">
        <v>4.1280000000000001</v>
      </c>
      <c r="E64" s="8">
        <v>0</v>
      </c>
      <c r="F64" s="8"/>
      <c r="G64" s="1" t="str">
        <f>VLOOKUP(A:A,[1]TDSheet!$A:$G,7,0)</f>
        <v>выв0502</v>
      </c>
      <c r="H64" s="1">
        <f>VLOOKUP(A:A,[1]TDSheet!$A:$H,8,0)</f>
        <v>0</v>
      </c>
      <c r="I64" s="1" t="e">
        <f>VLOOKUP(A:A,[1]TDSheet!$A:$I,9,0)</f>
        <v>#N/A</v>
      </c>
      <c r="J64" s="13">
        <f>VLOOKUP(A:A,[2]TDSheet!$A:$F,6,0)</f>
        <v>3.95</v>
      </c>
      <c r="K64" s="13">
        <f t="shared" si="10"/>
        <v>-3.95</v>
      </c>
      <c r="L64" s="13">
        <f>VLOOKUP(A:A,[1]TDSheet!$A:$M,13,0)</f>
        <v>0</v>
      </c>
      <c r="M64" s="13">
        <f>VLOOKUP(A:A,[1]TDSheet!$A:$N,14,0)</f>
        <v>0</v>
      </c>
      <c r="N64" s="13">
        <f>VLOOKUP(A:A,[1]TDSheet!$A:$U,21,0)</f>
        <v>0</v>
      </c>
      <c r="O64" s="13">
        <f>VLOOKUP(A:A,[1]TDSheet!$A:$V,22,0)</f>
        <v>0</v>
      </c>
      <c r="P64" s="13">
        <f>VLOOKUP(A:A,[1]TDSheet!$A:$X,24,0)</f>
        <v>0</v>
      </c>
      <c r="Q64" s="13"/>
      <c r="R64" s="13"/>
      <c r="S64" s="13"/>
      <c r="T64" s="13"/>
      <c r="U64" s="13"/>
      <c r="V64" s="13"/>
      <c r="W64" s="13">
        <f t="shared" si="11"/>
        <v>0</v>
      </c>
      <c r="X64" s="16"/>
      <c r="Y64" s="17" t="e">
        <f t="shared" si="12"/>
        <v>#DIV/0!</v>
      </c>
      <c r="Z64" s="13" t="e">
        <f t="shared" si="13"/>
        <v>#DIV/0!</v>
      </c>
      <c r="AA64" s="13"/>
      <c r="AB64" s="13"/>
      <c r="AC64" s="13"/>
      <c r="AD64" s="13">
        <f>VLOOKUP(A:A,[1]TDSheet!$A:$AD,30,0)</f>
        <v>0</v>
      </c>
      <c r="AE64" s="13">
        <f>VLOOKUP(A:A,[1]TDSheet!$A:$AE,31,0)</f>
        <v>0</v>
      </c>
      <c r="AF64" s="13">
        <f>VLOOKUP(A:A,[1]TDSheet!$A:$AF,32,0)</f>
        <v>0</v>
      </c>
      <c r="AG64" s="13">
        <f>VLOOKUP(A:A,[1]TDSheet!$A:$AG,33,0)</f>
        <v>0</v>
      </c>
      <c r="AH64" s="13">
        <v>0</v>
      </c>
      <c r="AI64" s="13" t="str">
        <f>VLOOKUP(A:A,[1]TDSheet!$A:$AI,35,0)</f>
        <v>увел</v>
      </c>
      <c r="AJ64" s="13">
        <f t="shared" si="14"/>
        <v>0</v>
      </c>
      <c r="AK64" s="13"/>
      <c r="AL64" s="13"/>
      <c r="AM64" s="13"/>
    </row>
    <row r="65" spans="1:39" s="1" customFormat="1" ht="11.1" customHeight="1" outlineLevel="1" x14ac:dyDescent="0.2">
      <c r="A65" s="7" t="s">
        <v>68</v>
      </c>
      <c r="B65" s="7" t="s">
        <v>12</v>
      </c>
      <c r="C65" s="8">
        <v>1200</v>
      </c>
      <c r="D65" s="8">
        <v>3098</v>
      </c>
      <c r="E65" s="8">
        <v>3628</v>
      </c>
      <c r="F65" s="8">
        <v>558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3804</v>
      </c>
      <c r="K65" s="13">
        <f t="shared" si="10"/>
        <v>-176</v>
      </c>
      <c r="L65" s="13">
        <f>VLOOKUP(A:A,[1]TDSheet!$A:$M,13,0)</f>
        <v>600</v>
      </c>
      <c r="M65" s="13">
        <f>VLOOKUP(A:A,[1]TDSheet!$A:$N,14,0)</f>
        <v>800</v>
      </c>
      <c r="N65" s="13">
        <f>VLOOKUP(A:A,[1]TDSheet!$A:$U,21,0)</f>
        <v>300</v>
      </c>
      <c r="O65" s="13">
        <f>VLOOKUP(A:A,[1]TDSheet!$A:$V,22,0)</f>
        <v>1000</v>
      </c>
      <c r="P65" s="13">
        <f>VLOOKUP(A:A,[1]TDSheet!$A:$X,24,0)</f>
        <v>700</v>
      </c>
      <c r="Q65" s="13"/>
      <c r="R65" s="13"/>
      <c r="S65" s="13"/>
      <c r="T65" s="13"/>
      <c r="U65" s="13"/>
      <c r="V65" s="13"/>
      <c r="W65" s="13">
        <f t="shared" si="11"/>
        <v>584</v>
      </c>
      <c r="X65" s="16">
        <v>300</v>
      </c>
      <c r="Y65" s="17">
        <f t="shared" si="12"/>
        <v>7.2910958904109586</v>
      </c>
      <c r="Z65" s="13">
        <f t="shared" si="13"/>
        <v>0.95547945205479456</v>
      </c>
      <c r="AA65" s="13"/>
      <c r="AB65" s="13"/>
      <c r="AC65" s="13"/>
      <c r="AD65" s="13">
        <f>VLOOKUP(A:A,[1]TDSheet!$A:$AD,30,0)</f>
        <v>708</v>
      </c>
      <c r="AE65" s="13">
        <f>VLOOKUP(A:A,[1]TDSheet!$A:$AE,31,0)</f>
        <v>441.6</v>
      </c>
      <c r="AF65" s="13">
        <f>VLOOKUP(A:A,[1]TDSheet!$A:$AF,32,0)</f>
        <v>505.6</v>
      </c>
      <c r="AG65" s="13">
        <f>VLOOKUP(A:A,[1]TDSheet!$A:$AG,33,0)</f>
        <v>537.6</v>
      </c>
      <c r="AH65" s="13">
        <f>VLOOKUP(A:A,[3]TDSheet!$A:$D,4,0)</f>
        <v>455</v>
      </c>
      <c r="AI65" s="13">
        <f>VLOOKUP(A:A,[1]TDSheet!$A:$AI,35,0)</f>
        <v>0</v>
      </c>
      <c r="AJ65" s="13">
        <f t="shared" si="14"/>
        <v>120</v>
      </c>
      <c r="AK65" s="13"/>
      <c r="AL65" s="13"/>
      <c r="AM65" s="13"/>
    </row>
    <row r="66" spans="1:39" s="1" customFormat="1" ht="11.1" customHeight="1" outlineLevel="1" x14ac:dyDescent="0.2">
      <c r="A66" s="7" t="s">
        <v>69</v>
      </c>
      <c r="B66" s="7" t="s">
        <v>12</v>
      </c>
      <c r="C66" s="8">
        <v>381</v>
      </c>
      <c r="D66" s="8">
        <v>8694</v>
      </c>
      <c r="E66" s="8">
        <v>1653</v>
      </c>
      <c r="F66" s="8">
        <v>108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3">
        <f>VLOOKUP(A:A,[2]TDSheet!$A:$F,6,0)</f>
        <v>2924</v>
      </c>
      <c r="K66" s="13">
        <f t="shared" si="10"/>
        <v>-1271</v>
      </c>
      <c r="L66" s="13">
        <f>VLOOKUP(A:A,[1]TDSheet!$A:$M,13,0)</f>
        <v>700</v>
      </c>
      <c r="M66" s="13">
        <f>VLOOKUP(A:A,[1]TDSheet!$A:$N,14,0)</f>
        <v>600</v>
      </c>
      <c r="N66" s="13">
        <f>VLOOKUP(A:A,[1]TDSheet!$A:$U,21,0)</f>
        <v>200</v>
      </c>
      <c r="O66" s="13">
        <f>VLOOKUP(A:A,[1]TDSheet!$A:$V,22,0)</f>
        <v>400</v>
      </c>
      <c r="P66" s="13">
        <f>VLOOKUP(A:A,[1]TDSheet!$A:$X,24,0)</f>
        <v>600</v>
      </c>
      <c r="Q66" s="13"/>
      <c r="R66" s="13"/>
      <c r="S66" s="13"/>
      <c r="T66" s="13"/>
      <c r="U66" s="13"/>
      <c r="V66" s="13"/>
      <c r="W66" s="13">
        <f t="shared" si="11"/>
        <v>330.6</v>
      </c>
      <c r="X66" s="16">
        <v>200</v>
      </c>
      <c r="Y66" s="17">
        <f t="shared" si="12"/>
        <v>8.4936479128856615</v>
      </c>
      <c r="Z66" s="13">
        <f t="shared" si="13"/>
        <v>0.32667876588021777</v>
      </c>
      <c r="AA66" s="13"/>
      <c r="AB66" s="13"/>
      <c r="AC66" s="13"/>
      <c r="AD66" s="13">
        <f>VLOOKUP(A:A,[1]TDSheet!$A:$AD,30,0)</f>
        <v>0</v>
      </c>
      <c r="AE66" s="13">
        <f>VLOOKUP(A:A,[1]TDSheet!$A:$AE,31,0)</f>
        <v>380.2</v>
      </c>
      <c r="AF66" s="13">
        <f>VLOOKUP(A:A,[1]TDSheet!$A:$AF,32,0)</f>
        <v>428</v>
      </c>
      <c r="AG66" s="13">
        <f>VLOOKUP(A:A,[1]TDSheet!$A:$AG,33,0)</f>
        <v>264.8</v>
      </c>
      <c r="AH66" s="13">
        <f>VLOOKUP(A:A,[3]TDSheet!$A:$D,4,0)</f>
        <v>224</v>
      </c>
      <c r="AI66" s="13">
        <f>VLOOKUP(A:A,[1]TDSheet!$A:$AI,35,0)</f>
        <v>0</v>
      </c>
      <c r="AJ66" s="13">
        <f t="shared" si="14"/>
        <v>80</v>
      </c>
      <c r="AK66" s="13"/>
      <c r="AL66" s="13"/>
      <c r="AM66" s="13"/>
    </row>
    <row r="67" spans="1:39" s="1" customFormat="1" ht="21.95" customHeight="1" outlineLevel="1" x14ac:dyDescent="0.2">
      <c r="A67" s="7" t="s">
        <v>70</v>
      </c>
      <c r="B67" s="7" t="s">
        <v>8</v>
      </c>
      <c r="C67" s="8">
        <v>354.822</v>
      </c>
      <c r="D67" s="8">
        <v>386.65100000000001</v>
      </c>
      <c r="E67" s="8">
        <v>697.04</v>
      </c>
      <c r="F67" s="8">
        <v>20.448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718.02300000000002</v>
      </c>
      <c r="K67" s="13">
        <f t="shared" si="10"/>
        <v>-20.983000000000061</v>
      </c>
      <c r="L67" s="13">
        <f>VLOOKUP(A:A,[1]TDSheet!$A:$M,13,0)</f>
        <v>120</v>
      </c>
      <c r="M67" s="13">
        <f>VLOOKUP(A:A,[1]TDSheet!$A:$N,14,0)</f>
        <v>160</v>
      </c>
      <c r="N67" s="13">
        <f>VLOOKUP(A:A,[1]TDSheet!$A:$U,21,0)</f>
        <v>150</v>
      </c>
      <c r="O67" s="13">
        <f>VLOOKUP(A:A,[1]TDSheet!$A:$V,22,0)</f>
        <v>250</v>
      </c>
      <c r="P67" s="13">
        <f>VLOOKUP(A:A,[1]TDSheet!$A:$X,24,0)</f>
        <v>150</v>
      </c>
      <c r="Q67" s="13"/>
      <c r="R67" s="13"/>
      <c r="S67" s="13"/>
      <c r="T67" s="13"/>
      <c r="U67" s="13"/>
      <c r="V67" s="13"/>
      <c r="W67" s="13">
        <f t="shared" si="11"/>
        <v>139.40799999999999</v>
      </c>
      <c r="X67" s="16">
        <v>120</v>
      </c>
      <c r="Y67" s="17">
        <f t="shared" si="12"/>
        <v>6.9612073912544483</v>
      </c>
      <c r="Z67" s="13">
        <f t="shared" si="13"/>
        <v>0.1466773786296339</v>
      </c>
      <c r="AA67" s="13"/>
      <c r="AB67" s="13"/>
      <c r="AC67" s="13"/>
      <c r="AD67" s="13">
        <f>VLOOKUP(A:A,[1]TDSheet!$A:$AD,30,0)</f>
        <v>0</v>
      </c>
      <c r="AE67" s="13">
        <f>VLOOKUP(A:A,[1]TDSheet!$A:$AE,31,0)</f>
        <v>92.891800000000003</v>
      </c>
      <c r="AF67" s="13">
        <f>VLOOKUP(A:A,[1]TDSheet!$A:$AF,32,0)</f>
        <v>116.42319999999999</v>
      </c>
      <c r="AG67" s="13">
        <f>VLOOKUP(A:A,[1]TDSheet!$A:$AG,33,0)</f>
        <v>109.62260000000001</v>
      </c>
      <c r="AH67" s="13">
        <f>VLOOKUP(A:A,[3]TDSheet!$A:$D,4,0)</f>
        <v>147.12</v>
      </c>
      <c r="AI67" s="13" t="e">
        <f>VLOOKUP(A:A,[1]TDSheet!$A:$AI,35,0)</f>
        <v>#N/A</v>
      </c>
      <c r="AJ67" s="13">
        <f t="shared" si="14"/>
        <v>120</v>
      </c>
      <c r="AK67" s="13"/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220.82599999999999</v>
      </c>
      <c r="D68" s="8">
        <v>181.928</v>
      </c>
      <c r="E68" s="8">
        <v>319.77300000000002</v>
      </c>
      <c r="F68" s="8">
        <v>75.658000000000001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328.37599999999998</v>
      </c>
      <c r="K68" s="13">
        <f t="shared" si="10"/>
        <v>-8.6029999999999518</v>
      </c>
      <c r="L68" s="13">
        <f>VLOOKUP(A:A,[1]TDSheet!$A:$M,13,0)</f>
        <v>60</v>
      </c>
      <c r="M68" s="13">
        <f>VLOOKUP(A:A,[1]TDSheet!$A:$N,14,0)</f>
        <v>80</v>
      </c>
      <c r="N68" s="13">
        <f>VLOOKUP(A:A,[1]TDSheet!$A:$U,21,0)</f>
        <v>60</v>
      </c>
      <c r="O68" s="13">
        <f>VLOOKUP(A:A,[1]TDSheet!$A:$V,22,0)</f>
        <v>60</v>
      </c>
      <c r="P68" s="13">
        <f>VLOOKUP(A:A,[1]TDSheet!$A:$X,24,0)</f>
        <v>80</v>
      </c>
      <c r="Q68" s="13"/>
      <c r="R68" s="13"/>
      <c r="S68" s="13"/>
      <c r="T68" s="13"/>
      <c r="U68" s="13"/>
      <c r="V68" s="13"/>
      <c r="W68" s="13">
        <f t="shared" si="11"/>
        <v>63.954600000000006</v>
      </c>
      <c r="X68" s="16">
        <v>30</v>
      </c>
      <c r="Y68" s="17">
        <f t="shared" si="12"/>
        <v>6.9683494228718494</v>
      </c>
      <c r="Z68" s="13">
        <f t="shared" si="13"/>
        <v>1.1829954373883973</v>
      </c>
      <c r="AA68" s="13"/>
      <c r="AB68" s="13"/>
      <c r="AC68" s="13"/>
      <c r="AD68" s="13">
        <f>VLOOKUP(A:A,[1]TDSheet!$A:$AD,30,0)</f>
        <v>0</v>
      </c>
      <c r="AE68" s="13">
        <f>VLOOKUP(A:A,[1]TDSheet!$A:$AE,31,0)</f>
        <v>55.431200000000004</v>
      </c>
      <c r="AF68" s="13">
        <f>VLOOKUP(A:A,[1]TDSheet!$A:$AF,32,0)</f>
        <v>61.742999999999995</v>
      </c>
      <c r="AG68" s="13">
        <f>VLOOKUP(A:A,[1]TDSheet!$A:$AG,33,0)</f>
        <v>59.354200000000006</v>
      </c>
      <c r="AH68" s="13">
        <f>VLOOKUP(A:A,[3]TDSheet!$A:$D,4,0)</f>
        <v>71.745999999999995</v>
      </c>
      <c r="AI68" s="13" t="e">
        <f>VLOOKUP(A:A,[1]TDSheet!$A:$AI,35,0)</f>
        <v>#N/A</v>
      </c>
      <c r="AJ68" s="13">
        <f t="shared" si="14"/>
        <v>30</v>
      </c>
      <c r="AK68" s="13"/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343.67200000000003</v>
      </c>
      <c r="D69" s="8">
        <v>591.86300000000006</v>
      </c>
      <c r="E69" s="8">
        <v>839.84900000000005</v>
      </c>
      <c r="F69" s="8">
        <v>75.48</v>
      </c>
      <c r="G69" s="1" t="str">
        <f>VLOOKUP(A:A,[1]TDSheet!$A:$G,7,0)</f>
        <v>ябл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862.649</v>
      </c>
      <c r="K69" s="13">
        <f t="shared" si="10"/>
        <v>-22.799999999999955</v>
      </c>
      <c r="L69" s="13">
        <f>VLOOKUP(A:A,[1]TDSheet!$A:$M,13,0)</f>
        <v>60</v>
      </c>
      <c r="M69" s="13">
        <f>VLOOKUP(A:A,[1]TDSheet!$A:$N,14,0)</f>
        <v>190</v>
      </c>
      <c r="N69" s="13">
        <f>VLOOKUP(A:A,[1]TDSheet!$A:$U,21,0)</f>
        <v>250</v>
      </c>
      <c r="O69" s="13">
        <f>VLOOKUP(A:A,[1]TDSheet!$A:$V,22,0)</f>
        <v>300</v>
      </c>
      <c r="P69" s="13">
        <f>VLOOKUP(A:A,[1]TDSheet!$A:$X,24,0)</f>
        <v>220</v>
      </c>
      <c r="Q69" s="13"/>
      <c r="R69" s="13"/>
      <c r="S69" s="13"/>
      <c r="T69" s="13"/>
      <c r="U69" s="13"/>
      <c r="V69" s="13"/>
      <c r="W69" s="13">
        <f t="shared" si="11"/>
        <v>167.96980000000002</v>
      </c>
      <c r="X69" s="16">
        <v>80</v>
      </c>
      <c r="Y69" s="17">
        <f t="shared" si="12"/>
        <v>6.9981627649732268</v>
      </c>
      <c r="Z69" s="13">
        <f t="shared" si="13"/>
        <v>0.44936649326247929</v>
      </c>
      <c r="AA69" s="13"/>
      <c r="AB69" s="13"/>
      <c r="AC69" s="13"/>
      <c r="AD69" s="13">
        <f>VLOOKUP(A:A,[1]TDSheet!$A:$AD,30,0)</f>
        <v>0</v>
      </c>
      <c r="AE69" s="13">
        <f>VLOOKUP(A:A,[1]TDSheet!$A:$AE,31,0)</f>
        <v>109.35740000000001</v>
      </c>
      <c r="AF69" s="13">
        <f>VLOOKUP(A:A,[1]TDSheet!$A:$AF,32,0)</f>
        <v>145.36600000000001</v>
      </c>
      <c r="AG69" s="13">
        <f>VLOOKUP(A:A,[1]TDSheet!$A:$AG,33,0)</f>
        <v>127.4718</v>
      </c>
      <c r="AH69" s="13">
        <f>VLOOKUP(A:A,[3]TDSheet!$A:$D,4,0)</f>
        <v>146.39500000000001</v>
      </c>
      <c r="AI69" s="13" t="e">
        <f>VLOOKUP(A:A,[1]TDSheet!$A:$AI,35,0)</f>
        <v>#N/A</v>
      </c>
      <c r="AJ69" s="13">
        <f t="shared" si="14"/>
        <v>80</v>
      </c>
      <c r="AK69" s="13"/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8</v>
      </c>
      <c r="C70" s="8">
        <v>303.721</v>
      </c>
      <c r="D70" s="8">
        <v>220.3</v>
      </c>
      <c r="E70" s="8">
        <v>476.04300000000001</v>
      </c>
      <c r="F70" s="8">
        <v>25.094999999999999</v>
      </c>
      <c r="G70" s="1">
        <f>VLOOKUP(A:A,[1]TDSheet!$A:$G,7,0)</f>
        <v>0</v>
      </c>
      <c r="H70" s="1">
        <f>VLOOKUP(A:A,[1]TDSheet!$A:$H,8,0)</f>
        <v>1</v>
      </c>
      <c r="I70" s="1">
        <f>VLOOKUP(A:A,[1]TDSheet!$A:$I,9,0)</f>
        <v>40</v>
      </c>
      <c r="J70" s="13">
        <f>VLOOKUP(A:A,[2]TDSheet!$A:$F,6,0)</f>
        <v>504.51799999999997</v>
      </c>
      <c r="K70" s="13">
        <f t="shared" si="10"/>
        <v>-28.474999999999966</v>
      </c>
      <c r="L70" s="13">
        <f>VLOOKUP(A:A,[1]TDSheet!$A:$M,13,0)</f>
        <v>80</v>
      </c>
      <c r="M70" s="13">
        <f>VLOOKUP(A:A,[1]TDSheet!$A:$N,14,0)</f>
        <v>100</v>
      </c>
      <c r="N70" s="13">
        <f>VLOOKUP(A:A,[1]TDSheet!$A:$U,21,0)</f>
        <v>120</v>
      </c>
      <c r="O70" s="13">
        <f>VLOOKUP(A:A,[1]TDSheet!$A:$V,22,0)</f>
        <v>150</v>
      </c>
      <c r="P70" s="13">
        <f>VLOOKUP(A:A,[1]TDSheet!$A:$X,24,0)</f>
        <v>110</v>
      </c>
      <c r="Q70" s="13"/>
      <c r="R70" s="13"/>
      <c r="S70" s="13"/>
      <c r="T70" s="13"/>
      <c r="U70" s="13"/>
      <c r="V70" s="13"/>
      <c r="W70" s="13">
        <f t="shared" si="11"/>
        <v>95.208600000000004</v>
      </c>
      <c r="X70" s="16">
        <v>80</v>
      </c>
      <c r="Y70" s="17">
        <f t="shared" si="12"/>
        <v>6.9856609591990635</v>
      </c>
      <c r="Z70" s="13">
        <f t="shared" si="13"/>
        <v>0.26357913045670239</v>
      </c>
      <c r="AA70" s="13"/>
      <c r="AB70" s="13"/>
      <c r="AC70" s="13"/>
      <c r="AD70" s="13">
        <f>VLOOKUP(A:A,[1]TDSheet!$A:$AD,30,0)</f>
        <v>0</v>
      </c>
      <c r="AE70" s="13">
        <f>VLOOKUP(A:A,[1]TDSheet!$A:$AE,31,0)</f>
        <v>83.256799999999998</v>
      </c>
      <c r="AF70" s="13">
        <f>VLOOKUP(A:A,[1]TDSheet!$A:$AF,32,0)</f>
        <v>83.473399999999998</v>
      </c>
      <c r="AG70" s="13">
        <f>VLOOKUP(A:A,[1]TDSheet!$A:$AG,33,0)</f>
        <v>76.770399999999995</v>
      </c>
      <c r="AH70" s="13">
        <f>VLOOKUP(A:A,[3]TDSheet!$A:$D,4,0)</f>
        <v>116.22199999999999</v>
      </c>
      <c r="AI70" s="13" t="e">
        <f>VLOOKUP(A:A,[1]TDSheet!$A:$AI,35,0)</f>
        <v>#N/A</v>
      </c>
      <c r="AJ70" s="13">
        <f t="shared" si="14"/>
        <v>80</v>
      </c>
      <c r="AK70" s="13"/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-1</v>
      </c>
      <c r="D71" s="8">
        <v>138</v>
      </c>
      <c r="E71" s="8">
        <v>102</v>
      </c>
      <c r="F71" s="8">
        <v>-1</v>
      </c>
      <c r="G71" s="1" t="str">
        <f>VLOOKUP(A:A,[1]TDSheet!$A:$G,7,0)</f>
        <v>дк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150</v>
      </c>
      <c r="K71" s="13">
        <f t="shared" si="10"/>
        <v>-48</v>
      </c>
      <c r="L71" s="13">
        <f>VLOOKUP(A:A,[1]TDSheet!$A:$M,13,0)</f>
        <v>40</v>
      </c>
      <c r="M71" s="13">
        <f>VLOOKUP(A:A,[1]TDSheet!$A:$N,14,0)</f>
        <v>30</v>
      </c>
      <c r="N71" s="13">
        <f>VLOOKUP(A:A,[1]TDSheet!$A:$U,21,0)</f>
        <v>0</v>
      </c>
      <c r="O71" s="13">
        <f>VLOOKUP(A:A,[1]TDSheet!$A:$V,22,0)</f>
        <v>30</v>
      </c>
      <c r="P71" s="13">
        <f>VLOOKUP(A:A,[1]TDSheet!$A:$X,24,0)</f>
        <v>30</v>
      </c>
      <c r="Q71" s="13"/>
      <c r="R71" s="13"/>
      <c r="S71" s="13"/>
      <c r="T71" s="13"/>
      <c r="U71" s="13"/>
      <c r="V71" s="13"/>
      <c r="W71" s="13">
        <f t="shared" si="11"/>
        <v>20.399999999999999</v>
      </c>
      <c r="X71" s="16">
        <v>20</v>
      </c>
      <c r="Y71" s="17">
        <f t="shared" si="12"/>
        <v>7.3039215686274517</v>
      </c>
      <c r="Z71" s="13">
        <f t="shared" si="13"/>
        <v>-4.9019607843137261E-2</v>
      </c>
      <c r="AA71" s="13"/>
      <c r="AB71" s="13"/>
      <c r="AC71" s="13"/>
      <c r="AD71" s="13">
        <f>VLOOKUP(A:A,[1]TDSheet!$A:$AD,30,0)</f>
        <v>0</v>
      </c>
      <c r="AE71" s="13">
        <f>VLOOKUP(A:A,[1]TDSheet!$A:$AE,31,0)</f>
        <v>19.399999999999999</v>
      </c>
      <c r="AF71" s="13">
        <f>VLOOKUP(A:A,[1]TDSheet!$A:$AF,32,0)</f>
        <v>6.6</v>
      </c>
      <c r="AG71" s="13">
        <f>VLOOKUP(A:A,[1]TDSheet!$A:$AG,33,0)</f>
        <v>17.8</v>
      </c>
      <c r="AH71" s="13">
        <f>VLOOKUP(A:A,[3]TDSheet!$A:$D,4,0)</f>
        <v>28</v>
      </c>
      <c r="AI71" s="13" t="str">
        <f>VLOOKUP(A:A,[1]TDSheet!$A:$AI,35,0)</f>
        <v>склад</v>
      </c>
      <c r="AJ71" s="13">
        <f t="shared" si="14"/>
        <v>12</v>
      </c>
      <c r="AK71" s="13"/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12</v>
      </c>
      <c r="C72" s="8">
        <v>76</v>
      </c>
      <c r="D72" s="8">
        <v>342</v>
      </c>
      <c r="E72" s="8">
        <v>311</v>
      </c>
      <c r="F72" s="8">
        <v>50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343</v>
      </c>
      <c r="K72" s="13">
        <f t="shared" ref="K72:K115" si="15">E72-J72</f>
        <v>-32</v>
      </c>
      <c r="L72" s="13">
        <f>VLOOKUP(A:A,[1]TDSheet!$A:$M,13,0)</f>
        <v>130</v>
      </c>
      <c r="M72" s="13">
        <f>VLOOKUP(A:A,[1]TDSheet!$A:$N,14,0)</f>
        <v>90</v>
      </c>
      <c r="N72" s="13">
        <f>VLOOKUP(A:A,[1]TDSheet!$A:$U,21,0)</f>
        <v>0</v>
      </c>
      <c r="O72" s="13">
        <f>VLOOKUP(A:A,[1]TDSheet!$A:$V,22,0)</f>
        <v>100</v>
      </c>
      <c r="P72" s="13">
        <f>VLOOKUP(A:A,[1]TDSheet!$A:$X,24,0)</f>
        <v>90</v>
      </c>
      <c r="Q72" s="13"/>
      <c r="R72" s="13"/>
      <c r="S72" s="13"/>
      <c r="T72" s="13"/>
      <c r="U72" s="13"/>
      <c r="V72" s="13"/>
      <c r="W72" s="13">
        <f t="shared" ref="W72:W115" si="16">(E72-AD72)/5</f>
        <v>62.2</v>
      </c>
      <c r="X72" s="16"/>
      <c r="Y72" s="17">
        <f t="shared" ref="Y72:Y115" si="17">(F72+L72+M72+N72+O72+P72+X72)/W72</f>
        <v>7.395498392282958</v>
      </c>
      <c r="Z72" s="13">
        <f t="shared" ref="Z72:Z115" si="18">F72/W72</f>
        <v>0.8038585209003215</v>
      </c>
      <c r="AA72" s="13"/>
      <c r="AB72" s="13"/>
      <c r="AC72" s="13"/>
      <c r="AD72" s="13">
        <f>VLOOKUP(A:A,[1]TDSheet!$A:$AD,30,0)</f>
        <v>0</v>
      </c>
      <c r="AE72" s="13">
        <f>VLOOKUP(A:A,[1]TDSheet!$A:$AE,31,0)</f>
        <v>44.4</v>
      </c>
      <c r="AF72" s="13">
        <f>VLOOKUP(A:A,[1]TDSheet!$A:$AF,32,0)</f>
        <v>52.4</v>
      </c>
      <c r="AG72" s="13">
        <f>VLOOKUP(A:A,[1]TDSheet!$A:$AG,33,0)</f>
        <v>58.4</v>
      </c>
      <c r="AH72" s="13">
        <f>VLOOKUP(A:A,[3]TDSheet!$A:$D,4,0)</f>
        <v>33</v>
      </c>
      <c r="AI72" s="13">
        <f>VLOOKUP(A:A,[1]TDSheet!$A:$AI,35,0)</f>
        <v>0</v>
      </c>
      <c r="AJ72" s="13">
        <f t="shared" ref="AJ72:AJ115" si="19">X72*H72</f>
        <v>0</v>
      </c>
      <c r="AK72" s="13"/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12</v>
      </c>
      <c r="C73" s="8">
        <v>410</v>
      </c>
      <c r="D73" s="8">
        <v>373</v>
      </c>
      <c r="E73" s="8">
        <v>515</v>
      </c>
      <c r="F73" s="8">
        <v>228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621</v>
      </c>
      <c r="K73" s="13">
        <f t="shared" si="15"/>
        <v>-106</v>
      </c>
      <c r="L73" s="13">
        <f>VLOOKUP(A:A,[1]TDSheet!$A:$M,13,0)</f>
        <v>230</v>
      </c>
      <c r="M73" s="13">
        <f>VLOOKUP(A:A,[1]TDSheet!$A:$N,14,0)</f>
        <v>190</v>
      </c>
      <c r="N73" s="13">
        <f>VLOOKUP(A:A,[1]TDSheet!$A:$U,21,0)</f>
        <v>0</v>
      </c>
      <c r="O73" s="13">
        <f>VLOOKUP(A:A,[1]TDSheet!$A:$V,22,0)</f>
        <v>0</v>
      </c>
      <c r="P73" s="13">
        <f>VLOOKUP(A:A,[1]TDSheet!$A:$X,24,0)</f>
        <v>100</v>
      </c>
      <c r="Q73" s="13"/>
      <c r="R73" s="13"/>
      <c r="S73" s="13"/>
      <c r="T73" s="13"/>
      <c r="U73" s="13"/>
      <c r="V73" s="13"/>
      <c r="W73" s="13">
        <f t="shared" si="16"/>
        <v>103</v>
      </c>
      <c r="X73" s="16"/>
      <c r="Y73" s="17">
        <f t="shared" si="17"/>
        <v>7.2621359223300974</v>
      </c>
      <c r="Z73" s="13">
        <f t="shared" si="18"/>
        <v>2.2135922330097086</v>
      </c>
      <c r="AA73" s="13"/>
      <c r="AB73" s="13"/>
      <c r="AC73" s="13"/>
      <c r="AD73" s="13">
        <f>VLOOKUP(A:A,[1]TDSheet!$A:$AD,30,0)</f>
        <v>0</v>
      </c>
      <c r="AE73" s="13">
        <f>VLOOKUP(A:A,[1]TDSheet!$A:$AE,31,0)</f>
        <v>99.8</v>
      </c>
      <c r="AF73" s="13">
        <f>VLOOKUP(A:A,[1]TDSheet!$A:$AF,32,0)</f>
        <v>115</v>
      </c>
      <c r="AG73" s="13">
        <f>VLOOKUP(A:A,[1]TDSheet!$A:$AG,33,0)</f>
        <v>128</v>
      </c>
      <c r="AH73" s="13">
        <f>VLOOKUP(A:A,[3]TDSheet!$A:$D,4,0)</f>
        <v>86</v>
      </c>
      <c r="AI73" s="13" t="str">
        <f>VLOOKUP(A:A,[1]TDSheet!$A:$AI,35,0)</f>
        <v>продапр</v>
      </c>
      <c r="AJ73" s="13">
        <f t="shared" si="19"/>
        <v>0</v>
      </c>
      <c r="AK73" s="13"/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8</v>
      </c>
      <c r="C74" s="8">
        <v>39.143999999999998</v>
      </c>
      <c r="D74" s="8">
        <v>254.74199999999999</v>
      </c>
      <c r="E74" s="8">
        <v>143.52099999999999</v>
      </c>
      <c r="F74" s="8">
        <v>150.36500000000001</v>
      </c>
      <c r="G74" s="1">
        <f>VLOOKUP(A:A,[1]TDSheet!$A:$G,7,0)</f>
        <v>0</v>
      </c>
      <c r="H74" s="1">
        <f>VLOOKUP(A:A,[1]TDSheet!$A:$H,8,0)</f>
        <v>1</v>
      </c>
      <c r="I74" s="1">
        <f>VLOOKUP(A:A,[1]TDSheet!$A:$I,9,0)</f>
        <v>30</v>
      </c>
      <c r="J74" s="13">
        <f>VLOOKUP(A:A,[2]TDSheet!$A:$F,6,0)</f>
        <v>141.209</v>
      </c>
      <c r="K74" s="13">
        <f t="shared" si="15"/>
        <v>2.3119999999999834</v>
      </c>
      <c r="L74" s="13">
        <f>VLOOKUP(A:A,[1]TDSheet!$A:$M,13,0)</f>
        <v>0</v>
      </c>
      <c r="M74" s="13">
        <f>VLOOKUP(A:A,[1]TDSheet!$A:$N,14,0)</f>
        <v>20</v>
      </c>
      <c r="N74" s="13">
        <f>VLOOKUP(A:A,[1]TDSheet!$A:$U,21,0)</f>
        <v>0</v>
      </c>
      <c r="O74" s="13">
        <f>VLOOKUP(A:A,[1]TDSheet!$A:$V,22,0)</f>
        <v>0</v>
      </c>
      <c r="P74" s="13">
        <f>VLOOKUP(A:A,[1]TDSheet!$A:$X,24,0)</f>
        <v>20</v>
      </c>
      <c r="Q74" s="13"/>
      <c r="R74" s="13"/>
      <c r="S74" s="13"/>
      <c r="T74" s="13"/>
      <c r="U74" s="13"/>
      <c r="V74" s="13"/>
      <c r="W74" s="13">
        <f t="shared" si="16"/>
        <v>28.704199999999997</v>
      </c>
      <c r="X74" s="16">
        <v>10</v>
      </c>
      <c r="Y74" s="17">
        <f t="shared" si="17"/>
        <v>6.9803373722312427</v>
      </c>
      <c r="Z74" s="13">
        <f t="shared" si="18"/>
        <v>5.2384320064659535</v>
      </c>
      <c r="AA74" s="13"/>
      <c r="AB74" s="13"/>
      <c r="AC74" s="13"/>
      <c r="AD74" s="13">
        <f>VLOOKUP(A:A,[1]TDSheet!$A:$AD,30,0)</f>
        <v>0</v>
      </c>
      <c r="AE74" s="13">
        <f>VLOOKUP(A:A,[1]TDSheet!$A:$AE,31,0)</f>
        <v>24.509399999999999</v>
      </c>
      <c r="AF74" s="13">
        <f>VLOOKUP(A:A,[1]TDSheet!$A:$AF,32,0)</f>
        <v>28.659199999999998</v>
      </c>
      <c r="AG74" s="13">
        <f>VLOOKUP(A:A,[1]TDSheet!$A:$AG,33,0)</f>
        <v>31.5534</v>
      </c>
      <c r="AH74" s="13">
        <f>VLOOKUP(A:A,[3]TDSheet!$A:$D,4,0)</f>
        <v>60.945999999999998</v>
      </c>
      <c r="AI74" s="13" t="str">
        <f>VLOOKUP(A:A,[1]TDSheet!$A:$AI,35,0)</f>
        <v>склад</v>
      </c>
      <c r="AJ74" s="13">
        <f t="shared" si="19"/>
        <v>10</v>
      </c>
      <c r="AK74" s="13"/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192</v>
      </c>
      <c r="D75" s="8">
        <v>3252</v>
      </c>
      <c r="E75" s="8">
        <v>776</v>
      </c>
      <c r="F75" s="8">
        <v>234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823</v>
      </c>
      <c r="K75" s="13">
        <f t="shared" si="15"/>
        <v>-47</v>
      </c>
      <c r="L75" s="13">
        <f>VLOOKUP(A:A,[1]TDSheet!$A:$M,13,0)</f>
        <v>130</v>
      </c>
      <c r="M75" s="13">
        <f>VLOOKUP(A:A,[1]TDSheet!$A:$N,14,0)</f>
        <v>200</v>
      </c>
      <c r="N75" s="13">
        <f>VLOOKUP(A:A,[1]TDSheet!$A:$U,21,0)</f>
        <v>100</v>
      </c>
      <c r="O75" s="13">
        <f>VLOOKUP(A:A,[1]TDSheet!$A:$V,22,0)</f>
        <v>250</v>
      </c>
      <c r="P75" s="13">
        <f>VLOOKUP(A:A,[1]TDSheet!$A:$X,24,0)</f>
        <v>180</v>
      </c>
      <c r="Q75" s="13"/>
      <c r="R75" s="13"/>
      <c r="S75" s="13"/>
      <c r="T75" s="13"/>
      <c r="U75" s="13"/>
      <c r="V75" s="13"/>
      <c r="W75" s="13">
        <f t="shared" si="16"/>
        <v>155.19999999999999</v>
      </c>
      <c r="X75" s="16"/>
      <c r="Y75" s="17">
        <f t="shared" si="17"/>
        <v>7.0489690721649492</v>
      </c>
      <c r="Z75" s="13">
        <f t="shared" si="18"/>
        <v>1.5077319587628868</v>
      </c>
      <c r="AA75" s="13"/>
      <c r="AB75" s="13"/>
      <c r="AC75" s="13"/>
      <c r="AD75" s="13">
        <f>VLOOKUP(A:A,[1]TDSheet!$A:$AD,30,0)</f>
        <v>0</v>
      </c>
      <c r="AE75" s="13">
        <f>VLOOKUP(A:A,[1]TDSheet!$A:$AE,31,0)</f>
        <v>103.4</v>
      </c>
      <c r="AF75" s="13">
        <f>VLOOKUP(A:A,[1]TDSheet!$A:$AF,32,0)</f>
        <v>123.8</v>
      </c>
      <c r="AG75" s="13">
        <f>VLOOKUP(A:A,[1]TDSheet!$A:$AG,33,0)</f>
        <v>146.80000000000001</v>
      </c>
      <c r="AH75" s="13">
        <f>VLOOKUP(A:A,[3]TDSheet!$A:$D,4,0)</f>
        <v>86</v>
      </c>
      <c r="AI75" s="13" t="str">
        <f>VLOOKUP(A:A,[1]TDSheet!$A:$AI,35,0)</f>
        <v>апряб</v>
      </c>
      <c r="AJ75" s="13">
        <f t="shared" si="19"/>
        <v>0</v>
      </c>
      <c r="AK75" s="13"/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380</v>
      </c>
      <c r="D76" s="8">
        <v>4236</v>
      </c>
      <c r="E76" s="8">
        <v>1025</v>
      </c>
      <c r="F76" s="8">
        <v>291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3">
        <f>VLOOKUP(A:A,[2]TDSheet!$A:$F,6,0)</f>
        <v>1087</v>
      </c>
      <c r="K76" s="13">
        <f t="shared" si="15"/>
        <v>-62</v>
      </c>
      <c r="L76" s="13">
        <f>VLOOKUP(A:A,[1]TDSheet!$A:$M,13,0)</f>
        <v>260</v>
      </c>
      <c r="M76" s="13">
        <f>VLOOKUP(A:A,[1]TDSheet!$A:$N,14,0)</f>
        <v>290</v>
      </c>
      <c r="N76" s="13">
        <f>VLOOKUP(A:A,[1]TDSheet!$A:$U,21,0)</f>
        <v>100</v>
      </c>
      <c r="O76" s="13">
        <f>VLOOKUP(A:A,[1]TDSheet!$A:$V,22,0)</f>
        <v>250</v>
      </c>
      <c r="P76" s="13">
        <f>VLOOKUP(A:A,[1]TDSheet!$A:$X,24,0)</f>
        <v>220</v>
      </c>
      <c r="Q76" s="13"/>
      <c r="R76" s="13"/>
      <c r="S76" s="13"/>
      <c r="T76" s="13"/>
      <c r="U76" s="13"/>
      <c r="V76" s="13"/>
      <c r="W76" s="13">
        <f t="shared" si="16"/>
        <v>205</v>
      </c>
      <c r="X76" s="16">
        <v>50</v>
      </c>
      <c r="Y76" s="17">
        <f t="shared" si="17"/>
        <v>7.126829268292683</v>
      </c>
      <c r="Z76" s="13">
        <f t="shared" si="18"/>
        <v>1.4195121951219511</v>
      </c>
      <c r="AA76" s="13"/>
      <c r="AB76" s="13"/>
      <c r="AC76" s="13"/>
      <c r="AD76" s="13">
        <f>VLOOKUP(A:A,[1]TDSheet!$A:$AD,30,0)</f>
        <v>0</v>
      </c>
      <c r="AE76" s="13">
        <f>VLOOKUP(A:A,[1]TDSheet!$A:$AE,31,0)</f>
        <v>159.6</v>
      </c>
      <c r="AF76" s="13">
        <f>VLOOKUP(A:A,[1]TDSheet!$A:$AF,32,0)</f>
        <v>176.4</v>
      </c>
      <c r="AG76" s="13">
        <f>VLOOKUP(A:A,[1]TDSheet!$A:$AG,33,0)</f>
        <v>202.2</v>
      </c>
      <c r="AH76" s="13">
        <f>VLOOKUP(A:A,[3]TDSheet!$A:$D,4,0)</f>
        <v>133</v>
      </c>
      <c r="AI76" s="13" t="str">
        <f>VLOOKUP(A:A,[1]TDSheet!$A:$AI,35,0)</f>
        <v>апряб</v>
      </c>
      <c r="AJ76" s="13">
        <f t="shared" si="19"/>
        <v>30</v>
      </c>
      <c r="AK76" s="13"/>
      <c r="AL76" s="13"/>
      <c r="AM76" s="13"/>
    </row>
    <row r="77" spans="1:39" s="1" customFormat="1" ht="11.1" customHeight="1" outlineLevel="1" x14ac:dyDescent="0.2">
      <c r="A77" s="7" t="s">
        <v>80</v>
      </c>
      <c r="B77" s="7" t="s">
        <v>12</v>
      </c>
      <c r="C77" s="8">
        <v>331</v>
      </c>
      <c r="D77" s="8">
        <v>675</v>
      </c>
      <c r="E77" s="8">
        <v>769</v>
      </c>
      <c r="F77" s="8">
        <v>216</v>
      </c>
      <c r="G77" s="1">
        <f>VLOOKUP(A:A,[1]TDSheet!$A:$G,7,0)</f>
        <v>0</v>
      </c>
      <c r="H77" s="1">
        <f>VLOOKUP(A:A,[1]TDSheet!$A:$H,8,0)</f>
        <v>0.4</v>
      </c>
      <c r="I77" s="1" t="e">
        <f>VLOOKUP(A:A,[1]TDSheet!$A:$I,9,0)</f>
        <v>#N/A</v>
      </c>
      <c r="J77" s="13">
        <f>VLOOKUP(A:A,[2]TDSheet!$A:$F,6,0)</f>
        <v>812</v>
      </c>
      <c r="K77" s="13">
        <f t="shared" si="15"/>
        <v>-43</v>
      </c>
      <c r="L77" s="13">
        <f>VLOOKUP(A:A,[1]TDSheet!$A:$M,13,0)</f>
        <v>200</v>
      </c>
      <c r="M77" s="13">
        <f>VLOOKUP(A:A,[1]TDSheet!$A:$N,14,0)</f>
        <v>210</v>
      </c>
      <c r="N77" s="13">
        <f>VLOOKUP(A:A,[1]TDSheet!$A:$U,21,0)</f>
        <v>0</v>
      </c>
      <c r="O77" s="13">
        <f>VLOOKUP(A:A,[1]TDSheet!$A:$V,22,0)</f>
        <v>130</v>
      </c>
      <c r="P77" s="13">
        <f>VLOOKUP(A:A,[1]TDSheet!$A:$X,24,0)</f>
        <v>150</v>
      </c>
      <c r="Q77" s="13"/>
      <c r="R77" s="13"/>
      <c r="S77" s="13"/>
      <c r="T77" s="13"/>
      <c r="U77" s="13"/>
      <c r="V77" s="13"/>
      <c r="W77" s="13">
        <f t="shared" si="16"/>
        <v>153.80000000000001</v>
      </c>
      <c r="X77" s="16">
        <v>170</v>
      </c>
      <c r="Y77" s="17">
        <f t="shared" si="17"/>
        <v>6.9960988296488944</v>
      </c>
      <c r="Z77" s="13">
        <f t="shared" si="18"/>
        <v>1.4044213263979193</v>
      </c>
      <c r="AA77" s="13"/>
      <c r="AB77" s="13"/>
      <c r="AC77" s="13"/>
      <c r="AD77" s="13">
        <f>VLOOKUP(A:A,[1]TDSheet!$A:$AD,30,0)</f>
        <v>0</v>
      </c>
      <c r="AE77" s="13">
        <f>VLOOKUP(A:A,[1]TDSheet!$A:$AE,31,0)</f>
        <v>132</v>
      </c>
      <c r="AF77" s="13">
        <f>VLOOKUP(A:A,[1]TDSheet!$A:$AF,32,0)</f>
        <v>135</v>
      </c>
      <c r="AG77" s="13">
        <f>VLOOKUP(A:A,[1]TDSheet!$A:$AG,33,0)</f>
        <v>154</v>
      </c>
      <c r="AH77" s="13">
        <f>VLOOKUP(A:A,[3]TDSheet!$A:$D,4,0)</f>
        <v>207</v>
      </c>
      <c r="AI77" s="13">
        <f>VLOOKUP(A:A,[1]TDSheet!$A:$AI,35,0)</f>
        <v>0</v>
      </c>
      <c r="AJ77" s="13">
        <f t="shared" si="19"/>
        <v>68</v>
      </c>
      <c r="AK77" s="13"/>
      <c r="AL77" s="13"/>
      <c r="AM77" s="13"/>
    </row>
    <row r="78" spans="1:39" s="1" customFormat="1" ht="11.1" customHeight="1" outlineLevel="1" x14ac:dyDescent="0.2">
      <c r="A78" s="7" t="s">
        <v>81</v>
      </c>
      <c r="B78" s="7" t="s">
        <v>12</v>
      </c>
      <c r="C78" s="8">
        <v>346</v>
      </c>
      <c r="D78" s="8">
        <v>1215</v>
      </c>
      <c r="E78" s="8">
        <v>703</v>
      </c>
      <c r="F78" s="8">
        <v>330</v>
      </c>
      <c r="G78" s="1">
        <f>VLOOKUP(A:A,[1]TDSheet!$A:$G,7,0)</f>
        <v>0</v>
      </c>
      <c r="H78" s="1">
        <f>VLOOKUP(A:A,[1]TDSheet!$A:$H,8,0)</f>
        <v>0.33</v>
      </c>
      <c r="I78" s="1">
        <f>VLOOKUP(A:A,[1]TDSheet!$A:$I,9,0)</f>
        <v>60</v>
      </c>
      <c r="J78" s="13">
        <f>VLOOKUP(A:A,[2]TDSheet!$A:$F,6,0)</f>
        <v>752</v>
      </c>
      <c r="K78" s="13">
        <f t="shared" si="15"/>
        <v>-49</v>
      </c>
      <c r="L78" s="13">
        <f>VLOOKUP(A:A,[1]TDSheet!$A:$M,13,0)</f>
        <v>200</v>
      </c>
      <c r="M78" s="13">
        <f>VLOOKUP(A:A,[1]TDSheet!$A:$N,14,0)</f>
        <v>220</v>
      </c>
      <c r="N78" s="13">
        <f>VLOOKUP(A:A,[1]TDSheet!$A:$U,21,0)</f>
        <v>0</v>
      </c>
      <c r="O78" s="13">
        <f>VLOOKUP(A:A,[1]TDSheet!$A:$V,22,0)</f>
        <v>0</v>
      </c>
      <c r="P78" s="13">
        <f>VLOOKUP(A:A,[1]TDSheet!$A:$X,24,0)</f>
        <v>100</v>
      </c>
      <c r="Q78" s="13"/>
      <c r="R78" s="13"/>
      <c r="S78" s="13"/>
      <c r="T78" s="13"/>
      <c r="U78" s="13"/>
      <c r="V78" s="13"/>
      <c r="W78" s="13">
        <f t="shared" si="16"/>
        <v>140.6</v>
      </c>
      <c r="X78" s="16">
        <v>120</v>
      </c>
      <c r="Y78" s="17">
        <f t="shared" si="17"/>
        <v>6.8990042674253207</v>
      </c>
      <c r="Z78" s="13">
        <f t="shared" si="18"/>
        <v>2.3470839260312943</v>
      </c>
      <c r="AA78" s="13"/>
      <c r="AB78" s="13"/>
      <c r="AC78" s="13"/>
      <c r="AD78" s="13">
        <f>VLOOKUP(A:A,[1]TDSheet!$A:$AD,30,0)</f>
        <v>0</v>
      </c>
      <c r="AE78" s="13">
        <f>VLOOKUP(A:A,[1]TDSheet!$A:$AE,31,0)</f>
        <v>156</v>
      </c>
      <c r="AF78" s="13">
        <f>VLOOKUP(A:A,[1]TDSheet!$A:$AF,32,0)</f>
        <v>138.80000000000001</v>
      </c>
      <c r="AG78" s="13">
        <f>VLOOKUP(A:A,[1]TDSheet!$A:$AG,33,0)</f>
        <v>158.19999999999999</v>
      </c>
      <c r="AH78" s="13">
        <f>VLOOKUP(A:A,[3]TDSheet!$A:$D,4,0)</f>
        <v>181</v>
      </c>
      <c r="AI78" s="13">
        <f>VLOOKUP(A:A,[1]TDSheet!$A:$AI,35,0)</f>
        <v>0</v>
      </c>
      <c r="AJ78" s="13">
        <f t="shared" si="19"/>
        <v>39.6</v>
      </c>
      <c r="AK78" s="13"/>
      <c r="AL78" s="13"/>
      <c r="AM78" s="13"/>
    </row>
    <row r="79" spans="1:39" s="1" customFormat="1" ht="21.95" customHeight="1" outlineLevel="1" x14ac:dyDescent="0.2">
      <c r="A79" s="7" t="s">
        <v>82</v>
      </c>
      <c r="B79" s="7" t="s">
        <v>12</v>
      </c>
      <c r="C79" s="8">
        <v>309</v>
      </c>
      <c r="D79" s="8">
        <v>1136</v>
      </c>
      <c r="E79" s="8">
        <v>505</v>
      </c>
      <c r="F79" s="8">
        <v>162</v>
      </c>
      <c r="G79" s="1">
        <f>VLOOKUP(A:A,[1]TDSheet!$A:$G,7,0)</f>
        <v>0</v>
      </c>
      <c r="H79" s="1">
        <f>VLOOKUP(A:A,[1]TDSheet!$A:$H,8,0)</f>
        <v>0.35</v>
      </c>
      <c r="I79" s="1" t="e">
        <f>VLOOKUP(A:A,[1]TDSheet!$A:$I,9,0)</f>
        <v>#N/A</v>
      </c>
      <c r="J79" s="13">
        <f>VLOOKUP(A:A,[2]TDSheet!$A:$F,6,0)</f>
        <v>568</v>
      </c>
      <c r="K79" s="13">
        <f t="shared" si="15"/>
        <v>-63</v>
      </c>
      <c r="L79" s="13">
        <f>VLOOKUP(A:A,[1]TDSheet!$A:$M,13,0)</f>
        <v>170</v>
      </c>
      <c r="M79" s="13">
        <f>VLOOKUP(A:A,[1]TDSheet!$A:$N,14,0)</f>
        <v>160</v>
      </c>
      <c r="N79" s="13">
        <f>VLOOKUP(A:A,[1]TDSheet!$A:$U,21,0)</f>
        <v>0</v>
      </c>
      <c r="O79" s="13">
        <f>VLOOKUP(A:A,[1]TDSheet!$A:$V,22,0)</f>
        <v>50</v>
      </c>
      <c r="P79" s="13">
        <f>VLOOKUP(A:A,[1]TDSheet!$A:$X,24,0)</f>
        <v>100</v>
      </c>
      <c r="Q79" s="13"/>
      <c r="R79" s="13"/>
      <c r="S79" s="13"/>
      <c r="T79" s="13"/>
      <c r="U79" s="13"/>
      <c r="V79" s="13"/>
      <c r="W79" s="13">
        <f t="shared" si="16"/>
        <v>101</v>
      </c>
      <c r="X79" s="16">
        <v>70</v>
      </c>
      <c r="Y79" s="17">
        <f t="shared" si="17"/>
        <v>7.0495049504950495</v>
      </c>
      <c r="Z79" s="13">
        <f t="shared" si="18"/>
        <v>1.6039603960396041</v>
      </c>
      <c r="AA79" s="13"/>
      <c r="AB79" s="13"/>
      <c r="AC79" s="13"/>
      <c r="AD79" s="13">
        <f>VLOOKUP(A:A,[1]TDSheet!$A:$AD,30,0)</f>
        <v>0</v>
      </c>
      <c r="AE79" s="13">
        <f>VLOOKUP(A:A,[1]TDSheet!$A:$AE,31,0)</f>
        <v>92.4</v>
      </c>
      <c r="AF79" s="13">
        <f>VLOOKUP(A:A,[1]TDSheet!$A:$AF,32,0)</f>
        <v>95.2</v>
      </c>
      <c r="AG79" s="13">
        <f>VLOOKUP(A:A,[1]TDSheet!$A:$AG,33,0)</f>
        <v>110.6</v>
      </c>
      <c r="AH79" s="13">
        <f>VLOOKUP(A:A,[3]TDSheet!$A:$D,4,0)</f>
        <v>132</v>
      </c>
      <c r="AI79" s="13">
        <f>VLOOKUP(A:A,[1]TDSheet!$A:$AI,35,0)</f>
        <v>0</v>
      </c>
      <c r="AJ79" s="13">
        <f t="shared" si="19"/>
        <v>24.5</v>
      </c>
      <c r="AK79" s="13"/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260</v>
      </c>
      <c r="D80" s="8">
        <v>1279</v>
      </c>
      <c r="E80" s="8">
        <v>227</v>
      </c>
      <c r="F80" s="8">
        <v>237</v>
      </c>
      <c r="G80" s="1" t="str">
        <f>VLOOKUP(A:A,[1]TDSheet!$A:$G,7,0)</f>
        <v>ябл</v>
      </c>
      <c r="H80" s="1">
        <f>VLOOKUP(A:A,[1]TDSheet!$A:$H,8,0)</f>
        <v>0.33</v>
      </c>
      <c r="I80" s="1" t="e">
        <f>VLOOKUP(A:A,[1]TDSheet!$A:$I,9,0)</f>
        <v>#N/A</v>
      </c>
      <c r="J80" s="13">
        <f>VLOOKUP(A:A,[2]TDSheet!$A:$F,6,0)</f>
        <v>270</v>
      </c>
      <c r="K80" s="13">
        <f t="shared" si="15"/>
        <v>-43</v>
      </c>
      <c r="L80" s="13">
        <f>VLOOKUP(A:A,[1]TDSheet!$A:$M,13,0)</f>
        <v>0</v>
      </c>
      <c r="M80" s="13">
        <f>VLOOKUP(A:A,[1]TDSheet!$A:$N,14,0)</f>
        <v>70</v>
      </c>
      <c r="N80" s="13">
        <f>VLOOKUP(A:A,[1]TDSheet!$A:$U,21,0)</f>
        <v>0</v>
      </c>
      <c r="O80" s="13">
        <f>VLOOKUP(A:A,[1]TDSheet!$A:$V,22,0)</f>
        <v>0</v>
      </c>
      <c r="P80" s="13">
        <f>VLOOKUP(A:A,[1]TDSheet!$A:$X,24,0)</f>
        <v>30</v>
      </c>
      <c r="Q80" s="13"/>
      <c r="R80" s="13"/>
      <c r="S80" s="13"/>
      <c r="T80" s="13"/>
      <c r="U80" s="13"/>
      <c r="V80" s="13"/>
      <c r="W80" s="13">
        <f t="shared" si="16"/>
        <v>45.4</v>
      </c>
      <c r="X80" s="16"/>
      <c r="Y80" s="17">
        <f t="shared" si="17"/>
        <v>7.4229074889867848</v>
      </c>
      <c r="Z80" s="13">
        <f t="shared" si="18"/>
        <v>5.2202643171806171</v>
      </c>
      <c r="AA80" s="13"/>
      <c r="AB80" s="13"/>
      <c r="AC80" s="13"/>
      <c r="AD80" s="13">
        <f>VLOOKUP(A:A,[1]TDSheet!$A:$AD,30,0)</f>
        <v>0</v>
      </c>
      <c r="AE80" s="13">
        <f>VLOOKUP(A:A,[1]TDSheet!$A:$AE,31,0)</f>
        <v>74</v>
      </c>
      <c r="AF80" s="13">
        <f>VLOOKUP(A:A,[1]TDSheet!$A:$AF,32,0)</f>
        <v>75.400000000000006</v>
      </c>
      <c r="AG80" s="13">
        <f>VLOOKUP(A:A,[1]TDSheet!$A:$AG,33,0)</f>
        <v>50.4</v>
      </c>
      <c r="AH80" s="13">
        <f>VLOOKUP(A:A,[3]TDSheet!$A:$D,4,0)</f>
        <v>19</v>
      </c>
      <c r="AI80" s="13" t="str">
        <f>VLOOKUP(A:A,[1]TDSheet!$A:$AI,35,0)</f>
        <v>оконч</v>
      </c>
      <c r="AJ80" s="13">
        <f t="shared" si="19"/>
        <v>0</v>
      </c>
      <c r="AK80" s="13"/>
      <c r="AL80" s="13"/>
      <c r="AM80" s="13"/>
    </row>
    <row r="81" spans="1:39" s="1" customFormat="1" ht="11.1" customHeight="1" outlineLevel="1" x14ac:dyDescent="0.2">
      <c r="A81" s="7" t="s">
        <v>84</v>
      </c>
      <c r="B81" s="7" t="s">
        <v>12</v>
      </c>
      <c r="C81" s="8">
        <v>1064</v>
      </c>
      <c r="D81" s="8">
        <v>14133</v>
      </c>
      <c r="E81" s="8">
        <v>5700</v>
      </c>
      <c r="F81" s="8">
        <v>1035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40</v>
      </c>
      <c r="J81" s="13">
        <f>VLOOKUP(A:A,[2]TDSheet!$A:$F,6,0)</f>
        <v>6825</v>
      </c>
      <c r="K81" s="13">
        <f t="shared" si="15"/>
        <v>-1125</v>
      </c>
      <c r="L81" s="13">
        <f>VLOOKUP(A:A,[1]TDSheet!$A:$M,13,0)</f>
        <v>2000</v>
      </c>
      <c r="M81" s="13">
        <f>VLOOKUP(A:A,[1]TDSheet!$A:$N,14,0)</f>
        <v>1500</v>
      </c>
      <c r="N81" s="13">
        <f>VLOOKUP(A:A,[1]TDSheet!$A:$U,21,0)</f>
        <v>0</v>
      </c>
      <c r="O81" s="13">
        <f>VLOOKUP(A:A,[1]TDSheet!$A:$V,22,0)</f>
        <v>700</v>
      </c>
      <c r="P81" s="13">
        <f>VLOOKUP(A:A,[1]TDSheet!$A:$X,24,0)</f>
        <v>1000</v>
      </c>
      <c r="Q81" s="13"/>
      <c r="R81" s="13"/>
      <c r="S81" s="13"/>
      <c r="T81" s="13"/>
      <c r="U81" s="13"/>
      <c r="V81" s="13"/>
      <c r="W81" s="13">
        <f t="shared" si="16"/>
        <v>808.8</v>
      </c>
      <c r="X81" s="16">
        <v>500</v>
      </c>
      <c r="Y81" s="17">
        <f t="shared" si="17"/>
        <v>8.3271513353115729</v>
      </c>
      <c r="Z81" s="13">
        <f t="shared" si="18"/>
        <v>1.2796735905044512</v>
      </c>
      <c r="AA81" s="13"/>
      <c r="AB81" s="13"/>
      <c r="AC81" s="13"/>
      <c r="AD81" s="13">
        <f>VLOOKUP(A:A,[1]TDSheet!$A:$AD,30,0)</f>
        <v>1656</v>
      </c>
      <c r="AE81" s="13">
        <f>VLOOKUP(A:A,[1]TDSheet!$A:$AE,31,0)</f>
        <v>517.4</v>
      </c>
      <c r="AF81" s="13">
        <f>VLOOKUP(A:A,[1]TDSheet!$A:$AF,32,0)</f>
        <v>510</v>
      </c>
      <c r="AG81" s="13">
        <f>VLOOKUP(A:A,[1]TDSheet!$A:$AG,33,0)</f>
        <v>1004</v>
      </c>
      <c r="AH81" s="13">
        <f>VLOOKUP(A:A,[3]TDSheet!$A:$D,4,0)</f>
        <v>498</v>
      </c>
      <c r="AI81" s="13" t="str">
        <f>VLOOKUP(A:A,[1]TDSheet!$A:$AI,35,0)</f>
        <v>апряб</v>
      </c>
      <c r="AJ81" s="13">
        <f t="shared" si="19"/>
        <v>175</v>
      </c>
      <c r="AK81" s="13"/>
      <c r="AL81" s="13"/>
      <c r="AM81" s="13"/>
    </row>
    <row r="82" spans="1:39" s="1" customFormat="1" ht="11.1" customHeight="1" outlineLevel="1" x14ac:dyDescent="0.2">
      <c r="A82" s="7" t="s">
        <v>85</v>
      </c>
      <c r="B82" s="7" t="s">
        <v>12</v>
      </c>
      <c r="C82" s="8">
        <v>7215</v>
      </c>
      <c r="D82" s="8">
        <v>13194</v>
      </c>
      <c r="E82" s="18">
        <v>7118</v>
      </c>
      <c r="F82" s="18">
        <v>1616</v>
      </c>
      <c r="G82" s="1" t="str">
        <f>VLOOKUP(A:A,[1]TDSheet!$A:$G,7,0)</f>
        <v>бнмарт</v>
      </c>
      <c r="H82" s="1">
        <f>VLOOKUP(A:A,[1]TDSheet!$A:$H,8,0)</f>
        <v>0.35</v>
      </c>
      <c r="I82" s="1">
        <f>VLOOKUP(A:A,[1]TDSheet!$A:$I,9,0)</f>
        <v>45</v>
      </c>
      <c r="J82" s="13">
        <f>VLOOKUP(A:A,[2]TDSheet!$A:$F,6,0)</f>
        <v>5666</v>
      </c>
      <c r="K82" s="13">
        <f t="shared" si="15"/>
        <v>1452</v>
      </c>
      <c r="L82" s="13">
        <f>VLOOKUP(A:A,[1]TDSheet!$A:$M,13,0)</f>
        <v>1300</v>
      </c>
      <c r="M82" s="13">
        <f>VLOOKUP(A:A,[1]TDSheet!$A:$N,14,0)</f>
        <v>1900</v>
      </c>
      <c r="N82" s="13">
        <f>VLOOKUP(A:A,[1]TDSheet!$A:$U,21,0)</f>
        <v>1000</v>
      </c>
      <c r="O82" s="13">
        <f>VLOOKUP(A:A,[1]TDSheet!$A:$V,22,0)</f>
        <v>1000</v>
      </c>
      <c r="P82" s="13">
        <f>VLOOKUP(A:A,[1]TDSheet!$A:$X,24,0)</f>
        <v>1400</v>
      </c>
      <c r="Q82" s="13"/>
      <c r="R82" s="13"/>
      <c r="S82" s="13"/>
      <c r="T82" s="13"/>
      <c r="U82" s="13"/>
      <c r="V82" s="13"/>
      <c r="W82" s="13">
        <f t="shared" si="16"/>
        <v>1314.4</v>
      </c>
      <c r="X82" s="16">
        <v>500</v>
      </c>
      <c r="Y82" s="17">
        <f t="shared" si="17"/>
        <v>6.6311625076080336</v>
      </c>
      <c r="Z82" s="13">
        <f t="shared" si="18"/>
        <v>1.2294583079732195</v>
      </c>
      <c r="AA82" s="13"/>
      <c r="AB82" s="13"/>
      <c r="AC82" s="13"/>
      <c r="AD82" s="13">
        <f>VLOOKUP(A:A,[1]TDSheet!$A:$AD,30,0)</f>
        <v>546</v>
      </c>
      <c r="AE82" s="13">
        <f>VLOOKUP(A:A,[1]TDSheet!$A:$AE,31,0)</f>
        <v>1832</v>
      </c>
      <c r="AF82" s="13">
        <f>VLOOKUP(A:A,[1]TDSheet!$A:$AF,32,0)</f>
        <v>1594.4</v>
      </c>
      <c r="AG82" s="13">
        <f>VLOOKUP(A:A,[1]TDSheet!$A:$AG,33,0)</f>
        <v>1267.8</v>
      </c>
      <c r="AH82" s="13">
        <f>VLOOKUP(A:A,[3]TDSheet!$A:$D,4,0)</f>
        <v>996</v>
      </c>
      <c r="AI82" s="13" t="str">
        <f>VLOOKUP(A:A,[1]TDSheet!$A:$AI,35,0)</f>
        <v>оконч</v>
      </c>
      <c r="AJ82" s="13">
        <f t="shared" si="19"/>
        <v>175</v>
      </c>
      <c r="AK82" s="13"/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12</v>
      </c>
      <c r="C83" s="8">
        <v>300</v>
      </c>
      <c r="D83" s="8">
        <v>209</v>
      </c>
      <c r="E83" s="8">
        <v>388</v>
      </c>
      <c r="F83" s="8">
        <v>112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3">
        <f>VLOOKUP(A:A,[2]TDSheet!$A:$F,6,0)</f>
        <v>437</v>
      </c>
      <c r="K83" s="13">
        <f t="shared" si="15"/>
        <v>-49</v>
      </c>
      <c r="L83" s="13">
        <f>VLOOKUP(A:A,[1]TDSheet!$A:$M,13,0)</f>
        <v>150</v>
      </c>
      <c r="M83" s="13">
        <f>VLOOKUP(A:A,[1]TDSheet!$A:$N,14,0)</f>
        <v>120</v>
      </c>
      <c r="N83" s="13">
        <f>VLOOKUP(A:A,[1]TDSheet!$A:$U,21,0)</f>
        <v>0</v>
      </c>
      <c r="O83" s="13">
        <f>VLOOKUP(A:A,[1]TDSheet!$A:$V,22,0)</f>
        <v>70</v>
      </c>
      <c r="P83" s="13">
        <f>VLOOKUP(A:A,[1]TDSheet!$A:$X,24,0)</f>
        <v>80</v>
      </c>
      <c r="Q83" s="13"/>
      <c r="R83" s="13"/>
      <c r="S83" s="13"/>
      <c r="T83" s="13"/>
      <c r="U83" s="13"/>
      <c r="V83" s="13"/>
      <c r="W83" s="13">
        <f t="shared" si="16"/>
        <v>77.599999999999994</v>
      </c>
      <c r="X83" s="16">
        <v>30</v>
      </c>
      <c r="Y83" s="17">
        <f t="shared" si="17"/>
        <v>7.2422680412371143</v>
      </c>
      <c r="Z83" s="13">
        <f t="shared" si="18"/>
        <v>1.4432989690721651</v>
      </c>
      <c r="AA83" s="13"/>
      <c r="AB83" s="13"/>
      <c r="AC83" s="13"/>
      <c r="AD83" s="13">
        <f>VLOOKUP(A:A,[1]TDSheet!$A:$AD,30,0)</f>
        <v>0</v>
      </c>
      <c r="AE83" s="13">
        <f>VLOOKUP(A:A,[1]TDSheet!$A:$AE,31,0)</f>
        <v>70.400000000000006</v>
      </c>
      <c r="AF83" s="13">
        <f>VLOOKUP(A:A,[1]TDSheet!$A:$AF,32,0)</f>
        <v>84.6</v>
      </c>
      <c r="AG83" s="13">
        <f>VLOOKUP(A:A,[1]TDSheet!$A:$AG,33,0)</f>
        <v>83.6</v>
      </c>
      <c r="AH83" s="13">
        <f>VLOOKUP(A:A,[3]TDSheet!$A:$D,4,0)</f>
        <v>73</v>
      </c>
      <c r="AI83" s="13">
        <f>VLOOKUP(A:A,[1]TDSheet!$A:$AI,35,0)</f>
        <v>0</v>
      </c>
      <c r="AJ83" s="13">
        <f t="shared" si="19"/>
        <v>12</v>
      </c>
      <c r="AK83" s="13"/>
      <c r="AL83" s="13"/>
      <c r="AM83" s="13"/>
    </row>
    <row r="84" spans="1:39" s="1" customFormat="1" ht="21.95" customHeight="1" outlineLevel="1" x14ac:dyDescent="0.2">
      <c r="A84" s="7" t="s">
        <v>87</v>
      </c>
      <c r="B84" s="7" t="s">
        <v>8</v>
      </c>
      <c r="C84" s="8">
        <v>125</v>
      </c>
      <c r="D84" s="8">
        <v>151.101</v>
      </c>
      <c r="E84" s="8">
        <v>252.02600000000001</v>
      </c>
      <c r="F84" s="8">
        <v>12.817</v>
      </c>
      <c r="G84" s="1" t="str">
        <f>VLOOKUP(A:A,[1]TDSheet!$A:$G,7,0)</f>
        <v>н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263.35899999999998</v>
      </c>
      <c r="K84" s="13">
        <f t="shared" si="15"/>
        <v>-11.33299999999997</v>
      </c>
      <c r="L84" s="13">
        <f>VLOOKUP(A:A,[1]TDSheet!$A:$M,13,0)</f>
        <v>30</v>
      </c>
      <c r="M84" s="13">
        <f>VLOOKUP(A:A,[1]TDSheet!$A:$N,14,0)</f>
        <v>30</v>
      </c>
      <c r="N84" s="13">
        <f>VLOOKUP(A:A,[1]TDSheet!$A:$U,21,0)</f>
        <v>0</v>
      </c>
      <c r="O84" s="13">
        <f>VLOOKUP(A:A,[1]TDSheet!$A:$V,22,0)</f>
        <v>150</v>
      </c>
      <c r="P84" s="13">
        <f>VLOOKUP(A:A,[1]TDSheet!$A:$X,24,0)</f>
        <v>70</v>
      </c>
      <c r="Q84" s="13"/>
      <c r="R84" s="13"/>
      <c r="S84" s="13"/>
      <c r="T84" s="13"/>
      <c r="U84" s="13"/>
      <c r="V84" s="13"/>
      <c r="W84" s="13">
        <f t="shared" si="16"/>
        <v>50.405200000000001</v>
      </c>
      <c r="X84" s="16">
        <v>60</v>
      </c>
      <c r="Y84" s="17">
        <f t="shared" si="17"/>
        <v>6.999615119075016</v>
      </c>
      <c r="Z84" s="13">
        <f t="shared" si="18"/>
        <v>0.25427932038757906</v>
      </c>
      <c r="AA84" s="13"/>
      <c r="AB84" s="13"/>
      <c r="AC84" s="13"/>
      <c r="AD84" s="13">
        <f>VLOOKUP(A:A,[1]TDSheet!$A:$AD,30,0)</f>
        <v>0</v>
      </c>
      <c r="AE84" s="13">
        <f>VLOOKUP(A:A,[1]TDSheet!$A:$AE,31,0)</f>
        <v>28.042399999999997</v>
      </c>
      <c r="AF84" s="13">
        <f>VLOOKUP(A:A,[1]TDSheet!$A:$AF,32,0)</f>
        <v>42.596800000000002</v>
      </c>
      <c r="AG84" s="13">
        <f>VLOOKUP(A:A,[1]TDSheet!$A:$AG,33,0)</f>
        <v>36.206599999999995</v>
      </c>
      <c r="AH84" s="13">
        <f>VLOOKUP(A:A,[3]TDSheet!$A:$D,4,0)</f>
        <v>54.689</v>
      </c>
      <c r="AI84" s="13" t="str">
        <f>VLOOKUP(A:A,[1]TDSheet!$A:$AI,35,0)</f>
        <v>Паша50%</v>
      </c>
      <c r="AJ84" s="13">
        <f t="shared" si="19"/>
        <v>60</v>
      </c>
      <c r="AK84" s="13"/>
      <c r="AL84" s="13"/>
      <c r="AM84" s="13"/>
    </row>
    <row r="85" spans="1:39" s="1" customFormat="1" ht="21.95" customHeight="1" outlineLevel="1" x14ac:dyDescent="0.2">
      <c r="A85" s="7" t="s">
        <v>88</v>
      </c>
      <c r="B85" s="7" t="s">
        <v>8</v>
      </c>
      <c r="C85" s="8">
        <v>10.816000000000001</v>
      </c>
      <c r="D85" s="8">
        <v>21.216999999999999</v>
      </c>
      <c r="E85" s="8">
        <v>20.501999999999999</v>
      </c>
      <c r="F85" s="8">
        <v>10.058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21.8</v>
      </c>
      <c r="K85" s="13">
        <f t="shared" si="15"/>
        <v>-1.2980000000000018</v>
      </c>
      <c r="L85" s="13">
        <f>VLOOKUP(A:A,[1]TDSheet!$A:$M,13,0)</f>
        <v>0</v>
      </c>
      <c r="M85" s="13">
        <f>VLOOKUP(A:A,[1]TDSheet!$A:$N,14,0)</f>
        <v>10</v>
      </c>
      <c r="N85" s="13">
        <f>VLOOKUP(A:A,[1]TDSheet!$A:$U,21,0)</f>
        <v>0</v>
      </c>
      <c r="O85" s="13">
        <f>VLOOKUP(A:A,[1]TDSheet!$A:$V,22,0)</f>
        <v>20</v>
      </c>
      <c r="P85" s="13">
        <f>VLOOKUP(A:A,[1]TDSheet!$A:$X,24,0)</f>
        <v>0</v>
      </c>
      <c r="Q85" s="13"/>
      <c r="R85" s="13"/>
      <c r="S85" s="13"/>
      <c r="T85" s="13"/>
      <c r="U85" s="13"/>
      <c r="V85" s="13"/>
      <c r="W85" s="13">
        <f t="shared" si="16"/>
        <v>4.1003999999999996</v>
      </c>
      <c r="X85" s="16"/>
      <c r="Y85" s="17">
        <f t="shared" si="17"/>
        <v>9.7692908008974744</v>
      </c>
      <c r="Z85" s="13">
        <f t="shared" si="18"/>
        <v>2.4529314213247488</v>
      </c>
      <c r="AA85" s="13"/>
      <c r="AB85" s="13"/>
      <c r="AC85" s="13"/>
      <c r="AD85" s="13">
        <f>VLOOKUP(A:A,[1]TDSheet!$A:$AD,30,0)</f>
        <v>0</v>
      </c>
      <c r="AE85" s="13">
        <f>VLOOKUP(A:A,[1]TDSheet!$A:$AE,31,0)</f>
        <v>1.7478000000000002</v>
      </c>
      <c r="AF85" s="13">
        <f>VLOOKUP(A:A,[1]TDSheet!$A:$AF,32,0)</f>
        <v>2.6052</v>
      </c>
      <c r="AG85" s="13">
        <f>VLOOKUP(A:A,[1]TDSheet!$A:$AG,33,0)</f>
        <v>2.5931999999999999</v>
      </c>
      <c r="AH85" s="13">
        <f>VLOOKUP(A:A,[3]TDSheet!$A:$D,4,0)</f>
        <v>1.45</v>
      </c>
      <c r="AI85" s="13" t="str">
        <f>VLOOKUP(A:A,[1]TDSheet!$A:$AI,35,0)</f>
        <v>увел</v>
      </c>
      <c r="AJ85" s="13">
        <f t="shared" si="19"/>
        <v>0</v>
      </c>
      <c r="AK85" s="13"/>
      <c r="AL85" s="13"/>
      <c r="AM85" s="13"/>
    </row>
    <row r="86" spans="1:39" s="1" customFormat="1" ht="21.95" customHeight="1" outlineLevel="1" x14ac:dyDescent="0.2">
      <c r="A86" s="7" t="s">
        <v>89</v>
      </c>
      <c r="B86" s="7" t="s">
        <v>12</v>
      </c>
      <c r="C86" s="8">
        <v>103</v>
      </c>
      <c r="D86" s="8">
        <v>1567</v>
      </c>
      <c r="E86" s="8">
        <v>229</v>
      </c>
      <c r="F86" s="8">
        <v>36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3">
        <f>VLOOKUP(A:A,[2]TDSheet!$A:$F,6,0)</f>
        <v>262</v>
      </c>
      <c r="K86" s="13">
        <f t="shared" si="15"/>
        <v>-33</v>
      </c>
      <c r="L86" s="13">
        <f>VLOOKUP(A:A,[1]TDSheet!$A:$M,13,0)</f>
        <v>80</v>
      </c>
      <c r="M86" s="13">
        <f>VLOOKUP(A:A,[1]TDSheet!$A:$N,14,0)</f>
        <v>60</v>
      </c>
      <c r="N86" s="13">
        <f>VLOOKUP(A:A,[1]TDSheet!$A:$U,21,0)</f>
        <v>0</v>
      </c>
      <c r="O86" s="13">
        <f>VLOOKUP(A:A,[1]TDSheet!$A:$V,22,0)</f>
        <v>120</v>
      </c>
      <c r="P86" s="13">
        <f>VLOOKUP(A:A,[1]TDSheet!$A:$X,24,0)</f>
        <v>50</v>
      </c>
      <c r="Q86" s="13"/>
      <c r="R86" s="13"/>
      <c r="S86" s="13"/>
      <c r="T86" s="13"/>
      <c r="U86" s="13"/>
      <c r="V86" s="13"/>
      <c r="W86" s="13">
        <f t="shared" si="16"/>
        <v>45.8</v>
      </c>
      <c r="X86" s="16"/>
      <c r="Y86" s="17">
        <f t="shared" si="17"/>
        <v>7.5545851528384285</v>
      </c>
      <c r="Z86" s="13">
        <f t="shared" si="18"/>
        <v>0.7860262008733625</v>
      </c>
      <c r="AA86" s="13"/>
      <c r="AB86" s="13"/>
      <c r="AC86" s="13"/>
      <c r="AD86" s="13">
        <f>VLOOKUP(A:A,[1]TDSheet!$A:$AD,30,0)</f>
        <v>0</v>
      </c>
      <c r="AE86" s="13">
        <f>VLOOKUP(A:A,[1]TDSheet!$A:$AE,31,0)</f>
        <v>40.4</v>
      </c>
      <c r="AF86" s="13">
        <f>VLOOKUP(A:A,[1]TDSheet!$A:$AF,32,0)</f>
        <v>49.4</v>
      </c>
      <c r="AG86" s="13">
        <f>VLOOKUP(A:A,[1]TDSheet!$A:$AG,33,0)</f>
        <v>43</v>
      </c>
      <c r="AH86" s="13">
        <f>VLOOKUP(A:A,[3]TDSheet!$A:$D,4,0)</f>
        <v>27</v>
      </c>
      <c r="AI86" s="13">
        <f>VLOOKUP(A:A,[1]TDSheet!$A:$AI,35,0)</f>
        <v>0</v>
      </c>
      <c r="AJ86" s="13">
        <f t="shared" si="19"/>
        <v>0</v>
      </c>
      <c r="AK86" s="13"/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8</v>
      </c>
      <c r="C87" s="8">
        <v>29.923999999999999</v>
      </c>
      <c r="D87" s="8">
        <v>95.489000000000004</v>
      </c>
      <c r="E87" s="8">
        <v>134.84100000000001</v>
      </c>
      <c r="F87" s="8">
        <v>-12.327999999999999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136.804</v>
      </c>
      <c r="K87" s="13">
        <f t="shared" si="15"/>
        <v>-1.9629999999999939</v>
      </c>
      <c r="L87" s="13">
        <f>VLOOKUP(A:A,[1]TDSheet!$A:$M,13,0)</f>
        <v>0</v>
      </c>
      <c r="M87" s="13">
        <f>VLOOKUP(A:A,[1]TDSheet!$A:$N,14,0)</f>
        <v>20</v>
      </c>
      <c r="N87" s="13">
        <f>VLOOKUP(A:A,[1]TDSheet!$A:$U,21,0)</f>
        <v>0</v>
      </c>
      <c r="O87" s="13">
        <f>VLOOKUP(A:A,[1]TDSheet!$A:$V,22,0)</f>
        <v>120</v>
      </c>
      <c r="P87" s="13">
        <f>VLOOKUP(A:A,[1]TDSheet!$A:$X,24,0)</f>
        <v>30</v>
      </c>
      <c r="Q87" s="13"/>
      <c r="R87" s="13"/>
      <c r="S87" s="13"/>
      <c r="T87" s="13"/>
      <c r="U87" s="13"/>
      <c r="V87" s="13"/>
      <c r="W87" s="13">
        <f t="shared" si="16"/>
        <v>26.968200000000003</v>
      </c>
      <c r="X87" s="16">
        <v>20</v>
      </c>
      <c r="Y87" s="17">
        <f t="shared" si="17"/>
        <v>6.5882038845751651</v>
      </c>
      <c r="Z87" s="13">
        <f t="shared" si="18"/>
        <v>-0.45713099131569768</v>
      </c>
      <c r="AA87" s="13"/>
      <c r="AB87" s="13"/>
      <c r="AC87" s="13"/>
      <c r="AD87" s="13">
        <f>VLOOKUP(A:A,[1]TDSheet!$A:$AD,30,0)</f>
        <v>0</v>
      </c>
      <c r="AE87" s="13">
        <f>VLOOKUP(A:A,[1]TDSheet!$A:$AE,31,0)</f>
        <v>13.8934</v>
      </c>
      <c r="AF87" s="13">
        <f>VLOOKUP(A:A,[1]TDSheet!$A:$AF,32,0)</f>
        <v>20.5228</v>
      </c>
      <c r="AG87" s="13">
        <f>VLOOKUP(A:A,[1]TDSheet!$A:$AG,33,0)</f>
        <v>15.894200000000001</v>
      </c>
      <c r="AH87" s="13">
        <f>VLOOKUP(A:A,[3]TDSheet!$A:$D,4,0)</f>
        <v>27.524000000000001</v>
      </c>
      <c r="AI87" s="13" t="str">
        <f>VLOOKUP(A:A,[1]TDSheet!$A:$AI,35,0)</f>
        <v>Паша50%</v>
      </c>
      <c r="AJ87" s="13">
        <f t="shared" si="19"/>
        <v>20</v>
      </c>
      <c r="AK87" s="13"/>
      <c r="AL87" s="13"/>
      <c r="AM87" s="13"/>
    </row>
    <row r="88" spans="1:39" s="1" customFormat="1" ht="21.95" customHeight="1" outlineLevel="1" x14ac:dyDescent="0.2">
      <c r="A88" s="7" t="s">
        <v>91</v>
      </c>
      <c r="B88" s="7" t="s">
        <v>12</v>
      </c>
      <c r="C88" s="8">
        <v>39</v>
      </c>
      <c r="D88" s="8">
        <v>103</v>
      </c>
      <c r="E88" s="8">
        <v>39</v>
      </c>
      <c r="F88" s="8">
        <v>32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3">
        <f>VLOOKUP(A:A,[2]TDSheet!$A:$F,6,0)</f>
        <v>56</v>
      </c>
      <c r="K88" s="13">
        <f t="shared" si="15"/>
        <v>-17</v>
      </c>
      <c r="L88" s="13">
        <f>VLOOKUP(A:A,[1]TDSheet!$A:$M,13,0)</f>
        <v>30</v>
      </c>
      <c r="M88" s="13">
        <f>VLOOKUP(A:A,[1]TDSheet!$A:$N,14,0)</f>
        <v>10</v>
      </c>
      <c r="N88" s="13">
        <f>VLOOKUP(A:A,[1]TDSheet!$A:$U,21,0)</f>
        <v>0</v>
      </c>
      <c r="O88" s="13">
        <f>VLOOKUP(A:A,[1]TDSheet!$A:$V,22,0)</f>
        <v>0</v>
      </c>
      <c r="P88" s="13">
        <f>VLOOKUP(A:A,[1]TDSheet!$A:$X,24,0)</f>
        <v>0</v>
      </c>
      <c r="Q88" s="13"/>
      <c r="R88" s="13"/>
      <c r="S88" s="13"/>
      <c r="T88" s="13"/>
      <c r="U88" s="13"/>
      <c r="V88" s="13"/>
      <c r="W88" s="13">
        <f t="shared" si="16"/>
        <v>7.8</v>
      </c>
      <c r="X88" s="16"/>
      <c r="Y88" s="17">
        <f t="shared" si="17"/>
        <v>9.2307692307692317</v>
      </c>
      <c r="Z88" s="13">
        <f t="shared" si="18"/>
        <v>4.1025641025641031</v>
      </c>
      <c r="AA88" s="13"/>
      <c r="AB88" s="13"/>
      <c r="AC88" s="13"/>
      <c r="AD88" s="13">
        <f>VLOOKUP(A:A,[1]TDSheet!$A:$AD,30,0)</f>
        <v>0</v>
      </c>
      <c r="AE88" s="13">
        <f>VLOOKUP(A:A,[1]TDSheet!$A:$AE,31,0)</f>
        <v>4.5999999999999996</v>
      </c>
      <c r="AF88" s="13">
        <f>VLOOKUP(A:A,[1]TDSheet!$A:$AF,32,0)</f>
        <v>6</v>
      </c>
      <c r="AG88" s="13">
        <f>VLOOKUP(A:A,[1]TDSheet!$A:$AG,33,0)</f>
        <v>8.4</v>
      </c>
      <c r="AH88" s="13">
        <f>VLOOKUP(A:A,[3]TDSheet!$A:$D,4,0)</f>
        <v>8</v>
      </c>
      <c r="AI88" s="13" t="str">
        <f>VLOOKUP(A:A,[1]TDSheet!$A:$AI,35,0)</f>
        <v>увел</v>
      </c>
      <c r="AJ88" s="13">
        <f t="shared" si="19"/>
        <v>0</v>
      </c>
      <c r="AK88" s="13"/>
      <c r="AL88" s="13"/>
      <c r="AM88" s="13"/>
    </row>
    <row r="89" spans="1:39" s="1" customFormat="1" ht="21.95" customHeight="1" outlineLevel="1" x14ac:dyDescent="0.2">
      <c r="A89" s="7" t="s">
        <v>92</v>
      </c>
      <c r="B89" s="7" t="s">
        <v>12</v>
      </c>
      <c r="C89" s="8">
        <v>-15</v>
      </c>
      <c r="D89" s="8">
        <v>344</v>
      </c>
      <c r="E89" s="8">
        <v>139</v>
      </c>
      <c r="F89" s="8">
        <v>140</v>
      </c>
      <c r="G89" s="1">
        <f>VLOOKUP(A:A,[1]TDSheet!$A:$G,7,0)</f>
        <v>0</v>
      </c>
      <c r="H89" s="1">
        <f>VLOOKUP(A:A,[1]TDSheet!$A:$H,8,0)</f>
        <v>0.2</v>
      </c>
      <c r="I89" s="1" t="e">
        <f>VLOOKUP(A:A,[1]TDSheet!$A:$I,9,0)</f>
        <v>#N/A</v>
      </c>
      <c r="J89" s="13">
        <f>VLOOKUP(A:A,[2]TDSheet!$A:$F,6,0)</f>
        <v>361</v>
      </c>
      <c r="K89" s="13">
        <f t="shared" si="15"/>
        <v>-222</v>
      </c>
      <c r="L89" s="13">
        <f>VLOOKUP(A:A,[1]TDSheet!$A:$M,13,0)</f>
        <v>50</v>
      </c>
      <c r="M89" s="13">
        <f>VLOOKUP(A:A,[1]TDSheet!$A:$N,14,0)</f>
        <v>30</v>
      </c>
      <c r="N89" s="13">
        <f>VLOOKUP(A:A,[1]TDSheet!$A:$U,21,0)</f>
        <v>0</v>
      </c>
      <c r="O89" s="13">
        <f>VLOOKUP(A:A,[1]TDSheet!$A:$V,22,0)</f>
        <v>50</v>
      </c>
      <c r="P89" s="13">
        <f>VLOOKUP(A:A,[1]TDSheet!$A:$X,24,0)</f>
        <v>70</v>
      </c>
      <c r="Q89" s="13"/>
      <c r="R89" s="13"/>
      <c r="S89" s="13"/>
      <c r="T89" s="13"/>
      <c r="U89" s="13"/>
      <c r="V89" s="13"/>
      <c r="W89" s="13">
        <f t="shared" si="16"/>
        <v>27.8</v>
      </c>
      <c r="X89" s="16">
        <v>50</v>
      </c>
      <c r="Y89" s="17">
        <f t="shared" si="17"/>
        <v>14.028776978417266</v>
      </c>
      <c r="Z89" s="13">
        <f t="shared" si="18"/>
        <v>5.0359712230215825</v>
      </c>
      <c r="AA89" s="13"/>
      <c r="AB89" s="13"/>
      <c r="AC89" s="13"/>
      <c r="AD89" s="13">
        <f>VLOOKUP(A:A,[1]TDSheet!$A:$AD,30,0)</f>
        <v>0</v>
      </c>
      <c r="AE89" s="13">
        <f>VLOOKUP(A:A,[1]TDSheet!$A:$AE,31,0)</f>
        <v>14</v>
      </c>
      <c r="AF89" s="13">
        <f>VLOOKUP(A:A,[1]TDSheet!$A:$AF,32,0)</f>
        <v>13</v>
      </c>
      <c r="AG89" s="13">
        <f>VLOOKUP(A:A,[1]TDSheet!$A:$AG,33,0)</f>
        <v>31.6</v>
      </c>
      <c r="AH89" s="13">
        <f>VLOOKUP(A:A,[3]TDSheet!$A:$D,4,0)</f>
        <v>65</v>
      </c>
      <c r="AI89" s="13" t="str">
        <f>VLOOKUP(A:A,[1]TDSheet!$A:$AI,35,0)</f>
        <v>склад</v>
      </c>
      <c r="AJ89" s="13">
        <f t="shared" si="19"/>
        <v>10</v>
      </c>
      <c r="AK89" s="13"/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12</v>
      </c>
      <c r="C90" s="8">
        <v>279</v>
      </c>
      <c r="D90" s="8">
        <v>155</v>
      </c>
      <c r="E90" s="8">
        <v>350</v>
      </c>
      <c r="F90" s="8">
        <v>60</v>
      </c>
      <c r="G90" s="1">
        <f>VLOOKUP(A:A,[1]TDSheet!$A:$G,7,0)</f>
        <v>0</v>
      </c>
      <c r="H90" s="1">
        <f>VLOOKUP(A:A,[1]TDSheet!$A:$H,8,0)</f>
        <v>0.3</v>
      </c>
      <c r="I90" s="1" t="e">
        <f>VLOOKUP(A:A,[1]TDSheet!$A:$I,9,0)</f>
        <v>#N/A</v>
      </c>
      <c r="J90" s="13">
        <f>VLOOKUP(A:A,[2]TDSheet!$A:$F,6,0)</f>
        <v>391</v>
      </c>
      <c r="K90" s="13">
        <f t="shared" si="15"/>
        <v>-41</v>
      </c>
      <c r="L90" s="13">
        <f>VLOOKUP(A:A,[1]TDSheet!$A:$M,13,0)</f>
        <v>90</v>
      </c>
      <c r="M90" s="13">
        <f>VLOOKUP(A:A,[1]TDSheet!$A:$N,14,0)</f>
        <v>100</v>
      </c>
      <c r="N90" s="13">
        <f>VLOOKUP(A:A,[1]TDSheet!$A:$U,21,0)</f>
        <v>50</v>
      </c>
      <c r="O90" s="13">
        <f>VLOOKUP(A:A,[1]TDSheet!$A:$V,22,0)</f>
        <v>100</v>
      </c>
      <c r="P90" s="13">
        <f>VLOOKUP(A:A,[1]TDSheet!$A:$X,24,0)</f>
        <v>60</v>
      </c>
      <c r="Q90" s="13"/>
      <c r="R90" s="13"/>
      <c r="S90" s="13"/>
      <c r="T90" s="13"/>
      <c r="U90" s="13"/>
      <c r="V90" s="13"/>
      <c r="W90" s="13">
        <f t="shared" si="16"/>
        <v>70</v>
      </c>
      <c r="X90" s="16">
        <v>30</v>
      </c>
      <c r="Y90" s="17">
        <f t="shared" si="17"/>
        <v>7</v>
      </c>
      <c r="Z90" s="13">
        <f t="shared" si="18"/>
        <v>0.8571428571428571</v>
      </c>
      <c r="AA90" s="13"/>
      <c r="AB90" s="13"/>
      <c r="AC90" s="13"/>
      <c r="AD90" s="13">
        <f>VLOOKUP(A:A,[1]TDSheet!$A:$AD,30,0)</f>
        <v>0</v>
      </c>
      <c r="AE90" s="13">
        <f>VLOOKUP(A:A,[1]TDSheet!$A:$AE,31,0)</f>
        <v>81</v>
      </c>
      <c r="AF90" s="13">
        <f>VLOOKUP(A:A,[1]TDSheet!$A:$AF,32,0)</f>
        <v>79.400000000000006</v>
      </c>
      <c r="AG90" s="13">
        <f>VLOOKUP(A:A,[1]TDSheet!$A:$AG,33,0)</f>
        <v>64.400000000000006</v>
      </c>
      <c r="AH90" s="13">
        <f>VLOOKUP(A:A,[3]TDSheet!$A:$D,4,0)</f>
        <v>39</v>
      </c>
      <c r="AI90" s="13" t="str">
        <f>VLOOKUP(A:A,[1]TDSheet!$A:$AI,35,0)</f>
        <v>оконч</v>
      </c>
      <c r="AJ90" s="13">
        <f t="shared" si="19"/>
        <v>9</v>
      </c>
      <c r="AK90" s="13"/>
      <c r="AL90" s="13"/>
      <c r="AM90" s="13"/>
    </row>
    <row r="91" spans="1:39" s="1" customFormat="1" ht="11.1" customHeight="1" outlineLevel="1" x14ac:dyDescent="0.2">
      <c r="A91" s="7" t="s">
        <v>94</v>
      </c>
      <c r="B91" s="7" t="s">
        <v>8</v>
      </c>
      <c r="C91" s="8">
        <v>209.71299999999999</v>
      </c>
      <c r="D91" s="8">
        <v>904.78700000000003</v>
      </c>
      <c r="E91" s="8">
        <v>391.55099999999999</v>
      </c>
      <c r="F91" s="8">
        <v>100.64100000000001</v>
      </c>
      <c r="G91" s="1" t="str">
        <f>VLOOKUP(A:A,[1]TDSheet!$A:$G,7,0)</f>
        <v>тк3004,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395.36500000000001</v>
      </c>
      <c r="K91" s="13">
        <f t="shared" si="15"/>
        <v>-3.8140000000000214</v>
      </c>
      <c r="L91" s="13">
        <f>VLOOKUP(A:A,[1]TDSheet!$A:$M,13,0)</f>
        <v>120</v>
      </c>
      <c r="M91" s="13">
        <f>VLOOKUP(A:A,[1]TDSheet!$A:$N,14,0)</f>
        <v>120</v>
      </c>
      <c r="N91" s="13">
        <f>VLOOKUP(A:A,[1]TDSheet!$A:$U,21,0)</f>
        <v>50</v>
      </c>
      <c r="O91" s="13">
        <f>VLOOKUP(A:A,[1]TDSheet!$A:$V,22,0)</f>
        <v>100</v>
      </c>
      <c r="P91" s="13">
        <f>VLOOKUP(A:A,[1]TDSheet!$A:$X,24,0)</f>
        <v>150</v>
      </c>
      <c r="Q91" s="13"/>
      <c r="R91" s="13"/>
      <c r="S91" s="13"/>
      <c r="T91" s="13"/>
      <c r="U91" s="13"/>
      <c r="V91" s="13"/>
      <c r="W91" s="13">
        <f t="shared" si="16"/>
        <v>78.310199999999995</v>
      </c>
      <c r="X91" s="16">
        <v>50</v>
      </c>
      <c r="Y91" s="17">
        <f t="shared" si="17"/>
        <v>8.8192981246376601</v>
      </c>
      <c r="Z91" s="13">
        <f t="shared" si="18"/>
        <v>1.2851582552464431</v>
      </c>
      <c r="AA91" s="13"/>
      <c r="AB91" s="13"/>
      <c r="AC91" s="13"/>
      <c r="AD91" s="13">
        <f>VLOOKUP(A:A,[1]TDSheet!$A:$AD,30,0)</f>
        <v>0</v>
      </c>
      <c r="AE91" s="13">
        <f>VLOOKUP(A:A,[1]TDSheet!$A:$AE,31,0)</f>
        <v>56.546799999999998</v>
      </c>
      <c r="AF91" s="13">
        <f>VLOOKUP(A:A,[1]TDSheet!$A:$AF,32,0)</f>
        <v>73.0364</v>
      </c>
      <c r="AG91" s="13">
        <f>VLOOKUP(A:A,[1]TDSheet!$A:$AG,33,0)</f>
        <v>78.226199999999992</v>
      </c>
      <c r="AH91" s="13">
        <f>VLOOKUP(A:A,[3]TDSheet!$A:$D,4,0)</f>
        <v>55.106999999999999</v>
      </c>
      <c r="AI91" s="13" t="e">
        <f>VLOOKUP(A:A,[1]TDSheet!$A:$AI,35,0)</f>
        <v>#N/A</v>
      </c>
      <c r="AJ91" s="13">
        <f t="shared" si="19"/>
        <v>50</v>
      </c>
      <c r="AK91" s="13"/>
      <c r="AL91" s="13"/>
      <c r="AM91" s="13"/>
    </row>
    <row r="92" spans="1:39" s="1" customFormat="1" ht="11.1" customHeight="1" outlineLevel="1" x14ac:dyDescent="0.2">
      <c r="A92" s="7" t="s">
        <v>95</v>
      </c>
      <c r="B92" s="7" t="s">
        <v>8</v>
      </c>
      <c r="C92" s="8">
        <v>805.48299999999995</v>
      </c>
      <c r="D92" s="8">
        <v>25074.955999999998</v>
      </c>
      <c r="E92" s="8">
        <v>4678.6480000000001</v>
      </c>
      <c r="F92" s="8">
        <v>223.78700000000001</v>
      </c>
      <c r="G92" s="1" t="str">
        <f>VLOOKUP(A:A,[1]TDSheet!$A:$G,7,0)</f>
        <v>тк3004,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6412.1629999999996</v>
      </c>
      <c r="K92" s="13">
        <f t="shared" si="15"/>
        <v>-1733.5149999999994</v>
      </c>
      <c r="L92" s="13">
        <f>VLOOKUP(A:A,[1]TDSheet!$A:$M,13,0)</f>
        <v>1600</v>
      </c>
      <c r="M92" s="13">
        <f>VLOOKUP(A:A,[1]TDSheet!$A:$N,14,0)</f>
        <v>1100</v>
      </c>
      <c r="N92" s="13">
        <f>VLOOKUP(A:A,[1]TDSheet!$A:$U,21,0)</f>
        <v>1000</v>
      </c>
      <c r="O92" s="13">
        <f>VLOOKUP(A:A,[1]TDSheet!$A:$V,22,0)</f>
        <v>1500</v>
      </c>
      <c r="P92" s="13">
        <f>VLOOKUP(A:A,[1]TDSheet!$A:$X,24,0)</f>
        <v>1400</v>
      </c>
      <c r="Q92" s="13"/>
      <c r="R92" s="13"/>
      <c r="S92" s="13"/>
      <c r="T92" s="13"/>
      <c r="U92" s="13"/>
      <c r="V92" s="13"/>
      <c r="W92" s="13">
        <f t="shared" si="16"/>
        <v>935.7296</v>
      </c>
      <c r="X92" s="16">
        <v>600</v>
      </c>
      <c r="Y92" s="17">
        <f t="shared" si="17"/>
        <v>7.9336883219254792</v>
      </c>
      <c r="Z92" s="13">
        <f t="shared" si="18"/>
        <v>0.23915776523474302</v>
      </c>
      <c r="AA92" s="13"/>
      <c r="AB92" s="13"/>
      <c r="AC92" s="13"/>
      <c r="AD92" s="13">
        <f>VLOOKUP(A:A,[1]TDSheet!$A:$AD,30,0)</f>
        <v>0</v>
      </c>
      <c r="AE92" s="13">
        <f>VLOOKUP(A:A,[1]TDSheet!$A:$AE,31,0)</f>
        <v>630.44839999999999</v>
      </c>
      <c r="AF92" s="13">
        <f>VLOOKUP(A:A,[1]TDSheet!$A:$AF,32,0)</f>
        <v>714.28459999999995</v>
      </c>
      <c r="AG92" s="13">
        <f>VLOOKUP(A:A,[1]TDSheet!$A:$AG,33,0)</f>
        <v>936.80679999999995</v>
      </c>
      <c r="AH92" s="13">
        <f>VLOOKUP(A:A,[3]TDSheet!$A:$D,4,0)</f>
        <v>613.46600000000001</v>
      </c>
      <c r="AI92" s="13">
        <f>VLOOKUP(A:A,[1]TDSheet!$A:$AI,35,0)</f>
        <v>0</v>
      </c>
      <c r="AJ92" s="13">
        <f t="shared" si="19"/>
        <v>600</v>
      </c>
      <c r="AK92" s="13"/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8</v>
      </c>
      <c r="C93" s="8">
        <v>3782.7950000000001</v>
      </c>
      <c r="D93" s="8">
        <v>4851.6270000000004</v>
      </c>
      <c r="E93" s="18">
        <v>4807</v>
      </c>
      <c r="F93" s="18">
        <v>67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5422.6369999999997</v>
      </c>
      <c r="K93" s="13">
        <f t="shared" si="15"/>
        <v>-615.63699999999972</v>
      </c>
      <c r="L93" s="13">
        <f>VLOOKUP(A:A,[1]TDSheet!$A:$M,13,0)</f>
        <v>1700</v>
      </c>
      <c r="M93" s="13">
        <f>VLOOKUP(A:A,[1]TDSheet!$A:$N,14,0)</f>
        <v>1200</v>
      </c>
      <c r="N93" s="13">
        <f>VLOOKUP(A:A,[1]TDSheet!$A:$U,21,0)</f>
        <v>1750</v>
      </c>
      <c r="O93" s="13">
        <f>VLOOKUP(A:A,[1]TDSheet!$A:$V,22,0)</f>
        <v>2600</v>
      </c>
      <c r="P93" s="13">
        <f>VLOOKUP(A:A,[1]TDSheet!$A:$X,24,0)</f>
        <v>1600</v>
      </c>
      <c r="Q93" s="13"/>
      <c r="R93" s="13"/>
      <c r="S93" s="13"/>
      <c r="T93" s="13"/>
      <c r="U93" s="13"/>
      <c r="V93" s="13"/>
      <c r="W93" s="13">
        <f t="shared" si="16"/>
        <v>961.4</v>
      </c>
      <c r="X93" s="16">
        <v>700</v>
      </c>
      <c r="Y93" s="17">
        <f t="shared" si="17"/>
        <v>10.003120449344706</v>
      </c>
      <c r="Z93" s="13">
        <f t="shared" si="18"/>
        <v>6.9690035365092579E-2</v>
      </c>
      <c r="AA93" s="13"/>
      <c r="AB93" s="13"/>
      <c r="AC93" s="13"/>
      <c r="AD93" s="13">
        <f>VLOOKUP(A:A,[1]TDSheet!$A:$AD,30,0)</f>
        <v>0</v>
      </c>
      <c r="AE93" s="13">
        <f>VLOOKUP(A:A,[1]TDSheet!$A:$AE,31,0)</f>
        <v>1456.2</v>
      </c>
      <c r="AF93" s="13">
        <f>VLOOKUP(A:A,[1]TDSheet!$A:$AF,32,0)</f>
        <v>1342.8</v>
      </c>
      <c r="AG93" s="13">
        <f>VLOOKUP(A:A,[1]TDSheet!$A:$AG,33,0)</f>
        <v>1189.2</v>
      </c>
      <c r="AH93" s="13">
        <f>VLOOKUP(A:A,[3]TDSheet!$A:$D,4,0)</f>
        <v>68.739999999999995</v>
      </c>
      <c r="AI93" s="13">
        <f>VLOOKUP(A:A,[1]TDSheet!$A:$AI,35,0)</f>
        <v>0</v>
      </c>
      <c r="AJ93" s="13">
        <f t="shared" si="19"/>
        <v>700</v>
      </c>
      <c r="AK93" s="13"/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1820.664</v>
      </c>
      <c r="D94" s="8">
        <v>10724.31</v>
      </c>
      <c r="E94" s="8">
        <v>5576.1909999999998</v>
      </c>
      <c r="F94" s="8">
        <v>368.52300000000002</v>
      </c>
      <c r="G94" s="1" t="str">
        <f>VLOOKUP(A:A,[1]TDSheet!$A:$G,7,0)</f>
        <v>тк3004,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7965.75</v>
      </c>
      <c r="K94" s="13">
        <f t="shared" si="15"/>
        <v>-2389.5590000000002</v>
      </c>
      <c r="L94" s="13">
        <f>VLOOKUP(A:A,[1]TDSheet!$A:$M,13,0)</f>
        <v>1700</v>
      </c>
      <c r="M94" s="13">
        <f>VLOOKUP(A:A,[1]TDSheet!$A:$N,14,0)</f>
        <v>1200</v>
      </c>
      <c r="N94" s="13">
        <f>VLOOKUP(A:A,[1]TDSheet!$A:$U,21,0)</f>
        <v>2000</v>
      </c>
      <c r="O94" s="13">
        <f>VLOOKUP(A:A,[1]TDSheet!$A:$V,22,0)</f>
        <v>1800</v>
      </c>
      <c r="P94" s="13">
        <f>VLOOKUP(A:A,[1]TDSheet!$A:$X,24,0)</f>
        <v>1800</v>
      </c>
      <c r="Q94" s="13"/>
      <c r="R94" s="13"/>
      <c r="S94" s="13"/>
      <c r="T94" s="13"/>
      <c r="U94" s="13"/>
      <c r="V94" s="13"/>
      <c r="W94" s="13">
        <f t="shared" si="16"/>
        <v>1115.2382</v>
      </c>
      <c r="X94" s="16">
        <v>800</v>
      </c>
      <c r="Y94" s="17">
        <f t="shared" si="17"/>
        <v>8.6694689977441595</v>
      </c>
      <c r="Z94" s="13">
        <f t="shared" si="18"/>
        <v>0.33044330798568416</v>
      </c>
      <c r="AA94" s="13"/>
      <c r="AB94" s="13"/>
      <c r="AC94" s="13"/>
      <c r="AD94" s="13">
        <f>VLOOKUP(A:A,[1]TDSheet!$A:$AD,30,0)</f>
        <v>0</v>
      </c>
      <c r="AE94" s="13">
        <f>VLOOKUP(A:A,[1]TDSheet!$A:$AE,31,0)</f>
        <v>653.50600000000009</v>
      </c>
      <c r="AF94" s="13">
        <f>VLOOKUP(A:A,[1]TDSheet!$A:$AF,32,0)</f>
        <v>885.09359999999992</v>
      </c>
      <c r="AG94" s="13">
        <f>VLOOKUP(A:A,[1]TDSheet!$A:$AG,33,0)</f>
        <v>1029.1654000000001</v>
      </c>
      <c r="AH94" s="13">
        <f>VLOOKUP(A:A,[3]TDSheet!$A:$D,4,0)</f>
        <v>558.52300000000002</v>
      </c>
      <c r="AI94" s="13" t="str">
        <f>VLOOKUP(A:A,[1]TDSheet!$A:$AI,35,0)</f>
        <v>апряб</v>
      </c>
      <c r="AJ94" s="13">
        <f t="shared" si="19"/>
        <v>800</v>
      </c>
      <c r="AK94" s="13"/>
      <c r="AL94" s="13"/>
      <c r="AM94" s="13"/>
    </row>
    <row r="95" spans="1:39" s="1" customFormat="1" ht="21.95" customHeight="1" outlineLevel="1" x14ac:dyDescent="0.2">
      <c r="A95" s="7" t="s">
        <v>98</v>
      </c>
      <c r="B95" s="7" t="s">
        <v>8</v>
      </c>
      <c r="C95" s="8">
        <v>9.9169999999999998</v>
      </c>
      <c r="D95" s="8"/>
      <c r="E95" s="8">
        <v>5.3869999999999996</v>
      </c>
      <c r="F95" s="8">
        <v>4.53</v>
      </c>
      <c r="G95" s="1">
        <f>VLOOKUP(A:A,[1]TDSheet!$A:$G,7,0)</f>
        <v>0</v>
      </c>
      <c r="H95" s="1">
        <f>VLOOKUP(A:A,[1]TDSheet!$A:$H,8,0)</f>
        <v>1</v>
      </c>
      <c r="I95" s="1" t="e">
        <f>VLOOKUP(A:A,[1]TDSheet!$A:$I,9,0)</f>
        <v>#N/A</v>
      </c>
      <c r="J95" s="13">
        <f>VLOOKUP(A:A,[2]TDSheet!$A:$F,6,0)</f>
        <v>9.1</v>
      </c>
      <c r="K95" s="13">
        <f t="shared" si="15"/>
        <v>-3.7130000000000001</v>
      </c>
      <c r="L95" s="13">
        <f>VLOOKUP(A:A,[1]TDSheet!$A:$M,13,0)</f>
        <v>0</v>
      </c>
      <c r="M95" s="13">
        <f>VLOOKUP(A:A,[1]TDSheet!$A:$N,14,0)</f>
        <v>0</v>
      </c>
      <c r="N95" s="13">
        <f>VLOOKUP(A:A,[1]TDSheet!$A:$U,21,0)</f>
        <v>0</v>
      </c>
      <c r="O95" s="13">
        <f>VLOOKUP(A:A,[1]TDSheet!$A:$V,22,0)</f>
        <v>0</v>
      </c>
      <c r="P95" s="13">
        <f>VLOOKUP(A:A,[1]TDSheet!$A:$X,24,0)</f>
        <v>0</v>
      </c>
      <c r="Q95" s="13"/>
      <c r="R95" s="13"/>
      <c r="S95" s="13"/>
      <c r="T95" s="13"/>
      <c r="U95" s="13"/>
      <c r="V95" s="13"/>
      <c r="W95" s="13">
        <f t="shared" si="16"/>
        <v>1.0773999999999999</v>
      </c>
      <c r="X95" s="16">
        <v>10</v>
      </c>
      <c r="Y95" s="17">
        <f t="shared" si="17"/>
        <v>13.486170410246892</v>
      </c>
      <c r="Z95" s="13">
        <f t="shared" si="18"/>
        <v>4.2045665490996846</v>
      </c>
      <c r="AA95" s="13"/>
      <c r="AB95" s="13"/>
      <c r="AC95" s="13"/>
      <c r="AD95" s="13">
        <f>VLOOKUP(A:A,[1]TDSheet!$A:$AD,30,0)</f>
        <v>0</v>
      </c>
      <c r="AE95" s="13">
        <f>VLOOKUP(A:A,[1]TDSheet!$A:$AE,31,0)</f>
        <v>0.80519999999999992</v>
      </c>
      <c r="AF95" s="13">
        <f>VLOOKUP(A:A,[1]TDSheet!$A:$AF,32,0)</f>
        <v>1.0651999999999999</v>
      </c>
      <c r="AG95" s="13">
        <f>VLOOKUP(A:A,[1]TDSheet!$A:$AG,33,0)</f>
        <v>1.345</v>
      </c>
      <c r="AH95" s="13">
        <v>0</v>
      </c>
      <c r="AI95" s="13" t="str">
        <f>VLOOKUP(A:A,[1]TDSheet!$A:$AI,35,0)</f>
        <v>увел</v>
      </c>
      <c r="AJ95" s="13">
        <f t="shared" si="19"/>
        <v>10</v>
      </c>
      <c r="AK95" s="13"/>
      <c r="AL95" s="13"/>
      <c r="AM95" s="13"/>
    </row>
    <row r="96" spans="1:39" s="1" customFormat="1" ht="21.95" customHeight="1" outlineLevel="1" x14ac:dyDescent="0.2">
      <c r="A96" s="7" t="s">
        <v>99</v>
      </c>
      <c r="B96" s="7" t="s">
        <v>8</v>
      </c>
      <c r="C96" s="8">
        <v>194.167</v>
      </c>
      <c r="D96" s="8">
        <v>949.70600000000002</v>
      </c>
      <c r="E96" s="8">
        <v>219.989</v>
      </c>
      <c r="F96" s="8">
        <v>115.71899999999999</v>
      </c>
      <c r="G96" s="1" t="str">
        <f>VLOOKUP(A:A,[1]TDSheet!$A:$G,7,0)</f>
        <v>г</v>
      </c>
      <c r="H96" s="1">
        <f>VLOOKUP(A:A,[1]TDSheet!$A:$H,8,0)</f>
        <v>1</v>
      </c>
      <c r="I96" s="1" t="e">
        <f>VLOOKUP(A:A,[1]TDSheet!$A:$I,9,0)</f>
        <v>#N/A</v>
      </c>
      <c r="J96" s="13">
        <f>VLOOKUP(A:A,[2]TDSheet!$A:$F,6,0)</f>
        <v>220.83600000000001</v>
      </c>
      <c r="K96" s="13">
        <f t="shared" si="15"/>
        <v>-0.84700000000000841</v>
      </c>
      <c r="L96" s="13">
        <f>VLOOKUP(A:A,[1]TDSheet!$A:$M,13,0)</f>
        <v>40</v>
      </c>
      <c r="M96" s="13">
        <f>VLOOKUP(A:A,[1]TDSheet!$A:$N,14,0)</f>
        <v>40</v>
      </c>
      <c r="N96" s="13">
        <f>VLOOKUP(A:A,[1]TDSheet!$A:$U,21,0)</f>
        <v>50</v>
      </c>
      <c r="O96" s="13">
        <f>VLOOKUP(A:A,[1]TDSheet!$A:$V,22,0)</f>
        <v>0</v>
      </c>
      <c r="P96" s="13">
        <f>VLOOKUP(A:A,[1]TDSheet!$A:$X,24,0)</f>
        <v>40</v>
      </c>
      <c r="Q96" s="13"/>
      <c r="R96" s="13"/>
      <c r="S96" s="13"/>
      <c r="T96" s="13"/>
      <c r="U96" s="13"/>
      <c r="V96" s="13"/>
      <c r="W96" s="13">
        <f t="shared" si="16"/>
        <v>43.997799999999998</v>
      </c>
      <c r="X96" s="16">
        <v>20</v>
      </c>
      <c r="Y96" s="17">
        <f t="shared" si="17"/>
        <v>6.9485065162349029</v>
      </c>
      <c r="Z96" s="13">
        <f t="shared" si="18"/>
        <v>2.6301087781661812</v>
      </c>
      <c r="AA96" s="13"/>
      <c r="AB96" s="13"/>
      <c r="AC96" s="13"/>
      <c r="AD96" s="13">
        <f>VLOOKUP(A:A,[1]TDSheet!$A:$AD,30,0)</f>
        <v>0</v>
      </c>
      <c r="AE96" s="13">
        <f>VLOOKUP(A:A,[1]TDSheet!$A:$AE,31,0)</f>
        <v>46.438400000000001</v>
      </c>
      <c r="AF96" s="13">
        <f>VLOOKUP(A:A,[1]TDSheet!$A:$AF,32,0)</f>
        <v>46.959199999999996</v>
      </c>
      <c r="AG96" s="13">
        <f>VLOOKUP(A:A,[1]TDSheet!$A:$AG,33,0)</f>
        <v>39.220199999999998</v>
      </c>
      <c r="AH96" s="13">
        <f>VLOOKUP(A:A,[3]TDSheet!$A:$D,4,0)</f>
        <v>50.631999999999998</v>
      </c>
      <c r="AI96" s="13">
        <f>VLOOKUP(A:A,[1]TDSheet!$A:$AI,35,0)</f>
        <v>0</v>
      </c>
      <c r="AJ96" s="13">
        <f t="shared" si="19"/>
        <v>20</v>
      </c>
      <c r="AK96" s="13"/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34</v>
      </c>
      <c r="D97" s="8">
        <v>105</v>
      </c>
      <c r="E97" s="8">
        <v>75</v>
      </c>
      <c r="F97" s="8">
        <v>57</v>
      </c>
      <c r="G97" s="1">
        <f>VLOOKUP(A:A,[1]TDSheet!$A:$G,7,0)</f>
        <v>0</v>
      </c>
      <c r="H97" s="1">
        <f>VLOOKUP(A:A,[1]TDSheet!$A:$H,8,0)</f>
        <v>0.5</v>
      </c>
      <c r="I97" s="1" t="e">
        <f>VLOOKUP(A:A,[1]TDSheet!$A:$I,9,0)</f>
        <v>#N/A</v>
      </c>
      <c r="J97" s="13">
        <f>VLOOKUP(A:A,[2]TDSheet!$A:$F,6,0)</f>
        <v>144</v>
      </c>
      <c r="K97" s="13">
        <f t="shared" si="15"/>
        <v>-69</v>
      </c>
      <c r="L97" s="13">
        <f>VLOOKUP(A:A,[1]TDSheet!$A:$M,13,0)</f>
        <v>30</v>
      </c>
      <c r="M97" s="13">
        <f>VLOOKUP(A:A,[1]TDSheet!$A:$N,14,0)</f>
        <v>30</v>
      </c>
      <c r="N97" s="13">
        <f>VLOOKUP(A:A,[1]TDSheet!$A:$U,21,0)</f>
        <v>0</v>
      </c>
      <c r="O97" s="13">
        <f>VLOOKUP(A:A,[1]TDSheet!$A:$V,22,0)</f>
        <v>0</v>
      </c>
      <c r="P97" s="13">
        <f>VLOOKUP(A:A,[1]TDSheet!$A:$X,24,0)</f>
        <v>0</v>
      </c>
      <c r="Q97" s="13"/>
      <c r="R97" s="13"/>
      <c r="S97" s="13"/>
      <c r="T97" s="13"/>
      <c r="U97" s="13"/>
      <c r="V97" s="13"/>
      <c r="W97" s="13">
        <f t="shared" si="16"/>
        <v>15</v>
      </c>
      <c r="X97" s="16"/>
      <c r="Y97" s="17">
        <f t="shared" si="17"/>
        <v>7.8</v>
      </c>
      <c r="Z97" s="13">
        <f t="shared" si="18"/>
        <v>3.8</v>
      </c>
      <c r="AA97" s="13"/>
      <c r="AB97" s="13"/>
      <c r="AC97" s="13"/>
      <c r="AD97" s="13">
        <f>VLOOKUP(A:A,[1]TDSheet!$A:$AD,30,0)</f>
        <v>0</v>
      </c>
      <c r="AE97" s="13">
        <f>VLOOKUP(A:A,[1]TDSheet!$A:$AE,31,0)</f>
        <v>20.399999999999999</v>
      </c>
      <c r="AF97" s="13">
        <f>VLOOKUP(A:A,[1]TDSheet!$A:$AF,32,0)</f>
        <v>20.399999999999999</v>
      </c>
      <c r="AG97" s="13">
        <f>VLOOKUP(A:A,[1]TDSheet!$A:$AG,33,0)</f>
        <v>19.8</v>
      </c>
      <c r="AH97" s="13">
        <f>VLOOKUP(A:A,[3]TDSheet!$A:$D,4,0)</f>
        <v>31</v>
      </c>
      <c r="AI97" s="13" t="e">
        <f>VLOOKUP(A:A,[1]TDSheet!$A:$AI,35,0)</f>
        <v>#N/A</v>
      </c>
      <c r="AJ97" s="13">
        <f t="shared" si="19"/>
        <v>0</v>
      </c>
      <c r="AK97" s="13"/>
      <c r="AL97" s="13"/>
      <c r="AM97" s="13"/>
    </row>
    <row r="98" spans="1:39" s="1" customFormat="1" ht="21.95" customHeight="1" outlineLevel="1" x14ac:dyDescent="0.2">
      <c r="A98" s="7" t="s">
        <v>101</v>
      </c>
      <c r="B98" s="7" t="s">
        <v>12</v>
      </c>
      <c r="C98" s="8">
        <v>7</v>
      </c>
      <c r="D98" s="8">
        <v>5</v>
      </c>
      <c r="E98" s="8">
        <v>3</v>
      </c>
      <c r="F98" s="8">
        <v>9</v>
      </c>
      <c r="G98" s="1">
        <f>VLOOKUP(A:A,[1]TDSheet!$A:$G,7,0)</f>
        <v>0</v>
      </c>
      <c r="H98" s="1">
        <f>VLOOKUP(A:A,[1]TDSheet!$A:$H,8,0)</f>
        <v>0.4</v>
      </c>
      <c r="I98" s="1">
        <f>VLOOKUP(A:A,[1]TDSheet!$A:$I,9,0)</f>
        <v>0</v>
      </c>
      <c r="J98" s="13">
        <f>VLOOKUP(A:A,[2]TDSheet!$A:$F,6,0)</f>
        <v>3</v>
      </c>
      <c r="K98" s="13">
        <f t="shared" si="15"/>
        <v>0</v>
      </c>
      <c r="L98" s="13">
        <f>VLOOKUP(A:A,[1]TDSheet!$A:$M,13,0)</f>
        <v>0</v>
      </c>
      <c r="M98" s="13">
        <f>VLOOKUP(A:A,[1]TDSheet!$A:$N,14,0)</f>
        <v>0</v>
      </c>
      <c r="N98" s="13">
        <f>VLOOKUP(A:A,[1]TDSheet!$A:$U,21,0)</f>
        <v>0</v>
      </c>
      <c r="O98" s="13">
        <f>VLOOKUP(A:A,[1]TDSheet!$A:$V,22,0)</f>
        <v>0</v>
      </c>
      <c r="P98" s="13">
        <f>VLOOKUP(A:A,[1]TDSheet!$A:$X,24,0)</f>
        <v>0</v>
      </c>
      <c r="Q98" s="13"/>
      <c r="R98" s="13"/>
      <c r="S98" s="13"/>
      <c r="T98" s="13"/>
      <c r="U98" s="13"/>
      <c r="V98" s="13"/>
      <c r="W98" s="13">
        <f t="shared" si="16"/>
        <v>0.6</v>
      </c>
      <c r="X98" s="16"/>
      <c r="Y98" s="17">
        <f t="shared" si="17"/>
        <v>15</v>
      </c>
      <c r="Z98" s="13">
        <f t="shared" si="18"/>
        <v>15</v>
      </c>
      <c r="AA98" s="13"/>
      <c r="AB98" s="13"/>
      <c r="AC98" s="13"/>
      <c r="AD98" s="13">
        <f>VLOOKUP(A:A,[1]TDSheet!$A:$AD,30,0)</f>
        <v>0</v>
      </c>
      <c r="AE98" s="13">
        <f>VLOOKUP(A:A,[1]TDSheet!$A:$AE,31,0)</f>
        <v>0.6</v>
      </c>
      <c r="AF98" s="13">
        <f>VLOOKUP(A:A,[1]TDSheet!$A:$AF,32,0)</f>
        <v>0</v>
      </c>
      <c r="AG98" s="13">
        <f>VLOOKUP(A:A,[1]TDSheet!$A:$AG,33,0)</f>
        <v>0.2</v>
      </c>
      <c r="AH98" s="13">
        <f>VLOOKUP(A:A,[3]TDSheet!$A:$D,4,0)</f>
        <v>2</v>
      </c>
      <c r="AI98" s="13" t="str">
        <f>VLOOKUP(A:A,[1]TDSheet!$A:$AI,35,0)</f>
        <v>зв 2</v>
      </c>
      <c r="AJ98" s="13">
        <f t="shared" si="19"/>
        <v>0</v>
      </c>
      <c r="AK98" s="13"/>
      <c r="AL98" s="13"/>
      <c r="AM98" s="13"/>
    </row>
    <row r="99" spans="1:39" s="1" customFormat="1" ht="11.1" customHeight="1" outlineLevel="1" x14ac:dyDescent="0.2">
      <c r="A99" s="7" t="s">
        <v>102</v>
      </c>
      <c r="B99" s="7" t="s">
        <v>8</v>
      </c>
      <c r="C99" s="8">
        <v>32.624000000000002</v>
      </c>
      <c r="D99" s="8">
        <v>63.41</v>
      </c>
      <c r="E99" s="8">
        <v>53.966999999999999</v>
      </c>
      <c r="F99" s="8">
        <v>40.734000000000002</v>
      </c>
      <c r="G99" s="1" t="str">
        <f>VLOOKUP(A:A,[1]TDSheet!$A:$G,7,0)</f>
        <v>нов1202</v>
      </c>
      <c r="H99" s="1">
        <f>VLOOKUP(A:A,[1]TDSheet!$A:$H,8,0)</f>
        <v>1</v>
      </c>
      <c r="I99" s="1" t="e">
        <f>VLOOKUP(A:A,[1]TDSheet!$A:$I,9,0)</f>
        <v>#N/A</v>
      </c>
      <c r="J99" s="13">
        <f>VLOOKUP(A:A,[2]TDSheet!$A:$F,6,0)</f>
        <v>80.010000000000005</v>
      </c>
      <c r="K99" s="13">
        <f t="shared" si="15"/>
        <v>-26.043000000000006</v>
      </c>
      <c r="L99" s="13">
        <f>VLOOKUP(A:A,[1]TDSheet!$A:$M,13,0)</f>
        <v>0</v>
      </c>
      <c r="M99" s="13">
        <f>VLOOKUP(A:A,[1]TDSheet!$A:$N,14,0)</f>
        <v>20</v>
      </c>
      <c r="N99" s="13">
        <f>VLOOKUP(A:A,[1]TDSheet!$A:$U,21,0)</f>
        <v>0</v>
      </c>
      <c r="O99" s="13">
        <f>VLOOKUP(A:A,[1]TDSheet!$A:$V,22,0)</f>
        <v>0</v>
      </c>
      <c r="P99" s="13">
        <f>VLOOKUP(A:A,[1]TDSheet!$A:$X,24,0)</f>
        <v>0</v>
      </c>
      <c r="Q99" s="13"/>
      <c r="R99" s="13"/>
      <c r="S99" s="13"/>
      <c r="T99" s="13"/>
      <c r="U99" s="13"/>
      <c r="V99" s="13"/>
      <c r="W99" s="13">
        <f t="shared" si="16"/>
        <v>10.7934</v>
      </c>
      <c r="X99" s="16">
        <v>20</v>
      </c>
      <c r="Y99" s="17">
        <f t="shared" si="17"/>
        <v>7.479941445698298</v>
      </c>
      <c r="Z99" s="13">
        <f t="shared" si="18"/>
        <v>3.7739729834899105</v>
      </c>
      <c r="AA99" s="13"/>
      <c r="AB99" s="13"/>
      <c r="AC99" s="13"/>
      <c r="AD99" s="13">
        <f>VLOOKUP(A:A,[1]TDSheet!$A:$AD,30,0)</f>
        <v>0</v>
      </c>
      <c r="AE99" s="13">
        <f>VLOOKUP(A:A,[1]TDSheet!$A:$AE,31,0)</f>
        <v>20.179200000000002</v>
      </c>
      <c r="AF99" s="13">
        <f>VLOOKUP(A:A,[1]TDSheet!$A:$AF,32,0)</f>
        <v>7.1328000000000005</v>
      </c>
      <c r="AG99" s="13">
        <f>VLOOKUP(A:A,[1]TDSheet!$A:$AG,33,0)</f>
        <v>12.169599999999999</v>
      </c>
      <c r="AH99" s="13">
        <f>VLOOKUP(A:A,[3]TDSheet!$A:$D,4,0)</f>
        <v>16.097000000000001</v>
      </c>
      <c r="AI99" s="13" t="str">
        <f>VLOOKUP(A:A,[1]TDSheet!$A:$AI,35,0)</f>
        <v>склад</v>
      </c>
      <c r="AJ99" s="13">
        <f t="shared" si="19"/>
        <v>20</v>
      </c>
      <c r="AK99" s="13"/>
      <c r="AL99" s="13"/>
      <c r="AM99" s="13"/>
    </row>
    <row r="100" spans="1:39" s="1" customFormat="1" ht="11.1" customHeight="1" outlineLevel="1" x14ac:dyDescent="0.2">
      <c r="A100" s="7" t="s">
        <v>103</v>
      </c>
      <c r="B100" s="7" t="s">
        <v>12</v>
      </c>
      <c r="C100" s="8">
        <v>3</v>
      </c>
      <c r="D100" s="8"/>
      <c r="E100" s="8">
        <v>0</v>
      </c>
      <c r="F100" s="8"/>
      <c r="G100" s="1" t="str">
        <f>VLOOKUP(A:A,[1]TDSheet!$A:$G,7,0)</f>
        <v>выв2703</v>
      </c>
      <c r="H100" s="1">
        <f>VLOOKUP(A:A,[1]TDSheet!$A:$H,8,0)</f>
        <v>0</v>
      </c>
      <c r="I100" s="1" t="e">
        <f>VLOOKUP(A:A,[1]TDSheet!$A:$I,9,0)</f>
        <v>#N/A</v>
      </c>
      <c r="J100" s="13">
        <f>VLOOKUP(A:A,[2]TDSheet!$A:$F,6,0)</f>
        <v>7</v>
      </c>
      <c r="K100" s="13">
        <f t="shared" si="15"/>
        <v>-7</v>
      </c>
      <c r="L100" s="13">
        <f>VLOOKUP(A:A,[1]TDSheet!$A:$M,13,0)</f>
        <v>0</v>
      </c>
      <c r="M100" s="13">
        <f>VLOOKUP(A:A,[1]TDSheet!$A:$N,14,0)</f>
        <v>0</v>
      </c>
      <c r="N100" s="13">
        <f>VLOOKUP(A:A,[1]TDSheet!$A:$U,21,0)</f>
        <v>0</v>
      </c>
      <c r="O100" s="13">
        <f>VLOOKUP(A:A,[1]TDSheet!$A:$V,22,0)</f>
        <v>0</v>
      </c>
      <c r="P100" s="13">
        <f>VLOOKUP(A:A,[1]TDSheet!$A:$X,24,0)</f>
        <v>0</v>
      </c>
      <c r="Q100" s="13"/>
      <c r="R100" s="13"/>
      <c r="S100" s="13"/>
      <c r="T100" s="13"/>
      <c r="U100" s="13"/>
      <c r="V100" s="13"/>
      <c r="W100" s="13">
        <f t="shared" si="16"/>
        <v>0</v>
      </c>
      <c r="X100" s="16"/>
      <c r="Y100" s="17" t="e">
        <f t="shared" si="17"/>
        <v>#DIV/0!</v>
      </c>
      <c r="Z100" s="13" t="e">
        <f t="shared" si="18"/>
        <v>#DIV/0!</v>
      </c>
      <c r="AA100" s="13"/>
      <c r="AB100" s="13"/>
      <c r="AC100" s="13"/>
      <c r="AD100" s="13">
        <f>VLOOKUP(A:A,[1]TDSheet!$A:$AD,30,0)</f>
        <v>0</v>
      </c>
      <c r="AE100" s="13">
        <f>VLOOKUP(A:A,[1]TDSheet!$A:$AE,31,0)</f>
        <v>0</v>
      </c>
      <c r="AF100" s="13">
        <f>VLOOKUP(A:A,[1]TDSheet!$A:$AF,32,0)</f>
        <v>0.2</v>
      </c>
      <c r="AG100" s="13">
        <f>VLOOKUP(A:A,[1]TDSheet!$A:$AG,33,0)</f>
        <v>0</v>
      </c>
      <c r="AH100" s="13">
        <v>0</v>
      </c>
      <c r="AI100" s="13" t="str">
        <f>VLOOKUP(A:A,[1]TDSheet!$A:$AI,35,0)</f>
        <v>вывод</v>
      </c>
      <c r="AJ100" s="13">
        <f t="shared" si="19"/>
        <v>0</v>
      </c>
      <c r="AK100" s="13"/>
      <c r="AL100" s="13"/>
      <c r="AM100" s="13"/>
    </row>
    <row r="101" spans="1:39" s="1" customFormat="1" ht="21.95" customHeight="1" outlineLevel="1" x14ac:dyDescent="0.2">
      <c r="A101" s="7" t="s">
        <v>104</v>
      </c>
      <c r="B101" s="7" t="s">
        <v>12</v>
      </c>
      <c r="C101" s="8">
        <v>296</v>
      </c>
      <c r="D101" s="8">
        <v>7334</v>
      </c>
      <c r="E101" s="8">
        <v>1093</v>
      </c>
      <c r="F101" s="8">
        <v>87</v>
      </c>
      <c r="G101" s="1" t="str">
        <f>VLOOKUP(A:A,[1]TDSheet!$A:$G,7,0)</f>
        <v>нов041,</v>
      </c>
      <c r="H101" s="1">
        <f>VLOOKUP(A:A,[1]TDSheet!$A:$H,8,0)</f>
        <v>0.3</v>
      </c>
      <c r="I101" s="1" t="e">
        <f>VLOOKUP(A:A,[1]TDSheet!$A:$I,9,0)</f>
        <v>#N/A</v>
      </c>
      <c r="J101" s="13">
        <f>VLOOKUP(A:A,[2]TDSheet!$A:$F,6,0)</f>
        <v>1252</v>
      </c>
      <c r="K101" s="13">
        <f t="shared" si="15"/>
        <v>-159</v>
      </c>
      <c r="L101" s="13">
        <f>VLOOKUP(A:A,[1]TDSheet!$A:$M,13,0)</f>
        <v>300</v>
      </c>
      <c r="M101" s="13">
        <f>VLOOKUP(A:A,[1]TDSheet!$A:$N,14,0)</f>
        <v>200</v>
      </c>
      <c r="N101" s="13">
        <f>VLOOKUP(A:A,[1]TDSheet!$A:$U,21,0)</f>
        <v>300</v>
      </c>
      <c r="O101" s="13">
        <f>VLOOKUP(A:A,[1]TDSheet!$A:$V,22,0)</f>
        <v>200</v>
      </c>
      <c r="P101" s="13">
        <f>VLOOKUP(A:A,[1]TDSheet!$A:$X,24,0)</f>
        <v>350</v>
      </c>
      <c r="Q101" s="13"/>
      <c r="R101" s="13"/>
      <c r="S101" s="13"/>
      <c r="T101" s="13"/>
      <c r="U101" s="13"/>
      <c r="V101" s="13"/>
      <c r="W101" s="13">
        <f t="shared" si="16"/>
        <v>218.6</v>
      </c>
      <c r="X101" s="16">
        <v>200</v>
      </c>
      <c r="Y101" s="17">
        <f t="shared" si="17"/>
        <v>7.4885635864592865</v>
      </c>
      <c r="Z101" s="13">
        <f t="shared" si="18"/>
        <v>0.3979871912168344</v>
      </c>
      <c r="AA101" s="13"/>
      <c r="AB101" s="13"/>
      <c r="AC101" s="13"/>
      <c r="AD101" s="13">
        <f>VLOOKUP(A:A,[1]TDSheet!$A:$AD,30,0)</f>
        <v>0</v>
      </c>
      <c r="AE101" s="13">
        <f>VLOOKUP(A:A,[1]TDSheet!$A:$AE,31,0)</f>
        <v>166</v>
      </c>
      <c r="AF101" s="13">
        <f>VLOOKUP(A:A,[1]TDSheet!$A:$AF,32,0)</f>
        <v>116</v>
      </c>
      <c r="AG101" s="13">
        <f>VLOOKUP(A:A,[1]TDSheet!$A:$AG,33,0)</f>
        <v>193.8</v>
      </c>
      <c r="AH101" s="13">
        <f>VLOOKUP(A:A,[3]TDSheet!$A:$D,4,0)</f>
        <v>301</v>
      </c>
      <c r="AI101" s="13" t="e">
        <f>VLOOKUP(A:A,[1]TDSheet!$A:$AI,35,0)</f>
        <v>#N/A</v>
      </c>
      <c r="AJ101" s="13">
        <f t="shared" si="19"/>
        <v>60</v>
      </c>
      <c r="AK101" s="13"/>
      <c r="AL101" s="13"/>
      <c r="AM101" s="13"/>
    </row>
    <row r="102" spans="1:39" s="1" customFormat="1" ht="11.1" customHeight="1" outlineLevel="1" x14ac:dyDescent="0.2">
      <c r="A102" s="7" t="s">
        <v>105</v>
      </c>
      <c r="B102" s="7" t="s">
        <v>12</v>
      </c>
      <c r="C102" s="8">
        <v>438</v>
      </c>
      <c r="D102" s="8">
        <v>357</v>
      </c>
      <c r="E102" s="8">
        <v>654</v>
      </c>
      <c r="F102" s="8">
        <v>120</v>
      </c>
      <c r="G102" s="1" t="str">
        <f>VLOOKUP(A:A,[1]TDSheet!$A:$G,7,0)</f>
        <v>нов041,</v>
      </c>
      <c r="H102" s="1">
        <f>VLOOKUP(A:A,[1]TDSheet!$A:$H,8,0)</f>
        <v>0.3</v>
      </c>
      <c r="I102" s="1" t="e">
        <f>VLOOKUP(A:A,[1]TDSheet!$A:$I,9,0)</f>
        <v>#N/A</v>
      </c>
      <c r="J102" s="13">
        <f>VLOOKUP(A:A,[2]TDSheet!$A:$F,6,0)</f>
        <v>842</v>
      </c>
      <c r="K102" s="13">
        <f t="shared" si="15"/>
        <v>-188</v>
      </c>
      <c r="L102" s="13">
        <f>VLOOKUP(A:A,[1]TDSheet!$A:$M,13,0)</f>
        <v>200</v>
      </c>
      <c r="M102" s="13">
        <f>VLOOKUP(A:A,[1]TDSheet!$A:$N,14,0)</f>
        <v>150</v>
      </c>
      <c r="N102" s="13">
        <f>VLOOKUP(A:A,[1]TDSheet!$A:$U,21,0)</f>
        <v>100</v>
      </c>
      <c r="O102" s="13">
        <f>VLOOKUP(A:A,[1]TDSheet!$A:$V,22,0)</f>
        <v>200</v>
      </c>
      <c r="P102" s="13">
        <f>VLOOKUP(A:A,[1]TDSheet!$A:$X,24,0)</f>
        <v>200</v>
      </c>
      <c r="Q102" s="13"/>
      <c r="R102" s="13"/>
      <c r="S102" s="13"/>
      <c r="T102" s="13"/>
      <c r="U102" s="13"/>
      <c r="V102" s="13"/>
      <c r="W102" s="13">
        <f t="shared" si="16"/>
        <v>130.80000000000001</v>
      </c>
      <c r="X102" s="16"/>
      <c r="Y102" s="17">
        <f t="shared" si="17"/>
        <v>7.4159021406727819</v>
      </c>
      <c r="Z102" s="13">
        <f t="shared" si="18"/>
        <v>0.9174311926605504</v>
      </c>
      <c r="AA102" s="13"/>
      <c r="AB102" s="13"/>
      <c r="AC102" s="13"/>
      <c r="AD102" s="13">
        <f>VLOOKUP(A:A,[1]TDSheet!$A:$AD,30,0)</f>
        <v>0</v>
      </c>
      <c r="AE102" s="13">
        <f>VLOOKUP(A:A,[1]TDSheet!$A:$AE,31,0)</f>
        <v>94.4</v>
      </c>
      <c r="AF102" s="13">
        <f>VLOOKUP(A:A,[1]TDSheet!$A:$AF,32,0)</f>
        <v>124.2</v>
      </c>
      <c r="AG102" s="13">
        <f>VLOOKUP(A:A,[1]TDSheet!$A:$AG,33,0)</f>
        <v>127.8</v>
      </c>
      <c r="AH102" s="13">
        <f>VLOOKUP(A:A,[3]TDSheet!$A:$D,4,0)</f>
        <v>146</v>
      </c>
      <c r="AI102" s="13" t="e">
        <f>VLOOKUP(A:A,[1]TDSheet!$A:$AI,35,0)</f>
        <v>#N/A</v>
      </c>
      <c r="AJ102" s="13">
        <f t="shared" si="19"/>
        <v>0</v>
      </c>
      <c r="AK102" s="13"/>
      <c r="AL102" s="13"/>
      <c r="AM102" s="13"/>
    </row>
    <row r="103" spans="1:39" s="1" customFormat="1" ht="11.1" customHeight="1" outlineLevel="1" x14ac:dyDescent="0.2">
      <c r="A103" s="7" t="s">
        <v>106</v>
      </c>
      <c r="B103" s="7" t="s">
        <v>12</v>
      </c>
      <c r="C103" s="8">
        <v>315</v>
      </c>
      <c r="D103" s="8">
        <v>1104</v>
      </c>
      <c r="E103" s="8">
        <v>906</v>
      </c>
      <c r="F103" s="8">
        <v>61</v>
      </c>
      <c r="G103" s="1" t="str">
        <f>VLOOKUP(A:A,[1]TDSheet!$A:$G,7,0)</f>
        <v>нов041,</v>
      </c>
      <c r="H103" s="1">
        <f>VLOOKUP(A:A,[1]TDSheet!$A:$H,8,0)</f>
        <v>0.3</v>
      </c>
      <c r="I103" s="1" t="e">
        <f>VLOOKUP(A:A,[1]TDSheet!$A:$I,9,0)</f>
        <v>#N/A</v>
      </c>
      <c r="J103" s="13">
        <f>VLOOKUP(A:A,[2]TDSheet!$A:$F,6,0)</f>
        <v>1091</v>
      </c>
      <c r="K103" s="13">
        <f t="shared" si="15"/>
        <v>-185</v>
      </c>
      <c r="L103" s="13">
        <f>VLOOKUP(A:A,[1]TDSheet!$A:$M,13,0)</f>
        <v>350</v>
      </c>
      <c r="M103" s="13">
        <f>VLOOKUP(A:A,[1]TDSheet!$A:$N,14,0)</f>
        <v>200</v>
      </c>
      <c r="N103" s="13">
        <f>VLOOKUP(A:A,[1]TDSheet!$A:$U,21,0)</f>
        <v>200</v>
      </c>
      <c r="O103" s="13">
        <f>VLOOKUP(A:A,[1]TDSheet!$A:$V,22,0)</f>
        <v>200</v>
      </c>
      <c r="P103" s="13">
        <f>VLOOKUP(A:A,[1]TDSheet!$A:$X,24,0)</f>
        <v>250</v>
      </c>
      <c r="Q103" s="13"/>
      <c r="R103" s="13"/>
      <c r="S103" s="13"/>
      <c r="T103" s="13"/>
      <c r="U103" s="13"/>
      <c r="V103" s="13"/>
      <c r="W103" s="13">
        <f t="shared" si="16"/>
        <v>181.2</v>
      </c>
      <c r="X103" s="16"/>
      <c r="Y103" s="17">
        <f t="shared" si="17"/>
        <v>6.9591611479028703</v>
      </c>
      <c r="Z103" s="13">
        <f t="shared" si="18"/>
        <v>0.33664459161147903</v>
      </c>
      <c r="AA103" s="13"/>
      <c r="AB103" s="13"/>
      <c r="AC103" s="13"/>
      <c r="AD103" s="13">
        <f>VLOOKUP(A:A,[1]TDSheet!$A:$AD,30,0)</f>
        <v>0</v>
      </c>
      <c r="AE103" s="13">
        <f>VLOOKUP(A:A,[1]TDSheet!$A:$AE,31,0)</f>
        <v>121</v>
      </c>
      <c r="AF103" s="13">
        <f>VLOOKUP(A:A,[1]TDSheet!$A:$AF,32,0)</f>
        <v>131.80000000000001</v>
      </c>
      <c r="AG103" s="13">
        <f>VLOOKUP(A:A,[1]TDSheet!$A:$AG,33,0)</f>
        <v>167.2</v>
      </c>
      <c r="AH103" s="13">
        <f>VLOOKUP(A:A,[3]TDSheet!$A:$D,4,0)</f>
        <v>213</v>
      </c>
      <c r="AI103" s="13" t="e">
        <f>VLOOKUP(A:A,[1]TDSheet!$A:$AI,35,0)</f>
        <v>#N/A</v>
      </c>
      <c r="AJ103" s="13">
        <f t="shared" si="19"/>
        <v>0</v>
      </c>
      <c r="AK103" s="13"/>
      <c r="AL103" s="13"/>
      <c r="AM103" s="13"/>
    </row>
    <row r="104" spans="1:39" s="1" customFormat="1" ht="11.1" customHeight="1" outlineLevel="1" x14ac:dyDescent="0.2">
      <c r="A104" s="7" t="s">
        <v>107</v>
      </c>
      <c r="B104" s="7" t="s">
        <v>12</v>
      </c>
      <c r="C104" s="8">
        <v>229</v>
      </c>
      <c r="D104" s="8">
        <v>443</v>
      </c>
      <c r="E104" s="8">
        <v>582</v>
      </c>
      <c r="F104" s="8">
        <v>73</v>
      </c>
      <c r="G104" s="1" t="str">
        <f>VLOOKUP(A:A,[1]TDSheet!$A:$G,7,0)</f>
        <v>нов041,</v>
      </c>
      <c r="H104" s="1">
        <f>VLOOKUP(A:A,[1]TDSheet!$A:$H,8,0)</f>
        <v>0.3</v>
      </c>
      <c r="I104" s="1" t="e">
        <f>VLOOKUP(A:A,[1]TDSheet!$A:$I,9,0)</f>
        <v>#N/A</v>
      </c>
      <c r="J104" s="13">
        <f>VLOOKUP(A:A,[2]TDSheet!$A:$F,6,0)</f>
        <v>772</v>
      </c>
      <c r="K104" s="13">
        <f t="shared" si="15"/>
        <v>-190</v>
      </c>
      <c r="L104" s="13">
        <f>VLOOKUP(A:A,[1]TDSheet!$A:$M,13,0)</f>
        <v>250</v>
      </c>
      <c r="M104" s="13">
        <f>VLOOKUP(A:A,[1]TDSheet!$A:$N,14,0)</f>
        <v>120</v>
      </c>
      <c r="N104" s="13">
        <f>VLOOKUP(A:A,[1]TDSheet!$A:$U,21,0)</f>
        <v>100</v>
      </c>
      <c r="O104" s="13">
        <f>VLOOKUP(A:A,[1]TDSheet!$A:$V,22,0)</f>
        <v>100</v>
      </c>
      <c r="P104" s="13">
        <f>VLOOKUP(A:A,[1]TDSheet!$A:$X,24,0)</f>
        <v>200</v>
      </c>
      <c r="Q104" s="13"/>
      <c r="R104" s="13"/>
      <c r="S104" s="13"/>
      <c r="T104" s="13"/>
      <c r="U104" s="13"/>
      <c r="V104" s="13"/>
      <c r="W104" s="13">
        <f t="shared" si="16"/>
        <v>116.4</v>
      </c>
      <c r="X104" s="16"/>
      <c r="Y104" s="17">
        <f t="shared" si="17"/>
        <v>7.2422680412371134</v>
      </c>
      <c r="Z104" s="13">
        <f t="shared" si="18"/>
        <v>0.62714776632302405</v>
      </c>
      <c r="AA104" s="13"/>
      <c r="AB104" s="13"/>
      <c r="AC104" s="13"/>
      <c r="AD104" s="13">
        <f>VLOOKUP(A:A,[1]TDSheet!$A:$AD,30,0)</f>
        <v>0</v>
      </c>
      <c r="AE104" s="13">
        <f>VLOOKUP(A:A,[1]TDSheet!$A:$AE,31,0)</f>
        <v>88.8</v>
      </c>
      <c r="AF104" s="13">
        <f>VLOOKUP(A:A,[1]TDSheet!$A:$AF,32,0)</f>
        <v>87.8</v>
      </c>
      <c r="AG104" s="13">
        <f>VLOOKUP(A:A,[1]TDSheet!$A:$AG,33,0)</f>
        <v>114.4</v>
      </c>
      <c r="AH104" s="13">
        <f>VLOOKUP(A:A,[3]TDSheet!$A:$D,4,0)</f>
        <v>133</v>
      </c>
      <c r="AI104" s="13" t="e">
        <f>VLOOKUP(A:A,[1]TDSheet!$A:$AI,35,0)</f>
        <v>#N/A</v>
      </c>
      <c r="AJ104" s="13">
        <f t="shared" si="19"/>
        <v>0</v>
      </c>
      <c r="AK104" s="13"/>
      <c r="AL104" s="13"/>
      <c r="AM104" s="13"/>
    </row>
    <row r="105" spans="1:39" s="1" customFormat="1" ht="21.95" customHeight="1" outlineLevel="1" x14ac:dyDescent="0.2">
      <c r="A105" s="7" t="s">
        <v>108</v>
      </c>
      <c r="B105" s="7" t="s">
        <v>8</v>
      </c>
      <c r="C105" s="8">
        <v>9.2780000000000005</v>
      </c>
      <c r="D105" s="8">
        <v>41.201999999999998</v>
      </c>
      <c r="E105" s="8">
        <v>11.025</v>
      </c>
      <c r="F105" s="8">
        <v>22.181999999999999</v>
      </c>
      <c r="G105" s="1" t="str">
        <f>VLOOKUP(A:A,[1]TDSheet!$A:$G,7,0)</f>
        <v>нов041,</v>
      </c>
      <c r="H105" s="1">
        <f>VLOOKUP(A:A,[1]TDSheet!$A:$H,8,0)</f>
        <v>1</v>
      </c>
      <c r="I105" s="1" t="e">
        <f>VLOOKUP(A:A,[1]TDSheet!$A:$I,9,0)</f>
        <v>#N/A</v>
      </c>
      <c r="J105" s="13">
        <f>VLOOKUP(A:A,[2]TDSheet!$A:$F,6,0)</f>
        <v>18.649999999999999</v>
      </c>
      <c r="K105" s="13">
        <f t="shared" si="15"/>
        <v>-7.6249999999999982</v>
      </c>
      <c r="L105" s="13">
        <f>VLOOKUP(A:A,[1]TDSheet!$A:$M,13,0)</f>
        <v>0</v>
      </c>
      <c r="M105" s="13">
        <f>VLOOKUP(A:A,[1]TDSheet!$A:$N,14,0)</f>
        <v>0</v>
      </c>
      <c r="N105" s="13">
        <f>VLOOKUP(A:A,[1]TDSheet!$A:$U,21,0)</f>
        <v>0</v>
      </c>
      <c r="O105" s="13">
        <f>VLOOKUP(A:A,[1]TDSheet!$A:$V,22,0)</f>
        <v>0</v>
      </c>
      <c r="P105" s="13">
        <f>VLOOKUP(A:A,[1]TDSheet!$A:$X,24,0)</f>
        <v>0</v>
      </c>
      <c r="Q105" s="13"/>
      <c r="R105" s="13"/>
      <c r="S105" s="13"/>
      <c r="T105" s="13"/>
      <c r="U105" s="13"/>
      <c r="V105" s="13"/>
      <c r="W105" s="13">
        <f t="shared" si="16"/>
        <v>2.2050000000000001</v>
      </c>
      <c r="X105" s="16"/>
      <c r="Y105" s="17">
        <f t="shared" si="17"/>
        <v>10.059863945578231</v>
      </c>
      <c r="Z105" s="13">
        <f t="shared" si="18"/>
        <v>10.059863945578231</v>
      </c>
      <c r="AA105" s="13"/>
      <c r="AB105" s="13"/>
      <c r="AC105" s="13"/>
      <c r="AD105" s="13">
        <f>VLOOKUP(A:A,[1]TDSheet!$A:$AD,30,0)</f>
        <v>0</v>
      </c>
      <c r="AE105" s="13">
        <f>VLOOKUP(A:A,[1]TDSheet!$A:$AE,31,0)</f>
        <v>2.1800000000000002</v>
      </c>
      <c r="AF105" s="13">
        <f>VLOOKUP(A:A,[1]TDSheet!$A:$AF,32,0)</f>
        <v>3.0309999999999997</v>
      </c>
      <c r="AG105" s="13">
        <f>VLOOKUP(A:A,[1]TDSheet!$A:$AG,33,0)</f>
        <v>1.623</v>
      </c>
      <c r="AH105" s="13">
        <f>VLOOKUP(A:A,[3]TDSheet!$A:$D,4,0)</f>
        <v>5.5039999999999996</v>
      </c>
      <c r="AI105" s="13" t="str">
        <f>VLOOKUP(A:A,[1]TDSheet!$A:$AI,35,0)</f>
        <v>увел</v>
      </c>
      <c r="AJ105" s="13">
        <f t="shared" si="19"/>
        <v>0</v>
      </c>
      <c r="AK105" s="13"/>
      <c r="AL105" s="13"/>
      <c r="AM105" s="13"/>
    </row>
    <row r="106" spans="1:39" s="1" customFormat="1" ht="21.95" customHeight="1" outlineLevel="1" x14ac:dyDescent="0.2">
      <c r="A106" s="7" t="s">
        <v>109</v>
      </c>
      <c r="B106" s="7" t="s">
        <v>12</v>
      </c>
      <c r="C106" s="8"/>
      <c r="D106" s="8">
        <v>3</v>
      </c>
      <c r="E106" s="8">
        <v>0</v>
      </c>
      <c r="F106" s="8">
        <v>1</v>
      </c>
      <c r="G106" s="1">
        <f>VLOOKUP(A:A,[1]TDSheet!$A:$G,7,0)</f>
        <v>0</v>
      </c>
      <c r="H106" s="1">
        <f>VLOOKUP(A:A,[1]TDSheet!$A:$H,8,0)</f>
        <v>0.28000000000000003</v>
      </c>
      <c r="I106" s="1" t="e">
        <f>VLOOKUP(A:A,[1]TDSheet!$A:$I,9,0)</f>
        <v>#N/A</v>
      </c>
      <c r="J106" s="13">
        <f>VLOOKUP(A:A,[2]TDSheet!$A:$F,6,0)</f>
        <v>103</v>
      </c>
      <c r="K106" s="13">
        <f t="shared" si="15"/>
        <v>-103</v>
      </c>
      <c r="L106" s="13">
        <f>VLOOKUP(A:A,[1]TDSheet!$A:$M,13,0)</f>
        <v>0</v>
      </c>
      <c r="M106" s="13">
        <f>VLOOKUP(A:A,[1]TDSheet!$A:$N,14,0)</f>
        <v>0</v>
      </c>
      <c r="N106" s="13">
        <f>VLOOKUP(A:A,[1]TDSheet!$A:$U,21,0)</f>
        <v>0</v>
      </c>
      <c r="O106" s="13">
        <f>VLOOKUP(A:A,[1]TDSheet!$A:$V,22,0)</f>
        <v>0</v>
      </c>
      <c r="P106" s="13">
        <f>VLOOKUP(A:A,[1]TDSheet!$A:$X,24,0)</f>
        <v>0</v>
      </c>
      <c r="Q106" s="13"/>
      <c r="R106" s="13"/>
      <c r="S106" s="13"/>
      <c r="T106" s="13"/>
      <c r="U106" s="13"/>
      <c r="V106" s="13"/>
      <c r="W106" s="13">
        <f t="shared" si="16"/>
        <v>0</v>
      </c>
      <c r="X106" s="16"/>
      <c r="Y106" s="17" t="e">
        <f t="shared" si="17"/>
        <v>#DIV/0!</v>
      </c>
      <c r="Z106" s="13" t="e">
        <f t="shared" si="18"/>
        <v>#DIV/0!</v>
      </c>
      <c r="AA106" s="13"/>
      <c r="AB106" s="13"/>
      <c r="AC106" s="13"/>
      <c r="AD106" s="13">
        <f>VLOOKUP(A:A,[1]TDSheet!$A:$AD,30,0)</f>
        <v>0</v>
      </c>
      <c r="AE106" s="13">
        <f>VLOOKUP(A:A,[1]TDSheet!$A:$AE,31,0)</f>
        <v>3.4</v>
      </c>
      <c r="AF106" s="13">
        <f>VLOOKUP(A:A,[1]TDSheet!$A:$AF,32,0)</f>
        <v>0</v>
      </c>
      <c r="AG106" s="13">
        <f>VLOOKUP(A:A,[1]TDSheet!$A:$AG,33,0)</f>
        <v>0</v>
      </c>
      <c r="AH106" s="13">
        <v>0</v>
      </c>
      <c r="AI106" s="13">
        <f>VLOOKUP(A:A,[1]TDSheet!$A:$AI,35,0)</f>
        <v>0</v>
      </c>
      <c r="AJ106" s="13">
        <f t="shared" si="19"/>
        <v>0</v>
      </c>
      <c r="AK106" s="13"/>
      <c r="AL106" s="13"/>
      <c r="AM106" s="13"/>
    </row>
    <row r="107" spans="1:39" s="1" customFormat="1" ht="11.1" customHeight="1" outlineLevel="1" x14ac:dyDescent="0.2">
      <c r="A107" s="7" t="s">
        <v>110</v>
      </c>
      <c r="B107" s="7" t="s">
        <v>12</v>
      </c>
      <c r="C107" s="8">
        <v>21</v>
      </c>
      <c r="D107" s="8">
        <v>12</v>
      </c>
      <c r="E107" s="8">
        <v>11</v>
      </c>
      <c r="F107" s="8">
        <v>12</v>
      </c>
      <c r="G107" s="1" t="str">
        <f>VLOOKUP(A:A,[1]TDSheet!$A:$G,7,0)</f>
        <v>нов 06,11,</v>
      </c>
      <c r="H107" s="1">
        <f>VLOOKUP(A:A,[1]TDSheet!$A:$H,8,0)</f>
        <v>0.33</v>
      </c>
      <c r="I107" s="1" t="e">
        <f>VLOOKUP(A:A,[1]TDSheet!$A:$I,9,0)</f>
        <v>#N/A</v>
      </c>
      <c r="J107" s="13">
        <f>VLOOKUP(A:A,[2]TDSheet!$A:$F,6,0)</f>
        <v>17</v>
      </c>
      <c r="K107" s="13">
        <f t="shared" si="15"/>
        <v>-6</v>
      </c>
      <c r="L107" s="13">
        <f>VLOOKUP(A:A,[1]TDSheet!$A:$M,13,0)</f>
        <v>0</v>
      </c>
      <c r="M107" s="13">
        <f>VLOOKUP(A:A,[1]TDSheet!$A:$N,14,0)</f>
        <v>0</v>
      </c>
      <c r="N107" s="13">
        <f>VLOOKUP(A:A,[1]TDSheet!$A:$U,21,0)</f>
        <v>0</v>
      </c>
      <c r="O107" s="13">
        <f>VLOOKUP(A:A,[1]TDSheet!$A:$V,22,0)</f>
        <v>0</v>
      </c>
      <c r="P107" s="13">
        <f>VLOOKUP(A:A,[1]TDSheet!$A:$X,24,0)</f>
        <v>0</v>
      </c>
      <c r="Q107" s="13"/>
      <c r="R107" s="13"/>
      <c r="S107" s="13"/>
      <c r="T107" s="13"/>
      <c r="U107" s="13"/>
      <c r="V107" s="13"/>
      <c r="W107" s="13">
        <f t="shared" si="16"/>
        <v>2.2000000000000002</v>
      </c>
      <c r="X107" s="16"/>
      <c r="Y107" s="17">
        <f t="shared" si="17"/>
        <v>5.4545454545454541</v>
      </c>
      <c r="Z107" s="13">
        <f t="shared" si="18"/>
        <v>5.4545454545454541</v>
      </c>
      <c r="AA107" s="13"/>
      <c r="AB107" s="13"/>
      <c r="AC107" s="13"/>
      <c r="AD107" s="13">
        <f>VLOOKUP(A:A,[1]TDSheet!$A:$AD,30,0)</f>
        <v>0</v>
      </c>
      <c r="AE107" s="13">
        <f>VLOOKUP(A:A,[1]TDSheet!$A:$AE,31,0)</f>
        <v>0</v>
      </c>
      <c r="AF107" s="13">
        <f>VLOOKUP(A:A,[1]TDSheet!$A:$AF,32,0)</f>
        <v>0</v>
      </c>
      <c r="AG107" s="13">
        <f>VLOOKUP(A:A,[1]TDSheet!$A:$AG,33,0)</f>
        <v>0.4</v>
      </c>
      <c r="AH107" s="13">
        <f>VLOOKUP(A:A,[3]TDSheet!$A:$D,4,0)</f>
        <v>1</v>
      </c>
      <c r="AI107" s="13" t="str">
        <f>VLOOKUP(A:A,[1]TDSheet!$A:$AI,35,0)</f>
        <v>склад</v>
      </c>
      <c r="AJ107" s="13">
        <f t="shared" si="19"/>
        <v>0</v>
      </c>
      <c r="AK107" s="13"/>
      <c r="AL107" s="13"/>
      <c r="AM107" s="13"/>
    </row>
    <row r="108" spans="1:39" s="1" customFormat="1" ht="21.95" customHeight="1" outlineLevel="1" x14ac:dyDescent="0.2">
      <c r="A108" s="7" t="s">
        <v>111</v>
      </c>
      <c r="B108" s="7" t="s">
        <v>8</v>
      </c>
      <c r="C108" s="8">
        <v>20.228000000000002</v>
      </c>
      <c r="D108" s="8">
        <v>16.501999999999999</v>
      </c>
      <c r="E108" s="8">
        <v>13.276999999999999</v>
      </c>
      <c r="F108" s="8">
        <v>20.786000000000001</v>
      </c>
      <c r="G108" s="1" t="str">
        <f>VLOOKUP(A:A,[1]TDSheet!$A:$G,7,0)</f>
        <v>н0801,</v>
      </c>
      <c r="H108" s="1">
        <f>VLOOKUP(A:A,[1]TDSheet!$A:$H,8,0)</f>
        <v>1</v>
      </c>
      <c r="I108" s="1" t="e">
        <f>VLOOKUP(A:A,[1]TDSheet!$A:$I,9,0)</f>
        <v>#N/A</v>
      </c>
      <c r="J108" s="13">
        <f>VLOOKUP(A:A,[2]TDSheet!$A:$F,6,0)</f>
        <v>20.901</v>
      </c>
      <c r="K108" s="13">
        <f t="shared" si="15"/>
        <v>-7.6240000000000006</v>
      </c>
      <c r="L108" s="13">
        <f>VLOOKUP(A:A,[1]TDSheet!$A:$M,13,0)</f>
        <v>10</v>
      </c>
      <c r="M108" s="13">
        <f>VLOOKUP(A:A,[1]TDSheet!$A:$N,14,0)</f>
        <v>0</v>
      </c>
      <c r="N108" s="13">
        <f>VLOOKUP(A:A,[1]TDSheet!$A:$U,21,0)</f>
        <v>0</v>
      </c>
      <c r="O108" s="13">
        <f>VLOOKUP(A:A,[1]TDSheet!$A:$V,22,0)</f>
        <v>0</v>
      </c>
      <c r="P108" s="13">
        <f>VLOOKUP(A:A,[1]TDSheet!$A:$X,24,0)</f>
        <v>0</v>
      </c>
      <c r="Q108" s="13"/>
      <c r="R108" s="13"/>
      <c r="S108" s="13"/>
      <c r="T108" s="13"/>
      <c r="U108" s="13"/>
      <c r="V108" s="13"/>
      <c r="W108" s="13">
        <f t="shared" si="16"/>
        <v>2.6553999999999998</v>
      </c>
      <c r="X108" s="16"/>
      <c r="Y108" s="17">
        <f t="shared" si="17"/>
        <v>11.593733524139491</v>
      </c>
      <c r="Z108" s="13">
        <f t="shared" si="18"/>
        <v>7.827822550274913</v>
      </c>
      <c r="AA108" s="13"/>
      <c r="AB108" s="13"/>
      <c r="AC108" s="13"/>
      <c r="AD108" s="13">
        <f>VLOOKUP(A:A,[1]TDSheet!$A:$AD,30,0)</f>
        <v>0</v>
      </c>
      <c r="AE108" s="13">
        <f>VLOOKUP(A:A,[1]TDSheet!$A:$AE,31,0)</f>
        <v>4.0091999999999999</v>
      </c>
      <c r="AF108" s="13">
        <f>VLOOKUP(A:A,[1]TDSheet!$A:$AF,32,0)</f>
        <v>2.6751999999999998</v>
      </c>
      <c r="AG108" s="13">
        <f>VLOOKUP(A:A,[1]TDSheet!$A:$AG,33,0)</f>
        <v>4.8027999999999995</v>
      </c>
      <c r="AH108" s="13">
        <f>VLOOKUP(A:A,[3]TDSheet!$A:$D,4,0)</f>
        <v>2.72</v>
      </c>
      <c r="AI108" s="13" t="str">
        <f>VLOOKUP(A:A,[1]TDSheet!$A:$AI,35,0)</f>
        <v>увел</v>
      </c>
      <c r="AJ108" s="13">
        <f t="shared" si="19"/>
        <v>0</v>
      </c>
      <c r="AK108" s="13"/>
      <c r="AL108" s="13"/>
      <c r="AM108" s="13"/>
    </row>
    <row r="109" spans="1:39" s="1" customFormat="1" ht="11.1" customHeight="1" outlineLevel="1" x14ac:dyDescent="0.2">
      <c r="A109" s="7" t="s">
        <v>112</v>
      </c>
      <c r="B109" s="7" t="s">
        <v>12</v>
      </c>
      <c r="C109" s="8">
        <v>29</v>
      </c>
      <c r="D109" s="8">
        <v>15</v>
      </c>
      <c r="E109" s="8">
        <v>7</v>
      </c>
      <c r="F109" s="8">
        <v>33</v>
      </c>
      <c r="G109" s="1" t="str">
        <f>VLOOKUP(A:A,[1]TDSheet!$A:$G,7,0)</f>
        <v>нов14,03</v>
      </c>
      <c r="H109" s="1">
        <f>VLOOKUP(A:A,[1]TDSheet!$A:$H,8,0)</f>
        <v>0.3</v>
      </c>
      <c r="I109" s="1" t="e">
        <f>VLOOKUP(A:A,[1]TDSheet!$A:$I,9,0)</f>
        <v>#N/A</v>
      </c>
      <c r="J109" s="13">
        <f>VLOOKUP(A:A,[2]TDSheet!$A:$F,6,0)</f>
        <v>33</v>
      </c>
      <c r="K109" s="13">
        <f t="shared" si="15"/>
        <v>-26</v>
      </c>
      <c r="L109" s="13">
        <f>VLOOKUP(A:A,[1]TDSheet!$A:$M,13,0)</f>
        <v>10</v>
      </c>
      <c r="M109" s="13">
        <f>VLOOKUP(A:A,[1]TDSheet!$A:$N,14,0)</f>
        <v>10</v>
      </c>
      <c r="N109" s="13">
        <f>VLOOKUP(A:A,[1]TDSheet!$A:$U,21,0)</f>
        <v>0</v>
      </c>
      <c r="O109" s="13">
        <f>VLOOKUP(A:A,[1]TDSheet!$A:$V,22,0)</f>
        <v>0</v>
      </c>
      <c r="P109" s="13">
        <f>VLOOKUP(A:A,[1]TDSheet!$A:$X,24,0)</f>
        <v>0</v>
      </c>
      <c r="Q109" s="13"/>
      <c r="R109" s="13"/>
      <c r="S109" s="13"/>
      <c r="T109" s="13"/>
      <c r="U109" s="13"/>
      <c r="V109" s="13"/>
      <c r="W109" s="13">
        <f t="shared" si="16"/>
        <v>1.4</v>
      </c>
      <c r="X109" s="16"/>
      <c r="Y109" s="17">
        <f t="shared" si="17"/>
        <v>37.857142857142861</v>
      </c>
      <c r="Z109" s="13">
        <f t="shared" si="18"/>
        <v>23.571428571428573</v>
      </c>
      <c r="AA109" s="13"/>
      <c r="AB109" s="13"/>
      <c r="AC109" s="13"/>
      <c r="AD109" s="13">
        <f>VLOOKUP(A:A,[1]TDSheet!$A:$AD,30,0)</f>
        <v>0</v>
      </c>
      <c r="AE109" s="13">
        <f>VLOOKUP(A:A,[1]TDSheet!$A:$AE,31,0)</f>
        <v>5.4</v>
      </c>
      <c r="AF109" s="13">
        <f>VLOOKUP(A:A,[1]TDSheet!$A:$AF,32,0)</f>
        <v>5.8</v>
      </c>
      <c r="AG109" s="13">
        <f>VLOOKUP(A:A,[1]TDSheet!$A:$AG,33,0)</f>
        <v>6.2</v>
      </c>
      <c r="AH109" s="13">
        <f>VLOOKUP(A:A,[3]TDSheet!$A:$D,4,0)</f>
        <v>1</v>
      </c>
      <c r="AI109" s="13" t="str">
        <f>VLOOKUP(A:A,[1]TDSheet!$A:$AI,35,0)</f>
        <v>увел</v>
      </c>
      <c r="AJ109" s="13">
        <f t="shared" si="19"/>
        <v>0</v>
      </c>
      <c r="AK109" s="13"/>
      <c r="AL109" s="13"/>
      <c r="AM109" s="13"/>
    </row>
    <row r="110" spans="1:39" s="1" customFormat="1" ht="11.1" customHeight="1" outlineLevel="1" x14ac:dyDescent="0.2">
      <c r="A110" s="7" t="s">
        <v>115</v>
      </c>
      <c r="B110" s="7" t="s">
        <v>12</v>
      </c>
      <c r="C110" s="8">
        <v>12</v>
      </c>
      <c r="D110" s="8">
        <v>69</v>
      </c>
      <c r="E110" s="8">
        <v>24</v>
      </c>
      <c r="F110" s="8">
        <v>50</v>
      </c>
      <c r="G110" s="1" t="str">
        <f>VLOOKUP(A:A,[1]TDSheet!$A:$G,7,0)</f>
        <v>завод</v>
      </c>
      <c r="H110" s="1">
        <f>VLOOKUP(A:A,[1]TDSheet!$A:$H,8,0)</f>
        <v>0.3</v>
      </c>
      <c r="I110" s="1" t="e">
        <f>VLOOKUP(A:A,[1]TDSheet!$A:$I,9,0)</f>
        <v>#N/A</v>
      </c>
      <c r="J110" s="13">
        <f>VLOOKUP(A:A,[2]TDSheet!$A:$F,6,0)</f>
        <v>76</v>
      </c>
      <c r="K110" s="13">
        <f t="shared" si="15"/>
        <v>-52</v>
      </c>
      <c r="L110" s="13">
        <f>VLOOKUP(A:A,[1]TDSheet!$A:$M,13,0)</f>
        <v>50</v>
      </c>
      <c r="M110" s="13">
        <f>VLOOKUP(A:A,[1]TDSheet!$A:$N,14,0)</f>
        <v>60</v>
      </c>
      <c r="N110" s="13">
        <f>VLOOKUP(A:A,[1]TDSheet!$A:$U,21,0)</f>
        <v>0</v>
      </c>
      <c r="O110" s="13">
        <f>VLOOKUP(A:A,[1]TDSheet!$A:$V,22,0)</f>
        <v>50</v>
      </c>
      <c r="P110" s="13">
        <f>VLOOKUP(A:A,[1]TDSheet!$A:$X,24,0)</f>
        <v>50</v>
      </c>
      <c r="Q110" s="13"/>
      <c r="R110" s="13"/>
      <c r="S110" s="13"/>
      <c r="T110" s="13"/>
      <c r="U110" s="13"/>
      <c r="V110" s="13"/>
      <c r="W110" s="13">
        <f t="shared" si="16"/>
        <v>4.8</v>
      </c>
      <c r="X110" s="16"/>
      <c r="Y110" s="17">
        <f t="shared" si="17"/>
        <v>54.166666666666671</v>
      </c>
      <c r="Z110" s="13">
        <f t="shared" si="18"/>
        <v>10.416666666666668</v>
      </c>
      <c r="AA110" s="13"/>
      <c r="AB110" s="13"/>
      <c r="AC110" s="13"/>
      <c r="AD110" s="13">
        <f>VLOOKUP(A:A,[1]TDSheet!$A:$AD,30,0)</f>
        <v>0</v>
      </c>
      <c r="AE110" s="13">
        <f>VLOOKUP(A:A,[1]TDSheet!$A:$AE,31,0)</f>
        <v>0</v>
      </c>
      <c r="AF110" s="13">
        <f>VLOOKUP(A:A,[1]TDSheet!$A:$AF,32,0)</f>
        <v>0</v>
      </c>
      <c r="AG110" s="13">
        <f>VLOOKUP(A:A,[1]TDSheet!$A:$AG,33,0)</f>
        <v>39.799999999999997</v>
      </c>
      <c r="AH110" s="13">
        <f>VLOOKUP(A:A,[3]TDSheet!$A:$D,4,0)</f>
        <v>7</v>
      </c>
      <c r="AI110" s="13" t="str">
        <f>VLOOKUP(A:A,[1]TDSheet!$A:$AI,35,0)</f>
        <v>Макс</v>
      </c>
      <c r="AJ110" s="13">
        <f t="shared" si="19"/>
        <v>0</v>
      </c>
      <c r="AK110" s="13"/>
      <c r="AL110" s="13"/>
      <c r="AM110" s="13"/>
    </row>
    <row r="111" spans="1:39" s="1" customFormat="1" ht="11.1" customHeight="1" outlineLevel="1" x14ac:dyDescent="0.2">
      <c r="A111" s="7" t="s">
        <v>116</v>
      </c>
      <c r="B111" s="7" t="s">
        <v>12</v>
      </c>
      <c r="C111" s="8">
        <v>336</v>
      </c>
      <c r="D111" s="8"/>
      <c r="E111" s="8">
        <v>0</v>
      </c>
      <c r="F111" s="8"/>
      <c r="G111" s="1" t="str">
        <f>VLOOKUP(A:A,[1]TDSheet!$A:$G,7,0)</f>
        <v>завод</v>
      </c>
      <c r="H111" s="1">
        <f>VLOOKUP(A:A,[1]TDSheet!$A:$H,8,0)</f>
        <v>0</v>
      </c>
      <c r="I111" s="1" t="e">
        <f>VLOOKUP(A:A,[1]TDSheet!$A:$I,9,0)</f>
        <v>#N/A</v>
      </c>
      <c r="J111" s="13">
        <v>0</v>
      </c>
      <c r="K111" s="13">
        <f t="shared" si="15"/>
        <v>0</v>
      </c>
      <c r="L111" s="13">
        <f>VLOOKUP(A:A,[1]TDSheet!$A:$M,13,0)</f>
        <v>0</v>
      </c>
      <c r="M111" s="13">
        <f>VLOOKUP(A:A,[1]TDSheet!$A:$N,14,0)</f>
        <v>0</v>
      </c>
      <c r="N111" s="13">
        <f>VLOOKUP(A:A,[1]TDSheet!$A:$U,21,0)</f>
        <v>0</v>
      </c>
      <c r="O111" s="13">
        <f>VLOOKUP(A:A,[1]TDSheet!$A:$V,22,0)</f>
        <v>0</v>
      </c>
      <c r="P111" s="13">
        <f>VLOOKUP(A:A,[1]TDSheet!$A:$X,24,0)</f>
        <v>0</v>
      </c>
      <c r="Q111" s="13"/>
      <c r="R111" s="13"/>
      <c r="S111" s="13"/>
      <c r="T111" s="13"/>
      <c r="U111" s="13"/>
      <c r="V111" s="13"/>
      <c r="W111" s="13">
        <f t="shared" si="16"/>
        <v>0</v>
      </c>
      <c r="X111" s="16"/>
      <c r="Y111" s="17" t="e">
        <f t="shared" si="17"/>
        <v>#DIV/0!</v>
      </c>
      <c r="Z111" s="13" t="e">
        <f t="shared" si="18"/>
        <v>#DIV/0!</v>
      </c>
      <c r="AA111" s="13"/>
      <c r="AB111" s="13"/>
      <c r="AC111" s="13"/>
      <c r="AD111" s="13">
        <f>VLOOKUP(A:A,[1]TDSheet!$A:$AD,30,0)</f>
        <v>0</v>
      </c>
      <c r="AE111" s="13">
        <f>VLOOKUP(A:A,[1]TDSheet!$A:$AE,31,0)</f>
        <v>0</v>
      </c>
      <c r="AF111" s="13">
        <f>VLOOKUP(A:A,[1]TDSheet!$A:$AF,32,0)</f>
        <v>0</v>
      </c>
      <c r="AG111" s="13">
        <f>VLOOKUP(A:A,[1]TDSheet!$A:$AG,33,0)</f>
        <v>0</v>
      </c>
      <c r="AH111" s="13">
        <v>0</v>
      </c>
      <c r="AI111" s="13" t="str">
        <f>VLOOKUP(A:A,[1]TDSheet!$A:$AI,35,0)</f>
        <v>увел</v>
      </c>
      <c r="AJ111" s="13">
        <f t="shared" si="19"/>
        <v>0</v>
      </c>
      <c r="AK111" s="13"/>
      <c r="AL111" s="13"/>
      <c r="AM111" s="13"/>
    </row>
    <row r="112" spans="1:39" s="1" customFormat="1" ht="11.1" customHeight="1" outlineLevel="1" x14ac:dyDescent="0.2">
      <c r="A112" s="7" t="s">
        <v>117</v>
      </c>
      <c r="B112" s="7" t="s">
        <v>8</v>
      </c>
      <c r="C112" s="8">
        <v>279.08</v>
      </c>
      <c r="D112" s="8">
        <v>509.55500000000001</v>
      </c>
      <c r="E112" s="18">
        <v>620.66</v>
      </c>
      <c r="F112" s="18">
        <v>151.494</v>
      </c>
      <c r="G112" s="1">
        <f>VLOOKUP(A:A,[1]TDSheet!$A:$G,7,0)</f>
        <v>0</v>
      </c>
      <c r="H112" s="1">
        <f>VLOOKUP(A:A,[1]TDSheet!$A:$H,8,0)</f>
        <v>0</v>
      </c>
      <c r="I112" s="1" t="e">
        <f>VLOOKUP(A:A,[1]TDSheet!$A:$I,9,0)</f>
        <v>#N/A</v>
      </c>
      <c r="J112" s="13">
        <f>VLOOKUP(A:A,[2]TDSheet!$A:$F,6,0)</f>
        <v>610.04200000000003</v>
      </c>
      <c r="K112" s="13">
        <f t="shared" si="15"/>
        <v>10.617999999999938</v>
      </c>
      <c r="L112" s="13">
        <f>VLOOKUP(A:A,[1]TDSheet!$A:$M,13,0)</f>
        <v>0</v>
      </c>
      <c r="M112" s="13">
        <f>VLOOKUP(A:A,[1]TDSheet!$A:$N,14,0)</f>
        <v>0</v>
      </c>
      <c r="N112" s="13">
        <f>VLOOKUP(A:A,[1]TDSheet!$A:$U,21,0)</f>
        <v>0</v>
      </c>
      <c r="O112" s="13">
        <f>VLOOKUP(A:A,[1]TDSheet!$A:$V,22,0)</f>
        <v>0</v>
      </c>
      <c r="P112" s="13">
        <f>VLOOKUP(A:A,[1]TDSheet!$A:$X,24,0)</f>
        <v>0</v>
      </c>
      <c r="Q112" s="13"/>
      <c r="R112" s="13"/>
      <c r="S112" s="13"/>
      <c r="T112" s="13"/>
      <c r="U112" s="13"/>
      <c r="V112" s="13"/>
      <c r="W112" s="13">
        <f t="shared" si="16"/>
        <v>124.13199999999999</v>
      </c>
      <c r="X112" s="16"/>
      <c r="Y112" s="17">
        <f t="shared" si="17"/>
        <v>1.220426642606258</v>
      </c>
      <c r="Z112" s="13">
        <f t="shared" si="18"/>
        <v>1.220426642606258</v>
      </c>
      <c r="AA112" s="13"/>
      <c r="AB112" s="13"/>
      <c r="AC112" s="13"/>
      <c r="AD112" s="13">
        <f>VLOOKUP(A:A,[1]TDSheet!$A:$AD,30,0)</f>
        <v>0</v>
      </c>
      <c r="AE112" s="13">
        <f>VLOOKUP(A:A,[1]TDSheet!$A:$AE,31,0)</f>
        <v>103.58520000000001</v>
      </c>
      <c r="AF112" s="13">
        <f>VLOOKUP(A:A,[1]TDSheet!$A:$AF,32,0)</f>
        <v>99.174800000000005</v>
      </c>
      <c r="AG112" s="13">
        <f>VLOOKUP(A:A,[1]TDSheet!$A:$AG,33,0)</f>
        <v>109.792</v>
      </c>
      <c r="AH112" s="13">
        <f>VLOOKUP(A:A,[3]TDSheet!$A:$D,4,0)</f>
        <v>89.554000000000002</v>
      </c>
      <c r="AI112" s="13">
        <f>VLOOKUP(A:A,[1]TDSheet!$A:$AI,35,0)</f>
        <v>0</v>
      </c>
      <c r="AJ112" s="13">
        <f t="shared" si="19"/>
        <v>0</v>
      </c>
      <c r="AK112" s="13"/>
      <c r="AL112" s="13"/>
      <c r="AM112" s="13"/>
    </row>
    <row r="113" spans="1:39" s="1" customFormat="1" ht="11.1" customHeight="1" outlineLevel="1" x14ac:dyDescent="0.2">
      <c r="A113" s="7" t="s">
        <v>118</v>
      </c>
      <c r="B113" s="7" t="s">
        <v>8</v>
      </c>
      <c r="C113" s="8">
        <v>1108.528</v>
      </c>
      <c r="D113" s="8">
        <v>837.69200000000001</v>
      </c>
      <c r="E113" s="18">
        <v>1325.25</v>
      </c>
      <c r="F113" s="18">
        <v>21.376000000000001</v>
      </c>
      <c r="G113" s="1">
        <f>VLOOKUP(A:A,[1]TDSheet!$A:$G,7,0)</f>
        <v>0</v>
      </c>
      <c r="H113" s="1">
        <f>VLOOKUP(A:A,[1]TDSheet!$A:$H,8,0)</f>
        <v>0</v>
      </c>
      <c r="I113" s="1" t="e">
        <f>VLOOKUP(A:A,[1]TDSheet!$A:$I,9,0)</f>
        <v>#N/A</v>
      </c>
      <c r="J113" s="13">
        <f>VLOOKUP(A:A,[2]TDSheet!$A:$F,6,0)</f>
        <v>2077.52</v>
      </c>
      <c r="K113" s="13">
        <f t="shared" si="15"/>
        <v>-752.27</v>
      </c>
      <c r="L113" s="13">
        <f>VLOOKUP(A:A,[1]TDSheet!$A:$M,13,0)</f>
        <v>0</v>
      </c>
      <c r="M113" s="13">
        <f>VLOOKUP(A:A,[1]TDSheet!$A:$N,14,0)</f>
        <v>0</v>
      </c>
      <c r="N113" s="13">
        <f>VLOOKUP(A:A,[1]TDSheet!$A:$U,21,0)</f>
        <v>0</v>
      </c>
      <c r="O113" s="13">
        <f>VLOOKUP(A:A,[1]TDSheet!$A:$V,22,0)</f>
        <v>0</v>
      </c>
      <c r="P113" s="13">
        <f>VLOOKUP(A:A,[1]TDSheet!$A:$X,24,0)</f>
        <v>0</v>
      </c>
      <c r="Q113" s="13"/>
      <c r="R113" s="13"/>
      <c r="S113" s="13"/>
      <c r="T113" s="13"/>
      <c r="U113" s="13"/>
      <c r="V113" s="13"/>
      <c r="W113" s="13">
        <f t="shared" si="16"/>
        <v>265.05</v>
      </c>
      <c r="X113" s="16"/>
      <c r="Y113" s="17">
        <f t="shared" si="17"/>
        <v>8.064893416336541E-2</v>
      </c>
      <c r="Z113" s="13">
        <f t="shared" si="18"/>
        <v>8.064893416336541E-2</v>
      </c>
      <c r="AA113" s="13"/>
      <c r="AB113" s="13"/>
      <c r="AC113" s="13"/>
      <c r="AD113" s="13">
        <f>VLOOKUP(A:A,[1]TDSheet!$A:$AD,30,0)</f>
        <v>0</v>
      </c>
      <c r="AE113" s="13">
        <f>VLOOKUP(A:A,[1]TDSheet!$A:$AE,31,0)</f>
        <v>256.89080000000001</v>
      </c>
      <c r="AF113" s="13">
        <f>VLOOKUP(A:A,[1]TDSheet!$A:$AF,32,0)</f>
        <v>285.79180000000002</v>
      </c>
      <c r="AG113" s="13">
        <f>VLOOKUP(A:A,[1]TDSheet!$A:$AG,33,0)</f>
        <v>347.07679999999999</v>
      </c>
      <c r="AH113" s="13">
        <f>VLOOKUP(A:A,[3]TDSheet!$A:$D,4,0)</f>
        <v>23.263000000000002</v>
      </c>
      <c r="AI113" s="13">
        <f>VLOOKUP(A:A,[1]TDSheet!$A:$AI,35,0)</f>
        <v>0</v>
      </c>
      <c r="AJ113" s="13">
        <f t="shared" si="19"/>
        <v>0</v>
      </c>
      <c r="AK113" s="13"/>
      <c r="AL113" s="13"/>
      <c r="AM113" s="13"/>
    </row>
    <row r="114" spans="1:39" s="1" customFormat="1" ht="11.1" customHeight="1" outlineLevel="1" x14ac:dyDescent="0.2">
      <c r="A114" s="7" t="s">
        <v>113</v>
      </c>
      <c r="B114" s="7" t="s">
        <v>12</v>
      </c>
      <c r="C114" s="8">
        <v>-195</v>
      </c>
      <c r="D114" s="8">
        <v>2154</v>
      </c>
      <c r="E114" s="18">
        <v>1589</v>
      </c>
      <c r="F114" s="18">
        <v>214</v>
      </c>
      <c r="G114" s="1">
        <f>VLOOKUP(A:A,[1]TDSheet!$A:$G,7,0)</f>
        <v>0</v>
      </c>
      <c r="H114" s="1">
        <f>VLOOKUP(A:A,[1]TDSheet!$A:$H,8,0)</f>
        <v>0</v>
      </c>
      <c r="I114" s="1" t="e">
        <f>VLOOKUP(A:A,[1]TDSheet!$A:$I,9,0)</f>
        <v>#N/A</v>
      </c>
      <c r="J114" s="13">
        <f>VLOOKUP(A:A,[2]TDSheet!$A:$F,6,0)</f>
        <v>1635</v>
      </c>
      <c r="K114" s="13">
        <f t="shared" si="15"/>
        <v>-46</v>
      </c>
      <c r="L114" s="13">
        <f>VLOOKUP(A:A,[1]TDSheet!$A:$M,13,0)</f>
        <v>0</v>
      </c>
      <c r="M114" s="13">
        <f>VLOOKUP(A:A,[1]TDSheet!$A:$N,14,0)</f>
        <v>0</v>
      </c>
      <c r="N114" s="13">
        <f>VLOOKUP(A:A,[1]TDSheet!$A:$U,21,0)</f>
        <v>0</v>
      </c>
      <c r="O114" s="13">
        <f>VLOOKUP(A:A,[1]TDSheet!$A:$V,22,0)</f>
        <v>0</v>
      </c>
      <c r="P114" s="13">
        <f>VLOOKUP(A:A,[1]TDSheet!$A:$X,24,0)</f>
        <v>0</v>
      </c>
      <c r="Q114" s="13"/>
      <c r="R114" s="13"/>
      <c r="S114" s="13"/>
      <c r="T114" s="13"/>
      <c r="U114" s="13"/>
      <c r="V114" s="13"/>
      <c r="W114" s="13">
        <f t="shared" si="16"/>
        <v>317.8</v>
      </c>
      <c r="X114" s="16"/>
      <c r="Y114" s="17">
        <f t="shared" si="17"/>
        <v>0.67337948395217118</v>
      </c>
      <c r="Z114" s="13">
        <f t="shared" si="18"/>
        <v>0.67337948395217118</v>
      </c>
      <c r="AA114" s="13"/>
      <c r="AB114" s="13"/>
      <c r="AC114" s="13"/>
      <c r="AD114" s="13">
        <f>VLOOKUP(A:A,[1]TDSheet!$A:$AD,30,0)</f>
        <v>0</v>
      </c>
      <c r="AE114" s="13">
        <f>VLOOKUP(A:A,[1]TDSheet!$A:$AE,31,0)</f>
        <v>239.6</v>
      </c>
      <c r="AF114" s="13">
        <f>VLOOKUP(A:A,[1]TDSheet!$A:$AF,32,0)</f>
        <v>265.60000000000002</v>
      </c>
      <c r="AG114" s="13">
        <f>VLOOKUP(A:A,[1]TDSheet!$A:$AG,33,0)</f>
        <v>282.8</v>
      </c>
      <c r="AH114" s="13">
        <f>VLOOKUP(A:A,[3]TDSheet!$A:$D,4,0)</f>
        <v>369</v>
      </c>
      <c r="AI114" s="13">
        <f>VLOOKUP(A:A,[1]TDSheet!$A:$AI,35,0)</f>
        <v>0</v>
      </c>
      <c r="AJ114" s="13">
        <f t="shared" si="19"/>
        <v>0</v>
      </c>
      <c r="AK114" s="13"/>
      <c r="AL114" s="13"/>
      <c r="AM114" s="13"/>
    </row>
    <row r="115" spans="1:39" s="1" customFormat="1" ht="11.1" customHeight="1" outlineLevel="1" x14ac:dyDescent="0.2">
      <c r="A115" s="7" t="s">
        <v>114</v>
      </c>
      <c r="B115" s="7" t="s">
        <v>12</v>
      </c>
      <c r="C115" s="8">
        <v>266</v>
      </c>
      <c r="D115" s="8">
        <v>450</v>
      </c>
      <c r="E115" s="18">
        <v>606</v>
      </c>
      <c r="F115" s="18">
        <v>60</v>
      </c>
      <c r="G115" s="1">
        <f>VLOOKUP(A:A,[1]TDSheet!$A:$G,7,0)</f>
        <v>0</v>
      </c>
      <c r="H115" s="1">
        <f>VLOOKUP(A:A,[1]TDSheet!$A:$H,8,0)</f>
        <v>0</v>
      </c>
      <c r="I115" s="1" t="e">
        <f>VLOOKUP(A:A,[1]TDSheet!$A:$I,9,0)</f>
        <v>#N/A</v>
      </c>
      <c r="J115" s="13">
        <f>VLOOKUP(A:A,[2]TDSheet!$A:$F,6,0)</f>
        <v>627</v>
      </c>
      <c r="K115" s="13">
        <f t="shared" si="15"/>
        <v>-21</v>
      </c>
      <c r="L115" s="13">
        <f>VLOOKUP(A:A,[1]TDSheet!$A:$M,13,0)</f>
        <v>0</v>
      </c>
      <c r="M115" s="13">
        <f>VLOOKUP(A:A,[1]TDSheet!$A:$N,14,0)</f>
        <v>0</v>
      </c>
      <c r="N115" s="13">
        <f>VLOOKUP(A:A,[1]TDSheet!$A:$U,21,0)</f>
        <v>0</v>
      </c>
      <c r="O115" s="13">
        <f>VLOOKUP(A:A,[1]TDSheet!$A:$V,22,0)</f>
        <v>0</v>
      </c>
      <c r="P115" s="13">
        <f>VLOOKUP(A:A,[1]TDSheet!$A:$X,24,0)</f>
        <v>0</v>
      </c>
      <c r="Q115" s="13"/>
      <c r="R115" s="13"/>
      <c r="S115" s="13"/>
      <c r="T115" s="13"/>
      <c r="U115" s="13"/>
      <c r="V115" s="13"/>
      <c r="W115" s="13">
        <f t="shared" si="16"/>
        <v>121.2</v>
      </c>
      <c r="X115" s="16"/>
      <c r="Y115" s="17">
        <f t="shared" si="17"/>
        <v>0.49504950495049505</v>
      </c>
      <c r="Z115" s="13">
        <f t="shared" si="18"/>
        <v>0.49504950495049505</v>
      </c>
      <c r="AA115" s="13"/>
      <c r="AB115" s="13"/>
      <c r="AC115" s="13"/>
      <c r="AD115" s="13">
        <f>VLOOKUP(A:A,[1]TDSheet!$A:$AD,30,0)</f>
        <v>0</v>
      </c>
      <c r="AE115" s="13">
        <f>VLOOKUP(A:A,[1]TDSheet!$A:$AE,31,0)</f>
        <v>77</v>
      </c>
      <c r="AF115" s="13">
        <f>VLOOKUP(A:A,[1]TDSheet!$A:$AF,32,0)</f>
        <v>85.8</v>
      </c>
      <c r="AG115" s="13">
        <f>VLOOKUP(A:A,[1]TDSheet!$A:$AG,33,0)</f>
        <v>100.2</v>
      </c>
      <c r="AH115" s="13">
        <f>VLOOKUP(A:A,[3]TDSheet!$A:$D,4,0)</f>
        <v>143</v>
      </c>
      <c r="AI115" s="13">
        <f>VLOOKUP(A:A,[1]TDSheet!$A:$AI,35,0)</f>
        <v>0</v>
      </c>
      <c r="AJ115" s="13">
        <f t="shared" si="19"/>
        <v>0</v>
      </c>
      <c r="AK115" s="13"/>
      <c r="AL115" s="13"/>
      <c r="AM115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2025-04-17T09:36:43Z</dcterms:modified>
</cp:coreProperties>
</file>