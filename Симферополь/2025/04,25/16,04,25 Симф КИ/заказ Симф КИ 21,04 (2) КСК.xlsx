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0A153AF4-D4DD-4966-BA4F-4E0B00442C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1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Y443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Y244" i="1" s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I601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42" i="1"/>
  <c r="BN242" i="1"/>
  <c r="Z242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Z282" i="1" s="1"/>
  <c r="Y282" i="1"/>
  <c r="BP309" i="1"/>
  <c r="BN309" i="1"/>
  <c r="Z309" i="1"/>
  <c r="Z310" i="1" s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H9" i="1"/>
  <c r="Y28" i="1"/>
  <c r="Y55" i="1"/>
  <c r="Y139" i="1"/>
  <c r="BP159" i="1"/>
  <c r="BN159" i="1"/>
  <c r="Z159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Z243" i="1" s="1"/>
  <c r="BP257" i="1"/>
  <c r="BN257" i="1"/>
  <c r="Z257" i="1"/>
  <c r="Y261" i="1"/>
  <c r="BP271" i="1"/>
  <c r="BN271" i="1"/>
  <c r="Z271" i="1"/>
  <c r="Z273" i="1" s="1"/>
  <c r="BP280" i="1"/>
  <c r="BN280" i="1"/>
  <c r="Z28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Y172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Z460" i="1"/>
  <c r="BP457" i="1"/>
  <c r="BN457" i="1"/>
  <c r="Z457" i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467" i="1"/>
  <c r="Y472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47" i="1" l="1"/>
  <c r="Z517" i="1"/>
  <c r="Z408" i="1"/>
  <c r="Z385" i="1"/>
  <c r="Z359" i="1"/>
  <c r="Z353" i="1"/>
  <c r="Z332" i="1"/>
  <c r="Y595" i="1"/>
  <c r="Z261" i="1"/>
  <c r="Z238" i="1"/>
  <c r="Z209" i="1"/>
  <c r="Z183" i="1"/>
  <c r="Z161" i="1"/>
  <c r="Z55" i="1"/>
  <c r="Y591" i="1"/>
  <c r="Y593" i="1"/>
  <c r="Z28" i="1"/>
  <c r="Z565" i="1"/>
  <c r="Z442" i="1"/>
  <c r="Z421" i="1"/>
  <c r="Z221" i="1"/>
  <c r="Z325" i="1"/>
  <c r="Y592" i="1"/>
  <c r="Y594" i="1" s="1"/>
  <c r="Z596" i="1" l="1"/>
</calcChain>
</file>

<file path=xl/sharedStrings.xml><?xml version="1.0" encoding="utf-8"?>
<sst xmlns="http://schemas.openxmlformats.org/spreadsheetml/2006/main" count="2730" uniqueCount="967">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</sst>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9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15</v>
      </c>
      <c r="Y22" s="664">
        <f t="shared" ref="Y22:Y27" si="0">IFERROR(IF(X22="",0,CEILING((X22/$H22),1)*$H22),"")</f>
        <v>16.2</v>
      </c>
      <c r="Z22" s="36">
        <f t="shared" ref="Z22:Z27" si="1">IFERROR(IF(Y22=0,"",ROUNDUP(Y22/H22,0)*0.00651),"")</f>
        <v>5.8590000000000003E-2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26.5</v>
      </c>
      <c r="BN22" s="64">
        <f t="shared" ref="BN22:BN27" si="3">IFERROR(Y22*I22/H22,"0")</f>
        <v>28.619999999999997</v>
      </c>
      <c r="BO22" s="64">
        <f t="shared" ref="BO22:BO27" si="4">IFERROR(1/J22*(X22/H22),"0")</f>
        <v>4.5787545787545791E-2</v>
      </c>
      <c r="BP22" s="64">
        <f t="shared" ref="BP22:BP27" si="5">IFERROR(1/J22*(Y22/H22),"0")</f>
        <v>4.9450549450549455E-2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8.3333333333333339</v>
      </c>
      <c r="Y28" s="665">
        <f>IFERROR(Y22/H22,"0")+IFERROR(Y23/H23,"0")+IFERROR(Y24/H24,"0")+IFERROR(Y25/H25,"0")+IFERROR(Y26/H26,"0")+IFERROR(Y27/H27,"0")</f>
        <v>9</v>
      </c>
      <c r="Z28" s="665">
        <f>IFERROR(IF(Z22="",0,Z22),"0")+IFERROR(IF(Z23="",0,Z23),"0")+IFERROR(IF(Z24="",0,Z24),"0")+IFERROR(IF(Z25="",0,Z25),"0")+IFERROR(IF(Z26="",0,Z26),"0")+IFERROR(IF(Z27="",0,Z27),"0")</f>
        <v>5.8590000000000003E-2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15</v>
      </c>
      <c r="Y29" s="665">
        <f>IFERROR(SUM(Y22:Y27),"0")</f>
        <v>16.2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200</v>
      </c>
      <c r="Y38" s="664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50</v>
      </c>
      <c r="Y41" s="665">
        <f>IFERROR(Y37/H37,"0")+IFERROR(Y38/H38,"0")+IFERROR(Y39/H39,"0")+IFERROR(Y40/H40,"0")</f>
        <v>50</v>
      </c>
      <c r="Z41" s="665">
        <f>IFERROR(IF(Z37="",0,Z37),"0")+IFERROR(IF(Z38="",0,Z38),"0")+IFERROR(IF(Z39="",0,Z39),"0")+IFERROR(IF(Z40="",0,Z40),"0")</f>
        <v>0.45100000000000001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200</v>
      </c>
      <c r="Y42" s="665">
        <f>IFERROR(SUM(Y37:Y40),"0")</f>
        <v>200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100</v>
      </c>
      <c r="Y50" s="664">
        <f t="shared" si="6"/>
        <v>108</v>
      </c>
      <c r="Z50" s="36">
        <f>IFERROR(IF(Y50=0,"",ROUNDUP(Y50/H50,0)*0.01898),"")</f>
        <v>0.1898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104.02777777777777</v>
      </c>
      <c r="BN50" s="64">
        <f t="shared" si="8"/>
        <v>112.34999999999998</v>
      </c>
      <c r="BO50" s="64">
        <f t="shared" si="9"/>
        <v>0.14467592592592593</v>
      </c>
      <c r="BP50" s="64">
        <f t="shared" si="10"/>
        <v>0.15625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360</v>
      </c>
      <c r="Y54" s="664">
        <f t="shared" si="6"/>
        <v>360</v>
      </c>
      <c r="Z54" s="36">
        <f>IFERROR(IF(Y54=0,"",ROUNDUP(Y54/H54,0)*0.00902),"")</f>
        <v>0.72160000000000002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376.79999999999995</v>
      </c>
      <c r="BN54" s="64">
        <f t="shared" si="8"/>
        <v>376.79999999999995</v>
      </c>
      <c r="BO54" s="64">
        <f t="shared" si="9"/>
        <v>0.60606060606060608</v>
      </c>
      <c r="BP54" s="64">
        <f t="shared" si="10"/>
        <v>0.60606060606060608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89.259259259259267</v>
      </c>
      <c r="Y55" s="665">
        <f>IFERROR(Y49/H49,"0")+IFERROR(Y50/H50,"0")+IFERROR(Y51/H51,"0")+IFERROR(Y52/H52,"0")+IFERROR(Y53/H53,"0")+IFERROR(Y54/H54,"0")</f>
        <v>90</v>
      </c>
      <c r="Z55" s="665">
        <f>IFERROR(IF(Z49="",0,Z49),"0")+IFERROR(IF(Z50="",0,Z50),"0")+IFERROR(IF(Z51="",0,Z51),"0")+IFERROR(IF(Z52="",0,Z52),"0")+IFERROR(IF(Z53="",0,Z53),"0")+IFERROR(IF(Z54="",0,Z54),"0")</f>
        <v>0.91139999999999999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460</v>
      </c>
      <c r="Y56" s="665">
        <f>IFERROR(SUM(Y49:Y54),"0")</f>
        <v>468</v>
      </c>
      <c r="Z56" s="37"/>
      <c r="AA56" s="666"/>
      <c r="AB56" s="666"/>
      <c r="AC56" s="666"/>
    </row>
    <row r="57" spans="1:68" ht="14.25" customHeight="1" x14ac:dyDescent="0.25">
      <c r="A57" s="679" t="s">
        <v>136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60</v>
      </c>
      <c r="Y58" s="664">
        <f>IFERROR(IF(X58="",0,CEILING((X58/$H58),1)*$H58),"")</f>
        <v>64.800000000000011</v>
      </c>
      <c r="Z58" s="36">
        <f>IFERROR(IF(Y58=0,"",ROUNDUP(Y58/H58,0)*0.01898),"")</f>
        <v>0.11388000000000001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62.416666666666657</v>
      </c>
      <c r="BN58" s="64">
        <f>IFERROR(Y58*I58/H58,"0")</f>
        <v>67.410000000000011</v>
      </c>
      <c r="BO58" s="64">
        <f>IFERROR(1/J58*(X58/H58),"0")</f>
        <v>8.6805555555555552E-2</v>
      </c>
      <c r="BP58" s="64">
        <f>IFERROR(1/J58*(Y58/H58),"0")</f>
        <v>9.3750000000000014E-2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180</v>
      </c>
      <c r="Y61" s="664">
        <f>IFERROR(IF(X61="",0,CEILING((X61/$H61),1)*$H61),"")</f>
        <v>180.9</v>
      </c>
      <c r="Z61" s="36">
        <f>IFERROR(IF(Y61=0,"",ROUNDUP(Y61/H61,0)*0.00651),"")</f>
        <v>0.43617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191.99999999999997</v>
      </c>
      <c r="BN61" s="64">
        <f>IFERROR(Y61*I61/H61,"0")</f>
        <v>192.95999999999998</v>
      </c>
      <c r="BO61" s="64">
        <f>IFERROR(1/J61*(X61/H61),"0")</f>
        <v>0.36630036630036628</v>
      </c>
      <c r="BP61" s="64">
        <f>IFERROR(1/J61*(Y61/H61),"0")</f>
        <v>0.36813186813186816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72.222222222222214</v>
      </c>
      <c r="Y62" s="665">
        <f>IFERROR(Y58/H58,"0")+IFERROR(Y59/H59,"0")+IFERROR(Y60/H60,"0")+IFERROR(Y61/H61,"0")</f>
        <v>73</v>
      </c>
      <c r="Z62" s="665">
        <f>IFERROR(IF(Z58="",0,Z58),"0")+IFERROR(IF(Z59="",0,Z59),"0")+IFERROR(IF(Z60="",0,Z60),"0")+IFERROR(IF(Z61="",0,Z61),"0")</f>
        <v>0.55005000000000004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240</v>
      </c>
      <c r="Y63" s="665">
        <f>IFERROR(SUM(Y58:Y61),"0")</f>
        <v>245.70000000000002</v>
      </c>
      <c r="Z63" s="37"/>
      <c r="AA63" s="666"/>
      <c r="AB63" s="666"/>
      <c r="AC63" s="666"/>
    </row>
    <row r="64" spans="1:68" ht="14.25" customHeight="1" x14ac:dyDescent="0.25">
      <c r="A64" s="679" t="s">
        <v>147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181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120</v>
      </c>
      <c r="Y87" s="664">
        <f>IFERROR(IF(X87="",0,CEILING((X87/$H87),1)*$H87),"")</f>
        <v>129.60000000000002</v>
      </c>
      <c r="Z87" s="36">
        <f>IFERROR(IF(Y87=0,"",ROUNDUP(Y87/H87,0)*0.01898),"")</f>
        <v>0.22776000000000002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124.83333333333331</v>
      </c>
      <c r="BN87" s="64">
        <f>IFERROR(Y87*I87/H87,"0")</f>
        <v>134.82000000000002</v>
      </c>
      <c r="BO87" s="64">
        <f>IFERROR(1/J87*(X87/H87),"0")</f>
        <v>0.1736111111111111</v>
      </c>
      <c r="BP87" s="64">
        <f>IFERROR(1/J87*(Y87/H87),"0")</f>
        <v>0.18750000000000003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360</v>
      </c>
      <c r="Y89" s="664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376.79999999999995</v>
      </c>
      <c r="BN89" s="64">
        <f>IFERROR(Y89*I89/H89,"0")</f>
        <v>376.79999999999995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91.111111111111114</v>
      </c>
      <c r="Y90" s="665">
        <f>IFERROR(Y87/H87,"0")+IFERROR(Y88/H88,"0")+IFERROR(Y89/H89,"0")</f>
        <v>92</v>
      </c>
      <c r="Z90" s="665">
        <f>IFERROR(IF(Z87="",0,Z87),"0")+IFERROR(IF(Z88="",0,Z88),"0")+IFERROR(IF(Z89="",0,Z89),"0")</f>
        <v>0.94935999999999998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480</v>
      </c>
      <c r="Y91" s="665">
        <f>IFERROR(SUM(Y87:Y89),"0")</f>
        <v>489.6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50</v>
      </c>
      <c r="Y93" s="664">
        <f t="shared" ref="Y93:Y101" si="16">IFERROR(IF(X93="",0,CEILING((X93/$H93),1)*$H93),"")</f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53.089285714285715</v>
      </c>
      <c r="BN93" s="64">
        <f t="shared" ref="BN93:BN101" si="18">IFERROR(Y93*I93/H93,"0")</f>
        <v>53.514000000000003</v>
      </c>
      <c r="BO93" s="64">
        <f t="shared" ref="BO93:BO101" si="19">IFERROR(1/J93*(X93/H93),"0")</f>
        <v>9.3005952380952384E-2</v>
      </c>
      <c r="BP93" s="64">
        <f t="shared" ref="BP93:BP101" si="20">IFERROR(1/J93*(Y93/H93),"0")</f>
        <v>9.375E-2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1" t="s">
        <v>195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203</v>
      </c>
      <c r="Q97" s="670"/>
      <c r="R97" s="670"/>
      <c r="S97" s="670"/>
      <c r="T97" s="671"/>
      <c r="U97" s="34"/>
      <c r="V97" s="34"/>
      <c r="W97" s="35" t="s">
        <v>69</v>
      </c>
      <c r="X97" s="663">
        <v>450</v>
      </c>
      <c r="Y97" s="664">
        <f t="shared" si="16"/>
        <v>450.90000000000003</v>
      </c>
      <c r="Z97" s="36">
        <f>IFERROR(IF(Y97=0,"",ROUNDUP(Y97/H97,0)*0.00651),"")</f>
        <v>1.08717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492</v>
      </c>
      <c r="BN97" s="64">
        <f t="shared" si="18"/>
        <v>492.98399999999998</v>
      </c>
      <c r="BO97" s="64">
        <f t="shared" si="19"/>
        <v>0.91575091575091572</v>
      </c>
      <c r="BP97" s="64">
        <f t="shared" si="20"/>
        <v>0.91758241758241765</v>
      </c>
    </row>
    <row r="98" spans="1:68" ht="16.5" customHeight="1" x14ac:dyDescent="0.25">
      <c r="A98" s="54" t="s">
        <v>201</v>
      </c>
      <c r="B98" s="54" t="s">
        <v>204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3" t="s">
        <v>205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172.61904761904762</v>
      </c>
      <c r="Y102" s="665">
        <f>IFERROR(Y93/H93,"0")+IFERROR(Y94/H94,"0")+IFERROR(Y95/H95,"0")+IFERROR(Y96/H96,"0")+IFERROR(Y97/H97,"0")+IFERROR(Y98/H98,"0")+IFERROR(Y99/H99,"0")+IFERROR(Y100/H100,"0")+IFERROR(Y101/H101,"0")</f>
        <v>173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1.20105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500</v>
      </c>
      <c r="Y103" s="665">
        <f>IFERROR(SUM(Y93:Y101),"0")</f>
        <v>501.30000000000007</v>
      </c>
      <c r="Z103" s="37"/>
      <c r="AA103" s="666"/>
      <c r="AB103" s="666"/>
      <c r="AC103" s="666"/>
    </row>
    <row r="104" spans="1:68" ht="16.5" customHeight="1" x14ac:dyDescent="0.25">
      <c r="A104" s="716" t="s">
        <v>212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80</v>
      </c>
      <c r="Y106" s="664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83.222222222222214</v>
      </c>
      <c r="BN106" s="64">
        <f>IFERROR(Y106*I106/H106,"0")</f>
        <v>89.88</v>
      </c>
      <c r="BO106" s="64">
        <f>IFERROR(1/J106*(X106/H106),"0")</f>
        <v>0.11574074074074073</v>
      </c>
      <c r="BP106" s="64">
        <f>IFERROR(1/J106*(Y106/H106),"0")</f>
        <v>0.125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450</v>
      </c>
      <c r="Y108" s="664">
        <f>IFERROR(IF(X108="",0,CEILING((X108/$H108),1)*$H108),"")</f>
        <v>450</v>
      </c>
      <c r="Z108" s="36">
        <f>IFERROR(IF(Y108=0,"",ROUNDUP(Y108/H108,0)*0.00902),"")</f>
        <v>0.90200000000000002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471</v>
      </c>
      <c r="BN108" s="64">
        <f>IFERROR(Y108*I108/H108,"0")</f>
        <v>471</v>
      </c>
      <c r="BO108" s="64">
        <f>IFERROR(1/J108*(X108/H108),"0")</f>
        <v>0.75757575757575757</v>
      </c>
      <c r="BP108" s="64">
        <f>IFERROR(1/J108*(Y108/H108),"0")</f>
        <v>0.75757575757575757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107.4074074074074</v>
      </c>
      <c r="Y110" s="665">
        <f>IFERROR(Y106/H106,"0")+IFERROR(Y107/H107,"0")+IFERROR(Y108/H108,"0")+IFERROR(Y109/H109,"0")</f>
        <v>108</v>
      </c>
      <c r="Z110" s="665">
        <f>IFERROR(IF(Z106="",0,Z106),"0")+IFERROR(IF(Z107="",0,Z107),"0")+IFERROR(IF(Z108="",0,Z108),"0")+IFERROR(IF(Z109="",0,Z109),"0")</f>
        <v>1.0538400000000001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530</v>
      </c>
      <c r="Y111" s="665">
        <f>IFERROR(SUM(Y106:Y109),"0")</f>
        <v>536.4</v>
      </c>
      <c r="Z111" s="37"/>
      <c r="AA111" s="666"/>
      <c r="AB111" s="666"/>
      <c r="AC111" s="666"/>
    </row>
    <row r="112" spans="1:68" ht="14.25" customHeight="1" x14ac:dyDescent="0.25">
      <c r="A112" s="679" t="s">
        <v>136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400</v>
      </c>
      <c r="Y121" s="664">
        <f t="shared" si="21"/>
        <v>403.20000000000005</v>
      </c>
      <c r="Z121" s="36">
        <f>IFERROR(IF(Y121=0,"",ROUNDUP(Y121/H121,0)*0.01898),"")</f>
        <v>0.91104000000000007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424.42857142857144</v>
      </c>
      <c r="BN121" s="64">
        <f t="shared" si="23"/>
        <v>427.82400000000001</v>
      </c>
      <c r="BO121" s="64">
        <f t="shared" si="24"/>
        <v>0.74404761904761907</v>
      </c>
      <c r="BP121" s="64">
        <f t="shared" si="25"/>
        <v>0.75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240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405</v>
      </c>
      <c r="Y124" s="664">
        <f t="shared" si="21"/>
        <v>405</v>
      </c>
      <c r="Z124" s="36">
        <f t="shared" si="26"/>
        <v>0.97650000000000003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442.79999999999995</v>
      </c>
      <c r="BN124" s="64">
        <f t="shared" si="23"/>
        <v>442.79999999999995</v>
      </c>
      <c r="BO124" s="64">
        <f t="shared" si="24"/>
        <v>0.82417582417582425</v>
      </c>
      <c r="BP124" s="64">
        <f t="shared" si="25"/>
        <v>0.82417582417582425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30</v>
      </c>
      <c r="Y126" s="664">
        <f t="shared" si="21"/>
        <v>30.6</v>
      </c>
      <c r="Z126" s="36">
        <f t="shared" si="26"/>
        <v>0.11067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33</v>
      </c>
      <c r="BN126" s="64">
        <f t="shared" si="23"/>
        <v>33.659999999999997</v>
      </c>
      <c r="BO126" s="64">
        <f t="shared" si="24"/>
        <v>9.1575091575091583E-2</v>
      </c>
      <c r="BP126" s="64">
        <f t="shared" si="25"/>
        <v>9.3406593406593408E-2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214.28571428571428</v>
      </c>
      <c r="Y128" s="665">
        <f>IFERROR(Y119/H119,"0")+IFERROR(Y120/H120,"0")+IFERROR(Y121/H121,"0")+IFERROR(Y122/H122,"0")+IFERROR(Y123/H123,"0")+IFERROR(Y124/H124,"0")+IFERROR(Y125/H125,"0")+IFERROR(Y126/H126,"0")+IFERROR(Y127/H127,"0")</f>
        <v>215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1.99821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835</v>
      </c>
      <c r="Y129" s="665">
        <f>IFERROR(SUM(Y119:Y127),"0")</f>
        <v>838.80000000000007</v>
      </c>
      <c r="Z129" s="37"/>
      <c r="AA129" s="666"/>
      <c r="AB129" s="666"/>
      <c r="AC129" s="666"/>
    </row>
    <row r="130" spans="1:68" ht="14.25" customHeight="1" x14ac:dyDescent="0.25">
      <c r="A130" s="679" t="s">
        <v>173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257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52</v>
      </c>
      <c r="Y138" s="664">
        <f>IFERROR(IF(X138="",0,CEILING((X138/$H138),1)*$H138),"")</f>
        <v>54.400000000000006</v>
      </c>
      <c r="Z138" s="36">
        <f>IFERROR(IF(Y138=0,"",ROUNDUP(Y138/H138,0)*0.00651),"")</f>
        <v>0.11067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54.924999999999997</v>
      </c>
      <c r="BN138" s="64">
        <f>IFERROR(Y138*I138/H138,"0")</f>
        <v>57.46</v>
      </c>
      <c r="BO138" s="64">
        <f>IFERROR(1/J138*(X138/H138),"0")</f>
        <v>8.9285714285714288E-2</v>
      </c>
      <c r="BP138" s="64">
        <f>IFERROR(1/J138*(Y138/H138),"0")</f>
        <v>9.3406593406593408E-2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16.25</v>
      </c>
      <c r="Y139" s="665">
        <f>IFERROR(Y137/H137,"0")+IFERROR(Y138/H138,"0")</f>
        <v>17</v>
      </c>
      <c r="Z139" s="665">
        <f>IFERROR(IF(Z137="",0,Z137),"0")+IFERROR(IF(Z138="",0,Z138),"0")</f>
        <v>0.11067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52</v>
      </c>
      <c r="Y140" s="665">
        <f>IFERROR(SUM(Y137:Y138),"0")</f>
        <v>54.400000000000006</v>
      </c>
      <c r="Z140" s="37"/>
      <c r="AA140" s="666"/>
      <c r="AB140" s="666"/>
      <c r="AC140" s="666"/>
    </row>
    <row r="141" spans="1:68" ht="14.25" customHeight="1" x14ac:dyDescent="0.25">
      <c r="A141" s="679" t="s">
        <v>147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17.5</v>
      </c>
      <c r="Y142" s="664">
        <f>IFERROR(IF(X142="",0,CEILING((X142/$H142),1)*$H142),"")</f>
        <v>19.599999999999998</v>
      </c>
      <c r="Z142" s="36">
        <f>IFERROR(IF(Y142=0,"",ROUNDUP(Y142/H142,0)*0.00651),"")</f>
        <v>4.5569999999999999E-2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19.175000000000001</v>
      </c>
      <c r="BN142" s="64">
        <f>IFERROR(Y142*I142/H142,"0")</f>
        <v>21.475999999999999</v>
      </c>
      <c r="BO142" s="64">
        <f>IFERROR(1/J142*(X142/H142),"0")</f>
        <v>3.4340659340659344E-2</v>
      </c>
      <c r="BP142" s="64">
        <f>IFERROR(1/J142*(Y142/H142),"0")</f>
        <v>3.8461538461538464E-2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6.25</v>
      </c>
      <c r="Y144" s="665">
        <f>IFERROR(Y142/H142,"0")+IFERROR(Y143/H143,"0")</f>
        <v>7</v>
      </c>
      <c r="Z144" s="665">
        <f>IFERROR(IF(Z142="",0,Z142),"0")+IFERROR(IF(Z143="",0,Z143),"0")</f>
        <v>4.5569999999999999E-2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17.5</v>
      </c>
      <c r="Y145" s="665">
        <f>IFERROR(SUM(Y142:Y143),"0")</f>
        <v>19.599999999999998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147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287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136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147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100</v>
      </c>
      <c r="Y174" s="664">
        <f t="shared" ref="Y174:Y182" si="27">IFERROR(IF(X174="",0,CEILING((X174/$H174),1)*$H174),"")</f>
        <v>100.80000000000001</v>
      </c>
      <c r="Z174" s="36">
        <f>IFERROR(IF(Y174=0,"",ROUNDUP(Y174/H174,0)*0.00902),"")</f>
        <v>0.21648000000000001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106.42857142857143</v>
      </c>
      <c r="BN174" s="64">
        <f t="shared" ref="BN174:BN182" si="29">IFERROR(Y174*I174/H174,"0")</f>
        <v>107.28</v>
      </c>
      <c r="BO174" s="64">
        <f t="shared" ref="BO174:BO182" si="30">IFERROR(1/J174*(X174/H174),"0")</f>
        <v>0.18037518037518038</v>
      </c>
      <c r="BP174" s="64">
        <f t="shared" ref="BP174:BP182" si="31">IFERROR(1/J174*(Y174/H174),"0")</f>
        <v>0.18181818181818182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80</v>
      </c>
      <c r="Y176" s="664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84</v>
      </c>
      <c r="BN176" s="64">
        <f t="shared" si="29"/>
        <v>88.199999999999989</v>
      </c>
      <c r="BO176" s="64">
        <f t="shared" si="30"/>
        <v>0.14430014430014429</v>
      </c>
      <c r="BP176" s="64">
        <f t="shared" si="31"/>
        <v>0.15151515151515152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70</v>
      </c>
      <c r="Y177" s="664">
        <f t="shared" si="27"/>
        <v>71.400000000000006</v>
      </c>
      <c r="Z177" s="36">
        <f>IFERROR(IF(Y177=0,"",ROUNDUP(Y177/H177,0)*0.00502),"")</f>
        <v>0.17068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74.333333333333329</v>
      </c>
      <c r="BN177" s="64">
        <f t="shared" si="29"/>
        <v>75.820000000000007</v>
      </c>
      <c r="BO177" s="64">
        <f t="shared" si="30"/>
        <v>0.14245014245014245</v>
      </c>
      <c r="BP177" s="64">
        <f t="shared" si="31"/>
        <v>0.14529914529914531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140</v>
      </c>
      <c r="Y178" s="664">
        <f t="shared" si="27"/>
        <v>140.70000000000002</v>
      </c>
      <c r="Z178" s="36">
        <f>IFERROR(IF(Y178=0,"",ROUNDUP(Y178/H178,0)*0.00502),"")</f>
        <v>0.33634000000000003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148.66666666666666</v>
      </c>
      <c r="BN178" s="64">
        <f t="shared" si="29"/>
        <v>149.41</v>
      </c>
      <c r="BO178" s="64">
        <f t="shared" si="30"/>
        <v>0.28490028490028491</v>
      </c>
      <c r="BP178" s="64">
        <f t="shared" si="31"/>
        <v>0.28632478632478636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5" t="s">
        <v>306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210</v>
      </c>
      <c r="Y180" s="664">
        <f t="shared" si="27"/>
        <v>210</v>
      </c>
      <c r="Z180" s="36">
        <f>IFERROR(IF(Y180=0,"",ROUNDUP(Y180/H180,0)*0.00502),"")</f>
        <v>0.502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220.00000000000003</v>
      </c>
      <c r="BN180" s="64">
        <f t="shared" si="29"/>
        <v>220.00000000000003</v>
      </c>
      <c r="BO180" s="64">
        <f t="shared" si="30"/>
        <v>0.42735042735042739</v>
      </c>
      <c r="BP180" s="64">
        <f t="shared" si="31"/>
        <v>0.42735042735042739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242.85714285714283</v>
      </c>
      <c r="Y183" s="665">
        <f>IFERROR(Y174/H174,"0")+IFERROR(Y175/H175,"0")+IFERROR(Y176/H176,"0")+IFERROR(Y177/H177,"0")+IFERROR(Y178/H178,"0")+IFERROR(Y179/H179,"0")+IFERROR(Y180/H180,"0")+IFERROR(Y181/H181,"0")+IFERROR(Y182/H182,"0")</f>
        <v>245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1.4059000000000001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600</v>
      </c>
      <c r="Y184" s="665">
        <f>IFERROR(SUM(Y174:Y182),"0")</f>
        <v>606.90000000000009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4" t="s">
        <v>319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322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136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147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250</v>
      </c>
      <c r="Y201" s="664">
        <f t="shared" ref="Y201:Y208" si="32">IFERROR(IF(X201="",0,CEILING((X201/$H201),1)*$H201),"")</f>
        <v>253.8</v>
      </c>
      <c r="Z201" s="36">
        <f>IFERROR(IF(Y201=0,"",ROUNDUP(Y201/H201,0)*0.00902),"")</f>
        <v>0.42393999999999998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259.72222222222223</v>
      </c>
      <c r="BN201" s="64">
        <f t="shared" ref="BN201:BN208" si="34">IFERROR(Y201*I201/H201,"0")</f>
        <v>263.67</v>
      </c>
      <c r="BO201" s="64">
        <f t="shared" ref="BO201:BO208" si="35">IFERROR(1/J201*(X201/H201),"0")</f>
        <v>0.35072951739618402</v>
      </c>
      <c r="BP201" s="64">
        <f t="shared" ref="BP201:BP208" si="36">IFERROR(1/J201*(Y201/H201),"0")</f>
        <v>0.35606060606060608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300</v>
      </c>
      <c r="Y203" s="664">
        <f t="shared" si="32"/>
        <v>302.40000000000003</v>
      </c>
      <c r="Z203" s="36">
        <f>IFERROR(IF(Y203=0,"",ROUNDUP(Y203/H203,0)*0.00902),"")</f>
        <v>0.50512000000000001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311.66666666666663</v>
      </c>
      <c r="BN203" s="64">
        <f t="shared" si="34"/>
        <v>314.16000000000003</v>
      </c>
      <c r="BO203" s="64">
        <f t="shared" si="35"/>
        <v>0.42087542087542085</v>
      </c>
      <c r="BP203" s="64">
        <f t="shared" si="36"/>
        <v>0.42424242424242425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150</v>
      </c>
      <c r="Y204" s="664">
        <f t="shared" si="32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155.83333333333331</v>
      </c>
      <c r="BN204" s="64">
        <f t="shared" si="34"/>
        <v>157.08000000000001</v>
      </c>
      <c r="BO204" s="64">
        <f t="shared" si="35"/>
        <v>0.21043771043771042</v>
      </c>
      <c r="BP204" s="64">
        <f t="shared" si="36"/>
        <v>0.21212121212121213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60</v>
      </c>
      <c r="Y206" s="664">
        <f t="shared" si="32"/>
        <v>61.2</v>
      </c>
      <c r="Z206" s="36">
        <f>IFERROR(IF(Y206=0,"",ROUNDUP(Y206/H206,0)*0.00502),"")</f>
        <v>0.17068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63.333333333333329</v>
      </c>
      <c r="BN206" s="64">
        <f t="shared" si="34"/>
        <v>64.599999999999994</v>
      </c>
      <c r="BO206" s="64">
        <f t="shared" si="35"/>
        <v>0.14245014245014248</v>
      </c>
      <c r="BP206" s="64">
        <f t="shared" si="36"/>
        <v>0.14529914529914531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60</v>
      </c>
      <c r="Y207" s="664">
        <f t="shared" si="32"/>
        <v>61.2</v>
      </c>
      <c r="Z207" s="36">
        <f>IFERROR(IF(Y207=0,"",ROUNDUP(Y207/H207,0)*0.00502),"")</f>
        <v>0.17068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63.333333333333329</v>
      </c>
      <c r="BN207" s="64">
        <f t="shared" si="34"/>
        <v>64.599999999999994</v>
      </c>
      <c r="BO207" s="64">
        <f t="shared" si="35"/>
        <v>0.14245014245014248</v>
      </c>
      <c r="BP207" s="64">
        <f t="shared" si="36"/>
        <v>0.14529914529914531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257.40740740740745</v>
      </c>
      <c r="Y209" s="665">
        <f>IFERROR(Y201/H201,"0")+IFERROR(Y202/H202,"0")+IFERROR(Y203/H203,"0")+IFERROR(Y204/H204,"0")+IFERROR(Y205/H205,"0")+IFERROR(Y206/H206,"0")+IFERROR(Y207/H207,"0")+IFERROR(Y208/H208,"0")</f>
        <v>262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1.8872399999999998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970</v>
      </c>
      <c r="Y210" s="665">
        <f>IFERROR(SUM(Y201:Y208),"0")</f>
        <v>986.4000000000002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90</v>
      </c>
      <c r="Y214" s="664">
        <f t="shared" si="37"/>
        <v>95.699999999999989</v>
      </c>
      <c r="Z214" s="36">
        <f>IFERROR(IF(Y214=0,"",ROUNDUP(Y214/H214,0)*0.01898),"")</f>
        <v>0.20877999999999999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95.368965517241378</v>
      </c>
      <c r="BN214" s="64">
        <f t="shared" si="39"/>
        <v>101.40899999999999</v>
      </c>
      <c r="BO214" s="64">
        <f t="shared" si="40"/>
        <v>0.16163793103448276</v>
      </c>
      <c r="BP214" s="64">
        <f t="shared" si="41"/>
        <v>0.171875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400</v>
      </c>
      <c r="Y215" s="664">
        <f t="shared" si="37"/>
        <v>400.8</v>
      </c>
      <c r="Z215" s="36">
        <f t="shared" ref="Z215:Z220" si="42">IFERROR(IF(Y215=0,"",ROUNDUP(Y215/H215,0)*0.00651),"")</f>
        <v>1.08717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445</v>
      </c>
      <c r="BN215" s="64">
        <f t="shared" si="39"/>
        <v>445.89</v>
      </c>
      <c r="BO215" s="64">
        <f t="shared" si="40"/>
        <v>0.91575091575091594</v>
      </c>
      <c r="BP215" s="64">
        <f t="shared" si="41"/>
        <v>0.91758241758241765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40</v>
      </c>
      <c r="Y219" s="664">
        <f t="shared" si="37"/>
        <v>40.799999999999997</v>
      </c>
      <c r="Z219" s="36">
        <f t="shared" si="42"/>
        <v>0.11067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44.20000000000001</v>
      </c>
      <c r="BN219" s="64">
        <f t="shared" si="39"/>
        <v>45.084000000000003</v>
      </c>
      <c r="BO219" s="64">
        <f t="shared" si="40"/>
        <v>9.1575091575091583E-2</v>
      </c>
      <c r="BP219" s="64">
        <f t="shared" si="41"/>
        <v>9.3406593406593408E-2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160</v>
      </c>
      <c r="Y220" s="664">
        <f t="shared" si="37"/>
        <v>160.79999999999998</v>
      </c>
      <c r="Z220" s="36">
        <f t="shared" si="42"/>
        <v>0.43617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177.2</v>
      </c>
      <c r="BN220" s="64">
        <f t="shared" si="39"/>
        <v>178.08599999999998</v>
      </c>
      <c r="BO220" s="64">
        <f t="shared" si="40"/>
        <v>0.36630036630036633</v>
      </c>
      <c r="BP220" s="64">
        <f t="shared" si="41"/>
        <v>0.36813186813186816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360.34482758620697</v>
      </c>
      <c r="Y221" s="665">
        <f>IFERROR(Y212/H212,"0")+IFERROR(Y213/H213,"0")+IFERROR(Y214/H214,"0")+IFERROR(Y215/H215,"0")+IFERROR(Y216/H216,"0")+IFERROR(Y217/H217,"0")+IFERROR(Y218/H218,"0")+IFERROR(Y219/H219,"0")+IFERROR(Y220/H220,"0")</f>
        <v>362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2.4937900000000002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930</v>
      </c>
      <c r="Y222" s="665">
        <f>IFERROR(SUM(Y212:Y220),"0")</f>
        <v>938.09999999999991</v>
      </c>
      <c r="Z222" s="37"/>
      <c r="AA222" s="666"/>
      <c r="AB222" s="666"/>
      <c r="AC222" s="666"/>
    </row>
    <row r="223" spans="1:68" ht="14.25" customHeight="1" x14ac:dyDescent="0.25">
      <c r="A223" s="679" t="s">
        <v>173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20</v>
      </c>
      <c r="Y224" s="664">
        <f>IFERROR(IF(X224="",0,CEILING((X224/$H224),1)*$H224),"")</f>
        <v>21.599999999999998</v>
      </c>
      <c r="Z224" s="36">
        <f>IFERROR(IF(Y224=0,"",ROUNDUP(Y224/H224,0)*0.00651),"")</f>
        <v>5.8590000000000003E-2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22.100000000000005</v>
      </c>
      <c r="BN224" s="64">
        <f>IFERROR(Y224*I224/H224,"0")</f>
        <v>23.868000000000002</v>
      </c>
      <c r="BO224" s="64">
        <f>IFERROR(1/J224*(X224/H224),"0")</f>
        <v>4.5787545787545791E-2</v>
      </c>
      <c r="BP224" s="64">
        <f>IFERROR(1/J224*(Y224/H224),"0")</f>
        <v>4.9450549450549455E-2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40</v>
      </c>
      <c r="Y225" s="664">
        <f>IFERROR(IF(X225="",0,CEILING((X225/$H225),1)*$H225),"")</f>
        <v>40.799999999999997</v>
      </c>
      <c r="Z225" s="36">
        <f>IFERROR(IF(Y225=0,"",ROUNDUP(Y225/H225,0)*0.00651),"")</f>
        <v>0.11067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44.20000000000001</v>
      </c>
      <c r="BN225" s="64">
        <f>IFERROR(Y225*I225/H225,"0")</f>
        <v>45.084000000000003</v>
      </c>
      <c r="BO225" s="64">
        <f>IFERROR(1/J225*(X225/H225),"0")</f>
        <v>9.1575091575091583E-2</v>
      </c>
      <c r="BP225" s="64">
        <f>IFERROR(1/J225*(Y225/H225),"0")</f>
        <v>9.3406593406593408E-2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25</v>
      </c>
      <c r="Y226" s="665">
        <f>IFERROR(Y224/H224,"0")+IFERROR(Y225/H225,"0")</f>
        <v>26</v>
      </c>
      <c r="Z226" s="665">
        <f>IFERROR(IF(Z224="",0,Z224),"0")+IFERROR(IF(Z225="",0,Z225),"0")</f>
        <v>0.16926000000000002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60</v>
      </c>
      <c r="Y227" s="665">
        <f>IFERROR(SUM(Y224:Y225),"0")</f>
        <v>62.399999999999991</v>
      </c>
      <c r="Z227" s="37"/>
      <c r="AA227" s="666"/>
      <c r="AB227" s="666"/>
      <c r="AC227" s="666"/>
    </row>
    <row r="228" spans="1:68" ht="16.5" customHeight="1" x14ac:dyDescent="0.25">
      <c r="A228" s="716" t="s">
        <v>383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120</v>
      </c>
      <c r="Y231" s="664">
        <f t="shared" si="43"/>
        <v>127.6</v>
      </c>
      <c r="Z231" s="36">
        <f>IFERROR(IF(Y231=0,"",ROUNDUP(Y231/H231,0)*0.01898),"")</f>
        <v>0.20877999999999999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124.50000000000001</v>
      </c>
      <c r="BN231" s="64">
        <f t="shared" si="45"/>
        <v>132.38499999999999</v>
      </c>
      <c r="BO231" s="64">
        <f t="shared" si="46"/>
        <v>0.16163793103448276</v>
      </c>
      <c r="BP231" s="64">
        <f t="shared" si="47"/>
        <v>0.171875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20</v>
      </c>
      <c r="Y232" s="664">
        <f t="shared" si="43"/>
        <v>23.2</v>
      </c>
      <c r="Z232" s="36">
        <f>IFERROR(IF(Y232=0,"",ROUNDUP(Y232/H232,0)*0.01898),"")</f>
        <v>3.7960000000000001E-2</v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20.75</v>
      </c>
      <c r="BN232" s="64">
        <f t="shared" si="45"/>
        <v>24.07</v>
      </c>
      <c r="BO232" s="64">
        <f t="shared" si="46"/>
        <v>2.6939655172413795E-2</v>
      </c>
      <c r="BP232" s="64">
        <f t="shared" si="47"/>
        <v>3.125E-2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150</v>
      </c>
      <c r="Y234" s="664">
        <f t="shared" si="43"/>
        <v>150.79999999999998</v>
      </c>
      <c r="Z234" s="36">
        <f>IFERROR(IF(Y234=0,"",ROUNDUP(Y234/H234,0)*0.01898),"")</f>
        <v>0.24674000000000001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155.625</v>
      </c>
      <c r="BN234" s="64">
        <f t="shared" si="45"/>
        <v>156.45500000000001</v>
      </c>
      <c r="BO234" s="64">
        <f t="shared" si="46"/>
        <v>0.20204741379310345</v>
      </c>
      <c r="BP234" s="64">
        <f t="shared" si="47"/>
        <v>0.20312499999999997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48</v>
      </c>
      <c r="Y235" s="664">
        <f t="shared" si="43"/>
        <v>48</v>
      </c>
      <c r="Z235" s="36">
        <f>IFERROR(IF(Y235=0,"",ROUNDUP(Y235/H235,0)*0.00902),"")</f>
        <v>0.10824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50.519999999999996</v>
      </c>
      <c r="BN235" s="64">
        <f t="shared" si="45"/>
        <v>50.519999999999996</v>
      </c>
      <c r="BO235" s="64">
        <f t="shared" si="46"/>
        <v>9.0909090909090912E-2</v>
      </c>
      <c r="BP235" s="64">
        <f t="shared" si="47"/>
        <v>9.0909090909090912E-2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28</v>
      </c>
      <c r="Y237" s="664">
        <f t="shared" si="43"/>
        <v>28</v>
      </c>
      <c r="Z237" s="36">
        <f>IFERROR(IF(Y237=0,"",ROUNDUP(Y237/H237,0)*0.00902),"")</f>
        <v>6.3140000000000002E-2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29.47</v>
      </c>
      <c r="BN237" s="64">
        <f t="shared" si="45"/>
        <v>29.47</v>
      </c>
      <c r="BO237" s="64">
        <f t="shared" si="46"/>
        <v>5.3030303030303032E-2</v>
      </c>
      <c r="BP237" s="64">
        <f t="shared" si="47"/>
        <v>5.3030303030303032E-2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44</v>
      </c>
      <c r="Y238" s="665">
        <f>IFERROR(Y230/H230,"0")+IFERROR(Y231/H231,"0")+IFERROR(Y232/H232,"0")+IFERROR(Y233/H233,"0")+IFERROR(Y234/H234,"0")+IFERROR(Y235/H235,"0")+IFERROR(Y236/H236,"0")+IFERROR(Y237/H237,"0")</f>
        <v>45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0.66486000000000001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366</v>
      </c>
      <c r="Y239" s="665">
        <f>IFERROR(SUM(Y230:Y237),"0")</f>
        <v>377.59999999999997</v>
      </c>
      <c r="Z239" s="37"/>
      <c r="AA239" s="666"/>
      <c r="AB239" s="666"/>
      <c r="AC239" s="666"/>
    </row>
    <row r="240" spans="1:68" ht="14.25" customHeight="1" x14ac:dyDescent="0.25">
      <c r="A240" s="679" t="s">
        <v>136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7">
        <v>4680115885981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408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4" t="s">
        <v>411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413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75" t="s">
        <v>416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418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440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449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80</v>
      </c>
      <c r="Y279" s="664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200</v>
      </c>
      <c r="Y280" s="664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116.66666666666669</v>
      </c>
      <c r="Y282" s="665">
        <f>IFERROR(Y277/H277,"0")+IFERROR(Y278/H278,"0")+IFERROR(Y279/H279,"0")+IFERROR(Y280/H280,"0")+IFERROR(Y281/H281,"0")</f>
        <v>118</v>
      </c>
      <c r="Z282" s="665">
        <f>IFERROR(IF(Z277="",0,Z277),"0")+IFERROR(IF(Z278="",0,Z278),"0")+IFERROR(IF(Z279="",0,Z279),"0")+IFERROR(IF(Z280="",0,Z280),"0")+IFERROR(IF(Z281="",0,Z281),"0")</f>
        <v>0.76817999999999997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280</v>
      </c>
      <c r="Y283" s="665">
        <f>IFERROR(SUM(Y277:Y281),"0")</f>
        <v>283.2</v>
      </c>
      <c r="Z283" s="37"/>
      <c r="AA283" s="666"/>
      <c r="AB283" s="666"/>
      <c r="AC283" s="666"/>
    </row>
    <row r="284" spans="1:68" ht="16.5" customHeight="1" x14ac:dyDescent="0.25">
      <c r="A284" s="716" t="s">
        <v>463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147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473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477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147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140</v>
      </c>
      <c r="Y308" s="664">
        <f>IFERROR(IF(X308="",0,CEILING((X308/$H308),1)*$H308),"")</f>
        <v>140.70000000000002</v>
      </c>
      <c r="Z308" s="36">
        <f>IFERROR(IF(Y308=0,"",ROUNDUP(Y308/H308,0)*0.00502),"")</f>
        <v>0.33634000000000003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146.66666666666666</v>
      </c>
      <c r="BN308" s="64">
        <f>IFERROR(Y308*I308/H308,"0")</f>
        <v>147.40000000000003</v>
      </c>
      <c r="BO308" s="64">
        <f>IFERROR(1/J308*(X308/H308),"0")</f>
        <v>0.28490028490028491</v>
      </c>
      <c r="BP308" s="64">
        <f>IFERROR(1/J308*(Y308/H308),"0")</f>
        <v>0.28632478632478636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66.666666666666657</v>
      </c>
      <c r="Y310" s="665">
        <f>IFERROR(Y308/H308,"0")+IFERROR(Y309/H309,"0")</f>
        <v>67</v>
      </c>
      <c r="Z310" s="665">
        <f>IFERROR(IF(Z308="",0,Z308),"0")+IFERROR(IF(Z309="",0,Z309),"0")</f>
        <v>0.33634000000000003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140</v>
      </c>
      <c r="Y311" s="665">
        <f>IFERROR(SUM(Y308:Y309),"0")</f>
        <v>140.70000000000002</v>
      </c>
      <c r="Z311" s="37"/>
      <c r="AA311" s="666"/>
      <c r="AB311" s="666"/>
      <c r="AC311" s="666"/>
    </row>
    <row r="312" spans="1:68" ht="16.5" customHeight="1" x14ac:dyDescent="0.25">
      <c r="A312" s="716" t="s">
        <v>485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490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147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300</v>
      </c>
      <c r="Y344" s="664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30</v>
      </c>
      <c r="Y345" s="664">
        <f>IFERROR(IF(X345="",0,CEILING((X345/$H345),1)*$H345),"")</f>
        <v>33.6</v>
      </c>
      <c r="Z345" s="36">
        <f>IFERROR(IF(Y345=0,"",ROUNDUP(Y345/H345,0)*0.01898),"")</f>
        <v>7.5920000000000001E-2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31.853571428571428</v>
      </c>
      <c r="BN345" s="64">
        <f>IFERROR(Y345*I345/H345,"0")</f>
        <v>35.676000000000002</v>
      </c>
      <c r="BO345" s="64">
        <f>IFERROR(1/J345*(X345/H345),"0")</f>
        <v>5.5803571428571425E-2</v>
      </c>
      <c r="BP345" s="64">
        <f>IFERROR(1/J345*(Y345/H345),"0")</f>
        <v>6.25E-2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45.604395604395599</v>
      </c>
      <c r="Y346" s="665">
        <f>IFERROR(Y343/H343,"0")+IFERROR(Y344/H344,"0")+IFERROR(Y345/H345,"0")</f>
        <v>47</v>
      </c>
      <c r="Z346" s="665">
        <f>IFERROR(IF(Z343="",0,Z343),"0")+IFERROR(IF(Z344="",0,Z344),"0")+IFERROR(IF(Z345="",0,Z345),"0")</f>
        <v>0.89205999999999996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360</v>
      </c>
      <c r="Y347" s="665">
        <f>IFERROR(SUM(Y343:Y345),"0")</f>
        <v>371.40000000000003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17</v>
      </c>
      <c r="Y351" s="664">
        <f>IFERROR(IF(X351="",0,CEILING((X351/$H351),1)*$H351),"")</f>
        <v>17.849999999999998</v>
      </c>
      <c r="Z351" s="36">
        <f>IFERROR(IF(Y351=0,"",ROUNDUP(Y351/H351,0)*0.00651),"")</f>
        <v>4.5569999999999999E-2</v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19.700000000000003</v>
      </c>
      <c r="BN351" s="64">
        <f>IFERROR(Y351*I351/H351,"0")</f>
        <v>20.684999999999999</v>
      </c>
      <c r="BO351" s="64">
        <f>IFERROR(1/J351*(X351/H351),"0")</f>
        <v>3.6630036630036632E-2</v>
      </c>
      <c r="BP351" s="64">
        <f>IFERROR(1/J351*(Y351/H351),"0")</f>
        <v>3.8461538461538464E-2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85</v>
      </c>
      <c r="Y352" s="664">
        <f>IFERROR(IF(X352="",0,CEILING((X352/$H352),1)*$H352),"")</f>
        <v>86.699999999999989</v>
      </c>
      <c r="Z352" s="36">
        <f>IFERROR(IF(Y352=0,"",ROUNDUP(Y352/H352,0)*0.00651),"")</f>
        <v>0.22134000000000001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96</v>
      </c>
      <c r="BN352" s="64">
        <f>IFERROR(Y352*I352/H352,"0")</f>
        <v>97.92</v>
      </c>
      <c r="BO352" s="64">
        <f>IFERROR(1/J352*(X352/H352),"0")</f>
        <v>0.18315018315018317</v>
      </c>
      <c r="BP352" s="64">
        <f>IFERROR(1/J352*(Y352/H352),"0")</f>
        <v>0.18681318681318682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40</v>
      </c>
      <c r="Y353" s="665">
        <f>IFERROR(Y349/H349,"0")+IFERROR(Y350/H350,"0")+IFERROR(Y351/H351,"0")+IFERROR(Y352/H352,"0")</f>
        <v>41</v>
      </c>
      <c r="Z353" s="665">
        <f>IFERROR(IF(Z349="",0,Z349),"0")+IFERROR(IF(Z350="",0,Z350),"0")+IFERROR(IF(Z351="",0,Z351),"0")+IFERROR(IF(Z352="",0,Z352),"0")</f>
        <v>0.26690999999999998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102</v>
      </c>
      <c r="Y354" s="665">
        <f>IFERROR(SUM(Y349:Y352),"0")</f>
        <v>104.54999999999998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147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15</v>
      </c>
      <c r="Y363" s="664">
        <f>IFERROR(IF(X363="",0,CEILING((X363/$H363),1)*$H363),"")</f>
        <v>16.2</v>
      </c>
      <c r="Z363" s="36">
        <f>IFERROR(IF(Y363=0,"",ROUNDUP(Y363/H363,0)*0.00651),"")</f>
        <v>5.8590000000000003E-2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16.900000000000002</v>
      </c>
      <c r="BN363" s="64">
        <f>IFERROR(Y363*I363/H363,"0")</f>
        <v>18.251999999999999</v>
      </c>
      <c r="BO363" s="64">
        <f>IFERROR(1/J363*(X363/H363),"0")</f>
        <v>4.5787545787545791E-2</v>
      </c>
      <c r="BP363" s="64">
        <f>IFERROR(1/J363*(Y363/H363),"0")</f>
        <v>4.9450549450549455E-2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8.3333333333333339</v>
      </c>
      <c r="Y364" s="665">
        <f>IFERROR(Y363/H363,"0")</f>
        <v>9</v>
      </c>
      <c r="Z364" s="665">
        <f>IFERROR(IF(Z363="",0,Z363),"0")</f>
        <v>5.8590000000000003E-2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15</v>
      </c>
      <c r="Y365" s="665">
        <f>IFERROR(SUM(Y363:Y363),"0")</f>
        <v>16.2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350</v>
      </c>
      <c r="Y368" s="664">
        <f>IFERROR(IF(X368="",0,CEILING((X368/$H368),1)*$H368),"")</f>
        <v>350.7</v>
      </c>
      <c r="Z368" s="36">
        <f>IFERROR(IF(Y368=0,"",ROUNDUP(Y368/H368,0)*0.00651),"")</f>
        <v>1.08717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391.99999999999994</v>
      </c>
      <c r="BN368" s="64">
        <f>IFERROR(Y368*I368/H368,"0")</f>
        <v>392.78399999999993</v>
      </c>
      <c r="BO368" s="64">
        <f>IFERROR(1/J368*(X368/H368),"0")</f>
        <v>0.91575091575091572</v>
      </c>
      <c r="BP368" s="64">
        <f>IFERROR(1/J368*(Y368/H368),"0")</f>
        <v>0.91758241758241765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245</v>
      </c>
      <c r="Y369" s="664">
        <f>IFERROR(IF(X369="",0,CEILING((X369/$H369),1)*$H369),"")</f>
        <v>245.70000000000002</v>
      </c>
      <c r="Z369" s="36">
        <f>IFERROR(IF(Y369=0,"",ROUNDUP(Y369/H369,0)*0.00651),"")</f>
        <v>0.76167000000000007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272.99999999999994</v>
      </c>
      <c r="BN369" s="64">
        <f>IFERROR(Y369*I369/H369,"0")</f>
        <v>273.77999999999997</v>
      </c>
      <c r="BO369" s="64">
        <f>IFERROR(1/J369*(X369/H369),"0")</f>
        <v>0.64102564102564097</v>
      </c>
      <c r="BP369" s="64">
        <f>IFERROR(1/J369*(Y369/H369),"0")</f>
        <v>0.6428571428571429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283.33333333333331</v>
      </c>
      <c r="Y370" s="665">
        <f>IFERROR(Y367/H367,"0")+IFERROR(Y368/H368,"0")+IFERROR(Y369/H369,"0")</f>
        <v>284</v>
      </c>
      <c r="Z370" s="665">
        <f>IFERROR(IF(Z367="",0,Z367),"0")+IFERROR(IF(Z368="",0,Z368),"0")+IFERROR(IF(Z369="",0,Z369),"0")</f>
        <v>1.84884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595</v>
      </c>
      <c r="Y371" s="665">
        <f>IFERROR(SUM(Y367:Y369),"0")</f>
        <v>596.4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27" customHeight="1" x14ac:dyDescent="0.25">
      <c r="A375" s="54" t="s">
        <v>581</v>
      </c>
      <c r="B375" s="54" t="s">
        <v>582</v>
      </c>
      <c r="C375" s="31">
        <v>4301011946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1800</v>
      </c>
      <c r="Y376" s="664">
        <f t="shared" si="58"/>
        <v>1800</v>
      </c>
      <c r="Z376" s="36">
        <f>IFERROR(IF(Y376=0,"",ROUNDUP(Y376/H376,0)*0.02175),"")</f>
        <v>2.61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1857.6</v>
      </c>
      <c r="BN376" s="64">
        <f t="shared" si="60"/>
        <v>1857.6</v>
      </c>
      <c r="BO376" s="64">
        <f t="shared" si="61"/>
        <v>2.5</v>
      </c>
      <c r="BP376" s="64">
        <f t="shared" si="62"/>
        <v>2.5</v>
      </c>
    </row>
    <row r="377" spans="1:68" ht="27" customHeight="1" x14ac:dyDescent="0.25">
      <c r="A377" s="54" t="s">
        <v>586</v>
      </c>
      <c r="B377" s="54" t="s">
        <v>587</v>
      </c>
      <c r="C377" s="31">
        <v>4301011947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1500</v>
      </c>
      <c r="Y378" s="664">
        <f t="shared" si="58"/>
        <v>1500</v>
      </c>
      <c r="Z378" s="36">
        <f>IFERROR(IF(Y378=0,"",ROUNDUP(Y378/H378,0)*0.02175),"")</f>
        <v>2.1749999999999998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1548</v>
      </c>
      <c r="BN378" s="64">
        <f t="shared" si="60"/>
        <v>1548</v>
      </c>
      <c r="BO378" s="64">
        <f t="shared" si="61"/>
        <v>2.083333333333333</v>
      </c>
      <c r="BP378" s="64">
        <f t="shared" si="62"/>
        <v>2.083333333333333</v>
      </c>
    </row>
    <row r="379" spans="1:68" ht="27" customHeight="1" x14ac:dyDescent="0.25">
      <c r="A379" s="54" t="s">
        <v>590</v>
      </c>
      <c r="B379" s="54" t="s">
        <v>591</v>
      </c>
      <c r="C379" s="31">
        <v>4301011943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300</v>
      </c>
      <c r="Y380" s="664">
        <f t="shared" si="58"/>
        <v>300</v>
      </c>
      <c r="Z380" s="36">
        <f>IFERROR(IF(Y380=0,"",ROUNDUP(Y380/H380,0)*0.02175),"")</f>
        <v>0.43499999999999994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309.60000000000002</v>
      </c>
      <c r="BN380" s="64">
        <f t="shared" si="60"/>
        <v>309.60000000000002</v>
      </c>
      <c r="BO380" s="64">
        <f t="shared" si="61"/>
        <v>0.41666666666666663</v>
      </c>
      <c r="BP380" s="64">
        <f t="shared" si="62"/>
        <v>0.41666666666666663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2600</v>
      </c>
      <c r="Y381" s="664">
        <f t="shared" si="58"/>
        <v>2610</v>
      </c>
      <c r="Z381" s="36">
        <f>IFERROR(IF(Y381=0,"",ROUNDUP(Y381/H381,0)*0.02175),"")</f>
        <v>3.7844999999999995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2683.2</v>
      </c>
      <c r="BN381" s="64">
        <f t="shared" si="60"/>
        <v>2693.52</v>
      </c>
      <c r="BO381" s="64">
        <f t="shared" si="61"/>
        <v>3.6111111111111112</v>
      </c>
      <c r="BP381" s="64">
        <f t="shared" si="62"/>
        <v>3.625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413.33333333333337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414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9.0045000000000002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6200</v>
      </c>
      <c r="Y386" s="665">
        <f>IFERROR(SUM(Y375:Y384),"0")</f>
        <v>6210</v>
      </c>
      <c r="Z386" s="37"/>
      <c r="AA386" s="666"/>
      <c r="AB386" s="666"/>
      <c r="AC386" s="666"/>
    </row>
    <row r="387" spans="1:68" ht="14.25" customHeight="1" x14ac:dyDescent="0.25">
      <c r="A387" s="679" t="s">
        <v>136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1400</v>
      </c>
      <c r="Y388" s="664">
        <f>IFERROR(IF(X388="",0,CEILING((X388/$H388),1)*$H388),"")</f>
        <v>1410</v>
      </c>
      <c r="Z388" s="36">
        <f>IFERROR(IF(Y388=0,"",ROUNDUP(Y388/H388,0)*0.02175),"")</f>
        <v>2.0444999999999998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1444.8</v>
      </c>
      <c r="BN388" s="64">
        <f>IFERROR(Y388*I388/H388,"0")</f>
        <v>1455.12</v>
      </c>
      <c r="BO388" s="64">
        <f>IFERROR(1/J388*(X388/H388),"0")</f>
        <v>1.9444444444444442</v>
      </c>
      <c r="BP388" s="64">
        <f>IFERROR(1/J388*(Y388/H388),"0")</f>
        <v>1.9583333333333333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4</v>
      </c>
      <c r="Y389" s="664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94.333333333333329</v>
      </c>
      <c r="Y390" s="665">
        <f>IFERROR(Y388/H388,"0")+IFERROR(Y389/H389,"0")</f>
        <v>95</v>
      </c>
      <c r="Z390" s="665">
        <f>IFERROR(IF(Z388="",0,Z388),"0")+IFERROR(IF(Z389="",0,Z389),"0")</f>
        <v>2.0535199999999998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1404</v>
      </c>
      <c r="Y391" s="665">
        <f>IFERROR(SUM(Y388:Y389),"0")</f>
        <v>1414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customHeight="1" x14ac:dyDescent="0.25">
      <c r="A397" s="679" t="s">
        <v>173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40</v>
      </c>
      <c r="Y398" s="664">
        <f>IFERROR(IF(X398="",0,CEILING((X398/$H398),1)*$H398),"")</f>
        <v>45</v>
      </c>
      <c r="Z398" s="36">
        <f>IFERROR(IF(Y398=0,"",ROUNDUP(Y398/H398,0)*0.01898),"")</f>
        <v>9.4899999999999998E-2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42.306666666666665</v>
      </c>
      <c r="BN398" s="64">
        <f>IFERROR(Y398*I398/H398,"0")</f>
        <v>47.594999999999999</v>
      </c>
      <c r="BO398" s="64">
        <f>IFERROR(1/J398*(X398/H398),"0")</f>
        <v>6.9444444444444448E-2</v>
      </c>
      <c r="BP398" s="64">
        <f>IFERROR(1/J398*(Y398/H398),"0")</f>
        <v>7.8125E-2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4.4444444444444446</v>
      </c>
      <c r="Y399" s="665">
        <f>IFERROR(Y398/H398,"0")</f>
        <v>5</v>
      </c>
      <c r="Z399" s="665">
        <f>IFERROR(IF(Z398="",0,Z398),"0")</f>
        <v>9.4899999999999998E-2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40</v>
      </c>
      <c r="Y400" s="665">
        <f>IFERROR(SUM(Y398:Y398),"0")</f>
        <v>45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147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147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customHeight="1" x14ac:dyDescent="0.25">
      <c r="A431" s="54" t="s">
        <v>663</v>
      </c>
      <c r="B431" s="54" t="s">
        <v>664</v>
      </c>
      <c r="C431" s="31">
        <v>4301031382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4301031406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24.5</v>
      </c>
      <c r="Y437" s="664">
        <f t="shared" si="63"/>
        <v>25.200000000000003</v>
      </c>
      <c r="Z437" s="36">
        <f t="shared" si="68"/>
        <v>6.0240000000000002E-2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26.016666666666666</v>
      </c>
      <c r="BN437" s="64">
        <f t="shared" si="65"/>
        <v>26.76</v>
      </c>
      <c r="BO437" s="64">
        <f t="shared" si="66"/>
        <v>4.9857549857549859E-2</v>
      </c>
      <c r="BP437" s="64">
        <f t="shared" si="67"/>
        <v>5.1282051282051287E-2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13.518518518518517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7.8280000000000002E-2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34.5</v>
      </c>
      <c r="Y443" s="665">
        <f>IFERROR(SUM(Y430:Y441),"0")</f>
        <v>36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136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147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147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8.3333333333333339</v>
      </c>
      <c r="Y466" s="665">
        <f>IFERROR(Y464/H464,"0")+IFERROR(Y465/H465,"0")</f>
        <v>9</v>
      </c>
      <c r="Z466" s="665">
        <f>IFERROR(IF(Z464="",0,Z464),"0")+IFERROR(IF(Z465="",0,Z465),"0")</f>
        <v>5.8590000000000003E-2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10</v>
      </c>
      <c r="Y467" s="665">
        <f>IFERROR(SUM(Y464:Y465),"0")</f>
        <v>10.799999999999999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147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70</v>
      </c>
      <c r="Y480" s="664">
        <f t="shared" ref="Y480:Y494" si="69">IFERROR(IF(X480="",0,CEILING((X480/$H480),1)*$H480),"")</f>
        <v>73.92</v>
      </c>
      <c r="Z480" s="36">
        <f>IFERROR(IF(Y480=0,"",ROUNDUP(Y480/H480,0)*0.01196),"")</f>
        <v>0.16744000000000001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74.772727272727266</v>
      </c>
      <c r="BN480" s="64">
        <f t="shared" ref="BN480:BN494" si="71">IFERROR(Y480*I480/H480,"0")</f>
        <v>78.959999999999994</v>
      </c>
      <c r="BO480" s="64">
        <f t="shared" ref="BO480:BO494" si="72">IFERROR(1/J480*(X480/H480),"0")</f>
        <v>0.12747668997668998</v>
      </c>
      <c r="BP480" s="64">
        <f t="shared" ref="BP480:BP494" si="73">IFERROR(1/J480*(Y480/H480),"0")</f>
        <v>0.13461538461538464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100</v>
      </c>
      <c r="Y482" s="664">
        <f t="shared" si="69"/>
        <v>100.32000000000001</v>
      </c>
      <c r="Z482" s="36">
        <f>IFERROR(IF(Y482=0,"",ROUNDUP(Y482/H482,0)*0.01196),"")</f>
        <v>0.22724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106.81818181818181</v>
      </c>
      <c r="BN482" s="64">
        <f t="shared" si="71"/>
        <v>107.16</v>
      </c>
      <c r="BO482" s="64">
        <f t="shared" si="72"/>
        <v>0.18210955710955709</v>
      </c>
      <c r="BP482" s="64">
        <f t="shared" si="73"/>
        <v>0.18269230769230771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200</v>
      </c>
      <c r="Y483" s="664">
        <f t="shared" si="69"/>
        <v>200.64000000000001</v>
      </c>
      <c r="Z483" s="36">
        <f>IFERROR(IF(Y483=0,"",ROUNDUP(Y483/H483,0)*0.01196),"")</f>
        <v>0.45448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213.63636363636363</v>
      </c>
      <c r="BN483" s="64">
        <f t="shared" si="71"/>
        <v>214.32</v>
      </c>
      <c r="BO483" s="64">
        <f t="shared" si="72"/>
        <v>0.36421911421911418</v>
      </c>
      <c r="BP483" s="64">
        <f t="shared" si="73"/>
        <v>0.36538461538461542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4301012035</v>
      </c>
      <c r="D486" s="667">
        <v>4680115880603</v>
      </c>
      <c r="E486" s="668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150</v>
      </c>
      <c r="Y487" s="664">
        <f t="shared" si="69"/>
        <v>151.20000000000002</v>
      </c>
      <c r="Z487" s="36">
        <f>IFERROR(IF(Y487=0,"",ROUNDUP(Y487/H487,0)*0.00902),"")</f>
        <v>0.37884000000000001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158.75</v>
      </c>
      <c r="BN487" s="64">
        <f t="shared" si="71"/>
        <v>160.02000000000004</v>
      </c>
      <c r="BO487" s="64">
        <f t="shared" si="72"/>
        <v>0.31565656565656564</v>
      </c>
      <c r="BP487" s="64">
        <f t="shared" si="73"/>
        <v>0.31818181818181823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4301012034</v>
      </c>
      <c r="D492" s="667">
        <v>4607091389982</v>
      </c>
      <c r="E492" s="668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150</v>
      </c>
      <c r="Y493" s="664">
        <f t="shared" si="69"/>
        <v>151.20000000000002</v>
      </c>
      <c r="Z493" s="36">
        <f>IFERROR(IF(Y493=0,"",ROUNDUP(Y493/H493,0)*0.00902),"")</f>
        <v>0.37884000000000001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158.75</v>
      </c>
      <c r="BN493" s="64">
        <f t="shared" si="71"/>
        <v>160.02000000000004</v>
      </c>
      <c r="BO493" s="64">
        <f t="shared" si="72"/>
        <v>0.31565656565656564</v>
      </c>
      <c r="BP493" s="64">
        <f t="shared" si="73"/>
        <v>0.31818181818181823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153.40909090909088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1.60684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670</v>
      </c>
      <c r="Y496" s="665">
        <f>IFERROR(SUM(Y480:Y494),"0")</f>
        <v>677.28000000000009</v>
      </c>
      <c r="Z496" s="37"/>
      <c r="AA496" s="666"/>
      <c r="AB496" s="666"/>
      <c r="AC496" s="666"/>
    </row>
    <row r="497" spans="1:68" ht="14.25" customHeight="1" x14ac:dyDescent="0.25">
      <c r="A497" s="679" t="s">
        <v>136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4301020334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3" t="s">
        <v>773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200</v>
      </c>
      <c r="Y499" s="664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37.878787878787875</v>
      </c>
      <c r="Y502" s="665">
        <f>IFERROR(Y498/H498,"0")+IFERROR(Y499/H499,"0")+IFERROR(Y500/H500,"0")+IFERROR(Y501/H501,"0")</f>
        <v>38</v>
      </c>
      <c r="Z502" s="665">
        <f>IFERROR(IF(Z498="",0,Z498),"0")+IFERROR(IF(Z499="",0,Z499),"0")+IFERROR(IF(Z500="",0,Z500),"0")+IFERROR(IF(Z501="",0,Z501),"0")</f>
        <v>0.45448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200</v>
      </c>
      <c r="Y503" s="665">
        <f>IFERROR(SUM(Y498:Y501),"0")</f>
        <v>200.64000000000001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147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100</v>
      </c>
      <c r="Y506" s="664">
        <f t="shared" si="74"/>
        <v>100.32000000000001</v>
      </c>
      <c r="Z506" s="36">
        <f>IFERROR(IF(Y506=0,"",ROUNDUP(Y506/H506,0)*0.01196),"")</f>
        <v>0.22724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106.81818181818181</v>
      </c>
      <c r="BN506" s="64">
        <f t="shared" si="76"/>
        <v>107.16</v>
      </c>
      <c r="BO506" s="64">
        <f t="shared" si="77"/>
        <v>0.18210955710955709</v>
      </c>
      <c r="BP506" s="64">
        <f t="shared" si="78"/>
        <v>0.18269230769230771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220</v>
      </c>
      <c r="Y507" s="664">
        <f t="shared" si="74"/>
        <v>221.76000000000002</v>
      </c>
      <c r="Z507" s="36">
        <f>IFERROR(IF(Y507=0,"",ROUNDUP(Y507/H507,0)*0.01196),"")</f>
        <v>0.50231999999999999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234.99999999999997</v>
      </c>
      <c r="BN507" s="64">
        <f t="shared" si="76"/>
        <v>236.88</v>
      </c>
      <c r="BO507" s="64">
        <f t="shared" si="77"/>
        <v>0.40064102564102566</v>
      </c>
      <c r="BP507" s="64">
        <f t="shared" si="78"/>
        <v>0.40384615384615385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4301031351</v>
      </c>
      <c r="D509" s="667">
        <v>4680115882072</v>
      </c>
      <c r="E509" s="668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4301031383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8" t="s">
        <v>804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60</v>
      </c>
      <c r="Y511" s="664">
        <f t="shared" si="74"/>
        <v>62.4</v>
      </c>
      <c r="Z511" s="36">
        <f>IFERROR(IF(Y511=0,"",ROUNDUP(Y511/H511,0)*0.00902),"")</f>
        <v>0.11726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86.625</v>
      </c>
      <c r="BN511" s="64">
        <f t="shared" si="76"/>
        <v>90.089999999999989</v>
      </c>
      <c r="BO511" s="64">
        <f t="shared" si="77"/>
        <v>9.4696969696969696E-2</v>
      </c>
      <c r="BP511" s="64">
        <f t="shared" si="78"/>
        <v>9.8484848484848481E-2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18</v>
      </c>
      <c r="Y512" s="664">
        <f t="shared" si="74"/>
        <v>18</v>
      </c>
      <c r="Z512" s="36">
        <f>IFERROR(IF(Y512=0,"",ROUNDUP(Y512/H512,0)*0.00902),"")</f>
        <v>4.5100000000000001E-2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19.05</v>
      </c>
      <c r="BN512" s="64">
        <f t="shared" si="76"/>
        <v>19.05</v>
      </c>
      <c r="BO512" s="64">
        <f t="shared" si="77"/>
        <v>3.787878787878788E-2</v>
      </c>
      <c r="BP512" s="64">
        <f t="shared" si="78"/>
        <v>3.787878787878788E-2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4301031384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67">
        <v>4680115882096</v>
      </c>
      <c r="E515" s="668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814</v>
      </c>
      <c r="C516" s="31">
        <v>4301031417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3" t="s">
        <v>815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85.681818181818173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87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0.98760000000000003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438</v>
      </c>
      <c r="Y518" s="665">
        <f>IFERROR(SUM(Y505:Y516),"0")</f>
        <v>444.72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customHeight="1" x14ac:dyDescent="0.25">
      <c r="A541" s="679" t="s">
        <v>136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147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4301051887</v>
      </c>
      <c r="D560" s="667">
        <v>4640242180533</v>
      </c>
      <c r="E560" s="668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67">
        <v>4640242180533</v>
      </c>
      <c r="E561" s="668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600</v>
      </c>
      <c r="Y561" s="664">
        <f>IFERROR(IF(X561="",0,CEILING((X561/$H561),1)*$H561),"")</f>
        <v>603</v>
      </c>
      <c r="Z561" s="36">
        <f>IFERROR(IF(Y561=0,"",ROUNDUP(Y561/H561,0)*0.01898),"")</f>
        <v>1.27166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634.59999999999991</v>
      </c>
      <c r="BN561" s="64">
        <f>IFERROR(Y561*I561/H561,"0")</f>
        <v>637.77300000000002</v>
      </c>
      <c r="BO561" s="64">
        <f>IFERROR(1/J561*(X561/H561),"0")</f>
        <v>1.0416666666666667</v>
      </c>
      <c r="BP561" s="64">
        <f>IFERROR(1/J561*(Y561/H561),"0")</f>
        <v>1.046875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66.666666666666671</v>
      </c>
      <c r="Y565" s="665">
        <f>IFERROR(Y560/H560,"0")+IFERROR(Y561/H561,"0")+IFERROR(Y562/H562,"0")+IFERROR(Y563/H563,"0")+IFERROR(Y564/H564,"0")</f>
        <v>67</v>
      </c>
      <c r="Z565" s="665">
        <f>IFERROR(IF(Z560="",0,Z560),"0")+IFERROR(IF(Z561="",0,Z561),"0")+IFERROR(IF(Z562="",0,Z562),"0")+IFERROR(IF(Z563="",0,Z563),"0")+IFERROR(IF(Z564="",0,Z564),"0")</f>
        <v>1.27166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600</v>
      </c>
      <c r="Y566" s="665">
        <f>IFERROR(SUM(Y560:Y564),"0")</f>
        <v>603</v>
      </c>
      <c r="Z566" s="37"/>
      <c r="AA566" s="666"/>
      <c r="AB566" s="666"/>
      <c r="AC566" s="666"/>
    </row>
    <row r="567" spans="1:68" ht="14.25" customHeight="1" x14ac:dyDescent="0.25">
      <c r="A567" s="679" t="s">
        <v>173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4301060485</v>
      </c>
      <c r="D568" s="667">
        <v>4640242180120</v>
      </c>
      <c r="E568" s="668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67">
        <v>4640242180120</v>
      </c>
      <c r="E569" s="668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4301060486</v>
      </c>
      <c r="D570" s="667">
        <v>4640242180137</v>
      </c>
      <c r="E570" s="668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4301060498</v>
      </c>
      <c r="D571" s="667">
        <v>4640242180137</v>
      </c>
      <c r="E571" s="668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136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147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17394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17552.29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18346.113444094215</v>
      </c>
      <c r="Y592" s="665">
        <f>IFERROR(SUM(BN22:BN588),"0")</f>
        <v>18515.369000000002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30</v>
      </c>
      <c r="Y593" s="38">
        <f>ROUNDUP(SUM(BP22:BP588),0)</f>
        <v>30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19096.113444094215</v>
      </c>
      <c r="Y594" s="665">
        <f>GrossWeightTotalR+PalletQtyTotalR*25</f>
        <v>19265.369000000002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3200.8289730703532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3230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33.845959999999991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286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181</v>
      </c>
      <c r="F599" s="686" t="s">
        <v>212</v>
      </c>
      <c r="G599" s="686" t="s">
        <v>257</v>
      </c>
      <c r="H599" s="686" t="s">
        <v>96</v>
      </c>
      <c r="I599" s="686" t="s">
        <v>287</v>
      </c>
      <c r="J599" s="686" t="s">
        <v>322</v>
      </c>
      <c r="K599" s="686" t="s">
        <v>383</v>
      </c>
      <c r="L599" s="686" t="s">
        <v>418</v>
      </c>
      <c r="M599" s="686" t="s">
        <v>436</v>
      </c>
      <c r="N599" s="661"/>
      <c r="O599" s="686" t="s">
        <v>440</v>
      </c>
      <c r="P599" s="686" t="s">
        <v>449</v>
      </c>
      <c r="Q599" s="686" t="s">
        <v>463</v>
      </c>
      <c r="R599" s="686" t="s">
        <v>473</v>
      </c>
      <c r="S599" s="686" t="s">
        <v>477</v>
      </c>
      <c r="T599" s="686" t="s">
        <v>485</v>
      </c>
      <c r="U599" s="686" t="s">
        <v>490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16.2</v>
      </c>
      <c r="C601" s="46">
        <f>IFERROR(Y37*1,"0")+IFERROR(Y38*1,"0")+IFERROR(Y39*1,"0")+IFERROR(Y40*1,"0")+IFERROR(Y44*1,"0")</f>
        <v>200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713.69999999999993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990.90000000000009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1375.1999999999998</v>
      </c>
      <c r="G601" s="46">
        <f>IFERROR(Y137*1,"0")+IFERROR(Y138*1,"0")+IFERROR(Y142*1,"0")+IFERROR(Y143*1,"0")+IFERROR(Y147*1,"0")+IFERROR(Y148*1,"0")</f>
        <v>74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606.90000000000009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1986.8999999999999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377.59999999999997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283.2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140.70000000000002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475.95000000000005</v>
      </c>
      <c r="V601" s="46">
        <f>IFERROR(Y363*1,"0")+IFERROR(Y367*1,"0")+IFERROR(Y368*1,"0")+IFERROR(Y369*1,"0")</f>
        <v>612.6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7714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36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10.799999999999999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1322.6400000000003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615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