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F5150B5F-CF86-4272-8C77-676EFF74FF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P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P499" i="1"/>
  <c r="BP498" i="1"/>
  <c r="BO498" i="1"/>
  <c r="BN498" i="1"/>
  <c r="BM498" i="1"/>
  <c r="Z498" i="1"/>
  <c r="Y498" i="1"/>
  <c r="Y502" i="1" s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Y409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N357" i="1"/>
  <c r="BM357" i="1"/>
  <c r="Z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5" i="1" s="1"/>
  <c r="P44" i="1"/>
  <c r="X42" i="1"/>
  <c r="X41" i="1"/>
  <c r="X595" i="1" s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F10" i="1" s="1"/>
  <c r="D7" i="1"/>
  <c r="Q6" i="1"/>
  <c r="P2" i="1"/>
  <c r="Z110" i="1" l="1"/>
  <c r="Z198" i="1"/>
  <c r="Z447" i="1"/>
  <c r="H9" i="1"/>
  <c r="A10" i="1"/>
  <c r="Y28" i="1"/>
  <c r="Y42" i="1"/>
  <c r="Y46" i="1"/>
  <c r="Y55" i="1"/>
  <c r="Y63" i="1"/>
  <c r="Y68" i="1"/>
  <c r="BP65" i="1"/>
  <c r="BN65" i="1"/>
  <c r="Z65" i="1"/>
  <c r="BP73" i="1"/>
  <c r="BN73" i="1"/>
  <c r="Z73" i="1"/>
  <c r="Y77" i="1"/>
  <c r="Z83" i="1"/>
  <c r="BP81" i="1"/>
  <c r="BN81" i="1"/>
  <c r="Z81" i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Y117" i="1"/>
  <c r="Y129" i="1"/>
  <c r="BP119" i="1"/>
  <c r="BN119" i="1"/>
  <c r="Z119" i="1"/>
  <c r="BP122" i="1"/>
  <c r="BN122" i="1"/>
  <c r="Z122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Z226" i="1" s="1"/>
  <c r="Y227" i="1"/>
  <c r="K601" i="1"/>
  <c r="Y239" i="1"/>
  <c r="BP230" i="1"/>
  <c r="BN230" i="1"/>
  <c r="Z230" i="1"/>
  <c r="BP234" i="1"/>
  <c r="BN234" i="1"/>
  <c r="Z234" i="1"/>
  <c r="Y238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Z261" i="1" s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Z370" i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Z442" i="1" s="1"/>
  <c r="BP437" i="1"/>
  <c r="BN437" i="1"/>
  <c r="Z437" i="1"/>
  <c r="Y442" i="1"/>
  <c r="BP446" i="1"/>
  <c r="BN446" i="1"/>
  <c r="Z446" i="1"/>
  <c r="Y448" i="1"/>
  <c r="Z601" i="1"/>
  <c r="Y454" i="1"/>
  <c r="BP451" i="1"/>
  <c r="BN451" i="1"/>
  <c r="Z451" i="1"/>
  <c r="Z453" i="1" s="1"/>
  <c r="Y453" i="1"/>
  <c r="P601" i="1"/>
  <c r="F9" i="1"/>
  <c r="J9" i="1"/>
  <c r="Z22" i="1"/>
  <c r="BN22" i="1"/>
  <c r="BP22" i="1"/>
  <c r="Z26" i="1"/>
  <c r="BN26" i="1"/>
  <c r="Y29" i="1"/>
  <c r="C601" i="1"/>
  <c r="Z38" i="1"/>
  <c r="Z41" i="1" s="1"/>
  <c r="BN38" i="1"/>
  <c r="Z40" i="1"/>
  <c r="BN40" i="1"/>
  <c r="Y41" i="1"/>
  <c r="Z44" i="1"/>
  <c r="Z45" i="1" s="1"/>
  <c r="BN44" i="1"/>
  <c r="BP44" i="1"/>
  <c r="Z49" i="1"/>
  <c r="Z55" i="1" s="1"/>
  <c r="BN49" i="1"/>
  <c r="BP49" i="1"/>
  <c r="Z51" i="1"/>
  <c r="BN51" i="1"/>
  <c r="Z53" i="1"/>
  <c r="BN53" i="1"/>
  <c r="Y56" i="1"/>
  <c r="Z59" i="1"/>
  <c r="Z62" i="1" s="1"/>
  <c r="BN59" i="1"/>
  <c r="Z61" i="1"/>
  <c r="BN61" i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Z90" i="1" s="1"/>
  <c r="Y103" i="1"/>
  <c r="BP95" i="1"/>
  <c r="BN95" i="1"/>
  <c r="Z95" i="1"/>
  <c r="Z102" i="1" s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Y140" i="1"/>
  <c r="BP137" i="1"/>
  <c r="BN137" i="1"/>
  <c r="Z137" i="1"/>
  <c r="Z139" i="1" s="1"/>
  <c r="Y144" i="1"/>
  <c r="Y149" i="1"/>
  <c r="BP158" i="1"/>
  <c r="BN158" i="1"/>
  <c r="Z158" i="1"/>
  <c r="Z161" i="1" s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BP258" i="1"/>
  <c r="BN258" i="1"/>
  <c r="Z258" i="1"/>
  <c r="BP272" i="1"/>
  <c r="BN272" i="1"/>
  <c r="Z272" i="1"/>
  <c r="Y274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41" i="1"/>
  <c r="BP338" i="1"/>
  <c r="BN338" i="1"/>
  <c r="Z338" i="1"/>
  <c r="Y347" i="1"/>
  <c r="Y346" i="1"/>
  <c r="Y353" i="1"/>
  <c r="BP349" i="1"/>
  <c r="BN349" i="1"/>
  <c r="Z349" i="1"/>
  <c r="BP352" i="1"/>
  <c r="BN352" i="1"/>
  <c r="Z352" i="1"/>
  <c r="Y354" i="1"/>
  <c r="Y360" i="1"/>
  <c r="BP356" i="1"/>
  <c r="BN356" i="1"/>
  <c r="Z356" i="1"/>
  <c r="Z359" i="1" s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Z413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500" i="1"/>
  <c r="BN500" i="1"/>
  <c r="Z500" i="1"/>
  <c r="BP511" i="1"/>
  <c r="BN511" i="1"/>
  <c r="Z511" i="1"/>
  <c r="Y518" i="1"/>
  <c r="Y523" i="1"/>
  <c r="BP520" i="1"/>
  <c r="BN520" i="1"/>
  <c r="Z520" i="1"/>
  <c r="Z523" i="1" s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V601" i="1"/>
  <c r="Y371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Z408" i="1"/>
  <c r="BP404" i="1"/>
  <c r="BN404" i="1"/>
  <c r="Z404" i="1"/>
  <c r="Y408" i="1"/>
  <c r="BP412" i="1"/>
  <c r="BN412" i="1"/>
  <c r="Z412" i="1"/>
  <c r="Y414" i="1"/>
  <c r="Y422" i="1"/>
  <c r="BP416" i="1"/>
  <c r="BN416" i="1"/>
  <c r="Z416" i="1"/>
  <c r="Z421" i="1" s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BP499" i="1"/>
  <c r="BN499" i="1"/>
  <c r="Z499" i="1"/>
  <c r="Z502" i="1" s="1"/>
  <c r="BP501" i="1"/>
  <c r="BN501" i="1"/>
  <c r="Z501" i="1"/>
  <c r="Y503" i="1"/>
  <c r="BP510" i="1"/>
  <c r="BN510" i="1"/>
  <c r="Z510" i="1"/>
  <c r="Z517" i="1" s="1"/>
  <c r="BP514" i="1"/>
  <c r="BN514" i="1"/>
  <c r="Z514" i="1"/>
  <c r="AB601" i="1"/>
  <c r="Y36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495" i="1" l="1"/>
  <c r="Y591" i="1"/>
  <c r="Y592" i="1"/>
  <c r="Z273" i="1"/>
  <c r="Z209" i="1"/>
  <c r="Z183" i="1"/>
  <c r="Z528" i="1"/>
  <c r="Z565" i="1"/>
  <c r="Z547" i="1"/>
  <c r="Z466" i="1"/>
  <c r="Z395" i="1"/>
  <c r="Z353" i="1"/>
  <c r="Z282" i="1"/>
  <c r="Z77" i="1"/>
  <c r="Y593" i="1"/>
  <c r="Z28" i="1"/>
  <c r="Z238" i="1"/>
  <c r="Z128" i="1"/>
  <c r="Z68" i="1"/>
  <c r="Y595" i="1"/>
  <c r="Z596" i="1" l="1"/>
  <c r="Y594" i="1"/>
</calcChain>
</file>

<file path=xl/sharedStrings.xml><?xml version="1.0" encoding="utf-8"?>
<sst xmlns="http://schemas.openxmlformats.org/spreadsheetml/2006/main" count="2730" uniqueCount="967">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</sst>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4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80</v>
      </c>
      <c r="Y37" s="664">
        <f>IFERROR(IF(X37="",0,CEILING((X37/$H37),1)*$H37),"")</f>
        <v>86.4</v>
      </c>
      <c r="Z37" s="36">
        <f>IFERROR(IF(Y37=0,"",ROUNDUP(Y37/H37,0)*0.01898),"")</f>
        <v>0.15184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83.222222222222214</v>
      </c>
      <c r="BN37" s="64">
        <f>IFERROR(Y37*I37/H37,"0")</f>
        <v>89.88</v>
      </c>
      <c r="BO37" s="64">
        <f>IFERROR(1/J37*(X37/H37),"0")</f>
        <v>0.11574074074074073</v>
      </c>
      <c r="BP37" s="64">
        <f>IFERROR(1/J37*(Y37/H37),"0")</f>
        <v>0.125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200</v>
      </c>
      <c r="Y38" s="664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57.407407407407405</v>
      </c>
      <c r="Y41" s="665">
        <f>IFERROR(Y37/H37,"0")+IFERROR(Y38/H38,"0")+IFERROR(Y39/H39,"0")+IFERROR(Y40/H40,"0")</f>
        <v>58</v>
      </c>
      <c r="Z41" s="665">
        <f>IFERROR(IF(Z37="",0,Z37),"0")+IFERROR(IF(Z38="",0,Z38),"0")+IFERROR(IF(Z39="",0,Z39),"0")+IFERROR(IF(Z40="",0,Z40),"0")</f>
        <v>0.60284000000000004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280</v>
      </c>
      <c r="Y42" s="665">
        <f>IFERROR(SUM(Y37:Y40),"0")</f>
        <v>286.39999999999998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270</v>
      </c>
      <c r="Y54" s="664">
        <f t="shared" si="6"/>
        <v>270</v>
      </c>
      <c r="Z54" s="36">
        <f>IFERROR(IF(Y54=0,"",ROUNDUP(Y54/H54,0)*0.00902),"")</f>
        <v>0.54120000000000001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282.60000000000002</v>
      </c>
      <c r="BN54" s="64">
        <f t="shared" si="8"/>
        <v>282.60000000000002</v>
      </c>
      <c r="BO54" s="64">
        <f t="shared" si="9"/>
        <v>0.45454545454545459</v>
      </c>
      <c r="BP54" s="64">
        <f t="shared" si="10"/>
        <v>0.45454545454545459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60</v>
      </c>
      <c r="Y55" s="665">
        <f>IFERROR(Y49/H49,"0")+IFERROR(Y50/H50,"0")+IFERROR(Y51/H51,"0")+IFERROR(Y52/H52,"0")+IFERROR(Y53/H53,"0")+IFERROR(Y54/H54,"0")</f>
        <v>60</v>
      </c>
      <c r="Z55" s="665">
        <f>IFERROR(IF(Z49="",0,Z49),"0")+IFERROR(IF(Z50="",0,Z50),"0")+IFERROR(IF(Z51="",0,Z51),"0")+IFERROR(IF(Z52="",0,Z52),"0")+IFERROR(IF(Z53="",0,Z53),"0")+IFERROR(IF(Z54="",0,Z54),"0")</f>
        <v>0.54120000000000001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270</v>
      </c>
      <c r="Y56" s="665">
        <f>IFERROR(SUM(Y49:Y54),"0")</f>
        <v>270</v>
      </c>
      <c r="Z56" s="37"/>
      <c r="AA56" s="666"/>
      <c r="AB56" s="666"/>
      <c r="AC56" s="666"/>
    </row>
    <row r="57" spans="1:68" ht="14.25" customHeight="1" x14ac:dyDescent="0.25">
      <c r="A57" s="679" t="s">
        <v>136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90</v>
      </c>
      <c r="Y61" s="664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37.962962962962962</v>
      </c>
      <c r="Y62" s="665">
        <f>IFERROR(Y58/H58,"0")+IFERROR(Y59/H59,"0")+IFERROR(Y60/H60,"0")+IFERROR(Y61/H61,"0")</f>
        <v>39</v>
      </c>
      <c r="Z62" s="665">
        <f>IFERROR(IF(Z58="",0,Z58),"0")+IFERROR(IF(Z59="",0,Z59),"0")+IFERROR(IF(Z60="",0,Z60),"0")+IFERROR(IF(Z61="",0,Z61),"0")</f>
        <v>0.31624000000000002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140</v>
      </c>
      <c r="Y63" s="665">
        <f>IFERROR(SUM(Y58:Y61),"0")</f>
        <v>145.80000000000001</v>
      </c>
      <c r="Z63" s="37"/>
      <c r="AA63" s="666"/>
      <c r="AB63" s="666"/>
      <c r="AC63" s="666"/>
    </row>
    <row r="64" spans="1:68" ht="14.25" customHeight="1" x14ac:dyDescent="0.25">
      <c r="A64" s="679" t="s">
        <v>147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181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70</v>
      </c>
      <c r="Y87" s="664">
        <f>IFERROR(IF(X87="",0,CEILING((X87/$H87),1)*$H87),"")</f>
        <v>75.600000000000009</v>
      </c>
      <c r="Z87" s="36">
        <f>IFERROR(IF(Y87=0,"",ROUNDUP(Y87/H87,0)*0.01898),"")</f>
        <v>0.13286000000000001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72.819444444444429</v>
      </c>
      <c r="BN87" s="64">
        <f>IFERROR(Y87*I87/H87,"0")</f>
        <v>78.64500000000001</v>
      </c>
      <c r="BO87" s="64">
        <f>IFERROR(1/J87*(X87/H87),"0")</f>
        <v>0.10127314814814814</v>
      </c>
      <c r="BP87" s="64">
        <f>IFERROR(1/J87*(Y87/H87),"0")</f>
        <v>0.109375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270</v>
      </c>
      <c r="Y89" s="664">
        <f>IFERROR(IF(X89="",0,CEILING((X89/$H89),1)*$H89),"")</f>
        <v>270</v>
      </c>
      <c r="Z89" s="36">
        <f>IFERROR(IF(Y89=0,"",ROUNDUP(Y89/H89,0)*0.00902),"")</f>
        <v>0.54120000000000001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282.60000000000002</v>
      </c>
      <c r="BN89" s="64">
        <f>IFERROR(Y89*I89/H89,"0")</f>
        <v>282.60000000000002</v>
      </c>
      <c r="BO89" s="64">
        <f>IFERROR(1/J89*(X89/H89),"0")</f>
        <v>0.45454545454545459</v>
      </c>
      <c r="BP89" s="64">
        <f>IFERROR(1/J89*(Y89/H89),"0")</f>
        <v>0.45454545454545459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66.481481481481481</v>
      </c>
      <c r="Y90" s="665">
        <f>IFERROR(Y87/H87,"0")+IFERROR(Y88/H88,"0")+IFERROR(Y89/H89,"0")</f>
        <v>67</v>
      </c>
      <c r="Z90" s="665">
        <f>IFERROR(IF(Z87="",0,Z87),"0")+IFERROR(IF(Z88="",0,Z88),"0")+IFERROR(IF(Z89="",0,Z89),"0")</f>
        <v>0.67405999999999999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340</v>
      </c>
      <c r="Y91" s="665">
        <f>IFERROR(SUM(Y87:Y89),"0")</f>
        <v>345.6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1" t="s">
        <v>195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203</v>
      </c>
      <c r="Q97" s="670"/>
      <c r="R97" s="670"/>
      <c r="S97" s="670"/>
      <c r="T97" s="671"/>
      <c r="U97" s="34"/>
      <c r="V97" s="34"/>
      <c r="W97" s="35" t="s">
        <v>69</v>
      </c>
      <c r="X97" s="663">
        <v>405</v>
      </c>
      <c r="Y97" s="664">
        <f t="shared" si="16"/>
        <v>405</v>
      </c>
      <c r="Z97" s="36">
        <f>IFERROR(IF(Y97=0,"",ROUNDUP(Y97/H97,0)*0.00651),"")</f>
        <v>0.97650000000000003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442.79999999999995</v>
      </c>
      <c r="BN97" s="64">
        <f t="shared" si="18"/>
        <v>442.79999999999995</v>
      </c>
      <c r="BO97" s="64">
        <f t="shared" si="19"/>
        <v>0.82417582417582425</v>
      </c>
      <c r="BP97" s="64">
        <f t="shared" si="20"/>
        <v>0.82417582417582425</v>
      </c>
    </row>
    <row r="98" spans="1:68" ht="16.5" customHeight="1" x14ac:dyDescent="0.25">
      <c r="A98" s="54" t="s">
        <v>201</v>
      </c>
      <c r="B98" s="54" t="s">
        <v>204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3" t="s">
        <v>205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150</v>
      </c>
      <c r="Y102" s="665">
        <f>IFERROR(Y93/H93,"0")+IFERROR(Y94/H94,"0")+IFERROR(Y95/H95,"0")+IFERROR(Y96/H96,"0")+IFERROR(Y97/H97,"0")+IFERROR(Y98/H98,"0")+IFERROR(Y99/H99,"0")+IFERROR(Y100/H100,"0")+IFERROR(Y101/H101,"0")</f>
        <v>150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0.97650000000000003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405</v>
      </c>
      <c r="Y103" s="665">
        <f>IFERROR(SUM(Y93:Y101),"0")</f>
        <v>405</v>
      </c>
      <c r="Z103" s="37"/>
      <c r="AA103" s="666"/>
      <c r="AB103" s="666"/>
      <c r="AC103" s="666"/>
    </row>
    <row r="104" spans="1:68" ht="16.5" customHeight="1" x14ac:dyDescent="0.25">
      <c r="A104" s="716" t="s">
        <v>212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360</v>
      </c>
      <c r="Y108" s="664">
        <f>IFERROR(IF(X108="",0,CEILING((X108/$H108),1)*$H108),"")</f>
        <v>360</v>
      </c>
      <c r="Z108" s="36">
        <f>IFERROR(IF(Y108=0,"",ROUNDUP(Y108/H108,0)*0.00902),"")</f>
        <v>0.72160000000000002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376.79999999999995</v>
      </c>
      <c r="BN108" s="64">
        <f>IFERROR(Y108*I108/H108,"0")</f>
        <v>376.79999999999995</v>
      </c>
      <c r="BO108" s="64">
        <f>IFERROR(1/J108*(X108/H108),"0")</f>
        <v>0.60606060606060608</v>
      </c>
      <c r="BP108" s="64">
        <f>IFERROR(1/J108*(Y108/H108),"0")</f>
        <v>0.60606060606060608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80</v>
      </c>
      <c r="Y110" s="665">
        <f>IFERROR(Y106/H106,"0")+IFERROR(Y107/H107,"0")+IFERROR(Y108/H108,"0")+IFERROR(Y109/H109,"0")</f>
        <v>80</v>
      </c>
      <c r="Z110" s="665">
        <f>IFERROR(IF(Z106="",0,Z106),"0")+IFERROR(IF(Z107="",0,Z107),"0")+IFERROR(IF(Z108="",0,Z108),"0")+IFERROR(IF(Z109="",0,Z109),"0")</f>
        <v>0.72160000000000002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360</v>
      </c>
      <c r="Y111" s="665">
        <f>IFERROR(SUM(Y106:Y109),"0")</f>
        <v>360</v>
      </c>
      <c r="Z111" s="37"/>
      <c r="AA111" s="666"/>
      <c r="AB111" s="666"/>
      <c r="AC111" s="666"/>
    </row>
    <row r="112" spans="1:68" ht="14.25" customHeight="1" x14ac:dyDescent="0.25">
      <c r="A112" s="679" t="s">
        <v>136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800</v>
      </c>
      <c r="Y121" s="664">
        <f t="shared" si="21"/>
        <v>806.40000000000009</v>
      </c>
      <c r="Z121" s="36">
        <f>IFERROR(IF(Y121=0,"",ROUNDUP(Y121/H121,0)*0.01898),"")</f>
        <v>1.8220800000000001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848.85714285714289</v>
      </c>
      <c r="BN121" s="64">
        <f t="shared" si="23"/>
        <v>855.64800000000002</v>
      </c>
      <c r="BO121" s="64">
        <f t="shared" si="24"/>
        <v>1.4880952380952381</v>
      </c>
      <c r="BP121" s="64">
        <f t="shared" si="25"/>
        <v>1.5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240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315</v>
      </c>
      <c r="Y124" s="664">
        <f t="shared" si="21"/>
        <v>315.90000000000003</v>
      </c>
      <c r="Z124" s="36">
        <f t="shared" si="26"/>
        <v>0.76167000000000007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344.4</v>
      </c>
      <c r="BN124" s="64">
        <f t="shared" si="23"/>
        <v>345.38400000000001</v>
      </c>
      <c r="BO124" s="64">
        <f t="shared" si="24"/>
        <v>0.64102564102564097</v>
      </c>
      <c r="BP124" s="64">
        <f t="shared" si="25"/>
        <v>0.6428571428571429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15</v>
      </c>
      <c r="Y126" s="664">
        <f t="shared" si="21"/>
        <v>16.2</v>
      </c>
      <c r="Z126" s="36">
        <f t="shared" si="26"/>
        <v>5.8590000000000003E-2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16.5</v>
      </c>
      <c r="BN126" s="64">
        <f t="shared" si="23"/>
        <v>17.82</v>
      </c>
      <c r="BO126" s="64">
        <f t="shared" si="24"/>
        <v>4.5787545787545791E-2</v>
      </c>
      <c r="BP126" s="64">
        <f t="shared" si="25"/>
        <v>4.9450549450549455E-2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220.23809523809524</v>
      </c>
      <c r="Y128" s="665">
        <f>IFERROR(Y119/H119,"0")+IFERROR(Y120/H120,"0")+IFERROR(Y121/H121,"0")+IFERROR(Y122/H122,"0")+IFERROR(Y123/H123,"0")+IFERROR(Y124/H124,"0")+IFERROR(Y125/H125,"0")+IFERROR(Y126/H126,"0")+IFERROR(Y127/H127,"0")</f>
        <v>222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2.6423400000000004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1130</v>
      </c>
      <c r="Y129" s="665">
        <f>IFERROR(SUM(Y119:Y127),"0")</f>
        <v>1138.5000000000002</v>
      </c>
      <c r="Z129" s="37"/>
      <c r="AA129" s="666"/>
      <c r="AB129" s="666"/>
      <c r="AC129" s="666"/>
    </row>
    <row r="130" spans="1:68" ht="14.25" customHeight="1" x14ac:dyDescent="0.25">
      <c r="A130" s="679" t="s">
        <v>173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257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147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147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287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136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147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30</v>
      </c>
      <c r="Y176" s="664">
        <f t="shared" si="27"/>
        <v>33.6</v>
      </c>
      <c r="Z176" s="36">
        <f>IFERROR(IF(Y176=0,"",ROUNDUP(Y176/H176,0)*0.00902),"")</f>
        <v>7.2160000000000002E-2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31.5</v>
      </c>
      <c r="BN176" s="64">
        <f t="shared" si="29"/>
        <v>35.28</v>
      </c>
      <c r="BO176" s="64">
        <f t="shared" si="30"/>
        <v>5.4112554112554112E-2</v>
      </c>
      <c r="BP176" s="64">
        <f t="shared" si="31"/>
        <v>6.0606060606060608E-2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70</v>
      </c>
      <c r="Y178" s="664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5" t="s">
        <v>306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105</v>
      </c>
      <c r="Y180" s="664">
        <f t="shared" si="27"/>
        <v>105</v>
      </c>
      <c r="Z180" s="36">
        <f>IFERROR(IF(Y180=0,"",ROUNDUP(Y180/H180,0)*0.00502),"")</f>
        <v>0.251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110.00000000000001</v>
      </c>
      <c r="BN180" s="64">
        <f t="shared" si="29"/>
        <v>110.00000000000001</v>
      </c>
      <c r="BO180" s="64">
        <f t="shared" si="30"/>
        <v>0.21367521367521369</v>
      </c>
      <c r="BP180" s="64">
        <f t="shared" si="31"/>
        <v>0.21367521367521369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102.38095238095238</v>
      </c>
      <c r="Y183" s="665">
        <f>IFERROR(Y174/H174,"0")+IFERROR(Y175/H175,"0")+IFERROR(Y176/H176,"0")+IFERROR(Y177/H177,"0")+IFERROR(Y178/H178,"0")+IFERROR(Y179/H179,"0")+IFERROR(Y180/H180,"0")+IFERROR(Y181/H181,"0")+IFERROR(Y182/H182,"0")</f>
        <v>104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0.60207999999999995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255</v>
      </c>
      <c r="Y184" s="665">
        <f>IFERROR(SUM(Y174:Y182),"0")</f>
        <v>260.39999999999998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4" t="s">
        <v>319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322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136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147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150</v>
      </c>
      <c r="Y201" s="664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250</v>
      </c>
      <c r="Y203" s="664">
        <f t="shared" si="32"/>
        <v>253.8</v>
      </c>
      <c r="Z203" s="36">
        <f>IFERROR(IF(Y203=0,"",ROUNDUP(Y203/H203,0)*0.00902),"")</f>
        <v>0.42393999999999998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259.72222222222223</v>
      </c>
      <c r="BN203" s="64">
        <f t="shared" si="34"/>
        <v>263.67</v>
      </c>
      <c r="BO203" s="64">
        <f t="shared" si="35"/>
        <v>0.35072951739618402</v>
      </c>
      <c r="BP203" s="64">
        <f t="shared" si="36"/>
        <v>0.35606060606060608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120</v>
      </c>
      <c r="Y204" s="664">
        <f t="shared" si="32"/>
        <v>124.2</v>
      </c>
      <c r="Z204" s="36">
        <f>IFERROR(IF(Y204=0,"",ROUNDUP(Y204/H204,0)*0.00902),"")</f>
        <v>0.20746000000000001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124.66666666666667</v>
      </c>
      <c r="BN204" s="64">
        <f t="shared" si="34"/>
        <v>129.03</v>
      </c>
      <c r="BO204" s="64">
        <f t="shared" si="35"/>
        <v>0.16835016835016836</v>
      </c>
      <c r="BP204" s="64">
        <f t="shared" si="36"/>
        <v>0.17424242424242425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90</v>
      </c>
      <c r="Y205" s="664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60</v>
      </c>
      <c r="Y207" s="664">
        <f t="shared" si="32"/>
        <v>61.2</v>
      </c>
      <c r="Z207" s="36">
        <f>IFERROR(IF(Y207=0,"",ROUNDUP(Y207/H207,0)*0.00502),"")</f>
        <v>0.17068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63.333333333333329</v>
      </c>
      <c r="BN207" s="64">
        <f t="shared" si="34"/>
        <v>64.599999999999994</v>
      </c>
      <c r="BO207" s="64">
        <f t="shared" si="35"/>
        <v>0.14245014245014248</v>
      </c>
      <c r="BP207" s="64">
        <f t="shared" si="36"/>
        <v>0.14529914529914531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224.07407407407405</v>
      </c>
      <c r="Y209" s="665">
        <f>IFERROR(Y201/H201,"0")+IFERROR(Y202/H202,"0")+IFERROR(Y203/H203,"0")+IFERROR(Y204/H204,"0")+IFERROR(Y205/H205,"0")+IFERROR(Y206/H206,"0")+IFERROR(Y207/H207,"0")+IFERROR(Y208/H208,"0")</f>
        <v>228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1.5845599999999997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790</v>
      </c>
      <c r="Y210" s="665">
        <f>IFERROR(SUM(Y201:Y208),"0")</f>
        <v>806.4000000000002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50</v>
      </c>
      <c r="Y214" s="664">
        <f t="shared" si="37"/>
        <v>52.199999999999996</v>
      </c>
      <c r="Z214" s="36">
        <f>IFERROR(IF(Y214=0,"",ROUNDUP(Y214/H214,0)*0.01898),"")</f>
        <v>0.11388000000000001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52.982758620689658</v>
      </c>
      <c r="BN214" s="64">
        <f t="shared" si="39"/>
        <v>55.313999999999993</v>
      </c>
      <c r="BO214" s="64">
        <f t="shared" si="40"/>
        <v>8.9798850574712652E-2</v>
      </c>
      <c r="BP214" s="64">
        <f t="shared" si="41"/>
        <v>9.375E-2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120</v>
      </c>
      <c r="Y215" s="664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60</v>
      </c>
      <c r="Y219" s="664">
        <f t="shared" si="37"/>
        <v>60</v>
      </c>
      <c r="Z219" s="36">
        <f t="shared" si="42"/>
        <v>0.16275000000000001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66.300000000000011</v>
      </c>
      <c r="BN219" s="64">
        <f t="shared" si="39"/>
        <v>66.300000000000011</v>
      </c>
      <c r="BO219" s="64">
        <f t="shared" si="40"/>
        <v>0.13736263736263737</v>
      </c>
      <c r="BP219" s="64">
        <f t="shared" si="41"/>
        <v>0.13736263736263737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197.41379310344828</v>
      </c>
      <c r="Y221" s="665">
        <f>IFERROR(Y212/H212,"0")+IFERROR(Y213/H213,"0")+IFERROR(Y214/H214,"0")+IFERROR(Y215/H215,"0")+IFERROR(Y216/H216,"0")+IFERROR(Y217/H217,"0")+IFERROR(Y218/H218,"0")+IFERROR(Y219/H219,"0")+IFERROR(Y220/H220,"0")</f>
        <v>199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1.3703100000000001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510</v>
      </c>
      <c r="Y222" s="665">
        <f>IFERROR(SUM(Y212:Y220),"0")</f>
        <v>515.4</v>
      </c>
      <c r="Z222" s="37"/>
      <c r="AA222" s="666"/>
      <c r="AB222" s="666"/>
      <c r="AC222" s="666"/>
    </row>
    <row r="223" spans="1:68" ht="14.25" customHeight="1" x14ac:dyDescent="0.25">
      <c r="A223" s="679" t="s">
        <v>173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20</v>
      </c>
      <c r="Y225" s="664">
        <f>IFERROR(IF(X225="",0,CEILING((X225/$H225),1)*$H225),"")</f>
        <v>21.599999999999998</v>
      </c>
      <c r="Z225" s="36">
        <f>IFERROR(IF(Y225=0,"",ROUNDUP(Y225/H225,0)*0.00651),"")</f>
        <v>5.8590000000000003E-2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22.100000000000005</v>
      </c>
      <c r="BN225" s="64">
        <f>IFERROR(Y225*I225/H225,"0")</f>
        <v>23.868000000000002</v>
      </c>
      <c r="BO225" s="64">
        <f>IFERROR(1/J225*(X225/H225),"0")</f>
        <v>4.5787545787545791E-2</v>
      </c>
      <c r="BP225" s="64">
        <f>IFERROR(1/J225*(Y225/H225),"0")</f>
        <v>4.9450549450549455E-2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8.3333333333333339</v>
      </c>
      <c r="Y226" s="665">
        <f>IFERROR(Y224/H224,"0")+IFERROR(Y225/H225,"0")</f>
        <v>9</v>
      </c>
      <c r="Z226" s="665">
        <f>IFERROR(IF(Z224="",0,Z224),"0")+IFERROR(IF(Z225="",0,Z225),"0")</f>
        <v>5.8590000000000003E-2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20</v>
      </c>
      <c r="Y227" s="665">
        <f>IFERROR(SUM(Y224:Y225),"0")</f>
        <v>21.599999999999998</v>
      </c>
      <c r="Z227" s="37"/>
      <c r="AA227" s="666"/>
      <c r="AB227" s="666"/>
      <c r="AC227" s="666"/>
    </row>
    <row r="228" spans="1:68" ht="16.5" customHeight="1" x14ac:dyDescent="0.25">
      <c r="A228" s="716" t="s">
        <v>383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136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7">
        <v>4680115885981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408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4" t="s">
        <v>411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413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75" t="s">
        <v>416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418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440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449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80</v>
      </c>
      <c r="Y279" s="664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80</v>
      </c>
      <c r="Y280" s="664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66.666666666666671</v>
      </c>
      <c r="Y282" s="665">
        <f>IFERROR(Y277/H277,"0")+IFERROR(Y278/H278,"0")+IFERROR(Y279/H279,"0")+IFERROR(Y280/H280,"0")+IFERROR(Y281/H281,"0")</f>
        <v>68</v>
      </c>
      <c r="Z282" s="665">
        <f>IFERROR(IF(Z277="",0,Z277),"0")+IFERROR(IF(Z278="",0,Z278),"0")+IFERROR(IF(Z279="",0,Z279),"0")+IFERROR(IF(Z280="",0,Z280),"0")+IFERROR(IF(Z281="",0,Z281),"0")</f>
        <v>0.44268000000000002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160</v>
      </c>
      <c r="Y283" s="665">
        <f>IFERROR(SUM(Y277:Y281),"0")</f>
        <v>163.19999999999999</v>
      </c>
      <c r="Z283" s="37"/>
      <c r="AA283" s="666"/>
      <c r="AB283" s="666"/>
      <c r="AC283" s="666"/>
    </row>
    <row r="284" spans="1:68" ht="16.5" customHeight="1" x14ac:dyDescent="0.25">
      <c r="A284" s="716" t="s">
        <v>463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147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473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477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147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105</v>
      </c>
      <c r="Y308" s="664">
        <f>IFERROR(IF(X308="",0,CEILING((X308/$H308),1)*$H308),"")</f>
        <v>105</v>
      </c>
      <c r="Z308" s="36">
        <f>IFERROR(IF(Y308=0,"",ROUNDUP(Y308/H308,0)*0.00502),"")</f>
        <v>0.251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110.00000000000001</v>
      </c>
      <c r="BN308" s="64">
        <f>IFERROR(Y308*I308/H308,"0")</f>
        <v>110.00000000000001</v>
      </c>
      <c r="BO308" s="64">
        <f>IFERROR(1/J308*(X308/H308),"0")</f>
        <v>0.21367521367521369</v>
      </c>
      <c r="BP308" s="64">
        <f>IFERROR(1/J308*(Y308/H308),"0")</f>
        <v>0.21367521367521369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50</v>
      </c>
      <c r="Y310" s="665">
        <f>IFERROR(Y308/H308,"0")+IFERROR(Y309/H309,"0")</f>
        <v>50</v>
      </c>
      <c r="Z310" s="665">
        <f>IFERROR(IF(Z308="",0,Z308),"0")+IFERROR(IF(Z309="",0,Z309),"0")</f>
        <v>0.251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105</v>
      </c>
      <c r="Y311" s="665">
        <f>IFERROR(SUM(Y308:Y309),"0")</f>
        <v>105</v>
      </c>
      <c r="Z311" s="37"/>
      <c r="AA311" s="666"/>
      <c r="AB311" s="666"/>
      <c r="AC311" s="666"/>
    </row>
    <row r="312" spans="1:68" ht="16.5" customHeight="1" x14ac:dyDescent="0.25">
      <c r="A312" s="716" t="s">
        <v>485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490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147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200</v>
      </c>
      <c r="Y344" s="664">
        <f>IFERROR(IF(X344="",0,CEILING((X344/$H344),1)*$H344),"")</f>
        <v>202.79999999999998</v>
      </c>
      <c r="Z344" s="36">
        <f>IFERROR(IF(Y344=0,"",ROUNDUP(Y344/H344,0)*0.01898),"")</f>
        <v>0.49348000000000003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213.30769230769235</v>
      </c>
      <c r="BN344" s="64">
        <f>IFERROR(Y344*I344/H344,"0")</f>
        <v>216.29400000000001</v>
      </c>
      <c r="BO344" s="64">
        <f>IFERROR(1/J344*(X344/H344),"0")</f>
        <v>0.40064102564102566</v>
      </c>
      <c r="BP344" s="64">
        <f>IFERROR(1/J344*(Y344/H344),"0")</f>
        <v>0.40625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29.212454212454212</v>
      </c>
      <c r="Y346" s="665">
        <f>IFERROR(Y343/H343,"0")+IFERROR(Y344/H344,"0")+IFERROR(Y345/H345,"0")</f>
        <v>30</v>
      </c>
      <c r="Z346" s="665">
        <f>IFERROR(IF(Z343="",0,Z343),"0")+IFERROR(IF(Z344="",0,Z344),"0")+IFERROR(IF(Z345="",0,Z345),"0")</f>
        <v>0.56940000000000002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230</v>
      </c>
      <c r="Y347" s="665">
        <f>IFERROR(SUM(Y343:Y345),"0")</f>
        <v>236.39999999999998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147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350</v>
      </c>
      <c r="Y368" s="664">
        <f>IFERROR(IF(X368="",0,CEILING((X368/$H368),1)*$H368),"")</f>
        <v>350.7</v>
      </c>
      <c r="Z368" s="36">
        <f>IFERROR(IF(Y368=0,"",ROUNDUP(Y368/H368,0)*0.00651),"")</f>
        <v>1.08717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391.99999999999994</v>
      </c>
      <c r="BN368" s="64">
        <f>IFERROR(Y368*I368/H368,"0")</f>
        <v>392.78399999999993</v>
      </c>
      <c r="BO368" s="64">
        <f>IFERROR(1/J368*(X368/H368),"0")</f>
        <v>0.91575091575091572</v>
      </c>
      <c r="BP368" s="64">
        <f>IFERROR(1/J368*(Y368/H368),"0")</f>
        <v>0.91758241758241765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166.66666666666666</v>
      </c>
      <c r="Y370" s="665">
        <f>IFERROR(Y367/H367,"0")+IFERROR(Y368/H368,"0")+IFERROR(Y369/H369,"0")</f>
        <v>167</v>
      </c>
      <c r="Z370" s="665">
        <f>IFERROR(IF(Z367="",0,Z367),"0")+IFERROR(IF(Z368="",0,Z368),"0")+IFERROR(IF(Z369="",0,Z369),"0")</f>
        <v>1.08717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350</v>
      </c>
      <c r="Y371" s="665">
        <f>IFERROR(SUM(Y367:Y369),"0")</f>
        <v>350.7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27" customHeight="1" x14ac:dyDescent="0.25">
      <c r="A375" s="54" t="s">
        <v>581</v>
      </c>
      <c r="B375" s="54" t="s">
        <v>582</v>
      </c>
      <c r="C375" s="31">
        <v>4301011946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2000</v>
      </c>
      <c r="Y376" s="664">
        <f t="shared" si="58"/>
        <v>2010</v>
      </c>
      <c r="Z376" s="36">
        <f>IFERROR(IF(Y376=0,"",ROUNDUP(Y376/H376,0)*0.02175),"")</f>
        <v>2.9144999999999999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2064</v>
      </c>
      <c r="BN376" s="64">
        <f t="shared" si="60"/>
        <v>2074.3200000000002</v>
      </c>
      <c r="BO376" s="64">
        <f t="shared" si="61"/>
        <v>2.7777777777777777</v>
      </c>
      <c r="BP376" s="64">
        <f t="shared" si="62"/>
        <v>2.7916666666666665</v>
      </c>
    </row>
    <row r="377" spans="1:68" ht="27" customHeight="1" x14ac:dyDescent="0.25">
      <c r="A377" s="54" t="s">
        <v>586</v>
      </c>
      <c r="B377" s="54" t="s">
        <v>587</v>
      </c>
      <c r="C377" s="31">
        <v>4301011947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1000</v>
      </c>
      <c r="Y378" s="664">
        <f t="shared" si="58"/>
        <v>1005</v>
      </c>
      <c r="Z378" s="36">
        <f>IFERROR(IF(Y378=0,"",ROUNDUP(Y378/H378,0)*0.02175),"")</f>
        <v>1.4572499999999999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1032</v>
      </c>
      <c r="BN378" s="64">
        <f t="shared" si="60"/>
        <v>1037.1600000000001</v>
      </c>
      <c r="BO378" s="64">
        <f t="shared" si="61"/>
        <v>1.3888888888888888</v>
      </c>
      <c r="BP378" s="64">
        <f t="shared" si="62"/>
        <v>1.3958333333333333</v>
      </c>
    </row>
    <row r="379" spans="1:68" ht="27" customHeight="1" x14ac:dyDescent="0.25">
      <c r="A379" s="54" t="s">
        <v>590</v>
      </c>
      <c r="B379" s="54" t="s">
        <v>591</v>
      </c>
      <c r="C379" s="31">
        <v>4301011943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200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206.4</v>
      </c>
      <c r="BN380" s="64">
        <f t="shared" si="60"/>
        <v>216.72</v>
      </c>
      <c r="BO380" s="64">
        <f t="shared" si="61"/>
        <v>0.27777777777777779</v>
      </c>
      <c r="BP380" s="64">
        <f t="shared" si="62"/>
        <v>0.29166666666666663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1750</v>
      </c>
      <c r="Y381" s="664">
        <f t="shared" si="58"/>
        <v>1755</v>
      </c>
      <c r="Z381" s="36">
        <f>IFERROR(IF(Y381=0,"",ROUNDUP(Y381/H381,0)*0.02175),"")</f>
        <v>2.5447499999999996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1806</v>
      </c>
      <c r="BN381" s="64">
        <f t="shared" si="60"/>
        <v>1811.16</v>
      </c>
      <c r="BO381" s="64">
        <f t="shared" si="61"/>
        <v>2.4305555555555554</v>
      </c>
      <c r="BP381" s="64">
        <f t="shared" si="62"/>
        <v>2.4375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330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332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7.2209999999999992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4950</v>
      </c>
      <c r="Y386" s="665">
        <f>IFERROR(SUM(Y375:Y384),"0")</f>
        <v>4980</v>
      </c>
      <c r="Z386" s="37"/>
      <c r="AA386" s="666"/>
      <c r="AB386" s="666"/>
      <c r="AC386" s="666"/>
    </row>
    <row r="387" spans="1:68" ht="14.25" customHeight="1" x14ac:dyDescent="0.25">
      <c r="A387" s="679" t="s">
        <v>136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1300</v>
      </c>
      <c r="Y388" s="664">
        <f>IFERROR(IF(X388="",0,CEILING((X388/$H388),1)*$H388),"")</f>
        <v>1305</v>
      </c>
      <c r="Z388" s="36">
        <f>IFERROR(IF(Y388=0,"",ROUNDUP(Y388/H388,0)*0.02175),"")</f>
        <v>1.8922499999999998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1341.6</v>
      </c>
      <c r="BN388" s="64">
        <f>IFERROR(Y388*I388/H388,"0")</f>
        <v>1346.76</v>
      </c>
      <c r="BO388" s="64">
        <f>IFERROR(1/J388*(X388/H388),"0")</f>
        <v>1.8055555555555556</v>
      </c>
      <c r="BP388" s="64">
        <f>IFERROR(1/J388*(Y388/H388),"0")</f>
        <v>1.8125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86.666666666666671</v>
      </c>
      <c r="Y390" s="665">
        <f>IFERROR(Y388/H388,"0")+IFERROR(Y389/H389,"0")</f>
        <v>87</v>
      </c>
      <c r="Z390" s="665">
        <f>IFERROR(IF(Z388="",0,Z388),"0")+IFERROR(IF(Z389="",0,Z389),"0")</f>
        <v>1.8922499999999998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1300</v>
      </c>
      <c r="Y391" s="665">
        <f>IFERROR(SUM(Y388:Y389),"0")</f>
        <v>1305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30</v>
      </c>
      <c r="Y398" s="664">
        <f>IFERROR(IF(X398="",0,CEILING((X398/$H398),1)*$H398),"")</f>
        <v>36</v>
      </c>
      <c r="Z398" s="36">
        <f>IFERROR(IF(Y398=0,"",ROUNDUP(Y398/H398,0)*0.01898),"")</f>
        <v>7.5920000000000001E-2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31.73</v>
      </c>
      <c r="BN398" s="64">
        <f>IFERROR(Y398*I398/H398,"0")</f>
        <v>38.076000000000001</v>
      </c>
      <c r="BO398" s="64">
        <f>IFERROR(1/J398*(X398/H398),"0")</f>
        <v>5.2083333333333336E-2</v>
      </c>
      <c r="BP398" s="64">
        <f>IFERROR(1/J398*(Y398/H398),"0")</f>
        <v>6.25E-2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3.3333333333333335</v>
      </c>
      <c r="Y399" s="665">
        <f>IFERROR(Y398/H398,"0")</f>
        <v>4</v>
      </c>
      <c r="Z399" s="665">
        <f>IFERROR(IF(Z398="",0,Z398),"0")</f>
        <v>7.5920000000000001E-2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30</v>
      </c>
      <c r="Y400" s="665">
        <f>IFERROR(SUM(Y398:Y398),"0")</f>
        <v>36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50</v>
      </c>
      <c r="Y406" s="664">
        <f>IFERROR(IF(X406="",0,CEILING((X406/$H406),1)*$H406),"")</f>
        <v>60</v>
      </c>
      <c r="Z406" s="36">
        <f>IFERROR(IF(Y406=0,"",ROUNDUP(Y406/H406,0)*0.01898),"")</f>
        <v>9.4899999999999998E-2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51.8125</v>
      </c>
      <c r="BN406" s="64">
        <f>IFERROR(Y406*I406/H406,"0")</f>
        <v>62.175000000000004</v>
      </c>
      <c r="BO406" s="64">
        <f>IFERROR(1/J406*(X406/H406),"0")</f>
        <v>6.5104166666666671E-2</v>
      </c>
      <c r="BP406" s="64">
        <f>IFERROR(1/J406*(Y406/H406),"0")</f>
        <v>7.8125E-2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4.166666666666667</v>
      </c>
      <c r="Y408" s="665">
        <f>IFERROR(Y403/H403,"0")+IFERROR(Y404/H404,"0")+IFERROR(Y405/H405,"0")+IFERROR(Y406/H406,"0")+IFERROR(Y407/H407,"0")</f>
        <v>5</v>
      </c>
      <c r="Z408" s="665">
        <f>IFERROR(IF(Z403="",0,Z403),"0")+IFERROR(IF(Z404="",0,Z404),"0")+IFERROR(IF(Z405="",0,Z405),"0")+IFERROR(IF(Z406="",0,Z406),"0")+IFERROR(IF(Z407="",0,Z407),"0")</f>
        <v>9.4899999999999998E-2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50</v>
      </c>
      <c r="Y409" s="665">
        <f>IFERROR(SUM(Y403:Y407),"0")</f>
        <v>60</v>
      </c>
      <c r="Z409" s="37"/>
      <c r="AA409" s="666"/>
      <c r="AB409" s="666"/>
      <c r="AC409" s="666"/>
    </row>
    <row r="410" spans="1:68" ht="14.25" customHeight="1" x14ac:dyDescent="0.25">
      <c r="A410" s="679" t="s">
        <v>147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147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4301031382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4301031406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105</v>
      </c>
      <c r="Y436" s="664">
        <f t="shared" si="63"/>
        <v>105</v>
      </c>
      <c r="Z436" s="36">
        <f t="shared" si="68"/>
        <v>0.251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111.5</v>
      </c>
      <c r="BN436" s="64">
        <f t="shared" si="65"/>
        <v>111.5</v>
      </c>
      <c r="BO436" s="64">
        <f t="shared" si="66"/>
        <v>0.21367521367521369</v>
      </c>
      <c r="BP436" s="64">
        <f t="shared" si="67"/>
        <v>0.21367521367521369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17.5</v>
      </c>
      <c r="Y437" s="664">
        <f t="shared" si="63"/>
        <v>18.900000000000002</v>
      </c>
      <c r="Z437" s="36">
        <f t="shared" si="68"/>
        <v>4.5179999999999998E-2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18.583333333333332</v>
      </c>
      <c r="BN437" s="64">
        <f t="shared" si="65"/>
        <v>20.07</v>
      </c>
      <c r="BO437" s="64">
        <f t="shared" si="66"/>
        <v>3.5612535612535613E-2</v>
      </c>
      <c r="BP437" s="64">
        <f t="shared" si="67"/>
        <v>3.8461538461538464E-2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70</v>
      </c>
      <c r="Y440" s="664">
        <f t="shared" si="63"/>
        <v>71.400000000000006</v>
      </c>
      <c r="Z440" s="36">
        <f t="shared" si="68"/>
        <v>0.17068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74.333333333333329</v>
      </c>
      <c r="BN440" s="64">
        <f t="shared" si="65"/>
        <v>75.820000000000007</v>
      </c>
      <c r="BO440" s="64">
        <f t="shared" si="66"/>
        <v>0.14245014245014245</v>
      </c>
      <c r="BP440" s="64">
        <f t="shared" si="67"/>
        <v>0.14529914529914531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91.666666666666657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93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0.46686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192.5</v>
      </c>
      <c r="Y443" s="665">
        <f>IFERROR(SUM(Y430:Y441),"0")</f>
        <v>195.3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136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147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147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147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50</v>
      </c>
      <c r="Y482" s="664">
        <f t="shared" si="69"/>
        <v>52.800000000000004</v>
      </c>
      <c r="Z482" s="36">
        <f>IFERROR(IF(Y482=0,"",ROUNDUP(Y482/H482,0)*0.01196),"")</f>
        <v>0.1196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53.409090909090907</v>
      </c>
      <c r="BN482" s="64">
        <f t="shared" si="71"/>
        <v>56.400000000000006</v>
      </c>
      <c r="BO482" s="64">
        <f t="shared" si="72"/>
        <v>9.1054778554778545E-2</v>
      </c>
      <c r="BP482" s="64">
        <f t="shared" si="73"/>
        <v>9.6153846153846159E-2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200</v>
      </c>
      <c r="Y483" s="664">
        <f t="shared" si="69"/>
        <v>200.64000000000001</v>
      </c>
      <c r="Z483" s="36">
        <f>IFERROR(IF(Y483=0,"",ROUNDUP(Y483/H483,0)*0.01196),"")</f>
        <v>0.45448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213.63636363636363</v>
      </c>
      <c r="BN483" s="64">
        <f t="shared" si="71"/>
        <v>214.32</v>
      </c>
      <c r="BO483" s="64">
        <f t="shared" si="72"/>
        <v>0.36421911421911418</v>
      </c>
      <c r="BP483" s="64">
        <f t="shared" si="73"/>
        <v>0.36538461538461542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4301012035</v>
      </c>
      <c r="D486" s="667">
        <v>4680115880603</v>
      </c>
      <c r="E486" s="668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60</v>
      </c>
      <c r="Y487" s="664">
        <f t="shared" si="69"/>
        <v>61.2</v>
      </c>
      <c r="Z487" s="36">
        <f>IFERROR(IF(Y487=0,"",ROUNDUP(Y487/H487,0)*0.00902),"")</f>
        <v>0.15334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63.5</v>
      </c>
      <c r="BN487" s="64">
        <f t="shared" si="71"/>
        <v>64.77000000000001</v>
      </c>
      <c r="BO487" s="64">
        <f t="shared" si="72"/>
        <v>0.12626262626262627</v>
      </c>
      <c r="BP487" s="64">
        <f t="shared" si="73"/>
        <v>0.12878787878787878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4301012034</v>
      </c>
      <c r="D492" s="667">
        <v>4607091389982</v>
      </c>
      <c r="E492" s="668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60</v>
      </c>
      <c r="Y493" s="664">
        <f t="shared" si="69"/>
        <v>61.2</v>
      </c>
      <c r="Z493" s="36">
        <f>IFERROR(IF(Y493=0,"",ROUNDUP(Y493/H493,0)*0.00902),"")</f>
        <v>0.15334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63.5</v>
      </c>
      <c r="BN493" s="64">
        <f t="shared" si="71"/>
        <v>64.77000000000001</v>
      </c>
      <c r="BO493" s="64">
        <f t="shared" si="72"/>
        <v>0.12626262626262627</v>
      </c>
      <c r="BP493" s="64">
        <f t="shared" si="73"/>
        <v>0.12878787878787878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90.151515151515156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1.0003599999999999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420</v>
      </c>
      <c r="Y496" s="665">
        <f>IFERROR(SUM(Y480:Y494),"0")</f>
        <v>428.64</v>
      </c>
      <c r="Z496" s="37"/>
      <c r="AA496" s="666"/>
      <c r="AB496" s="666"/>
      <c r="AC496" s="666"/>
    </row>
    <row r="497" spans="1:68" ht="14.25" customHeight="1" x14ac:dyDescent="0.25">
      <c r="A497" s="679" t="s">
        <v>136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4301020334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3" t="s">
        <v>773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100</v>
      </c>
      <c r="Y499" s="664">
        <f>IFERROR(IF(X499="",0,CEILING((X499/$H499),1)*$H499),"")</f>
        <v>100.32000000000001</v>
      </c>
      <c r="Z499" s="36">
        <f>IFERROR(IF(Y499=0,"",ROUNDUP(Y499/H499,0)*0.01196),"")</f>
        <v>0.22724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106.81818181818181</v>
      </c>
      <c r="BN499" s="64">
        <f>IFERROR(Y499*I499/H499,"0")</f>
        <v>107.16</v>
      </c>
      <c r="BO499" s="64">
        <f>IFERROR(1/J499*(X499/H499),"0")</f>
        <v>0.18210955710955709</v>
      </c>
      <c r="BP499" s="64">
        <f>IFERROR(1/J499*(Y499/H499),"0")</f>
        <v>0.18269230769230771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147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40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42.727272727272727</v>
      </c>
      <c r="BN506" s="64">
        <f t="shared" si="76"/>
        <v>45.12</v>
      </c>
      <c r="BO506" s="64">
        <f t="shared" si="77"/>
        <v>7.2843822843822847E-2</v>
      </c>
      <c r="BP506" s="64">
        <f t="shared" si="78"/>
        <v>7.6923076923076927E-2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120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128.18181818181816</v>
      </c>
      <c r="BN507" s="64">
        <f t="shared" si="76"/>
        <v>129.72</v>
      </c>
      <c r="BO507" s="64">
        <f t="shared" si="77"/>
        <v>0.21853146853146854</v>
      </c>
      <c r="BP507" s="64">
        <f t="shared" si="78"/>
        <v>0.22115384615384617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4301031351</v>
      </c>
      <c r="D509" s="667">
        <v>4680115882072</v>
      </c>
      <c r="E509" s="668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4301031383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8" t="s">
        <v>804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IFERROR(IF(Y511=0,"",ROUNDUP(Y511/H511,0)*0.00902),"")</f>
        <v/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4301031384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67">
        <v>4680115882096</v>
      </c>
      <c r="E515" s="668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814</v>
      </c>
      <c r="C516" s="31">
        <v>4301031417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3" t="s">
        <v>815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30.303030303030301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31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0.37075999999999998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160</v>
      </c>
      <c r="Y518" s="665">
        <f>IFERROR(SUM(Y505:Y516),"0")</f>
        <v>163.68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136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147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4301051887</v>
      </c>
      <c r="D560" s="667">
        <v>4640242180533</v>
      </c>
      <c r="E560" s="668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67">
        <v>4640242180533</v>
      </c>
      <c r="E561" s="668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400</v>
      </c>
      <c r="Y561" s="664">
        <f>IFERROR(IF(X561="",0,CEILING((X561/$H561),1)*$H561),"")</f>
        <v>405</v>
      </c>
      <c r="Z561" s="36">
        <f>IFERROR(IF(Y561=0,"",ROUNDUP(Y561/H561,0)*0.01898),"")</f>
        <v>0.85409999999999997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423.06666666666666</v>
      </c>
      <c r="BN561" s="64">
        <f>IFERROR(Y561*I561/H561,"0")</f>
        <v>428.35500000000002</v>
      </c>
      <c r="BO561" s="64">
        <f>IFERROR(1/J561*(X561/H561),"0")</f>
        <v>0.69444444444444442</v>
      </c>
      <c r="BP561" s="64">
        <f>IFERROR(1/J561*(Y561/H561),"0")</f>
        <v>0.703125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44.444444444444443</v>
      </c>
      <c r="Y565" s="665">
        <f>IFERROR(Y560/H560,"0")+IFERROR(Y561/H561,"0")+IFERROR(Y562/H562,"0")+IFERROR(Y563/H563,"0")+IFERROR(Y564/H564,"0")</f>
        <v>45</v>
      </c>
      <c r="Z565" s="665">
        <f>IFERROR(IF(Z560="",0,Z560),"0")+IFERROR(IF(Z561="",0,Z561),"0")+IFERROR(IF(Z562="",0,Z562),"0")+IFERROR(IF(Z563="",0,Z563),"0")+IFERROR(IF(Z564="",0,Z564),"0")</f>
        <v>0.85409999999999997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400</v>
      </c>
      <c r="Y566" s="665">
        <f>IFERROR(SUM(Y560:Y564),"0")</f>
        <v>405</v>
      </c>
      <c r="Z566" s="37"/>
      <c r="AA566" s="666"/>
      <c r="AB566" s="666"/>
      <c r="AC566" s="666"/>
    </row>
    <row r="567" spans="1:68" ht="14.25" customHeight="1" x14ac:dyDescent="0.25">
      <c r="A567" s="679" t="s">
        <v>173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4301060485</v>
      </c>
      <c r="D568" s="667">
        <v>4640242180120</v>
      </c>
      <c r="E568" s="668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67">
        <v>4640242180120</v>
      </c>
      <c r="E569" s="668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4301060486</v>
      </c>
      <c r="D570" s="667">
        <v>4640242180137</v>
      </c>
      <c r="E570" s="668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4301060498</v>
      </c>
      <c r="D571" s="667">
        <v>4640242180137</v>
      </c>
      <c r="E571" s="668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136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147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12947.5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13084.339999999998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13596.134213554646</v>
      </c>
      <c r="Y592" s="665">
        <f>IFERROR(SUM(BN22:BN588),"0")</f>
        <v>13739.851999999999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22</v>
      </c>
      <c r="Y593" s="38">
        <f>ROUNDUP(SUM(BP22:BP588),0)</f>
        <v>22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14146.134213554646</v>
      </c>
      <c r="Y594" s="665">
        <f>GrossWeightTotalR+PalletQtyTotalR*25</f>
        <v>14289.851999999999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2216.5096046992603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2239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24.643959999999996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286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181</v>
      </c>
      <c r="F599" s="686" t="s">
        <v>212</v>
      </c>
      <c r="G599" s="686" t="s">
        <v>257</v>
      </c>
      <c r="H599" s="686" t="s">
        <v>96</v>
      </c>
      <c r="I599" s="686" t="s">
        <v>287</v>
      </c>
      <c r="J599" s="686" t="s">
        <v>322</v>
      </c>
      <c r="K599" s="686" t="s">
        <v>383</v>
      </c>
      <c r="L599" s="686" t="s">
        <v>418</v>
      </c>
      <c r="M599" s="686" t="s">
        <v>436</v>
      </c>
      <c r="N599" s="661"/>
      <c r="O599" s="686" t="s">
        <v>440</v>
      </c>
      <c r="P599" s="686" t="s">
        <v>449</v>
      </c>
      <c r="Q599" s="686" t="s">
        <v>463</v>
      </c>
      <c r="R599" s="686" t="s">
        <v>473</v>
      </c>
      <c r="S599" s="686" t="s">
        <v>477</v>
      </c>
      <c r="T599" s="686" t="s">
        <v>485</v>
      </c>
      <c r="U599" s="686" t="s">
        <v>490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286.39999999999998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415.8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750.6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1498.5000000000002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260.39999999999998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1343.4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163.19999999999999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105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236.39999999999998</v>
      </c>
      <c r="V601" s="46">
        <f>IFERROR(Y363*1,"0")+IFERROR(Y367*1,"0")+IFERROR(Y368*1,"0")+IFERROR(Y369*1,"0")</f>
        <v>350.7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6321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195.3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692.6400000000001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405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2025-04-16T08:44:57Z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