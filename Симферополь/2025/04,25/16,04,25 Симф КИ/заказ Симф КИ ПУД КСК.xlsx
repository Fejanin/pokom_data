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F137F904-371D-4338-8CC0-C420AD9DFB8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P456" i="1"/>
  <c r="BO456" i="1"/>
  <c r="BN456" i="1"/>
  <c r="BM456" i="1"/>
  <c r="Z456" i="1"/>
  <c r="Y456" i="1"/>
  <c r="Y461" i="1" s="1"/>
  <c r="X454" i="1"/>
  <c r="X453" i="1"/>
  <c r="BO452" i="1"/>
  <c r="BM452" i="1"/>
  <c r="Y452" i="1"/>
  <c r="BP452" i="1" s="1"/>
  <c r="P452" i="1"/>
  <c r="BP451" i="1"/>
  <c r="BO451" i="1"/>
  <c r="BN451" i="1"/>
  <c r="BM451" i="1"/>
  <c r="Z451" i="1"/>
  <c r="Y451" i="1"/>
  <c r="Y453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P440" i="1"/>
  <c r="BO440" i="1"/>
  <c r="BN440" i="1"/>
  <c r="BM440" i="1"/>
  <c r="Z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Y601" i="1" s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X601" i="1" s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BO377" i="1"/>
  <c r="BM377" i="1"/>
  <c r="Y377" i="1"/>
  <c r="BP377" i="1" s="1"/>
  <c r="P377" i="1"/>
  <c r="BP376" i="1"/>
  <c r="BO376" i="1"/>
  <c r="BN376" i="1"/>
  <c r="BM376" i="1"/>
  <c r="Z376" i="1"/>
  <c r="Y376" i="1"/>
  <c r="P376" i="1"/>
  <c r="BO375" i="1"/>
  <c r="BM375" i="1"/>
  <c r="Y375" i="1"/>
  <c r="W601" i="1" s="1"/>
  <c r="P375" i="1"/>
  <c r="X371" i="1"/>
  <c r="X370" i="1"/>
  <c r="BO369" i="1"/>
  <c r="BM369" i="1"/>
  <c r="Y369" i="1"/>
  <c r="BP369" i="1" s="1"/>
  <c r="P369" i="1"/>
  <c r="BP368" i="1"/>
  <c r="BO368" i="1"/>
  <c r="BN368" i="1"/>
  <c r="BM368" i="1"/>
  <c r="Z368" i="1"/>
  <c r="Y368" i="1"/>
  <c r="P368" i="1"/>
  <c r="BO367" i="1"/>
  <c r="BM367" i="1"/>
  <c r="Y367" i="1"/>
  <c r="Y370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59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3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BP309" i="1" s="1"/>
  <c r="P309" i="1"/>
  <c r="BO308" i="1"/>
  <c r="BM308" i="1"/>
  <c r="Y308" i="1"/>
  <c r="Y311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X162" i="1"/>
  <c r="X161" i="1"/>
  <c r="BO160" i="1"/>
  <c r="BM160" i="1"/>
  <c r="Y160" i="1"/>
  <c r="P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P125" i="1"/>
  <c r="BO125" i="1"/>
  <c r="BN125" i="1"/>
  <c r="BM125" i="1"/>
  <c r="Z125" i="1"/>
  <c r="Y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BO119" i="1"/>
  <c r="BM119" i="1"/>
  <c r="Y119" i="1"/>
  <c r="Y128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Y102" i="1" s="1"/>
  <c r="P94" i="1"/>
  <c r="BP93" i="1"/>
  <c r="BO93" i="1"/>
  <c r="BN93" i="1"/>
  <c r="BM93" i="1"/>
  <c r="Z93" i="1"/>
  <c r="Y93" i="1"/>
  <c r="Y10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X595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4" i="1"/>
  <c r="Z102" i="1" s="1"/>
  <c r="BN94" i="1"/>
  <c r="BP94" i="1"/>
  <c r="Z95" i="1"/>
  <c r="BN95" i="1"/>
  <c r="Z96" i="1"/>
  <c r="BN96" i="1"/>
  <c r="Z97" i="1"/>
  <c r="BN97" i="1"/>
  <c r="Z98" i="1"/>
  <c r="BN98" i="1"/>
  <c r="Z100" i="1"/>
  <c r="BN100" i="1"/>
  <c r="F601" i="1"/>
  <c r="Z107" i="1"/>
  <c r="Z110" i="1" s="1"/>
  <c r="BN107" i="1"/>
  <c r="BP107" i="1"/>
  <c r="Z109" i="1"/>
  <c r="BN109" i="1"/>
  <c r="Y110" i="1"/>
  <c r="Z113" i="1"/>
  <c r="Z116" i="1" s="1"/>
  <c r="BN113" i="1"/>
  <c r="BP113" i="1"/>
  <c r="Z115" i="1"/>
  <c r="BN115" i="1"/>
  <c r="Y116" i="1"/>
  <c r="Z119" i="1"/>
  <c r="Z128" i="1" s="1"/>
  <c r="BN119" i="1"/>
  <c r="BP119" i="1"/>
  <c r="Z120" i="1"/>
  <c r="BN120" i="1"/>
  <c r="Z122" i="1"/>
  <c r="BN122" i="1"/>
  <c r="Z123" i="1"/>
  <c r="BN123" i="1"/>
  <c r="Z126" i="1"/>
  <c r="BN126" i="1"/>
  <c r="Y129" i="1"/>
  <c r="Z132" i="1"/>
  <c r="Z133" i="1" s="1"/>
  <c r="BN132" i="1"/>
  <c r="BP132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BP158" i="1"/>
  <c r="BN158" i="1"/>
  <c r="Z158" i="1"/>
  <c r="Z161" i="1" s="1"/>
  <c r="BP176" i="1"/>
  <c r="BN176" i="1"/>
  <c r="Z176" i="1"/>
  <c r="H9" i="1"/>
  <c r="Y28" i="1"/>
  <c r="Y55" i="1"/>
  <c r="Y139" i="1"/>
  <c r="BP160" i="1"/>
  <c r="BN160" i="1"/>
  <c r="Z160" i="1"/>
  <c r="Y162" i="1"/>
  <c r="Y165" i="1"/>
  <c r="BP164" i="1"/>
  <c r="BN164" i="1"/>
  <c r="Z164" i="1"/>
  <c r="Z165" i="1" s="1"/>
  <c r="Y166" i="1"/>
  <c r="I601" i="1"/>
  <c r="Y171" i="1"/>
  <c r="BP170" i="1"/>
  <c r="BN170" i="1"/>
  <c r="Z170" i="1"/>
  <c r="Z171" i="1" s="1"/>
  <c r="Y172" i="1"/>
  <c r="Y183" i="1"/>
  <c r="Y184" i="1"/>
  <c r="BP174" i="1"/>
  <c r="BN174" i="1"/>
  <c r="Z174" i="1"/>
  <c r="Z183" i="1" s="1"/>
  <c r="Z226" i="1"/>
  <c r="Z178" i="1"/>
  <c r="BN178" i="1"/>
  <c r="Z179" i="1"/>
  <c r="BN179" i="1"/>
  <c r="Z181" i="1"/>
  <c r="BN181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BN308" i="1"/>
  <c r="BP308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Y193" i="1"/>
  <c r="Y238" i="1"/>
  <c r="Y262" i="1"/>
  <c r="Y267" i="1"/>
  <c r="Y274" i="1"/>
  <c r="Y283" i="1"/>
  <c r="Y288" i="1"/>
  <c r="Y301" i="1"/>
  <c r="Y306" i="1"/>
  <c r="Z309" i="1"/>
  <c r="BN309" i="1"/>
  <c r="Y310" i="1"/>
  <c r="BP322" i="1"/>
  <c r="BN322" i="1"/>
  <c r="Z322" i="1"/>
  <c r="BP330" i="1"/>
  <c r="BN330" i="1"/>
  <c r="Z330" i="1"/>
  <c r="BP338" i="1"/>
  <c r="BN338" i="1"/>
  <c r="Z338" i="1"/>
  <c r="Y354" i="1"/>
  <c r="Y360" i="1"/>
  <c r="Y365" i="1"/>
  <c r="Y371" i="1"/>
  <c r="Y385" i="1"/>
  <c r="Y391" i="1"/>
  <c r="Y400" i="1"/>
  <c r="Y409" i="1"/>
  <c r="Y413" i="1"/>
  <c r="Y422" i="1"/>
  <c r="Y443" i="1"/>
  <c r="Y447" i="1"/>
  <c r="Y454" i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2" i="1"/>
  <c r="BN512" i="1"/>
  <c r="Z512" i="1"/>
  <c r="BP516" i="1"/>
  <c r="BN516" i="1"/>
  <c r="Z516" i="1"/>
  <c r="Z601" i="1"/>
  <c r="Y316" i="1"/>
  <c r="U601" i="1"/>
  <c r="Y325" i="1"/>
  <c r="Z349" i="1"/>
  <c r="BN349" i="1"/>
  <c r="BP349" i="1"/>
  <c r="Z350" i="1"/>
  <c r="BN350" i="1"/>
  <c r="Z352" i="1"/>
  <c r="BN352" i="1"/>
  <c r="Z356" i="1"/>
  <c r="Z359" i="1" s="1"/>
  <c r="BN356" i="1"/>
  <c r="BP356" i="1"/>
  <c r="Z358" i="1"/>
  <c r="BN358" i="1"/>
  <c r="Z363" i="1"/>
  <c r="Z364" i="1" s="1"/>
  <c r="BN363" i="1"/>
  <c r="BP363" i="1"/>
  <c r="Y364" i="1"/>
  <c r="Z367" i="1"/>
  <c r="BN367" i="1"/>
  <c r="BP367" i="1"/>
  <c r="Z369" i="1"/>
  <c r="BN369" i="1"/>
  <c r="Z375" i="1"/>
  <c r="Z385" i="1" s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Z398" i="1"/>
  <c r="Z399" i="1" s="1"/>
  <c r="BN398" i="1"/>
  <c r="BP398" i="1"/>
  <c r="Z403" i="1"/>
  <c r="BN403" i="1"/>
  <c r="BP403" i="1"/>
  <c r="Z405" i="1"/>
  <c r="BN405" i="1"/>
  <c r="Z407" i="1"/>
  <c r="BN407" i="1"/>
  <c r="Y408" i="1"/>
  <c r="Z411" i="1"/>
  <c r="Z413" i="1" s="1"/>
  <c r="BN411" i="1"/>
  <c r="BP411" i="1"/>
  <c r="Z418" i="1"/>
  <c r="Z421" i="1" s="1"/>
  <c r="BN418" i="1"/>
  <c r="Z420" i="1"/>
  <c r="BN420" i="1"/>
  <c r="Z430" i="1"/>
  <c r="Z442" i="1" s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Z457" i="1"/>
  <c r="Z460" i="1" s="1"/>
  <c r="BN457" i="1"/>
  <c r="Z458" i="1"/>
  <c r="BN458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3" i="1"/>
  <c r="BN513" i="1"/>
  <c r="Z513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65" i="1" l="1"/>
  <c r="Z523" i="1"/>
  <c r="Z528" i="1"/>
  <c r="Z408" i="1"/>
  <c r="Z370" i="1"/>
  <c r="Z353" i="1"/>
  <c r="Z332" i="1"/>
  <c r="Z55" i="1"/>
  <c r="Y591" i="1"/>
  <c r="Y593" i="1"/>
  <c r="Z28" i="1"/>
  <c r="Z547" i="1"/>
  <c r="Z517" i="1"/>
  <c r="Z310" i="1"/>
  <c r="Y595" i="1"/>
  <c r="Y592" i="1"/>
  <c r="Y594" i="1" s="1"/>
  <c r="Z596" i="1" l="1"/>
</calcChain>
</file>

<file path=xl/sharedStrings.xml><?xml version="1.0" encoding="utf-8"?>
<sst xmlns="http://schemas.openxmlformats.org/spreadsheetml/2006/main" count="2728" uniqueCount="967">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</sst>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3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45765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Пятница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480</v>
      </c>
      <c r="Y38" s="664">
        <f>IFERROR(IF(X38="",0,CEILING((X38/$H38),1)*$H38),"")</f>
        <v>480</v>
      </c>
      <c r="Z38" s="36">
        <f>IFERROR(IF(Y38=0,"",ROUNDUP(Y38/H38,0)*0.00902),"")</f>
        <v>1.0824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505.2</v>
      </c>
      <c r="BN38" s="64">
        <f>IFERROR(Y38*I38/H38,"0")</f>
        <v>505.2</v>
      </c>
      <c r="BO38" s="64">
        <f>IFERROR(1/J38*(X38/H38),"0")</f>
        <v>0.90909090909090917</v>
      </c>
      <c r="BP38" s="64">
        <f>IFERROR(1/J38*(Y38/H38),"0")</f>
        <v>0.90909090909090917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120</v>
      </c>
      <c r="Y41" s="665">
        <f>IFERROR(Y37/H37,"0")+IFERROR(Y38/H38,"0")+IFERROR(Y39/H39,"0")+IFERROR(Y40/H40,"0")</f>
        <v>120</v>
      </c>
      <c r="Z41" s="665">
        <f>IFERROR(IF(Z37="",0,Z37),"0")+IFERROR(IF(Z38="",0,Z38),"0")+IFERROR(IF(Z39="",0,Z39),"0")+IFERROR(IF(Z40="",0,Z40),"0")</f>
        <v>1.0824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480</v>
      </c>
      <c r="Y42" s="665">
        <f>IFERROR(SUM(Y37:Y40),"0")</f>
        <v>480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125</v>
      </c>
      <c r="AG50" s="64"/>
      <c r="AJ50" s="68" t="s">
        <v>126</v>
      </c>
      <c r="AK50" s="68">
        <v>86.4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166.5</v>
      </c>
      <c r="Y54" s="664">
        <f t="shared" si="6"/>
        <v>166.5</v>
      </c>
      <c r="Z54" s="36">
        <f>IFERROR(IF(Y54=0,"",ROUNDUP(Y54/H54,0)*0.00902),"")</f>
        <v>0.33374000000000004</v>
      </c>
      <c r="AA54" s="56"/>
      <c r="AB54" s="57"/>
      <c r="AC54" s="103" t="s">
        <v>125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174.27</v>
      </c>
      <c r="BN54" s="64">
        <f t="shared" si="8"/>
        <v>174.27</v>
      </c>
      <c r="BO54" s="64">
        <f t="shared" si="9"/>
        <v>0.28030303030303033</v>
      </c>
      <c r="BP54" s="64">
        <f t="shared" si="10"/>
        <v>0.28030303030303033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37</v>
      </c>
      <c r="Y55" s="665">
        <f>IFERROR(Y49/H49,"0")+IFERROR(Y50/H50,"0")+IFERROR(Y51/H51,"0")+IFERROR(Y52/H52,"0")+IFERROR(Y53/H53,"0")+IFERROR(Y54/H54,"0")</f>
        <v>37</v>
      </c>
      <c r="Z55" s="665">
        <f>IFERROR(IF(Z49="",0,Z49),"0")+IFERROR(IF(Z50="",0,Z50),"0")+IFERROR(IF(Z51="",0,Z51),"0")+IFERROR(IF(Z52="",0,Z52),"0")+IFERROR(IF(Z53="",0,Z53),"0")+IFERROR(IF(Z54="",0,Z54),"0")</f>
        <v>0.33374000000000004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166.5</v>
      </c>
      <c r="Y56" s="665">
        <f>IFERROR(SUM(Y49:Y54),"0")</f>
        <v>166.5</v>
      </c>
      <c r="Z56" s="37"/>
      <c r="AA56" s="666"/>
      <c r="AB56" s="666"/>
      <c r="AC56" s="666"/>
    </row>
    <row r="57" spans="1:68" ht="14.25" customHeight="1" x14ac:dyDescent="0.25">
      <c r="A57" s="679" t="s">
        <v>138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37.799999999999997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149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175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183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306</v>
      </c>
      <c r="Y89" s="664">
        <f>IFERROR(IF(X89="",0,CEILING((X89/$H89),1)*$H89),"")</f>
        <v>306</v>
      </c>
      <c r="Z89" s="36">
        <f>IFERROR(IF(Y89=0,"",ROUNDUP(Y89/H89,0)*0.00902),"")</f>
        <v>0.61336000000000002</v>
      </c>
      <c r="AA89" s="56"/>
      <c r="AB89" s="57"/>
      <c r="AC89" s="141" t="s">
        <v>191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320.27999999999997</v>
      </c>
      <c r="BN89" s="64">
        <f>IFERROR(Y89*I89/H89,"0")</f>
        <v>320.27999999999997</v>
      </c>
      <c r="BO89" s="64">
        <f>IFERROR(1/J89*(X89/H89),"0")</f>
        <v>0.51515151515151514</v>
      </c>
      <c r="BP89" s="64">
        <f>IFERROR(1/J89*(Y89/H89),"0")</f>
        <v>0.51515151515151514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68</v>
      </c>
      <c r="Y90" s="665">
        <f>IFERROR(Y87/H87,"0")+IFERROR(Y88/H88,"0")+IFERROR(Y89/H89,"0")</f>
        <v>68</v>
      </c>
      <c r="Z90" s="665">
        <f>IFERROR(IF(Z87="",0,Z87),"0")+IFERROR(IF(Z88="",0,Z88),"0")+IFERROR(IF(Z89="",0,Z89),"0")</f>
        <v>0.61336000000000002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306</v>
      </c>
      <c r="Y91" s="665">
        <f>IFERROR(SUM(Y87:Y89),"0")</f>
        <v>306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1" t="s">
        <v>197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201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203</v>
      </c>
      <c r="B97" s="54" t="s">
        <v>204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134</v>
      </c>
      <c r="N97" s="33"/>
      <c r="O97" s="32">
        <v>45</v>
      </c>
      <c r="P97" s="766" t="s">
        <v>205</v>
      </c>
      <c r="Q97" s="670"/>
      <c r="R97" s="670"/>
      <c r="S97" s="670"/>
      <c r="T97" s="671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198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203</v>
      </c>
      <c r="B98" s="54" t="s">
        <v>206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43" t="s">
        <v>207</v>
      </c>
      <c r="Q98" s="670"/>
      <c r="R98" s="670"/>
      <c r="S98" s="670"/>
      <c r="T98" s="671"/>
      <c r="U98" s="34"/>
      <c r="V98" s="34"/>
      <c r="W98" s="35" t="s">
        <v>69</v>
      </c>
      <c r="X98" s="663">
        <v>221.4</v>
      </c>
      <c r="Y98" s="664">
        <f t="shared" si="16"/>
        <v>221.4</v>
      </c>
      <c r="Z98" s="36">
        <f>IFERROR(IF(Y98=0,"",ROUNDUP(Y98/H98,0)*0.00651),"")</f>
        <v>0.53381999999999996</v>
      </c>
      <c r="AA98" s="56"/>
      <c r="AB98" s="57"/>
      <c r="AC98" s="153" t="s">
        <v>194</v>
      </c>
      <c r="AG98" s="64"/>
      <c r="AJ98" s="68"/>
      <c r="AK98" s="68">
        <v>0</v>
      </c>
      <c r="BB98" s="154" t="s">
        <v>1</v>
      </c>
      <c r="BM98" s="64">
        <f t="shared" si="17"/>
        <v>242.06399999999999</v>
      </c>
      <c r="BN98" s="64">
        <f t="shared" si="18"/>
        <v>242.06399999999999</v>
      </c>
      <c r="BO98" s="64">
        <f t="shared" si="19"/>
        <v>0.45054945054945056</v>
      </c>
      <c r="BP98" s="64">
        <f t="shared" si="20"/>
        <v>0.45054945054945056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82</v>
      </c>
      <c r="Y102" s="665">
        <f>IFERROR(Y93/H93,"0")+IFERROR(Y94/H94,"0")+IFERROR(Y95/H95,"0")+IFERROR(Y96/H96,"0")+IFERROR(Y97/H97,"0")+IFERROR(Y98/H98,"0")+IFERROR(Y99/H99,"0")+IFERROR(Y100/H100,"0")+IFERROR(Y101/H101,"0")</f>
        <v>82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0.53381999999999996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221.4</v>
      </c>
      <c r="Y103" s="665">
        <f>IFERROR(SUM(Y93:Y101),"0")</f>
        <v>221.4</v>
      </c>
      <c r="Z103" s="37"/>
      <c r="AA103" s="666"/>
      <c r="AB103" s="666"/>
      <c r="AC103" s="666"/>
    </row>
    <row r="104" spans="1:68" ht="16.5" customHeight="1" x14ac:dyDescent="0.25">
      <c r="A104" s="716" t="s">
        <v>214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909</v>
      </c>
      <c r="Y108" s="664">
        <f>IFERROR(IF(X108="",0,CEILING((X108/$H108),1)*$H108),"")</f>
        <v>909</v>
      </c>
      <c r="Z108" s="36">
        <f>IFERROR(IF(Y108=0,"",ROUNDUP(Y108/H108,0)*0.00902),"")</f>
        <v>1.8220400000000001</v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951.42000000000007</v>
      </c>
      <c r="BN108" s="64">
        <f>IFERROR(Y108*I108/H108,"0")</f>
        <v>951.42000000000007</v>
      </c>
      <c r="BO108" s="64">
        <f>IFERROR(1/J108*(X108/H108),"0")</f>
        <v>1.5303030303030303</v>
      </c>
      <c r="BP108" s="64">
        <f>IFERROR(1/J108*(Y108/H108),"0")</f>
        <v>1.5303030303030303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202</v>
      </c>
      <c r="Y110" s="665">
        <f>IFERROR(Y106/H106,"0")+IFERROR(Y107/H107,"0")+IFERROR(Y108/H108,"0")+IFERROR(Y109/H109,"0")</f>
        <v>202</v>
      </c>
      <c r="Z110" s="665">
        <f>IFERROR(IF(Z106="",0,Z106),"0")+IFERROR(IF(Z107="",0,Z107),"0")+IFERROR(IF(Z108="",0,Z108),"0")+IFERROR(IF(Z109="",0,Z109),"0")</f>
        <v>1.8220400000000001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909</v>
      </c>
      <c r="Y111" s="665">
        <f>IFERROR(SUM(Y106:Y109),"0")</f>
        <v>909</v>
      </c>
      <c r="Z111" s="37"/>
      <c r="AA111" s="666"/>
      <c r="AB111" s="666"/>
      <c r="AC111" s="666"/>
    </row>
    <row r="112" spans="1:68" ht="14.25" customHeight="1" x14ac:dyDescent="0.25">
      <c r="A112" s="679" t="s">
        <v>138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231</v>
      </c>
      <c r="B120" s="54" t="s">
        <v>234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37.5" customHeight="1" x14ac:dyDescent="0.25">
      <c r="A122" s="54" t="s">
        <v>239</v>
      </c>
      <c r="B122" s="54" t="s">
        <v>240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239</v>
      </c>
      <c r="B123" s="54" t="s">
        <v>241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242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243</v>
      </c>
      <c r="B124" s="54" t="s">
        <v>244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218.7</v>
      </c>
      <c r="Y124" s="664">
        <f t="shared" si="21"/>
        <v>218.70000000000002</v>
      </c>
      <c r="Z124" s="36">
        <f t="shared" si="26"/>
        <v>0.52731000000000006</v>
      </c>
      <c r="AA124" s="56"/>
      <c r="AB124" s="57"/>
      <c r="AC124" s="185" t="s">
        <v>233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239.11199999999997</v>
      </c>
      <c r="BN124" s="64">
        <f t="shared" si="23"/>
        <v>239.11199999999997</v>
      </c>
      <c r="BO124" s="64">
        <f t="shared" si="24"/>
        <v>0.44505494505494503</v>
      </c>
      <c r="BP124" s="64">
        <f t="shared" si="25"/>
        <v>0.44505494505494508</v>
      </c>
    </row>
    <row r="125" spans="1:68" ht="27" customHeight="1" x14ac:dyDescent="0.25">
      <c r="A125" s="54" t="s">
        <v>243</v>
      </c>
      <c r="B125" s="54" t="s">
        <v>245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3" t="s">
        <v>246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247</v>
      </c>
      <c r="B126" s="54" t="s">
        <v>248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250</v>
      </c>
      <c r="B127" s="54" t="s">
        <v>251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80.999999999999986</v>
      </c>
      <c r="Y128" s="665">
        <f>IFERROR(Y119/H119,"0")+IFERROR(Y120/H120,"0")+IFERROR(Y121/H121,"0")+IFERROR(Y122/H122,"0")+IFERROR(Y123/H123,"0")+IFERROR(Y124/H124,"0")+IFERROR(Y125/H125,"0")+IFERROR(Y126/H126,"0")+IFERROR(Y127/H127,"0")</f>
        <v>81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0.52731000000000006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218.7</v>
      </c>
      <c r="Y129" s="665">
        <f>IFERROR(SUM(Y119:Y127),"0")</f>
        <v>218.70000000000002</v>
      </c>
      <c r="Z129" s="37"/>
      <c r="AA129" s="666"/>
      <c r="AB129" s="666"/>
      <c r="AC129" s="666"/>
    </row>
    <row r="130" spans="1:68" ht="14.25" customHeight="1" x14ac:dyDescent="0.25">
      <c r="A130" s="679" t="s">
        <v>175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253</v>
      </c>
      <c r="B131" s="54" t="s">
        <v>254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256</v>
      </c>
      <c r="B132" s="54" t="s">
        <v>257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259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260</v>
      </c>
      <c r="B137" s="54" t="s">
        <v>261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260</v>
      </c>
      <c r="B138" s="54" t="s">
        <v>263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149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264</v>
      </c>
      <c r="B142" s="54" t="s">
        <v>265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264</v>
      </c>
      <c r="B143" s="54" t="s">
        <v>267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268</v>
      </c>
      <c r="B147" s="54" t="s">
        <v>269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268</v>
      </c>
      <c r="B148" s="54" t="s">
        <v>270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271</v>
      </c>
      <c r="B153" s="54" t="s">
        <v>272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149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274</v>
      </c>
      <c r="B157" s="54" t="s">
        <v>275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277</v>
      </c>
      <c r="B158" s="54" t="s">
        <v>278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280</v>
      </c>
      <c r="B159" s="54" t="s">
        <v>281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283</v>
      </c>
      <c r="B160" s="54" t="s">
        <v>284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285</v>
      </c>
      <c r="B164" s="54" t="s">
        <v>286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289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138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290</v>
      </c>
      <c r="B170" s="54" t="s">
        <v>291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149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293</v>
      </c>
      <c r="B174" s="54" t="s">
        <v>294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306</v>
      </c>
      <c r="B179" s="54" t="s">
        <v>307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85" t="s">
        <v>308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310</v>
      </c>
      <c r="B180" s="54" t="s">
        <v>311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312</v>
      </c>
      <c r="B181" s="54" t="s">
        <v>313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317</v>
      </c>
      <c r="B186" s="54" t="s">
        <v>318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04" t="s">
        <v>321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324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325</v>
      </c>
      <c r="B191" s="54" t="s">
        <v>326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328</v>
      </c>
      <c r="B192" s="54" t="s">
        <v>329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138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330</v>
      </c>
      <c r="B196" s="54" t="s">
        <v>331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333</v>
      </c>
      <c r="B197" s="54" t="s">
        <v>334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149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335</v>
      </c>
      <c r="B201" s="54" t="s">
        <v>336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338</v>
      </c>
      <c r="B202" s="54" t="s">
        <v>339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347</v>
      </c>
      <c r="B205" s="54" t="s">
        <v>348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349</v>
      </c>
      <c r="B206" s="54" t="s">
        <v>350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353</v>
      </c>
      <c r="B208" s="54" t="s">
        <v>354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355</v>
      </c>
      <c r="B212" s="54" t="s">
        <v>356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358</v>
      </c>
      <c r="B213" s="54" t="s">
        <v>359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361</v>
      </c>
      <c r="B214" s="54" t="s">
        <v>362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364</v>
      </c>
      <c r="B215" s="54" t="s">
        <v>365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436.8</v>
      </c>
      <c r="Y215" s="664">
        <f t="shared" si="37"/>
        <v>436.8</v>
      </c>
      <c r="Z215" s="36">
        <f t="shared" ref="Z215:Z220" si="42">IFERROR(IF(Y215=0,"",ROUNDUP(Y215/H215,0)*0.00651),"")</f>
        <v>1.18482</v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485.94000000000005</v>
      </c>
      <c r="BN215" s="64">
        <f t="shared" si="39"/>
        <v>485.94000000000005</v>
      </c>
      <c r="BO215" s="64">
        <f t="shared" si="40"/>
        <v>1</v>
      </c>
      <c r="BP215" s="64">
        <f t="shared" si="41"/>
        <v>1</v>
      </c>
    </row>
    <row r="216" spans="1:68" ht="27" customHeight="1" x14ac:dyDescent="0.25">
      <c r="A216" s="54" t="s">
        <v>366</v>
      </c>
      <c r="B216" s="54" t="s">
        <v>367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369</v>
      </c>
      <c r="B217" s="54" t="s">
        <v>370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302.39999999999998</v>
      </c>
      <c r="Y217" s="664">
        <f t="shared" si="37"/>
        <v>302.39999999999998</v>
      </c>
      <c r="Z217" s="36">
        <f t="shared" si="42"/>
        <v>0.82025999999999999</v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334.15199999999999</v>
      </c>
      <c r="BN217" s="64">
        <f t="shared" si="39"/>
        <v>334.15199999999999</v>
      </c>
      <c r="BO217" s="64">
        <f t="shared" si="40"/>
        <v>0.6923076923076924</v>
      </c>
      <c r="BP217" s="64">
        <f t="shared" si="41"/>
        <v>0.6923076923076924</v>
      </c>
    </row>
    <row r="218" spans="1:68" ht="27" customHeight="1" x14ac:dyDescent="0.25">
      <c r="A218" s="54" t="s">
        <v>371</v>
      </c>
      <c r="B218" s="54" t="s">
        <v>372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308</v>
      </c>
      <c r="Y221" s="665">
        <f>IFERROR(Y212/H212,"0")+IFERROR(Y213/H213,"0")+IFERROR(Y214/H214,"0")+IFERROR(Y215/H215,"0")+IFERROR(Y216/H216,"0")+IFERROR(Y217/H217,"0")+IFERROR(Y218/H218,"0")+IFERROR(Y219/H219,"0")+IFERROR(Y220/H220,"0")</f>
        <v>308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2.00508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739.2</v>
      </c>
      <c r="Y222" s="665">
        <f>IFERROR(SUM(Y212:Y220),"0")</f>
        <v>739.2</v>
      </c>
      <c r="Z222" s="37"/>
      <c r="AA222" s="666"/>
      <c r="AB222" s="666"/>
      <c r="AC222" s="666"/>
    </row>
    <row r="223" spans="1:68" ht="14.25" customHeight="1" x14ac:dyDescent="0.25">
      <c r="A223" s="679" t="s">
        <v>175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379</v>
      </c>
      <c r="B224" s="54" t="s">
        <v>380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382</v>
      </c>
      <c r="B225" s="54" t="s">
        <v>383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716" t="s">
        <v>385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386</v>
      </c>
      <c r="B230" s="54" t="s">
        <v>387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386</v>
      </c>
      <c r="B231" s="54" t="s">
        <v>389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392</v>
      </c>
      <c r="B232" s="54" t="s">
        <v>393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395</v>
      </c>
      <c r="B233" s="54" t="s">
        <v>396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395</v>
      </c>
      <c r="B234" s="54" t="s">
        <v>398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401</v>
      </c>
      <c r="B236" s="54" t="s">
        <v>402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403</v>
      </c>
      <c r="B237" s="54" t="s">
        <v>404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138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405</v>
      </c>
      <c r="B241" s="54" t="s">
        <v>406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0" t="s">
        <v>407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405</v>
      </c>
      <c r="B242" s="54" t="s">
        <v>409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410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411</v>
      </c>
      <c r="B246" s="54" t="s">
        <v>412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814" t="s">
        <v>413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415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416</v>
      </c>
      <c r="B250" s="54" t="s">
        <v>417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75" t="s">
        <v>418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420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421</v>
      </c>
      <c r="B255" s="54" t="s">
        <v>422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424</v>
      </c>
      <c r="B256" s="54" t="s">
        <v>425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424</v>
      </c>
      <c r="B257" s="54" t="s">
        <v>427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429</v>
      </c>
      <c r="B258" s="54" t="s">
        <v>430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432</v>
      </c>
      <c r="B259" s="54" t="s">
        <v>433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435</v>
      </c>
      <c r="B260" s="54" t="s">
        <v>436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438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439</v>
      </c>
      <c r="B265" s="54" t="s">
        <v>440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442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443</v>
      </c>
      <c r="B270" s="54" t="s">
        <v>444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445</v>
      </c>
      <c r="B271" s="54" t="s">
        <v>446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448</v>
      </c>
      <c r="B272" s="54" t="s">
        <v>449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451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452</v>
      </c>
      <c r="B277" s="54" t="s">
        <v>453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455</v>
      </c>
      <c r="B278" s="54" t="s">
        <v>456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458</v>
      </c>
      <c r="B279" s="54" t="s">
        <v>459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124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126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customHeight="1" x14ac:dyDescent="0.25">
      <c r="A284" s="716" t="s">
        <v>465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466</v>
      </c>
      <c r="B286" s="54" t="s">
        <v>467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149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469</v>
      </c>
      <c r="B290" s="54" t="s">
        <v>470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472</v>
      </c>
      <c r="B294" s="54" t="s">
        <v>473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475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476</v>
      </c>
      <c r="B299" s="54" t="s">
        <v>477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479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480</v>
      </c>
      <c r="B304" s="54" t="s">
        <v>481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149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482</v>
      </c>
      <c r="B308" s="54" t="s">
        <v>483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485</v>
      </c>
      <c r="B309" s="54" t="s">
        <v>486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487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488</v>
      </c>
      <c r="B314" s="54" t="s">
        <v>489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492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493</v>
      </c>
      <c r="B319" s="54" t="s">
        <v>494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/>
      <c r="M320" s="33" t="s">
        <v>108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498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496</v>
      </c>
      <c r="B321" s="54" t="s">
        <v>499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149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175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149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756</v>
      </c>
      <c r="Y368" s="664">
        <f>IFERROR(IF(X368="",0,CEILING((X368/$H368),1)*$H368),"")</f>
        <v>756</v>
      </c>
      <c r="Z368" s="36">
        <f>IFERROR(IF(Y368=0,"",ROUNDUP(Y368/H368,0)*0.00651),"")</f>
        <v>2.3435999999999999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846.71999999999991</v>
      </c>
      <c r="BN368" s="64">
        <f>IFERROR(Y368*I368/H368,"0")</f>
        <v>846.71999999999991</v>
      </c>
      <c r="BO368" s="64">
        <f>IFERROR(1/J368*(X368/H368),"0")</f>
        <v>1.9780219780219781</v>
      </c>
      <c r="BP368" s="64">
        <f>IFERROR(1/J368*(Y368/H368),"0")</f>
        <v>1.9780219780219781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340.2</v>
      </c>
      <c r="Y369" s="664">
        <f>IFERROR(IF(X369="",0,CEILING((X369/$H369),1)*$H369),"")</f>
        <v>340.2</v>
      </c>
      <c r="Z369" s="36">
        <f>IFERROR(IF(Y369=0,"",ROUNDUP(Y369/H369,0)*0.00651),"")</f>
        <v>1.0546200000000001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379.07999999999993</v>
      </c>
      <c r="BN369" s="64">
        <f>IFERROR(Y369*I369/H369,"0")</f>
        <v>379.07999999999993</v>
      </c>
      <c r="BO369" s="64">
        <f>IFERROR(1/J369*(X369/H369),"0")</f>
        <v>0.89010989010989017</v>
      </c>
      <c r="BP369" s="64">
        <f>IFERROR(1/J369*(Y369/H369),"0")</f>
        <v>0.89010989010989017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522</v>
      </c>
      <c r="Y370" s="665">
        <f>IFERROR(Y367/H367,"0")+IFERROR(Y368/H368,"0")+IFERROR(Y369/H369,"0")</f>
        <v>522</v>
      </c>
      <c r="Z370" s="665">
        <f>IFERROR(IF(Z367="",0,Z367),"0")+IFERROR(IF(Z368="",0,Z368),"0")+IFERROR(IF(Z369="",0,Z369),"0")</f>
        <v>3.3982200000000002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1096.2</v>
      </c>
      <c r="Y371" s="665">
        <f>IFERROR(SUM(Y367:Y369),"0")</f>
        <v>1096.2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107</v>
      </c>
      <c r="M375" s="33" t="s">
        <v>68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583</v>
      </c>
      <c r="AG375" s="64"/>
      <c r="AJ375" s="68" t="s">
        <v>109</v>
      </c>
      <c r="AK375" s="68">
        <v>720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581</v>
      </c>
      <c r="B376" s="54" t="s">
        <v>584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107</v>
      </c>
      <c r="M377" s="33" t="s">
        <v>68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588</v>
      </c>
      <c r="AG377" s="64"/>
      <c r="AJ377" s="68" t="s">
        <v>109</v>
      </c>
      <c r="AK377" s="68">
        <v>720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589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67">
        <v>4607091383997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IFERROR(IF(Y379=0,"",ROUNDUP(Y379/H379,0)*0.02175),"")</f>
        <v/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37.5" customHeight="1" x14ac:dyDescent="0.25">
      <c r="A380" s="54" t="s">
        <v>593</v>
      </c>
      <c r="B380" s="54" t="s">
        <v>594</v>
      </c>
      <c r="C380" s="31">
        <v>4301011867</v>
      </c>
      <c r="D380" s="667">
        <v>4680115884830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107</v>
      </c>
      <c r="M380" s="33" t="s">
        <v>68</v>
      </c>
      <c r="N380" s="33"/>
      <c r="O380" s="32">
        <v>60</v>
      </c>
      <c r="P380" s="87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109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593</v>
      </c>
      <c r="B381" s="54" t="s">
        <v>596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0</v>
      </c>
      <c r="Y386" s="665">
        <f>IFERROR(SUM(Y375:Y384),"0")</f>
        <v>0</v>
      </c>
      <c r="Z386" s="37"/>
      <c r="AA386" s="666"/>
      <c r="AB386" s="666"/>
      <c r="AC386" s="666"/>
    </row>
    <row r="387" spans="1:68" ht="14.25" customHeight="1" x14ac:dyDescent="0.25">
      <c r="A387" s="679" t="s">
        <v>138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0</v>
      </c>
      <c r="Y388" s="664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0</v>
      </c>
      <c r="Y390" s="665">
        <f>IFERROR(Y388/H388,"0")+IFERROR(Y389/H389,"0")</f>
        <v>0</v>
      </c>
      <c r="Z390" s="665">
        <f>IFERROR(IF(Z388="",0,Z388),"0")+IFERROR(IF(Z389="",0,Z389),"0")</f>
        <v>0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0</v>
      </c>
      <c r="Y391" s="665">
        <f>IFERROR(SUM(Y388:Y389),"0")</f>
        <v>0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175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149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175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149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138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149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31.5</v>
      </c>
      <c r="Y459" s="664">
        <f>IFERROR(IF(X459="",0,CEILING((X459/$H459),1)*$H459),"")</f>
        <v>31.5</v>
      </c>
      <c r="Z459" s="36">
        <f>IFERROR(IF(Y459=0,"",ROUNDUP(Y459/H459,0)*0.00502),"")</f>
        <v>7.5300000000000006E-2</v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33.450000000000003</v>
      </c>
      <c r="BN459" s="64">
        <f>IFERROR(Y459*I459/H459,"0")</f>
        <v>33.450000000000003</v>
      </c>
      <c r="BO459" s="64">
        <f>IFERROR(1/J459*(X459/H459),"0")</f>
        <v>6.4102564102564111E-2</v>
      </c>
      <c r="BP459" s="64">
        <f>IFERROR(1/J459*(Y459/H459),"0")</f>
        <v>6.4102564102564111E-2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15</v>
      </c>
      <c r="Y460" s="665">
        <f>IFERROR(Y456/H456,"0")+IFERROR(Y457/H457,"0")+IFERROR(Y458/H458,"0")+IFERROR(Y459/H459,"0")</f>
        <v>15</v>
      </c>
      <c r="Z460" s="665">
        <f>IFERROR(IF(Z456="",0,Z456),"0")+IFERROR(IF(Z457="",0,Z457),"0")+IFERROR(IF(Z458="",0,Z458),"0")+IFERROR(IF(Z459="",0,Z459),"0")</f>
        <v>7.5300000000000006E-2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31.5</v>
      </c>
      <c r="Y461" s="665">
        <f>IFERROR(SUM(Y456:Y459),"0")</f>
        <v>31.5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149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149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175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0</v>
      </c>
      <c r="Y483" s="664">
        <f t="shared" si="69"/>
        <v>0</v>
      </c>
      <c r="Z483" s="36" t="str">
        <f>IFERROR(IF(Y483=0,"",ROUNDUP(Y483/H483,0)*0.01196),"")</f>
        <v/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0</v>
      </c>
      <c r="BN483" s="64">
        <f t="shared" si="71"/>
        <v>0</v>
      </c>
      <c r="BO483" s="64">
        <f t="shared" si="72"/>
        <v>0</v>
      </c>
      <c r="BP483" s="64">
        <f t="shared" si="73"/>
        <v>0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0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0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0</v>
      </c>
      <c r="Y496" s="665">
        <f>IFERROR(SUM(Y480:Y494),"0")</f>
        <v>0</v>
      </c>
      <c r="Z496" s="37"/>
      <c r="AA496" s="666"/>
      <c r="AB496" s="666"/>
      <c r="AC496" s="666"/>
    </row>
    <row r="497" spans="1:68" ht="14.25" customHeight="1" x14ac:dyDescent="0.25">
      <c r="A497" s="679" t="s">
        <v>138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774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25" t="s">
        <v>775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79" t="s">
        <v>149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0</v>
      </c>
      <c r="Y505" s="664">
        <f t="shared" ref="Y505:Y516" si="74"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0</v>
      </c>
      <c r="BN505" s="64">
        <f t="shared" ref="BN505:BN516" si="76">IFERROR(Y505*I505/H505,"0")</f>
        <v>0</v>
      </c>
      <c r="BO505" s="64">
        <f t="shared" ref="BO505:BO516" si="77">IFERROR(1/J505*(X505/H505),"0")</f>
        <v>0</v>
      </c>
      <c r="BP505" s="64">
        <f t="shared" ref="BP505:BP516" si="78">IFERROR(1/J505*(Y505/H505),"0")</f>
        <v>0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0</v>
      </c>
      <c r="Y506" s="664">
        <f t="shared" si="74"/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1029" t="s">
        <v>802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4301031253</v>
      </c>
      <c r="D514" s="667">
        <v>4680115882096</v>
      </c>
      <c r="E514" s="668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813</v>
      </c>
      <c r="C515" s="31">
        <v>4301031417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2" t="s">
        <v>814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810</v>
      </c>
      <c r="B516" s="54" t="s">
        <v>815</v>
      </c>
      <c r="C516" s="31">
        <v>4301031384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6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0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0</v>
      </c>
      <c r="Y518" s="665">
        <f>IFERROR(SUM(Y505:Y516),"0")</f>
        <v>0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175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138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149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175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918</v>
      </c>
      <c r="B570" s="54" t="s">
        <v>919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138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149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4168.5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4168.5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4511.6880000000001</v>
      </c>
      <c r="Y592" s="665">
        <f>IFERROR(SUM(BN22:BN588),"0")</f>
        <v>4511.6880000000001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9</v>
      </c>
      <c r="Y593" s="38">
        <f>ROUNDUP(SUM(BP22:BP588),0)</f>
        <v>9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4736.6880000000001</v>
      </c>
      <c r="Y594" s="665">
        <f>GrossWeightTotalR+PalletQtyTotalR*25</f>
        <v>4736.6880000000001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1435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1435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10.39127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288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183</v>
      </c>
      <c r="F599" s="686" t="s">
        <v>214</v>
      </c>
      <c r="G599" s="686" t="s">
        <v>259</v>
      </c>
      <c r="H599" s="686" t="s">
        <v>96</v>
      </c>
      <c r="I599" s="686" t="s">
        <v>289</v>
      </c>
      <c r="J599" s="686" t="s">
        <v>324</v>
      </c>
      <c r="K599" s="686" t="s">
        <v>385</v>
      </c>
      <c r="L599" s="686" t="s">
        <v>420</v>
      </c>
      <c r="M599" s="686" t="s">
        <v>438</v>
      </c>
      <c r="N599" s="661"/>
      <c r="O599" s="686" t="s">
        <v>442</v>
      </c>
      <c r="P599" s="686" t="s">
        <v>451</v>
      </c>
      <c r="Q599" s="686" t="s">
        <v>465</v>
      </c>
      <c r="R599" s="686" t="s">
        <v>475</v>
      </c>
      <c r="S599" s="686" t="s">
        <v>479</v>
      </c>
      <c r="T599" s="686" t="s">
        <v>487</v>
      </c>
      <c r="U599" s="686" t="s">
        <v>492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480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166.5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527.4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1127.7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739.2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1" s="46">
        <f>IFERROR(Y363*1,"0")+IFERROR(Y367*1,"0")+IFERROR(Y368*1,"0")+IFERROR(Y369*1,"0")</f>
        <v>1096.2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31.5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0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9M3G32yGTmwcLU4B4NeKgtRjeBj2i61Q6SS8wl8V5SGZ3WJPBWMlPQ9sBG+UehhUYHtHsgWhd+DNh1jZViZsrg==" saltValue="0nKrnxqs3W5fUS2HN3dy6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4 X89 X124 X375 X377 X380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61 X280" xr:uid="{00000000-0002-0000-0000-000012000000}">
      <formula1>IF(AK50&gt;0,OR(X50=0,AND(IF(X50-AK50&gt;=0,TRUE,FALSE),X50&gt;0,IF(X50/(H50*K50)=ROUND(X50/(H50*K50),0),TRUE,FALSE))),FALSE)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Yx1vG28i6v4uJz2m8jE59wTQtOdF33rQBAb9pgMGAyvYHqjcS13W9jM8FY0i86HF0QYRWOmoc8lDcvYcxBbgIQ==" saltValue="+xEajivDMZEK32n6GsJ7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