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Simf\"/>
    </mc:Choice>
  </mc:AlternateContent>
  <xr:revisionPtr revIDLastSave="0" documentId="13_ncr:1_{2FB8FD29-47D7-4A7C-A8EC-DE168A9FFC1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P516" i="1"/>
  <c r="BO516" i="1"/>
  <c r="BN516" i="1"/>
  <c r="BM516" i="1"/>
  <c r="Z516" i="1"/>
  <c r="Y516" i="1"/>
  <c r="BP515" i="1"/>
  <c r="BO515" i="1"/>
  <c r="BN515" i="1"/>
  <c r="BM515" i="1"/>
  <c r="Z515" i="1"/>
  <c r="Y515" i="1"/>
  <c r="P515" i="1"/>
  <c r="BO514" i="1"/>
  <c r="BM514" i="1"/>
  <c r="Y514" i="1"/>
  <c r="BP514" i="1" s="1"/>
  <c r="P514" i="1"/>
  <c r="BP513" i="1"/>
  <c r="BO513" i="1"/>
  <c r="BN513" i="1"/>
  <c r="BM513" i="1"/>
  <c r="Z513" i="1"/>
  <c r="Y513" i="1"/>
  <c r="BP512" i="1"/>
  <c r="BO512" i="1"/>
  <c r="BN512" i="1"/>
  <c r="BM512" i="1"/>
  <c r="Z512" i="1"/>
  <c r="Y512" i="1"/>
  <c r="P512" i="1"/>
  <c r="BO511" i="1"/>
  <c r="BM511" i="1"/>
  <c r="Y511" i="1"/>
  <c r="BP511" i="1" s="1"/>
  <c r="BO510" i="1"/>
  <c r="BM510" i="1"/>
  <c r="Y510" i="1"/>
  <c r="BP510" i="1" s="1"/>
  <c r="P510" i="1"/>
  <c r="BP509" i="1"/>
  <c r="BO509" i="1"/>
  <c r="BN509" i="1"/>
  <c r="BM509" i="1"/>
  <c r="Z509" i="1"/>
  <c r="Y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Y505" i="1"/>
  <c r="X503" i="1"/>
  <c r="X502" i="1"/>
  <c r="BO501" i="1"/>
  <c r="BM501" i="1"/>
  <c r="Y501" i="1"/>
  <c r="BP501" i="1" s="1"/>
  <c r="BO500" i="1"/>
  <c r="BM500" i="1"/>
  <c r="Y500" i="1"/>
  <c r="BP500" i="1" s="1"/>
  <c r="BO499" i="1"/>
  <c r="BM499" i="1"/>
  <c r="Y499" i="1"/>
  <c r="BP499" i="1" s="1"/>
  <c r="P499" i="1"/>
  <c r="BP498" i="1"/>
  <c r="BO498" i="1"/>
  <c r="BN498" i="1"/>
  <c r="BM498" i="1"/>
  <c r="Z498" i="1"/>
  <c r="Y498" i="1"/>
  <c r="Y502" i="1" s="1"/>
  <c r="X496" i="1"/>
  <c r="X495" i="1"/>
  <c r="BO494" i="1"/>
  <c r="BM494" i="1"/>
  <c r="Y494" i="1"/>
  <c r="BP494" i="1" s="1"/>
  <c r="P494" i="1"/>
  <c r="BP493" i="1"/>
  <c r="BO493" i="1"/>
  <c r="BN493" i="1"/>
  <c r="BM493" i="1"/>
  <c r="Z493" i="1"/>
  <c r="Y493" i="1"/>
  <c r="P493" i="1"/>
  <c r="BO492" i="1"/>
  <c r="BM492" i="1"/>
  <c r="Y492" i="1"/>
  <c r="BP492" i="1" s="1"/>
  <c r="P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BP488" i="1"/>
  <c r="BO488" i="1"/>
  <c r="BN488" i="1"/>
  <c r="BM488" i="1"/>
  <c r="Z488" i="1"/>
  <c r="Y488" i="1"/>
  <c r="P488" i="1"/>
  <c r="BO487" i="1"/>
  <c r="BM487" i="1"/>
  <c r="Y487" i="1"/>
  <c r="BP487" i="1" s="1"/>
  <c r="P487" i="1"/>
  <c r="BP486" i="1"/>
  <c r="BO486" i="1"/>
  <c r="BN486" i="1"/>
  <c r="BM486" i="1"/>
  <c r="Z486" i="1"/>
  <c r="Y486" i="1"/>
  <c r="P486" i="1"/>
  <c r="BO485" i="1"/>
  <c r="BM485" i="1"/>
  <c r="Y485" i="1"/>
  <c r="BP485" i="1" s="1"/>
  <c r="BO484" i="1"/>
  <c r="BM484" i="1"/>
  <c r="Y484" i="1"/>
  <c r="BP484" i="1" s="1"/>
  <c r="P484" i="1"/>
  <c r="BP483" i="1"/>
  <c r="BO483" i="1"/>
  <c r="BN483" i="1"/>
  <c r="BM483" i="1"/>
  <c r="Z483" i="1"/>
  <c r="Y483" i="1"/>
  <c r="P483" i="1"/>
  <c r="BO482" i="1"/>
  <c r="BM482" i="1"/>
  <c r="Y482" i="1"/>
  <c r="BP482" i="1" s="1"/>
  <c r="P482" i="1"/>
  <c r="BP481" i="1"/>
  <c r="BO481" i="1"/>
  <c r="BN481" i="1"/>
  <c r="BM481" i="1"/>
  <c r="Z481" i="1"/>
  <c r="Y481" i="1"/>
  <c r="P481" i="1"/>
  <c r="BO480" i="1"/>
  <c r="BM480" i="1"/>
  <c r="Y480" i="1"/>
  <c r="AC601" i="1" s="1"/>
  <c r="P480" i="1"/>
  <c r="X476" i="1"/>
  <c r="X475" i="1"/>
  <c r="BO474" i="1"/>
  <c r="BM474" i="1"/>
  <c r="Y474" i="1"/>
  <c r="Y475" i="1" s="1"/>
  <c r="P474" i="1"/>
  <c r="X472" i="1"/>
  <c r="X471" i="1"/>
  <c r="BO470" i="1"/>
  <c r="BM470" i="1"/>
  <c r="Y470" i="1"/>
  <c r="Y471" i="1" s="1"/>
  <c r="P470" i="1"/>
  <c r="X467" i="1"/>
  <c r="X466" i="1"/>
  <c r="BO465" i="1"/>
  <c r="BM465" i="1"/>
  <c r="Y465" i="1"/>
  <c r="BP465" i="1" s="1"/>
  <c r="BO464" i="1"/>
  <c r="BM464" i="1"/>
  <c r="Y464" i="1"/>
  <c r="AA601" i="1" s="1"/>
  <c r="P464" i="1"/>
  <c r="X461" i="1"/>
  <c r="X460" i="1"/>
  <c r="BO459" i="1"/>
  <c r="BM459" i="1"/>
  <c r="Y459" i="1"/>
  <c r="BP459" i="1" s="1"/>
  <c r="P459" i="1"/>
  <c r="BP458" i="1"/>
  <c r="BO458" i="1"/>
  <c r="BN458" i="1"/>
  <c r="BM458" i="1"/>
  <c r="Z458" i="1"/>
  <c r="Y458" i="1"/>
  <c r="BP457" i="1"/>
  <c r="BO457" i="1"/>
  <c r="BN457" i="1"/>
  <c r="BM457" i="1"/>
  <c r="Z457" i="1"/>
  <c r="Y457" i="1"/>
  <c r="P457" i="1"/>
  <c r="BO456" i="1"/>
  <c r="BM456" i="1"/>
  <c r="Y456" i="1"/>
  <c r="Y460" i="1" s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Z601" i="1" s="1"/>
  <c r="P451" i="1"/>
  <c r="X448" i="1"/>
  <c r="X447" i="1"/>
  <c r="BO446" i="1"/>
  <c r="BM446" i="1"/>
  <c r="Y446" i="1"/>
  <c r="BP446" i="1" s="1"/>
  <c r="P446" i="1"/>
  <c r="BP445" i="1"/>
  <c r="BO445" i="1"/>
  <c r="BN445" i="1"/>
  <c r="BM445" i="1"/>
  <c r="Z445" i="1"/>
  <c r="Y445" i="1"/>
  <c r="Y447" i="1" s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BP440" i="1" s="1"/>
  <c r="P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P438" i="1"/>
  <c r="BO437" i="1"/>
  <c r="BM437" i="1"/>
  <c r="Y437" i="1"/>
  <c r="BP437" i="1" s="1"/>
  <c r="P437" i="1"/>
  <c r="BP436" i="1"/>
  <c r="BO436" i="1"/>
  <c r="BN436" i="1"/>
  <c r="BM436" i="1"/>
  <c r="Z436" i="1"/>
  <c r="Y436" i="1"/>
  <c r="P436" i="1"/>
  <c r="BO435" i="1"/>
  <c r="BM435" i="1"/>
  <c r="Y435" i="1"/>
  <c r="BP435" i="1" s="1"/>
  <c r="BO434" i="1"/>
  <c r="BM434" i="1"/>
  <c r="Y434" i="1"/>
  <c r="BP434" i="1" s="1"/>
  <c r="P434" i="1"/>
  <c r="BP433" i="1"/>
  <c r="BO433" i="1"/>
  <c r="BN433" i="1"/>
  <c r="BM433" i="1"/>
  <c r="Z433" i="1"/>
  <c r="Y433" i="1"/>
  <c r="BP432" i="1"/>
  <c r="BO432" i="1"/>
  <c r="BN432" i="1"/>
  <c r="BM432" i="1"/>
  <c r="Z432" i="1"/>
  <c r="Y432" i="1"/>
  <c r="BP431" i="1"/>
  <c r="BO431" i="1"/>
  <c r="BN431" i="1"/>
  <c r="BM431" i="1"/>
  <c r="Z431" i="1"/>
  <c r="Y431" i="1"/>
  <c r="BP430" i="1"/>
  <c r="BO430" i="1"/>
  <c r="BN430" i="1"/>
  <c r="BM430" i="1"/>
  <c r="Z430" i="1"/>
  <c r="Y430" i="1"/>
  <c r="X426" i="1"/>
  <c r="X425" i="1"/>
  <c r="BO424" i="1"/>
  <c r="BM424" i="1"/>
  <c r="Y424" i="1"/>
  <c r="Y425" i="1" s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BP419" i="1" s="1"/>
  <c r="P419" i="1"/>
  <c r="BP418" i="1"/>
  <c r="BO418" i="1"/>
  <c r="BN418" i="1"/>
  <c r="BM418" i="1"/>
  <c r="Z418" i="1"/>
  <c r="Y418" i="1"/>
  <c r="P418" i="1"/>
  <c r="BO417" i="1"/>
  <c r="BM417" i="1"/>
  <c r="Y417" i="1"/>
  <c r="BP417" i="1" s="1"/>
  <c r="BO416" i="1"/>
  <c r="BM416" i="1"/>
  <c r="Y416" i="1"/>
  <c r="Y422" i="1" s="1"/>
  <c r="P416" i="1"/>
  <c r="X414" i="1"/>
  <c r="X413" i="1"/>
  <c r="BO412" i="1"/>
  <c r="BM412" i="1"/>
  <c r="Y412" i="1"/>
  <c r="BP412" i="1" s="1"/>
  <c r="P412" i="1"/>
  <c r="BP411" i="1"/>
  <c r="BO411" i="1"/>
  <c r="BN411" i="1"/>
  <c r="BM411" i="1"/>
  <c r="Z411" i="1"/>
  <c r="Y411" i="1"/>
  <c r="Y413" i="1" s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BP406" i="1" s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O393" i="1"/>
  <c r="BM393" i="1"/>
  <c r="Y393" i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Y390" i="1" s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1" i="1"/>
  <c r="Y370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Y371" i="1" s="1"/>
  <c r="P367" i="1"/>
  <c r="X365" i="1"/>
  <c r="Y364" i="1"/>
  <c r="X364" i="1"/>
  <c r="BP363" i="1"/>
  <c r="BO363" i="1"/>
  <c r="BN363" i="1"/>
  <c r="BM363" i="1"/>
  <c r="Z363" i="1"/>
  <c r="Z364" i="1" s="1"/>
  <c r="Y363" i="1"/>
  <c r="V601" i="1" s="1"/>
  <c r="P363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BP357" i="1" s="1"/>
  <c r="P357" i="1"/>
  <c r="BP356" i="1"/>
  <c r="BO356" i="1"/>
  <c r="BN356" i="1"/>
  <c r="BM356" i="1"/>
  <c r="Z356" i="1"/>
  <c r="Y356" i="1"/>
  <c r="Y360" i="1" s="1"/>
  <c r="P356" i="1"/>
  <c r="X354" i="1"/>
  <c r="X353" i="1"/>
  <c r="BO352" i="1"/>
  <c r="BM352" i="1"/>
  <c r="Z352" i="1"/>
  <c r="Y352" i="1"/>
  <c r="BP352" i="1" s="1"/>
  <c r="P352" i="1"/>
  <c r="BO351" i="1"/>
  <c r="BM351" i="1"/>
  <c r="Y351" i="1"/>
  <c r="BP351" i="1" s="1"/>
  <c r="P351" i="1"/>
  <c r="BP350" i="1"/>
  <c r="BO350" i="1"/>
  <c r="BN350" i="1"/>
  <c r="BM350" i="1"/>
  <c r="Z350" i="1"/>
  <c r="Y350" i="1"/>
  <c r="BP349" i="1"/>
  <c r="BO349" i="1"/>
  <c r="BN349" i="1"/>
  <c r="BM349" i="1"/>
  <c r="Z349" i="1"/>
  <c r="Y349" i="1"/>
  <c r="Y353" i="1" s="1"/>
  <c r="X347" i="1"/>
  <c r="X346" i="1"/>
  <c r="BO345" i="1"/>
  <c r="BM345" i="1"/>
  <c r="Y345" i="1"/>
  <c r="BP345" i="1" s="1"/>
  <c r="P345" i="1"/>
  <c r="BP344" i="1"/>
  <c r="BO344" i="1"/>
  <c r="BN344" i="1"/>
  <c r="BM344" i="1"/>
  <c r="Z344" i="1"/>
  <c r="Y344" i="1"/>
  <c r="P344" i="1"/>
  <c r="BO343" i="1"/>
  <c r="BM343" i="1"/>
  <c r="Y343" i="1"/>
  <c r="Y347" i="1" s="1"/>
  <c r="P343" i="1"/>
  <c r="X341" i="1"/>
  <c r="X340" i="1"/>
  <c r="BO339" i="1"/>
  <c r="BM339" i="1"/>
  <c r="Y339" i="1"/>
  <c r="BP339" i="1" s="1"/>
  <c r="P339" i="1"/>
  <c r="BP338" i="1"/>
  <c r="BO338" i="1"/>
  <c r="BN338" i="1"/>
  <c r="BM338" i="1"/>
  <c r="Z338" i="1"/>
  <c r="Y338" i="1"/>
  <c r="P338" i="1"/>
  <c r="BO337" i="1"/>
  <c r="BM337" i="1"/>
  <c r="Y337" i="1"/>
  <c r="BP337" i="1" s="1"/>
  <c r="P337" i="1"/>
  <c r="BP336" i="1"/>
  <c r="BO336" i="1"/>
  <c r="BN336" i="1"/>
  <c r="BM336" i="1"/>
  <c r="Z336" i="1"/>
  <c r="Y336" i="1"/>
  <c r="P336" i="1"/>
  <c r="BO335" i="1"/>
  <c r="BM335" i="1"/>
  <c r="Y335" i="1"/>
  <c r="Y341" i="1" s="1"/>
  <c r="P335" i="1"/>
  <c r="X333" i="1"/>
  <c r="X332" i="1"/>
  <c r="BO331" i="1"/>
  <c r="BM331" i="1"/>
  <c r="Y331" i="1"/>
  <c r="BP331" i="1" s="1"/>
  <c r="P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Y333" i="1" s="1"/>
  <c r="P328" i="1"/>
  <c r="X326" i="1"/>
  <c r="X325" i="1"/>
  <c r="BO324" i="1"/>
  <c r="BM324" i="1"/>
  <c r="Y324" i="1"/>
  <c r="BP324" i="1" s="1"/>
  <c r="P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BP320" i="1" s="1"/>
  <c r="P320" i="1"/>
  <c r="BP319" i="1"/>
  <c r="BO319" i="1"/>
  <c r="BN319" i="1"/>
  <c r="BM319" i="1"/>
  <c r="Z319" i="1"/>
  <c r="Y319" i="1"/>
  <c r="Y326" i="1" s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Y311" i="1" s="1"/>
  <c r="P308" i="1"/>
  <c r="X306" i="1"/>
  <c r="X305" i="1"/>
  <c r="BO304" i="1"/>
  <c r="BM304" i="1"/>
  <c r="Y304" i="1"/>
  <c r="S601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5" i="1" s="1"/>
  <c r="P294" i="1"/>
  <c r="X292" i="1"/>
  <c r="X291" i="1"/>
  <c r="BO290" i="1"/>
  <c r="BM290" i="1"/>
  <c r="Y290" i="1"/>
  <c r="Y291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P601" i="1" s="1"/>
  <c r="P277" i="1"/>
  <c r="X274" i="1"/>
  <c r="X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O601" i="1" s="1"/>
  <c r="P270" i="1"/>
  <c r="X267" i="1"/>
  <c r="X266" i="1"/>
  <c r="BO265" i="1"/>
  <c r="BM265" i="1"/>
  <c r="Y265" i="1"/>
  <c r="M601" i="1" s="1"/>
  <c r="P265" i="1"/>
  <c r="X262" i="1"/>
  <c r="X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Y262" i="1" s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Y247" i="1" s="1"/>
  <c r="X244" i="1"/>
  <c r="Y243" i="1"/>
  <c r="X243" i="1"/>
  <c r="BP242" i="1"/>
  <c r="BO242" i="1"/>
  <c r="BN242" i="1"/>
  <c r="BM242" i="1"/>
  <c r="Z242" i="1"/>
  <c r="Y242" i="1"/>
  <c r="BP241" i="1"/>
  <c r="BO241" i="1"/>
  <c r="BN241" i="1"/>
  <c r="BM241" i="1"/>
  <c r="Z241" i="1"/>
  <c r="Z243" i="1" s="1"/>
  <c r="Y241" i="1"/>
  <c r="Y244" i="1" s="1"/>
  <c r="P241" i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K601" i="1" s="1"/>
  <c r="P230" i="1"/>
  <c r="X227" i="1"/>
  <c r="X226" i="1"/>
  <c r="BO225" i="1"/>
  <c r="BM225" i="1"/>
  <c r="Y225" i="1"/>
  <c r="BP225" i="1" s="1"/>
  <c r="P225" i="1"/>
  <c r="BP224" i="1"/>
  <c r="BO224" i="1"/>
  <c r="BN224" i="1"/>
  <c r="BM224" i="1"/>
  <c r="Z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Y222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Y210" i="1" s="1"/>
  <c r="P201" i="1"/>
  <c r="X199" i="1"/>
  <c r="X198" i="1"/>
  <c r="BO197" i="1"/>
  <c r="BM197" i="1"/>
  <c r="Y197" i="1"/>
  <c r="BP197" i="1" s="1"/>
  <c r="P197" i="1"/>
  <c r="BP196" i="1"/>
  <c r="BO196" i="1"/>
  <c r="BN196" i="1"/>
  <c r="BM196" i="1"/>
  <c r="Z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J601" i="1" s="1"/>
  <c r="P191" i="1"/>
  <c r="X188" i="1"/>
  <c r="X187" i="1"/>
  <c r="BO186" i="1"/>
  <c r="BM186" i="1"/>
  <c r="Y186" i="1"/>
  <c r="Y187" i="1" s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Y184" i="1" s="1"/>
  <c r="P174" i="1"/>
  <c r="X172" i="1"/>
  <c r="X171" i="1"/>
  <c r="BO170" i="1"/>
  <c r="BM170" i="1"/>
  <c r="Y170" i="1"/>
  <c r="I601" i="1" s="1"/>
  <c r="P170" i="1"/>
  <c r="X166" i="1"/>
  <c r="X165" i="1"/>
  <c r="BO164" i="1"/>
  <c r="BM164" i="1"/>
  <c r="Y164" i="1"/>
  <c r="Y165" i="1" s="1"/>
  <c r="P164" i="1"/>
  <c r="X162" i="1"/>
  <c r="X161" i="1"/>
  <c r="BO160" i="1"/>
  <c r="BM160" i="1"/>
  <c r="Y160" i="1"/>
  <c r="BP160" i="1" s="1"/>
  <c r="P160" i="1"/>
  <c r="BP159" i="1"/>
  <c r="BO159" i="1"/>
  <c r="BN159" i="1"/>
  <c r="BM159" i="1"/>
  <c r="Z159" i="1"/>
  <c r="Y159" i="1"/>
  <c r="P159" i="1"/>
  <c r="BO158" i="1"/>
  <c r="BM158" i="1"/>
  <c r="Y158" i="1"/>
  <c r="BP158" i="1" s="1"/>
  <c r="P158" i="1"/>
  <c r="BP157" i="1"/>
  <c r="BO157" i="1"/>
  <c r="BN157" i="1"/>
  <c r="BM157" i="1"/>
  <c r="Z157" i="1"/>
  <c r="Y157" i="1"/>
  <c r="Y161" i="1" s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50" i="1" s="1"/>
  <c r="P147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G601" i="1" s="1"/>
  <c r="P137" i="1"/>
  <c r="X134" i="1"/>
  <c r="X133" i="1"/>
  <c r="BO132" i="1"/>
  <c r="BM132" i="1"/>
  <c r="Y132" i="1"/>
  <c r="BP132" i="1" s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P125" i="1"/>
  <c r="BO125" i="1"/>
  <c r="BN125" i="1"/>
  <c r="BM125" i="1"/>
  <c r="Z125" i="1"/>
  <c r="Y125" i="1"/>
  <c r="BP124" i="1"/>
  <c r="BO124" i="1"/>
  <c r="BN124" i="1"/>
  <c r="BM124" i="1"/>
  <c r="Z124" i="1"/>
  <c r="Y124" i="1"/>
  <c r="P124" i="1"/>
  <c r="BO123" i="1"/>
  <c r="BM123" i="1"/>
  <c r="Y123" i="1"/>
  <c r="BP123" i="1" s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BP120" i="1" s="1"/>
  <c r="BO119" i="1"/>
  <c r="BM119" i="1"/>
  <c r="Y119" i="1"/>
  <c r="Y129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6" i="1" s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P93" i="1"/>
  <c r="BO93" i="1"/>
  <c r="BN93" i="1"/>
  <c r="BM93" i="1"/>
  <c r="Z93" i="1"/>
  <c r="Y93" i="1"/>
  <c r="Y102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BP81" i="1" s="1"/>
  <c r="P81" i="1"/>
  <c r="BP80" i="1"/>
  <c r="BO80" i="1"/>
  <c r="BN80" i="1"/>
  <c r="BM80" i="1"/>
  <c r="Z80" i="1"/>
  <c r="Y80" i="1"/>
  <c r="Y83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7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Y63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D601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Y42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91" i="1" s="1"/>
  <c r="X28" i="1"/>
  <c r="X595" i="1" s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X593" i="1" s="1"/>
  <c r="BM22" i="1"/>
  <c r="X592" i="1" s="1"/>
  <c r="X594" i="1" s="1"/>
  <c r="Y22" i="1"/>
  <c r="B601" i="1" s="1"/>
  <c r="P22" i="1"/>
  <c r="H10" i="1"/>
  <c r="A9" i="1"/>
  <c r="A10" i="1" s="1"/>
  <c r="D7" i="1"/>
  <c r="Q6" i="1"/>
  <c r="P2" i="1"/>
  <c r="Z102" i="1" l="1"/>
  <c r="F9" i="1"/>
  <c r="J9" i="1"/>
  <c r="F10" i="1"/>
  <c r="Z22" i="1"/>
  <c r="Z28" i="1" s="1"/>
  <c r="BN22" i="1"/>
  <c r="BP22" i="1"/>
  <c r="Z26" i="1"/>
  <c r="BN26" i="1"/>
  <c r="Y29" i="1"/>
  <c r="C601" i="1"/>
  <c r="Z38" i="1"/>
  <c r="Z41" i="1" s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Z62" i="1" s="1"/>
  <c r="BN59" i="1"/>
  <c r="Z61" i="1"/>
  <c r="BN61" i="1"/>
  <c r="Y62" i="1"/>
  <c r="Z65" i="1"/>
  <c r="Z68" i="1" s="1"/>
  <c r="BN65" i="1"/>
  <c r="BP65" i="1"/>
  <c r="Z67" i="1"/>
  <c r="BN67" i="1"/>
  <c r="Y68" i="1"/>
  <c r="Z71" i="1"/>
  <c r="Z77" i="1" s="1"/>
  <c r="BN71" i="1"/>
  <c r="BP71" i="1"/>
  <c r="Z73" i="1"/>
  <c r="BN73" i="1"/>
  <c r="Z75" i="1"/>
  <c r="BN75" i="1"/>
  <c r="Y78" i="1"/>
  <c r="Z81" i="1"/>
  <c r="Z83" i="1" s="1"/>
  <c r="BN81" i="1"/>
  <c r="Y84" i="1"/>
  <c r="E601" i="1"/>
  <c r="Z88" i="1"/>
  <c r="Z90" i="1" s="1"/>
  <c r="BN88" i="1"/>
  <c r="Y91" i="1"/>
  <c r="Z94" i="1"/>
  <c r="BN94" i="1"/>
  <c r="Z95" i="1"/>
  <c r="BN95" i="1"/>
  <c r="Z96" i="1"/>
  <c r="BN96" i="1"/>
  <c r="Z97" i="1"/>
  <c r="BN97" i="1"/>
  <c r="Z98" i="1"/>
  <c r="BN98" i="1"/>
  <c r="Z100" i="1"/>
  <c r="BN100" i="1"/>
  <c r="Y103" i="1"/>
  <c r="F601" i="1"/>
  <c r="BP109" i="1"/>
  <c r="BN109" i="1"/>
  <c r="Z109" i="1"/>
  <c r="Z161" i="1"/>
  <c r="Z261" i="1"/>
  <c r="H9" i="1"/>
  <c r="Y28" i="1"/>
  <c r="Y55" i="1"/>
  <c r="Y90" i="1"/>
  <c r="BP107" i="1"/>
  <c r="BN107" i="1"/>
  <c r="Z107" i="1"/>
  <c r="Z110" i="1" s="1"/>
  <c r="Z226" i="1"/>
  <c r="Y111" i="1"/>
  <c r="Y117" i="1"/>
  <c r="Y128" i="1"/>
  <c r="Y134" i="1"/>
  <c r="Y139" i="1"/>
  <c r="Y145" i="1"/>
  <c r="Y149" i="1"/>
  <c r="Y162" i="1"/>
  <c r="Y166" i="1"/>
  <c r="Y172" i="1"/>
  <c r="Y183" i="1"/>
  <c r="Y188" i="1"/>
  <c r="Y193" i="1"/>
  <c r="Y199" i="1"/>
  <c r="Y209" i="1"/>
  <c r="Y221" i="1"/>
  <c r="Y227" i="1"/>
  <c r="Y238" i="1"/>
  <c r="Y248" i="1"/>
  <c r="Y267" i="1"/>
  <c r="Y274" i="1"/>
  <c r="Y283" i="1"/>
  <c r="Y288" i="1"/>
  <c r="Y292" i="1"/>
  <c r="Y296" i="1"/>
  <c r="Y301" i="1"/>
  <c r="Y306" i="1"/>
  <c r="Y310" i="1"/>
  <c r="Z331" i="1"/>
  <c r="BN331" i="1"/>
  <c r="Y332" i="1"/>
  <c r="Z335" i="1"/>
  <c r="Z340" i="1" s="1"/>
  <c r="BN335" i="1"/>
  <c r="BP335" i="1"/>
  <c r="Z337" i="1"/>
  <c r="BN337" i="1"/>
  <c r="Z339" i="1"/>
  <c r="BN339" i="1"/>
  <c r="Y340" i="1"/>
  <c r="Z343" i="1"/>
  <c r="Z346" i="1" s="1"/>
  <c r="BN343" i="1"/>
  <c r="BP343" i="1"/>
  <c r="Z345" i="1"/>
  <c r="BN345" i="1"/>
  <c r="Y346" i="1"/>
  <c r="Z351" i="1"/>
  <c r="Z353" i="1" s="1"/>
  <c r="BN351" i="1"/>
  <c r="Y354" i="1"/>
  <c r="Z357" i="1"/>
  <c r="BN357" i="1"/>
  <c r="Y359" i="1"/>
  <c r="Z370" i="1"/>
  <c r="BP368" i="1"/>
  <c r="BN368" i="1"/>
  <c r="Z368" i="1"/>
  <c r="BP378" i="1"/>
  <c r="BN378" i="1"/>
  <c r="Z378" i="1"/>
  <c r="BP382" i="1"/>
  <c r="BN382" i="1"/>
  <c r="Z382" i="1"/>
  <c r="Y395" i="1"/>
  <c r="BP393" i="1"/>
  <c r="BN393" i="1"/>
  <c r="Z393" i="1"/>
  <c r="Y409" i="1"/>
  <c r="Z442" i="1"/>
  <c r="Y110" i="1"/>
  <c r="Z113" i="1"/>
  <c r="Z116" i="1" s="1"/>
  <c r="BN113" i="1"/>
  <c r="BP113" i="1"/>
  <c r="Z115" i="1"/>
  <c r="BN115" i="1"/>
  <c r="Z119" i="1"/>
  <c r="BN119" i="1"/>
  <c r="BP119" i="1"/>
  <c r="Z120" i="1"/>
  <c r="BN120" i="1"/>
  <c r="Z122" i="1"/>
  <c r="BN122" i="1"/>
  <c r="Z123" i="1"/>
  <c r="BN123" i="1"/>
  <c r="Z126" i="1"/>
  <c r="BN126" i="1"/>
  <c r="Z132" i="1"/>
  <c r="Z133" i="1" s="1"/>
  <c r="BN132" i="1"/>
  <c r="Z137" i="1"/>
  <c r="Z139" i="1" s="1"/>
  <c r="BN137" i="1"/>
  <c r="BP137" i="1"/>
  <c r="Y140" i="1"/>
  <c r="Z143" i="1"/>
  <c r="Z144" i="1" s="1"/>
  <c r="BN143" i="1"/>
  <c r="Z147" i="1"/>
  <c r="Z149" i="1" s="1"/>
  <c r="BN147" i="1"/>
  <c r="BP147" i="1"/>
  <c r="H601" i="1"/>
  <c r="Y155" i="1"/>
  <c r="Z158" i="1"/>
  <c r="BN158" i="1"/>
  <c r="Z160" i="1"/>
  <c r="BN160" i="1"/>
  <c r="Z164" i="1"/>
  <c r="Z165" i="1" s="1"/>
  <c r="BN164" i="1"/>
  <c r="BP164" i="1"/>
  <c r="Z170" i="1"/>
  <c r="Z171" i="1" s="1"/>
  <c r="BN170" i="1"/>
  <c r="BP170" i="1"/>
  <c r="Y171" i="1"/>
  <c r="Z174" i="1"/>
  <c r="Z183" i="1" s="1"/>
  <c r="BN174" i="1"/>
  <c r="BP174" i="1"/>
  <c r="Z176" i="1"/>
  <c r="BN176" i="1"/>
  <c r="Z178" i="1"/>
  <c r="BN178" i="1"/>
  <c r="Z179" i="1"/>
  <c r="BN179" i="1"/>
  <c r="Z181" i="1"/>
  <c r="BN181" i="1"/>
  <c r="Z186" i="1"/>
  <c r="Z187" i="1" s="1"/>
  <c r="BN186" i="1"/>
  <c r="BP186" i="1"/>
  <c r="Z191" i="1"/>
  <c r="Z193" i="1" s="1"/>
  <c r="BN191" i="1"/>
  <c r="BP191" i="1"/>
  <c r="Y194" i="1"/>
  <c r="Z197" i="1"/>
  <c r="Z198" i="1" s="1"/>
  <c r="BN197" i="1"/>
  <c r="Z201" i="1"/>
  <c r="Z209" i="1" s="1"/>
  <c r="BN201" i="1"/>
  <c r="BP201" i="1"/>
  <c r="Z203" i="1"/>
  <c r="BN203" i="1"/>
  <c r="Z205" i="1"/>
  <c r="BN205" i="1"/>
  <c r="Z207" i="1"/>
  <c r="BN207" i="1"/>
  <c r="Z213" i="1"/>
  <c r="Z221" i="1" s="1"/>
  <c r="BN213" i="1"/>
  <c r="Z215" i="1"/>
  <c r="BN215" i="1"/>
  <c r="Z217" i="1"/>
  <c r="BN217" i="1"/>
  <c r="Z219" i="1"/>
  <c r="BN219" i="1"/>
  <c r="Z225" i="1"/>
  <c r="BN225" i="1"/>
  <c r="Z230" i="1"/>
  <c r="BN230" i="1"/>
  <c r="BP230" i="1"/>
  <c r="Z232" i="1"/>
  <c r="BN232" i="1"/>
  <c r="Z234" i="1"/>
  <c r="BN234" i="1"/>
  <c r="Z236" i="1"/>
  <c r="BN236" i="1"/>
  <c r="Y239" i="1"/>
  <c r="Z246" i="1"/>
  <c r="Z247" i="1" s="1"/>
  <c r="BN246" i="1"/>
  <c r="BP246" i="1"/>
  <c r="L601" i="1"/>
  <c r="Z256" i="1"/>
  <c r="BN256" i="1"/>
  <c r="Z258" i="1"/>
  <c r="BN258" i="1"/>
  <c r="Z260" i="1"/>
  <c r="BN260" i="1"/>
  <c r="Y261" i="1"/>
  <c r="Z265" i="1"/>
  <c r="Z266" i="1" s="1"/>
  <c r="BN265" i="1"/>
  <c r="BP265" i="1"/>
  <c r="Y266" i="1"/>
  <c r="Z270" i="1"/>
  <c r="Z273" i="1" s="1"/>
  <c r="BN270" i="1"/>
  <c r="BP270" i="1"/>
  <c r="Z272" i="1"/>
  <c r="BN272" i="1"/>
  <c r="Y273" i="1"/>
  <c r="Z277" i="1"/>
  <c r="Z282" i="1" s="1"/>
  <c r="BN277" i="1"/>
  <c r="BP277" i="1"/>
  <c r="Z279" i="1"/>
  <c r="BN279" i="1"/>
  <c r="Z281" i="1"/>
  <c r="BN281" i="1"/>
  <c r="Y282" i="1"/>
  <c r="Z286" i="1"/>
  <c r="Z287" i="1" s="1"/>
  <c r="BN286" i="1"/>
  <c r="BP286" i="1"/>
  <c r="Y287" i="1"/>
  <c r="Z290" i="1"/>
  <c r="Z291" i="1" s="1"/>
  <c r="BN290" i="1"/>
  <c r="BP290" i="1"/>
  <c r="Z294" i="1"/>
  <c r="Z295" i="1" s="1"/>
  <c r="BN294" i="1"/>
  <c r="BP294" i="1"/>
  <c r="Z299" i="1"/>
  <c r="Z300" i="1" s="1"/>
  <c r="BN299" i="1"/>
  <c r="BP299" i="1"/>
  <c r="Y300" i="1"/>
  <c r="Z304" i="1"/>
  <c r="Z305" i="1" s="1"/>
  <c r="BN304" i="1"/>
  <c r="BP304" i="1"/>
  <c r="Y305" i="1"/>
  <c r="Z308" i="1"/>
  <c r="Z310" i="1" s="1"/>
  <c r="BN308" i="1"/>
  <c r="BP308" i="1"/>
  <c r="Y316" i="1"/>
  <c r="U601" i="1"/>
  <c r="Z320" i="1"/>
  <c r="Z325" i="1" s="1"/>
  <c r="BN320" i="1"/>
  <c r="Z322" i="1"/>
  <c r="BN322" i="1"/>
  <c r="Z324" i="1"/>
  <c r="BN324" i="1"/>
  <c r="Y325" i="1"/>
  <c r="Z328" i="1"/>
  <c r="Z332" i="1" s="1"/>
  <c r="BN328" i="1"/>
  <c r="BP328" i="1"/>
  <c r="Z330" i="1"/>
  <c r="BN330" i="1"/>
  <c r="BN352" i="1"/>
  <c r="Z359" i="1"/>
  <c r="BP376" i="1"/>
  <c r="BN376" i="1"/>
  <c r="Z376" i="1"/>
  <c r="Z385" i="1" s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BP394" i="1"/>
  <c r="BN394" i="1"/>
  <c r="Z394" i="1"/>
  <c r="Y396" i="1"/>
  <c r="BP404" i="1"/>
  <c r="BN404" i="1"/>
  <c r="Z404" i="1"/>
  <c r="Z408" i="1" s="1"/>
  <c r="Y408" i="1"/>
  <c r="Y414" i="1"/>
  <c r="Y421" i="1"/>
  <c r="Y426" i="1"/>
  <c r="Y442" i="1"/>
  <c r="Y448" i="1"/>
  <c r="Y453" i="1"/>
  <c r="Y461" i="1"/>
  <c r="Y467" i="1"/>
  <c r="Y472" i="1"/>
  <c r="Y476" i="1"/>
  <c r="Y496" i="1"/>
  <c r="Y503" i="1"/>
  <c r="Y518" i="1"/>
  <c r="Y523" i="1"/>
  <c r="BP520" i="1"/>
  <c r="BN520" i="1"/>
  <c r="Z520" i="1"/>
  <c r="BP527" i="1"/>
  <c r="BN527" i="1"/>
  <c r="Z527" i="1"/>
  <c r="Y529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X601" i="1"/>
  <c r="AB601" i="1"/>
  <c r="Y365" i="1"/>
  <c r="W601" i="1"/>
  <c r="Y385" i="1"/>
  <c r="Z406" i="1"/>
  <c r="BN406" i="1"/>
  <c r="Z412" i="1"/>
  <c r="Z413" i="1" s="1"/>
  <c r="BN412" i="1"/>
  <c r="Z416" i="1"/>
  <c r="Z421" i="1" s="1"/>
  <c r="BN416" i="1"/>
  <c r="BP416" i="1"/>
  <c r="Z417" i="1"/>
  <c r="BN417" i="1"/>
  <c r="Z419" i="1"/>
  <c r="BN419" i="1"/>
  <c r="Z424" i="1"/>
  <c r="Z425" i="1" s="1"/>
  <c r="BN424" i="1"/>
  <c r="BP424" i="1"/>
  <c r="Y601" i="1"/>
  <c r="Z434" i="1"/>
  <c r="BN434" i="1"/>
  <c r="Z435" i="1"/>
  <c r="BN435" i="1"/>
  <c r="Z437" i="1"/>
  <c r="BN437" i="1"/>
  <c r="Z440" i="1"/>
  <c r="BN440" i="1"/>
  <c r="Y443" i="1"/>
  <c r="Z446" i="1"/>
  <c r="Z447" i="1" s="1"/>
  <c r="BN446" i="1"/>
  <c r="Z451" i="1"/>
  <c r="Z453" i="1" s="1"/>
  <c r="BN451" i="1"/>
  <c r="BP451" i="1"/>
  <c r="Y454" i="1"/>
  <c r="Z456" i="1"/>
  <c r="Z460" i="1" s="1"/>
  <c r="BN456" i="1"/>
  <c r="BP456" i="1"/>
  <c r="Z459" i="1"/>
  <c r="BN459" i="1"/>
  <c r="Z464" i="1"/>
  <c r="BN464" i="1"/>
  <c r="BP464" i="1"/>
  <c r="Z465" i="1"/>
  <c r="BN465" i="1"/>
  <c r="Y466" i="1"/>
  <c r="Z470" i="1"/>
  <c r="Z471" i="1" s="1"/>
  <c r="BN470" i="1"/>
  <c r="BP470" i="1"/>
  <c r="Z474" i="1"/>
  <c r="Z475" i="1" s="1"/>
  <c r="BN474" i="1"/>
  <c r="BP474" i="1"/>
  <c r="Z480" i="1"/>
  <c r="BN480" i="1"/>
  <c r="BP480" i="1"/>
  <c r="Z482" i="1"/>
  <c r="BN482" i="1"/>
  <c r="Z484" i="1"/>
  <c r="BN484" i="1"/>
  <c r="Z485" i="1"/>
  <c r="BN485" i="1"/>
  <c r="Z487" i="1"/>
  <c r="BN487" i="1"/>
  <c r="Z492" i="1"/>
  <c r="BN492" i="1"/>
  <c r="Z494" i="1"/>
  <c r="BN494" i="1"/>
  <c r="Y495" i="1"/>
  <c r="Z499" i="1"/>
  <c r="Z502" i="1" s="1"/>
  <c r="BN499" i="1"/>
  <c r="Z500" i="1"/>
  <c r="BN500" i="1"/>
  <c r="Z501" i="1"/>
  <c r="BN501" i="1"/>
  <c r="Y517" i="1"/>
  <c r="Z510" i="1"/>
  <c r="Z517" i="1" s="1"/>
  <c r="BN510" i="1"/>
  <c r="Z511" i="1"/>
  <c r="BN511" i="1"/>
  <c r="Z514" i="1"/>
  <c r="BN514" i="1"/>
  <c r="BP522" i="1"/>
  <c r="BN522" i="1"/>
  <c r="Z522" i="1"/>
  <c r="Y524" i="1"/>
  <c r="Y528" i="1"/>
  <c r="BP526" i="1"/>
  <c r="BN526" i="1"/>
  <c r="Z526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Z565" i="1" l="1"/>
  <c r="Y593" i="1"/>
  <c r="Z528" i="1"/>
  <c r="Z495" i="1"/>
  <c r="Z466" i="1"/>
  <c r="Z547" i="1"/>
  <c r="Z523" i="1"/>
  <c r="Z238" i="1"/>
  <c r="Z128" i="1"/>
  <c r="Z395" i="1"/>
  <c r="Y595" i="1"/>
  <c r="Z55" i="1"/>
  <c r="Z596" i="1" s="1"/>
  <c r="Y591" i="1"/>
  <c r="Y592" i="1"/>
  <c r="Y594" i="1" l="1"/>
</calcChain>
</file>

<file path=xl/sharedStrings.xml><?xml version="1.0" encoding="utf-8"?>
<sst xmlns="http://schemas.openxmlformats.org/spreadsheetml/2006/main" count="2730" uniqueCount="967">
  <si>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</si>
  <si>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</si>
  <si>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</si>
  <si>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</si>
  <si>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</si>
  <si>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</si>
  <si>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</si>
  <si>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</si>
  <si>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</si>
  <si>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</si>
  <si>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</si>
  <si>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</si>
  <si>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</si>
  <si>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</si>
  <si>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</si>
  <si>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</si>
  <si>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</si>
  <si>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</si>
  <si>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</si>
  <si>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</si>
  <si>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</si>
  <si>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</si>
  <si>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</si>
  <si>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</si>
  <si>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</si>
  <si>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</si>
  <si>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</si>
  <si>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</si>
  <si>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</si>
  <si>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</si>
  <si>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</si>
  <si>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</si>
  <si>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</si>
  <si>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</si>
  <si>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</si>
  <si>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</si>
  <si>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</si>
  <si>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</si>
  <si>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</si>
  <si>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</si>
  <si>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</si>
  <si>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</si>
  <si>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</si>
  <si>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</si>
  <si>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</si>
  <si>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</si>
  <si>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</si>
  <si>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</si>
  <si>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</si>
  <si>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</si>
  <si>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</si>
  <si>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</si>
  <si>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</si>
  <si>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</si>
  <si>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</si>
  <si>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</si>
  <si>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</si>
  <si>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</si>
  <si>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</si>
  <si>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</si>
  <si>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</si>
  <si>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</si>
  <si>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</si>
  <si>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</si>
  <si>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</si>
  <si>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</si>
  <si>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</si>
  <si>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</si>
  <si>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</si>
  <si>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</si>
  <si>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</si>
  <si>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</si>
  <si>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</si>
  <si>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</si>
  <si>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</si>
  <si>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</si>
  <si>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</si>
  <si>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</si>
  <si>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</si>
  <si>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</si>
  <si>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</si>
  <si>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</si>
  <si>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</si>
  <si>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</si>
  <si>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</si>
  <si>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</si>
  <si>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</si>
  <si>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</si>
  <si>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</si>
  <si>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</si>
  <si>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</si>
  <si>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</si>
  <si>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</si>
  <si>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</si>
  <si>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</si>
  <si>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</si>
  <si>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</si>
  <si>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</si>
  <si>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</si>
  <si>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</si>
  <si>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</si>
  <si>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</si>
  <si>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</si>
  <si>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</si>
  <si>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</si>
  <si>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</si>
  <si>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</si>
  <si>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</si>
  <si>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</si>
  <si>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</si>
  <si>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</si>
  <si>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</si>
  <si>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</si>
  <si>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</si>
  <si>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</si>
  <si>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</si>
  <si>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</si>
  <si>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</si>
  <si>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</si>
  <si>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</si>
  <si>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</si>
  <si>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</si>
  <si>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</si>
  <si>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</si>
  <si>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</si>
  <si>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</si>
  <si>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</si>
  <si>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</si>
  <si>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</si>
  <si>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</si>
  <si>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</si>
  <si>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</si>
  <si>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</si>
  <si>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</si>
  <si>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</si>
  <si>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</si>
  <si>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</si>
  <si>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</si>
  <si>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</si>
  <si>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</si>
  <si>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</si>
  <si>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</si>
  <si>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</si>
  <si>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</si>
  <si>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</si>
  <si>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</si>
  <si>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</si>
  <si>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</si>
  <si>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</si>
  <si>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</si>
  <si>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</si>
  <si>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</si>
  <si>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</si>
  <si>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</si>
  <si>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</si>
  <si>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</si>
  <si>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</si>
  <si>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</si>
  <si>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</si>
  <si>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</si>
  <si>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</si>
  <si>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</si>
  <si>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</si>
  <si>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</si>
  <si>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</si>
  <si>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</si>
  <si>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</si>
  <si>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</si>
  <si>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</si>
  <si>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</si>
  <si>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</si>
  <si>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</si>
  <si>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</si>
  <si>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</si>
  <si>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</si>
  <si>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</si>
  <si>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</si>
  <si>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</si>
  <si>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</si>
  <si>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</si>
  <si>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</si>
  <si>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</si>
  <si>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</si>
  <si>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</si>
  <si>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</si>
  <si>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</si>
  <si>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</si>
  <si>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</si>
  <si>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</si>
  <si>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</si>
  <si>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</si>
  <si>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</si>
  <si>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</si>
  <si>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</si>
  <si>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</si>
  <si>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</si>
  <si>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</si>
  <si>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</si>
  <si>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</si>
  <si>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</si>
  <si>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</si>
  <si>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</si>
  <si>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</si>
  <si>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</si>
  <si>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</si>
  <si>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</si>
  <si>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</si>
  <si>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</si>
  <si>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</si>
  <si>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</si>
  <si>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</si>
  <si>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</si>
  <si>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</si>
  <si>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</si>
  <si>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</si>
  <si>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</si>
  <si>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</si>
  <si>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</si>
  <si>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</si>
  <si>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</si>
  <si>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</si>
  <si>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</si>
  <si>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</si>
  <si>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</si>
  <si>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</si>
  <si>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</si>
  <si>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</si>
  <si>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</si>
  <si>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</si>
  <si>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</si>
  <si>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</si>
  <si>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</si>
  <si>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</si>
  <si>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</si>
  <si>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</si>
  <si>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</si>
  <si>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</si>
  <si>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</si>
  <si>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</si>
  <si>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</si>
  <si>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</si>
  <si>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</si>
  <si>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</si>
  <si>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</si>
  <si>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</si>
  <si>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</si>
  <si>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</si>
  <si>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</si>
  <si>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</si>
  <si>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</si>
  <si>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</si>
  <si>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</si>
  <si>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</si>
  <si>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</si>
  <si>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</si>
  <si>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</si>
  <si>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</si>
  <si>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</si>
  <si>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</si>
  <si>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</si>
  <si>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</si>
  <si>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</si>
  <si>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</si>
  <si>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</si>
  <si>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</si>
  <si>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</si>
  <si>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</si>
  <si>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</si>
  <si>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</si>
  <si>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</si>
  <si>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</si>
  <si>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</si>
  <si>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</si>
  <si>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</si>
  <si>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</si>
  <si>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</si>
  <si>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</si>
  <si>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</si>
  <si>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</si>
  <si>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</si>
  <si>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</si>
  <si>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</si>
  <si>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</si>
  <si>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</si>
  <si>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</si>
  <si>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</si>
  <si>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</si>
  <si>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</si>
  <si>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</si>
  <si>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</si>
  <si>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</si>
  <si>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</si>
  <si>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</si>
  <si>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</si>
  <si>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</si>
  <si>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</si>
  <si>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</si>
  <si>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</si>
  <si>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</si>
  <si>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</si>
  <si>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</si>
  <si>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</si>
  <si>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</si>
  <si>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</si>
  <si>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</si>
  <si>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</si>
  <si>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</si>
  <si>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</si>
  <si>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</si>
  <si>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</si>
  <si>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</si>
  <si>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</si>
  <si>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</si>
  <si>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</si>
  <si>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</si>
  <si>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</si>
  <si>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</si>
  <si>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</si>
  <si>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</si>
  <si>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</si>
  <si>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</si>
  <si>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</si>
  <si>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</si>
  <si>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</si>
  <si>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</si>
  <si>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</si>
  <si>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</si>
  <si>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</si>
  <si>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</si>
  <si>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</si>
  <si>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</si>
  <si>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</si>
  <si>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</si>
  <si>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</si>
  <si>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</si>
  <si>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</si>
  <si>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</si>
  <si>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</si>
  <si>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</si>
  <si>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</si>
  <si>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</si>
  <si>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</si>
  <si>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</si>
  <si>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</si>
  <si>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</si>
  <si>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</si>
  <si>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</si>
  <si>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</si>
  <si>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</si>
  <si>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</si>
  <si>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</si>
  <si>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</si>
  <si>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</si>
  <si>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</si>
  <si>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</si>
  <si>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</si>
  <si>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</si>
  <si>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</si>
  <si>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</si>
  <si>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</si>
  <si>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</si>
  <si>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</si>
  <si>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</si>
  <si>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</si>
  <si>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</si>
  <si>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</si>
  <si>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</si>
  <si>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</si>
  <si>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</si>
  <si>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</si>
  <si>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</si>
  <si>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</si>
  <si>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</si>
  <si>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</si>
  <si>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</si>
  <si>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</si>
  <si>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</si>
  <si>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</si>
  <si>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</si>
  <si>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</si>
  <si>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</si>
  <si>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</si>
  <si>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</si>
  <si>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</si>
  <si>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</si>
  <si>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</si>
  <si>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</si>
  <si>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</si>
  <si>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</si>
  <si>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</si>
  <si>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</si>
  <si>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</si>
  <si>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</si>
  <si>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</si>
  <si>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</si>
  <si>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</si>
  <si>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</si>
  <si>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</si>
  <si>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</si>
  <si>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</si>
  <si>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</si>
  <si>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</si>
  <si>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</si>
  <si>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</si>
  <si>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</si>
  <si>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</si>
  <si>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</si>
  <si>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</si>
  <si>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</si>
  <si>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</si>
  <si>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</si>
  <si>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</si>
  <si>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</si>
  <si>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</si>
  <si>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</si>
  <si>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</si>
  <si>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</si>
  <si>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</si>
  <si>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</si>
  <si>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</si>
  <si>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</si>
  <si>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</si>
  <si>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</si>
  <si>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</si>
  <si>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</si>
  <si>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</si>
  <si>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</si>
  <si>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</si>
  <si>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</si>
  <si>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</si>
  <si>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</si>
  <si>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</si>
  <si>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</si>
  <si>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</si>
  <si>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</si>
  <si>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</si>
  <si>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</si>
  <si>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</si>
  <si>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</si>
  <si>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</si>
  <si>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</si>
  <si>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</si>
  <si>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</si>
  <si>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</si>
  <si>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</si>
  <si>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</si>
  <si>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</si>
  <si>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</si>
  <si>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</si>
  <si>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</si>
  <si>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</si>
  <si>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</si>
  <si>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</si>
  <si>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</si>
  <si>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</si>
  <si>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</si>
  <si>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</si>
  <si>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</si>
  <si>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</si>
  <si>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</si>
  <si>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</si>
  <si>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</si>
  <si>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</si>
  <si>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</si>
  <si>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</si>
  <si>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</si>
  <si>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</si>
  <si>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</si>
  <si>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</si>
  <si>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</si>
  <si>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</si>
  <si>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</si>
  <si>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</si>
  <si>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</si>
  <si>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</si>
  <si>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</si>
  <si>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</si>
  <si>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</si>
  <si>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</si>
  <si>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</si>
  <si>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</si>
  <si>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</si>
  <si>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</si>
  <si>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</si>
  <si>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</si>
  <si>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</si>
  <si>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</si>
  <si>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</si>
  <si>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</si>
  <si>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</si>
  <si>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</si>
  <si>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</si>
  <si>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</si>
  <si>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</si>
  <si>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</si>
  <si>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</si>
  <si>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</si>
  <si>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</si>
  <si>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Слой, мин. 1</t>
  </si>
  <si>
    <t>ЕАЭС N RU Д-RU.РА04.В.93998/24, ЕАЭС N RU Д-RU.РА04.В.94346/24</t>
  </si>
  <si>
    <t>Слой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</si>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</sst>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83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45760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Воскресенье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1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 t="s">
        <v>19</v>
      </c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20</v>
      </c>
      <c r="Q8" s="811">
        <v>0.375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21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22</v>
      </c>
      <c r="Q10" s="855"/>
      <c r="R10" s="856"/>
      <c r="U10" s="24" t="s">
        <v>23</v>
      </c>
      <c r="V10" s="706" t="s">
        <v>24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98"/>
      <c r="R11" s="799"/>
      <c r="U11" s="24" t="s">
        <v>27</v>
      </c>
      <c r="V11" s="965" t="s">
        <v>28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29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30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31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32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33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34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36</v>
      </c>
      <c r="B17" s="702" t="s">
        <v>37</v>
      </c>
      <c r="C17" s="819" t="s">
        <v>38</v>
      </c>
      <c r="D17" s="702" t="s">
        <v>39</v>
      </c>
      <c r="E17" s="771"/>
      <c r="F17" s="702" t="s">
        <v>40</v>
      </c>
      <c r="G17" s="702" t="s">
        <v>41</v>
      </c>
      <c r="H17" s="702" t="s">
        <v>42</v>
      </c>
      <c r="I17" s="702" t="s">
        <v>43</v>
      </c>
      <c r="J17" s="702" t="s">
        <v>44</v>
      </c>
      <c r="K17" s="702" t="s">
        <v>45</v>
      </c>
      <c r="L17" s="702" t="s">
        <v>46</v>
      </c>
      <c r="M17" s="702" t="s">
        <v>47</v>
      </c>
      <c r="N17" s="702" t="s">
        <v>48</v>
      </c>
      <c r="O17" s="702" t="s">
        <v>49</v>
      </c>
      <c r="P17" s="702" t="s">
        <v>50</v>
      </c>
      <c r="Q17" s="770"/>
      <c r="R17" s="770"/>
      <c r="S17" s="770"/>
      <c r="T17" s="771"/>
      <c r="U17" s="1036" t="s">
        <v>51</v>
      </c>
      <c r="V17" s="802"/>
      <c r="W17" s="702" t="s">
        <v>52</v>
      </c>
      <c r="X17" s="702" t="s">
        <v>53</v>
      </c>
      <c r="Y17" s="1037" t="s">
        <v>54</v>
      </c>
      <c r="Z17" s="940" t="s">
        <v>55</v>
      </c>
      <c r="AA17" s="915" t="s">
        <v>56</v>
      </c>
      <c r="AB17" s="915" t="s">
        <v>57</v>
      </c>
      <c r="AC17" s="915" t="s">
        <v>58</v>
      </c>
      <c r="AD17" s="915" t="s">
        <v>59</v>
      </c>
      <c r="AE17" s="996"/>
      <c r="AF17" s="997"/>
      <c r="AG17" s="66"/>
      <c r="BD17" s="65" t="s">
        <v>60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61</v>
      </c>
      <c r="V18" s="67" t="s">
        <v>62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63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63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64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69</v>
      </c>
      <c r="X22" s="663">
        <v>15</v>
      </c>
      <c r="Y22" s="664">
        <f t="shared" ref="Y22:Y27" si="0">IFERROR(IF(X22="",0,CEILING((X22/$H22),1)*$H22),"")</f>
        <v>16.2</v>
      </c>
      <c r="Z22" s="36">
        <f t="shared" ref="Z22:Z27" si="1">IFERROR(IF(Y22=0,"",ROUNDUP(Y22/H22,0)*0.00651),"")</f>
        <v>5.8590000000000003E-2</v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26.5</v>
      </c>
      <c r="BN22" s="64">
        <f t="shared" ref="BN22:BN27" si="3">IFERROR(Y22*I22/H22,"0")</f>
        <v>28.619999999999997</v>
      </c>
      <c r="BO22" s="64">
        <f t="shared" ref="BO22:BO27" si="4">IFERROR(1/J22*(X22/H22),"0")</f>
        <v>4.5787545787545791E-2</v>
      </c>
      <c r="BP22" s="64">
        <f t="shared" ref="BP22:BP27" si="5">IFERROR(1/J22*(Y22/H22),"0")</f>
        <v>4.9450549450549455E-2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69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7" t="s">
        <v>76</v>
      </c>
      <c r="Q24" s="670"/>
      <c r="R24" s="670"/>
      <c r="S24" s="670"/>
      <c r="T24" s="671"/>
      <c r="U24" s="34"/>
      <c r="V24" s="34"/>
      <c r="W24" s="35" t="s">
        <v>69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2" t="s">
        <v>80</v>
      </c>
      <c r="Q25" s="670"/>
      <c r="R25" s="670"/>
      <c r="S25" s="670"/>
      <c r="T25" s="671"/>
      <c r="U25" s="34"/>
      <c r="V25" s="34"/>
      <c r="W25" s="35" t="s">
        <v>69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69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69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88</v>
      </c>
      <c r="Q28" s="683"/>
      <c r="R28" s="683"/>
      <c r="S28" s="683"/>
      <c r="T28" s="683"/>
      <c r="U28" s="683"/>
      <c r="V28" s="684"/>
      <c r="W28" s="37" t="s">
        <v>89</v>
      </c>
      <c r="X28" s="665">
        <f>IFERROR(X22/H22,"0")+IFERROR(X23/H23,"0")+IFERROR(X24/H24,"0")+IFERROR(X25/H25,"0")+IFERROR(X26/H26,"0")+IFERROR(X27/H27,"0")</f>
        <v>8.3333333333333339</v>
      </c>
      <c r="Y28" s="665">
        <f>IFERROR(Y22/H22,"0")+IFERROR(Y23/H23,"0")+IFERROR(Y24/H24,"0")+IFERROR(Y25/H25,"0")+IFERROR(Y26/H26,"0")+IFERROR(Y27/H27,"0")</f>
        <v>9</v>
      </c>
      <c r="Z28" s="665">
        <f>IFERROR(IF(Z22="",0,Z22),"0")+IFERROR(IF(Z23="",0,Z23),"0")+IFERROR(IF(Z24="",0,Z24),"0")+IFERROR(IF(Z25="",0,Z25),"0")+IFERROR(IF(Z26="",0,Z26),"0")+IFERROR(IF(Z27="",0,Z27),"0")</f>
        <v>5.8590000000000003E-2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88</v>
      </c>
      <c r="Q29" s="683"/>
      <c r="R29" s="683"/>
      <c r="S29" s="683"/>
      <c r="T29" s="683"/>
      <c r="U29" s="683"/>
      <c r="V29" s="684"/>
      <c r="W29" s="37" t="s">
        <v>69</v>
      </c>
      <c r="X29" s="665">
        <f>IFERROR(SUM(X22:X27),"0")</f>
        <v>15</v>
      </c>
      <c r="Y29" s="665">
        <f>IFERROR(SUM(Y22:Y27),"0")</f>
        <v>16.2</v>
      </c>
      <c r="Z29" s="37"/>
      <c r="AA29" s="666"/>
      <c r="AB29" s="666"/>
      <c r="AC29" s="666"/>
    </row>
    <row r="30" spans="1:68" ht="14.25" customHeight="1" x14ac:dyDescent="0.25">
      <c r="A30" s="679" t="s">
        <v>90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69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88</v>
      </c>
      <c r="Q32" s="683"/>
      <c r="R32" s="683"/>
      <c r="S32" s="683"/>
      <c r="T32" s="683"/>
      <c r="U32" s="683"/>
      <c r="V32" s="684"/>
      <c r="W32" s="37" t="s">
        <v>89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88</v>
      </c>
      <c r="Q33" s="683"/>
      <c r="R33" s="683"/>
      <c r="S33" s="683"/>
      <c r="T33" s="683"/>
      <c r="U33" s="683"/>
      <c r="V33" s="684"/>
      <c r="W33" s="37" t="s">
        <v>69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96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97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98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69</v>
      </c>
      <c r="X37" s="663">
        <v>150</v>
      </c>
      <c r="Y37" s="664">
        <f>IFERROR(IF(X37="",0,CEILING((X37/$H37),1)*$H37),"")</f>
        <v>151.20000000000002</v>
      </c>
      <c r="Z37" s="36">
        <f>IFERROR(IF(Y37=0,"",ROUNDUP(Y37/H37,0)*0.01898),"")</f>
        <v>0.26572000000000001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156.04166666666666</v>
      </c>
      <c r="BN37" s="64">
        <f>IFERROR(Y37*I37/H37,"0")</f>
        <v>157.29000000000002</v>
      </c>
      <c r="BO37" s="64">
        <f>IFERROR(1/J37*(X37/H37),"0")</f>
        <v>0.21701388888888887</v>
      </c>
      <c r="BP37" s="64">
        <f>IFERROR(1/J37*(Y37/H37),"0")</f>
        <v>0.21875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69</v>
      </c>
      <c r="X38" s="663">
        <v>240</v>
      </c>
      <c r="Y38" s="664">
        <f>IFERROR(IF(X38="",0,CEILING((X38/$H38),1)*$H38),"")</f>
        <v>240</v>
      </c>
      <c r="Z38" s="36">
        <f>IFERROR(IF(Y38=0,"",ROUNDUP(Y38/H38,0)*0.00902),"")</f>
        <v>0.54120000000000001</v>
      </c>
      <c r="AA38" s="56"/>
      <c r="AB38" s="57"/>
      <c r="AC38" s="85" t="s">
        <v>103</v>
      </c>
      <c r="AG38" s="64"/>
      <c r="AJ38" s="68" t="s">
        <v>109</v>
      </c>
      <c r="AK38" s="68">
        <v>528</v>
      </c>
      <c r="BB38" s="86" t="s">
        <v>1</v>
      </c>
      <c r="BM38" s="64">
        <f>IFERROR(X38*I38/H38,"0")</f>
        <v>252.6</v>
      </c>
      <c r="BN38" s="64">
        <f>IFERROR(Y38*I38/H38,"0")</f>
        <v>252.6</v>
      </c>
      <c r="BO38" s="64">
        <f>IFERROR(1/J38*(X38/H38),"0")</f>
        <v>0.45454545454545459</v>
      </c>
      <c r="BP38" s="64">
        <f>IFERROR(1/J38*(Y38/H38),"0")</f>
        <v>0.45454545454545459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69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69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88</v>
      </c>
      <c r="Q41" s="683"/>
      <c r="R41" s="683"/>
      <c r="S41" s="683"/>
      <c r="T41" s="683"/>
      <c r="U41" s="683"/>
      <c r="V41" s="684"/>
      <c r="W41" s="37" t="s">
        <v>89</v>
      </c>
      <c r="X41" s="665">
        <f>IFERROR(X37/H37,"0")+IFERROR(X38/H38,"0")+IFERROR(X39/H39,"0")+IFERROR(X40/H40,"0")</f>
        <v>73.888888888888886</v>
      </c>
      <c r="Y41" s="665">
        <f>IFERROR(Y37/H37,"0")+IFERROR(Y38/H38,"0")+IFERROR(Y39/H39,"0")+IFERROR(Y40/H40,"0")</f>
        <v>74</v>
      </c>
      <c r="Z41" s="665">
        <f>IFERROR(IF(Z37="",0,Z37),"0")+IFERROR(IF(Z38="",0,Z38),"0")+IFERROR(IF(Z39="",0,Z39),"0")+IFERROR(IF(Z40="",0,Z40),"0")</f>
        <v>0.80692000000000008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88</v>
      </c>
      <c r="Q42" s="683"/>
      <c r="R42" s="683"/>
      <c r="S42" s="683"/>
      <c r="T42" s="683"/>
      <c r="U42" s="683"/>
      <c r="V42" s="684"/>
      <c r="W42" s="37" t="s">
        <v>69</v>
      </c>
      <c r="X42" s="665">
        <f>IFERROR(SUM(X37:X40),"0")</f>
        <v>390</v>
      </c>
      <c r="Y42" s="665">
        <f>IFERROR(SUM(Y37:Y40),"0")</f>
        <v>391.20000000000005</v>
      </c>
      <c r="Z42" s="37"/>
      <c r="AA42" s="666"/>
      <c r="AB42" s="666"/>
      <c r="AC42" s="666"/>
    </row>
    <row r="43" spans="1:68" ht="14.25" customHeight="1" x14ac:dyDescent="0.25">
      <c r="A43" s="679" t="s">
        <v>64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69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88</v>
      </c>
      <c r="Q45" s="683"/>
      <c r="R45" s="683"/>
      <c r="S45" s="683"/>
      <c r="T45" s="683"/>
      <c r="U45" s="683"/>
      <c r="V45" s="684"/>
      <c r="W45" s="37" t="s">
        <v>89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88</v>
      </c>
      <c r="Q46" s="683"/>
      <c r="R46" s="683"/>
      <c r="S46" s="683"/>
      <c r="T46" s="683"/>
      <c r="U46" s="683"/>
      <c r="V46" s="684"/>
      <c r="W46" s="37" t="s">
        <v>69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118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98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69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101</v>
      </c>
      <c r="L50" s="32" t="s">
        <v>107</v>
      </c>
      <c r="M50" s="33" t="s">
        <v>102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69</v>
      </c>
      <c r="X50" s="663">
        <v>200</v>
      </c>
      <c r="Y50" s="664">
        <f t="shared" si="6"/>
        <v>205.20000000000002</v>
      </c>
      <c r="Z50" s="36">
        <f>IFERROR(IF(Y50=0,"",ROUNDUP(Y50/H50,0)*0.01898),"")</f>
        <v>0.36062</v>
      </c>
      <c r="AA50" s="56"/>
      <c r="AB50" s="57"/>
      <c r="AC50" s="95" t="s">
        <v>124</v>
      </c>
      <c r="AG50" s="64"/>
      <c r="AJ50" s="68" t="s">
        <v>109</v>
      </c>
      <c r="AK50" s="68">
        <v>691.2</v>
      </c>
      <c r="BB50" s="96" t="s">
        <v>1</v>
      </c>
      <c r="BM50" s="64">
        <f t="shared" si="7"/>
        <v>208.05555555555554</v>
      </c>
      <c r="BN50" s="64">
        <f t="shared" si="8"/>
        <v>213.46499999999997</v>
      </c>
      <c r="BO50" s="64">
        <f t="shared" si="9"/>
        <v>0.28935185185185186</v>
      </c>
      <c r="BP50" s="64">
        <f t="shared" si="10"/>
        <v>0.296875</v>
      </c>
    </row>
    <row r="51" spans="1:68" ht="27" customHeight="1" x14ac:dyDescent="0.25">
      <c r="A51" s="54" t="s">
        <v>125</v>
      </c>
      <c r="B51" s="54" t="s">
        <v>126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69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127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128</v>
      </c>
      <c r="B52" s="54" t="s">
        <v>129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69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124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130</v>
      </c>
      <c r="B53" s="54" t="s">
        <v>131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67</v>
      </c>
      <c r="L53" s="32"/>
      <c r="M53" s="33" t="s">
        <v>132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69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133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134</v>
      </c>
      <c r="B54" s="54" t="s">
        <v>135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106</v>
      </c>
      <c r="L54" s="32" t="s">
        <v>107</v>
      </c>
      <c r="M54" s="33" t="s">
        <v>102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69</v>
      </c>
      <c r="X54" s="663">
        <v>315</v>
      </c>
      <c r="Y54" s="664">
        <f t="shared" si="6"/>
        <v>315</v>
      </c>
      <c r="Z54" s="36">
        <f>IFERROR(IF(Y54=0,"",ROUNDUP(Y54/H54,0)*0.00902),"")</f>
        <v>0.63139999999999996</v>
      </c>
      <c r="AA54" s="56"/>
      <c r="AB54" s="57"/>
      <c r="AC54" s="103" t="s">
        <v>124</v>
      </c>
      <c r="AG54" s="64"/>
      <c r="AJ54" s="68" t="s">
        <v>109</v>
      </c>
      <c r="AK54" s="68">
        <v>594</v>
      </c>
      <c r="BB54" s="104" t="s">
        <v>1</v>
      </c>
      <c r="BM54" s="64">
        <f t="shared" si="7"/>
        <v>329.70000000000005</v>
      </c>
      <c r="BN54" s="64">
        <f t="shared" si="8"/>
        <v>329.70000000000005</v>
      </c>
      <c r="BO54" s="64">
        <f t="shared" si="9"/>
        <v>0.53030303030303028</v>
      </c>
      <c r="BP54" s="64">
        <f t="shared" si="10"/>
        <v>0.53030303030303028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88</v>
      </c>
      <c r="Q55" s="683"/>
      <c r="R55" s="683"/>
      <c r="S55" s="683"/>
      <c r="T55" s="683"/>
      <c r="U55" s="683"/>
      <c r="V55" s="684"/>
      <c r="W55" s="37" t="s">
        <v>89</v>
      </c>
      <c r="X55" s="665">
        <f>IFERROR(X49/H49,"0")+IFERROR(X50/H50,"0")+IFERROR(X51/H51,"0")+IFERROR(X52/H52,"0")+IFERROR(X53/H53,"0")+IFERROR(X54/H54,"0")</f>
        <v>88.518518518518519</v>
      </c>
      <c r="Y55" s="665">
        <f>IFERROR(Y49/H49,"0")+IFERROR(Y50/H50,"0")+IFERROR(Y51/H51,"0")+IFERROR(Y52/H52,"0")+IFERROR(Y53/H53,"0")+IFERROR(Y54/H54,"0")</f>
        <v>89</v>
      </c>
      <c r="Z55" s="665">
        <f>IFERROR(IF(Z49="",0,Z49),"0")+IFERROR(IF(Z50="",0,Z50),"0")+IFERROR(IF(Z51="",0,Z51),"0")+IFERROR(IF(Z52="",0,Z52),"0")+IFERROR(IF(Z53="",0,Z53),"0")+IFERROR(IF(Z54="",0,Z54),"0")</f>
        <v>0.9920199999999999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88</v>
      </c>
      <c r="Q56" s="683"/>
      <c r="R56" s="683"/>
      <c r="S56" s="683"/>
      <c r="T56" s="683"/>
      <c r="U56" s="683"/>
      <c r="V56" s="684"/>
      <c r="W56" s="37" t="s">
        <v>69</v>
      </c>
      <c r="X56" s="665">
        <f>IFERROR(SUM(X49:X54),"0")</f>
        <v>515</v>
      </c>
      <c r="Y56" s="665">
        <f>IFERROR(SUM(Y49:Y54),"0")</f>
        <v>520.20000000000005</v>
      </c>
      <c r="Z56" s="37"/>
      <c r="AA56" s="666"/>
      <c r="AB56" s="666"/>
      <c r="AC56" s="666"/>
    </row>
    <row r="57" spans="1:68" ht="14.25" customHeight="1" x14ac:dyDescent="0.25">
      <c r="A57" s="679" t="s">
        <v>136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137</v>
      </c>
      <c r="B58" s="54" t="s">
        <v>138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69</v>
      </c>
      <c r="X58" s="663">
        <v>50</v>
      </c>
      <c r="Y58" s="664">
        <f>IFERROR(IF(X58="",0,CEILING((X58/$H58),1)*$H58),"")</f>
        <v>54</v>
      </c>
      <c r="Z58" s="36">
        <f>IFERROR(IF(Y58=0,"",ROUNDUP(Y58/H58,0)*0.01898),"")</f>
        <v>9.4899999999999998E-2</v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52.013888888888886</v>
      </c>
      <c r="BN58" s="64">
        <f>IFERROR(Y58*I58/H58,"0")</f>
        <v>56.17499999999999</v>
      </c>
      <c r="BO58" s="64">
        <f>IFERROR(1/J58*(X58/H58),"0")</f>
        <v>7.2337962962962965E-2</v>
      </c>
      <c r="BP58" s="64">
        <f>IFERROR(1/J58*(Y58/H58),"0")</f>
        <v>7.8125E-2</v>
      </c>
    </row>
    <row r="59" spans="1:68" ht="27" customHeight="1" x14ac:dyDescent="0.25">
      <c r="A59" s="54" t="s">
        <v>140</v>
      </c>
      <c r="B59" s="54" t="s">
        <v>141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69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142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143</v>
      </c>
      <c r="B60" s="54" t="s">
        <v>144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69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139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145</v>
      </c>
      <c r="B61" s="54" t="s">
        <v>146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67</v>
      </c>
      <c r="L61" s="32" t="s">
        <v>107</v>
      </c>
      <c r="M61" s="33" t="s">
        <v>102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69</v>
      </c>
      <c r="X61" s="663">
        <v>90</v>
      </c>
      <c r="Y61" s="664">
        <f>IFERROR(IF(X61="",0,CEILING((X61/$H61),1)*$H61),"")</f>
        <v>91.800000000000011</v>
      </c>
      <c r="Z61" s="36">
        <f>IFERROR(IF(Y61=0,"",ROUNDUP(Y61/H61,0)*0.00651),"")</f>
        <v>0.22134000000000001</v>
      </c>
      <c r="AA61" s="56"/>
      <c r="AB61" s="57"/>
      <c r="AC61" s="111" t="s">
        <v>139</v>
      </c>
      <c r="AG61" s="64"/>
      <c r="AJ61" s="68" t="s">
        <v>109</v>
      </c>
      <c r="AK61" s="68">
        <v>491.4</v>
      </c>
      <c r="BB61" s="112" t="s">
        <v>1</v>
      </c>
      <c r="BM61" s="64">
        <f>IFERROR(X61*I61/H61,"0")</f>
        <v>95.999999999999986</v>
      </c>
      <c r="BN61" s="64">
        <f>IFERROR(Y61*I61/H61,"0")</f>
        <v>97.92</v>
      </c>
      <c r="BO61" s="64">
        <f>IFERROR(1/J61*(X61/H61),"0")</f>
        <v>0.18315018315018314</v>
      </c>
      <c r="BP61" s="64">
        <f>IFERROR(1/J61*(Y61/H61),"0")</f>
        <v>0.18681318681318682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88</v>
      </c>
      <c r="Q62" s="683"/>
      <c r="R62" s="683"/>
      <c r="S62" s="683"/>
      <c r="T62" s="683"/>
      <c r="U62" s="683"/>
      <c r="V62" s="684"/>
      <c r="W62" s="37" t="s">
        <v>89</v>
      </c>
      <c r="X62" s="665">
        <f>IFERROR(X58/H58,"0")+IFERROR(X59/H59,"0")+IFERROR(X60/H60,"0")+IFERROR(X61/H61,"0")</f>
        <v>37.962962962962962</v>
      </c>
      <c r="Y62" s="665">
        <f>IFERROR(Y58/H58,"0")+IFERROR(Y59/H59,"0")+IFERROR(Y60/H60,"0")+IFERROR(Y61/H61,"0")</f>
        <v>39</v>
      </c>
      <c r="Z62" s="665">
        <f>IFERROR(IF(Z58="",0,Z58),"0")+IFERROR(IF(Z59="",0,Z59),"0")+IFERROR(IF(Z60="",0,Z60),"0")+IFERROR(IF(Z61="",0,Z61),"0")</f>
        <v>0.31624000000000002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88</v>
      </c>
      <c r="Q63" s="683"/>
      <c r="R63" s="683"/>
      <c r="S63" s="683"/>
      <c r="T63" s="683"/>
      <c r="U63" s="683"/>
      <c r="V63" s="684"/>
      <c r="W63" s="37" t="s">
        <v>69</v>
      </c>
      <c r="X63" s="665">
        <f>IFERROR(SUM(X58:X61),"0")</f>
        <v>140</v>
      </c>
      <c r="Y63" s="665">
        <f>IFERROR(SUM(Y58:Y61),"0")</f>
        <v>145.80000000000001</v>
      </c>
      <c r="Z63" s="37"/>
      <c r="AA63" s="666"/>
      <c r="AB63" s="666"/>
      <c r="AC63" s="666"/>
    </row>
    <row r="64" spans="1:68" ht="14.25" customHeight="1" x14ac:dyDescent="0.25">
      <c r="A64" s="679" t="s">
        <v>147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148</v>
      </c>
      <c r="B65" s="54" t="s">
        <v>149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150</v>
      </c>
      <c r="L65" s="32"/>
      <c r="M65" s="33" t="s">
        <v>68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69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150</v>
      </c>
      <c r="L66" s="32"/>
      <c r="M66" s="33" t="s">
        <v>68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69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155</v>
      </c>
      <c r="B67" s="54" t="s">
        <v>156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150</v>
      </c>
      <c r="L67" s="32"/>
      <c r="M67" s="33" t="s">
        <v>68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69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157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88</v>
      </c>
      <c r="Q68" s="683"/>
      <c r="R68" s="683"/>
      <c r="S68" s="683"/>
      <c r="T68" s="683"/>
      <c r="U68" s="683"/>
      <c r="V68" s="684"/>
      <c r="W68" s="37" t="s">
        <v>89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88</v>
      </c>
      <c r="Q69" s="683"/>
      <c r="R69" s="683"/>
      <c r="S69" s="683"/>
      <c r="T69" s="683"/>
      <c r="U69" s="683"/>
      <c r="V69" s="684"/>
      <c r="W69" s="37" t="s">
        <v>69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64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158</v>
      </c>
      <c r="B71" s="54" t="s">
        <v>159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69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161</v>
      </c>
      <c r="B72" s="54" t="s">
        <v>162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69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164</v>
      </c>
      <c r="B73" s="54" t="s">
        <v>165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69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166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167</v>
      </c>
      <c r="B74" s="54" t="s">
        <v>168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69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169</v>
      </c>
      <c r="B75" s="54" t="s">
        <v>170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69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171</v>
      </c>
      <c r="B76" s="54" t="s">
        <v>172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69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166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88</v>
      </c>
      <c r="Q77" s="683"/>
      <c r="R77" s="683"/>
      <c r="S77" s="683"/>
      <c r="T77" s="683"/>
      <c r="U77" s="683"/>
      <c r="V77" s="684"/>
      <c r="W77" s="37" t="s">
        <v>89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88</v>
      </c>
      <c r="Q78" s="683"/>
      <c r="R78" s="683"/>
      <c r="S78" s="683"/>
      <c r="T78" s="683"/>
      <c r="U78" s="683"/>
      <c r="V78" s="684"/>
      <c r="W78" s="37" t="s">
        <v>69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79" t="s">
        <v>173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174</v>
      </c>
      <c r="B80" s="54" t="s">
        <v>175</v>
      </c>
      <c r="C80" s="31">
        <v>4301060366</v>
      </c>
      <c r="D80" s="667">
        <v>4680115881532</v>
      </c>
      <c r="E80" s="668"/>
      <c r="F80" s="662">
        <v>1.3</v>
      </c>
      <c r="G80" s="32">
        <v>6</v>
      </c>
      <c r="H80" s="662">
        <v>7.8</v>
      </c>
      <c r="I80" s="662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0"/>
      <c r="R80" s="670"/>
      <c r="S80" s="670"/>
      <c r="T80" s="671"/>
      <c r="U80" s="34"/>
      <c r="V80" s="34"/>
      <c r="W80" s="35" t="s">
        <v>69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176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174</v>
      </c>
      <c r="B81" s="54" t="s">
        <v>177</v>
      </c>
      <c r="C81" s="31">
        <v>4301060371</v>
      </c>
      <c r="D81" s="667">
        <v>4680115881532</v>
      </c>
      <c r="E81" s="668"/>
      <c r="F81" s="662">
        <v>1.4</v>
      </c>
      <c r="G81" s="32">
        <v>6</v>
      </c>
      <c r="H81" s="662">
        <v>8.4</v>
      </c>
      <c r="I81" s="662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5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0"/>
      <c r="R81" s="670"/>
      <c r="S81" s="670"/>
      <c r="T81" s="671"/>
      <c r="U81" s="34"/>
      <c r="V81" s="34"/>
      <c r="W81" s="35" t="s">
        <v>69</v>
      </c>
      <c r="X81" s="663">
        <v>20</v>
      </c>
      <c r="Y81" s="664">
        <f>IFERROR(IF(X81="",0,CEILING((X81/$H81),1)*$H81),"")</f>
        <v>25.200000000000003</v>
      </c>
      <c r="Z81" s="36">
        <f>IFERROR(IF(Y81=0,"",ROUNDUP(Y81/H81,0)*0.01898),"")</f>
        <v>5.6940000000000004E-2</v>
      </c>
      <c r="AA81" s="56"/>
      <c r="AB81" s="57"/>
      <c r="AC81" s="133" t="s">
        <v>176</v>
      </c>
      <c r="AG81" s="64"/>
      <c r="AJ81" s="68"/>
      <c r="AK81" s="68">
        <v>0</v>
      </c>
      <c r="BB81" s="134" t="s">
        <v>1</v>
      </c>
      <c r="BM81" s="64">
        <f>IFERROR(X81*I81/H81,"0")</f>
        <v>21.235714285714284</v>
      </c>
      <c r="BN81" s="64">
        <f>IFERROR(Y81*I81/H81,"0")</f>
        <v>26.757000000000001</v>
      </c>
      <c r="BO81" s="64">
        <f>IFERROR(1/J81*(X81/H81),"0")</f>
        <v>3.7202380952380952E-2</v>
      </c>
      <c r="BP81" s="64">
        <f>IFERROR(1/J81*(Y81/H81),"0")</f>
        <v>4.6875E-2</v>
      </c>
    </row>
    <row r="82" spans="1:68" ht="27" customHeight="1" x14ac:dyDescent="0.25">
      <c r="A82" s="54" t="s">
        <v>178</v>
      </c>
      <c r="B82" s="54" t="s">
        <v>179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69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180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88</v>
      </c>
      <c r="Q83" s="683"/>
      <c r="R83" s="683"/>
      <c r="S83" s="683"/>
      <c r="T83" s="683"/>
      <c r="U83" s="683"/>
      <c r="V83" s="684"/>
      <c r="W83" s="37" t="s">
        <v>89</v>
      </c>
      <c r="X83" s="665">
        <f>IFERROR(X80/H80,"0")+IFERROR(X81/H81,"0")+IFERROR(X82/H82,"0")</f>
        <v>2.3809523809523809</v>
      </c>
      <c r="Y83" s="665">
        <f>IFERROR(Y80/H80,"0")+IFERROR(Y81/H81,"0")+IFERROR(Y82/H82,"0")</f>
        <v>3</v>
      </c>
      <c r="Z83" s="665">
        <f>IFERROR(IF(Z80="",0,Z80),"0")+IFERROR(IF(Z81="",0,Z81),"0")+IFERROR(IF(Z82="",0,Z82),"0")</f>
        <v>5.6940000000000004E-2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88</v>
      </c>
      <c r="Q84" s="683"/>
      <c r="R84" s="683"/>
      <c r="S84" s="683"/>
      <c r="T84" s="683"/>
      <c r="U84" s="683"/>
      <c r="V84" s="684"/>
      <c r="W84" s="37" t="s">
        <v>69</v>
      </c>
      <c r="X84" s="665">
        <f>IFERROR(SUM(X80:X82),"0")</f>
        <v>20</v>
      </c>
      <c r="Y84" s="665">
        <f>IFERROR(SUM(Y80:Y82),"0")</f>
        <v>25.200000000000003</v>
      </c>
      <c r="Z84" s="37"/>
      <c r="AA84" s="666"/>
      <c r="AB84" s="666"/>
      <c r="AC84" s="666"/>
    </row>
    <row r="85" spans="1:68" ht="16.5" customHeight="1" x14ac:dyDescent="0.25">
      <c r="A85" s="716" t="s">
        <v>181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98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182</v>
      </c>
      <c r="B87" s="54" t="s">
        <v>183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101</v>
      </c>
      <c r="L87" s="32"/>
      <c r="M87" s="33" t="s">
        <v>132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69</v>
      </c>
      <c r="X87" s="663">
        <v>150</v>
      </c>
      <c r="Y87" s="664">
        <f>IFERROR(IF(X87="",0,CEILING((X87/$H87),1)*$H87),"")</f>
        <v>151.20000000000002</v>
      </c>
      <c r="Z87" s="36">
        <f>IFERROR(IF(Y87=0,"",ROUNDUP(Y87/H87,0)*0.01898),"")</f>
        <v>0.26572000000000001</v>
      </c>
      <c r="AA87" s="56"/>
      <c r="AB87" s="57"/>
      <c r="AC87" s="137" t="s">
        <v>184</v>
      </c>
      <c r="AG87" s="64"/>
      <c r="AJ87" s="68"/>
      <c r="AK87" s="68">
        <v>0</v>
      </c>
      <c r="BB87" s="138" t="s">
        <v>1</v>
      </c>
      <c r="BM87" s="64">
        <f>IFERROR(X87*I87/H87,"0")</f>
        <v>156.04166666666666</v>
      </c>
      <c r="BN87" s="64">
        <f>IFERROR(Y87*I87/H87,"0")</f>
        <v>157.29000000000002</v>
      </c>
      <c r="BO87" s="64">
        <f>IFERROR(1/J87*(X87/H87),"0")</f>
        <v>0.21701388888888887</v>
      </c>
      <c r="BP87" s="64">
        <f>IFERROR(1/J87*(Y87/H87),"0")</f>
        <v>0.21875</v>
      </c>
    </row>
    <row r="88" spans="1:68" ht="16.5" customHeight="1" x14ac:dyDescent="0.25">
      <c r="A88" s="54" t="s">
        <v>185</v>
      </c>
      <c r="B88" s="54" t="s">
        <v>186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69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184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187</v>
      </c>
      <c r="B89" s="54" t="s">
        <v>188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106</v>
      </c>
      <c r="L89" s="32" t="s">
        <v>107</v>
      </c>
      <c r="M89" s="33" t="s">
        <v>132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69</v>
      </c>
      <c r="X89" s="663">
        <v>405</v>
      </c>
      <c r="Y89" s="664">
        <f>IFERROR(IF(X89="",0,CEILING((X89/$H89),1)*$H89),"")</f>
        <v>405</v>
      </c>
      <c r="Z89" s="36">
        <f>IFERROR(IF(Y89=0,"",ROUNDUP(Y89/H89,0)*0.00902),"")</f>
        <v>0.81180000000000008</v>
      </c>
      <c r="AA89" s="56"/>
      <c r="AB89" s="57"/>
      <c r="AC89" s="141" t="s">
        <v>189</v>
      </c>
      <c r="AG89" s="64"/>
      <c r="AJ89" s="68" t="s">
        <v>109</v>
      </c>
      <c r="AK89" s="68">
        <v>594</v>
      </c>
      <c r="BB89" s="142" t="s">
        <v>1</v>
      </c>
      <c r="BM89" s="64">
        <f>IFERROR(X89*I89/H89,"0")</f>
        <v>423.9</v>
      </c>
      <c r="BN89" s="64">
        <f>IFERROR(Y89*I89/H89,"0")</f>
        <v>423.9</v>
      </c>
      <c r="BO89" s="64">
        <f>IFERROR(1/J89*(X89/H89),"0")</f>
        <v>0.68181818181818188</v>
      </c>
      <c r="BP89" s="64">
        <f>IFERROR(1/J89*(Y89/H89),"0")</f>
        <v>0.68181818181818188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88</v>
      </c>
      <c r="Q90" s="683"/>
      <c r="R90" s="683"/>
      <c r="S90" s="683"/>
      <c r="T90" s="683"/>
      <c r="U90" s="683"/>
      <c r="V90" s="684"/>
      <c r="W90" s="37" t="s">
        <v>89</v>
      </c>
      <c r="X90" s="665">
        <f>IFERROR(X87/H87,"0")+IFERROR(X88/H88,"0")+IFERROR(X89/H89,"0")</f>
        <v>103.88888888888889</v>
      </c>
      <c r="Y90" s="665">
        <f>IFERROR(Y87/H87,"0")+IFERROR(Y88/H88,"0")+IFERROR(Y89/H89,"0")</f>
        <v>104</v>
      </c>
      <c r="Z90" s="665">
        <f>IFERROR(IF(Z87="",0,Z87),"0")+IFERROR(IF(Z88="",0,Z88),"0")+IFERROR(IF(Z89="",0,Z89),"0")</f>
        <v>1.07752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88</v>
      </c>
      <c r="Q91" s="683"/>
      <c r="R91" s="683"/>
      <c r="S91" s="683"/>
      <c r="T91" s="683"/>
      <c r="U91" s="683"/>
      <c r="V91" s="684"/>
      <c r="W91" s="37" t="s">
        <v>69</v>
      </c>
      <c r="X91" s="665">
        <f>IFERROR(SUM(X87:X89),"0")</f>
        <v>555</v>
      </c>
      <c r="Y91" s="665">
        <f>IFERROR(SUM(Y87:Y89),"0")</f>
        <v>556.20000000000005</v>
      </c>
      <c r="Z91" s="37"/>
      <c r="AA91" s="666"/>
      <c r="AB91" s="666"/>
      <c r="AC91" s="666"/>
    </row>
    <row r="92" spans="1:68" ht="14.25" customHeight="1" x14ac:dyDescent="0.25">
      <c r="A92" s="679" t="s">
        <v>64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27" customHeight="1" x14ac:dyDescent="0.25">
      <c r="A93" s="54" t="s">
        <v>190</v>
      </c>
      <c r="B93" s="54" t="s">
        <v>191</v>
      </c>
      <c r="C93" s="31">
        <v>4301051546</v>
      </c>
      <c r="D93" s="667">
        <v>4607091386967</v>
      </c>
      <c r="E93" s="668"/>
      <c r="F93" s="662">
        <v>1.4</v>
      </c>
      <c r="G93" s="32">
        <v>6</v>
      </c>
      <c r="H93" s="662">
        <v>8.4</v>
      </c>
      <c r="I93" s="662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101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0"/>
      <c r="R93" s="670"/>
      <c r="S93" s="670"/>
      <c r="T93" s="671"/>
      <c r="U93" s="34"/>
      <c r="V93" s="34"/>
      <c r="W93" s="35" t="s">
        <v>69</v>
      </c>
      <c r="X93" s="663">
        <v>120</v>
      </c>
      <c r="Y93" s="664">
        <f t="shared" ref="Y93:Y101" si="16">IFERROR(IF(X93="",0,CEILING((X93/$H93),1)*$H93),"")</f>
        <v>126</v>
      </c>
      <c r="Z93" s="36">
        <f>IFERROR(IF(Y93=0,"",ROUNDUP(Y93/H93,0)*0.01898),"")</f>
        <v>0.28470000000000001</v>
      </c>
      <c r="AA93" s="56"/>
      <c r="AB93" s="57"/>
      <c r="AC93" s="143" t="s">
        <v>192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127.41428571428571</v>
      </c>
      <c r="BN93" s="64">
        <f t="shared" ref="BN93:BN101" si="18">IFERROR(Y93*I93/H93,"0")</f>
        <v>133.785</v>
      </c>
      <c r="BO93" s="64">
        <f t="shared" ref="BO93:BO101" si="19">IFERROR(1/J93*(X93/H93),"0")</f>
        <v>0.2232142857142857</v>
      </c>
      <c r="BP93" s="64">
        <f t="shared" ref="BP93:BP101" si="20">IFERROR(1/J93*(Y93/H93),"0")</f>
        <v>0.234375</v>
      </c>
    </row>
    <row r="94" spans="1:68" ht="27" customHeight="1" x14ac:dyDescent="0.25">
      <c r="A94" s="54" t="s">
        <v>190</v>
      </c>
      <c r="B94" s="54" t="s">
        <v>193</v>
      </c>
      <c r="C94" s="31">
        <v>4301051437</v>
      </c>
      <c r="D94" s="667">
        <v>4607091386967</v>
      </c>
      <c r="E94" s="668"/>
      <c r="F94" s="662">
        <v>1.35</v>
      </c>
      <c r="G94" s="32">
        <v>6</v>
      </c>
      <c r="H94" s="662">
        <v>8.1</v>
      </c>
      <c r="I94" s="662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0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0"/>
      <c r="R94" s="670"/>
      <c r="S94" s="670"/>
      <c r="T94" s="671"/>
      <c r="U94" s="34"/>
      <c r="V94" s="34"/>
      <c r="W94" s="35" t="s">
        <v>69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190</v>
      </c>
      <c r="B95" s="54" t="s">
        <v>194</v>
      </c>
      <c r="C95" s="31">
        <v>4301051712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101</v>
      </c>
      <c r="L95" s="32"/>
      <c r="M95" s="33" t="s">
        <v>132</v>
      </c>
      <c r="N95" s="33"/>
      <c r="O95" s="32">
        <v>45</v>
      </c>
      <c r="P95" s="741" t="s">
        <v>195</v>
      </c>
      <c r="Q95" s="670"/>
      <c r="R95" s="670"/>
      <c r="S95" s="670"/>
      <c r="T95" s="671"/>
      <c r="U95" s="34"/>
      <c r="V95" s="34"/>
      <c r="W95" s="35" t="s">
        <v>69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196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197</v>
      </c>
      <c r="B96" s="54" t="s">
        <v>198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6" t="s">
        <v>199</v>
      </c>
      <c r="Q96" s="670"/>
      <c r="R96" s="670"/>
      <c r="S96" s="670"/>
      <c r="T96" s="671"/>
      <c r="U96" s="34"/>
      <c r="V96" s="34"/>
      <c r="W96" s="35" t="s">
        <v>69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200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201</v>
      </c>
      <c r="B97" s="54" t="s">
        <v>202</v>
      </c>
      <c r="C97" s="31">
        <v>4301052039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66" t="s">
        <v>203</v>
      </c>
      <c r="Q97" s="670"/>
      <c r="R97" s="670"/>
      <c r="S97" s="670"/>
      <c r="T97" s="671"/>
      <c r="U97" s="34"/>
      <c r="V97" s="34"/>
      <c r="W97" s="35" t="s">
        <v>69</v>
      </c>
      <c r="X97" s="663">
        <v>540</v>
      </c>
      <c r="Y97" s="664">
        <f t="shared" si="16"/>
        <v>540</v>
      </c>
      <c r="Z97" s="36">
        <f>IFERROR(IF(Y97=0,"",ROUNDUP(Y97/H97,0)*0.00651),"")</f>
        <v>1.302</v>
      </c>
      <c r="AA97" s="56"/>
      <c r="AB97" s="57"/>
      <c r="AC97" s="151" t="s">
        <v>192</v>
      </c>
      <c r="AG97" s="64"/>
      <c r="AJ97" s="68"/>
      <c r="AK97" s="68">
        <v>0</v>
      </c>
      <c r="BB97" s="152" t="s">
        <v>1</v>
      </c>
      <c r="BM97" s="64">
        <f t="shared" si="17"/>
        <v>590.4</v>
      </c>
      <c r="BN97" s="64">
        <f t="shared" si="18"/>
        <v>590.4</v>
      </c>
      <c r="BO97" s="64">
        <f t="shared" si="19"/>
        <v>1.098901098901099</v>
      </c>
      <c r="BP97" s="64">
        <f t="shared" si="20"/>
        <v>1.098901098901099</v>
      </c>
    </row>
    <row r="98" spans="1:68" ht="16.5" customHeight="1" x14ac:dyDescent="0.25">
      <c r="A98" s="54" t="s">
        <v>201</v>
      </c>
      <c r="B98" s="54" t="s">
        <v>204</v>
      </c>
      <c r="C98" s="31">
        <v>4301051718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67</v>
      </c>
      <c r="L98" s="32"/>
      <c r="M98" s="33" t="s">
        <v>132</v>
      </c>
      <c r="N98" s="33"/>
      <c r="O98" s="32">
        <v>45</v>
      </c>
      <c r="P98" s="943" t="s">
        <v>205</v>
      </c>
      <c r="Q98" s="670"/>
      <c r="R98" s="670"/>
      <c r="S98" s="670"/>
      <c r="T98" s="671"/>
      <c r="U98" s="34"/>
      <c r="V98" s="34"/>
      <c r="W98" s="35" t="s">
        <v>69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196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206</v>
      </c>
      <c r="B99" s="54" t="s">
        <v>207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69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208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209</v>
      </c>
      <c r="B100" s="54" t="s">
        <v>210</v>
      </c>
      <c r="C100" s="31">
        <v>4301051439</v>
      </c>
      <c r="D100" s="667">
        <v>4680115880214</v>
      </c>
      <c r="E100" s="668"/>
      <c r="F100" s="662">
        <v>0.45</v>
      </c>
      <c r="G100" s="32">
        <v>6</v>
      </c>
      <c r="H100" s="662">
        <v>2.7</v>
      </c>
      <c r="I100" s="662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26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0"/>
      <c r="R100" s="670"/>
      <c r="S100" s="670"/>
      <c r="T100" s="671"/>
      <c r="U100" s="34"/>
      <c r="V100" s="34"/>
      <c r="W100" s="35" t="s">
        <v>69</v>
      </c>
      <c r="X100" s="663">
        <v>0</v>
      </c>
      <c r="Y100" s="664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208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209</v>
      </c>
      <c r="B101" s="54" t="s">
        <v>211</v>
      </c>
      <c r="C101" s="31">
        <v>4301051687</v>
      </c>
      <c r="D101" s="667">
        <v>4680115880214</v>
      </c>
      <c r="E101" s="668"/>
      <c r="F101" s="662">
        <v>0.45</v>
      </c>
      <c r="G101" s="32">
        <v>4</v>
      </c>
      <c r="H101" s="662">
        <v>1.8</v>
      </c>
      <c r="I101" s="662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1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0"/>
      <c r="R101" s="670"/>
      <c r="S101" s="670"/>
      <c r="T101" s="671"/>
      <c r="U101" s="34"/>
      <c r="V101" s="34"/>
      <c r="W101" s="35" t="s">
        <v>69</v>
      </c>
      <c r="X101" s="663">
        <v>0</v>
      </c>
      <c r="Y101" s="664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208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88</v>
      </c>
      <c r="Q102" s="683"/>
      <c r="R102" s="683"/>
      <c r="S102" s="683"/>
      <c r="T102" s="683"/>
      <c r="U102" s="683"/>
      <c r="V102" s="684"/>
      <c r="W102" s="37" t="s">
        <v>89</v>
      </c>
      <c r="X102" s="665">
        <f>IFERROR(X93/H93,"0")+IFERROR(X94/H94,"0")+IFERROR(X95/H95,"0")+IFERROR(X96/H96,"0")+IFERROR(X97/H97,"0")+IFERROR(X98/H98,"0")+IFERROR(X99/H99,"0")+IFERROR(X100/H100,"0")+IFERROR(X101/H101,"0")</f>
        <v>214.28571428571428</v>
      </c>
      <c r="Y102" s="665">
        <f>IFERROR(Y93/H93,"0")+IFERROR(Y94/H94,"0")+IFERROR(Y95/H95,"0")+IFERROR(Y96/H96,"0")+IFERROR(Y97/H97,"0")+IFERROR(Y98/H98,"0")+IFERROR(Y99/H99,"0")+IFERROR(Y100/H100,"0")+IFERROR(Y101/H101,"0")</f>
        <v>215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1.5867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88</v>
      </c>
      <c r="Q103" s="683"/>
      <c r="R103" s="683"/>
      <c r="S103" s="683"/>
      <c r="T103" s="683"/>
      <c r="U103" s="683"/>
      <c r="V103" s="684"/>
      <c r="W103" s="37" t="s">
        <v>69</v>
      </c>
      <c r="X103" s="665">
        <f>IFERROR(SUM(X93:X101),"0")</f>
        <v>660</v>
      </c>
      <c r="Y103" s="665">
        <f>IFERROR(SUM(Y93:Y101),"0")</f>
        <v>666</v>
      </c>
      <c r="Z103" s="37"/>
      <c r="AA103" s="666"/>
      <c r="AB103" s="666"/>
      <c r="AC103" s="666"/>
    </row>
    <row r="104" spans="1:68" ht="16.5" customHeight="1" x14ac:dyDescent="0.25">
      <c r="A104" s="716" t="s">
        <v>212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98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213</v>
      </c>
      <c r="B106" s="54" t="s">
        <v>214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69</v>
      </c>
      <c r="X106" s="663">
        <v>50</v>
      </c>
      <c r="Y106" s="664">
        <f>IFERROR(IF(X106="",0,CEILING((X106/$H106),1)*$H106),"")</f>
        <v>54</v>
      </c>
      <c r="Z106" s="36">
        <f>IFERROR(IF(Y106=0,"",ROUNDUP(Y106/H106,0)*0.01898),"")</f>
        <v>9.4899999999999998E-2</v>
      </c>
      <c r="AA106" s="56"/>
      <c r="AB106" s="57"/>
      <c r="AC106" s="161" t="s">
        <v>215</v>
      </c>
      <c r="AG106" s="64"/>
      <c r="AJ106" s="68"/>
      <c r="AK106" s="68">
        <v>0</v>
      </c>
      <c r="BB106" s="162" t="s">
        <v>1</v>
      </c>
      <c r="BM106" s="64">
        <f>IFERROR(X106*I106/H106,"0")</f>
        <v>52.013888888888886</v>
      </c>
      <c r="BN106" s="64">
        <f>IFERROR(Y106*I106/H106,"0")</f>
        <v>56.17499999999999</v>
      </c>
      <c r="BO106" s="64">
        <f>IFERROR(1/J106*(X106/H106),"0")</f>
        <v>7.2337962962962965E-2</v>
      </c>
      <c r="BP106" s="64">
        <f>IFERROR(1/J106*(Y106/H106),"0")</f>
        <v>7.8125E-2</v>
      </c>
    </row>
    <row r="107" spans="1:68" ht="16.5" customHeight="1" x14ac:dyDescent="0.25">
      <c r="A107" s="54" t="s">
        <v>216</v>
      </c>
      <c r="B107" s="54" t="s">
        <v>217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106</v>
      </c>
      <c r="L107" s="32"/>
      <c r="M107" s="33" t="s">
        <v>108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69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215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218</v>
      </c>
      <c r="B108" s="54" t="s">
        <v>219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69</v>
      </c>
      <c r="X108" s="663">
        <v>270</v>
      </c>
      <c r="Y108" s="664">
        <f>IFERROR(IF(X108="",0,CEILING((X108/$H108),1)*$H108),"")</f>
        <v>270</v>
      </c>
      <c r="Z108" s="36">
        <f>IFERROR(IF(Y108=0,"",ROUNDUP(Y108/H108,0)*0.00902),"")</f>
        <v>0.54120000000000001</v>
      </c>
      <c r="AA108" s="56"/>
      <c r="AB108" s="57"/>
      <c r="AC108" s="165" t="s">
        <v>215</v>
      </c>
      <c r="AG108" s="64"/>
      <c r="AJ108" s="68"/>
      <c r="AK108" s="68">
        <v>0</v>
      </c>
      <c r="BB108" s="166" t="s">
        <v>1</v>
      </c>
      <c r="BM108" s="64">
        <f>IFERROR(X108*I108/H108,"0")</f>
        <v>282.60000000000002</v>
      </c>
      <c r="BN108" s="64">
        <f>IFERROR(Y108*I108/H108,"0")</f>
        <v>282.60000000000002</v>
      </c>
      <c r="BO108" s="64">
        <f>IFERROR(1/J108*(X108/H108),"0")</f>
        <v>0.45454545454545459</v>
      </c>
      <c r="BP108" s="64">
        <f>IFERROR(1/J108*(Y108/H108),"0")</f>
        <v>0.45454545454545459</v>
      </c>
    </row>
    <row r="109" spans="1:68" ht="16.5" customHeight="1" x14ac:dyDescent="0.25">
      <c r="A109" s="54" t="s">
        <v>220</v>
      </c>
      <c r="B109" s="54" t="s">
        <v>221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69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215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88</v>
      </c>
      <c r="Q110" s="683"/>
      <c r="R110" s="683"/>
      <c r="S110" s="683"/>
      <c r="T110" s="683"/>
      <c r="U110" s="683"/>
      <c r="V110" s="684"/>
      <c r="W110" s="37" t="s">
        <v>89</v>
      </c>
      <c r="X110" s="665">
        <f>IFERROR(X106/H106,"0")+IFERROR(X107/H107,"0")+IFERROR(X108/H108,"0")+IFERROR(X109/H109,"0")</f>
        <v>64.629629629629633</v>
      </c>
      <c r="Y110" s="665">
        <f>IFERROR(Y106/H106,"0")+IFERROR(Y107/H107,"0")+IFERROR(Y108/H108,"0")+IFERROR(Y109/H109,"0")</f>
        <v>65</v>
      </c>
      <c r="Z110" s="665">
        <f>IFERROR(IF(Z106="",0,Z106),"0")+IFERROR(IF(Z107="",0,Z107),"0")+IFERROR(IF(Z108="",0,Z108),"0")+IFERROR(IF(Z109="",0,Z109),"0")</f>
        <v>0.6361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88</v>
      </c>
      <c r="Q111" s="683"/>
      <c r="R111" s="683"/>
      <c r="S111" s="683"/>
      <c r="T111" s="683"/>
      <c r="U111" s="683"/>
      <c r="V111" s="684"/>
      <c r="W111" s="37" t="s">
        <v>69</v>
      </c>
      <c r="X111" s="665">
        <f>IFERROR(SUM(X106:X109),"0")</f>
        <v>320</v>
      </c>
      <c r="Y111" s="665">
        <f>IFERROR(SUM(Y106:Y109),"0")</f>
        <v>324</v>
      </c>
      <c r="Z111" s="37"/>
      <c r="AA111" s="666"/>
      <c r="AB111" s="666"/>
      <c r="AC111" s="666"/>
    </row>
    <row r="112" spans="1:68" ht="14.25" customHeight="1" x14ac:dyDescent="0.25">
      <c r="A112" s="679" t="s">
        <v>136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222</v>
      </c>
      <c r="B113" s="54" t="s">
        <v>223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69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224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225</v>
      </c>
      <c r="B114" s="54" t="s">
        <v>226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150</v>
      </c>
      <c r="L114" s="32"/>
      <c r="M114" s="33" t="s">
        <v>102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69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224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227</v>
      </c>
      <c r="B115" s="54" t="s">
        <v>228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69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224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88</v>
      </c>
      <c r="Q116" s="683"/>
      <c r="R116" s="683"/>
      <c r="S116" s="683"/>
      <c r="T116" s="683"/>
      <c r="U116" s="683"/>
      <c r="V116" s="684"/>
      <c r="W116" s="37" t="s">
        <v>89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88</v>
      </c>
      <c r="Q117" s="683"/>
      <c r="R117" s="683"/>
      <c r="S117" s="683"/>
      <c r="T117" s="683"/>
      <c r="U117" s="683"/>
      <c r="V117" s="684"/>
      <c r="W117" s="37" t="s">
        <v>69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79" t="s">
        <v>64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37.5" customHeight="1" x14ac:dyDescent="0.25">
      <c r="A119" s="54" t="s">
        <v>229</v>
      </c>
      <c r="B119" s="54" t="s">
        <v>230</v>
      </c>
      <c r="C119" s="31">
        <v>4301051360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3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0"/>
      <c r="R119" s="670"/>
      <c r="S119" s="670"/>
      <c r="T119" s="671"/>
      <c r="U119" s="34"/>
      <c r="V119" s="34"/>
      <c r="W119" s="35" t="s">
        <v>69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customHeight="1" x14ac:dyDescent="0.25">
      <c r="A120" s="54" t="s">
        <v>229</v>
      </c>
      <c r="B120" s="54" t="s">
        <v>232</v>
      </c>
      <c r="C120" s="31">
        <v>4301051724</v>
      </c>
      <c r="D120" s="667">
        <v>4607091385168</v>
      </c>
      <c r="E120" s="668"/>
      <c r="F120" s="662">
        <v>1.35</v>
      </c>
      <c r="G120" s="32">
        <v>6</v>
      </c>
      <c r="H120" s="662">
        <v>8.1</v>
      </c>
      <c r="I120" s="662">
        <v>8.6129999999999995</v>
      </c>
      <c r="J120" s="32">
        <v>64</v>
      </c>
      <c r="K120" s="32" t="s">
        <v>101</v>
      </c>
      <c r="L120" s="32"/>
      <c r="M120" s="33" t="s">
        <v>132</v>
      </c>
      <c r="N120" s="33"/>
      <c r="O120" s="32">
        <v>45</v>
      </c>
      <c r="P120" s="745" t="s">
        <v>233</v>
      </c>
      <c r="Q120" s="670"/>
      <c r="R120" s="670"/>
      <c r="S120" s="670"/>
      <c r="T120" s="671"/>
      <c r="U120" s="34"/>
      <c r="V120" s="34"/>
      <c r="W120" s="35" t="s">
        <v>69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234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229</v>
      </c>
      <c r="B121" s="54" t="s">
        <v>235</v>
      </c>
      <c r="C121" s="31">
        <v>4301051625</v>
      </c>
      <c r="D121" s="667">
        <v>4607091385168</v>
      </c>
      <c r="E121" s="668"/>
      <c r="F121" s="662">
        <v>1.4</v>
      </c>
      <c r="G121" s="32">
        <v>6</v>
      </c>
      <c r="H121" s="662">
        <v>8.4</v>
      </c>
      <c r="I121" s="662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0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0"/>
      <c r="R121" s="670"/>
      <c r="S121" s="670"/>
      <c r="T121" s="671"/>
      <c r="U121" s="34"/>
      <c r="V121" s="34"/>
      <c r="W121" s="35" t="s">
        <v>69</v>
      </c>
      <c r="X121" s="663">
        <v>850</v>
      </c>
      <c r="Y121" s="664">
        <f t="shared" si="21"/>
        <v>856.80000000000007</v>
      </c>
      <c r="Z121" s="36">
        <f>IFERROR(IF(Y121=0,"",ROUNDUP(Y121/H121,0)*0.01898),"")</f>
        <v>1.9359600000000001</v>
      </c>
      <c r="AA121" s="56"/>
      <c r="AB121" s="57"/>
      <c r="AC121" s="179" t="s">
        <v>236</v>
      </c>
      <c r="AG121" s="64"/>
      <c r="AJ121" s="68"/>
      <c r="AK121" s="68">
        <v>0</v>
      </c>
      <c r="BB121" s="180" t="s">
        <v>1</v>
      </c>
      <c r="BM121" s="64">
        <f t="shared" si="22"/>
        <v>901.91071428571422</v>
      </c>
      <c r="BN121" s="64">
        <f t="shared" si="23"/>
        <v>909.12600000000009</v>
      </c>
      <c r="BO121" s="64">
        <f t="shared" si="24"/>
        <v>1.5811011904761905</v>
      </c>
      <c r="BP121" s="64">
        <f t="shared" si="25"/>
        <v>1.59375</v>
      </c>
    </row>
    <row r="122" spans="1:68" ht="37.5" customHeight="1" x14ac:dyDescent="0.25">
      <c r="A122" s="54" t="s">
        <v>237</v>
      </c>
      <c r="B122" s="54" t="s">
        <v>238</v>
      </c>
      <c r="C122" s="31">
        <v>4301051362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2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0"/>
      <c r="R122" s="670"/>
      <c r="S122" s="670"/>
      <c r="T122" s="671"/>
      <c r="U122" s="34"/>
      <c r="V122" s="34"/>
      <c r="W122" s="35" t="s">
        <v>69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237</v>
      </c>
      <c r="B123" s="54" t="s">
        <v>239</v>
      </c>
      <c r="C123" s="31">
        <v>4301051730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67</v>
      </c>
      <c r="L123" s="32"/>
      <c r="M123" s="33" t="s">
        <v>132</v>
      </c>
      <c r="N123" s="33"/>
      <c r="O123" s="32">
        <v>45</v>
      </c>
      <c r="P123" s="1014" t="s">
        <v>240</v>
      </c>
      <c r="Q123" s="670"/>
      <c r="R123" s="670"/>
      <c r="S123" s="670"/>
      <c r="T123" s="671"/>
      <c r="U123" s="34"/>
      <c r="V123" s="34"/>
      <c r="W123" s="35" t="s">
        <v>69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234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241</v>
      </c>
      <c r="B124" s="54" t="s">
        <v>242</v>
      </c>
      <c r="C124" s="31">
        <v>4301051358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67</v>
      </c>
      <c r="L124" s="32" t="s">
        <v>107</v>
      </c>
      <c r="M124" s="33" t="s">
        <v>108</v>
      </c>
      <c r="N124" s="33"/>
      <c r="O124" s="32">
        <v>45</v>
      </c>
      <c r="P124" s="1039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0"/>
      <c r="R124" s="670"/>
      <c r="S124" s="670"/>
      <c r="T124" s="671"/>
      <c r="U124" s="34"/>
      <c r="V124" s="34"/>
      <c r="W124" s="35" t="s">
        <v>69</v>
      </c>
      <c r="X124" s="663">
        <v>540</v>
      </c>
      <c r="Y124" s="664">
        <f t="shared" si="21"/>
        <v>540</v>
      </c>
      <c r="Z124" s="36">
        <f t="shared" si="26"/>
        <v>1.302</v>
      </c>
      <c r="AA124" s="56"/>
      <c r="AB124" s="57"/>
      <c r="AC124" s="185" t="s">
        <v>231</v>
      </c>
      <c r="AG124" s="64"/>
      <c r="AJ124" s="68" t="s">
        <v>109</v>
      </c>
      <c r="AK124" s="68">
        <v>491.4</v>
      </c>
      <c r="BB124" s="186" t="s">
        <v>1</v>
      </c>
      <c r="BM124" s="64">
        <f t="shared" si="22"/>
        <v>590.4</v>
      </c>
      <c r="BN124" s="64">
        <f t="shared" si="23"/>
        <v>590.4</v>
      </c>
      <c r="BO124" s="64">
        <f t="shared" si="24"/>
        <v>1.098901098901099</v>
      </c>
      <c r="BP124" s="64">
        <f t="shared" si="25"/>
        <v>1.098901098901099</v>
      </c>
    </row>
    <row r="125" spans="1:68" ht="27" customHeight="1" x14ac:dyDescent="0.25">
      <c r="A125" s="54" t="s">
        <v>241</v>
      </c>
      <c r="B125" s="54" t="s">
        <v>243</v>
      </c>
      <c r="C125" s="31">
        <v>4301051721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67</v>
      </c>
      <c r="L125" s="32"/>
      <c r="M125" s="33" t="s">
        <v>132</v>
      </c>
      <c r="N125" s="33"/>
      <c r="O125" s="32">
        <v>45</v>
      </c>
      <c r="P125" s="963" t="s">
        <v>244</v>
      </c>
      <c r="Q125" s="670"/>
      <c r="R125" s="670"/>
      <c r="S125" s="670"/>
      <c r="T125" s="671"/>
      <c r="U125" s="34"/>
      <c r="V125" s="34"/>
      <c r="W125" s="35" t="s">
        <v>69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234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245</v>
      </c>
      <c r="B126" s="54" t="s">
        <v>246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69</v>
      </c>
      <c r="X126" s="663">
        <v>18</v>
      </c>
      <c r="Y126" s="664">
        <f t="shared" si="21"/>
        <v>18</v>
      </c>
      <c r="Z126" s="36">
        <f t="shared" si="26"/>
        <v>6.5100000000000005E-2</v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22"/>
        <v>19.8</v>
      </c>
      <c r="BN126" s="64">
        <f t="shared" si="23"/>
        <v>19.8</v>
      </c>
      <c r="BO126" s="64">
        <f t="shared" si="24"/>
        <v>5.4945054945054951E-2</v>
      </c>
      <c r="BP126" s="64">
        <f t="shared" si="25"/>
        <v>5.4945054945054951E-2</v>
      </c>
    </row>
    <row r="127" spans="1:68" ht="37.5" customHeight="1" x14ac:dyDescent="0.25">
      <c r="A127" s="54" t="s">
        <v>248</v>
      </c>
      <c r="B127" s="54" t="s">
        <v>249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69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250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88</v>
      </c>
      <c r="Q128" s="683"/>
      <c r="R128" s="683"/>
      <c r="S128" s="683"/>
      <c r="T128" s="683"/>
      <c r="U128" s="683"/>
      <c r="V128" s="684"/>
      <c r="W128" s="37" t="s">
        <v>89</v>
      </c>
      <c r="X128" s="665">
        <f>IFERROR(X119/H119,"0")+IFERROR(X120/H120,"0")+IFERROR(X121/H121,"0")+IFERROR(X122/H122,"0")+IFERROR(X123/H123,"0")+IFERROR(X124/H124,"0")+IFERROR(X125/H125,"0")+IFERROR(X126/H126,"0")+IFERROR(X127/H127,"0")</f>
        <v>311.1904761904762</v>
      </c>
      <c r="Y128" s="665">
        <f>IFERROR(Y119/H119,"0")+IFERROR(Y120/H120,"0")+IFERROR(Y121/H121,"0")+IFERROR(Y122/H122,"0")+IFERROR(Y123/H123,"0")+IFERROR(Y124/H124,"0")+IFERROR(Y125/H125,"0")+IFERROR(Y126/H126,"0")+IFERROR(Y127/H127,"0")</f>
        <v>312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3.3030600000000003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88</v>
      </c>
      <c r="Q129" s="683"/>
      <c r="R129" s="683"/>
      <c r="S129" s="683"/>
      <c r="T129" s="683"/>
      <c r="U129" s="683"/>
      <c r="V129" s="684"/>
      <c r="W129" s="37" t="s">
        <v>69</v>
      </c>
      <c r="X129" s="665">
        <f>IFERROR(SUM(X119:X127),"0")</f>
        <v>1408</v>
      </c>
      <c r="Y129" s="665">
        <f>IFERROR(SUM(Y119:Y127),"0")</f>
        <v>1414.8000000000002</v>
      </c>
      <c r="Z129" s="37"/>
      <c r="AA129" s="666"/>
      <c r="AB129" s="666"/>
      <c r="AC129" s="666"/>
    </row>
    <row r="130" spans="1:68" ht="14.25" customHeight="1" x14ac:dyDescent="0.25">
      <c r="A130" s="679" t="s">
        <v>173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251</v>
      </c>
      <c r="B131" s="54" t="s">
        <v>252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69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254</v>
      </c>
      <c r="B132" s="54" t="s">
        <v>255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69</v>
      </c>
      <c r="X132" s="663">
        <v>9.9</v>
      </c>
      <c r="Y132" s="664">
        <f>IFERROR(IF(X132="",0,CEILING((X132/$H132),1)*$H132),"")</f>
        <v>9.9</v>
      </c>
      <c r="Z132" s="36">
        <f>IFERROR(IF(Y132=0,"",ROUNDUP(Y132/H132,0)*0.00651),"")</f>
        <v>3.2550000000000003E-2</v>
      </c>
      <c r="AA132" s="56"/>
      <c r="AB132" s="57"/>
      <c r="AC132" s="195" t="s">
        <v>256</v>
      </c>
      <c r="AG132" s="64"/>
      <c r="AJ132" s="68"/>
      <c r="AK132" s="68">
        <v>0</v>
      </c>
      <c r="BB132" s="196" t="s">
        <v>1</v>
      </c>
      <c r="BM132" s="64">
        <f>IFERROR(X132*I132/H132,"0")</f>
        <v>11.190000000000001</v>
      </c>
      <c r="BN132" s="64">
        <f>IFERROR(Y132*I132/H132,"0")</f>
        <v>11.190000000000001</v>
      </c>
      <c r="BO132" s="64">
        <f>IFERROR(1/J132*(X132/H132),"0")</f>
        <v>2.7472527472527476E-2</v>
      </c>
      <c r="BP132" s="64">
        <f>IFERROR(1/J132*(Y132/H132),"0")</f>
        <v>2.7472527472527476E-2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88</v>
      </c>
      <c r="Q133" s="683"/>
      <c r="R133" s="683"/>
      <c r="S133" s="683"/>
      <c r="T133" s="683"/>
      <c r="U133" s="683"/>
      <c r="V133" s="684"/>
      <c r="W133" s="37" t="s">
        <v>89</v>
      </c>
      <c r="X133" s="665">
        <f>IFERROR(X131/H131,"0")+IFERROR(X132/H132,"0")</f>
        <v>5</v>
      </c>
      <c r="Y133" s="665">
        <f>IFERROR(Y131/H131,"0")+IFERROR(Y132/H132,"0")</f>
        <v>5</v>
      </c>
      <c r="Z133" s="665">
        <f>IFERROR(IF(Z131="",0,Z131),"0")+IFERROR(IF(Z132="",0,Z132),"0")</f>
        <v>3.2550000000000003E-2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88</v>
      </c>
      <c r="Q134" s="683"/>
      <c r="R134" s="683"/>
      <c r="S134" s="683"/>
      <c r="T134" s="683"/>
      <c r="U134" s="683"/>
      <c r="V134" s="684"/>
      <c r="W134" s="37" t="s">
        <v>69</v>
      </c>
      <c r="X134" s="665">
        <f>IFERROR(SUM(X131:X132),"0")</f>
        <v>9.9</v>
      </c>
      <c r="Y134" s="665">
        <f>IFERROR(SUM(Y131:Y132),"0")</f>
        <v>9.9</v>
      </c>
      <c r="Z134" s="37"/>
      <c r="AA134" s="666"/>
      <c r="AB134" s="666"/>
      <c r="AC134" s="666"/>
    </row>
    <row r="135" spans="1:68" ht="16.5" customHeight="1" x14ac:dyDescent="0.25">
      <c r="A135" s="716" t="s">
        <v>257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98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258</v>
      </c>
      <c r="B137" s="54" t="s">
        <v>259</v>
      </c>
      <c r="C137" s="31">
        <v>4301011564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0"/>
      <c r="R137" s="670"/>
      <c r="S137" s="670"/>
      <c r="T137" s="671"/>
      <c r="U137" s="34"/>
      <c r="V137" s="34"/>
      <c r="W137" s="35" t="s">
        <v>69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260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258</v>
      </c>
      <c r="B138" s="54" t="s">
        <v>261</v>
      </c>
      <c r="C138" s="31">
        <v>4301011562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4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0"/>
      <c r="R138" s="670"/>
      <c r="S138" s="670"/>
      <c r="T138" s="671"/>
      <c r="U138" s="34"/>
      <c r="V138" s="34"/>
      <c r="W138" s="35" t="s">
        <v>69</v>
      </c>
      <c r="X138" s="663">
        <v>60</v>
      </c>
      <c r="Y138" s="664">
        <f>IFERROR(IF(X138="",0,CEILING((X138/$H138),1)*$H138),"")</f>
        <v>60.800000000000004</v>
      </c>
      <c r="Z138" s="36">
        <f>IFERROR(IF(Y138=0,"",ROUNDUP(Y138/H138,0)*0.00651),"")</f>
        <v>0.12369000000000001</v>
      </c>
      <c r="AA138" s="56"/>
      <c r="AB138" s="57"/>
      <c r="AC138" s="199" t="s">
        <v>260</v>
      </c>
      <c r="AG138" s="64"/>
      <c r="AJ138" s="68"/>
      <c r="AK138" s="68">
        <v>0</v>
      </c>
      <c r="BB138" s="200" t="s">
        <v>1</v>
      </c>
      <c r="BM138" s="64">
        <f>IFERROR(X138*I138/H138,"0")</f>
        <v>63.374999999999993</v>
      </c>
      <c r="BN138" s="64">
        <f>IFERROR(Y138*I138/H138,"0")</f>
        <v>64.22</v>
      </c>
      <c r="BO138" s="64">
        <f>IFERROR(1/J138*(X138/H138),"0")</f>
        <v>0.10302197802197803</v>
      </c>
      <c r="BP138" s="64">
        <f>IFERROR(1/J138*(Y138/H138),"0")</f>
        <v>0.1043956043956044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88</v>
      </c>
      <c r="Q139" s="683"/>
      <c r="R139" s="683"/>
      <c r="S139" s="683"/>
      <c r="T139" s="683"/>
      <c r="U139" s="683"/>
      <c r="V139" s="684"/>
      <c r="W139" s="37" t="s">
        <v>89</v>
      </c>
      <c r="X139" s="665">
        <f>IFERROR(X137/H137,"0")+IFERROR(X138/H138,"0")</f>
        <v>18.75</v>
      </c>
      <c r="Y139" s="665">
        <f>IFERROR(Y137/H137,"0")+IFERROR(Y138/H138,"0")</f>
        <v>19</v>
      </c>
      <c r="Z139" s="665">
        <f>IFERROR(IF(Z137="",0,Z137),"0")+IFERROR(IF(Z138="",0,Z138),"0")</f>
        <v>0.12369000000000001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88</v>
      </c>
      <c r="Q140" s="683"/>
      <c r="R140" s="683"/>
      <c r="S140" s="683"/>
      <c r="T140" s="683"/>
      <c r="U140" s="683"/>
      <c r="V140" s="684"/>
      <c r="W140" s="37" t="s">
        <v>69</v>
      </c>
      <c r="X140" s="665">
        <f>IFERROR(SUM(X137:X138),"0")</f>
        <v>60</v>
      </c>
      <c r="Y140" s="665">
        <f>IFERROR(SUM(Y137:Y138),"0")</f>
        <v>60.800000000000004</v>
      </c>
      <c r="Z140" s="37"/>
      <c r="AA140" s="666"/>
      <c r="AB140" s="666"/>
      <c r="AC140" s="666"/>
    </row>
    <row r="141" spans="1:68" ht="14.25" customHeight="1" x14ac:dyDescent="0.25">
      <c r="A141" s="679" t="s">
        <v>147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262</v>
      </c>
      <c r="B142" s="54" t="s">
        <v>263</v>
      </c>
      <c r="C142" s="31">
        <v>4301031234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69</v>
      </c>
      <c r="X142" s="663">
        <v>35</v>
      </c>
      <c r="Y142" s="664">
        <f>IFERROR(IF(X142="",0,CEILING((X142/$H142),1)*$H142),"")</f>
        <v>36.4</v>
      </c>
      <c r="Z142" s="36">
        <f>IFERROR(IF(Y142=0,"",ROUNDUP(Y142/H142,0)*0.00651),"")</f>
        <v>8.4629999999999997E-2</v>
      </c>
      <c r="AA142" s="56"/>
      <c r="AB142" s="57"/>
      <c r="AC142" s="201" t="s">
        <v>264</v>
      </c>
      <c r="AG142" s="64"/>
      <c r="AJ142" s="68"/>
      <c r="AK142" s="68">
        <v>0</v>
      </c>
      <c r="BB142" s="202" t="s">
        <v>1</v>
      </c>
      <c r="BM142" s="64">
        <f>IFERROR(X142*I142/H142,"0")</f>
        <v>38.35</v>
      </c>
      <c r="BN142" s="64">
        <f>IFERROR(Y142*I142/H142,"0")</f>
        <v>39.884</v>
      </c>
      <c r="BO142" s="64">
        <f>IFERROR(1/J142*(X142/H142),"0")</f>
        <v>6.8681318681318687E-2</v>
      </c>
      <c r="BP142" s="64">
        <f>IFERROR(1/J142*(Y142/H142),"0")</f>
        <v>7.1428571428571438E-2</v>
      </c>
    </row>
    <row r="143" spans="1:68" ht="27" customHeight="1" x14ac:dyDescent="0.25">
      <c r="A143" s="54" t="s">
        <v>262</v>
      </c>
      <c r="B143" s="54" t="s">
        <v>265</v>
      </c>
      <c r="C143" s="31">
        <v>4301031235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69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264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88</v>
      </c>
      <c r="Q144" s="683"/>
      <c r="R144" s="683"/>
      <c r="S144" s="683"/>
      <c r="T144" s="683"/>
      <c r="U144" s="683"/>
      <c r="V144" s="684"/>
      <c r="W144" s="37" t="s">
        <v>89</v>
      </c>
      <c r="X144" s="665">
        <f>IFERROR(X142/H142,"0")+IFERROR(X143/H143,"0")</f>
        <v>12.5</v>
      </c>
      <c r="Y144" s="665">
        <f>IFERROR(Y142/H142,"0")+IFERROR(Y143/H143,"0")</f>
        <v>13</v>
      </c>
      <c r="Z144" s="665">
        <f>IFERROR(IF(Z142="",0,Z142),"0")+IFERROR(IF(Z143="",0,Z143),"0")</f>
        <v>8.4629999999999997E-2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88</v>
      </c>
      <c r="Q145" s="683"/>
      <c r="R145" s="683"/>
      <c r="S145" s="683"/>
      <c r="T145" s="683"/>
      <c r="U145" s="683"/>
      <c r="V145" s="684"/>
      <c r="W145" s="37" t="s">
        <v>69</v>
      </c>
      <c r="X145" s="665">
        <f>IFERROR(SUM(X142:X143),"0")</f>
        <v>35</v>
      </c>
      <c r="Y145" s="665">
        <f>IFERROR(SUM(Y142:Y143),"0")</f>
        <v>36.4</v>
      </c>
      <c r="Z145" s="37"/>
      <c r="AA145" s="666"/>
      <c r="AB145" s="666"/>
      <c r="AC145" s="666"/>
    </row>
    <row r="146" spans="1:68" ht="14.25" customHeight="1" x14ac:dyDescent="0.25">
      <c r="A146" s="679" t="s">
        <v>64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266</v>
      </c>
      <c r="B147" s="54" t="s">
        <v>267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69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260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266</v>
      </c>
      <c r="B148" s="54" t="s">
        <v>268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69</v>
      </c>
      <c r="X148" s="663">
        <v>33</v>
      </c>
      <c r="Y148" s="664">
        <f>IFERROR(IF(X148="",0,CEILING((X148/$H148),1)*$H148),"")</f>
        <v>34.32</v>
      </c>
      <c r="Z148" s="36">
        <f>IFERROR(IF(Y148=0,"",ROUNDUP(Y148/H148,0)*0.00651),"")</f>
        <v>8.4629999999999997E-2</v>
      </c>
      <c r="AA148" s="56"/>
      <c r="AB148" s="57"/>
      <c r="AC148" s="207" t="s">
        <v>260</v>
      </c>
      <c r="AG148" s="64"/>
      <c r="AJ148" s="68"/>
      <c r="AK148" s="68">
        <v>0</v>
      </c>
      <c r="BB148" s="208" t="s">
        <v>1</v>
      </c>
      <c r="BM148" s="64">
        <f>IFERROR(X148*I148/H148,"0")</f>
        <v>36.349999999999994</v>
      </c>
      <c r="BN148" s="64">
        <f>IFERROR(Y148*I148/H148,"0")</f>
        <v>37.803999999999995</v>
      </c>
      <c r="BO148" s="64">
        <f>IFERROR(1/J148*(X148/H148),"0")</f>
        <v>6.8681318681318687E-2</v>
      </c>
      <c r="BP148" s="64">
        <f>IFERROR(1/J148*(Y148/H148),"0")</f>
        <v>7.1428571428571438E-2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88</v>
      </c>
      <c r="Q149" s="683"/>
      <c r="R149" s="683"/>
      <c r="S149" s="683"/>
      <c r="T149" s="683"/>
      <c r="U149" s="683"/>
      <c r="V149" s="684"/>
      <c r="W149" s="37" t="s">
        <v>89</v>
      </c>
      <c r="X149" s="665">
        <f>IFERROR(X147/H147,"0")+IFERROR(X148/H148,"0")</f>
        <v>12.5</v>
      </c>
      <c r="Y149" s="665">
        <f>IFERROR(Y147/H147,"0")+IFERROR(Y148/H148,"0")</f>
        <v>13</v>
      </c>
      <c r="Z149" s="665">
        <f>IFERROR(IF(Z147="",0,Z147),"0")+IFERROR(IF(Z148="",0,Z148),"0")</f>
        <v>8.4629999999999997E-2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88</v>
      </c>
      <c r="Q150" s="683"/>
      <c r="R150" s="683"/>
      <c r="S150" s="683"/>
      <c r="T150" s="683"/>
      <c r="U150" s="683"/>
      <c r="V150" s="684"/>
      <c r="W150" s="37" t="s">
        <v>69</v>
      </c>
      <c r="X150" s="665">
        <f>IFERROR(SUM(X147:X148),"0")</f>
        <v>33</v>
      </c>
      <c r="Y150" s="665">
        <f>IFERROR(SUM(Y147:Y148),"0")</f>
        <v>34.32</v>
      </c>
      <c r="Z150" s="37"/>
      <c r="AA150" s="666"/>
      <c r="AB150" s="666"/>
      <c r="AC150" s="666"/>
    </row>
    <row r="151" spans="1:68" ht="16.5" customHeight="1" x14ac:dyDescent="0.25">
      <c r="A151" s="716" t="s">
        <v>96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98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269</v>
      </c>
      <c r="B153" s="54" t="s">
        <v>270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69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271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88</v>
      </c>
      <c r="Q154" s="683"/>
      <c r="R154" s="683"/>
      <c r="S154" s="683"/>
      <c r="T154" s="683"/>
      <c r="U154" s="683"/>
      <c r="V154" s="684"/>
      <c r="W154" s="37" t="s">
        <v>89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88</v>
      </c>
      <c r="Q155" s="683"/>
      <c r="R155" s="683"/>
      <c r="S155" s="683"/>
      <c r="T155" s="683"/>
      <c r="U155" s="683"/>
      <c r="V155" s="684"/>
      <c r="W155" s="37" t="s">
        <v>69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147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272</v>
      </c>
      <c r="B157" s="54" t="s">
        <v>273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69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275</v>
      </c>
      <c r="B158" s="54" t="s">
        <v>276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69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278</v>
      </c>
      <c r="B159" s="54" t="s">
        <v>279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69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280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281</v>
      </c>
      <c r="B160" s="54" t="s">
        <v>282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150</v>
      </c>
      <c r="L160" s="32"/>
      <c r="M160" s="33" t="s">
        <v>68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69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277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88</v>
      </c>
      <c r="Q161" s="683"/>
      <c r="R161" s="683"/>
      <c r="S161" s="683"/>
      <c r="T161" s="683"/>
      <c r="U161" s="683"/>
      <c r="V161" s="684"/>
      <c r="W161" s="37" t="s">
        <v>89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88</v>
      </c>
      <c r="Q162" s="683"/>
      <c r="R162" s="683"/>
      <c r="S162" s="683"/>
      <c r="T162" s="683"/>
      <c r="U162" s="683"/>
      <c r="V162" s="684"/>
      <c r="W162" s="37" t="s">
        <v>69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64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283</v>
      </c>
      <c r="B164" s="54" t="s">
        <v>284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69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88</v>
      </c>
      <c r="Q165" s="683"/>
      <c r="R165" s="683"/>
      <c r="S165" s="683"/>
      <c r="T165" s="683"/>
      <c r="U165" s="683"/>
      <c r="V165" s="684"/>
      <c r="W165" s="37" t="s">
        <v>89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88</v>
      </c>
      <c r="Q166" s="683"/>
      <c r="R166" s="683"/>
      <c r="S166" s="683"/>
      <c r="T166" s="683"/>
      <c r="U166" s="683"/>
      <c r="V166" s="684"/>
      <c r="W166" s="37" t="s">
        <v>69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286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287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136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288</v>
      </c>
      <c r="B170" s="54" t="s">
        <v>289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150</v>
      </c>
      <c r="L170" s="32"/>
      <c r="M170" s="33" t="s">
        <v>68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69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88</v>
      </c>
      <c r="Q171" s="683"/>
      <c r="R171" s="683"/>
      <c r="S171" s="683"/>
      <c r="T171" s="683"/>
      <c r="U171" s="683"/>
      <c r="V171" s="684"/>
      <c r="W171" s="37" t="s">
        <v>89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88</v>
      </c>
      <c r="Q172" s="683"/>
      <c r="R172" s="683"/>
      <c r="S172" s="683"/>
      <c r="T172" s="683"/>
      <c r="U172" s="683"/>
      <c r="V172" s="684"/>
      <c r="W172" s="37" t="s">
        <v>69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147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291</v>
      </c>
      <c r="B174" s="54" t="s">
        <v>292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69</v>
      </c>
      <c r="X174" s="663">
        <v>80</v>
      </c>
      <c r="Y174" s="664">
        <f t="shared" ref="Y174:Y182" si="27">IFERROR(IF(X174="",0,CEILING((X174/$H174),1)*$H174),"")</f>
        <v>84</v>
      </c>
      <c r="Z174" s="36">
        <f>IFERROR(IF(Y174=0,"",ROUNDUP(Y174/H174,0)*0.00902),"")</f>
        <v>0.1804</v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85.142857142857125</v>
      </c>
      <c r="BN174" s="64">
        <f t="shared" ref="BN174:BN182" si="29">IFERROR(Y174*I174/H174,"0")</f>
        <v>89.399999999999991</v>
      </c>
      <c r="BO174" s="64">
        <f t="shared" ref="BO174:BO182" si="30">IFERROR(1/J174*(X174/H174),"0")</f>
        <v>0.14430014430014429</v>
      </c>
      <c r="BP174" s="64">
        <f t="shared" ref="BP174:BP182" si="31">IFERROR(1/J174*(Y174/H174),"0")</f>
        <v>0.15151515151515152</v>
      </c>
    </row>
    <row r="175" spans="1:68" ht="27" customHeight="1" x14ac:dyDescent="0.25">
      <c r="A175" s="54" t="s">
        <v>294</v>
      </c>
      <c r="B175" s="54" t="s">
        <v>295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69</v>
      </c>
      <c r="X175" s="663">
        <v>20</v>
      </c>
      <c r="Y175" s="664">
        <f t="shared" si="27"/>
        <v>21</v>
      </c>
      <c r="Z175" s="36">
        <f>IFERROR(IF(Y175=0,"",ROUNDUP(Y175/H175,0)*0.00902),"")</f>
        <v>4.5100000000000001E-2</v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8"/>
        <v>21.285714285714281</v>
      </c>
      <c r="BN175" s="64">
        <f t="shared" si="29"/>
        <v>22.349999999999998</v>
      </c>
      <c r="BO175" s="64">
        <f t="shared" si="30"/>
        <v>3.6075036075036072E-2</v>
      </c>
      <c r="BP175" s="64">
        <f t="shared" si="31"/>
        <v>3.787878787878788E-2</v>
      </c>
    </row>
    <row r="176" spans="1:68" ht="27" customHeight="1" x14ac:dyDescent="0.25">
      <c r="A176" s="54" t="s">
        <v>297</v>
      </c>
      <c r="B176" s="54" t="s">
        <v>298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69</v>
      </c>
      <c r="X176" s="663">
        <v>90</v>
      </c>
      <c r="Y176" s="664">
        <f t="shared" si="27"/>
        <v>92.4</v>
      </c>
      <c r="Z176" s="36">
        <f>IFERROR(IF(Y176=0,"",ROUNDUP(Y176/H176,0)*0.00902),"")</f>
        <v>0.19844000000000001</v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8"/>
        <v>94.5</v>
      </c>
      <c r="BN176" s="64">
        <f t="shared" si="29"/>
        <v>97.02000000000001</v>
      </c>
      <c r="BO176" s="64">
        <f t="shared" si="30"/>
        <v>0.16233766233766234</v>
      </c>
      <c r="BP176" s="64">
        <f t="shared" si="31"/>
        <v>0.16666666666666669</v>
      </c>
    </row>
    <row r="177" spans="1:68" ht="27" customHeight="1" x14ac:dyDescent="0.25">
      <c r="A177" s="54" t="s">
        <v>300</v>
      </c>
      <c r="B177" s="54" t="s">
        <v>301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150</v>
      </c>
      <c r="L177" s="32"/>
      <c r="M177" s="33" t="s">
        <v>68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69</v>
      </c>
      <c r="X177" s="663">
        <v>35</v>
      </c>
      <c r="Y177" s="664">
        <f t="shared" si="27"/>
        <v>35.700000000000003</v>
      </c>
      <c r="Z177" s="36">
        <f>IFERROR(IF(Y177=0,"",ROUNDUP(Y177/H177,0)*0.00502),"")</f>
        <v>8.5339999999999999E-2</v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8"/>
        <v>37.166666666666664</v>
      </c>
      <c r="BN177" s="64">
        <f t="shared" si="29"/>
        <v>37.910000000000004</v>
      </c>
      <c r="BO177" s="64">
        <f t="shared" si="30"/>
        <v>7.1225071225071226E-2</v>
      </c>
      <c r="BP177" s="64">
        <f t="shared" si="31"/>
        <v>7.2649572649572655E-2</v>
      </c>
    </row>
    <row r="178" spans="1:68" ht="27" customHeight="1" x14ac:dyDescent="0.25">
      <c r="A178" s="54" t="s">
        <v>302</v>
      </c>
      <c r="B178" s="54" t="s">
        <v>303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150</v>
      </c>
      <c r="L178" s="32"/>
      <c r="M178" s="33" t="s">
        <v>68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69</v>
      </c>
      <c r="X178" s="663">
        <v>98</v>
      </c>
      <c r="Y178" s="664">
        <f t="shared" si="27"/>
        <v>98.7</v>
      </c>
      <c r="Z178" s="36">
        <f>IFERROR(IF(Y178=0,"",ROUNDUP(Y178/H178,0)*0.00502),"")</f>
        <v>0.23594000000000001</v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8"/>
        <v>104.06666666666666</v>
      </c>
      <c r="BN178" s="64">
        <f t="shared" si="29"/>
        <v>104.80999999999999</v>
      </c>
      <c r="BO178" s="64">
        <f t="shared" si="30"/>
        <v>0.19943019943019943</v>
      </c>
      <c r="BP178" s="64">
        <f t="shared" si="31"/>
        <v>0.20085470085470086</v>
      </c>
    </row>
    <row r="179" spans="1:68" ht="27" customHeight="1" x14ac:dyDescent="0.25">
      <c r="A179" s="54" t="s">
        <v>304</v>
      </c>
      <c r="B179" s="54" t="s">
        <v>305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150</v>
      </c>
      <c r="L179" s="32"/>
      <c r="M179" s="33" t="s">
        <v>68</v>
      </c>
      <c r="N179" s="33"/>
      <c r="O179" s="32">
        <v>40</v>
      </c>
      <c r="P179" s="885" t="s">
        <v>306</v>
      </c>
      <c r="Q179" s="670"/>
      <c r="R179" s="670"/>
      <c r="S179" s="670"/>
      <c r="T179" s="671"/>
      <c r="U179" s="34"/>
      <c r="V179" s="34"/>
      <c r="W179" s="35" t="s">
        <v>69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308</v>
      </c>
      <c r="B180" s="54" t="s">
        <v>309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150</v>
      </c>
      <c r="L180" s="32"/>
      <c r="M180" s="33" t="s">
        <v>68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69</v>
      </c>
      <c r="X180" s="663">
        <v>157.5</v>
      </c>
      <c r="Y180" s="664">
        <f t="shared" si="27"/>
        <v>157.5</v>
      </c>
      <c r="Z180" s="36">
        <f>IFERROR(IF(Y180=0,"",ROUNDUP(Y180/H180,0)*0.00502),"")</f>
        <v>0.3765</v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8"/>
        <v>165</v>
      </c>
      <c r="BN180" s="64">
        <f t="shared" si="29"/>
        <v>165</v>
      </c>
      <c r="BO180" s="64">
        <f t="shared" si="30"/>
        <v>0.32051282051282054</v>
      </c>
      <c r="BP180" s="64">
        <f t="shared" si="31"/>
        <v>0.32051282051282054</v>
      </c>
    </row>
    <row r="181" spans="1:68" ht="27" customHeight="1" x14ac:dyDescent="0.25">
      <c r="A181" s="54" t="s">
        <v>310</v>
      </c>
      <c r="B181" s="54" t="s">
        <v>311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69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312</v>
      </c>
      <c r="B182" s="54" t="s">
        <v>313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150</v>
      </c>
      <c r="L182" s="32"/>
      <c r="M182" s="33" t="s">
        <v>68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69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88</v>
      </c>
      <c r="Q183" s="683"/>
      <c r="R183" s="683"/>
      <c r="S183" s="683"/>
      <c r="T183" s="683"/>
      <c r="U183" s="683"/>
      <c r="V183" s="684"/>
      <c r="W183" s="37" t="s">
        <v>89</v>
      </c>
      <c r="X183" s="665">
        <f>IFERROR(X174/H174,"0")+IFERROR(X175/H175,"0")+IFERROR(X176/H176,"0")+IFERROR(X177/H177,"0")+IFERROR(X178/H178,"0")+IFERROR(X179/H179,"0")+IFERROR(X180/H180,"0")+IFERROR(X181/H181,"0")+IFERROR(X182/H182,"0")</f>
        <v>183.57142857142856</v>
      </c>
      <c r="Y183" s="665">
        <f>IFERROR(Y174/H174,"0")+IFERROR(Y175/H175,"0")+IFERROR(Y176/H176,"0")+IFERROR(Y177/H177,"0")+IFERROR(Y178/H178,"0")+IFERROR(Y179/H179,"0")+IFERROR(Y180/H180,"0")+IFERROR(Y181/H181,"0")+IFERROR(Y182/H182,"0")</f>
        <v>186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1.1217200000000001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88</v>
      </c>
      <c r="Q184" s="683"/>
      <c r="R184" s="683"/>
      <c r="S184" s="683"/>
      <c r="T184" s="683"/>
      <c r="U184" s="683"/>
      <c r="V184" s="684"/>
      <c r="W184" s="37" t="s">
        <v>69</v>
      </c>
      <c r="X184" s="665">
        <f>IFERROR(SUM(X174:X182),"0")</f>
        <v>480.5</v>
      </c>
      <c r="Y184" s="665">
        <f>IFERROR(SUM(Y174:Y182),"0")</f>
        <v>489.3</v>
      </c>
      <c r="Z184" s="37"/>
      <c r="AA184" s="666"/>
      <c r="AB184" s="666"/>
      <c r="AC184" s="666"/>
    </row>
    <row r="185" spans="1:68" ht="14.25" customHeight="1" x14ac:dyDescent="0.25">
      <c r="A185" s="679" t="s">
        <v>90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315</v>
      </c>
      <c r="B186" s="54" t="s">
        <v>316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1004" t="s">
        <v>319</v>
      </c>
      <c r="Q186" s="670"/>
      <c r="R186" s="670"/>
      <c r="S186" s="670"/>
      <c r="T186" s="671"/>
      <c r="U186" s="34"/>
      <c r="V186" s="34"/>
      <c r="W186" s="35" t="s">
        <v>69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88</v>
      </c>
      <c r="Q187" s="683"/>
      <c r="R187" s="683"/>
      <c r="S187" s="683"/>
      <c r="T187" s="683"/>
      <c r="U187" s="683"/>
      <c r="V187" s="684"/>
      <c r="W187" s="37" t="s">
        <v>89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88</v>
      </c>
      <c r="Q188" s="683"/>
      <c r="R188" s="683"/>
      <c r="S188" s="683"/>
      <c r="T188" s="683"/>
      <c r="U188" s="683"/>
      <c r="V188" s="684"/>
      <c r="W188" s="37" t="s">
        <v>69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322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98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323</v>
      </c>
      <c r="B191" s="54" t="s">
        <v>324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69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326</v>
      </c>
      <c r="B192" s="54" t="s">
        <v>327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69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88</v>
      </c>
      <c r="Q193" s="683"/>
      <c r="R193" s="683"/>
      <c r="S193" s="683"/>
      <c r="T193" s="683"/>
      <c r="U193" s="683"/>
      <c r="V193" s="684"/>
      <c r="W193" s="37" t="s">
        <v>89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88</v>
      </c>
      <c r="Q194" s="683"/>
      <c r="R194" s="683"/>
      <c r="S194" s="683"/>
      <c r="T194" s="683"/>
      <c r="U194" s="683"/>
      <c r="V194" s="684"/>
      <c r="W194" s="37" t="s">
        <v>69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136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328</v>
      </c>
      <c r="B196" s="54" t="s">
        <v>329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69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331</v>
      </c>
      <c r="B197" s="54" t="s">
        <v>332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69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88</v>
      </c>
      <c r="Q198" s="683"/>
      <c r="R198" s="683"/>
      <c r="S198" s="683"/>
      <c r="T198" s="683"/>
      <c r="U198" s="683"/>
      <c r="V198" s="684"/>
      <c r="W198" s="37" t="s">
        <v>89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88</v>
      </c>
      <c r="Q199" s="683"/>
      <c r="R199" s="683"/>
      <c r="S199" s="683"/>
      <c r="T199" s="683"/>
      <c r="U199" s="683"/>
      <c r="V199" s="684"/>
      <c r="W199" s="37" t="s">
        <v>69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147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333</v>
      </c>
      <c r="B201" s="54" t="s">
        <v>334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69</v>
      </c>
      <c r="X201" s="663">
        <v>150</v>
      </c>
      <c r="Y201" s="664">
        <f t="shared" ref="Y201:Y208" si="32">IFERROR(IF(X201="",0,CEILING((X201/$H201),1)*$H201),"")</f>
        <v>151.20000000000002</v>
      </c>
      <c r="Z201" s="36">
        <f>IFERROR(IF(Y201=0,"",ROUNDUP(Y201/H201,0)*0.00902),"")</f>
        <v>0.25256000000000001</v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155.83333333333331</v>
      </c>
      <c r="BN201" s="64">
        <f t="shared" ref="BN201:BN208" si="34">IFERROR(Y201*I201/H201,"0")</f>
        <v>157.08000000000001</v>
      </c>
      <c r="BO201" s="64">
        <f t="shared" ref="BO201:BO208" si="35">IFERROR(1/J201*(X201/H201),"0")</f>
        <v>0.21043771043771042</v>
      </c>
      <c r="BP201" s="64">
        <f t="shared" ref="BP201:BP208" si="36">IFERROR(1/J201*(Y201/H201),"0")</f>
        <v>0.21212121212121213</v>
      </c>
    </row>
    <row r="202" spans="1:68" ht="27" customHeight="1" x14ac:dyDescent="0.25">
      <c r="A202" s="54" t="s">
        <v>336</v>
      </c>
      <c r="B202" s="54" t="s">
        <v>337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69</v>
      </c>
      <c r="X202" s="663">
        <v>80</v>
      </c>
      <c r="Y202" s="664">
        <f t="shared" si="32"/>
        <v>81</v>
      </c>
      <c r="Z202" s="36">
        <f>IFERROR(IF(Y202=0,"",ROUNDUP(Y202/H202,0)*0.00902),"")</f>
        <v>0.1353</v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33"/>
        <v>83.111111111111114</v>
      </c>
      <c r="BN202" s="64">
        <f t="shared" si="34"/>
        <v>84.15</v>
      </c>
      <c r="BO202" s="64">
        <f t="shared" si="35"/>
        <v>0.11223344556677889</v>
      </c>
      <c r="BP202" s="64">
        <f t="shared" si="36"/>
        <v>0.11363636363636363</v>
      </c>
    </row>
    <row r="203" spans="1:68" ht="27" customHeight="1" x14ac:dyDescent="0.25">
      <c r="A203" s="54" t="s">
        <v>339</v>
      </c>
      <c r="B203" s="54" t="s">
        <v>340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69</v>
      </c>
      <c r="X203" s="663">
        <v>220</v>
      </c>
      <c r="Y203" s="664">
        <f t="shared" si="32"/>
        <v>221.4</v>
      </c>
      <c r="Z203" s="36">
        <f>IFERROR(IF(Y203=0,"",ROUNDUP(Y203/H203,0)*0.00902),"")</f>
        <v>0.36982000000000004</v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33"/>
        <v>228.55555555555554</v>
      </c>
      <c r="BN203" s="64">
        <f t="shared" si="34"/>
        <v>230.01</v>
      </c>
      <c r="BO203" s="64">
        <f t="shared" si="35"/>
        <v>0.30864197530864196</v>
      </c>
      <c r="BP203" s="64">
        <f t="shared" si="36"/>
        <v>0.31060606060606061</v>
      </c>
    </row>
    <row r="204" spans="1:68" ht="27" customHeight="1" x14ac:dyDescent="0.25">
      <c r="A204" s="54" t="s">
        <v>342</v>
      </c>
      <c r="B204" s="54" t="s">
        <v>343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69</v>
      </c>
      <c r="X204" s="663">
        <v>110</v>
      </c>
      <c r="Y204" s="664">
        <f t="shared" si="32"/>
        <v>113.4</v>
      </c>
      <c r="Z204" s="36">
        <f>IFERROR(IF(Y204=0,"",ROUNDUP(Y204/H204,0)*0.00902),"")</f>
        <v>0.18942000000000001</v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33"/>
        <v>114.27777777777777</v>
      </c>
      <c r="BN204" s="64">
        <f t="shared" si="34"/>
        <v>117.81</v>
      </c>
      <c r="BO204" s="64">
        <f t="shared" si="35"/>
        <v>0.15432098765432098</v>
      </c>
      <c r="BP204" s="64">
        <f t="shared" si="36"/>
        <v>0.15909090909090909</v>
      </c>
    </row>
    <row r="205" spans="1:68" ht="27" customHeight="1" x14ac:dyDescent="0.25">
      <c r="A205" s="54" t="s">
        <v>345</v>
      </c>
      <c r="B205" s="54" t="s">
        <v>346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150</v>
      </c>
      <c r="L205" s="32"/>
      <c r="M205" s="33" t="s">
        <v>68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69</v>
      </c>
      <c r="X205" s="663">
        <v>105</v>
      </c>
      <c r="Y205" s="664">
        <f t="shared" si="32"/>
        <v>106.2</v>
      </c>
      <c r="Z205" s="36">
        <f>IFERROR(IF(Y205=0,"",ROUNDUP(Y205/H205,0)*0.00502),"")</f>
        <v>0.29618</v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33"/>
        <v>112.58333333333333</v>
      </c>
      <c r="BN205" s="64">
        <f t="shared" si="34"/>
        <v>113.87</v>
      </c>
      <c r="BO205" s="64">
        <f t="shared" si="35"/>
        <v>0.2492877492877493</v>
      </c>
      <c r="BP205" s="64">
        <f t="shared" si="36"/>
        <v>0.25213675213675218</v>
      </c>
    </row>
    <row r="206" spans="1:68" ht="27" customHeight="1" x14ac:dyDescent="0.25">
      <c r="A206" s="54" t="s">
        <v>347</v>
      </c>
      <c r="B206" s="54" t="s">
        <v>348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150</v>
      </c>
      <c r="L206" s="32"/>
      <c r="M206" s="33" t="s">
        <v>68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69</v>
      </c>
      <c r="X206" s="663">
        <v>60</v>
      </c>
      <c r="Y206" s="664">
        <f t="shared" si="32"/>
        <v>61.2</v>
      </c>
      <c r="Z206" s="36">
        <f>IFERROR(IF(Y206=0,"",ROUNDUP(Y206/H206,0)*0.00502),"")</f>
        <v>0.17068</v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33"/>
        <v>63.333333333333329</v>
      </c>
      <c r="BN206" s="64">
        <f t="shared" si="34"/>
        <v>64.599999999999994</v>
      </c>
      <c r="BO206" s="64">
        <f t="shared" si="35"/>
        <v>0.14245014245014248</v>
      </c>
      <c r="BP206" s="64">
        <f t="shared" si="36"/>
        <v>0.14529914529914531</v>
      </c>
    </row>
    <row r="207" spans="1:68" ht="27" customHeight="1" x14ac:dyDescent="0.25">
      <c r="A207" s="54" t="s">
        <v>349</v>
      </c>
      <c r="B207" s="54" t="s">
        <v>350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150</v>
      </c>
      <c r="L207" s="32"/>
      <c r="M207" s="33" t="s">
        <v>68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69</v>
      </c>
      <c r="X207" s="663">
        <v>75</v>
      </c>
      <c r="Y207" s="664">
        <f t="shared" si="32"/>
        <v>75.600000000000009</v>
      </c>
      <c r="Z207" s="36">
        <f>IFERROR(IF(Y207=0,"",ROUNDUP(Y207/H207,0)*0.00502),"")</f>
        <v>0.21084</v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33"/>
        <v>79.166666666666671</v>
      </c>
      <c r="BN207" s="64">
        <f t="shared" si="34"/>
        <v>79.800000000000011</v>
      </c>
      <c r="BO207" s="64">
        <f t="shared" si="35"/>
        <v>0.17806267806267806</v>
      </c>
      <c r="BP207" s="64">
        <f t="shared" si="36"/>
        <v>0.17948717948717954</v>
      </c>
    </row>
    <row r="208" spans="1:68" ht="27" customHeight="1" x14ac:dyDescent="0.25">
      <c r="A208" s="54" t="s">
        <v>351</v>
      </c>
      <c r="B208" s="54" t="s">
        <v>352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150</v>
      </c>
      <c r="L208" s="32"/>
      <c r="M208" s="33" t="s">
        <v>68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69</v>
      </c>
      <c r="X208" s="663">
        <v>60</v>
      </c>
      <c r="Y208" s="664">
        <f t="shared" si="32"/>
        <v>61.2</v>
      </c>
      <c r="Z208" s="36">
        <f>IFERROR(IF(Y208=0,"",ROUNDUP(Y208/H208,0)*0.00502),"")</f>
        <v>0.17068</v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33"/>
        <v>63.333333333333329</v>
      </c>
      <c r="BN208" s="64">
        <f t="shared" si="34"/>
        <v>64.599999999999994</v>
      </c>
      <c r="BO208" s="64">
        <f t="shared" si="35"/>
        <v>0.14245014245014248</v>
      </c>
      <c r="BP208" s="64">
        <f t="shared" si="36"/>
        <v>0.14529914529914531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88</v>
      </c>
      <c r="Q209" s="683"/>
      <c r="R209" s="683"/>
      <c r="S209" s="683"/>
      <c r="T209" s="683"/>
      <c r="U209" s="683"/>
      <c r="V209" s="684"/>
      <c r="W209" s="37" t="s">
        <v>89</v>
      </c>
      <c r="X209" s="665">
        <f>IFERROR(X201/H201,"0")+IFERROR(X202/H202,"0")+IFERROR(X203/H203,"0")+IFERROR(X204/H204,"0")+IFERROR(X205/H205,"0")+IFERROR(X206/H206,"0")+IFERROR(X207/H207,"0")+IFERROR(X208/H208,"0")</f>
        <v>270.37037037037032</v>
      </c>
      <c r="Y209" s="665">
        <f>IFERROR(Y201/H201,"0")+IFERROR(Y202/H202,"0")+IFERROR(Y203/H203,"0")+IFERROR(Y204/H204,"0")+IFERROR(Y205/H205,"0")+IFERROR(Y206/H206,"0")+IFERROR(Y207/H207,"0")+IFERROR(Y208/H208,"0")</f>
        <v>274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1.7954799999999997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88</v>
      </c>
      <c r="Q210" s="683"/>
      <c r="R210" s="683"/>
      <c r="S210" s="683"/>
      <c r="T210" s="683"/>
      <c r="U210" s="683"/>
      <c r="V210" s="684"/>
      <c r="W210" s="37" t="s">
        <v>69</v>
      </c>
      <c r="X210" s="665">
        <f>IFERROR(SUM(X201:X208),"0")</f>
        <v>860</v>
      </c>
      <c r="Y210" s="665">
        <f>IFERROR(SUM(Y201:Y208),"0")</f>
        <v>871.20000000000016</v>
      </c>
      <c r="Z210" s="37"/>
      <c r="AA210" s="666"/>
      <c r="AB210" s="666"/>
      <c r="AC210" s="666"/>
    </row>
    <row r="211" spans="1:68" ht="14.25" customHeight="1" x14ac:dyDescent="0.25">
      <c r="A211" s="679" t="s">
        <v>64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353</v>
      </c>
      <c r="B212" s="54" t="s">
        <v>354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69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356</v>
      </c>
      <c r="B213" s="54" t="s">
        <v>357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69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359</v>
      </c>
      <c r="B214" s="54" t="s">
        <v>360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69</v>
      </c>
      <c r="X214" s="663">
        <v>100</v>
      </c>
      <c r="Y214" s="664">
        <f t="shared" si="37"/>
        <v>104.39999999999999</v>
      </c>
      <c r="Z214" s="36">
        <f>IFERROR(IF(Y214=0,"",ROUNDUP(Y214/H214,0)*0.01898),"")</f>
        <v>0.22776000000000002</v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8"/>
        <v>105.96551724137932</v>
      </c>
      <c r="BN214" s="64">
        <f t="shared" si="39"/>
        <v>110.62799999999999</v>
      </c>
      <c r="BO214" s="64">
        <f t="shared" si="40"/>
        <v>0.1795977011494253</v>
      </c>
      <c r="BP214" s="64">
        <f t="shared" si="41"/>
        <v>0.1875</v>
      </c>
    </row>
    <row r="215" spans="1:68" ht="27" customHeight="1" x14ac:dyDescent="0.25">
      <c r="A215" s="54" t="s">
        <v>362</v>
      </c>
      <c r="B215" s="54" t="s">
        <v>363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69</v>
      </c>
      <c r="X215" s="663">
        <v>280</v>
      </c>
      <c r="Y215" s="664">
        <f t="shared" si="37"/>
        <v>280.8</v>
      </c>
      <c r="Z215" s="36">
        <f t="shared" ref="Z215:Z220" si="42">IFERROR(IF(Y215=0,"",ROUNDUP(Y215/H215,0)*0.00651),"")</f>
        <v>0.76167000000000007</v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8"/>
        <v>311.5</v>
      </c>
      <c r="BN215" s="64">
        <f t="shared" si="39"/>
        <v>312.39</v>
      </c>
      <c r="BO215" s="64">
        <f t="shared" si="40"/>
        <v>0.64102564102564108</v>
      </c>
      <c r="BP215" s="64">
        <f t="shared" si="41"/>
        <v>0.64285714285714302</v>
      </c>
    </row>
    <row r="216" spans="1:68" ht="27" customHeight="1" x14ac:dyDescent="0.25">
      <c r="A216" s="54" t="s">
        <v>364</v>
      </c>
      <c r="B216" s="54" t="s">
        <v>365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67</v>
      </c>
      <c r="L216" s="32"/>
      <c r="M216" s="33" t="s">
        <v>132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69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367</v>
      </c>
      <c r="B217" s="54" t="s">
        <v>368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69</v>
      </c>
      <c r="X217" s="663">
        <v>240</v>
      </c>
      <c r="Y217" s="664">
        <f t="shared" si="37"/>
        <v>240</v>
      </c>
      <c r="Z217" s="36">
        <f t="shared" si="42"/>
        <v>0.65100000000000002</v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8"/>
        <v>265.20000000000005</v>
      </c>
      <c r="BN217" s="64">
        <f t="shared" si="39"/>
        <v>265.20000000000005</v>
      </c>
      <c r="BO217" s="64">
        <f t="shared" si="40"/>
        <v>0.5494505494505495</v>
      </c>
      <c r="BP217" s="64">
        <f t="shared" si="41"/>
        <v>0.5494505494505495</v>
      </c>
    </row>
    <row r="218" spans="1:68" ht="27" customHeight="1" x14ac:dyDescent="0.25">
      <c r="A218" s="54" t="s">
        <v>369</v>
      </c>
      <c r="B218" s="54" t="s">
        <v>370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69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371</v>
      </c>
      <c r="B219" s="54" t="s">
        <v>372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67</v>
      </c>
      <c r="L219" s="32"/>
      <c r="M219" s="33" t="s">
        <v>132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69</v>
      </c>
      <c r="X219" s="663">
        <v>80</v>
      </c>
      <c r="Y219" s="664">
        <f t="shared" si="37"/>
        <v>81.599999999999994</v>
      </c>
      <c r="Z219" s="36">
        <f t="shared" si="42"/>
        <v>0.22134000000000001</v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8"/>
        <v>88.40000000000002</v>
      </c>
      <c r="BN219" s="64">
        <f t="shared" si="39"/>
        <v>90.168000000000006</v>
      </c>
      <c r="BO219" s="64">
        <f t="shared" si="40"/>
        <v>0.18315018315018317</v>
      </c>
      <c r="BP219" s="64">
        <f t="shared" si="41"/>
        <v>0.18681318681318682</v>
      </c>
    </row>
    <row r="220" spans="1:68" ht="27" customHeight="1" x14ac:dyDescent="0.25">
      <c r="A220" s="54" t="s">
        <v>374</v>
      </c>
      <c r="B220" s="54" t="s">
        <v>375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69</v>
      </c>
      <c r="X220" s="663">
        <v>240</v>
      </c>
      <c r="Y220" s="664">
        <f t="shared" si="37"/>
        <v>240</v>
      </c>
      <c r="Z220" s="36">
        <f t="shared" si="42"/>
        <v>0.65100000000000002</v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8"/>
        <v>265.8</v>
      </c>
      <c r="BN220" s="64">
        <f t="shared" si="39"/>
        <v>265.8</v>
      </c>
      <c r="BO220" s="64">
        <f t="shared" si="40"/>
        <v>0.5494505494505495</v>
      </c>
      <c r="BP220" s="64">
        <f t="shared" si="41"/>
        <v>0.5494505494505495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88</v>
      </c>
      <c r="Q221" s="683"/>
      <c r="R221" s="683"/>
      <c r="S221" s="683"/>
      <c r="T221" s="683"/>
      <c r="U221" s="683"/>
      <c r="V221" s="684"/>
      <c r="W221" s="37" t="s">
        <v>89</v>
      </c>
      <c r="X221" s="665">
        <f>IFERROR(X212/H212,"0")+IFERROR(X213/H213,"0")+IFERROR(X214/H214,"0")+IFERROR(X215/H215,"0")+IFERROR(X216/H216,"0")+IFERROR(X217/H217,"0")+IFERROR(X218/H218,"0")+IFERROR(X219/H219,"0")+IFERROR(X220/H220,"0")</f>
        <v>361.4942528735632</v>
      </c>
      <c r="Y221" s="665">
        <f>IFERROR(Y212/H212,"0")+IFERROR(Y213/H213,"0")+IFERROR(Y214/H214,"0")+IFERROR(Y215/H215,"0")+IFERROR(Y216/H216,"0")+IFERROR(Y217/H217,"0")+IFERROR(Y218/H218,"0")+IFERROR(Y219/H219,"0")+IFERROR(Y220/H220,"0")</f>
        <v>363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2.5127700000000002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88</v>
      </c>
      <c r="Q222" s="683"/>
      <c r="R222" s="683"/>
      <c r="S222" s="683"/>
      <c r="T222" s="683"/>
      <c r="U222" s="683"/>
      <c r="V222" s="684"/>
      <c r="W222" s="37" t="s">
        <v>69</v>
      </c>
      <c r="X222" s="665">
        <f>IFERROR(SUM(X212:X220),"0")</f>
        <v>940</v>
      </c>
      <c r="Y222" s="665">
        <f>IFERROR(SUM(Y212:Y220),"0")</f>
        <v>946.80000000000007</v>
      </c>
      <c r="Z222" s="37"/>
      <c r="AA222" s="666"/>
      <c r="AB222" s="666"/>
      <c r="AC222" s="666"/>
    </row>
    <row r="223" spans="1:68" ht="14.25" customHeight="1" x14ac:dyDescent="0.25">
      <c r="A223" s="679" t="s">
        <v>173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377</v>
      </c>
      <c r="B224" s="54" t="s">
        <v>378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67</v>
      </c>
      <c r="L224" s="32"/>
      <c r="M224" s="33" t="s">
        <v>132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69</v>
      </c>
      <c r="X224" s="663">
        <v>28</v>
      </c>
      <c r="Y224" s="664">
        <f>IFERROR(IF(X224="",0,CEILING((X224/$H224),1)*$H224),"")</f>
        <v>28.799999999999997</v>
      </c>
      <c r="Z224" s="36">
        <f>IFERROR(IF(Y224=0,"",ROUNDUP(Y224/H224,0)*0.00651),"")</f>
        <v>7.8119999999999995E-2</v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30.94</v>
      </c>
      <c r="BN224" s="64">
        <f>IFERROR(Y224*I224/H224,"0")</f>
        <v>31.824000000000002</v>
      </c>
      <c r="BO224" s="64">
        <f>IFERROR(1/J224*(X224/H224),"0")</f>
        <v>6.4102564102564111E-2</v>
      </c>
      <c r="BP224" s="64">
        <f>IFERROR(1/J224*(Y224/H224),"0")</f>
        <v>6.5934065934065936E-2</v>
      </c>
    </row>
    <row r="225" spans="1:68" ht="27" customHeight="1" x14ac:dyDescent="0.25">
      <c r="A225" s="54" t="s">
        <v>380</v>
      </c>
      <c r="B225" s="54" t="s">
        <v>381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69</v>
      </c>
      <c r="X225" s="663">
        <v>36</v>
      </c>
      <c r="Y225" s="664">
        <f>IFERROR(IF(X225="",0,CEILING((X225/$H225),1)*$H225),"")</f>
        <v>36</v>
      </c>
      <c r="Z225" s="36">
        <f>IFERROR(IF(Y225=0,"",ROUNDUP(Y225/H225,0)*0.00651),"")</f>
        <v>9.7650000000000001E-2</v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39.780000000000008</v>
      </c>
      <c r="BN225" s="64">
        <f>IFERROR(Y225*I225/H225,"0")</f>
        <v>39.780000000000008</v>
      </c>
      <c r="BO225" s="64">
        <f>IFERROR(1/J225*(X225/H225),"0")</f>
        <v>8.241758241758243E-2</v>
      </c>
      <c r="BP225" s="64">
        <f>IFERROR(1/J225*(Y225/H225),"0")</f>
        <v>8.241758241758243E-2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88</v>
      </c>
      <c r="Q226" s="683"/>
      <c r="R226" s="683"/>
      <c r="S226" s="683"/>
      <c r="T226" s="683"/>
      <c r="U226" s="683"/>
      <c r="V226" s="684"/>
      <c r="W226" s="37" t="s">
        <v>89</v>
      </c>
      <c r="X226" s="665">
        <f>IFERROR(X224/H224,"0")+IFERROR(X225/H225,"0")</f>
        <v>26.666666666666668</v>
      </c>
      <c r="Y226" s="665">
        <f>IFERROR(Y224/H224,"0")+IFERROR(Y225/H225,"0")</f>
        <v>27</v>
      </c>
      <c r="Z226" s="665">
        <f>IFERROR(IF(Z224="",0,Z224),"0")+IFERROR(IF(Z225="",0,Z225),"0")</f>
        <v>0.17576999999999998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88</v>
      </c>
      <c r="Q227" s="683"/>
      <c r="R227" s="683"/>
      <c r="S227" s="683"/>
      <c r="T227" s="683"/>
      <c r="U227" s="683"/>
      <c r="V227" s="684"/>
      <c r="W227" s="37" t="s">
        <v>69</v>
      </c>
      <c r="X227" s="665">
        <f>IFERROR(SUM(X224:X225),"0")</f>
        <v>64</v>
      </c>
      <c r="Y227" s="665">
        <f>IFERROR(SUM(Y224:Y225),"0")</f>
        <v>64.8</v>
      </c>
      <c r="Z227" s="37"/>
      <c r="AA227" s="666"/>
      <c r="AB227" s="666"/>
      <c r="AC227" s="666"/>
    </row>
    <row r="228" spans="1:68" ht="16.5" customHeight="1" x14ac:dyDescent="0.25">
      <c r="A228" s="716" t="s">
        <v>383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98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384</v>
      </c>
      <c r="B230" s="54" t="s">
        <v>385</v>
      </c>
      <c r="C230" s="31">
        <v>4301011942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12.08</v>
      </c>
      <c r="J230" s="32">
        <v>48</v>
      </c>
      <c r="K230" s="32" t="s">
        <v>101</v>
      </c>
      <c r="L230" s="32"/>
      <c r="M230" s="33" t="s">
        <v>386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69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384</v>
      </c>
      <c r="B231" s="54" t="s">
        <v>388</v>
      </c>
      <c r="C231" s="31">
        <v>4301011826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12.035</v>
      </c>
      <c r="J231" s="32">
        <v>64</v>
      </c>
      <c r="K231" s="32" t="s">
        <v>101</v>
      </c>
      <c r="L231" s="32"/>
      <c r="M231" s="33" t="s">
        <v>102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69</v>
      </c>
      <c r="X231" s="663">
        <v>30</v>
      </c>
      <c r="Y231" s="664">
        <f t="shared" si="43"/>
        <v>34.799999999999997</v>
      </c>
      <c r="Z231" s="36">
        <f>IFERROR(IF(Y231=0,"",ROUNDUP(Y231/H231,0)*0.01898),"")</f>
        <v>5.6940000000000004E-2</v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44"/>
        <v>31.125000000000004</v>
      </c>
      <c r="BN231" s="64">
        <f t="shared" si="45"/>
        <v>36.104999999999997</v>
      </c>
      <c r="BO231" s="64">
        <f t="shared" si="46"/>
        <v>4.0409482758620691E-2</v>
      </c>
      <c r="BP231" s="64">
        <f t="shared" si="47"/>
        <v>4.6875E-2</v>
      </c>
    </row>
    <row r="232" spans="1:68" ht="27" customHeight="1" x14ac:dyDescent="0.25">
      <c r="A232" s="54" t="s">
        <v>390</v>
      </c>
      <c r="B232" s="54" t="s">
        <v>391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69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393</v>
      </c>
      <c r="B233" s="54" t="s">
        <v>394</v>
      </c>
      <c r="C233" s="31">
        <v>4301011941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12.08</v>
      </c>
      <c r="J233" s="32">
        <v>48</v>
      </c>
      <c r="K233" s="32" t="s">
        <v>101</v>
      </c>
      <c r="L233" s="32"/>
      <c r="M233" s="33" t="s">
        <v>386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69</v>
      </c>
      <c r="X233" s="663">
        <v>0</v>
      </c>
      <c r="Y233" s="664">
        <f t="shared" si="43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393</v>
      </c>
      <c r="B234" s="54" t="s">
        <v>395</v>
      </c>
      <c r="C234" s="31">
        <v>4301011721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12.035</v>
      </c>
      <c r="J234" s="32">
        <v>64</v>
      </c>
      <c r="K234" s="32" t="s">
        <v>101</v>
      </c>
      <c r="L234" s="32"/>
      <c r="M234" s="33" t="s">
        <v>102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69</v>
      </c>
      <c r="X234" s="663">
        <v>70</v>
      </c>
      <c r="Y234" s="664">
        <f t="shared" si="43"/>
        <v>81.2</v>
      </c>
      <c r="Z234" s="36">
        <f>IFERROR(IF(Y234=0,"",ROUNDUP(Y234/H234,0)*0.01898),"")</f>
        <v>0.13286000000000001</v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44"/>
        <v>72.625</v>
      </c>
      <c r="BN234" s="64">
        <f t="shared" si="45"/>
        <v>84.245000000000005</v>
      </c>
      <c r="BO234" s="64">
        <f t="shared" si="46"/>
        <v>9.4288793103448273E-2</v>
      </c>
      <c r="BP234" s="64">
        <f t="shared" si="47"/>
        <v>0.10937500000000001</v>
      </c>
    </row>
    <row r="235" spans="1:68" ht="27" customHeight="1" x14ac:dyDescent="0.25">
      <c r="A235" s="54" t="s">
        <v>397</v>
      </c>
      <c r="B235" s="54" t="s">
        <v>398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69</v>
      </c>
      <c r="X235" s="663">
        <v>20</v>
      </c>
      <c r="Y235" s="664">
        <f t="shared" si="43"/>
        <v>20</v>
      </c>
      <c r="Z235" s="36">
        <f>IFERROR(IF(Y235=0,"",ROUNDUP(Y235/H235,0)*0.00902),"")</f>
        <v>4.5100000000000001E-2</v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44"/>
        <v>21.05</v>
      </c>
      <c r="BN235" s="64">
        <f t="shared" si="45"/>
        <v>21.05</v>
      </c>
      <c r="BO235" s="64">
        <f t="shared" si="46"/>
        <v>3.787878787878788E-2</v>
      </c>
      <c r="BP235" s="64">
        <f t="shared" si="47"/>
        <v>3.787878787878788E-2</v>
      </c>
    </row>
    <row r="236" spans="1:68" ht="27" customHeight="1" x14ac:dyDescent="0.25">
      <c r="A236" s="54" t="s">
        <v>399</v>
      </c>
      <c r="B236" s="54" t="s">
        <v>400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69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401</v>
      </c>
      <c r="B237" s="54" t="s">
        <v>402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69</v>
      </c>
      <c r="X237" s="663">
        <v>32</v>
      </c>
      <c r="Y237" s="664">
        <f t="shared" si="43"/>
        <v>32</v>
      </c>
      <c r="Z237" s="36">
        <f>IFERROR(IF(Y237=0,"",ROUNDUP(Y237/H237,0)*0.00902),"")</f>
        <v>7.2160000000000002E-2</v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44"/>
        <v>33.68</v>
      </c>
      <c r="BN237" s="64">
        <f t="shared" si="45"/>
        <v>33.68</v>
      </c>
      <c r="BO237" s="64">
        <f t="shared" si="46"/>
        <v>6.0606060606060608E-2</v>
      </c>
      <c r="BP237" s="64">
        <f t="shared" si="47"/>
        <v>6.0606060606060608E-2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88</v>
      </c>
      <c r="Q238" s="683"/>
      <c r="R238" s="683"/>
      <c r="S238" s="683"/>
      <c r="T238" s="683"/>
      <c r="U238" s="683"/>
      <c r="V238" s="684"/>
      <c r="W238" s="37" t="s">
        <v>89</v>
      </c>
      <c r="X238" s="665">
        <f>IFERROR(X230/H230,"0")+IFERROR(X231/H231,"0")+IFERROR(X232/H232,"0")+IFERROR(X233/H233,"0")+IFERROR(X234/H234,"0")+IFERROR(X235/H235,"0")+IFERROR(X236/H236,"0")+IFERROR(X237/H237,"0")</f>
        <v>21.620689655172413</v>
      </c>
      <c r="Y238" s="665">
        <f>IFERROR(Y230/H230,"0")+IFERROR(Y231/H231,"0")+IFERROR(Y232/H232,"0")+IFERROR(Y233/H233,"0")+IFERROR(Y234/H234,"0")+IFERROR(Y235/H235,"0")+IFERROR(Y236/H236,"0")+IFERROR(Y237/H237,"0")</f>
        <v>23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0.30706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88</v>
      </c>
      <c r="Q239" s="683"/>
      <c r="R239" s="683"/>
      <c r="S239" s="683"/>
      <c r="T239" s="683"/>
      <c r="U239" s="683"/>
      <c r="V239" s="684"/>
      <c r="W239" s="37" t="s">
        <v>69</v>
      </c>
      <c r="X239" s="665">
        <f>IFERROR(SUM(X230:X237),"0")</f>
        <v>152</v>
      </c>
      <c r="Y239" s="665">
        <f>IFERROR(SUM(Y230:Y237),"0")</f>
        <v>168</v>
      </c>
      <c r="Z239" s="37"/>
      <c r="AA239" s="666"/>
      <c r="AB239" s="666"/>
      <c r="AC239" s="666"/>
    </row>
    <row r="240" spans="1:68" ht="14.25" customHeight="1" x14ac:dyDescent="0.25">
      <c r="A240" s="679" t="s">
        <v>136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403</v>
      </c>
      <c r="B241" s="54" t="s">
        <v>404</v>
      </c>
      <c r="C241" s="31">
        <v>4301020340</v>
      </c>
      <c r="D241" s="667">
        <v>4680115885721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150</v>
      </c>
      <c r="L241" s="32"/>
      <c r="M241" s="33" t="s">
        <v>108</v>
      </c>
      <c r="N241" s="33"/>
      <c r="O241" s="32">
        <v>50</v>
      </c>
      <c r="P241" s="970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70"/>
      <c r="R241" s="670"/>
      <c r="S241" s="670"/>
      <c r="T241" s="671"/>
      <c r="U241" s="34"/>
      <c r="V241" s="34"/>
      <c r="W241" s="35" t="s">
        <v>69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403</v>
      </c>
      <c r="B242" s="54" t="s">
        <v>406</v>
      </c>
      <c r="C242" s="31">
        <v>4301020377</v>
      </c>
      <c r="D242" s="667">
        <v>4680115885981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150</v>
      </c>
      <c r="L242" s="32"/>
      <c r="M242" s="33" t="s">
        <v>108</v>
      </c>
      <c r="N242" s="33"/>
      <c r="O242" s="32">
        <v>50</v>
      </c>
      <c r="P242" s="747" t="s">
        <v>407</v>
      </c>
      <c r="Q242" s="670"/>
      <c r="R242" s="670"/>
      <c r="S242" s="670"/>
      <c r="T242" s="671"/>
      <c r="U242" s="34"/>
      <c r="V242" s="34"/>
      <c r="W242" s="35" t="s">
        <v>69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88</v>
      </c>
      <c r="Q243" s="683"/>
      <c r="R243" s="683"/>
      <c r="S243" s="683"/>
      <c r="T243" s="683"/>
      <c r="U243" s="683"/>
      <c r="V243" s="684"/>
      <c r="W243" s="37" t="s">
        <v>89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88</v>
      </c>
      <c r="Q244" s="683"/>
      <c r="R244" s="683"/>
      <c r="S244" s="683"/>
      <c r="T244" s="683"/>
      <c r="U244" s="683"/>
      <c r="V244" s="684"/>
      <c r="W244" s="37" t="s">
        <v>69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408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409</v>
      </c>
      <c r="B246" s="54" t="s">
        <v>410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814" t="s">
        <v>411</v>
      </c>
      <c r="Q246" s="670"/>
      <c r="R246" s="670"/>
      <c r="S246" s="670"/>
      <c r="T246" s="671"/>
      <c r="U246" s="34"/>
      <c r="V246" s="34"/>
      <c r="W246" s="35" t="s">
        <v>69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88</v>
      </c>
      <c r="Q247" s="683"/>
      <c r="R247" s="683"/>
      <c r="S247" s="683"/>
      <c r="T247" s="683"/>
      <c r="U247" s="683"/>
      <c r="V247" s="684"/>
      <c r="W247" s="37" t="s">
        <v>89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88</v>
      </c>
      <c r="Q248" s="683"/>
      <c r="R248" s="683"/>
      <c r="S248" s="683"/>
      <c r="T248" s="683"/>
      <c r="U248" s="683"/>
      <c r="V248" s="684"/>
      <c r="W248" s="37" t="s">
        <v>69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413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414</v>
      </c>
      <c r="B250" s="54" t="s">
        <v>415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75" t="s">
        <v>416</v>
      </c>
      <c r="Q250" s="670"/>
      <c r="R250" s="670"/>
      <c r="S250" s="670"/>
      <c r="T250" s="671"/>
      <c r="U250" s="34"/>
      <c r="V250" s="34"/>
      <c r="W250" s="35" t="s">
        <v>69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88</v>
      </c>
      <c r="Q251" s="683"/>
      <c r="R251" s="683"/>
      <c r="S251" s="683"/>
      <c r="T251" s="683"/>
      <c r="U251" s="683"/>
      <c r="V251" s="684"/>
      <c r="W251" s="37" t="s">
        <v>89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88</v>
      </c>
      <c r="Q252" s="683"/>
      <c r="R252" s="683"/>
      <c r="S252" s="683"/>
      <c r="T252" s="683"/>
      <c r="U252" s="683"/>
      <c r="V252" s="684"/>
      <c r="W252" s="37" t="s">
        <v>69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418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98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419</v>
      </c>
      <c r="B255" s="54" t="s">
        <v>420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69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4301011910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11.28</v>
      </c>
      <c r="J256" s="32">
        <v>48</v>
      </c>
      <c r="K256" s="32" t="s">
        <v>101</v>
      </c>
      <c r="L256" s="32"/>
      <c r="M256" s="33" t="s">
        <v>386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69</v>
      </c>
      <c r="X256" s="663">
        <v>0</v>
      </c>
      <c r="Y256" s="664">
        <f t="shared" si="48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422</v>
      </c>
      <c r="B257" s="54" t="s">
        <v>425</v>
      </c>
      <c r="C257" s="31">
        <v>4301011850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11.234999999999999</v>
      </c>
      <c r="J257" s="32">
        <v>64</v>
      </c>
      <c r="K257" s="32" t="s">
        <v>101</v>
      </c>
      <c r="L257" s="32"/>
      <c r="M257" s="33" t="s">
        <v>102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69</v>
      </c>
      <c r="X257" s="663">
        <v>0</v>
      </c>
      <c r="Y257" s="664">
        <f t="shared" si="48"/>
        <v>0</v>
      </c>
      <c r="Z257" s="36" t="str">
        <f>IFERROR(IF(Y257=0,"",ROUNDUP(Y257/H257,0)*0.01898),"")</f>
        <v/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427</v>
      </c>
      <c r="B258" s="54" t="s">
        <v>428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69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430</v>
      </c>
      <c r="B259" s="54" t="s">
        <v>431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69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433</v>
      </c>
      <c r="B260" s="54" t="s">
        <v>434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69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88</v>
      </c>
      <c r="Q261" s="683"/>
      <c r="R261" s="683"/>
      <c r="S261" s="683"/>
      <c r="T261" s="683"/>
      <c r="U261" s="683"/>
      <c r="V261" s="684"/>
      <c r="W261" s="37" t="s">
        <v>89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88</v>
      </c>
      <c r="Q262" s="683"/>
      <c r="R262" s="683"/>
      <c r="S262" s="683"/>
      <c r="T262" s="683"/>
      <c r="U262" s="683"/>
      <c r="V262" s="684"/>
      <c r="W262" s="37" t="s">
        <v>69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436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98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437</v>
      </c>
      <c r="B265" s="54" t="s">
        <v>438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69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88</v>
      </c>
      <c r="Q266" s="683"/>
      <c r="R266" s="683"/>
      <c r="S266" s="683"/>
      <c r="T266" s="683"/>
      <c r="U266" s="683"/>
      <c r="V266" s="684"/>
      <c r="W266" s="37" t="s">
        <v>89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88</v>
      </c>
      <c r="Q267" s="683"/>
      <c r="R267" s="683"/>
      <c r="S267" s="683"/>
      <c r="T267" s="683"/>
      <c r="U267" s="683"/>
      <c r="V267" s="684"/>
      <c r="W267" s="37" t="s">
        <v>69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440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98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441</v>
      </c>
      <c r="B270" s="54" t="s">
        <v>442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69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443</v>
      </c>
      <c r="B271" s="54" t="s">
        <v>444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69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446</v>
      </c>
      <c r="B272" s="54" t="s">
        <v>447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69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88</v>
      </c>
      <c r="Q273" s="683"/>
      <c r="R273" s="683"/>
      <c r="S273" s="683"/>
      <c r="T273" s="683"/>
      <c r="U273" s="683"/>
      <c r="V273" s="684"/>
      <c r="W273" s="37" t="s">
        <v>89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88</v>
      </c>
      <c r="Q274" s="683"/>
      <c r="R274" s="683"/>
      <c r="S274" s="683"/>
      <c r="T274" s="683"/>
      <c r="U274" s="683"/>
      <c r="V274" s="684"/>
      <c r="W274" s="37" t="s">
        <v>69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449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64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450</v>
      </c>
      <c r="B277" s="54" t="s">
        <v>451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106</v>
      </c>
      <c r="L277" s="32"/>
      <c r="M277" s="33" t="s">
        <v>132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69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453</v>
      </c>
      <c r="B278" s="54" t="s">
        <v>454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69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456</v>
      </c>
      <c r="B279" s="54" t="s">
        <v>457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67</v>
      </c>
      <c r="L279" s="32"/>
      <c r="M279" s="33" t="s">
        <v>132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69</v>
      </c>
      <c r="X279" s="663">
        <v>80</v>
      </c>
      <c r="Y279" s="664">
        <f>IFERROR(IF(X279="",0,CEILING((X279/$H279),1)*$H279),"")</f>
        <v>81.599999999999994</v>
      </c>
      <c r="Z279" s="36">
        <f>IFERROR(IF(Y279=0,"",ROUNDUP(Y279/H279,0)*0.00651),"")</f>
        <v>0.22134000000000001</v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88.40000000000002</v>
      </c>
      <c r="BN279" s="64">
        <f>IFERROR(Y279*I279/H279,"0")</f>
        <v>90.168000000000006</v>
      </c>
      <c r="BO279" s="64">
        <f>IFERROR(1/J279*(X279/H279),"0")</f>
        <v>0.18315018315018317</v>
      </c>
      <c r="BP279" s="64">
        <f>IFERROR(1/J279*(Y279/H279),"0")</f>
        <v>0.18681318681318682</v>
      </c>
    </row>
    <row r="280" spans="1:68" ht="37.5" customHeight="1" x14ac:dyDescent="0.25">
      <c r="A280" s="54" t="s">
        <v>458</v>
      </c>
      <c r="B280" s="54" t="s">
        <v>459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69</v>
      </c>
      <c r="X280" s="663">
        <v>160</v>
      </c>
      <c r="Y280" s="664">
        <f>IFERROR(IF(X280="",0,CEILING((X280/$H280),1)*$H280),"")</f>
        <v>160.79999999999998</v>
      </c>
      <c r="Z280" s="36">
        <f>IFERROR(IF(Y280=0,"",ROUNDUP(Y280/H280,0)*0.00651),"")</f>
        <v>0.43617</v>
      </c>
      <c r="AA280" s="56"/>
      <c r="AB280" s="57"/>
      <c r="AC280" s="339" t="s">
        <v>460</v>
      </c>
      <c r="AG280" s="64"/>
      <c r="AJ280" s="68" t="s">
        <v>109</v>
      </c>
      <c r="AK280" s="68">
        <v>436.8</v>
      </c>
      <c r="BB280" s="340" t="s">
        <v>1</v>
      </c>
      <c r="BM280" s="64">
        <f>IFERROR(X280*I280/H280,"0")</f>
        <v>172</v>
      </c>
      <c r="BN280" s="64">
        <f>IFERROR(Y280*I280/H280,"0")</f>
        <v>172.85999999999999</v>
      </c>
      <c r="BO280" s="64">
        <f>IFERROR(1/J280*(X280/H280),"0")</f>
        <v>0.36630036630036633</v>
      </c>
      <c r="BP280" s="64">
        <f>IFERROR(1/J280*(Y280/H280),"0")</f>
        <v>0.36813186813186816</v>
      </c>
    </row>
    <row r="281" spans="1:68" ht="27" customHeight="1" x14ac:dyDescent="0.25">
      <c r="A281" s="54" t="s">
        <v>461</v>
      </c>
      <c r="B281" s="54" t="s">
        <v>462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69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88</v>
      </c>
      <c r="Q282" s="683"/>
      <c r="R282" s="683"/>
      <c r="S282" s="683"/>
      <c r="T282" s="683"/>
      <c r="U282" s="683"/>
      <c r="V282" s="684"/>
      <c r="W282" s="37" t="s">
        <v>89</v>
      </c>
      <c r="X282" s="665">
        <f>IFERROR(X277/H277,"0")+IFERROR(X278/H278,"0")+IFERROR(X279/H279,"0")+IFERROR(X280/H280,"0")+IFERROR(X281/H281,"0")</f>
        <v>100</v>
      </c>
      <c r="Y282" s="665">
        <f>IFERROR(Y277/H277,"0")+IFERROR(Y278/H278,"0")+IFERROR(Y279/H279,"0")+IFERROR(Y280/H280,"0")+IFERROR(Y281/H281,"0")</f>
        <v>101</v>
      </c>
      <c r="Z282" s="665">
        <f>IFERROR(IF(Z277="",0,Z277),"0")+IFERROR(IF(Z278="",0,Z278),"0")+IFERROR(IF(Z279="",0,Z279),"0")+IFERROR(IF(Z280="",0,Z280),"0")+IFERROR(IF(Z281="",0,Z281),"0")</f>
        <v>0.65751000000000004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88</v>
      </c>
      <c r="Q283" s="683"/>
      <c r="R283" s="683"/>
      <c r="S283" s="683"/>
      <c r="T283" s="683"/>
      <c r="U283" s="683"/>
      <c r="V283" s="684"/>
      <c r="W283" s="37" t="s">
        <v>69</v>
      </c>
      <c r="X283" s="665">
        <f>IFERROR(SUM(X277:X281),"0")</f>
        <v>240</v>
      </c>
      <c r="Y283" s="665">
        <f>IFERROR(SUM(Y277:Y281),"0")</f>
        <v>242.39999999999998</v>
      </c>
      <c r="Z283" s="37"/>
      <c r="AA283" s="666"/>
      <c r="AB283" s="666"/>
      <c r="AC283" s="666"/>
    </row>
    <row r="284" spans="1:68" ht="16.5" customHeight="1" x14ac:dyDescent="0.25">
      <c r="A284" s="716" t="s">
        <v>463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98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464</v>
      </c>
      <c r="B286" s="54" t="s">
        <v>465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69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88</v>
      </c>
      <c r="Q287" s="683"/>
      <c r="R287" s="683"/>
      <c r="S287" s="683"/>
      <c r="T287" s="683"/>
      <c r="U287" s="683"/>
      <c r="V287" s="684"/>
      <c r="W287" s="37" t="s">
        <v>89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88</v>
      </c>
      <c r="Q288" s="683"/>
      <c r="R288" s="683"/>
      <c r="S288" s="683"/>
      <c r="T288" s="683"/>
      <c r="U288" s="683"/>
      <c r="V288" s="684"/>
      <c r="W288" s="37" t="s">
        <v>69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147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467</v>
      </c>
      <c r="B290" s="54" t="s">
        <v>468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150</v>
      </c>
      <c r="L290" s="32"/>
      <c r="M290" s="33" t="s">
        <v>68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69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88</v>
      </c>
      <c r="Q291" s="683"/>
      <c r="R291" s="683"/>
      <c r="S291" s="683"/>
      <c r="T291" s="683"/>
      <c r="U291" s="683"/>
      <c r="V291" s="684"/>
      <c r="W291" s="37" t="s">
        <v>89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88</v>
      </c>
      <c r="Q292" s="683"/>
      <c r="R292" s="683"/>
      <c r="S292" s="683"/>
      <c r="T292" s="683"/>
      <c r="U292" s="683"/>
      <c r="V292" s="684"/>
      <c r="W292" s="37" t="s">
        <v>69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64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470</v>
      </c>
      <c r="B294" s="54" t="s">
        <v>471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69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88</v>
      </c>
      <c r="Q295" s="683"/>
      <c r="R295" s="683"/>
      <c r="S295" s="683"/>
      <c r="T295" s="683"/>
      <c r="U295" s="683"/>
      <c r="V295" s="684"/>
      <c r="W295" s="37" t="s">
        <v>89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88</v>
      </c>
      <c r="Q296" s="683"/>
      <c r="R296" s="683"/>
      <c r="S296" s="683"/>
      <c r="T296" s="683"/>
      <c r="U296" s="683"/>
      <c r="V296" s="684"/>
      <c r="W296" s="37" t="s">
        <v>69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473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64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474</v>
      </c>
      <c r="B299" s="54" t="s">
        <v>475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69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88</v>
      </c>
      <c r="Q300" s="683"/>
      <c r="R300" s="683"/>
      <c r="S300" s="683"/>
      <c r="T300" s="683"/>
      <c r="U300" s="683"/>
      <c r="V300" s="684"/>
      <c r="W300" s="37" t="s">
        <v>89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88</v>
      </c>
      <c r="Q301" s="683"/>
      <c r="R301" s="683"/>
      <c r="S301" s="683"/>
      <c r="T301" s="683"/>
      <c r="U301" s="683"/>
      <c r="V301" s="684"/>
      <c r="W301" s="37" t="s">
        <v>69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477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98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478</v>
      </c>
      <c r="B304" s="54" t="s">
        <v>479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69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88</v>
      </c>
      <c r="Q305" s="683"/>
      <c r="R305" s="683"/>
      <c r="S305" s="683"/>
      <c r="T305" s="683"/>
      <c r="U305" s="683"/>
      <c r="V305" s="684"/>
      <c r="W305" s="37" t="s">
        <v>89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88</v>
      </c>
      <c r="Q306" s="683"/>
      <c r="R306" s="683"/>
      <c r="S306" s="683"/>
      <c r="T306" s="683"/>
      <c r="U306" s="683"/>
      <c r="V306" s="684"/>
      <c r="W306" s="37" t="s">
        <v>69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147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480</v>
      </c>
      <c r="B308" s="54" t="s">
        <v>481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150</v>
      </c>
      <c r="L308" s="32"/>
      <c r="M308" s="33" t="s">
        <v>68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69</v>
      </c>
      <c r="X308" s="663">
        <v>105</v>
      </c>
      <c r="Y308" s="664">
        <f>IFERROR(IF(X308="",0,CEILING((X308/$H308),1)*$H308),"")</f>
        <v>105</v>
      </c>
      <c r="Z308" s="36">
        <f>IFERROR(IF(Y308=0,"",ROUNDUP(Y308/H308,0)*0.00502),"")</f>
        <v>0.251</v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110.00000000000001</v>
      </c>
      <c r="BN308" s="64">
        <f>IFERROR(Y308*I308/H308,"0")</f>
        <v>110.00000000000001</v>
      </c>
      <c r="BO308" s="64">
        <f>IFERROR(1/J308*(X308/H308),"0")</f>
        <v>0.21367521367521369</v>
      </c>
      <c r="BP308" s="64">
        <f>IFERROR(1/J308*(Y308/H308),"0")</f>
        <v>0.21367521367521369</v>
      </c>
    </row>
    <row r="309" spans="1:68" ht="27" customHeight="1" x14ac:dyDescent="0.25">
      <c r="A309" s="54" t="s">
        <v>483</v>
      </c>
      <c r="B309" s="54" t="s">
        <v>484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150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69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88</v>
      </c>
      <c r="Q310" s="683"/>
      <c r="R310" s="683"/>
      <c r="S310" s="683"/>
      <c r="T310" s="683"/>
      <c r="U310" s="683"/>
      <c r="V310" s="684"/>
      <c r="W310" s="37" t="s">
        <v>89</v>
      </c>
      <c r="X310" s="665">
        <f>IFERROR(X308/H308,"0")+IFERROR(X309/H309,"0")</f>
        <v>50</v>
      </c>
      <c r="Y310" s="665">
        <f>IFERROR(Y308/H308,"0")+IFERROR(Y309/H309,"0")</f>
        <v>50</v>
      </c>
      <c r="Z310" s="665">
        <f>IFERROR(IF(Z308="",0,Z308),"0")+IFERROR(IF(Z309="",0,Z309),"0")</f>
        <v>0.251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88</v>
      </c>
      <c r="Q311" s="683"/>
      <c r="R311" s="683"/>
      <c r="S311" s="683"/>
      <c r="T311" s="683"/>
      <c r="U311" s="683"/>
      <c r="V311" s="684"/>
      <c r="W311" s="37" t="s">
        <v>69</v>
      </c>
      <c r="X311" s="665">
        <f>IFERROR(SUM(X308:X309),"0")</f>
        <v>105</v>
      </c>
      <c r="Y311" s="665">
        <f>IFERROR(SUM(Y308:Y309),"0")</f>
        <v>105</v>
      </c>
      <c r="Z311" s="37"/>
      <c r="AA311" s="666"/>
      <c r="AB311" s="666"/>
      <c r="AC311" s="666"/>
    </row>
    <row r="312" spans="1:68" ht="16.5" customHeight="1" x14ac:dyDescent="0.25">
      <c r="A312" s="716" t="s">
        <v>485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98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486</v>
      </c>
      <c r="B314" s="54" t="s">
        <v>487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69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88</v>
      </c>
      <c r="Q315" s="683"/>
      <c r="R315" s="683"/>
      <c r="S315" s="683"/>
      <c r="T315" s="683"/>
      <c r="U315" s="683"/>
      <c r="V315" s="684"/>
      <c r="W315" s="37" t="s">
        <v>89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88</v>
      </c>
      <c r="Q316" s="683"/>
      <c r="R316" s="683"/>
      <c r="S316" s="683"/>
      <c r="T316" s="683"/>
      <c r="U316" s="683"/>
      <c r="V316" s="684"/>
      <c r="W316" s="37" t="s">
        <v>69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490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98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491</v>
      </c>
      <c r="B319" s="54" t="s">
        <v>492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69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494</v>
      </c>
      <c r="B320" s="54" t="s">
        <v>495</v>
      </c>
      <c r="C320" s="31">
        <v>4301011911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11.28</v>
      </c>
      <c r="J320" s="32">
        <v>48</v>
      </c>
      <c r="K320" s="32" t="s">
        <v>101</v>
      </c>
      <c r="L320" s="32"/>
      <c r="M320" s="33" t="s">
        <v>386</v>
      </c>
      <c r="N320" s="33"/>
      <c r="O320" s="32">
        <v>55</v>
      </c>
      <c r="P320" s="935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69</v>
      </c>
      <c r="X320" s="663">
        <v>0</v>
      </c>
      <c r="Y320" s="664">
        <f t="shared" si="53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494</v>
      </c>
      <c r="B321" s="54" t="s">
        <v>497</v>
      </c>
      <c r="C321" s="31">
        <v>4301012016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11.234999999999999</v>
      </c>
      <c r="J321" s="32">
        <v>64</v>
      </c>
      <c r="K321" s="32" t="s">
        <v>101</v>
      </c>
      <c r="L321" s="32" t="s">
        <v>498</v>
      </c>
      <c r="M321" s="33" t="s">
        <v>108</v>
      </c>
      <c r="N321" s="33"/>
      <c r="O321" s="32">
        <v>55</v>
      </c>
      <c r="P321" s="9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69</v>
      </c>
      <c r="X321" s="663">
        <v>0</v>
      </c>
      <c r="Y321" s="664">
        <f t="shared" si="53"/>
        <v>0</v>
      </c>
      <c r="Z321" s="36" t="str">
        <f>IFERROR(IF(Y321=0,"",ROUNDUP(Y321/H321,0)*0.01898),"")</f>
        <v/>
      </c>
      <c r="AA321" s="56"/>
      <c r="AB321" s="57"/>
      <c r="AC321" s="363" t="s">
        <v>499</v>
      </c>
      <c r="AG321" s="64"/>
      <c r="AJ321" s="68" t="s">
        <v>500</v>
      </c>
      <c r="AK321" s="68">
        <v>86.4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501</v>
      </c>
      <c r="B322" s="54" t="s">
        <v>502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69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503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504</v>
      </c>
      <c r="B323" s="54" t="s">
        <v>505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69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506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507</v>
      </c>
      <c r="B324" s="54" t="s">
        <v>508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69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499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88</v>
      </c>
      <c r="Q325" s="683"/>
      <c r="R325" s="683"/>
      <c r="S325" s="683"/>
      <c r="T325" s="683"/>
      <c r="U325" s="683"/>
      <c r="V325" s="684"/>
      <c r="W325" s="37" t="s">
        <v>89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88</v>
      </c>
      <c r="Q326" s="683"/>
      <c r="R326" s="683"/>
      <c r="S326" s="683"/>
      <c r="T326" s="683"/>
      <c r="U326" s="683"/>
      <c r="V326" s="684"/>
      <c r="W326" s="37" t="s">
        <v>69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147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509</v>
      </c>
      <c r="B328" s="54" t="s">
        <v>510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69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511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512</v>
      </c>
      <c r="B329" s="54" t="s">
        <v>513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69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514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515</v>
      </c>
      <c r="B330" s="54" t="s">
        <v>516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69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517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518</v>
      </c>
      <c r="B331" s="54" t="s">
        <v>519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150</v>
      </c>
      <c r="L331" s="32"/>
      <c r="M331" s="33" t="s">
        <v>68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69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514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88</v>
      </c>
      <c r="Q332" s="683"/>
      <c r="R332" s="683"/>
      <c r="S332" s="683"/>
      <c r="T332" s="683"/>
      <c r="U332" s="683"/>
      <c r="V332" s="684"/>
      <c r="W332" s="37" t="s">
        <v>89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88</v>
      </c>
      <c r="Q333" s="683"/>
      <c r="R333" s="683"/>
      <c r="S333" s="683"/>
      <c r="T333" s="683"/>
      <c r="U333" s="683"/>
      <c r="V333" s="684"/>
      <c r="W333" s="37" t="s">
        <v>69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64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520</v>
      </c>
      <c r="B335" s="54" t="s">
        <v>521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69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522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523</v>
      </c>
      <c r="B336" s="54" t="s">
        <v>524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69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525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526</v>
      </c>
      <c r="B337" s="54" t="s">
        <v>527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69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528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529</v>
      </c>
      <c r="B338" s="54" t="s">
        <v>530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69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531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532</v>
      </c>
      <c r="B339" s="54" t="s">
        <v>533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67</v>
      </c>
      <c r="L339" s="32"/>
      <c r="M339" s="33" t="s">
        <v>132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69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534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88</v>
      </c>
      <c r="Q340" s="683"/>
      <c r="R340" s="683"/>
      <c r="S340" s="683"/>
      <c r="T340" s="683"/>
      <c r="U340" s="683"/>
      <c r="V340" s="684"/>
      <c r="W340" s="37" t="s">
        <v>89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88</v>
      </c>
      <c r="Q341" s="683"/>
      <c r="R341" s="683"/>
      <c r="S341" s="683"/>
      <c r="T341" s="683"/>
      <c r="U341" s="683"/>
      <c r="V341" s="684"/>
      <c r="W341" s="37" t="s">
        <v>69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173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535</v>
      </c>
      <c r="B343" s="54" t="s">
        <v>536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69</v>
      </c>
      <c r="X343" s="663">
        <v>30</v>
      </c>
      <c r="Y343" s="664">
        <f>IFERROR(IF(X343="",0,CEILING((X343/$H343),1)*$H343),"")</f>
        <v>33.6</v>
      </c>
      <c r="Z343" s="36">
        <f>IFERROR(IF(Y343=0,"",ROUNDUP(Y343/H343,0)*0.01898),"")</f>
        <v>7.5920000000000001E-2</v>
      </c>
      <c r="AA343" s="56"/>
      <c r="AB343" s="57"/>
      <c r="AC343" s="389" t="s">
        <v>537</v>
      </c>
      <c r="AG343" s="64"/>
      <c r="AJ343" s="68"/>
      <c r="AK343" s="68">
        <v>0</v>
      </c>
      <c r="BB343" s="390" t="s">
        <v>1</v>
      </c>
      <c r="BM343" s="64">
        <f>IFERROR(X343*I343/H343,"0")</f>
        <v>31.853571428571428</v>
      </c>
      <c r="BN343" s="64">
        <f>IFERROR(Y343*I343/H343,"0")</f>
        <v>35.676000000000002</v>
      </c>
      <c r="BO343" s="64">
        <f>IFERROR(1/J343*(X343/H343),"0")</f>
        <v>5.5803571428571425E-2</v>
      </c>
      <c r="BP343" s="64">
        <f>IFERROR(1/J343*(Y343/H343),"0")</f>
        <v>6.25E-2</v>
      </c>
    </row>
    <row r="344" spans="1:68" ht="27" customHeight="1" x14ac:dyDescent="0.25">
      <c r="A344" s="54" t="s">
        <v>538</v>
      </c>
      <c r="B344" s="54" t="s">
        <v>539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69</v>
      </c>
      <c r="X344" s="663">
        <v>200</v>
      </c>
      <c r="Y344" s="664">
        <f>IFERROR(IF(X344="",0,CEILING((X344/$H344),1)*$H344),"")</f>
        <v>202.79999999999998</v>
      </c>
      <c r="Z344" s="36">
        <f>IFERROR(IF(Y344=0,"",ROUNDUP(Y344/H344,0)*0.01898),"")</f>
        <v>0.49348000000000003</v>
      </c>
      <c r="AA344" s="56"/>
      <c r="AB344" s="57"/>
      <c r="AC344" s="391" t="s">
        <v>540</v>
      </c>
      <c r="AG344" s="64"/>
      <c r="AJ344" s="68"/>
      <c r="AK344" s="68">
        <v>0</v>
      </c>
      <c r="BB344" s="392" t="s">
        <v>1</v>
      </c>
      <c r="BM344" s="64">
        <f>IFERROR(X344*I344/H344,"0")</f>
        <v>213.30769230769235</v>
      </c>
      <c r="BN344" s="64">
        <f>IFERROR(Y344*I344/H344,"0")</f>
        <v>216.29400000000001</v>
      </c>
      <c r="BO344" s="64">
        <f>IFERROR(1/J344*(X344/H344),"0")</f>
        <v>0.40064102564102566</v>
      </c>
      <c r="BP344" s="64">
        <f>IFERROR(1/J344*(Y344/H344),"0")</f>
        <v>0.40625</v>
      </c>
    </row>
    <row r="345" spans="1:68" ht="16.5" customHeight="1" x14ac:dyDescent="0.25">
      <c r="A345" s="54" t="s">
        <v>541</v>
      </c>
      <c r="B345" s="54" t="s">
        <v>542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101</v>
      </c>
      <c r="L345" s="32"/>
      <c r="M345" s="33" t="s">
        <v>132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69</v>
      </c>
      <c r="X345" s="663">
        <v>10</v>
      </c>
      <c r="Y345" s="664">
        <f>IFERROR(IF(X345="",0,CEILING((X345/$H345),1)*$H345),"")</f>
        <v>16.8</v>
      </c>
      <c r="Z345" s="36">
        <f>IFERROR(IF(Y345=0,"",ROUNDUP(Y345/H345,0)*0.01898),"")</f>
        <v>3.7960000000000001E-2</v>
      </c>
      <c r="AA345" s="56"/>
      <c r="AB345" s="57"/>
      <c r="AC345" s="393" t="s">
        <v>543</v>
      </c>
      <c r="AG345" s="64"/>
      <c r="AJ345" s="68"/>
      <c r="AK345" s="68">
        <v>0</v>
      </c>
      <c r="BB345" s="394" t="s">
        <v>1</v>
      </c>
      <c r="BM345" s="64">
        <f>IFERROR(X345*I345/H345,"0")</f>
        <v>10.617857142857142</v>
      </c>
      <c r="BN345" s="64">
        <f>IFERROR(Y345*I345/H345,"0")</f>
        <v>17.838000000000001</v>
      </c>
      <c r="BO345" s="64">
        <f>IFERROR(1/J345*(X345/H345),"0")</f>
        <v>1.8601190476190476E-2</v>
      </c>
      <c r="BP345" s="64">
        <f>IFERROR(1/J345*(Y345/H345),"0")</f>
        <v>3.125E-2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88</v>
      </c>
      <c r="Q346" s="683"/>
      <c r="R346" s="683"/>
      <c r="S346" s="683"/>
      <c r="T346" s="683"/>
      <c r="U346" s="683"/>
      <c r="V346" s="684"/>
      <c r="W346" s="37" t="s">
        <v>89</v>
      </c>
      <c r="X346" s="665">
        <f>IFERROR(X343/H343,"0")+IFERROR(X344/H344,"0")+IFERROR(X345/H345,"0")</f>
        <v>30.402930402930401</v>
      </c>
      <c r="Y346" s="665">
        <f>IFERROR(Y343/H343,"0")+IFERROR(Y344/H344,"0")+IFERROR(Y345/H345,"0")</f>
        <v>32</v>
      </c>
      <c r="Z346" s="665">
        <f>IFERROR(IF(Z343="",0,Z343),"0")+IFERROR(IF(Z344="",0,Z344),"0")+IFERROR(IF(Z345="",0,Z345),"0")</f>
        <v>0.60736000000000001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88</v>
      </c>
      <c r="Q347" s="683"/>
      <c r="R347" s="683"/>
      <c r="S347" s="683"/>
      <c r="T347" s="683"/>
      <c r="U347" s="683"/>
      <c r="V347" s="684"/>
      <c r="W347" s="37" t="s">
        <v>69</v>
      </c>
      <c r="X347" s="665">
        <f>IFERROR(SUM(X343:X345),"0")</f>
        <v>240</v>
      </c>
      <c r="Y347" s="665">
        <f>IFERROR(SUM(Y343:Y345),"0")</f>
        <v>253.2</v>
      </c>
      <c r="Z347" s="37"/>
      <c r="AA347" s="666"/>
      <c r="AB347" s="666"/>
      <c r="AC347" s="666"/>
    </row>
    <row r="348" spans="1:68" ht="14.25" customHeight="1" x14ac:dyDescent="0.25">
      <c r="A348" s="679" t="s">
        <v>90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544</v>
      </c>
      <c r="B349" s="54" t="s">
        <v>545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994" t="s">
        <v>546</v>
      </c>
      <c r="Q349" s="670"/>
      <c r="R349" s="670"/>
      <c r="S349" s="670"/>
      <c r="T349" s="671"/>
      <c r="U349" s="34"/>
      <c r="V349" s="34"/>
      <c r="W349" s="35" t="s">
        <v>69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547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548</v>
      </c>
      <c r="B350" s="54" t="s">
        <v>549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87" t="s">
        <v>550</v>
      </c>
      <c r="Q350" s="670"/>
      <c r="R350" s="670"/>
      <c r="S350" s="670"/>
      <c r="T350" s="671"/>
      <c r="U350" s="34"/>
      <c r="V350" s="34"/>
      <c r="W350" s="35" t="s">
        <v>69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551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552</v>
      </c>
      <c r="B351" s="54" t="s">
        <v>553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69</v>
      </c>
      <c r="X351" s="663">
        <v>34</v>
      </c>
      <c r="Y351" s="664">
        <f>IFERROR(IF(X351="",0,CEILING((X351/$H351),1)*$H351),"")</f>
        <v>35.699999999999996</v>
      </c>
      <c r="Z351" s="36">
        <f>IFERROR(IF(Y351=0,"",ROUNDUP(Y351/H351,0)*0.00651),"")</f>
        <v>9.1139999999999999E-2</v>
      </c>
      <c r="AA351" s="56"/>
      <c r="AB351" s="57"/>
      <c r="AC351" s="399" t="s">
        <v>554</v>
      </c>
      <c r="AG351" s="64"/>
      <c r="AJ351" s="68"/>
      <c r="AK351" s="68">
        <v>0</v>
      </c>
      <c r="BB351" s="400" t="s">
        <v>1</v>
      </c>
      <c r="BM351" s="64">
        <f>IFERROR(X351*I351/H351,"0")</f>
        <v>39.400000000000006</v>
      </c>
      <c r="BN351" s="64">
        <f>IFERROR(Y351*I351/H351,"0")</f>
        <v>41.37</v>
      </c>
      <c r="BO351" s="64">
        <f>IFERROR(1/J351*(X351/H351),"0")</f>
        <v>7.3260073260073263E-2</v>
      </c>
      <c r="BP351" s="64">
        <f>IFERROR(1/J351*(Y351/H351),"0")</f>
        <v>7.6923076923076927E-2</v>
      </c>
    </row>
    <row r="352" spans="1:68" ht="27" customHeight="1" x14ac:dyDescent="0.25">
      <c r="A352" s="54" t="s">
        <v>555</v>
      </c>
      <c r="B352" s="54" t="s">
        <v>556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69</v>
      </c>
      <c r="X352" s="663">
        <v>102</v>
      </c>
      <c r="Y352" s="664">
        <f>IFERROR(IF(X352="",0,CEILING((X352/$H352),1)*$H352),"")</f>
        <v>102</v>
      </c>
      <c r="Z352" s="36">
        <f>IFERROR(IF(Y352=0,"",ROUNDUP(Y352/H352,0)*0.00651),"")</f>
        <v>0.26040000000000002</v>
      </c>
      <c r="AA352" s="56"/>
      <c r="AB352" s="57"/>
      <c r="AC352" s="401" t="s">
        <v>551</v>
      </c>
      <c r="AG352" s="64"/>
      <c r="AJ352" s="68"/>
      <c r="AK352" s="68">
        <v>0</v>
      </c>
      <c r="BB352" s="402" t="s">
        <v>1</v>
      </c>
      <c r="BM352" s="64">
        <f>IFERROR(X352*I352/H352,"0")</f>
        <v>115.2</v>
      </c>
      <c r="BN352" s="64">
        <f>IFERROR(Y352*I352/H352,"0")</f>
        <v>115.2</v>
      </c>
      <c r="BO352" s="64">
        <f>IFERROR(1/J352*(X352/H352),"0")</f>
        <v>0.2197802197802198</v>
      </c>
      <c r="BP352" s="64">
        <f>IFERROR(1/J352*(Y352/H352),"0")</f>
        <v>0.2197802197802198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88</v>
      </c>
      <c r="Q353" s="683"/>
      <c r="R353" s="683"/>
      <c r="S353" s="683"/>
      <c r="T353" s="683"/>
      <c r="U353" s="683"/>
      <c r="V353" s="684"/>
      <c r="W353" s="37" t="s">
        <v>89</v>
      </c>
      <c r="X353" s="665">
        <f>IFERROR(X349/H349,"0")+IFERROR(X350/H350,"0")+IFERROR(X351/H351,"0")+IFERROR(X352/H352,"0")</f>
        <v>53.333333333333336</v>
      </c>
      <c r="Y353" s="665">
        <f>IFERROR(Y349/H349,"0")+IFERROR(Y350/H350,"0")+IFERROR(Y351/H351,"0")+IFERROR(Y352/H352,"0")</f>
        <v>54</v>
      </c>
      <c r="Z353" s="665">
        <f>IFERROR(IF(Z349="",0,Z349),"0")+IFERROR(IF(Z350="",0,Z350),"0")+IFERROR(IF(Z351="",0,Z351),"0")+IFERROR(IF(Z352="",0,Z352),"0")</f>
        <v>0.35154000000000002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88</v>
      </c>
      <c r="Q354" s="683"/>
      <c r="R354" s="683"/>
      <c r="S354" s="683"/>
      <c r="T354" s="683"/>
      <c r="U354" s="683"/>
      <c r="V354" s="684"/>
      <c r="W354" s="37" t="s">
        <v>69</v>
      </c>
      <c r="X354" s="665">
        <f>IFERROR(SUM(X349:X352),"0")</f>
        <v>136</v>
      </c>
      <c r="Y354" s="665">
        <f>IFERROR(SUM(Y349:Y352),"0")</f>
        <v>137.69999999999999</v>
      </c>
      <c r="Z354" s="37"/>
      <c r="AA354" s="666"/>
      <c r="AB354" s="666"/>
      <c r="AC354" s="666"/>
    </row>
    <row r="355" spans="1:68" ht="14.25" customHeight="1" x14ac:dyDescent="0.25">
      <c r="A355" s="679" t="s">
        <v>557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558</v>
      </c>
      <c r="B356" s="54" t="s">
        <v>559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67</v>
      </c>
      <c r="L356" s="32"/>
      <c r="M356" s="33" t="s">
        <v>560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69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561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562</v>
      </c>
      <c r="B357" s="54" t="s">
        <v>563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67</v>
      </c>
      <c r="L357" s="32"/>
      <c r="M357" s="33" t="s">
        <v>560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69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561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564</v>
      </c>
      <c r="B358" s="54" t="s">
        <v>565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67</v>
      </c>
      <c r="L358" s="32"/>
      <c r="M358" s="33" t="s">
        <v>560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69</v>
      </c>
      <c r="X358" s="663">
        <v>50</v>
      </c>
      <c r="Y358" s="664">
        <f>IFERROR(IF(X358="",0,CEILING((X358/$H358),1)*$H358),"")</f>
        <v>50</v>
      </c>
      <c r="Z358" s="36">
        <f>IFERROR(IF(Y358=0,"",ROUNDUP(Y358/H358,0)*0.00474),"")</f>
        <v>0.11850000000000001</v>
      </c>
      <c r="AA358" s="56"/>
      <c r="AB358" s="57"/>
      <c r="AC358" s="407" t="s">
        <v>561</v>
      </c>
      <c r="AG358" s="64"/>
      <c r="AJ358" s="68"/>
      <c r="AK358" s="68">
        <v>0</v>
      </c>
      <c r="BB358" s="408" t="s">
        <v>1</v>
      </c>
      <c r="BM358" s="64">
        <f>IFERROR(X358*I358/H358,"0")</f>
        <v>56.000000000000007</v>
      </c>
      <c r="BN358" s="64">
        <f>IFERROR(Y358*I358/H358,"0")</f>
        <v>56.000000000000007</v>
      </c>
      <c r="BO358" s="64">
        <f>IFERROR(1/J358*(X358/H358),"0")</f>
        <v>0.10504201680672269</v>
      </c>
      <c r="BP358" s="64">
        <f>IFERROR(1/J358*(Y358/H358),"0")</f>
        <v>0.10504201680672269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88</v>
      </c>
      <c r="Q359" s="683"/>
      <c r="R359" s="683"/>
      <c r="S359" s="683"/>
      <c r="T359" s="683"/>
      <c r="U359" s="683"/>
      <c r="V359" s="684"/>
      <c r="W359" s="37" t="s">
        <v>89</v>
      </c>
      <c r="X359" s="665">
        <f>IFERROR(X356/H356,"0")+IFERROR(X357/H357,"0")+IFERROR(X358/H358,"0")</f>
        <v>25</v>
      </c>
      <c r="Y359" s="665">
        <f>IFERROR(Y356/H356,"0")+IFERROR(Y357/H357,"0")+IFERROR(Y358/H358,"0")</f>
        <v>25</v>
      </c>
      <c r="Z359" s="665">
        <f>IFERROR(IF(Z356="",0,Z356),"0")+IFERROR(IF(Z357="",0,Z357),"0")+IFERROR(IF(Z358="",0,Z358),"0")</f>
        <v>0.11850000000000001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88</v>
      </c>
      <c r="Q360" s="683"/>
      <c r="R360" s="683"/>
      <c r="S360" s="683"/>
      <c r="T360" s="683"/>
      <c r="U360" s="683"/>
      <c r="V360" s="684"/>
      <c r="W360" s="37" t="s">
        <v>69</v>
      </c>
      <c r="X360" s="665">
        <f>IFERROR(SUM(X356:X358),"0")</f>
        <v>50</v>
      </c>
      <c r="Y360" s="665">
        <f>IFERROR(SUM(Y356:Y358),"0")</f>
        <v>50</v>
      </c>
      <c r="Z360" s="37"/>
      <c r="AA360" s="666"/>
      <c r="AB360" s="666"/>
      <c r="AC360" s="666"/>
    </row>
    <row r="361" spans="1:68" ht="16.5" customHeight="1" x14ac:dyDescent="0.25">
      <c r="A361" s="716" t="s">
        <v>566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147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567</v>
      </c>
      <c r="B363" s="54" t="s">
        <v>568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69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569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88</v>
      </c>
      <c r="Q364" s="683"/>
      <c r="R364" s="683"/>
      <c r="S364" s="683"/>
      <c r="T364" s="683"/>
      <c r="U364" s="683"/>
      <c r="V364" s="684"/>
      <c r="W364" s="37" t="s">
        <v>89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88</v>
      </c>
      <c r="Q365" s="683"/>
      <c r="R365" s="683"/>
      <c r="S365" s="683"/>
      <c r="T365" s="683"/>
      <c r="U365" s="683"/>
      <c r="V365" s="684"/>
      <c r="W365" s="37" t="s">
        <v>69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customHeight="1" x14ac:dyDescent="0.25">
      <c r="A366" s="679" t="s">
        <v>64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570</v>
      </c>
      <c r="B367" s="54" t="s">
        <v>571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101</v>
      </c>
      <c r="L367" s="32"/>
      <c r="M367" s="33" t="s">
        <v>132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69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572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573</v>
      </c>
      <c r="B368" s="54" t="s">
        <v>574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69</v>
      </c>
      <c r="X368" s="663">
        <v>489.99999999999989</v>
      </c>
      <c r="Y368" s="664">
        <f>IFERROR(IF(X368="",0,CEILING((X368/$H368),1)*$H368),"")</f>
        <v>491.40000000000003</v>
      </c>
      <c r="Z368" s="36">
        <f>IFERROR(IF(Y368=0,"",ROUNDUP(Y368/H368,0)*0.00651),"")</f>
        <v>1.5233400000000001</v>
      </c>
      <c r="AA368" s="56"/>
      <c r="AB368" s="57"/>
      <c r="AC368" s="413" t="s">
        <v>575</v>
      </c>
      <c r="AG368" s="64"/>
      <c r="AJ368" s="68"/>
      <c r="AK368" s="68">
        <v>0</v>
      </c>
      <c r="BB368" s="414" t="s">
        <v>1</v>
      </c>
      <c r="BM368" s="64">
        <f>IFERROR(X368*I368/H368,"0")</f>
        <v>548.79999999999973</v>
      </c>
      <c r="BN368" s="64">
        <f>IFERROR(Y368*I368/H368,"0")</f>
        <v>550.36799999999994</v>
      </c>
      <c r="BO368" s="64">
        <f>IFERROR(1/J368*(X368/H368),"0")</f>
        <v>1.2820512820512817</v>
      </c>
      <c r="BP368" s="64">
        <f>IFERROR(1/J368*(Y368/H368),"0")</f>
        <v>1.2857142857142858</v>
      </c>
    </row>
    <row r="369" spans="1:68" ht="27" customHeight="1" x14ac:dyDescent="0.25">
      <c r="A369" s="54" t="s">
        <v>576</v>
      </c>
      <c r="B369" s="54" t="s">
        <v>577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67</v>
      </c>
      <c r="L369" s="32"/>
      <c r="M369" s="33" t="s">
        <v>132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69</v>
      </c>
      <c r="X369" s="663">
        <v>350</v>
      </c>
      <c r="Y369" s="664">
        <f>IFERROR(IF(X369="",0,CEILING((X369/$H369),1)*$H369),"")</f>
        <v>350.7</v>
      </c>
      <c r="Z369" s="36">
        <f>IFERROR(IF(Y369=0,"",ROUNDUP(Y369/H369,0)*0.00651),"")</f>
        <v>1.08717</v>
      </c>
      <c r="AA369" s="56"/>
      <c r="AB369" s="57"/>
      <c r="AC369" s="415" t="s">
        <v>578</v>
      </c>
      <c r="AG369" s="64"/>
      <c r="AJ369" s="68"/>
      <c r="AK369" s="68">
        <v>0</v>
      </c>
      <c r="BB369" s="416" t="s">
        <v>1</v>
      </c>
      <c r="BM369" s="64">
        <f>IFERROR(X369*I369/H369,"0")</f>
        <v>390</v>
      </c>
      <c r="BN369" s="64">
        <f>IFERROR(Y369*I369/H369,"0")</f>
        <v>390.78</v>
      </c>
      <c r="BO369" s="64">
        <f>IFERROR(1/J369*(X369/H369),"0")</f>
        <v>0.91575091575091572</v>
      </c>
      <c r="BP369" s="64">
        <f>IFERROR(1/J369*(Y369/H369),"0")</f>
        <v>0.91758241758241765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88</v>
      </c>
      <c r="Q370" s="683"/>
      <c r="R370" s="683"/>
      <c r="S370" s="683"/>
      <c r="T370" s="683"/>
      <c r="U370" s="683"/>
      <c r="V370" s="684"/>
      <c r="W370" s="37" t="s">
        <v>89</v>
      </c>
      <c r="X370" s="665">
        <f>IFERROR(X367/H367,"0")+IFERROR(X368/H368,"0")+IFERROR(X369/H369,"0")</f>
        <v>399.99999999999989</v>
      </c>
      <c r="Y370" s="665">
        <f>IFERROR(Y367/H367,"0")+IFERROR(Y368/H368,"0")+IFERROR(Y369/H369,"0")</f>
        <v>401</v>
      </c>
      <c r="Z370" s="665">
        <f>IFERROR(IF(Z367="",0,Z367),"0")+IFERROR(IF(Z368="",0,Z368),"0")+IFERROR(IF(Z369="",0,Z369),"0")</f>
        <v>2.6105100000000001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88</v>
      </c>
      <c r="Q371" s="683"/>
      <c r="R371" s="683"/>
      <c r="S371" s="683"/>
      <c r="T371" s="683"/>
      <c r="U371" s="683"/>
      <c r="V371" s="684"/>
      <c r="W371" s="37" t="s">
        <v>69</v>
      </c>
      <c r="X371" s="665">
        <f>IFERROR(SUM(X367:X369),"0")</f>
        <v>839.99999999999989</v>
      </c>
      <c r="Y371" s="665">
        <f>IFERROR(SUM(Y367:Y369),"0")</f>
        <v>842.1</v>
      </c>
      <c r="Z371" s="37"/>
      <c r="AA371" s="666"/>
      <c r="AB371" s="666"/>
      <c r="AC371" s="666"/>
    </row>
    <row r="372" spans="1:68" ht="27.75" customHeight="1" x14ac:dyDescent="0.2">
      <c r="A372" s="677" t="s">
        <v>579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580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98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27" customHeight="1" x14ac:dyDescent="0.25">
      <c r="A375" s="54" t="s">
        <v>581</v>
      </c>
      <c r="B375" s="54" t="s">
        <v>582</v>
      </c>
      <c r="C375" s="31">
        <v>4301011946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101</v>
      </c>
      <c r="L375" s="32"/>
      <c r="M375" s="33" t="s">
        <v>386</v>
      </c>
      <c r="N375" s="33"/>
      <c r="O375" s="32">
        <v>60</v>
      </c>
      <c r="P375" s="882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0"/>
      <c r="R375" s="670"/>
      <c r="S375" s="670"/>
      <c r="T375" s="671"/>
      <c r="U375" s="34"/>
      <c r="V375" s="34"/>
      <c r="W375" s="35" t="s">
        <v>69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583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37.5" customHeight="1" x14ac:dyDescent="0.25">
      <c r="A376" s="54" t="s">
        <v>581</v>
      </c>
      <c r="B376" s="54" t="s">
        <v>584</v>
      </c>
      <c r="C376" s="31">
        <v>4301011869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101</v>
      </c>
      <c r="L376" s="32" t="s">
        <v>107</v>
      </c>
      <c r="M376" s="33" t="s">
        <v>68</v>
      </c>
      <c r="N376" s="33"/>
      <c r="O376" s="32">
        <v>60</v>
      </c>
      <c r="P376" s="79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0"/>
      <c r="R376" s="670"/>
      <c r="S376" s="670"/>
      <c r="T376" s="671"/>
      <c r="U376" s="34"/>
      <c r="V376" s="34"/>
      <c r="W376" s="35" t="s">
        <v>69</v>
      </c>
      <c r="X376" s="663">
        <v>1800</v>
      </c>
      <c r="Y376" s="664">
        <f t="shared" si="58"/>
        <v>1800</v>
      </c>
      <c r="Z376" s="36">
        <f>IFERROR(IF(Y376=0,"",ROUNDUP(Y376/H376,0)*0.02175),"")</f>
        <v>2.61</v>
      </c>
      <c r="AA376" s="56"/>
      <c r="AB376" s="57"/>
      <c r="AC376" s="419" t="s">
        <v>585</v>
      </c>
      <c r="AG376" s="64"/>
      <c r="AJ376" s="68" t="s">
        <v>109</v>
      </c>
      <c r="AK376" s="68">
        <v>720</v>
      </c>
      <c r="BB376" s="420" t="s">
        <v>1</v>
      </c>
      <c r="BM376" s="64">
        <f t="shared" si="59"/>
        <v>1857.6</v>
      </c>
      <c r="BN376" s="64">
        <f t="shared" si="60"/>
        <v>1857.6</v>
      </c>
      <c r="BO376" s="64">
        <f t="shared" si="61"/>
        <v>2.5</v>
      </c>
      <c r="BP376" s="64">
        <f t="shared" si="62"/>
        <v>2.5</v>
      </c>
    </row>
    <row r="377" spans="1:68" ht="27" customHeight="1" x14ac:dyDescent="0.25">
      <c r="A377" s="54" t="s">
        <v>586</v>
      </c>
      <c r="B377" s="54" t="s">
        <v>587</v>
      </c>
      <c r="C377" s="31">
        <v>4301011947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101</v>
      </c>
      <c r="L377" s="32"/>
      <c r="M377" s="33" t="s">
        <v>386</v>
      </c>
      <c r="N377" s="33"/>
      <c r="O377" s="32">
        <v>60</v>
      </c>
      <c r="P377" s="88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69</v>
      </c>
      <c r="X377" s="663">
        <v>0</v>
      </c>
      <c r="Y377" s="664">
        <f t="shared" si="58"/>
        <v>0</v>
      </c>
      <c r="Z377" s="36" t="str">
        <f>IFERROR(IF(Y377=0,"",ROUNDUP(Y377/H377,0)*0.02039),"")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586</v>
      </c>
      <c r="B378" s="54" t="s">
        <v>588</v>
      </c>
      <c r="C378" s="31">
        <v>4301011870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101</v>
      </c>
      <c r="L378" s="32" t="s">
        <v>107</v>
      </c>
      <c r="M378" s="33" t="s">
        <v>68</v>
      </c>
      <c r="N378" s="33"/>
      <c r="O378" s="32">
        <v>60</v>
      </c>
      <c r="P378" s="8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69</v>
      </c>
      <c r="X378" s="663">
        <v>1400</v>
      </c>
      <c r="Y378" s="664">
        <f t="shared" si="58"/>
        <v>1410</v>
      </c>
      <c r="Z378" s="36">
        <f>IFERROR(IF(Y378=0,"",ROUNDUP(Y378/H378,0)*0.02175),"")</f>
        <v>2.0444999999999998</v>
      </c>
      <c r="AA378" s="56"/>
      <c r="AB378" s="57"/>
      <c r="AC378" s="423" t="s">
        <v>589</v>
      </c>
      <c r="AG378" s="64"/>
      <c r="AJ378" s="68" t="s">
        <v>109</v>
      </c>
      <c r="AK378" s="68">
        <v>720</v>
      </c>
      <c r="BB378" s="424" t="s">
        <v>1</v>
      </c>
      <c r="BM378" s="64">
        <f t="shared" si="59"/>
        <v>1444.8</v>
      </c>
      <c r="BN378" s="64">
        <f t="shared" si="60"/>
        <v>1455.12</v>
      </c>
      <c r="BO378" s="64">
        <f t="shared" si="61"/>
        <v>1.9444444444444442</v>
      </c>
      <c r="BP378" s="64">
        <f t="shared" si="62"/>
        <v>1.9583333333333333</v>
      </c>
    </row>
    <row r="379" spans="1:68" ht="27" customHeight="1" x14ac:dyDescent="0.25">
      <c r="A379" s="54" t="s">
        <v>590</v>
      </c>
      <c r="B379" s="54" t="s">
        <v>591</v>
      </c>
      <c r="C379" s="31">
        <v>4301011943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101</v>
      </c>
      <c r="L379" s="32"/>
      <c r="M379" s="33" t="s">
        <v>386</v>
      </c>
      <c r="N379" s="33"/>
      <c r="O379" s="32">
        <v>60</v>
      </c>
      <c r="P379" s="70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69</v>
      </c>
      <c r="X379" s="663">
        <v>0</v>
      </c>
      <c r="Y379" s="664">
        <f t="shared" si="58"/>
        <v>0</v>
      </c>
      <c r="Z379" s="36" t="str">
        <f>IFERROR(IF(Y379=0,"",ROUNDUP(Y379/H379,0)*0.02039),"")</f>
        <v/>
      </c>
      <c r="AA379" s="56"/>
      <c r="AB379" s="57"/>
      <c r="AC379" s="425" t="s">
        <v>583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592</v>
      </c>
      <c r="B380" s="54" t="s">
        <v>593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101</v>
      </c>
      <c r="L380" s="32"/>
      <c r="M380" s="33" t="s">
        <v>132</v>
      </c>
      <c r="N380" s="33"/>
      <c r="O380" s="32">
        <v>60</v>
      </c>
      <c r="P380" s="87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69</v>
      </c>
      <c r="X380" s="663">
        <v>200</v>
      </c>
      <c r="Y380" s="664">
        <f t="shared" si="58"/>
        <v>210</v>
      </c>
      <c r="Z380" s="36">
        <f>IFERROR(IF(Y380=0,"",ROUNDUP(Y380/H380,0)*0.02175),"")</f>
        <v>0.30449999999999999</v>
      </c>
      <c r="AA380" s="56"/>
      <c r="AB380" s="57"/>
      <c r="AC380" s="427" t="s">
        <v>594</v>
      </c>
      <c r="AG380" s="64"/>
      <c r="AJ380" s="68"/>
      <c r="AK380" s="68">
        <v>0</v>
      </c>
      <c r="BB380" s="428" t="s">
        <v>1</v>
      </c>
      <c r="BM380" s="64">
        <f t="shared" si="59"/>
        <v>206.4</v>
      </c>
      <c r="BN380" s="64">
        <f t="shared" si="60"/>
        <v>216.72</v>
      </c>
      <c r="BO380" s="64">
        <f t="shared" si="61"/>
        <v>0.27777777777777779</v>
      </c>
      <c r="BP380" s="64">
        <f t="shared" si="62"/>
        <v>0.29166666666666663</v>
      </c>
    </row>
    <row r="381" spans="1:68" ht="37.5" customHeight="1" x14ac:dyDescent="0.25">
      <c r="A381" s="54" t="s">
        <v>590</v>
      </c>
      <c r="B381" s="54" t="s">
        <v>595</v>
      </c>
      <c r="C381" s="31">
        <v>4301011867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101</v>
      </c>
      <c r="L381" s="32" t="s">
        <v>107</v>
      </c>
      <c r="M381" s="33" t="s">
        <v>68</v>
      </c>
      <c r="N381" s="33"/>
      <c r="O381" s="32">
        <v>60</v>
      </c>
      <c r="P381" s="71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69</v>
      </c>
      <c r="X381" s="663">
        <v>1600</v>
      </c>
      <c r="Y381" s="664">
        <f t="shared" si="58"/>
        <v>1605</v>
      </c>
      <c r="Z381" s="36">
        <f>IFERROR(IF(Y381=0,"",ROUNDUP(Y381/H381,0)*0.02175),"")</f>
        <v>2.3272499999999998</v>
      </c>
      <c r="AA381" s="56"/>
      <c r="AB381" s="57"/>
      <c r="AC381" s="429" t="s">
        <v>596</v>
      </c>
      <c r="AG381" s="64"/>
      <c r="AJ381" s="68" t="s">
        <v>109</v>
      </c>
      <c r="AK381" s="68">
        <v>720</v>
      </c>
      <c r="BB381" s="430" t="s">
        <v>1</v>
      </c>
      <c r="BM381" s="64">
        <f t="shared" si="59"/>
        <v>1651.2</v>
      </c>
      <c r="BN381" s="64">
        <f t="shared" si="60"/>
        <v>1656.3600000000001</v>
      </c>
      <c r="BO381" s="64">
        <f t="shared" si="61"/>
        <v>2.2222222222222223</v>
      </c>
      <c r="BP381" s="64">
        <f t="shared" si="62"/>
        <v>2.2291666666666665</v>
      </c>
    </row>
    <row r="382" spans="1:68" ht="27" customHeight="1" x14ac:dyDescent="0.25">
      <c r="A382" s="54" t="s">
        <v>597</v>
      </c>
      <c r="B382" s="54" t="s">
        <v>598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69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600</v>
      </c>
      <c r="B383" s="54" t="s">
        <v>601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69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589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602</v>
      </c>
      <c r="B384" s="54" t="s">
        <v>603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69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596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88</v>
      </c>
      <c r="Q385" s="683"/>
      <c r="R385" s="683"/>
      <c r="S385" s="683"/>
      <c r="T385" s="683"/>
      <c r="U385" s="683"/>
      <c r="V385" s="684"/>
      <c r="W385" s="37" t="s">
        <v>89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333.33333333333331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335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7.286249999999999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88</v>
      </c>
      <c r="Q386" s="683"/>
      <c r="R386" s="683"/>
      <c r="S386" s="683"/>
      <c r="T386" s="683"/>
      <c r="U386" s="683"/>
      <c r="V386" s="684"/>
      <c r="W386" s="37" t="s">
        <v>69</v>
      </c>
      <c r="X386" s="665">
        <f>IFERROR(SUM(X375:X384),"0")</f>
        <v>5000</v>
      </c>
      <c r="Y386" s="665">
        <f>IFERROR(SUM(Y375:Y384),"0")</f>
        <v>5025</v>
      </c>
      <c r="Z386" s="37"/>
      <c r="AA386" s="666"/>
      <c r="AB386" s="666"/>
      <c r="AC386" s="666"/>
    </row>
    <row r="387" spans="1:68" ht="14.25" customHeight="1" x14ac:dyDescent="0.25">
      <c r="A387" s="679" t="s">
        <v>136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604</v>
      </c>
      <c r="B388" s="54" t="s">
        <v>605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101</v>
      </c>
      <c r="L388" s="32" t="s">
        <v>107</v>
      </c>
      <c r="M388" s="33" t="s">
        <v>102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69</v>
      </c>
      <c r="X388" s="663">
        <v>1600</v>
      </c>
      <c r="Y388" s="664">
        <f>IFERROR(IF(X388="",0,CEILING((X388/$H388),1)*$H388),"")</f>
        <v>1605</v>
      </c>
      <c r="Z388" s="36">
        <f>IFERROR(IF(Y388=0,"",ROUNDUP(Y388/H388,0)*0.02175),"")</f>
        <v>2.3272499999999998</v>
      </c>
      <c r="AA388" s="56"/>
      <c r="AB388" s="57"/>
      <c r="AC388" s="437" t="s">
        <v>606</v>
      </c>
      <c r="AG388" s="64"/>
      <c r="AJ388" s="68" t="s">
        <v>109</v>
      </c>
      <c r="AK388" s="68">
        <v>720</v>
      </c>
      <c r="BB388" s="438" t="s">
        <v>1</v>
      </c>
      <c r="BM388" s="64">
        <f>IFERROR(X388*I388/H388,"0")</f>
        <v>1651.2</v>
      </c>
      <c r="BN388" s="64">
        <f>IFERROR(Y388*I388/H388,"0")</f>
        <v>1656.3600000000001</v>
      </c>
      <c r="BO388" s="64">
        <f>IFERROR(1/J388*(X388/H388),"0")</f>
        <v>2.2222222222222223</v>
      </c>
      <c r="BP388" s="64">
        <f>IFERROR(1/J388*(Y388/H388),"0")</f>
        <v>2.2291666666666665</v>
      </c>
    </row>
    <row r="389" spans="1:68" ht="27" customHeight="1" x14ac:dyDescent="0.25">
      <c r="A389" s="54" t="s">
        <v>607</v>
      </c>
      <c r="B389" s="54" t="s">
        <v>608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69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606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88</v>
      </c>
      <c r="Q390" s="683"/>
      <c r="R390" s="683"/>
      <c r="S390" s="683"/>
      <c r="T390" s="683"/>
      <c r="U390" s="683"/>
      <c r="V390" s="684"/>
      <c r="W390" s="37" t="s">
        <v>89</v>
      </c>
      <c r="X390" s="665">
        <f>IFERROR(X388/H388,"0")+IFERROR(X389/H389,"0")</f>
        <v>106.66666666666667</v>
      </c>
      <c r="Y390" s="665">
        <f>IFERROR(Y388/H388,"0")+IFERROR(Y389/H389,"0")</f>
        <v>107</v>
      </c>
      <c r="Z390" s="665">
        <f>IFERROR(IF(Z388="",0,Z388),"0")+IFERROR(IF(Z389="",0,Z389),"0")</f>
        <v>2.3272499999999998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88</v>
      </c>
      <c r="Q391" s="683"/>
      <c r="R391" s="683"/>
      <c r="S391" s="683"/>
      <c r="T391" s="683"/>
      <c r="U391" s="683"/>
      <c r="V391" s="684"/>
      <c r="W391" s="37" t="s">
        <v>69</v>
      </c>
      <c r="X391" s="665">
        <f>IFERROR(SUM(X388:X389),"0")</f>
        <v>1600</v>
      </c>
      <c r="Y391" s="665">
        <f>IFERROR(SUM(Y388:Y389),"0")</f>
        <v>1605</v>
      </c>
      <c r="Z391" s="37"/>
      <c r="AA391" s="666"/>
      <c r="AB391" s="666"/>
      <c r="AC391" s="666"/>
    </row>
    <row r="392" spans="1:68" ht="14.25" customHeight="1" x14ac:dyDescent="0.25">
      <c r="A392" s="679" t="s">
        <v>64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609</v>
      </c>
      <c r="B393" s="54" t="s">
        <v>610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611</v>
      </c>
      <c r="Q393" s="670"/>
      <c r="R393" s="670"/>
      <c r="S393" s="670"/>
      <c r="T393" s="671"/>
      <c r="U393" s="34"/>
      <c r="V393" s="34"/>
      <c r="W393" s="35" t="s">
        <v>69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612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613</v>
      </c>
      <c r="B394" s="54" t="s">
        <v>614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2" t="s">
        <v>615</v>
      </c>
      <c r="Q394" s="670"/>
      <c r="R394" s="670"/>
      <c r="S394" s="670"/>
      <c r="T394" s="671"/>
      <c r="U394" s="34"/>
      <c r="V394" s="34"/>
      <c r="W394" s="35" t="s">
        <v>69</v>
      </c>
      <c r="X394" s="663">
        <v>30</v>
      </c>
      <c r="Y394" s="664">
        <f>IFERROR(IF(X394="",0,CEILING((X394/$H394),1)*$H394),"")</f>
        <v>36</v>
      </c>
      <c r="Z394" s="36">
        <f>IFERROR(IF(Y394=0,"",ROUNDUP(Y394/H394,0)*0.01898),"")</f>
        <v>7.5920000000000001E-2</v>
      </c>
      <c r="AA394" s="56"/>
      <c r="AB394" s="57"/>
      <c r="AC394" s="443" t="s">
        <v>616</v>
      </c>
      <c r="AG394" s="64"/>
      <c r="AJ394" s="68"/>
      <c r="AK394" s="68">
        <v>0</v>
      </c>
      <c r="BB394" s="444" t="s">
        <v>1</v>
      </c>
      <c r="BM394" s="64">
        <f>IFERROR(X394*I394/H394,"0")</f>
        <v>31.73</v>
      </c>
      <c r="BN394" s="64">
        <f>IFERROR(Y394*I394/H394,"0")</f>
        <v>38.076000000000001</v>
      </c>
      <c r="BO394" s="64">
        <f>IFERROR(1/J394*(X394/H394),"0")</f>
        <v>5.2083333333333336E-2</v>
      </c>
      <c r="BP394" s="64">
        <f>IFERROR(1/J394*(Y394/H394),"0")</f>
        <v>6.25E-2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88</v>
      </c>
      <c r="Q395" s="683"/>
      <c r="R395" s="683"/>
      <c r="S395" s="683"/>
      <c r="T395" s="683"/>
      <c r="U395" s="683"/>
      <c r="V395" s="684"/>
      <c r="W395" s="37" t="s">
        <v>89</v>
      </c>
      <c r="X395" s="665">
        <f>IFERROR(X393/H393,"0")+IFERROR(X394/H394,"0")</f>
        <v>3.3333333333333335</v>
      </c>
      <c r="Y395" s="665">
        <f>IFERROR(Y393/H393,"0")+IFERROR(Y394/H394,"0")</f>
        <v>4</v>
      </c>
      <c r="Z395" s="665">
        <f>IFERROR(IF(Z393="",0,Z393),"0")+IFERROR(IF(Z394="",0,Z394),"0")</f>
        <v>7.5920000000000001E-2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88</v>
      </c>
      <c r="Q396" s="683"/>
      <c r="R396" s="683"/>
      <c r="S396" s="683"/>
      <c r="T396" s="683"/>
      <c r="U396" s="683"/>
      <c r="V396" s="684"/>
      <c r="W396" s="37" t="s">
        <v>69</v>
      </c>
      <c r="X396" s="665">
        <f>IFERROR(SUM(X393:X394),"0")</f>
        <v>30</v>
      </c>
      <c r="Y396" s="665">
        <f>IFERROR(SUM(Y393:Y394),"0")</f>
        <v>36</v>
      </c>
      <c r="Z396" s="37"/>
      <c r="AA396" s="666"/>
      <c r="AB396" s="666"/>
      <c r="AC396" s="666"/>
    </row>
    <row r="397" spans="1:68" ht="14.25" customHeight="1" x14ac:dyDescent="0.25">
      <c r="A397" s="679" t="s">
        <v>173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617</v>
      </c>
      <c r="B398" s="54" t="s">
        <v>618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49" t="s">
        <v>619</v>
      </c>
      <c r="Q398" s="670"/>
      <c r="R398" s="670"/>
      <c r="S398" s="670"/>
      <c r="T398" s="671"/>
      <c r="U398" s="34"/>
      <c r="V398" s="34"/>
      <c r="W398" s="35" t="s">
        <v>69</v>
      </c>
      <c r="X398" s="663">
        <v>20</v>
      </c>
      <c r="Y398" s="664">
        <f>IFERROR(IF(X398="",0,CEILING((X398/$H398),1)*$H398),"")</f>
        <v>27</v>
      </c>
      <c r="Z398" s="36">
        <f>IFERROR(IF(Y398=0,"",ROUNDUP(Y398/H398,0)*0.01898),"")</f>
        <v>5.6940000000000004E-2</v>
      </c>
      <c r="AA398" s="56"/>
      <c r="AB398" s="57"/>
      <c r="AC398" s="445" t="s">
        <v>620</v>
      </c>
      <c r="AG398" s="64"/>
      <c r="AJ398" s="68"/>
      <c r="AK398" s="68">
        <v>0</v>
      </c>
      <c r="BB398" s="446" t="s">
        <v>1</v>
      </c>
      <c r="BM398" s="64">
        <f>IFERROR(X398*I398/H398,"0")</f>
        <v>21.153333333333332</v>
      </c>
      <c r="BN398" s="64">
        <f>IFERROR(Y398*I398/H398,"0")</f>
        <v>28.556999999999999</v>
      </c>
      <c r="BO398" s="64">
        <f>IFERROR(1/J398*(X398/H398),"0")</f>
        <v>3.4722222222222224E-2</v>
      </c>
      <c r="BP398" s="64">
        <f>IFERROR(1/J398*(Y398/H398),"0")</f>
        <v>4.6875E-2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88</v>
      </c>
      <c r="Q399" s="683"/>
      <c r="R399" s="683"/>
      <c r="S399" s="683"/>
      <c r="T399" s="683"/>
      <c r="U399" s="683"/>
      <c r="V399" s="684"/>
      <c r="W399" s="37" t="s">
        <v>89</v>
      </c>
      <c r="X399" s="665">
        <f>IFERROR(X398/H398,"0")</f>
        <v>2.2222222222222223</v>
      </c>
      <c r="Y399" s="665">
        <f>IFERROR(Y398/H398,"0")</f>
        <v>3</v>
      </c>
      <c r="Z399" s="665">
        <f>IFERROR(IF(Z398="",0,Z398),"0")</f>
        <v>5.6940000000000004E-2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88</v>
      </c>
      <c r="Q400" s="683"/>
      <c r="R400" s="683"/>
      <c r="S400" s="683"/>
      <c r="T400" s="683"/>
      <c r="U400" s="683"/>
      <c r="V400" s="684"/>
      <c r="W400" s="37" t="s">
        <v>69</v>
      </c>
      <c r="X400" s="665">
        <f>IFERROR(SUM(X398:X398),"0")</f>
        <v>20</v>
      </c>
      <c r="Y400" s="665">
        <f>IFERROR(SUM(Y398:Y398),"0")</f>
        <v>27</v>
      </c>
      <c r="Z400" s="37"/>
      <c r="AA400" s="666"/>
      <c r="AB400" s="666"/>
      <c r="AC400" s="666"/>
    </row>
    <row r="401" spans="1:68" ht="16.5" customHeight="1" x14ac:dyDescent="0.25">
      <c r="A401" s="716" t="s">
        <v>621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98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622</v>
      </c>
      <c r="B403" s="54" t="s">
        <v>623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69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624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622</v>
      </c>
      <c r="B404" s="54" t="s">
        <v>625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69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626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627</v>
      </c>
      <c r="B405" s="54" t="s">
        <v>628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69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629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630</v>
      </c>
      <c r="B406" s="54" t="s">
        <v>631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69</v>
      </c>
      <c r="X406" s="663">
        <v>40</v>
      </c>
      <c r="Y406" s="664">
        <f>IFERROR(IF(X406="",0,CEILING((X406/$H406),1)*$H406),"")</f>
        <v>48</v>
      </c>
      <c r="Z406" s="36">
        <f>IFERROR(IF(Y406=0,"",ROUNDUP(Y406/H406,0)*0.01898),"")</f>
        <v>7.5920000000000001E-2</v>
      </c>
      <c r="AA406" s="56"/>
      <c r="AB406" s="57"/>
      <c r="AC406" s="453" t="s">
        <v>629</v>
      </c>
      <c r="AG406" s="64"/>
      <c r="AJ406" s="68"/>
      <c r="AK406" s="68">
        <v>0</v>
      </c>
      <c r="BB406" s="454" t="s">
        <v>1</v>
      </c>
      <c r="BM406" s="64">
        <f>IFERROR(X406*I406/H406,"0")</f>
        <v>41.45</v>
      </c>
      <c r="BN406" s="64">
        <f>IFERROR(Y406*I406/H406,"0")</f>
        <v>49.74</v>
      </c>
      <c r="BO406" s="64">
        <f>IFERROR(1/J406*(X406/H406),"0")</f>
        <v>5.2083333333333336E-2</v>
      </c>
      <c r="BP406" s="64">
        <f>IFERROR(1/J406*(Y406/H406),"0")</f>
        <v>6.25E-2</v>
      </c>
    </row>
    <row r="407" spans="1:68" ht="37.5" customHeight="1" x14ac:dyDescent="0.25">
      <c r="A407" s="54" t="s">
        <v>632</v>
      </c>
      <c r="B407" s="54" t="s">
        <v>633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69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629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88</v>
      </c>
      <c r="Q408" s="683"/>
      <c r="R408" s="683"/>
      <c r="S408" s="683"/>
      <c r="T408" s="683"/>
      <c r="U408" s="683"/>
      <c r="V408" s="684"/>
      <c r="W408" s="37" t="s">
        <v>89</v>
      </c>
      <c r="X408" s="665">
        <f>IFERROR(X403/H403,"0")+IFERROR(X404/H404,"0")+IFERROR(X405/H405,"0")+IFERROR(X406/H406,"0")+IFERROR(X407/H407,"0")</f>
        <v>3.3333333333333335</v>
      </c>
      <c r="Y408" s="665">
        <f>IFERROR(Y403/H403,"0")+IFERROR(Y404/H404,"0")+IFERROR(Y405/H405,"0")+IFERROR(Y406/H406,"0")+IFERROR(Y407/H407,"0")</f>
        <v>4</v>
      </c>
      <c r="Z408" s="665">
        <f>IFERROR(IF(Z403="",0,Z403),"0")+IFERROR(IF(Z404="",0,Z404),"0")+IFERROR(IF(Z405="",0,Z405),"0")+IFERROR(IF(Z406="",0,Z406),"0")+IFERROR(IF(Z407="",0,Z407),"0")</f>
        <v>7.5920000000000001E-2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88</v>
      </c>
      <c r="Q409" s="683"/>
      <c r="R409" s="683"/>
      <c r="S409" s="683"/>
      <c r="T409" s="683"/>
      <c r="U409" s="683"/>
      <c r="V409" s="684"/>
      <c r="W409" s="37" t="s">
        <v>69</v>
      </c>
      <c r="X409" s="665">
        <f>IFERROR(SUM(X403:X407),"0")</f>
        <v>40</v>
      </c>
      <c r="Y409" s="665">
        <f>IFERROR(SUM(Y403:Y407),"0")</f>
        <v>48</v>
      </c>
      <c r="Z409" s="37"/>
      <c r="AA409" s="666"/>
      <c r="AB409" s="666"/>
      <c r="AC409" s="666"/>
    </row>
    <row r="410" spans="1:68" ht="14.25" customHeight="1" x14ac:dyDescent="0.25">
      <c r="A410" s="679" t="s">
        <v>147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634</v>
      </c>
      <c r="B411" s="54" t="s">
        <v>635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69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636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637</v>
      </c>
      <c r="B412" s="54" t="s">
        <v>638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150</v>
      </c>
      <c r="L412" s="32"/>
      <c r="M412" s="33" t="s">
        <v>68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69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636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88</v>
      </c>
      <c r="Q413" s="683"/>
      <c r="R413" s="683"/>
      <c r="S413" s="683"/>
      <c r="T413" s="683"/>
      <c r="U413" s="683"/>
      <c r="V413" s="684"/>
      <c r="W413" s="37" t="s">
        <v>89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88</v>
      </c>
      <c r="Q414" s="683"/>
      <c r="R414" s="683"/>
      <c r="S414" s="683"/>
      <c r="T414" s="683"/>
      <c r="U414" s="683"/>
      <c r="V414" s="684"/>
      <c r="W414" s="37" t="s">
        <v>69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64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639</v>
      </c>
      <c r="B416" s="54" t="s">
        <v>640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69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641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642</v>
      </c>
      <c r="B417" s="54" t="s">
        <v>643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85" t="s">
        <v>644</v>
      </c>
      <c r="Q417" s="670"/>
      <c r="R417" s="670"/>
      <c r="S417" s="670"/>
      <c r="T417" s="671"/>
      <c r="U417" s="34"/>
      <c r="V417" s="34"/>
      <c r="W417" s="35" t="s">
        <v>69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645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646</v>
      </c>
      <c r="B418" s="54" t="s">
        <v>647</v>
      </c>
      <c r="C418" s="31">
        <v>4301051297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0"/>
      <c r="R418" s="670"/>
      <c r="S418" s="670"/>
      <c r="T418" s="671"/>
      <c r="U418" s="34"/>
      <c r="V418" s="34"/>
      <c r="W418" s="35" t="s">
        <v>69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648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646</v>
      </c>
      <c r="B419" s="54" t="s">
        <v>649</v>
      </c>
      <c r="C419" s="31">
        <v>4301051660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0"/>
      <c r="R419" s="670"/>
      <c r="S419" s="670"/>
      <c r="T419" s="671"/>
      <c r="U419" s="34"/>
      <c r="V419" s="34"/>
      <c r="W419" s="35" t="s">
        <v>69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641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650</v>
      </c>
      <c r="B420" s="54" t="s">
        <v>651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69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88</v>
      </c>
      <c r="Q421" s="683"/>
      <c r="R421" s="683"/>
      <c r="S421" s="683"/>
      <c r="T421" s="683"/>
      <c r="U421" s="683"/>
      <c r="V421" s="684"/>
      <c r="W421" s="37" t="s">
        <v>89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88</v>
      </c>
      <c r="Q422" s="683"/>
      <c r="R422" s="683"/>
      <c r="S422" s="683"/>
      <c r="T422" s="683"/>
      <c r="U422" s="683"/>
      <c r="V422" s="684"/>
      <c r="W422" s="37" t="s">
        <v>69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customHeight="1" x14ac:dyDescent="0.25">
      <c r="A423" s="679" t="s">
        <v>173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653</v>
      </c>
      <c r="B424" s="54" t="s">
        <v>654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6" t="s">
        <v>655</v>
      </c>
      <c r="Q424" s="670"/>
      <c r="R424" s="670"/>
      <c r="S424" s="670"/>
      <c r="T424" s="671"/>
      <c r="U424" s="34"/>
      <c r="V424" s="34"/>
      <c r="W424" s="35" t="s">
        <v>69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656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88</v>
      </c>
      <c r="Q425" s="683"/>
      <c r="R425" s="683"/>
      <c r="S425" s="683"/>
      <c r="T425" s="683"/>
      <c r="U425" s="683"/>
      <c r="V425" s="684"/>
      <c r="W425" s="37" t="s">
        <v>89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88</v>
      </c>
      <c r="Q426" s="683"/>
      <c r="R426" s="683"/>
      <c r="S426" s="683"/>
      <c r="T426" s="683"/>
      <c r="U426" s="683"/>
      <c r="V426" s="684"/>
      <c r="W426" s="37" t="s">
        <v>69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657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658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147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659</v>
      </c>
      <c r="B430" s="54" t="s">
        <v>660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3" t="s">
        <v>661</v>
      </c>
      <c r="Q430" s="670"/>
      <c r="R430" s="670"/>
      <c r="S430" s="670"/>
      <c r="T430" s="671"/>
      <c r="U430" s="34"/>
      <c r="V430" s="34"/>
      <c r="W430" s="35" t="s">
        <v>69</v>
      </c>
      <c r="X430" s="663">
        <v>10</v>
      </c>
      <c r="Y430" s="664">
        <f t="shared" ref="Y430:Y441" si="63">IFERROR(IF(X430="",0,CEILING((X430/$H430),1)*$H430),"")</f>
        <v>10.8</v>
      </c>
      <c r="Z430" s="36">
        <f>IFERROR(IF(Y430=0,"",ROUNDUP(Y430/H430,0)*0.00902),"")</f>
        <v>1.804E-2</v>
      </c>
      <c r="AA430" s="56"/>
      <c r="AB430" s="57"/>
      <c r="AC430" s="473" t="s">
        <v>662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10.388888888888889</v>
      </c>
      <c r="BN430" s="64">
        <f t="shared" ref="BN430:BN441" si="65">IFERROR(Y430*I430/H430,"0")</f>
        <v>11.22</v>
      </c>
      <c r="BO430" s="64">
        <f t="shared" ref="BO430:BO441" si="66">IFERROR(1/J430*(X430/H430),"0")</f>
        <v>1.4029180695847361E-2</v>
      </c>
      <c r="BP430" s="64">
        <f t="shared" ref="BP430:BP441" si="67">IFERROR(1/J430*(Y430/H430),"0")</f>
        <v>1.5151515151515152E-2</v>
      </c>
    </row>
    <row r="431" spans="1:68" ht="27" customHeight="1" x14ac:dyDescent="0.25">
      <c r="A431" s="54" t="s">
        <v>663</v>
      </c>
      <c r="B431" s="54" t="s">
        <v>664</v>
      </c>
      <c r="C431" s="31">
        <v>4301031382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18" t="s">
        <v>665</v>
      </c>
      <c r="Q431" s="670"/>
      <c r="R431" s="670"/>
      <c r="S431" s="670"/>
      <c r="T431" s="671"/>
      <c r="U431" s="34"/>
      <c r="V431" s="34"/>
      <c r="W431" s="35" t="s">
        <v>69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666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663</v>
      </c>
      <c r="B432" s="54" t="s">
        <v>667</v>
      </c>
      <c r="C432" s="31">
        <v>4301031406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699" t="s">
        <v>665</v>
      </c>
      <c r="Q432" s="670"/>
      <c r="R432" s="670"/>
      <c r="S432" s="670"/>
      <c r="T432" s="671"/>
      <c r="U432" s="34"/>
      <c r="V432" s="34"/>
      <c r="W432" s="35" t="s">
        <v>69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666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668</v>
      </c>
      <c r="B433" s="54" t="s">
        <v>669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16" t="s">
        <v>670</v>
      </c>
      <c r="Q433" s="670"/>
      <c r="R433" s="670"/>
      <c r="S433" s="670"/>
      <c r="T433" s="671"/>
      <c r="U433" s="34"/>
      <c r="V433" s="34"/>
      <c r="W433" s="35" t="s">
        <v>69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671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672</v>
      </c>
      <c r="B434" s="54" t="s">
        <v>673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150</v>
      </c>
      <c r="L434" s="32"/>
      <c r="M434" s="33" t="s">
        <v>68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69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662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672</v>
      </c>
      <c r="B435" s="54" t="s">
        <v>674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150</v>
      </c>
      <c r="L435" s="32"/>
      <c r="M435" s="33" t="s">
        <v>68</v>
      </c>
      <c r="N435" s="33"/>
      <c r="O435" s="32">
        <v>50</v>
      </c>
      <c r="P435" s="1021" t="s">
        <v>675</v>
      </c>
      <c r="Q435" s="670"/>
      <c r="R435" s="670"/>
      <c r="S435" s="670"/>
      <c r="T435" s="671"/>
      <c r="U435" s="34"/>
      <c r="V435" s="34"/>
      <c r="W435" s="35" t="s">
        <v>69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662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676</v>
      </c>
      <c r="B436" s="54" t="s">
        <v>677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150</v>
      </c>
      <c r="L436" s="32"/>
      <c r="M436" s="33" t="s">
        <v>68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69</v>
      </c>
      <c r="X436" s="663">
        <v>87.5</v>
      </c>
      <c r="Y436" s="664">
        <f t="shared" si="63"/>
        <v>88.2</v>
      </c>
      <c r="Z436" s="36">
        <f t="shared" si="68"/>
        <v>0.21084</v>
      </c>
      <c r="AA436" s="56"/>
      <c r="AB436" s="57"/>
      <c r="AC436" s="485" t="s">
        <v>662</v>
      </c>
      <c r="AG436" s="64"/>
      <c r="AJ436" s="68"/>
      <c r="AK436" s="68">
        <v>0</v>
      </c>
      <c r="BB436" s="486" t="s">
        <v>1</v>
      </c>
      <c r="BM436" s="64">
        <f t="shared" si="64"/>
        <v>92.916666666666657</v>
      </c>
      <c r="BN436" s="64">
        <f t="shared" si="65"/>
        <v>93.66</v>
      </c>
      <c r="BO436" s="64">
        <f t="shared" si="66"/>
        <v>0.17806267806267806</v>
      </c>
      <c r="BP436" s="64">
        <f t="shared" si="67"/>
        <v>0.17948717948717952</v>
      </c>
    </row>
    <row r="437" spans="1:68" ht="37.5" customHeight="1" x14ac:dyDescent="0.25">
      <c r="A437" s="54" t="s">
        <v>678</v>
      </c>
      <c r="B437" s="54" t="s">
        <v>679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150</v>
      </c>
      <c r="L437" s="32"/>
      <c r="M437" s="33" t="s">
        <v>68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69</v>
      </c>
      <c r="X437" s="663">
        <v>21</v>
      </c>
      <c r="Y437" s="664">
        <f t="shared" si="63"/>
        <v>21</v>
      </c>
      <c r="Z437" s="36">
        <f t="shared" si="68"/>
        <v>5.0200000000000002E-2</v>
      </c>
      <c r="AA437" s="56"/>
      <c r="AB437" s="57"/>
      <c r="AC437" s="487" t="s">
        <v>680</v>
      </c>
      <c r="AG437" s="64"/>
      <c r="AJ437" s="68"/>
      <c r="AK437" s="68">
        <v>0</v>
      </c>
      <c r="BB437" s="488" t="s">
        <v>1</v>
      </c>
      <c r="BM437" s="64">
        <f t="shared" si="64"/>
        <v>22.299999999999997</v>
      </c>
      <c r="BN437" s="64">
        <f t="shared" si="65"/>
        <v>22.299999999999997</v>
      </c>
      <c r="BO437" s="64">
        <f t="shared" si="66"/>
        <v>4.2735042735042736E-2</v>
      </c>
      <c r="BP437" s="64">
        <f t="shared" si="67"/>
        <v>4.2735042735042736E-2</v>
      </c>
    </row>
    <row r="438" spans="1:68" ht="27" customHeight="1" x14ac:dyDescent="0.25">
      <c r="A438" s="54" t="s">
        <v>681</v>
      </c>
      <c r="B438" s="54" t="s">
        <v>682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150</v>
      </c>
      <c r="L438" s="32"/>
      <c r="M438" s="33" t="s">
        <v>68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69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681</v>
      </c>
      <c r="B439" s="54" t="s">
        <v>684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150</v>
      </c>
      <c r="L439" s="32"/>
      <c r="M439" s="33" t="s">
        <v>68</v>
      </c>
      <c r="N439" s="33"/>
      <c r="O439" s="32">
        <v>50</v>
      </c>
      <c r="P439" s="1015" t="s">
        <v>685</v>
      </c>
      <c r="Q439" s="670"/>
      <c r="R439" s="670"/>
      <c r="S439" s="670"/>
      <c r="T439" s="671"/>
      <c r="U439" s="34"/>
      <c r="V439" s="34"/>
      <c r="W439" s="35" t="s">
        <v>69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686</v>
      </c>
      <c r="B440" s="54" t="s">
        <v>687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150</v>
      </c>
      <c r="L440" s="32"/>
      <c r="M440" s="33" t="s">
        <v>68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69</v>
      </c>
      <c r="X440" s="663">
        <v>70</v>
      </c>
      <c r="Y440" s="664">
        <f t="shared" si="63"/>
        <v>71.400000000000006</v>
      </c>
      <c r="Z440" s="36">
        <f t="shared" si="68"/>
        <v>0.17068</v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 t="shared" si="64"/>
        <v>74.333333333333329</v>
      </c>
      <c r="BN440" s="64">
        <f t="shared" si="65"/>
        <v>75.820000000000007</v>
      </c>
      <c r="BO440" s="64">
        <f t="shared" si="66"/>
        <v>0.14245014245014245</v>
      </c>
      <c r="BP440" s="64">
        <f t="shared" si="67"/>
        <v>0.14529914529914531</v>
      </c>
    </row>
    <row r="441" spans="1:68" ht="37.5" customHeight="1" x14ac:dyDescent="0.25">
      <c r="A441" s="54" t="s">
        <v>689</v>
      </c>
      <c r="B441" s="54" t="s">
        <v>690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150</v>
      </c>
      <c r="L441" s="32"/>
      <c r="M441" s="33" t="s">
        <v>68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69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88</v>
      </c>
      <c r="Q442" s="683"/>
      <c r="R442" s="683"/>
      <c r="S442" s="683"/>
      <c r="T442" s="683"/>
      <c r="U442" s="683"/>
      <c r="V442" s="684"/>
      <c r="W442" s="37" t="s">
        <v>89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86.851851851851848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88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0.44975999999999999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88</v>
      </c>
      <c r="Q443" s="683"/>
      <c r="R443" s="683"/>
      <c r="S443" s="683"/>
      <c r="T443" s="683"/>
      <c r="U443" s="683"/>
      <c r="V443" s="684"/>
      <c r="W443" s="37" t="s">
        <v>69</v>
      </c>
      <c r="X443" s="665">
        <f>IFERROR(SUM(X430:X441),"0")</f>
        <v>188.5</v>
      </c>
      <c r="Y443" s="665">
        <f>IFERROR(SUM(Y430:Y441),"0")</f>
        <v>191.4</v>
      </c>
      <c r="Z443" s="37"/>
      <c r="AA443" s="666"/>
      <c r="AB443" s="666"/>
      <c r="AC443" s="666"/>
    </row>
    <row r="444" spans="1:68" ht="14.25" customHeight="1" x14ac:dyDescent="0.25">
      <c r="A444" s="679" t="s">
        <v>64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691</v>
      </c>
      <c r="B445" s="54" t="s">
        <v>692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69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693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694</v>
      </c>
      <c r="B446" s="54" t="s">
        <v>695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69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696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88</v>
      </c>
      <c r="Q447" s="683"/>
      <c r="R447" s="683"/>
      <c r="S447" s="683"/>
      <c r="T447" s="683"/>
      <c r="U447" s="683"/>
      <c r="V447" s="684"/>
      <c r="W447" s="37" t="s">
        <v>89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88</v>
      </c>
      <c r="Q448" s="683"/>
      <c r="R448" s="683"/>
      <c r="S448" s="683"/>
      <c r="T448" s="683"/>
      <c r="U448" s="683"/>
      <c r="V448" s="684"/>
      <c r="W448" s="37" t="s">
        <v>69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697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136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698</v>
      </c>
      <c r="B451" s="54" t="s">
        <v>699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69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700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701</v>
      </c>
      <c r="B452" s="54" t="s">
        <v>702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69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703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88</v>
      </c>
      <c r="Q453" s="683"/>
      <c r="R453" s="683"/>
      <c r="S453" s="683"/>
      <c r="T453" s="683"/>
      <c r="U453" s="683"/>
      <c r="V453" s="684"/>
      <c r="W453" s="37" t="s">
        <v>89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88</v>
      </c>
      <c r="Q454" s="683"/>
      <c r="R454" s="683"/>
      <c r="S454" s="683"/>
      <c r="T454" s="683"/>
      <c r="U454" s="683"/>
      <c r="V454" s="684"/>
      <c r="W454" s="37" t="s">
        <v>69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147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704</v>
      </c>
      <c r="B456" s="54" t="s">
        <v>705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0" t="s">
        <v>706</v>
      </c>
      <c r="Q456" s="670"/>
      <c r="R456" s="670"/>
      <c r="S456" s="670"/>
      <c r="T456" s="671"/>
      <c r="U456" s="34"/>
      <c r="V456" s="34"/>
      <c r="W456" s="35" t="s">
        <v>69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707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708</v>
      </c>
      <c r="B457" s="54" t="s">
        <v>709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150</v>
      </c>
      <c r="L457" s="32"/>
      <c r="M457" s="33" t="s">
        <v>68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69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710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711</v>
      </c>
      <c r="B458" s="54" t="s">
        <v>712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150</v>
      </c>
      <c r="L458" s="32"/>
      <c r="M458" s="33" t="s">
        <v>68</v>
      </c>
      <c r="N458" s="33"/>
      <c r="O458" s="32">
        <v>50</v>
      </c>
      <c r="P458" s="728" t="s">
        <v>713</v>
      </c>
      <c r="Q458" s="670"/>
      <c r="R458" s="670"/>
      <c r="S458" s="670"/>
      <c r="T458" s="671"/>
      <c r="U458" s="34"/>
      <c r="V458" s="34"/>
      <c r="W458" s="35" t="s">
        <v>69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714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715</v>
      </c>
      <c r="B459" s="54" t="s">
        <v>716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150</v>
      </c>
      <c r="L459" s="32"/>
      <c r="M459" s="33" t="s">
        <v>68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69</v>
      </c>
      <c r="X459" s="663">
        <v>7</v>
      </c>
      <c r="Y459" s="664">
        <f>IFERROR(IF(X459="",0,CEILING((X459/$H459),1)*$H459),"")</f>
        <v>8.4</v>
      </c>
      <c r="Z459" s="36">
        <f>IFERROR(IF(Y459=0,"",ROUNDUP(Y459/H459,0)*0.00502),"")</f>
        <v>2.0080000000000001E-2</v>
      </c>
      <c r="AA459" s="56"/>
      <c r="AB459" s="57"/>
      <c r="AC459" s="511" t="s">
        <v>714</v>
      </c>
      <c r="AG459" s="64"/>
      <c r="AJ459" s="68"/>
      <c r="AK459" s="68">
        <v>0</v>
      </c>
      <c r="BB459" s="512" t="s">
        <v>1</v>
      </c>
      <c r="BM459" s="64">
        <f>IFERROR(X459*I459/H459,"0")</f>
        <v>7.4333333333333327</v>
      </c>
      <c r="BN459" s="64">
        <f>IFERROR(Y459*I459/H459,"0")</f>
        <v>8.92</v>
      </c>
      <c r="BO459" s="64">
        <f>IFERROR(1/J459*(X459/H459),"0")</f>
        <v>1.4245014245014245E-2</v>
      </c>
      <c r="BP459" s="64">
        <f>IFERROR(1/J459*(Y459/H459),"0")</f>
        <v>1.7094017094017096E-2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88</v>
      </c>
      <c r="Q460" s="683"/>
      <c r="R460" s="683"/>
      <c r="S460" s="683"/>
      <c r="T460" s="683"/>
      <c r="U460" s="683"/>
      <c r="V460" s="684"/>
      <c r="W460" s="37" t="s">
        <v>89</v>
      </c>
      <c r="X460" s="665">
        <f>IFERROR(X456/H456,"0")+IFERROR(X457/H457,"0")+IFERROR(X458/H458,"0")+IFERROR(X459/H459,"0")</f>
        <v>3.333333333333333</v>
      </c>
      <c r="Y460" s="665">
        <f>IFERROR(Y456/H456,"0")+IFERROR(Y457/H457,"0")+IFERROR(Y458/H458,"0")+IFERROR(Y459/H459,"0")</f>
        <v>4</v>
      </c>
      <c r="Z460" s="665">
        <f>IFERROR(IF(Z456="",0,Z456),"0")+IFERROR(IF(Z457="",0,Z457),"0")+IFERROR(IF(Z458="",0,Z458),"0")+IFERROR(IF(Z459="",0,Z459),"0")</f>
        <v>2.0080000000000001E-2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88</v>
      </c>
      <c r="Q461" s="683"/>
      <c r="R461" s="683"/>
      <c r="S461" s="683"/>
      <c r="T461" s="683"/>
      <c r="U461" s="683"/>
      <c r="V461" s="684"/>
      <c r="W461" s="37" t="s">
        <v>69</v>
      </c>
      <c r="X461" s="665">
        <f>IFERROR(SUM(X456:X459),"0")</f>
        <v>7</v>
      </c>
      <c r="Y461" s="665">
        <f>IFERROR(SUM(Y456:Y459),"0")</f>
        <v>8.4</v>
      </c>
      <c r="Z461" s="37"/>
      <c r="AA461" s="666"/>
      <c r="AB461" s="666"/>
      <c r="AC461" s="666"/>
    </row>
    <row r="462" spans="1:68" ht="16.5" customHeight="1" x14ac:dyDescent="0.25">
      <c r="A462" s="716" t="s">
        <v>717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147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718</v>
      </c>
      <c r="B464" s="54" t="s">
        <v>719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150</v>
      </c>
      <c r="L464" s="32"/>
      <c r="M464" s="33" t="s">
        <v>68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69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720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0" t="s">
        <v>723</v>
      </c>
      <c r="Q465" s="670"/>
      <c r="R465" s="670"/>
      <c r="S465" s="670"/>
      <c r="T465" s="671"/>
      <c r="U465" s="34"/>
      <c r="V465" s="34"/>
      <c r="W465" s="35" t="s">
        <v>69</v>
      </c>
      <c r="X465" s="663">
        <v>14</v>
      </c>
      <c r="Y465" s="664">
        <f>IFERROR(IF(X465="",0,CEILING((X465/$H465),1)*$H465),"")</f>
        <v>14.399999999999999</v>
      </c>
      <c r="Z465" s="36">
        <f>IFERROR(IF(Y465=0,"",ROUNDUP(Y465/H465,0)*0.00651),"")</f>
        <v>7.8119999999999995E-2</v>
      </c>
      <c r="AA465" s="56"/>
      <c r="AB465" s="57"/>
      <c r="AC465" s="515" t="s">
        <v>724</v>
      </c>
      <c r="AG465" s="64"/>
      <c r="AJ465" s="68"/>
      <c r="AK465" s="68">
        <v>0</v>
      </c>
      <c r="BB465" s="516" t="s">
        <v>1</v>
      </c>
      <c r="BM465" s="64">
        <f>IFERROR(X465*I465/H465,"0")</f>
        <v>24.500000000000004</v>
      </c>
      <c r="BN465" s="64">
        <f>IFERROR(Y465*I465/H465,"0")</f>
        <v>25.2</v>
      </c>
      <c r="BO465" s="64">
        <f>IFERROR(1/J465*(X465/H465),"0")</f>
        <v>6.4102564102564111E-2</v>
      </c>
      <c r="BP465" s="64">
        <f>IFERROR(1/J465*(Y465/H465),"0")</f>
        <v>6.5934065934065936E-2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88</v>
      </c>
      <c r="Q466" s="683"/>
      <c r="R466" s="683"/>
      <c r="S466" s="683"/>
      <c r="T466" s="683"/>
      <c r="U466" s="683"/>
      <c r="V466" s="684"/>
      <c r="W466" s="37" t="s">
        <v>89</v>
      </c>
      <c r="X466" s="665">
        <f>IFERROR(X464/H464,"0")+IFERROR(X465/H465,"0")</f>
        <v>11.666666666666668</v>
      </c>
      <c r="Y466" s="665">
        <f>IFERROR(Y464/H464,"0")+IFERROR(Y465/H465,"0")</f>
        <v>12</v>
      </c>
      <c r="Z466" s="665">
        <f>IFERROR(IF(Z464="",0,Z464),"0")+IFERROR(IF(Z465="",0,Z465),"0")</f>
        <v>7.8119999999999995E-2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88</v>
      </c>
      <c r="Q467" s="683"/>
      <c r="R467" s="683"/>
      <c r="S467" s="683"/>
      <c r="T467" s="683"/>
      <c r="U467" s="683"/>
      <c r="V467" s="684"/>
      <c r="W467" s="37" t="s">
        <v>69</v>
      </c>
      <c r="X467" s="665">
        <f>IFERROR(SUM(X464:X465),"0")</f>
        <v>14</v>
      </c>
      <c r="Y467" s="665">
        <f>IFERROR(SUM(Y464:Y465),"0")</f>
        <v>14.399999999999999</v>
      </c>
      <c r="Z467" s="37"/>
      <c r="AA467" s="666"/>
      <c r="AB467" s="666"/>
      <c r="AC467" s="666"/>
    </row>
    <row r="468" spans="1:68" ht="16.5" customHeight="1" x14ac:dyDescent="0.25">
      <c r="A468" s="716" t="s">
        <v>725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147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726</v>
      </c>
      <c r="B470" s="54" t="s">
        <v>727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69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728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88</v>
      </c>
      <c r="Q471" s="683"/>
      <c r="R471" s="683"/>
      <c r="S471" s="683"/>
      <c r="T471" s="683"/>
      <c r="U471" s="683"/>
      <c r="V471" s="684"/>
      <c r="W471" s="37" t="s">
        <v>89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88</v>
      </c>
      <c r="Q472" s="683"/>
      <c r="R472" s="683"/>
      <c r="S472" s="683"/>
      <c r="T472" s="683"/>
      <c r="U472" s="683"/>
      <c r="V472" s="684"/>
      <c r="W472" s="37" t="s">
        <v>69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173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729</v>
      </c>
      <c r="B474" s="54" t="s">
        <v>730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69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731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88</v>
      </c>
      <c r="Q475" s="683"/>
      <c r="R475" s="683"/>
      <c r="S475" s="683"/>
      <c r="T475" s="683"/>
      <c r="U475" s="683"/>
      <c r="V475" s="684"/>
      <c r="W475" s="37" t="s">
        <v>89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88</v>
      </c>
      <c r="Q476" s="683"/>
      <c r="R476" s="683"/>
      <c r="S476" s="683"/>
      <c r="T476" s="683"/>
      <c r="U476" s="683"/>
      <c r="V476" s="684"/>
      <c r="W476" s="37" t="s">
        <v>69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732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732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98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733</v>
      </c>
      <c r="B480" s="54" t="s">
        <v>734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69</v>
      </c>
      <c r="X480" s="663">
        <v>100</v>
      </c>
      <c r="Y480" s="664">
        <f t="shared" ref="Y480:Y494" si="69">IFERROR(IF(X480="",0,CEILING((X480/$H480),1)*$H480),"")</f>
        <v>100.32000000000001</v>
      </c>
      <c r="Z480" s="36">
        <f>IFERROR(IF(Y480=0,"",ROUNDUP(Y480/H480,0)*0.01196),"")</f>
        <v>0.22724</v>
      </c>
      <c r="AA480" s="56"/>
      <c r="AB480" s="57"/>
      <c r="AC480" s="521" t="s">
        <v>735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106.81818181818181</v>
      </c>
      <c r="BN480" s="64">
        <f t="shared" ref="BN480:BN494" si="71">IFERROR(Y480*I480/H480,"0")</f>
        <v>107.16</v>
      </c>
      <c r="BO480" s="64">
        <f t="shared" ref="BO480:BO494" si="72">IFERROR(1/J480*(X480/H480),"0")</f>
        <v>0.18210955710955709</v>
      </c>
      <c r="BP480" s="64">
        <f t="shared" ref="BP480:BP494" si="73">IFERROR(1/J480*(Y480/H480),"0")</f>
        <v>0.18269230769230771</v>
      </c>
    </row>
    <row r="481" spans="1:68" ht="27" customHeight="1" x14ac:dyDescent="0.25">
      <c r="A481" s="54" t="s">
        <v>736</v>
      </c>
      <c r="B481" s="54" t="s">
        <v>737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69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738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739</v>
      </c>
      <c r="B482" s="54" t="s">
        <v>740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69</v>
      </c>
      <c r="X482" s="663">
        <v>150</v>
      </c>
      <c r="Y482" s="664">
        <f t="shared" si="69"/>
        <v>153.12</v>
      </c>
      <c r="Z482" s="36">
        <f>IFERROR(IF(Y482=0,"",ROUNDUP(Y482/H482,0)*0.01196),"")</f>
        <v>0.34683999999999998</v>
      </c>
      <c r="AA482" s="56"/>
      <c r="AB482" s="57"/>
      <c r="AC482" s="525" t="s">
        <v>741</v>
      </c>
      <c r="AG482" s="64"/>
      <c r="AJ482" s="68"/>
      <c r="AK482" s="68">
        <v>0</v>
      </c>
      <c r="BB482" s="526" t="s">
        <v>1</v>
      </c>
      <c r="BM482" s="64">
        <f t="shared" si="70"/>
        <v>160.22727272727272</v>
      </c>
      <c r="BN482" s="64">
        <f t="shared" si="71"/>
        <v>163.56</v>
      </c>
      <c r="BO482" s="64">
        <f t="shared" si="72"/>
        <v>0.27316433566433568</v>
      </c>
      <c r="BP482" s="64">
        <f t="shared" si="73"/>
        <v>0.27884615384615385</v>
      </c>
    </row>
    <row r="483" spans="1:68" ht="27" customHeight="1" x14ac:dyDescent="0.25">
      <c r="A483" s="54" t="s">
        <v>742</v>
      </c>
      <c r="B483" s="54" t="s">
        <v>743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69</v>
      </c>
      <c r="X483" s="663">
        <v>120</v>
      </c>
      <c r="Y483" s="664">
        <f t="shared" si="69"/>
        <v>121.44000000000001</v>
      </c>
      <c r="Z483" s="36">
        <f>IFERROR(IF(Y483=0,"",ROUNDUP(Y483/H483,0)*0.01196),"")</f>
        <v>0.27507999999999999</v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0"/>
        <v>128.18181818181816</v>
      </c>
      <c r="BN483" s="64">
        <f t="shared" si="71"/>
        <v>129.72</v>
      </c>
      <c r="BO483" s="64">
        <f t="shared" si="72"/>
        <v>0.21853146853146854</v>
      </c>
      <c r="BP483" s="64">
        <f t="shared" si="73"/>
        <v>0.22115384615384617</v>
      </c>
    </row>
    <row r="484" spans="1:68" ht="16.5" customHeight="1" x14ac:dyDescent="0.25">
      <c r="A484" s="54" t="s">
        <v>745</v>
      </c>
      <c r="B484" s="54" t="s">
        <v>746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101</v>
      </c>
      <c r="L484" s="32"/>
      <c r="M484" s="33" t="s">
        <v>108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69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748</v>
      </c>
      <c r="B485" s="54" t="s">
        <v>749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67</v>
      </c>
      <c r="L485" s="32"/>
      <c r="M485" s="33" t="s">
        <v>108</v>
      </c>
      <c r="N485" s="33"/>
      <c r="O485" s="32">
        <v>60</v>
      </c>
      <c r="P485" s="917" t="s">
        <v>750</v>
      </c>
      <c r="Q485" s="670"/>
      <c r="R485" s="670"/>
      <c r="S485" s="670"/>
      <c r="T485" s="671"/>
      <c r="U485" s="34"/>
      <c r="V485" s="34"/>
      <c r="W485" s="35" t="s">
        <v>69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735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751</v>
      </c>
      <c r="B486" s="54" t="s">
        <v>752</v>
      </c>
      <c r="C486" s="31">
        <v>4301012035</v>
      </c>
      <c r="D486" s="667">
        <v>4680115880603</v>
      </c>
      <c r="E486" s="668"/>
      <c r="F486" s="662">
        <v>0.6</v>
      </c>
      <c r="G486" s="32">
        <v>8</v>
      </c>
      <c r="H486" s="662">
        <v>4.8</v>
      </c>
      <c r="I486" s="662">
        <v>6.93</v>
      </c>
      <c r="J486" s="32">
        <v>132</v>
      </c>
      <c r="K486" s="32" t="s">
        <v>106</v>
      </c>
      <c r="L486" s="32"/>
      <c r="M486" s="33" t="s">
        <v>102</v>
      </c>
      <c r="N486" s="33"/>
      <c r="O486" s="32">
        <v>60</v>
      </c>
      <c r="P486" s="100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6" s="670"/>
      <c r="R486" s="670"/>
      <c r="S486" s="670"/>
      <c r="T486" s="671"/>
      <c r="U486" s="34"/>
      <c r="V486" s="34"/>
      <c r="W486" s="35" t="s">
        <v>69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735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751</v>
      </c>
      <c r="B487" s="54" t="s">
        <v>753</v>
      </c>
      <c r="C487" s="31">
        <v>4301011778</v>
      </c>
      <c r="D487" s="667">
        <v>4680115880603</v>
      </c>
      <c r="E487" s="668"/>
      <c r="F487" s="662">
        <v>0.6</v>
      </c>
      <c r="G487" s="32">
        <v>6</v>
      </c>
      <c r="H487" s="662">
        <v>3.6</v>
      </c>
      <c r="I487" s="662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0"/>
      <c r="R487" s="670"/>
      <c r="S487" s="670"/>
      <c r="T487" s="671"/>
      <c r="U487" s="34"/>
      <c r="V487" s="34"/>
      <c r="W487" s="35" t="s">
        <v>69</v>
      </c>
      <c r="X487" s="663">
        <v>108</v>
      </c>
      <c r="Y487" s="664">
        <f t="shared" si="69"/>
        <v>108</v>
      </c>
      <c r="Z487" s="36">
        <f>IFERROR(IF(Y487=0,"",ROUNDUP(Y487/H487,0)*0.00902),"")</f>
        <v>0.27060000000000001</v>
      </c>
      <c r="AA487" s="56"/>
      <c r="AB487" s="57"/>
      <c r="AC487" s="535" t="s">
        <v>735</v>
      </c>
      <c r="AG487" s="64"/>
      <c r="AJ487" s="68"/>
      <c r="AK487" s="68">
        <v>0</v>
      </c>
      <c r="BB487" s="536" t="s">
        <v>1</v>
      </c>
      <c r="BM487" s="64">
        <f t="shared" si="70"/>
        <v>114.3</v>
      </c>
      <c r="BN487" s="64">
        <f t="shared" si="71"/>
        <v>114.3</v>
      </c>
      <c r="BO487" s="64">
        <f t="shared" si="72"/>
        <v>0.22727272727272729</v>
      </c>
      <c r="BP487" s="64">
        <f t="shared" si="73"/>
        <v>0.22727272727272729</v>
      </c>
    </row>
    <row r="488" spans="1:68" ht="27" customHeight="1" x14ac:dyDescent="0.25">
      <c r="A488" s="54" t="s">
        <v>754</v>
      </c>
      <c r="B488" s="54" t="s">
        <v>755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106</v>
      </c>
      <c r="L488" s="32"/>
      <c r="M488" s="33" t="s">
        <v>102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69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738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756</v>
      </c>
      <c r="B489" s="54" t="s">
        <v>757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106</v>
      </c>
      <c r="L489" s="32"/>
      <c r="M489" s="33" t="s">
        <v>102</v>
      </c>
      <c r="N489" s="33"/>
      <c r="O489" s="32">
        <v>60</v>
      </c>
      <c r="P489" s="860" t="s">
        <v>758</v>
      </c>
      <c r="Q489" s="670"/>
      <c r="R489" s="670"/>
      <c r="S489" s="670"/>
      <c r="T489" s="671"/>
      <c r="U489" s="34"/>
      <c r="V489" s="34"/>
      <c r="W489" s="35" t="s">
        <v>69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741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759</v>
      </c>
      <c r="B490" s="54" t="s">
        <v>760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1" t="s">
        <v>761</v>
      </c>
      <c r="Q490" s="670"/>
      <c r="R490" s="670"/>
      <c r="S490" s="670"/>
      <c r="T490" s="671"/>
      <c r="U490" s="34"/>
      <c r="V490" s="34"/>
      <c r="W490" s="35" t="s">
        <v>69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762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763</v>
      </c>
      <c r="B491" s="54" t="s">
        <v>764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67</v>
      </c>
      <c r="L491" s="32"/>
      <c r="M491" s="33" t="s">
        <v>102</v>
      </c>
      <c r="N491" s="33"/>
      <c r="O491" s="32">
        <v>60</v>
      </c>
      <c r="P491" s="866" t="s">
        <v>765</v>
      </c>
      <c r="Q491" s="670"/>
      <c r="R491" s="670"/>
      <c r="S491" s="670"/>
      <c r="T491" s="671"/>
      <c r="U491" s="34"/>
      <c r="V491" s="34"/>
      <c r="W491" s="35" t="s">
        <v>69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766</v>
      </c>
      <c r="B492" s="54" t="s">
        <v>767</v>
      </c>
      <c r="C492" s="31">
        <v>4301012034</v>
      </c>
      <c r="D492" s="667">
        <v>4607091389982</v>
      </c>
      <c r="E492" s="668"/>
      <c r="F492" s="662">
        <v>0.6</v>
      </c>
      <c r="G492" s="32">
        <v>8</v>
      </c>
      <c r="H492" s="662">
        <v>4.8</v>
      </c>
      <c r="I492" s="662">
        <v>6.96</v>
      </c>
      <c r="J492" s="32">
        <v>120</v>
      </c>
      <c r="K492" s="32" t="s">
        <v>106</v>
      </c>
      <c r="L492" s="32"/>
      <c r="M492" s="33" t="s">
        <v>102</v>
      </c>
      <c r="N492" s="33"/>
      <c r="O492" s="32">
        <v>60</v>
      </c>
      <c r="P492" s="7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69</v>
      </c>
      <c r="X492" s="663">
        <v>0</v>
      </c>
      <c r="Y492" s="664">
        <f t="shared" si="69"/>
        <v>0</v>
      </c>
      <c r="Z492" s="36" t="str">
        <f>IFERROR(IF(Y492=0,"",ROUNDUP(Y492/H492,0)*0.00937),"")</f>
        <v/>
      </c>
      <c r="AA492" s="56"/>
      <c r="AB492" s="57"/>
      <c r="AC492" s="545" t="s">
        <v>744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768</v>
      </c>
      <c r="C493" s="31">
        <v>4301011784</v>
      </c>
      <c r="D493" s="667">
        <v>4607091389982</v>
      </c>
      <c r="E493" s="668"/>
      <c r="F493" s="662">
        <v>0.6</v>
      </c>
      <c r="G493" s="32">
        <v>6</v>
      </c>
      <c r="H493" s="662">
        <v>3.6</v>
      </c>
      <c r="I493" s="662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1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69</v>
      </c>
      <c r="X493" s="663">
        <v>132</v>
      </c>
      <c r="Y493" s="664">
        <f t="shared" si="69"/>
        <v>133.20000000000002</v>
      </c>
      <c r="Z493" s="36">
        <f>IFERROR(IF(Y493=0,"",ROUNDUP(Y493/H493,0)*0.00902),"")</f>
        <v>0.33374000000000004</v>
      </c>
      <c r="AA493" s="56"/>
      <c r="AB493" s="57"/>
      <c r="AC493" s="547" t="s">
        <v>744</v>
      </c>
      <c r="AG493" s="64"/>
      <c r="AJ493" s="68"/>
      <c r="AK493" s="68">
        <v>0</v>
      </c>
      <c r="BB493" s="548" t="s">
        <v>1</v>
      </c>
      <c r="BM493" s="64">
        <f t="shared" si="70"/>
        <v>139.69999999999999</v>
      </c>
      <c r="BN493" s="64">
        <f t="shared" si="71"/>
        <v>140.97000000000003</v>
      </c>
      <c r="BO493" s="64">
        <f t="shared" si="72"/>
        <v>0.27777777777777779</v>
      </c>
      <c r="BP493" s="64">
        <f t="shared" si="73"/>
        <v>0.28030303030303039</v>
      </c>
    </row>
    <row r="494" spans="1:68" ht="27" customHeight="1" x14ac:dyDescent="0.25">
      <c r="A494" s="54" t="s">
        <v>769</v>
      </c>
      <c r="B494" s="54" t="s">
        <v>770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69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88</v>
      </c>
      <c r="Q495" s="683"/>
      <c r="R495" s="683"/>
      <c r="S495" s="683"/>
      <c r="T495" s="683"/>
      <c r="U495" s="683"/>
      <c r="V495" s="684"/>
      <c r="W495" s="37" t="s">
        <v>89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136.74242424242422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138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1.4535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88</v>
      </c>
      <c r="Q496" s="683"/>
      <c r="R496" s="683"/>
      <c r="S496" s="683"/>
      <c r="T496" s="683"/>
      <c r="U496" s="683"/>
      <c r="V496" s="684"/>
      <c r="W496" s="37" t="s">
        <v>69</v>
      </c>
      <c r="X496" s="665">
        <f>IFERROR(SUM(X480:X494),"0")</f>
        <v>610</v>
      </c>
      <c r="Y496" s="665">
        <f>IFERROR(SUM(Y480:Y494),"0")</f>
        <v>616.08000000000004</v>
      </c>
      <c r="Z496" s="37"/>
      <c r="AA496" s="666"/>
      <c r="AB496" s="666"/>
      <c r="AC496" s="666"/>
    </row>
    <row r="497" spans="1:68" ht="14.25" customHeight="1" x14ac:dyDescent="0.25">
      <c r="A497" s="679" t="s">
        <v>136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771</v>
      </c>
      <c r="B498" s="54" t="s">
        <v>772</v>
      </c>
      <c r="C498" s="31">
        <v>4301020334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101</v>
      </c>
      <c r="L498" s="32"/>
      <c r="M498" s="33" t="s">
        <v>108</v>
      </c>
      <c r="N498" s="33"/>
      <c r="O498" s="32">
        <v>70</v>
      </c>
      <c r="P498" s="793" t="s">
        <v>773</v>
      </c>
      <c r="Q498" s="670"/>
      <c r="R498" s="670"/>
      <c r="S498" s="670"/>
      <c r="T498" s="671"/>
      <c r="U498" s="34"/>
      <c r="V498" s="34"/>
      <c r="W498" s="35" t="s">
        <v>69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774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771</v>
      </c>
      <c r="B499" s="54" t="s">
        <v>775</v>
      </c>
      <c r="C499" s="31">
        <v>4301020222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102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0"/>
      <c r="R499" s="670"/>
      <c r="S499" s="670"/>
      <c r="T499" s="671"/>
      <c r="U499" s="34"/>
      <c r="V499" s="34"/>
      <c r="W499" s="35" t="s">
        <v>69</v>
      </c>
      <c r="X499" s="663">
        <v>250</v>
      </c>
      <c r="Y499" s="664">
        <f>IFERROR(IF(X499="",0,CEILING((X499/$H499),1)*$H499),"")</f>
        <v>253.44</v>
      </c>
      <c r="Z499" s="36">
        <f>IFERROR(IF(Y499=0,"",ROUNDUP(Y499/H499,0)*0.01196),"")</f>
        <v>0.57408000000000003</v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267.04545454545456</v>
      </c>
      <c r="BN499" s="64">
        <f>IFERROR(Y499*I499/H499,"0")</f>
        <v>270.71999999999997</v>
      </c>
      <c r="BO499" s="64">
        <f>IFERROR(1/J499*(X499/H499),"0")</f>
        <v>0.45527389277389274</v>
      </c>
      <c r="BP499" s="64">
        <f>IFERROR(1/J499*(Y499/H499),"0")</f>
        <v>0.46153846153846156</v>
      </c>
    </row>
    <row r="500" spans="1:68" ht="16.5" customHeight="1" x14ac:dyDescent="0.25">
      <c r="A500" s="54" t="s">
        <v>777</v>
      </c>
      <c r="B500" s="54" t="s">
        <v>778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67</v>
      </c>
      <c r="L500" s="32"/>
      <c r="M500" s="33" t="s">
        <v>108</v>
      </c>
      <c r="N500" s="33"/>
      <c r="O500" s="32">
        <v>70</v>
      </c>
      <c r="P500" s="912" t="s">
        <v>779</v>
      </c>
      <c r="Q500" s="670"/>
      <c r="R500" s="670"/>
      <c r="S500" s="670"/>
      <c r="T500" s="671"/>
      <c r="U500" s="34"/>
      <c r="V500" s="34"/>
      <c r="W500" s="35" t="s">
        <v>69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774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780</v>
      </c>
      <c r="B501" s="54" t="s">
        <v>781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70</v>
      </c>
      <c r="P501" s="843" t="s">
        <v>782</v>
      </c>
      <c r="Q501" s="670"/>
      <c r="R501" s="670"/>
      <c r="S501" s="670"/>
      <c r="T501" s="671"/>
      <c r="U501" s="34"/>
      <c r="V501" s="34"/>
      <c r="W501" s="35" t="s">
        <v>69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774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88</v>
      </c>
      <c r="Q502" s="683"/>
      <c r="R502" s="683"/>
      <c r="S502" s="683"/>
      <c r="T502" s="683"/>
      <c r="U502" s="683"/>
      <c r="V502" s="684"/>
      <c r="W502" s="37" t="s">
        <v>89</v>
      </c>
      <c r="X502" s="665">
        <f>IFERROR(X498/H498,"0")+IFERROR(X499/H499,"0")+IFERROR(X500/H500,"0")+IFERROR(X501/H501,"0")</f>
        <v>47.348484848484844</v>
      </c>
      <c r="Y502" s="665">
        <f>IFERROR(Y498/H498,"0")+IFERROR(Y499/H499,"0")+IFERROR(Y500/H500,"0")+IFERROR(Y501/H501,"0")</f>
        <v>48</v>
      </c>
      <c r="Z502" s="665">
        <f>IFERROR(IF(Z498="",0,Z498),"0")+IFERROR(IF(Z499="",0,Z499),"0")+IFERROR(IF(Z500="",0,Z500),"0")+IFERROR(IF(Z501="",0,Z501),"0")</f>
        <v>0.57408000000000003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88</v>
      </c>
      <c r="Q503" s="683"/>
      <c r="R503" s="683"/>
      <c r="S503" s="683"/>
      <c r="T503" s="683"/>
      <c r="U503" s="683"/>
      <c r="V503" s="684"/>
      <c r="W503" s="37" t="s">
        <v>69</v>
      </c>
      <c r="X503" s="665">
        <f>IFERROR(SUM(X498:X501),"0")</f>
        <v>250</v>
      </c>
      <c r="Y503" s="665">
        <f>IFERROR(SUM(Y498:Y501),"0")</f>
        <v>253.44</v>
      </c>
      <c r="Z503" s="37"/>
      <c r="AA503" s="666"/>
      <c r="AB503" s="666"/>
      <c r="AC503" s="666"/>
    </row>
    <row r="504" spans="1:68" ht="14.25" customHeight="1" x14ac:dyDescent="0.25">
      <c r="A504" s="679" t="s">
        <v>147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783</v>
      </c>
      <c r="B505" s="54" t="s">
        <v>784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70</v>
      </c>
      <c r="P505" s="1043" t="s">
        <v>785</v>
      </c>
      <c r="Q505" s="670"/>
      <c r="R505" s="670"/>
      <c r="S505" s="670"/>
      <c r="T505" s="671"/>
      <c r="U505" s="34"/>
      <c r="V505" s="34"/>
      <c r="W505" s="35" t="s">
        <v>69</v>
      </c>
      <c r="X505" s="663">
        <v>40</v>
      </c>
      <c r="Y505" s="664">
        <f t="shared" ref="Y505:Y516" si="74">IFERROR(IF(X505="",0,CEILING((X505/$H505),1)*$H505),"")</f>
        <v>42.24</v>
      </c>
      <c r="Z505" s="36">
        <f>IFERROR(IF(Y505=0,"",ROUNDUP(Y505/H505,0)*0.01196),"")</f>
        <v>9.5680000000000001E-2</v>
      </c>
      <c r="AA505" s="56"/>
      <c r="AB505" s="57"/>
      <c r="AC505" s="559" t="s">
        <v>786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42.727272727272727</v>
      </c>
      <c r="BN505" s="64">
        <f t="shared" ref="BN505:BN516" si="76">IFERROR(Y505*I505/H505,"0")</f>
        <v>45.12</v>
      </c>
      <c r="BO505" s="64">
        <f t="shared" ref="BO505:BO516" si="77">IFERROR(1/J505*(X505/H505),"0")</f>
        <v>7.2843822843822847E-2</v>
      </c>
      <c r="BP505" s="64">
        <f t="shared" ref="BP505:BP516" si="78">IFERROR(1/J505*(Y505/H505),"0")</f>
        <v>7.6923076923076927E-2</v>
      </c>
    </row>
    <row r="506" spans="1:68" ht="27" customHeight="1" x14ac:dyDescent="0.25">
      <c r="A506" s="54" t="s">
        <v>787</v>
      </c>
      <c r="B506" s="54" t="s">
        <v>788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101</v>
      </c>
      <c r="L506" s="32"/>
      <c r="M506" s="33" t="s">
        <v>68</v>
      </c>
      <c r="N506" s="33"/>
      <c r="O506" s="32">
        <v>70</v>
      </c>
      <c r="P506" s="896" t="s">
        <v>789</v>
      </c>
      <c r="Q506" s="670"/>
      <c r="R506" s="670"/>
      <c r="S506" s="670"/>
      <c r="T506" s="671"/>
      <c r="U506" s="34"/>
      <c r="V506" s="34"/>
      <c r="W506" s="35" t="s">
        <v>69</v>
      </c>
      <c r="X506" s="663">
        <v>40</v>
      </c>
      <c r="Y506" s="664">
        <f t="shared" si="74"/>
        <v>42.24</v>
      </c>
      <c r="Z506" s="36">
        <f>IFERROR(IF(Y506=0,"",ROUNDUP(Y506/H506,0)*0.01196),"")</f>
        <v>9.5680000000000001E-2</v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 t="shared" si="75"/>
        <v>42.727272727272727</v>
      </c>
      <c r="BN506" s="64">
        <f t="shared" si="76"/>
        <v>45.12</v>
      </c>
      <c r="BO506" s="64">
        <f t="shared" si="77"/>
        <v>7.2843822843822847E-2</v>
      </c>
      <c r="BP506" s="64">
        <f t="shared" si="78"/>
        <v>7.6923076923076927E-2</v>
      </c>
    </row>
    <row r="507" spans="1:68" ht="27" customHeight="1" x14ac:dyDescent="0.25">
      <c r="A507" s="54" t="s">
        <v>791</v>
      </c>
      <c r="B507" s="54" t="s">
        <v>792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4" t="s">
        <v>793</v>
      </c>
      <c r="Q507" s="670"/>
      <c r="R507" s="670"/>
      <c r="S507" s="670"/>
      <c r="T507" s="671"/>
      <c r="U507" s="34"/>
      <c r="V507" s="34"/>
      <c r="W507" s="35" t="s">
        <v>69</v>
      </c>
      <c r="X507" s="663">
        <v>150</v>
      </c>
      <c r="Y507" s="664">
        <f t="shared" si="74"/>
        <v>153.12</v>
      </c>
      <c r="Z507" s="36">
        <f>IFERROR(IF(Y507=0,"",ROUNDUP(Y507/H507,0)*0.01196),"")</f>
        <v>0.34683999999999998</v>
      </c>
      <c r="AA507" s="56"/>
      <c r="AB507" s="57"/>
      <c r="AC507" s="563" t="s">
        <v>794</v>
      </c>
      <c r="AG507" s="64"/>
      <c r="AJ507" s="68"/>
      <c r="AK507" s="68">
        <v>0</v>
      </c>
      <c r="BB507" s="564" t="s">
        <v>1</v>
      </c>
      <c r="BM507" s="64">
        <f t="shared" si="75"/>
        <v>160.22727272727272</v>
      </c>
      <c r="BN507" s="64">
        <f t="shared" si="76"/>
        <v>163.56</v>
      </c>
      <c r="BO507" s="64">
        <f t="shared" si="77"/>
        <v>0.27316433566433568</v>
      </c>
      <c r="BP507" s="64">
        <f t="shared" si="78"/>
        <v>0.27884615384615385</v>
      </c>
    </row>
    <row r="508" spans="1:68" ht="27" customHeight="1" x14ac:dyDescent="0.25">
      <c r="A508" s="54" t="s">
        <v>795</v>
      </c>
      <c r="B508" s="54" t="s">
        <v>796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67</v>
      </c>
      <c r="L508" s="32"/>
      <c r="M508" s="33" t="s">
        <v>102</v>
      </c>
      <c r="N508" s="33"/>
      <c r="O508" s="32">
        <v>70</v>
      </c>
      <c r="P508" s="760" t="s">
        <v>797</v>
      </c>
      <c r="Q508" s="670"/>
      <c r="R508" s="670"/>
      <c r="S508" s="670"/>
      <c r="T508" s="671"/>
      <c r="U508" s="34"/>
      <c r="V508" s="34"/>
      <c r="W508" s="35" t="s">
        <v>69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786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798</v>
      </c>
      <c r="B509" s="54" t="s">
        <v>799</v>
      </c>
      <c r="C509" s="31">
        <v>4301031351</v>
      </c>
      <c r="D509" s="667">
        <v>4680115882072</v>
      </c>
      <c r="E509" s="668"/>
      <c r="F509" s="662">
        <v>0.6</v>
      </c>
      <c r="G509" s="32">
        <v>6</v>
      </c>
      <c r="H509" s="662">
        <v>3.6</v>
      </c>
      <c r="I509" s="662">
        <v>3.81</v>
      </c>
      <c r="J509" s="32">
        <v>132</v>
      </c>
      <c r="K509" s="32" t="s">
        <v>106</v>
      </c>
      <c r="L509" s="32"/>
      <c r="M509" s="33" t="s">
        <v>102</v>
      </c>
      <c r="N509" s="33"/>
      <c r="O509" s="32">
        <v>70</v>
      </c>
      <c r="P509" s="1003" t="s">
        <v>800</v>
      </c>
      <c r="Q509" s="670"/>
      <c r="R509" s="670"/>
      <c r="S509" s="670"/>
      <c r="T509" s="671"/>
      <c r="U509" s="34"/>
      <c r="V509" s="34"/>
      <c r="W509" s="35" t="s">
        <v>69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786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798</v>
      </c>
      <c r="B510" s="54" t="s">
        <v>801</v>
      </c>
      <c r="C510" s="31">
        <v>4301031383</v>
      </c>
      <c r="D510" s="667">
        <v>4680115882072</v>
      </c>
      <c r="E510" s="668"/>
      <c r="F510" s="662">
        <v>0.6</v>
      </c>
      <c r="G510" s="32">
        <v>8</v>
      </c>
      <c r="H510" s="662">
        <v>4.8</v>
      </c>
      <c r="I510" s="662">
        <v>6.96</v>
      </c>
      <c r="J510" s="32">
        <v>120</v>
      </c>
      <c r="K510" s="32" t="s">
        <v>106</v>
      </c>
      <c r="L510" s="32"/>
      <c r="M510" s="33" t="s">
        <v>102</v>
      </c>
      <c r="N510" s="33"/>
      <c r="O510" s="32">
        <v>60</v>
      </c>
      <c r="P510" s="1029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0" s="670"/>
      <c r="R510" s="670"/>
      <c r="S510" s="670"/>
      <c r="T510" s="671"/>
      <c r="U510" s="34"/>
      <c r="V510" s="34"/>
      <c r="W510" s="35" t="s">
        <v>69</v>
      </c>
      <c r="X510" s="663">
        <v>0</v>
      </c>
      <c r="Y510" s="664">
        <f t="shared" si="74"/>
        <v>0</v>
      </c>
      <c r="Z510" s="36" t="str">
        <f>IFERROR(IF(Y510=0,"",ROUNDUP(Y510/H510,0)*0.00937),"")</f>
        <v/>
      </c>
      <c r="AA510" s="56"/>
      <c r="AB510" s="57"/>
      <c r="AC510" s="569" t="s">
        <v>802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798</v>
      </c>
      <c r="B511" s="54" t="s">
        <v>803</v>
      </c>
      <c r="C511" s="31">
        <v>4301031419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6.93</v>
      </c>
      <c r="J511" s="32">
        <v>132</v>
      </c>
      <c r="K511" s="32" t="s">
        <v>106</v>
      </c>
      <c r="L511" s="32"/>
      <c r="M511" s="33" t="s">
        <v>102</v>
      </c>
      <c r="N511" s="33"/>
      <c r="O511" s="32">
        <v>70</v>
      </c>
      <c r="P511" s="878" t="s">
        <v>804</v>
      </c>
      <c r="Q511" s="670"/>
      <c r="R511" s="670"/>
      <c r="S511" s="670"/>
      <c r="T511" s="671"/>
      <c r="U511" s="34"/>
      <c r="V511" s="34"/>
      <c r="W511" s="35" t="s">
        <v>69</v>
      </c>
      <c r="X511" s="663">
        <v>54</v>
      </c>
      <c r="Y511" s="664">
        <f t="shared" si="74"/>
        <v>57.599999999999994</v>
      </c>
      <c r="Z511" s="36">
        <f>IFERROR(IF(Y511=0,"",ROUNDUP(Y511/H511,0)*0.00902),"")</f>
        <v>0.10824</v>
      </c>
      <c r="AA511" s="56"/>
      <c r="AB511" s="57"/>
      <c r="AC511" s="571" t="s">
        <v>786</v>
      </c>
      <c r="AG511" s="64"/>
      <c r="AJ511" s="68"/>
      <c r="AK511" s="68">
        <v>0</v>
      </c>
      <c r="BB511" s="572" t="s">
        <v>1</v>
      </c>
      <c r="BM511" s="64">
        <f t="shared" si="75"/>
        <v>77.962499999999991</v>
      </c>
      <c r="BN511" s="64">
        <f t="shared" si="76"/>
        <v>83.16</v>
      </c>
      <c r="BO511" s="64">
        <f t="shared" si="77"/>
        <v>8.5227272727272735E-2</v>
      </c>
      <c r="BP511" s="64">
        <f t="shared" si="78"/>
        <v>9.0909090909090912E-2</v>
      </c>
    </row>
    <row r="512" spans="1:68" ht="27" customHeight="1" x14ac:dyDescent="0.25">
      <c r="A512" s="54" t="s">
        <v>805</v>
      </c>
      <c r="B512" s="54" t="s">
        <v>806</v>
      </c>
      <c r="C512" s="31">
        <v>4301031251</v>
      </c>
      <c r="D512" s="667">
        <v>4680115882102</v>
      </c>
      <c r="E512" s="668"/>
      <c r="F512" s="662">
        <v>0.6</v>
      </c>
      <c r="G512" s="32">
        <v>6</v>
      </c>
      <c r="H512" s="662">
        <v>3.6</v>
      </c>
      <c r="I512" s="662">
        <v>3.81</v>
      </c>
      <c r="J512" s="32">
        <v>132</v>
      </c>
      <c r="K512" s="32" t="s">
        <v>106</v>
      </c>
      <c r="L512" s="32"/>
      <c r="M512" s="33" t="s">
        <v>68</v>
      </c>
      <c r="N512" s="33"/>
      <c r="O512" s="32">
        <v>60</v>
      </c>
      <c r="P512" s="92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70"/>
      <c r="R512" s="670"/>
      <c r="S512" s="670"/>
      <c r="T512" s="671"/>
      <c r="U512" s="34"/>
      <c r="V512" s="34"/>
      <c r="W512" s="35" t="s">
        <v>69</v>
      </c>
      <c r="X512" s="663">
        <v>18</v>
      </c>
      <c r="Y512" s="664">
        <f t="shared" si="74"/>
        <v>18</v>
      </c>
      <c r="Z512" s="36">
        <f>IFERROR(IF(Y512=0,"",ROUNDUP(Y512/H512,0)*0.00902),"")</f>
        <v>4.5100000000000001E-2</v>
      </c>
      <c r="AA512" s="56"/>
      <c r="AB512" s="57"/>
      <c r="AC512" s="573" t="s">
        <v>807</v>
      </c>
      <c r="AG512" s="64"/>
      <c r="AJ512" s="68"/>
      <c r="AK512" s="68">
        <v>0</v>
      </c>
      <c r="BB512" s="574" t="s">
        <v>1</v>
      </c>
      <c r="BM512" s="64">
        <f t="shared" si="75"/>
        <v>19.05</v>
      </c>
      <c r="BN512" s="64">
        <f t="shared" si="76"/>
        <v>19.05</v>
      </c>
      <c r="BO512" s="64">
        <f t="shared" si="77"/>
        <v>3.787878787878788E-2</v>
      </c>
      <c r="BP512" s="64">
        <f t="shared" si="78"/>
        <v>3.787878787878788E-2</v>
      </c>
    </row>
    <row r="513" spans="1:68" ht="27" customHeight="1" x14ac:dyDescent="0.25">
      <c r="A513" s="54" t="s">
        <v>805</v>
      </c>
      <c r="B513" s="54" t="s">
        <v>808</v>
      </c>
      <c r="C513" s="31">
        <v>4301031418</v>
      </c>
      <c r="D513" s="667">
        <v>4680115882102</v>
      </c>
      <c r="E513" s="668"/>
      <c r="F513" s="662">
        <v>0.6</v>
      </c>
      <c r="G513" s="32">
        <v>8</v>
      </c>
      <c r="H513" s="662">
        <v>4.8</v>
      </c>
      <c r="I513" s="662">
        <v>6.69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70</v>
      </c>
      <c r="P513" s="831" t="s">
        <v>809</v>
      </c>
      <c r="Q513" s="670"/>
      <c r="R513" s="670"/>
      <c r="S513" s="670"/>
      <c r="T513" s="671"/>
      <c r="U513" s="34"/>
      <c r="V513" s="34"/>
      <c r="W513" s="35" t="s">
        <v>69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790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810</v>
      </c>
      <c r="B514" s="54" t="s">
        <v>811</v>
      </c>
      <c r="C514" s="31">
        <v>4301031384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120</v>
      </c>
      <c r="K514" s="32" t="s">
        <v>106</v>
      </c>
      <c r="L514" s="32"/>
      <c r="M514" s="33" t="s">
        <v>68</v>
      </c>
      <c r="N514" s="33"/>
      <c r="O514" s="32">
        <v>60</v>
      </c>
      <c r="P514" s="85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4" s="670"/>
      <c r="R514" s="670"/>
      <c r="S514" s="670"/>
      <c r="T514" s="671"/>
      <c r="U514" s="34"/>
      <c r="V514" s="34"/>
      <c r="W514" s="35" t="s">
        <v>69</v>
      </c>
      <c r="X514" s="663">
        <v>0</v>
      </c>
      <c r="Y514" s="664">
        <f t="shared" si="74"/>
        <v>0</v>
      </c>
      <c r="Z514" s="36" t="str">
        <f>IFERROR(IF(Y514=0,"",ROUNDUP(Y514/H514,0)*0.00937),"")</f>
        <v/>
      </c>
      <c r="AA514" s="56"/>
      <c r="AB514" s="57"/>
      <c r="AC514" s="577" t="s">
        <v>794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810</v>
      </c>
      <c r="B515" s="54" t="s">
        <v>812</v>
      </c>
      <c r="C515" s="31">
        <v>4301031253</v>
      </c>
      <c r="D515" s="667">
        <v>4680115882096</v>
      </c>
      <c r="E515" s="668"/>
      <c r="F515" s="662">
        <v>0.6</v>
      </c>
      <c r="G515" s="32">
        <v>6</v>
      </c>
      <c r="H515" s="662">
        <v>3.6</v>
      </c>
      <c r="I515" s="662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1012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0"/>
      <c r="R515" s="670"/>
      <c r="S515" s="670"/>
      <c r="T515" s="671"/>
      <c r="U515" s="34"/>
      <c r="V515" s="34"/>
      <c r="W515" s="35" t="s">
        <v>69</v>
      </c>
      <c r="X515" s="663">
        <v>60</v>
      </c>
      <c r="Y515" s="664">
        <f t="shared" si="74"/>
        <v>61.2</v>
      </c>
      <c r="Z515" s="36">
        <f>IFERROR(IF(Y515=0,"",ROUNDUP(Y515/H515,0)*0.00902),"")</f>
        <v>0.15334</v>
      </c>
      <c r="AA515" s="56"/>
      <c r="AB515" s="57"/>
      <c r="AC515" s="579" t="s">
        <v>813</v>
      </c>
      <c r="AG515" s="64"/>
      <c r="AJ515" s="68"/>
      <c r="AK515" s="68">
        <v>0</v>
      </c>
      <c r="BB515" s="580" t="s">
        <v>1</v>
      </c>
      <c r="BM515" s="64">
        <f t="shared" si="75"/>
        <v>63.5</v>
      </c>
      <c r="BN515" s="64">
        <f t="shared" si="76"/>
        <v>64.77000000000001</v>
      </c>
      <c r="BO515" s="64">
        <f t="shared" si="77"/>
        <v>0.12626262626262627</v>
      </c>
      <c r="BP515" s="64">
        <f t="shared" si="78"/>
        <v>0.12878787878787878</v>
      </c>
    </row>
    <row r="516" spans="1:68" ht="27" customHeight="1" x14ac:dyDescent="0.25">
      <c r="A516" s="54" t="s">
        <v>810</v>
      </c>
      <c r="B516" s="54" t="s">
        <v>814</v>
      </c>
      <c r="C516" s="31">
        <v>4301031417</v>
      </c>
      <c r="D516" s="667">
        <v>4680115882096</v>
      </c>
      <c r="E516" s="668"/>
      <c r="F516" s="662">
        <v>0.6</v>
      </c>
      <c r="G516" s="32">
        <v>8</v>
      </c>
      <c r="H516" s="662">
        <v>4.8</v>
      </c>
      <c r="I516" s="662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63" t="s">
        <v>815</v>
      </c>
      <c r="Q516" s="670"/>
      <c r="R516" s="670"/>
      <c r="S516" s="670"/>
      <c r="T516" s="671"/>
      <c r="U516" s="34"/>
      <c r="V516" s="34"/>
      <c r="W516" s="35" t="s">
        <v>69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794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88</v>
      </c>
      <c r="Q517" s="683"/>
      <c r="R517" s="683"/>
      <c r="S517" s="683"/>
      <c r="T517" s="683"/>
      <c r="U517" s="683"/>
      <c r="V517" s="684"/>
      <c r="W517" s="37" t="s">
        <v>89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76.47727272727272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79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0.84488000000000008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88</v>
      </c>
      <c r="Q518" s="683"/>
      <c r="R518" s="683"/>
      <c r="S518" s="683"/>
      <c r="T518" s="683"/>
      <c r="U518" s="683"/>
      <c r="V518" s="684"/>
      <c r="W518" s="37" t="s">
        <v>69</v>
      </c>
      <c r="X518" s="665">
        <f>IFERROR(SUM(X505:X516),"0")</f>
        <v>362</v>
      </c>
      <c r="Y518" s="665">
        <f>IFERROR(SUM(Y505:Y516),"0")</f>
        <v>374.40000000000003</v>
      </c>
      <c r="Z518" s="37"/>
      <c r="AA518" s="666"/>
      <c r="AB518" s="666"/>
      <c r="AC518" s="666"/>
    </row>
    <row r="519" spans="1:68" ht="14.25" customHeight="1" x14ac:dyDescent="0.25">
      <c r="A519" s="679" t="s">
        <v>64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816</v>
      </c>
      <c r="B520" s="54" t="s">
        <v>817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101</v>
      </c>
      <c r="L520" s="32"/>
      <c r="M520" s="33" t="s">
        <v>108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69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818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819</v>
      </c>
      <c r="B521" s="54" t="s">
        <v>820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101</v>
      </c>
      <c r="L521" s="32"/>
      <c r="M521" s="33" t="s">
        <v>68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69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821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822</v>
      </c>
      <c r="B522" s="54" t="s">
        <v>823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67</v>
      </c>
      <c r="L522" s="32"/>
      <c r="M522" s="33" t="s">
        <v>108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69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824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88</v>
      </c>
      <c r="Q523" s="683"/>
      <c r="R523" s="683"/>
      <c r="S523" s="683"/>
      <c r="T523" s="683"/>
      <c r="U523" s="683"/>
      <c r="V523" s="684"/>
      <c r="W523" s="37" t="s">
        <v>89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88</v>
      </c>
      <c r="Q524" s="683"/>
      <c r="R524" s="683"/>
      <c r="S524" s="683"/>
      <c r="T524" s="683"/>
      <c r="U524" s="683"/>
      <c r="V524" s="684"/>
      <c r="W524" s="37" t="s">
        <v>69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173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825</v>
      </c>
      <c r="B526" s="54" t="s">
        <v>826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101</v>
      </c>
      <c r="L526" s="32"/>
      <c r="M526" s="33" t="s">
        <v>68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69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827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828</v>
      </c>
      <c r="B527" s="54" t="s">
        <v>829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35</v>
      </c>
      <c r="P527" s="742" t="s">
        <v>830</v>
      </c>
      <c r="Q527" s="670"/>
      <c r="R527" s="670"/>
      <c r="S527" s="670"/>
      <c r="T527" s="671"/>
      <c r="U527" s="34"/>
      <c r="V527" s="34"/>
      <c r="W527" s="35" t="s">
        <v>69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827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88</v>
      </c>
      <c r="Q528" s="683"/>
      <c r="R528" s="683"/>
      <c r="S528" s="683"/>
      <c r="T528" s="683"/>
      <c r="U528" s="683"/>
      <c r="V528" s="684"/>
      <c r="W528" s="37" t="s">
        <v>89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88</v>
      </c>
      <c r="Q529" s="683"/>
      <c r="R529" s="683"/>
      <c r="S529" s="683"/>
      <c r="T529" s="683"/>
      <c r="U529" s="683"/>
      <c r="V529" s="684"/>
      <c r="W529" s="37" t="s">
        <v>69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831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831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98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832</v>
      </c>
      <c r="B533" s="54" t="s">
        <v>833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101</v>
      </c>
      <c r="L533" s="32"/>
      <c r="M533" s="33" t="s">
        <v>108</v>
      </c>
      <c r="N533" s="33"/>
      <c r="O533" s="32">
        <v>55</v>
      </c>
      <c r="P533" s="897" t="s">
        <v>834</v>
      </c>
      <c r="Q533" s="670"/>
      <c r="R533" s="670"/>
      <c r="S533" s="670"/>
      <c r="T533" s="671"/>
      <c r="U533" s="34"/>
      <c r="V533" s="34"/>
      <c r="W533" s="35" t="s">
        <v>69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835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836</v>
      </c>
      <c r="B534" s="54" t="s">
        <v>837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101</v>
      </c>
      <c r="L534" s="32"/>
      <c r="M534" s="33" t="s">
        <v>102</v>
      </c>
      <c r="N534" s="33"/>
      <c r="O534" s="32">
        <v>50</v>
      </c>
      <c r="P534" s="1045" t="s">
        <v>838</v>
      </c>
      <c r="Q534" s="670"/>
      <c r="R534" s="670"/>
      <c r="S534" s="670"/>
      <c r="T534" s="671"/>
      <c r="U534" s="34"/>
      <c r="V534" s="34"/>
      <c r="W534" s="35" t="s">
        <v>69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839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840</v>
      </c>
      <c r="B535" s="54" t="s">
        <v>841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3" t="s">
        <v>842</v>
      </c>
      <c r="Q535" s="670"/>
      <c r="R535" s="670"/>
      <c r="S535" s="670"/>
      <c r="T535" s="671"/>
      <c r="U535" s="34"/>
      <c r="V535" s="34"/>
      <c r="W535" s="35" t="s">
        <v>69</v>
      </c>
      <c r="X535" s="663">
        <v>10</v>
      </c>
      <c r="Y535" s="664">
        <f t="shared" si="79"/>
        <v>12</v>
      </c>
      <c r="Z535" s="36">
        <f>IFERROR(IF(Y535=0,"",ROUNDUP(Y535/H535,0)*0.01898),"")</f>
        <v>1.898E-2</v>
      </c>
      <c r="AA535" s="56"/>
      <c r="AB535" s="57"/>
      <c r="AC535" s="597" t="s">
        <v>843</v>
      </c>
      <c r="AG535" s="64"/>
      <c r="AJ535" s="68"/>
      <c r="AK535" s="68">
        <v>0</v>
      </c>
      <c r="BB535" s="598" t="s">
        <v>1</v>
      </c>
      <c r="BM535" s="64">
        <f t="shared" si="80"/>
        <v>10.362500000000001</v>
      </c>
      <c r="BN535" s="64">
        <f t="shared" si="81"/>
        <v>12.435</v>
      </c>
      <c r="BO535" s="64">
        <f t="shared" si="82"/>
        <v>1.3020833333333334E-2</v>
      </c>
      <c r="BP535" s="64">
        <f t="shared" si="83"/>
        <v>1.5625E-2</v>
      </c>
    </row>
    <row r="536" spans="1:68" ht="27" customHeight="1" x14ac:dyDescent="0.25">
      <c r="A536" s="54" t="s">
        <v>844</v>
      </c>
      <c r="B536" s="54" t="s">
        <v>845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55</v>
      </c>
      <c r="P536" s="1049" t="s">
        <v>846</v>
      </c>
      <c r="Q536" s="670"/>
      <c r="R536" s="670"/>
      <c r="S536" s="670"/>
      <c r="T536" s="671"/>
      <c r="U536" s="34"/>
      <c r="V536" s="34"/>
      <c r="W536" s="35" t="s">
        <v>69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847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848</v>
      </c>
      <c r="B537" s="54" t="s">
        <v>849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106</v>
      </c>
      <c r="L537" s="32"/>
      <c r="M537" s="33" t="s">
        <v>102</v>
      </c>
      <c r="N537" s="33"/>
      <c r="O537" s="32">
        <v>50</v>
      </c>
      <c r="P537" s="759" t="s">
        <v>850</v>
      </c>
      <c r="Q537" s="670"/>
      <c r="R537" s="670"/>
      <c r="S537" s="670"/>
      <c r="T537" s="671"/>
      <c r="U537" s="34"/>
      <c r="V537" s="34"/>
      <c r="W537" s="35" t="s">
        <v>69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843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851</v>
      </c>
      <c r="B538" s="54" t="s">
        <v>852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55</v>
      </c>
      <c r="P538" s="887" t="s">
        <v>853</v>
      </c>
      <c r="Q538" s="670"/>
      <c r="R538" s="670"/>
      <c r="S538" s="670"/>
      <c r="T538" s="671"/>
      <c r="U538" s="34"/>
      <c r="V538" s="34"/>
      <c r="W538" s="35" t="s">
        <v>69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847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88</v>
      </c>
      <c r="Q539" s="683"/>
      <c r="R539" s="683"/>
      <c r="S539" s="683"/>
      <c r="T539" s="683"/>
      <c r="U539" s="683"/>
      <c r="V539" s="684"/>
      <c r="W539" s="37" t="s">
        <v>89</v>
      </c>
      <c r="X539" s="665">
        <f>IFERROR(X533/H533,"0")+IFERROR(X534/H534,"0")+IFERROR(X535/H535,"0")+IFERROR(X536/H536,"0")+IFERROR(X537/H537,"0")+IFERROR(X538/H538,"0")</f>
        <v>0.83333333333333337</v>
      </c>
      <c r="Y539" s="665">
        <f>IFERROR(Y533/H533,"0")+IFERROR(Y534/H534,"0")+IFERROR(Y535/H535,"0")+IFERROR(Y536/H536,"0")+IFERROR(Y537/H537,"0")+IFERROR(Y538/H538,"0")</f>
        <v>1</v>
      </c>
      <c r="Z539" s="665">
        <f>IFERROR(IF(Z533="",0,Z533),"0")+IFERROR(IF(Z534="",0,Z534),"0")+IFERROR(IF(Z535="",0,Z535),"0")+IFERROR(IF(Z536="",0,Z536),"0")+IFERROR(IF(Z537="",0,Z537),"0")+IFERROR(IF(Z538="",0,Z538),"0")</f>
        <v>1.898E-2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88</v>
      </c>
      <c r="Q540" s="683"/>
      <c r="R540" s="683"/>
      <c r="S540" s="683"/>
      <c r="T540" s="683"/>
      <c r="U540" s="683"/>
      <c r="V540" s="684"/>
      <c r="W540" s="37" t="s">
        <v>69</v>
      </c>
      <c r="X540" s="665">
        <f>IFERROR(SUM(X533:X538),"0")</f>
        <v>10</v>
      </c>
      <c r="Y540" s="665">
        <f>IFERROR(SUM(Y533:Y538),"0")</f>
        <v>12</v>
      </c>
      <c r="Z540" s="37"/>
      <c r="AA540" s="666"/>
      <c r="AB540" s="666"/>
      <c r="AC540" s="666"/>
    </row>
    <row r="541" spans="1:68" ht="14.25" customHeight="1" x14ac:dyDescent="0.25">
      <c r="A541" s="679" t="s">
        <v>136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854</v>
      </c>
      <c r="B542" s="54" t="s">
        <v>855</v>
      </c>
      <c r="C542" s="31">
        <v>4301020269</v>
      </c>
      <c r="D542" s="667">
        <v>4640242180519</v>
      </c>
      <c r="E542" s="668"/>
      <c r="F542" s="662">
        <v>1.35</v>
      </c>
      <c r="G542" s="32">
        <v>8</v>
      </c>
      <c r="H542" s="662">
        <v>10.8</v>
      </c>
      <c r="I542" s="662">
        <v>11.234999999999999</v>
      </c>
      <c r="J542" s="32">
        <v>64</v>
      </c>
      <c r="K542" s="32" t="s">
        <v>101</v>
      </c>
      <c r="L542" s="32"/>
      <c r="M542" s="33" t="s">
        <v>108</v>
      </c>
      <c r="N542" s="33"/>
      <c r="O542" s="32">
        <v>50</v>
      </c>
      <c r="P542" s="756" t="s">
        <v>856</v>
      </c>
      <c r="Q542" s="670"/>
      <c r="R542" s="670"/>
      <c r="S542" s="670"/>
      <c r="T542" s="671"/>
      <c r="U542" s="34"/>
      <c r="V542" s="34"/>
      <c r="W542" s="35" t="s">
        <v>69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857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854</v>
      </c>
      <c r="B543" s="54" t="s">
        <v>858</v>
      </c>
      <c r="C543" s="31">
        <v>4301020400</v>
      </c>
      <c r="D543" s="667">
        <v>4640242180519</v>
      </c>
      <c r="E543" s="668"/>
      <c r="F543" s="662">
        <v>1.5</v>
      </c>
      <c r="G543" s="32">
        <v>8</v>
      </c>
      <c r="H543" s="662">
        <v>12</v>
      </c>
      <c r="I543" s="662">
        <v>12.435</v>
      </c>
      <c r="J543" s="32">
        <v>64</v>
      </c>
      <c r="K543" s="32" t="s">
        <v>101</v>
      </c>
      <c r="L543" s="32"/>
      <c r="M543" s="33" t="s">
        <v>102</v>
      </c>
      <c r="N543" s="33"/>
      <c r="O543" s="32">
        <v>50</v>
      </c>
      <c r="P543" s="864" t="s">
        <v>859</v>
      </c>
      <c r="Q543" s="670"/>
      <c r="R543" s="670"/>
      <c r="S543" s="670"/>
      <c r="T543" s="671"/>
      <c r="U543" s="34"/>
      <c r="V543" s="34"/>
      <c r="W543" s="35" t="s">
        <v>69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860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861</v>
      </c>
      <c r="B544" s="54" t="s">
        <v>862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0" t="s">
        <v>863</v>
      </c>
      <c r="Q544" s="670"/>
      <c r="R544" s="670"/>
      <c r="S544" s="670"/>
      <c r="T544" s="671"/>
      <c r="U544" s="34"/>
      <c r="V544" s="34"/>
      <c r="W544" s="35" t="s">
        <v>69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864</v>
      </c>
      <c r="B545" s="54" t="s">
        <v>865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2" t="s">
        <v>866</v>
      </c>
      <c r="Q545" s="670"/>
      <c r="R545" s="670"/>
      <c r="S545" s="670"/>
      <c r="T545" s="671"/>
      <c r="U545" s="34"/>
      <c r="V545" s="34"/>
      <c r="W545" s="35" t="s">
        <v>69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868</v>
      </c>
      <c r="B546" s="54" t="s">
        <v>869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106</v>
      </c>
      <c r="L546" s="32"/>
      <c r="M546" s="33" t="s">
        <v>102</v>
      </c>
      <c r="N546" s="33"/>
      <c r="O546" s="32">
        <v>50</v>
      </c>
      <c r="P546" s="786" t="s">
        <v>870</v>
      </c>
      <c r="Q546" s="670"/>
      <c r="R546" s="670"/>
      <c r="S546" s="670"/>
      <c r="T546" s="671"/>
      <c r="U546" s="34"/>
      <c r="V546" s="34"/>
      <c r="W546" s="35" t="s">
        <v>69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867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88</v>
      </c>
      <c r="Q547" s="683"/>
      <c r="R547" s="683"/>
      <c r="S547" s="683"/>
      <c r="T547" s="683"/>
      <c r="U547" s="683"/>
      <c r="V547" s="684"/>
      <c r="W547" s="37" t="s">
        <v>89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88</v>
      </c>
      <c r="Q548" s="683"/>
      <c r="R548" s="683"/>
      <c r="S548" s="683"/>
      <c r="T548" s="683"/>
      <c r="U548" s="683"/>
      <c r="V548" s="684"/>
      <c r="W548" s="37" t="s">
        <v>69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147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871</v>
      </c>
      <c r="B550" s="54" t="s">
        <v>872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106</v>
      </c>
      <c r="L550" s="32"/>
      <c r="M550" s="33" t="s">
        <v>68</v>
      </c>
      <c r="N550" s="33"/>
      <c r="O550" s="32">
        <v>40</v>
      </c>
      <c r="P550" s="734" t="s">
        <v>873</v>
      </c>
      <c r="Q550" s="670"/>
      <c r="R550" s="670"/>
      <c r="S550" s="670"/>
      <c r="T550" s="671"/>
      <c r="U550" s="34"/>
      <c r="V550" s="34"/>
      <c r="W550" s="35" t="s">
        <v>69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874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875</v>
      </c>
      <c r="B551" s="54" t="s">
        <v>876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55" t="s">
        <v>877</v>
      </c>
      <c r="Q551" s="670"/>
      <c r="R551" s="670"/>
      <c r="S551" s="670"/>
      <c r="T551" s="671"/>
      <c r="U551" s="34"/>
      <c r="V551" s="34"/>
      <c r="W551" s="35" t="s">
        <v>69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878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879</v>
      </c>
      <c r="B552" s="54" t="s">
        <v>880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45</v>
      </c>
      <c r="P552" s="711" t="s">
        <v>881</v>
      </c>
      <c r="Q552" s="670"/>
      <c r="R552" s="670"/>
      <c r="S552" s="670"/>
      <c r="T552" s="671"/>
      <c r="U552" s="34"/>
      <c r="V552" s="34"/>
      <c r="W552" s="35" t="s">
        <v>69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882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883</v>
      </c>
      <c r="B553" s="54" t="s">
        <v>884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1" t="s">
        <v>885</v>
      </c>
      <c r="Q553" s="670"/>
      <c r="R553" s="670"/>
      <c r="S553" s="670"/>
      <c r="T553" s="671"/>
      <c r="U553" s="34"/>
      <c r="V553" s="34"/>
      <c r="W553" s="35" t="s">
        <v>69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886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887</v>
      </c>
      <c r="B554" s="54" t="s">
        <v>888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0" t="s">
        <v>889</v>
      </c>
      <c r="Q554" s="670"/>
      <c r="R554" s="670"/>
      <c r="S554" s="670"/>
      <c r="T554" s="671"/>
      <c r="U554" s="34"/>
      <c r="V554" s="34"/>
      <c r="W554" s="35" t="s">
        <v>69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890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891</v>
      </c>
      <c r="B555" s="54" t="s">
        <v>892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150</v>
      </c>
      <c r="L555" s="32"/>
      <c r="M555" s="33" t="s">
        <v>68</v>
      </c>
      <c r="N555" s="33"/>
      <c r="O555" s="32">
        <v>40</v>
      </c>
      <c r="P555" s="960" t="s">
        <v>893</v>
      </c>
      <c r="Q555" s="670"/>
      <c r="R555" s="670"/>
      <c r="S555" s="670"/>
      <c r="T555" s="671"/>
      <c r="U555" s="34"/>
      <c r="V555" s="34"/>
      <c r="W555" s="35" t="s">
        <v>69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874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894</v>
      </c>
      <c r="B556" s="54" t="s">
        <v>895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150</v>
      </c>
      <c r="L556" s="32"/>
      <c r="M556" s="33" t="s">
        <v>68</v>
      </c>
      <c r="N556" s="33"/>
      <c r="O556" s="32">
        <v>40</v>
      </c>
      <c r="P556" s="784" t="s">
        <v>896</v>
      </c>
      <c r="Q556" s="670"/>
      <c r="R556" s="670"/>
      <c r="S556" s="670"/>
      <c r="T556" s="671"/>
      <c r="U556" s="34"/>
      <c r="V556" s="34"/>
      <c r="W556" s="35" t="s">
        <v>69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878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88</v>
      </c>
      <c r="Q557" s="683"/>
      <c r="R557" s="683"/>
      <c r="S557" s="683"/>
      <c r="T557" s="683"/>
      <c r="U557" s="683"/>
      <c r="V557" s="684"/>
      <c r="W557" s="37" t="s">
        <v>89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88</v>
      </c>
      <c r="Q558" s="683"/>
      <c r="R558" s="683"/>
      <c r="S558" s="683"/>
      <c r="T558" s="683"/>
      <c r="U558" s="683"/>
      <c r="V558" s="684"/>
      <c r="W558" s="37" t="s">
        <v>69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64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897</v>
      </c>
      <c r="B560" s="54" t="s">
        <v>898</v>
      </c>
      <c r="C560" s="31">
        <v>4301051887</v>
      </c>
      <c r="D560" s="667">
        <v>4640242180533</v>
      </c>
      <c r="E560" s="668"/>
      <c r="F560" s="662">
        <v>1.3</v>
      </c>
      <c r="G560" s="32">
        <v>6</v>
      </c>
      <c r="H560" s="662">
        <v>7.8</v>
      </c>
      <c r="I560" s="662">
        <v>8.3190000000000008</v>
      </c>
      <c r="J560" s="32">
        <v>64</v>
      </c>
      <c r="K560" s="32" t="s">
        <v>101</v>
      </c>
      <c r="L560" s="32"/>
      <c r="M560" s="33" t="s">
        <v>108</v>
      </c>
      <c r="N560" s="33"/>
      <c r="O560" s="32">
        <v>45</v>
      </c>
      <c r="P560" s="967" t="s">
        <v>899</v>
      </c>
      <c r="Q560" s="670"/>
      <c r="R560" s="670"/>
      <c r="S560" s="670"/>
      <c r="T560" s="671"/>
      <c r="U560" s="34"/>
      <c r="V560" s="34"/>
      <c r="W560" s="35" t="s">
        <v>69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900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897</v>
      </c>
      <c r="B561" s="54" t="s">
        <v>901</v>
      </c>
      <c r="C561" s="31">
        <v>4301052046</v>
      </c>
      <c r="D561" s="667">
        <v>4640242180533</v>
      </c>
      <c r="E561" s="668"/>
      <c r="F561" s="662">
        <v>1.5</v>
      </c>
      <c r="G561" s="32">
        <v>6</v>
      </c>
      <c r="H561" s="662">
        <v>9</v>
      </c>
      <c r="I561" s="662">
        <v>9.5190000000000001</v>
      </c>
      <c r="J561" s="32">
        <v>64</v>
      </c>
      <c r="K561" s="32" t="s">
        <v>101</v>
      </c>
      <c r="L561" s="32"/>
      <c r="M561" s="33" t="s">
        <v>132</v>
      </c>
      <c r="N561" s="33"/>
      <c r="O561" s="32">
        <v>45</v>
      </c>
      <c r="P561" s="911" t="s">
        <v>899</v>
      </c>
      <c r="Q561" s="670"/>
      <c r="R561" s="670"/>
      <c r="S561" s="670"/>
      <c r="T561" s="671"/>
      <c r="U561" s="34"/>
      <c r="V561" s="34"/>
      <c r="W561" s="35" t="s">
        <v>69</v>
      </c>
      <c r="X561" s="663">
        <v>1000</v>
      </c>
      <c r="Y561" s="664">
        <f>IFERROR(IF(X561="",0,CEILING((X561/$H561),1)*$H561),"")</f>
        <v>1008</v>
      </c>
      <c r="Z561" s="36">
        <f>IFERROR(IF(Y561=0,"",ROUNDUP(Y561/H561,0)*0.01898),"")</f>
        <v>2.1257600000000001</v>
      </c>
      <c r="AA561" s="56"/>
      <c r="AB561" s="57"/>
      <c r="AC561" s="631" t="s">
        <v>900</v>
      </c>
      <c r="AG561" s="64"/>
      <c r="AJ561" s="68"/>
      <c r="AK561" s="68">
        <v>0</v>
      </c>
      <c r="BB561" s="632" t="s">
        <v>1</v>
      </c>
      <c r="BM561" s="64">
        <f>IFERROR(X561*I561/H561,"0")</f>
        <v>1057.6666666666667</v>
      </c>
      <c r="BN561" s="64">
        <f>IFERROR(Y561*I561/H561,"0")</f>
        <v>1066.1279999999999</v>
      </c>
      <c r="BO561" s="64">
        <f>IFERROR(1/J561*(X561/H561),"0")</f>
        <v>1.7361111111111112</v>
      </c>
      <c r="BP561" s="64">
        <f>IFERROR(1/J561*(Y561/H561),"0")</f>
        <v>1.75</v>
      </c>
    </row>
    <row r="562" spans="1:68" ht="27" customHeight="1" x14ac:dyDescent="0.25">
      <c r="A562" s="54" t="s">
        <v>902</v>
      </c>
      <c r="B562" s="54" t="s">
        <v>903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88" t="s">
        <v>904</v>
      </c>
      <c r="Q562" s="670"/>
      <c r="R562" s="670"/>
      <c r="S562" s="670"/>
      <c r="T562" s="671"/>
      <c r="U562" s="34"/>
      <c r="V562" s="34"/>
      <c r="W562" s="35" t="s">
        <v>69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905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906</v>
      </c>
      <c r="B563" s="54" t="s">
        <v>907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67</v>
      </c>
      <c r="L563" s="32"/>
      <c r="M563" s="33" t="s">
        <v>132</v>
      </c>
      <c r="N563" s="33"/>
      <c r="O563" s="32">
        <v>45</v>
      </c>
      <c r="P563" s="729" t="s">
        <v>908</v>
      </c>
      <c r="Q563" s="670"/>
      <c r="R563" s="670"/>
      <c r="S563" s="670"/>
      <c r="T563" s="671"/>
      <c r="U563" s="34"/>
      <c r="V563" s="34"/>
      <c r="W563" s="35" t="s">
        <v>69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900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909</v>
      </c>
      <c r="B564" s="54" t="s">
        <v>910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67</v>
      </c>
      <c r="L564" s="32"/>
      <c r="M564" s="33" t="s">
        <v>132</v>
      </c>
      <c r="N564" s="33"/>
      <c r="O564" s="32">
        <v>45</v>
      </c>
      <c r="P564" s="901" t="s">
        <v>911</v>
      </c>
      <c r="Q564" s="670"/>
      <c r="R564" s="670"/>
      <c r="S564" s="670"/>
      <c r="T564" s="671"/>
      <c r="U564" s="34"/>
      <c r="V564" s="34"/>
      <c r="W564" s="35" t="s">
        <v>69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905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88</v>
      </c>
      <c r="Q565" s="683"/>
      <c r="R565" s="683"/>
      <c r="S565" s="683"/>
      <c r="T565" s="683"/>
      <c r="U565" s="683"/>
      <c r="V565" s="684"/>
      <c r="W565" s="37" t="s">
        <v>89</v>
      </c>
      <c r="X565" s="665">
        <f>IFERROR(X560/H560,"0")+IFERROR(X561/H561,"0")+IFERROR(X562/H562,"0")+IFERROR(X563/H563,"0")+IFERROR(X564/H564,"0")</f>
        <v>111.11111111111111</v>
      </c>
      <c r="Y565" s="665">
        <f>IFERROR(Y560/H560,"0")+IFERROR(Y561/H561,"0")+IFERROR(Y562/H562,"0")+IFERROR(Y563/H563,"0")+IFERROR(Y564/H564,"0")</f>
        <v>112</v>
      </c>
      <c r="Z565" s="665">
        <f>IFERROR(IF(Z560="",0,Z560),"0")+IFERROR(IF(Z561="",0,Z561),"0")+IFERROR(IF(Z562="",0,Z562),"0")+IFERROR(IF(Z563="",0,Z563),"0")+IFERROR(IF(Z564="",0,Z564),"0")</f>
        <v>2.1257600000000001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88</v>
      </c>
      <c r="Q566" s="683"/>
      <c r="R566" s="683"/>
      <c r="S566" s="683"/>
      <c r="T566" s="683"/>
      <c r="U566" s="683"/>
      <c r="V566" s="684"/>
      <c r="W566" s="37" t="s">
        <v>69</v>
      </c>
      <c r="X566" s="665">
        <f>IFERROR(SUM(X560:X564),"0")</f>
        <v>1000</v>
      </c>
      <c r="Y566" s="665">
        <f>IFERROR(SUM(Y560:Y564),"0")</f>
        <v>1008</v>
      </c>
      <c r="Z566" s="37"/>
      <c r="AA566" s="666"/>
      <c r="AB566" s="666"/>
      <c r="AC566" s="666"/>
    </row>
    <row r="567" spans="1:68" ht="14.25" customHeight="1" x14ac:dyDescent="0.25">
      <c r="A567" s="679" t="s">
        <v>173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912</v>
      </c>
      <c r="B568" s="54" t="s">
        <v>913</v>
      </c>
      <c r="C568" s="31">
        <v>4301060485</v>
      </c>
      <c r="D568" s="667">
        <v>4640242180120</v>
      </c>
      <c r="E568" s="668"/>
      <c r="F568" s="662">
        <v>1.3</v>
      </c>
      <c r="G568" s="32">
        <v>6</v>
      </c>
      <c r="H568" s="662">
        <v>7.8</v>
      </c>
      <c r="I568" s="662">
        <v>8.2349999999999994</v>
      </c>
      <c r="J568" s="32">
        <v>64</v>
      </c>
      <c r="K568" s="32" t="s">
        <v>101</v>
      </c>
      <c r="L568" s="32"/>
      <c r="M568" s="33" t="s">
        <v>108</v>
      </c>
      <c r="N568" s="33"/>
      <c r="O568" s="32">
        <v>40</v>
      </c>
      <c r="P568" s="1020" t="s">
        <v>914</v>
      </c>
      <c r="Q568" s="670"/>
      <c r="R568" s="670"/>
      <c r="S568" s="670"/>
      <c r="T568" s="671"/>
      <c r="U568" s="34"/>
      <c r="V568" s="34"/>
      <c r="W568" s="35" t="s">
        <v>69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912</v>
      </c>
      <c r="B569" s="54" t="s">
        <v>916</v>
      </c>
      <c r="C569" s="31">
        <v>4301060496</v>
      </c>
      <c r="D569" s="667">
        <v>4640242180120</v>
      </c>
      <c r="E569" s="668"/>
      <c r="F569" s="662">
        <v>1.5</v>
      </c>
      <c r="G569" s="32">
        <v>6</v>
      </c>
      <c r="H569" s="662">
        <v>9</v>
      </c>
      <c r="I569" s="662">
        <v>9.4350000000000005</v>
      </c>
      <c r="J569" s="32">
        <v>64</v>
      </c>
      <c r="K569" s="32" t="s">
        <v>101</v>
      </c>
      <c r="L569" s="32"/>
      <c r="M569" s="33" t="s">
        <v>132</v>
      </c>
      <c r="N569" s="33"/>
      <c r="O569" s="32">
        <v>40</v>
      </c>
      <c r="P569" s="948" t="s">
        <v>917</v>
      </c>
      <c r="Q569" s="670"/>
      <c r="R569" s="670"/>
      <c r="S569" s="670"/>
      <c r="T569" s="671"/>
      <c r="U569" s="34"/>
      <c r="V569" s="34"/>
      <c r="W569" s="35" t="s">
        <v>69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918</v>
      </c>
      <c r="B570" s="54" t="s">
        <v>919</v>
      </c>
      <c r="C570" s="31">
        <v>4301060486</v>
      </c>
      <c r="D570" s="667">
        <v>4640242180137</v>
      </c>
      <c r="E570" s="668"/>
      <c r="F570" s="662">
        <v>1.3</v>
      </c>
      <c r="G570" s="32">
        <v>6</v>
      </c>
      <c r="H570" s="662">
        <v>7.8</v>
      </c>
      <c r="I570" s="662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723" t="s">
        <v>920</v>
      </c>
      <c r="Q570" s="670"/>
      <c r="R570" s="670"/>
      <c r="S570" s="670"/>
      <c r="T570" s="671"/>
      <c r="U570" s="34"/>
      <c r="V570" s="34"/>
      <c r="W570" s="35" t="s">
        <v>69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921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918</v>
      </c>
      <c r="B571" s="54" t="s">
        <v>922</v>
      </c>
      <c r="C571" s="31">
        <v>4301060498</v>
      </c>
      <c r="D571" s="667">
        <v>4640242180137</v>
      </c>
      <c r="E571" s="668"/>
      <c r="F571" s="662">
        <v>1.5</v>
      </c>
      <c r="G571" s="32">
        <v>6</v>
      </c>
      <c r="H571" s="662">
        <v>9</v>
      </c>
      <c r="I571" s="662">
        <v>9.4350000000000005</v>
      </c>
      <c r="J571" s="32">
        <v>64</v>
      </c>
      <c r="K571" s="32" t="s">
        <v>101</v>
      </c>
      <c r="L571" s="32"/>
      <c r="M571" s="33" t="s">
        <v>132</v>
      </c>
      <c r="N571" s="33"/>
      <c r="O571" s="32">
        <v>40</v>
      </c>
      <c r="P571" s="757" t="s">
        <v>923</v>
      </c>
      <c r="Q571" s="670"/>
      <c r="R571" s="670"/>
      <c r="S571" s="670"/>
      <c r="T571" s="671"/>
      <c r="U571" s="34"/>
      <c r="V571" s="34"/>
      <c r="W571" s="35" t="s">
        <v>69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921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88</v>
      </c>
      <c r="Q572" s="683"/>
      <c r="R572" s="683"/>
      <c r="S572" s="683"/>
      <c r="T572" s="683"/>
      <c r="U572" s="683"/>
      <c r="V572" s="684"/>
      <c r="W572" s="37" t="s">
        <v>89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88</v>
      </c>
      <c r="Q573" s="683"/>
      <c r="R573" s="683"/>
      <c r="S573" s="683"/>
      <c r="T573" s="683"/>
      <c r="U573" s="683"/>
      <c r="V573" s="684"/>
      <c r="W573" s="37" t="s">
        <v>69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924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98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925</v>
      </c>
      <c r="B576" s="54" t="s">
        <v>926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101</v>
      </c>
      <c r="L576" s="32"/>
      <c r="M576" s="33" t="s">
        <v>102</v>
      </c>
      <c r="N576" s="33"/>
      <c r="O576" s="32">
        <v>55</v>
      </c>
      <c r="P576" s="979" t="s">
        <v>927</v>
      </c>
      <c r="Q576" s="670"/>
      <c r="R576" s="670"/>
      <c r="S576" s="670"/>
      <c r="T576" s="671"/>
      <c r="U576" s="34"/>
      <c r="V576" s="34"/>
      <c r="W576" s="35" t="s">
        <v>69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928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88</v>
      </c>
      <c r="Q577" s="683"/>
      <c r="R577" s="683"/>
      <c r="S577" s="683"/>
      <c r="T577" s="683"/>
      <c r="U577" s="683"/>
      <c r="V577" s="684"/>
      <c r="W577" s="37" t="s">
        <v>89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88</v>
      </c>
      <c r="Q578" s="683"/>
      <c r="R578" s="683"/>
      <c r="S578" s="683"/>
      <c r="T578" s="683"/>
      <c r="U578" s="683"/>
      <c r="V578" s="684"/>
      <c r="W578" s="37" t="s">
        <v>69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136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929</v>
      </c>
      <c r="B580" s="54" t="s">
        <v>930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101</v>
      </c>
      <c r="L580" s="32"/>
      <c r="M580" s="33" t="s">
        <v>102</v>
      </c>
      <c r="N580" s="33"/>
      <c r="O580" s="32">
        <v>50</v>
      </c>
      <c r="P580" s="958" t="s">
        <v>931</v>
      </c>
      <c r="Q580" s="670"/>
      <c r="R580" s="670"/>
      <c r="S580" s="670"/>
      <c r="T580" s="671"/>
      <c r="U580" s="34"/>
      <c r="V580" s="34"/>
      <c r="W580" s="35" t="s">
        <v>69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932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88</v>
      </c>
      <c r="Q581" s="683"/>
      <c r="R581" s="683"/>
      <c r="S581" s="683"/>
      <c r="T581" s="683"/>
      <c r="U581" s="683"/>
      <c r="V581" s="684"/>
      <c r="W581" s="37" t="s">
        <v>89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88</v>
      </c>
      <c r="Q582" s="683"/>
      <c r="R582" s="683"/>
      <c r="S582" s="683"/>
      <c r="T582" s="683"/>
      <c r="U582" s="683"/>
      <c r="V582" s="684"/>
      <c r="W582" s="37" t="s">
        <v>69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147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933</v>
      </c>
      <c r="B584" s="54" t="s">
        <v>934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106</v>
      </c>
      <c r="L584" s="32"/>
      <c r="M584" s="33" t="s">
        <v>68</v>
      </c>
      <c r="N584" s="33"/>
      <c r="O584" s="32">
        <v>40</v>
      </c>
      <c r="P584" s="781" t="s">
        <v>935</v>
      </c>
      <c r="Q584" s="670"/>
      <c r="R584" s="670"/>
      <c r="S584" s="670"/>
      <c r="T584" s="671"/>
      <c r="U584" s="34"/>
      <c r="V584" s="34"/>
      <c r="W584" s="35" t="s">
        <v>69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936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88</v>
      </c>
      <c r="Q585" s="683"/>
      <c r="R585" s="683"/>
      <c r="S585" s="683"/>
      <c r="T585" s="683"/>
      <c r="U585" s="683"/>
      <c r="V585" s="684"/>
      <c r="W585" s="37" t="s">
        <v>89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88</v>
      </c>
      <c r="Q586" s="683"/>
      <c r="R586" s="683"/>
      <c r="S586" s="683"/>
      <c r="T586" s="683"/>
      <c r="U586" s="683"/>
      <c r="V586" s="684"/>
      <c r="W586" s="37" t="s">
        <v>69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64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937</v>
      </c>
      <c r="B588" s="54" t="s">
        <v>938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101</v>
      </c>
      <c r="L588" s="32"/>
      <c r="M588" s="33" t="s">
        <v>132</v>
      </c>
      <c r="N588" s="33"/>
      <c r="O588" s="32">
        <v>45</v>
      </c>
      <c r="P588" s="984" t="s">
        <v>939</v>
      </c>
      <c r="Q588" s="670"/>
      <c r="R588" s="670"/>
      <c r="S588" s="670"/>
      <c r="T588" s="671"/>
      <c r="U588" s="34"/>
      <c r="V588" s="34"/>
      <c r="W588" s="35" t="s">
        <v>69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940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88</v>
      </c>
      <c r="Q589" s="683"/>
      <c r="R589" s="683"/>
      <c r="S589" s="683"/>
      <c r="T589" s="683"/>
      <c r="U589" s="683"/>
      <c r="V589" s="684"/>
      <c r="W589" s="37" t="s">
        <v>89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88</v>
      </c>
      <c r="Q590" s="683"/>
      <c r="R590" s="683"/>
      <c r="S590" s="683"/>
      <c r="T590" s="683"/>
      <c r="U590" s="683"/>
      <c r="V590" s="684"/>
      <c r="W590" s="37" t="s">
        <v>69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941</v>
      </c>
      <c r="Q591" s="801"/>
      <c r="R591" s="801"/>
      <c r="S591" s="801"/>
      <c r="T591" s="801"/>
      <c r="U591" s="801"/>
      <c r="V591" s="802"/>
      <c r="W591" s="37" t="s">
        <v>69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17399.900000000001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17590.64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942</v>
      </c>
      <c r="Q592" s="801"/>
      <c r="R592" s="801"/>
      <c r="S592" s="801"/>
      <c r="T592" s="801"/>
      <c r="U592" s="801"/>
      <c r="V592" s="802"/>
      <c r="W592" s="37" t="s">
        <v>69</v>
      </c>
      <c r="X592" s="665">
        <f>IFERROR(SUM(BM22:BM588),"0")</f>
        <v>18412.795135955996</v>
      </c>
      <c r="Y592" s="665">
        <f>IFERROR(SUM(BN22:BN588),"0")</f>
        <v>18616.361000000004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943</v>
      </c>
      <c r="Q593" s="801"/>
      <c r="R593" s="801"/>
      <c r="S593" s="801"/>
      <c r="T593" s="801"/>
      <c r="U593" s="801"/>
      <c r="V593" s="802"/>
      <c r="W593" s="37" t="s">
        <v>944</v>
      </c>
      <c r="X593" s="38">
        <f>ROUNDUP(SUM(BO22:BO588),0)</f>
        <v>31</v>
      </c>
      <c r="Y593" s="38">
        <f>ROUNDUP(SUM(BP22:BP588),0)</f>
        <v>31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945</v>
      </c>
      <c r="Q594" s="801"/>
      <c r="R594" s="801"/>
      <c r="S594" s="801"/>
      <c r="T594" s="801"/>
      <c r="U594" s="801"/>
      <c r="V594" s="802"/>
      <c r="W594" s="37" t="s">
        <v>69</v>
      </c>
      <c r="X594" s="665">
        <f>GrossWeightTotal+PalletQtyTotal*25</f>
        <v>19187.795135955996</v>
      </c>
      <c r="Y594" s="665">
        <f>GrossWeightTotalR+PalletQtyTotalR*25</f>
        <v>19391.361000000004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946</v>
      </c>
      <c r="Q595" s="801"/>
      <c r="R595" s="801"/>
      <c r="S595" s="801"/>
      <c r="T595" s="801"/>
      <c r="U595" s="801"/>
      <c r="V595" s="802"/>
      <c r="W595" s="37" t="s">
        <v>944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3399.5424039561976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3431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947</v>
      </c>
      <c r="Q596" s="801"/>
      <c r="R596" s="801"/>
      <c r="S596" s="801"/>
      <c r="T596" s="801"/>
      <c r="U596" s="801"/>
      <c r="V596" s="802"/>
      <c r="W596" s="39" t="s">
        <v>948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35.056250000000006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949</v>
      </c>
      <c r="B598" s="660" t="s">
        <v>63</v>
      </c>
      <c r="C598" s="686" t="s">
        <v>96</v>
      </c>
      <c r="D598" s="779"/>
      <c r="E598" s="779"/>
      <c r="F598" s="779"/>
      <c r="G598" s="779"/>
      <c r="H598" s="780"/>
      <c r="I598" s="686" t="s">
        <v>286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579</v>
      </c>
      <c r="X598" s="780"/>
      <c r="Y598" s="686" t="s">
        <v>657</v>
      </c>
      <c r="Z598" s="779"/>
      <c r="AA598" s="779"/>
      <c r="AB598" s="780"/>
      <c r="AC598" s="660" t="s">
        <v>732</v>
      </c>
      <c r="AD598" s="686" t="s">
        <v>831</v>
      </c>
      <c r="AE598" s="780"/>
      <c r="AF598" s="661"/>
    </row>
    <row r="599" spans="1:32" ht="14.25" customHeight="1" thickTop="1" x14ac:dyDescent="0.2">
      <c r="A599" s="828" t="s">
        <v>950</v>
      </c>
      <c r="B599" s="686" t="s">
        <v>63</v>
      </c>
      <c r="C599" s="686" t="s">
        <v>97</v>
      </c>
      <c r="D599" s="686" t="s">
        <v>118</v>
      </c>
      <c r="E599" s="686" t="s">
        <v>181</v>
      </c>
      <c r="F599" s="686" t="s">
        <v>212</v>
      </c>
      <c r="G599" s="686" t="s">
        <v>257</v>
      </c>
      <c r="H599" s="686" t="s">
        <v>96</v>
      </c>
      <c r="I599" s="686" t="s">
        <v>287</v>
      </c>
      <c r="J599" s="686" t="s">
        <v>322</v>
      </c>
      <c r="K599" s="686" t="s">
        <v>383</v>
      </c>
      <c r="L599" s="686" t="s">
        <v>418</v>
      </c>
      <c r="M599" s="686" t="s">
        <v>436</v>
      </c>
      <c r="N599" s="661"/>
      <c r="O599" s="686" t="s">
        <v>440</v>
      </c>
      <c r="P599" s="686" t="s">
        <v>449</v>
      </c>
      <c r="Q599" s="686" t="s">
        <v>463</v>
      </c>
      <c r="R599" s="686" t="s">
        <v>473</v>
      </c>
      <c r="S599" s="686" t="s">
        <v>477</v>
      </c>
      <c r="T599" s="686" t="s">
        <v>485</v>
      </c>
      <c r="U599" s="686" t="s">
        <v>490</v>
      </c>
      <c r="V599" s="686" t="s">
        <v>566</v>
      </c>
      <c r="W599" s="686" t="s">
        <v>580</v>
      </c>
      <c r="X599" s="686" t="s">
        <v>621</v>
      </c>
      <c r="Y599" s="686" t="s">
        <v>658</v>
      </c>
      <c r="Z599" s="686" t="s">
        <v>697</v>
      </c>
      <c r="AA599" s="686" t="s">
        <v>717</v>
      </c>
      <c r="AB599" s="686" t="s">
        <v>725</v>
      </c>
      <c r="AC599" s="686" t="s">
        <v>732</v>
      </c>
      <c r="AD599" s="686" t="s">
        <v>831</v>
      </c>
      <c r="AE599" s="686" t="s">
        <v>924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951</v>
      </c>
      <c r="B601" s="46">
        <f>IFERROR(Y22*1,"0")+IFERROR(Y23*1,"0")+IFERROR(Y24*1,"0")+IFERROR(Y25*1,"0")+IFERROR(Y26*1,"0")+IFERROR(Y27*1,"0")+IFERROR(Y31*1,"0")</f>
        <v>16.2</v>
      </c>
      <c r="C601" s="46">
        <f>IFERROR(Y37*1,"0")+IFERROR(Y38*1,"0")+IFERROR(Y39*1,"0")+IFERROR(Y40*1,"0")+IFERROR(Y44*1,"0")</f>
        <v>391.20000000000005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691.2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1222.2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1748.7000000000003</v>
      </c>
      <c r="G601" s="46">
        <f>IFERROR(Y137*1,"0")+IFERROR(Y138*1,"0")+IFERROR(Y142*1,"0")+IFERROR(Y143*1,"0")+IFERROR(Y147*1,"0")+IFERROR(Y148*1,"0")</f>
        <v>131.52000000000001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489.3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1882.8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168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242.39999999999998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105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440.9</v>
      </c>
      <c r="V601" s="46">
        <f>IFERROR(Y363*1,"0")+IFERROR(Y367*1,"0")+IFERROR(Y368*1,"0")+IFERROR(Y369*1,"0")</f>
        <v>842.1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6693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48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191.4</v>
      </c>
      <c r="Z601" s="46">
        <f>IFERROR(Y451*1,"0")+IFERROR(Y452*1,"0")+IFERROR(Y456*1,"0")+IFERROR(Y457*1,"0")+IFERROR(Y458*1,"0")+IFERROR(Y459*1,"0")</f>
        <v>8.4</v>
      </c>
      <c r="AA601" s="46">
        <f>IFERROR(Y464*1,"0")+IFERROR(Y465*1,"0")</f>
        <v>14.399999999999999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1243.9199999999998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1020</v>
      </c>
      <c r="AE601" s="46">
        <f>IFERROR(Y576*1,"0")+IFERROR(Y580*1,"0")+IFERROR(Y584*1,"0")+IFERROR(Y588*1,"0")</f>
        <v>0</v>
      </c>
      <c r="AF601" s="661"/>
    </row>
  </sheetData>
  <sheetProtection algorithmName="SHA-512" hashValue="oj7hWUDhsL1FHlqS8sm+hhXcIEB0RW1G9VKzHmy0m23DeGGIrG+qdIRTSV9B9fvI0IWJzw9ojJELGEYPS5nhvg==" saltValue="IAJWy13EmvscPTUGCE4nw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50 X54 X61 X89 X124 X280 X376 X378 X381 X388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21" xr:uid="{00000000-0002-0000-0000-000012000000}">
      <formula1>IF(AK321&gt;0,OR(X321=0,AND(IF(X321-AK321&gt;=0,TRUE,FALSE),X321&gt;0,IF(X321/(H321*K321)=ROUND(X321/(H321*K321),0),TRUE,FALSE))),FALSE)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52"/>
    </row>
    <row r="3" spans="2:8" x14ac:dyDescent="0.2">
      <c r="B3" s="47" t="s">
        <v>953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954</v>
      </c>
      <c r="D6" s="47" t="s">
        <v>955</v>
      </c>
      <c r="E6" s="47"/>
    </row>
    <row r="8" spans="2:8" x14ac:dyDescent="0.2">
      <c r="B8" s="47" t="s">
        <v>19</v>
      </c>
      <c r="C8" s="47" t="s">
        <v>954</v>
      </c>
      <c r="D8" s="47"/>
      <c r="E8" s="47"/>
    </row>
    <row r="10" spans="2:8" x14ac:dyDescent="0.2">
      <c r="B10" s="47" t="s">
        <v>956</v>
      </c>
      <c r="C10" s="47"/>
      <c r="D10" s="47"/>
      <c r="E10" s="47"/>
    </row>
    <row r="11" spans="2:8" x14ac:dyDescent="0.2">
      <c r="B11" s="47" t="s">
        <v>957</v>
      </c>
      <c r="C11" s="47"/>
      <c r="D11" s="47"/>
      <c r="E11" s="47"/>
    </row>
    <row r="12" spans="2:8" x14ac:dyDescent="0.2">
      <c r="B12" s="47" t="s">
        <v>958</v>
      </c>
      <c r="C12" s="47"/>
      <c r="D12" s="47"/>
      <c r="E12" s="47"/>
    </row>
    <row r="13" spans="2:8" x14ac:dyDescent="0.2">
      <c r="B13" s="47" t="s">
        <v>959</v>
      </c>
      <c r="C13" s="47"/>
      <c r="D13" s="47"/>
      <c r="E13" s="47"/>
    </row>
    <row r="14" spans="2:8" x14ac:dyDescent="0.2">
      <c r="B14" s="47" t="s">
        <v>960</v>
      </c>
      <c r="C14" s="47"/>
      <c r="D14" s="47"/>
      <c r="E14" s="47"/>
    </row>
    <row r="15" spans="2:8" x14ac:dyDescent="0.2">
      <c r="B15" s="47" t="s">
        <v>961</v>
      </c>
      <c r="C15" s="47"/>
      <c r="D15" s="47"/>
      <c r="E15" s="47"/>
    </row>
    <row r="16" spans="2:8" x14ac:dyDescent="0.2">
      <c r="B16" s="47" t="s">
        <v>962</v>
      </c>
      <c r="C16" s="47"/>
      <c r="D16" s="47"/>
      <c r="E16" s="47"/>
    </row>
    <row r="17" spans="2:5" x14ac:dyDescent="0.2">
      <c r="B17" s="47" t="s">
        <v>963</v>
      </c>
      <c r="C17" s="47"/>
      <c r="D17" s="47"/>
      <c r="E17" s="47"/>
    </row>
    <row r="18" spans="2:5" x14ac:dyDescent="0.2">
      <c r="B18" s="47" t="s">
        <v>964</v>
      </c>
      <c r="C18" s="47"/>
      <c r="D18" s="47"/>
      <c r="E18" s="47"/>
    </row>
    <row r="19" spans="2:5" x14ac:dyDescent="0.2">
      <c r="B19" s="47" t="s">
        <v>965</v>
      </c>
      <c r="C19" s="47"/>
      <c r="D19" s="47"/>
      <c r="E19" s="47"/>
    </row>
    <row r="20" spans="2:5" x14ac:dyDescent="0.2">
      <c r="B20" s="47" t="s">
        <v>966</v>
      </c>
      <c r="C20" s="47"/>
      <c r="D20" s="47"/>
      <c r="E20" s="47"/>
    </row>
  </sheetData>
  <sheetProtection algorithmName="SHA-512" hashValue="9TWMU0CXLM1eb5Q5zj+eucgior2sN8sDEqmuDStA/E+5VlmzkCD5wdd/yY3CRUbchDM1g+fXBJQOEGxoQEpMVw==" saltValue="EBRD6PYPsjPnMul/xbJvp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2025-04-16T09:14:53Z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