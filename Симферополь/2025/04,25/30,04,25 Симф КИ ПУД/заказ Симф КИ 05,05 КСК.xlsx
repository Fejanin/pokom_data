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214D34B2-94CD-440E-856D-4640423DE62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Y246" i="1" s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Y126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2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7" i="1" s="1"/>
  <c r="Z22" i="1"/>
  <c r="Y22" i="1"/>
  <c r="P22" i="1"/>
  <c r="H10" i="1"/>
  <c r="F10" i="1"/>
  <c r="J9" i="1"/>
  <c r="F9" i="1"/>
  <c r="A9" i="1"/>
  <c r="A10" i="1" s="1"/>
  <c r="D7" i="1"/>
  <c r="Q6" i="1"/>
  <c r="P2" i="1"/>
  <c r="Y33" i="1" l="1"/>
  <c r="Y41" i="1"/>
  <c r="Y56" i="1"/>
  <c r="Y62" i="1"/>
  <c r="Y68" i="1"/>
  <c r="Y84" i="1"/>
  <c r="Y138" i="1"/>
  <c r="Y142" i="1"/>
  <c r="Y148" i="1"/>
  <c r="Y153" i="1"/>
  <c r="Y29" i="1"/>
  <c r="Y78" i="1"/>
  <c r="Y91" i="1"/>
  <c r="Y103" i="1"/>
  <c r="Y110" i="1"/>
  <c r="Y116" i="1"/>
  <c r="Y127" i="1"/>
  <c r="Y131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1" i="1" s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Z28" i="1" s="1"/>
  <c r="BN23" i="1"/>
  <c r="Y597" i="1" s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598" i="1" s="1"/>
  <c r="Z37" i="1"/>
  <c r="Z41" i="1" s="1"/>
  <c r="BN37" i="1"/>
  <c r="BP37" i="1"/>
  <c r="Z39" i="1"/>
  <c r="BN39" i="1"/>
  <c r="Y42" i="1"/>
  <c r="D606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Z126" i="1" s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Z186" i="1" s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Z268" i="1" s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Z448" i="1" s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Y599" i="1" l="1"/>
  <c r="Z552" i="1"/>
  <c r="Z523" i="1"/>
  <c r="Z340" i="1"/>
  <c r="Z258" i="1"/>
  <c r="Z224" i="1"/>
  <c r="Z416" i="1"/>
  <c r="Z378" i="1"/>
  <c r="Z570" i="1"/>
  <c r="Z502" i="1"/>
  <c r="Z393" i="1"/>
  <c r="Z361" i="1"/>
  <c r="Z472" i="1"/>
  <c r="Z158" i="1"/>
  <c r="Z110" i="1"/>
  <c r="Z83" i="1"/>
  <c r="Z601" i="1" s="1"/>
  <c r="Y600" i="1"/>
  <c r="Z427" i="1"/>
  <c r="Z180" i="1"/>
  <c r="Y596" i="1"/>
</calcChain>
</file>

<file path=xl/sharedStrings.xml><?xml version="1.0" encoding="utf-8"?>
<sst xmlns="http://schemas.openxmlformats.org/spreadsheetml/2006/main" count="2758" uniqueCount="982">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</sst>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4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45775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811">
        <v>0.375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21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22</v>
      </c>
      <c r="Q10" s="863"/>
      <c r="R10" s="864"/>
      <c r="U10" s="24" t="s">
        <v>23</v>
      </c>
      <c r="V10" s="715" t="s">
        <v>24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2"/>
      <c r="R11" s="803"/>
      <c r="U11" s="24" t="s">
        <v>27</v>
      </c>
      <c r="V11" s="968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29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30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31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32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33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34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35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36</v>
      </c>
      <c r="B17" s="712" t="s">
        <v>37</v>
      </c>
      <c r="C17" s="819" t="s">
        <v>38</v>
      </c>
      <c r="D17" s="712" t="s">
        <v>39</v>
      </c>
      <c r="E17" s="776"/>
      <c r="F17" s="712" t="s">
        <v>40</v>
      </c>
      <c r="G17" s="712" t="s">
        <v>41</v>
      </c>
      <c r="H17" s="712" t="s">
        <v>42</v>
      </c>
      <c r="I17" s="712" t="s">
        <v>43</v>
      </c>
      <c r="J17" s="712" t="s">
        <v>44</v>
      </c>
      <c r="K17" s="712" t="s">
        <v>45</v>
      </c>
      <c r="L17" s="712" t="s">
        <v>46</v>
      </c>
      <c r="M17" s="712" t="s">
        <v>47</v>
      </c>
      <c r="N17" s="712" t="s">
        <v>48</v>
      </c>
      <c r="O17" s="712" t="s">
        <v>49</v>
      </c>
      <c r="P17" s="712" t="s">
        <v>50</v>
      </c>
      <c r="Q17" s="775"/>
      <c r="R17" s="775"/>
      <c r="S17" s="775"/>
      <c r="T17" s="776"/>
      <c r="U17" s="1043" t="s">
        <v>51</v>
      </c>
      <c r="V17" s="806"/>
      <c r="W17" s="712" t="s">
        <v>52</v>
      </c>
      <c r="X17" s="712" t="s">
        <v>53</v>
      </c>
      <c r="Y17" s="1040" t="s">
        <v>54</v>
      </c>
      <c r="Z17" s="940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61</v>
      </c>
      <c r="V18" s="67" t="s">
        <v>62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63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5" t="s">
        <v>76</v>
      </c>
      <c r="Q24" s="674"/>
      <c r="R24" s="674"/>
      <c r="S24" s="674"/>
      <c r="T24" s="675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4" t="s">
        <v>80</v>
      </c>
      <c r="Q25" s="674"/>
      <c r="R25" s="674"/>
      <c r="S25" s="674"/>
      <c r="T25" s="675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88</v>
      </c>
      <c r="Q28" s="689"/>
      <c r="R28" s="689"/>
      <c r="S28" s="689"/>
      <c r="T28" s="689"/>
      <c r="U28" s="689"/>
      <c r="V28" s="690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88</v>
      </c>
      <c r="Q29" s="689"/>
      <c r="R29" s="689"/>
      <c r="S29" s="689"/>
      <c r="T29" s="689"/>
      <c r="U29" s="689"/>
      <c r="V29" s="690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88</v>
      </c>
      <c r="Q32" s="689"/>
      <c r="R32" s="689"/>
      <c r="S32" s="689"/>
      <c r="T32" s="689"/>
      <c r="U32" s="689"/>
      <c r="V32" s="690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88</v>
      </c>
      <c r="Q33" s="689"/>
      <c r="R33" s="689"/>
      <c r="S33" s="689"/>
      <c r="T33" s="689"/>
      <c r="U33" s="689"/>
      <c r="V33" s="690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96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69</v>
      </c>
      <c r="X37" s="667">
        <v>100</v>
      </c>
      <c r="Y37" s="668">
        <f>IFERROR(IF(X37="",0,CEILING((X37/$H37),1)*$H37),"")</f>
        <v>108</v>
      </c>
      <c r="Z37" s="36">
        <f>IFERROR(IF(Y37=0,"",ROUNDUP(Y37/H37,0)*0.01898),"")</f>
        <v>0.1898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104.02777777777777</v>
      </c>
      <c r="BN37" s="64">
        <f>IFERROR(Y37*I37/H37,"0")</f>
        <v>112.34999999999998</v>
      </c>
      <c r="BO37" s="64">
        <f>IFERROR(1/J37*(X37/H37),"0")</f>
        <v>0.14467592592592593</v>
      </c>
      <c r="BP37" s="64">
        <f>IFERROR(1/J37*(Y37/H37),"0")</f>
        <v>0.15625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69</v>
      </c>
      <c r="X38" s="667">
        <v>160</v>
      </c>
      <c r="Y38" s="668">
        <f>IFERROR(IF(X38="",0,CEILING((X38/$H38),1)*$H38),"")</f>
        <v>160</v>
      </c>
      <c r="Z38" s="36">
        <f>IFERROR(IF(Y38=0,"",ROUNDUP(Y38/H38,0)*0.00902),"")</f>
        <v>0.36080000000000001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168.4</v>
      </c>
      <c r="BN38" s="64">
        <f>IFERROR(Y38*I38/H38,"0")</f>
        <v>168.4</v>
      </c>
      <c r="BO38" s="64">
        <f>IFERROR(1/J38*(X38/H38),"0")</f>
        <v>0.30303030303030304</v>
      </c>
      <c r="BP38" s="64">
        <f>IFERROR(1/J38*(Y38/H38),"0")</f>
        <v>0.30303030303030304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88</v>
      </c>
      <c r="Q41" s="689"/>
      <c r="R41" s="689"/>
      <c r="S41" s="689"/>
      <c r="T41" s="689"/>
      <c r="U41" s="689"/>
      <c r="V41" s="690"/>
      <c r="W41" s="37" t="s">
        <v>89</v>
      </c>
      <c r="X41" s="669">
        <f>IFERROR(X37/H37,"0")+IFERROR(X38/H38,"0")+IFERROR(X39/H39,"0")+IFERROR(X40/H40,"0")</f>
        <v>49.25925925925926</v>
      </c>
      <c r="Y41" s="669">
        <f>IFERROR(Y37/H37,"0")+IFERROR(Y38/H38,"0")+IFERROR(Y39/H39,"0")+IFERROR(Y40/H40,"0")</f>
        <v>50</v>
      </c>
      <c r="Z41" s="669">
        <f>IFERROR(IF(Z37="",0,Z37),"0")+IFERROR(IF(Z38="",0,Z38),"0")+IFERROR(IF(Z39="",0,Z39),"0")+IFERROR(IF(Z40="",0,Z40),"0")</f>
        <v>0.55059999999999998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88</v>
      </c>
      <c r="Q42" s="689"/>
      <c r="R42" s="689"/>
      <c r="S42" s="689"/>
      <c r="T42" s="689"/>
      <c r="U42" s="689"/>
      <c r="V42" s="690"/>
      <c r="W42" s="37" t="s">
        <v>69</v>
      </c>
      <c r="X42" s="669">
        <f>IFERROR(SUM(X37:X40),"0")</f>
        <v>260</v>
      </c>
      <c r="Y42" s="669">
        <f>IFERROR(SUM(Y37:Y40),"0")</f>
        <v>268</v>
      </c>
      <c r="Z42" s="37"/>
      <c r="AA42" s="670"/>
      <c r="AB42" s="670"/>
      <c r="AC42" s="670"/>
    </row>
    <row r="43" spans="1:68" ht="14.25" customHeight="1" x14ac:dyDescent="0.25">
      <c r="A43" s="684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88</v>
      </c>
      <c r="Q45" s="689"/>
      <c r="R45" s="689"/>
      <c r="S45" s="689"/>
      <c r="T45" s="689"/>
      <c r="U45" s="689"/>
      <c r="V45" s="690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88</v>
      </c>
      <c r="Q46" s="689"/>
      <c r="R46" s="689"/>
      <c r="S46" s="689"/>
      <c r="T46" s="689"/>
      <c r="U46" s="689"/>
      <c r="V46" s="690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69</v>
      </c>
      <c r="X50" s="667">
        <v>120</v>
      </c>
      <c r="Y50" s="668">
        <f t="shared" si="6"/>
        <v>129.60000000000002</v>
      </c>
      <c r="Z50" s="36">
        <f>IFERROR(IF(Y50=0,"",ROUNDUP(Y50/H50,0)*0.01898),"")</f>
        <v>0.22776000000000002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124.83333333333331</v>
      </c>
      <c r="BN50" s="64">
        <f t="shared" si="8"/>
        <v>134.82000000000002</v>
      </c>
      <c r="BO50" s="64">
        <f t="shared" si="9"/>
        <v>0.1736111111111111</v>
      </c>
      <c r="BP50" s="64">
        <f t="shared" si="10"/>
        <v>0.18750000000000003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69</v>
      </c>
      <c r="X54" s="667">
        <v>450</v>
      </c>
      <c r="Y54" s="668">
        <f t="shared" si="6"/>
        <v>450</v>
      </c>
      <c r="Z54" s="36">
        <f>IFERROR(IF(Y54=0,"",ROUNDUP(Y54/H54,0)*0.00902),"")</f>
        <v>0.90200000000000002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471</v>
      </c>
      <c r="BN54" s="64">
        <f t="shared" si="8"/>
        <v>471</v>
      </c>
      <c r="BO54" s="64">
        <f t="shared" si="9"/>
        <v>0.75757575757575757</v>
      </c>
      <c r="BP54" s="64">
        <f t="shared" si="10"/>
        <v>0.75757575757575757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88</v>
      </c>
      <c r="Q55" s="689"/>
      <c r="R55" s="689"/>
      <c r="S55" s="689"/>
      <c r="T55" s="689"/>
      <c r="U55" s="689"/>
      <c r="V55" s="690"/>
      <c r="W55" s="37" t="s">
        <v>89</v>
      </c>
      <c r="X55" s="669">
        <f>IFERROR(X49/H49,"0")+IFERROR(X50/H50,"0")+IFERROR(X51/H51,"0")+IFERROR(X52/H52,"0")+IFERROR(X53/H53,"0")+IFERROR(X54/H54,"0")</f>
        <v>111.11111111111111</v>
      </c>
      <c r="Y55" s="669">
        <f>IFERROR(Y49/H49,"0")+IFERROR(Y50/H50,"0")+IFERROR(Y51/H51,"0")+IFERROR(Y52/H52,"0")+IFERROR(Y53/H53,"0")+IFERROR(Y54/H54,"0")</f>
        <v>112</v>
      </c>
      <c r="Z55" s="669">
        <f>IFERROR(IF(Z49="",0,Z49),"0")+IFERROR(IF(Z50="",0,Z50),"0")+IFERROR(IF(Z51="",0,Z51),"0")+IFERROR(IF(Z52="",0,Z52),"0")+IFERROR(IF(Z53="",0,Z53),"0")+IFERROR(IF(Z54="",0,Z54),"0")</f>
        <v>1.1297600000000001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88</v>
      </c>
      <c r="Q56" s="689"/>
      <c r="R56" s="689"/>
      <c r="S56" s="689"/>
      <c r="T56" s="689"/>
      <c r="U56" s="689"/>
      <c r="V56" s="690"/>
      <c r="W56" s="37" t="s">
        <v>69</v>
      </c>
      <c r="X56" s="669">
        <f>IFERROR(SUM(X49:X54),"0")</f>
        <v>570</v>
      </c>
      <c r="Y56" s="669">
        <f>IFERROR(SUM(Y49:Y54),"0")</f>
        <v>579.6</v>
      </c>
      <c r="Z56" s="37"/>
      <c r="AA56" s="670"/>
      <c r="AB56" s="670"/>
      <c r="AC56" s="670"/>
    </row>
    <row r="57" spans="1:68" ht="14.25" customHeight="1" x14ac:dyDescent="0.25">
      <c r="A57" s="684" t="s">
        <v>136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69</v>
      </c>
      <c r="X58" s="667">
        <v>100</v>
      </c>
      <c r="Y58" s="668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69</v>
      </c>
      <c r="X61" s="667">
        <v>180</v>
      </c>
      <c r="Y61" s="668">
        <f>IFERROR(IF(X61="",0,CEILING((X61/$H61),1)*$H61),"")</f>
        <v>180.9</v>
      </c>
      <c r="Z61" s="36">
        <f>IFERROR(IF(Y61=0,"",ROUNDUP(Y61/H61,0)*0.00651),"")</f>
        <v>0.43617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191.99999999999997</v>
      </c>
      <c r="BN61" s="64">
        <f>IFERROR(Y61*I61/H61,"0")</f>
        <v>192.95999999999998</v>
      </c>
      <c r="BO61" s="64">
        <f>IFERROR(1/J61*(X61/H61),"0")</f>
        <v>0.36630036630036628</v>
      </c>
      <c r="BP61" s="64">
        <f>IFERROR(1/J61*(Y61/H61),"0")</f>
        <v>0.36813186813186816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88</v>
      </c>
      <c r="Q62" s="689"/>
      <c r="R62" s="689"/>
      <c r="S62" s="689"/>
      <c r="T62" s="689"/>
      <c r="U62" s="689"/>
      <c r="V62" s="690"/>
      <c r="W62" s="37" t="s">
        <v>89</v>
      </c>
      <c r="X62" s="669">
        <f>IFERROR(X58/H58,"0")+IFERROR(X59/H59,"0")+IFERROR(X60/H60,"0")+IFERROR(X61/H61,"0")</f>
        <v>75.925925925925924</v>
      </c>
      <c r="Y62" s="669">
        <f>IFERROR(Y58/H58,"0")+IFERROR(Y59/H59,"0")+IFERROR(Y60/H60,"0")+IFERROR(Y61/H61,"0")</f>
        <v>77</v>
      </c>
      <c r="Z62" s="669">
        <f>IFERROR(IF(Z58="",0,Z58),"0")+IFERROR(IF(Z59="",0,Z59),"0")+IFERROR(IF(Z60="",0,Z60),"0")+IFERROR(IF(Z61="",0,Z61),"0")</f>
        <v>0.62597000000000003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88</v>
      </c>
      <c r="Q63" s="689"/>
      <c r="R63" s="689"/>
      <c r="S63" s="689"/>
      <c r="T63" s="689"/>
      <c r="U63" s="689"/>
      <c r="V63" s="690"/>
      <c r="W63" s="37" t="s">
        <v>69</v>
      </c>
      <c r="X63" s="669">
        <f>IFERROR(SUM(X58:X61),"0")</f>
        <v>280</v>
      </c>
      <c r="Y63" s="669">
        <f>IFERROR(SUM(Y58:Y61),"0")</f>
        <v>288.89999999999998</v>
      </c>
      <c r="Z63" s="37"/>
      <c r="AA63" s="670"/>
      <c r="AB63" s="670"/>
      <c r="AC63" s="670"/>
    </row>
    <row r="64" spans="1:68" ht="14.25" customHeight="1" x14ac:dyDescent="0.25">
      <c r="A64" s="684" t="s">
        <v>147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88</v>
      </c>
      <c r="Q68" s="689"/>
      <c r="R68" s="689"/>
      <c r="S68" s="689"/>
      <c r="T68" s="689"/>
      <c r="U68" s="689"/>
      <c r="V68" s="690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88</v>
      </c>
      <c r="Q69" s="689"/>
      <c r="R69" s="689"/>
      <c r="S69" s="689"/>
      <c r="T69" s="689"/>
      <c r="U69" s="689"/>
      <c r="V69" s="690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69</v>
      </c>
      <c r="X73" s="667">
        <v>10</v>
      </c>
      <c r="Y73" s="668">
        <f t="shared" si="11"/>
        <v>16.8</v>
      </c>
      <c r="Z73" s="36">
        <f>IFERROR(IF(Y73=0,"",ROUNDUP(Y73/H73,0)*0.01898),"")</f>
        <v>3.7960000000000001E-2</v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10.603571428571428</v>
      </c>
      <c r="BN73" s="64">
        <f t="shared" si="13"/>
        <v>17.814</v>
      </c>
      <c r="BO73" s="64">
        <f t="shared" si="14"/>
        <v>1.8601190476190476E-2</v>
      </c>
      <c r="BP73" s="64">
        <f t="shared" si="15"/>
        <v>3.125E-2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88</v>
      </c>
      <c r="Q77" s="689"/>
      <c r="R77" s="689"/>
      <c r="S77" s="689"/>
      <c r="T77" s="689"/>
      <c r="U77" s="689"/>
      <c r="V77" s="690"/>
      <c r="W77" s="37" t="s">
        <v>89</v>
      </c>
      <c r="X77" s="669">
        <f>IFERROR(X71/H71,"0")+IFERROR(X72/H72,"0")+IFERROR(X73/H73,"0")+IFERROR(X74/H74,"0")+IFERROR(X75/H75,"0")+IFERROR(X76/H76,"0")</f>
        <v>1.1904761904761905</v>
      </c>
      <c r="Y77" s="669">
        <f>IFERROR(Y71/H71,"0")+IFERROR(Y72/H72,"0")+IFERROR(Y73/H73,"0")+IFERROR(Y74/H74,"0")+IFERROR(Y75/H75,"0")+IFERROR(Y76/H76,"0")</f>
        <v>2</v>
      </c>
      <c r="Z77" s="669">
        <f>IFERROR(IF(Z71="",0,Z71),"0")+IFERROR(IF(Z72="",0,Z72),"0")+IFERROR(IF(Z73="",0,Z73),"0")+IFERROR(IF(Z74="",0,Z74),"0")+IFERROR(IF(Z75="",0,Z75),"0")+IFERROR(IF(Z76="",0,Z76),"0")</f>
        <v>3.7960000000000001E-2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88</v>
      </c>
      <c r="Q78" s="689"/>
      <c r="R78" s="689"/>
      <c r="S78" s="689"/>
      <c r="T78" s="689"/>
      <c r="U78" s="689"/>
      <c r="V78" s="690"/>
      <c r="W78" s="37" t="s">
        <v>69</v>
      </c>
      <c r="X78" s="669">
        <f>IFERROR(SUM(X71:X76),"0")</f>
        <v>10</v>
      </c>
      <c r="Y78" s="669">
        <f>IFERROR(SUM(Y71:Y76),"0")</f>
        <v>16.8</v>
      </c>
      <c r="Z78" s="37"/>
      <c r="AA78" s="670"/>
      <c r="AB78" s="670"/>
      <c r="AC78" s="670"/>
    </row>
    <row r="79" spans="1:68" ht="14.25" customHeight="1" x14ac:dyDescent="0.25">
      <c r="A79" s="684" t="s">
        <v>173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88</v>
      </c>
      <c r="Q83" s="689"/>
      <c r="R83" s="689"/>
      <c r="S83" s="689"/>
      <c r="T83" s="689"/>
      <c r="U83" s="689"/>
      <c r="V83" s="690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88</v>
      </c>
      <c r="Q84" s="689"/>
      <c r="R84" s="689"/>
      <c r="S84" s="689"/>
      <c r="T84" s="689"/>
      <c r="U84" s="689"/>
      <c r="V84" s="690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181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69</v>
      </c>
      <c r="X89" s="667">
        <v>360</v>
      </c>
      <c r="Y89" s="668">
        <f>IFERROR(IF(X89="",0,CEILING((X89/$H89),1)*$H89),"")</f>
        <v>360</v>
      </c>
      <c r="Z89" s="36">
        <f>IFERROR(IF(Y89=0,"",ROUNDUP(Y89/H89,0)*0.00902),"")</f>
        <v>0.72160000000000002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376.79999999999995</v>
      </c>
      <c r="BN89" s="64">
        <f>IFERROR(Y89*I89/H89,"0")</f>
        <v>376.79999999999995</v>
      </c>
      <c r="BO89" s="64">
        <f>IFERROR(1/J89*(X89/H89),"0")</f>
        <v>0.60606060606060608</v>
      </c>
      <c r="BP89" s="64">
        <f>IFERROR(1/J89*(Y89/H89),"0")</f>
        <v>0.60606060606060608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88</v>
      </c>
      <c r="Q90" s="689"/>
      <c r="R90" s="689"/>
      <c r="S90" s="689"/>
      <c r="T90" s="689"/>
      <c r="U90" s="689"/>
      <c r="V90" s="690"/>
      <c r="W90" s="37" t="s">
        <v>89</v>
      </c>
      <c r="X90" s="669">
        <f>IFERROR(X87/H87,"0")+IFERROR(X88/H88,"0")+IFERROR(X89/H89,"0")</f>
        <v>80</v>
      </c>
      <c r="Y90" s="669">
        <f>IFERROR(Y87/H87,"0")+IFERROR(Y88/H88,"0")+IFERROR(Y89/H89,"0")</f>
        <v>80</v>
      </c>
      <c r="Z90" s="669">
        <f>IFERROR(IF(Z87="",0,Z87),"0")+IFERROR(IF(Z88="",0,Z88),"0")+IFERROR(IF(Z89="",0,Z89),"0")</f>
        <v>0.72160000000000002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88</v>
      </c>
      <c r="Q91" s="689"/>
      <c r="R91" s="689"/>
      <c r="S91" s="689"/>
      <c r="T91" s="689"/>
      <c r="U91" s="689"/>
      <c r="V91" s="690"/>
      <c r="W91" s="37" t="s">
        <v>69</v>
      </c>
      <c r="X91" s="669">
        <f>IFERROR(SUM(X87:X89),"0")</f>
        <v>360</v>
      </c>
      <c r="Y91" s="669">
        <f>IFERROR(SUM(Y87:Y89),"0")</f>
        <v>360</v>
      </c>
      <c r="Z91" s="37"/>
      <c r="AA91" s="670"/>
      <c r="AB91" s="670"/>
      <c r="AC91" s="670"/>
    </row>
    <row r="92" spans="1:68" ht="14.25" customHeight="1" x14ac:dyDescent="0.25">
      <c r="A92" s="684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69</v>
      </c>
      <c r="X93" s="667">
        <v>120</v>
      </c>
      <c r="Y93" s="668">
        <f t="shared" ref="Y93:Y101" si="16">IFERROR(IF(X93="",0,CEILING((X93/$H93),1)*$H93),"")</f>
        <v>126</v>
      </c>
      <c r="Z93" s="36">
        <f>IFERROR(IF(Y93=0,"",ROUNDUP(Y93/H93,0)*0.01898),"")</f>
        <v>0.28470000000000001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127.41428571428571</v>
      </c>
      <c r="BN93" s="64">
        <f t="shared" ref="BN93:BN101" si="18">IFERROR(Y93*I93/H93,"0")</f>
        <v>133.785</v>
      </c>
      <c r="BO93" s="64">
        <f t="shared" ref="BO93:BO101" si="19">IFERROR(1/J93*(X93/H93),"0")</f>
        <v>0.2232142857142857</v>
      </c>
      <c r="BP93" s="64">
        <f t="shared" ref="BP93:BP101" si="20">IFERROR(1/J93*(Y93/H93),"0")</f>
        <v>0.234375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6" t="s">
        <v>195</v>
      </c>
      <c r="Q95" s="674"/>
      <c r="R95" s="674"/>
      <c r="S95" s="674"/>
      <c r="T95" s="675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5" t="s">
        <v>199</v>
      </c>
      <c r="Q96" s="674"/>
      <c r="R96" s="674"/>
      <c r="S96" s="674"/>
      <c r="T96" s="675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201</v>
      </c>
      <c r="B97" s="54" t="s">
        <v>202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771" t="s">
        <v>203</v>
      </c>
      <c r="Q97" s="674"/>
      <c r="R97" s="674"/>
      <c r="S97" s="674"/>
      <c r="T97" s="675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88" t="s">
        <v>205</v>
      </c>
      <c r="Q98" s="674"/>
      <c r="R98" s="674"/>
      <c r="S98" s="674"/>
      <c r="T98" s="675"/>
      <c r="U98" s="34"/>
      <c r="V98" s="34"/>
      <c r="W98" s="35" t="s">
        <v>69</v>
      </c>
      <c r="X98" s="667">
        <v>540</v>
      </c>
      <c r="Y98" s="668">
        <f t="shared" si="16"/>
        <v>540</v>
      </c>
      <c r="Z98" s="36">
        <f>IFERROR(IF(Y98=0,"",ROUNDUP(Y98/H98,0)*0.00651),"")</f>
        <v>1.302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590.4</v>
      </c>
      <c r="BN98" s="64">
        <f t="shared" si="18"/>
        <v>590.4</v>
      </c>
      <c r="BO98" s="64">
        <f t="shared" si="19"/>
        <v>1.098901098901099</v>
      </c>
      <c r="BP98" s="64">
        <f t="shared" si="20"/>
        <v>1.098901098901099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88</v>
      </c>
      <c r="Q102" s="689"/>
      <c r="R102" s="689"/>
      <c r="S102" s="689"/>
      <c r="T102" s="689"/>
      <c r="U102" s="689"/>
      <c r="V102" s="690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214.28571428571428</v>
      </c>
      <c r="Y102" s="669">
        <f>IFERROR(Y93/H93,"0")+IFERROR(Y94/H94,"0")+IFERROR(Y95/H95,"0")+IFERROR(Y96/H96,"0")+IFERROR(Y97/H97,"0")+IFERROR(Y98/H98,"0")+IFERROR(Y99/H99,"0")+IFERROR(Y100/H100,"0")+IFERROR(Y101/H101,"0")</f>
        <v>215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1.5867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88</v>
      </c>
      <c r="Q103" s="689"/>
      <c r="R103" s="689"/>
      <c r="S103" s="689"/>
      <c r="T103" s="689"/>
      <c r="U103" s="689"/>
      <c r="V103" s="690"/>
      <c r="W103" s="37" t="s">
        <v>69</v>
      </c>
      <c r="X103" s="669">
        <f>IFERROR(SUM(X93:X101),"0")</f>
        <v>660</v>
      </c>
      <c r="Y103" s="669">
        <f>IFERROR(SUM(Y93:Y101),"0")</f>
        <v>666</v>
      </c>
      <c r="Z103" s="37"/>
      <c r="AA103" s="670"/>
      <c r="AB103" s="670"/>
      <c r="AC103" s="670"/>
    </row>
    <row r="104" spans="1:68" ht="16.5" customHeight="1" x14ac:dyDescent="0.25">
      <c r="A104" s="685" t="s">
        <v>212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69</v>
      </c>
      <c r="X108" s="667">
        <v>405</v>
      </c>
      <c r="Y108" s="668">
        <f>IFERROR(IF(X108="",0,CEILING((X108/$H108),1)*$H108),"")</f>
        <v>405</v>
      </c>
      <c r="Z108" s="36">
        <f>IFERROR(IF(Y108=0,"",ROUNDUP(Y108/H108,0)*0.00902),"")</f>
        <v>0.81180000000000008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423.9</v>
      </c>
      <c r="BN108" s="64">
        <f>IFERROR(Y108*I108/H108,"0")</f>
        <v>423.9</v>
      </c>
      <c r="BO108" s="64">
        <f>IFERROR(1/J108*(X108/H108),"0")</f>
        <v>0.68181818181818188</v>
      </c>
      <c r="BP108" s="64">
        <f>IFERROR(1/J108*(Y108/H108),"0")</f>
        <v>0.68181818181818188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88</v>
      </c>
      <c r="Q110" s="689"/>
      <c r="R110" s="689"/>
      <c r="S110" s="689"/>
      <c r="T110" s="689"/>
      <c r="U110" s="689"/>
      <c r="V110" s="690"/>
      <c r="W110" s="37" t="s">
        <v>89</v>
      </c>
      <c r="X110" s="669">
        <f>IFERROR(X106/H106,"0")+IFERROR(X107/H107,"0")+IFERROR(X108/H108,"0")+IFERROR(X109/H109,"0")</f>
        <v>90</v>
      </c>
      <c r="Y110" s="669">
        <f>IFERROR(Y106/H106,"0")+IFERROR(Y107/H107,"0")+IFERROR(Y108/H108,"0")+IFERROR(Y109/H109,"0")</f>
        <v>90</v>
      </c>
      <c r="Z110" s="669">
        <f>IFERROR(IF(Z106="",0,Z106),"0")+IFERROR(IF(Z107="",0,Z107),"0")+IFERROR(IF(Z108="",0,Z108),"0")+IFERROR(IF(Z109="",0,Z109),"0")</f>
        <v>0.81180000000000008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88</v>
      </c>
      <c r="Q111" s="689"/>
      <c r="R111" s="689"/>
      <c r="S111" s="689"/>
      <c r="T111" s="689"/>
      <c r="U111" s="689"/>
      <c r="V111" s="690"/>
      <c r="W111" s="37" t="s">
        <v>69</v>
      </c>
      <c r="X111" s="669">
        <f>IFERROR(SUM(X106:X109),"0")</f>
        <v>405</v>
      </c>
      <c r="Y111" s="669">
        <f>IFERROR(SUM(Y106:Y109),"0")</f>
        <v>405</v>
      </c>
      <c r="Z111" s="37"/>
      <c r="AA111" s="670"/>
      <c r="AB111" s="670"/>
      <c r="AC111" s="670"/>
    </row>
    <row r="112" spans="1:68" ht="14.25" customHeight="1" x14ac:dyDescent="0.25">
      <c r="A112" s="684" t="s">
        <v>136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88</v>
      </c>
      <c r="Q116" s="689"/>
      <c r="R116" s="689"/>
      <c r="S116" s="689"/>
      <c r="T116" s="689"/>
      <c r="U116" s="689"/>
      <c r="V116" s="690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88</v>
      </c>
      <c r="Q117" s="689"/>
      <c r="R117" s="689"/>
      <c r="S117" s="689"/>
      <c r="T117" s="689"/>
      <c r="U117" s="689"/>
      <c r="V117" s="690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229</v>
      </c>
      <c r="B120" s="54" t="s">
        <v>232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69</v>
      </c>
      <c r="X120" s="667">
        <v>700</v>
      </c>
      <c r="Y120" s="668">
        <f t="shared" si="21"/>
        <v>705.6</v>
      </c>
      <c r="Z120" s="36">
        <f>IFERROR(IF(Y120=0,"",ROUNDUP(Y120/H120,0)*0.01898),"")</f>
        <v>1.59432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22"/>
        <v>742.75</v>
      </c>
      <c r="BN120" s="64">
        <f t="shared" si="23"/>
        <v>748.69200000000001</v>
      </c>
      <c r="BO120" s="64">
        <f t="shared" si="24"/>
        <v>1.3020833333333333</v>
      </c>
      <c r="BP120" s="64">
        <f t="shared" si="25"/>
        <v>1.3125</v>
      </c>
    </row>
    <row r="121" spans="1:68" ht="16.5" customHeight="1" x14ac:dyDescent="0.25">
      <c r="A121" s="54" t="s">
        <v>229</v>
      </c>
      <c r="B121" s="54" t="s">
        <v>234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132</v>
      </c>
      <c r="N121" s="33"/>
      <c r="O121" s="32">
        <v>45</v>
      </c>
      <c r="P121" s="1010" t="s">
        <v>235</v>
      </c>
      <c r="Q121" s="674"/>
      <c r="R121" s="674"/>
      <c r="S121" s="674"/>
      <c r="T121" s="675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237</v>
      </c>
      <c r="B122" s="54" t="s">
        <v>238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132</v>
      </c>
      <c r="N122" s="33"/>
      <c r="O122" s="32">
        <v>45</v>
      </c>
      <c r="P122" s="846" t="s">
        <v>239</v>
      </c>
      <c r="Q122" s="674"/>
      <c r="R122" s="674"/>
      <c r="S122" s="674"/>
      <c r="T122" s="675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236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240</v>
      </c>
      <c r="B123" s="54" t="s">
        <v>241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4" t="s">
        <v>242</v>
      </c>
      <c r="Q123" s="674"/>
      <c r="R123" s="674"/>
      <c r="S123" s="674"/>
      <c r="T123" s="675"/>
      <c r="U123" s="34"/>
      <c r="V123" s="34"/>
      <c r="W123" s="35" t="s">
        <v>69</v>
      </c>
      <c r="X123" s="667">
        <v>405</v>
      </c>
      <c r="Y123" s="668">
        <f t="shared" si="21"/>
        <v>405</v>
      </c>
      <c r="Z123" s="36">
        <f>IFERROR(IF(Y123=0,"",ROUNDUP(Y123/H123,0)*0.00651),"")</f>
        <v>0.97650000000000003</v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442.79999999999995</v>
      </c>
      <c r="BN123" s="64">
        <f t="shared" si="23"/>
        <v>442.79999999999995</v>
      </c>
      <c r="BO123" s="64">
        <f t="shared" si="24"/>
        <v>0.82417582417582425</v>
      </c>
      <c r="BP123" s="64">
        <f t="shared" si="25"/>
        <v>0.82417582417582425</v>
      </c>
    </row>
    <row r="124" spans="1:68" ht="27" customHeight="1" x14ac:dyDescent="0.25">
      <c r="A124" s="54" t="s">
        <v>243</v>
      </c>
      <c r="B124" s="54" t="s">
        <v>244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69</v>
      </c>
      <c r="X124" s="667">
        <v>36</v>
      </c>
      <c r="Y124" s="668">
        <f t="shared" si="21"/>
        <v>36</v>
      </c>
      <c r="Z124" s="36">
        <f>IFERROR(IF(Y124=0,"",ROUNDUP(Y124/H124,0)*0.00651),"")</f>
        <v>0.13020000000000001</v>
      </c>
      <c r="AA124" s="56"/>
      <c r="AB124" s="57"/>
      <c r="AC124" s="185" t="s">
        <v>245</v>
      </c>
      <c r="AG124" s="64"/>
      <c r="AJ124" s="68"/>
      <c r="AK124" s="68">
        <v>0</v>
      </c>
      <c r="BB124" s="186" t="s">
        <v>1</v>
      </c>
      <c r="BM124" s="64">
        <f t="shared" si="22"/>
        <v>39.6</v>
      </c>
      <c r="BN124" s="64">
        <f t="shared" si="23"/>
        <v>39.6</v>
      </c>
      <c r="BO124" s="64">
        <f t="shared" si="24"/>
        <v>0.1098901098901099</v>
      </c>
      <c r="BP124" s="64">
        <f t="shared" si="25"/>
        <v>0.1098901098901099</v>
      </c>
    </row>
    <row r="125" spans="1:68" ht="37.5" customHeight="1" x14ac:dyDescent="0.25">
      <c r="A125" s="54" t="s">
        <v>246</v>
      </c>
      <c r="B125" s="54" t="s">
        <v>247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248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88</v>
      </c>
      <c r="Q126" s="689"/>
      <c r="R126" s="689"/>
      <c r="S126" s="689"/>
      <c r="T126" s="689"/>
      <c r="U126" s="689"/>
      <c r="V126" s="690"/>
      <c r="W126" s="37" t="s">
        <v>89</v>
      </c>
      <c r="X126" s="669">
        <f>IFERROR(X119/H119,"0")+IFERROR(X120/H120,"0")+IFERROR(X121/H121,"0")+IFERROR(X122/H122,"0")+IFERROR(X123/H123,"0")+IFERROR(X124/H124,"0")+IFERROR(X125/H125,"0")</f>
        <v>253.33333333333331</v>
      </c>
      <c r="Y126" s="669">
        <f>IFERROR(Y119/H119,"0")+IFERROR(Y120/H120,"0")+IFERROR(Y121/H121,"0")+IFERROR(Y122/H122,"0")+IFERROR(Y123/H123,"0")+IFERROR(Y124/H124,"0")+IFERROR(Y125/H125,"0")</f>
        <v>254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2.7010199999999998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88</v>
      </c>
      <c r="Q127" s="689"/>
      <c r="R127" s="689"/>
      <c r="S127" s="689"/>
      <c r="T127" s="689"/>
      <c r="U127" s="689"/>
      <c r="V127" s="690"/>
      <c r="W127" s="37" t="s">
        <v>69</v>
      </c>
      <c r="X127" s="669">
        <f>IFERROR(SUM(X119:X125),"0")</f>
        <v>1141</v>
      </c>
      <c r="Y127" s="669">
        <f>IFERROR(SUM(Y119:Y125),"0")</f>
        <v>1146.5999999999999</v>
      </c>
      <c r="Z127" s="37"/>
      <c r="AA127" s="670"/>
      <c r="AB127" s="670"/>
      <c r="AC127" s="670"/>
    </row>
    <row r="128" spans="1:68" ht="14.25" customHeight="1" x14ac:dyDescent="0.25">
      <c r="A128" s="684" t="s">
        <v>173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249</v>
      </c>
      <c r="B129" s="54" t="s">
        <v>250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251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252</v>
      </c>
      <c r="B130" s="54" t="s">
        <v>253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69</v>
      </c>
      <c r="X130" s="667">
        <v>39.6</v>
      </c>
      <c r="Y130" s="668">
        <f>IFERROR(IF(X130="",0,CEILING((X130/$H130),1)*$H130),"")</f>
        <v>39.6</v>
      </c>
      <c r="Z130" s="36">
        <f>IFERROR(IF(Y130=0,"",ROUNDUP(Y130/H130,0)*0.00651),"")</f>
        <v>0.13020000000000001</v>
      </c>
      <c r="AA130" s="56"/>
      <c r="AB130" s="57"/>
      <c r="AC130" s="191" t="s">
        <v>254</v>
      </c>
      <c r="AG130" s="64"/>
      <c r="AJ130" s="68"/>
      <c r="AK130" s="68">
        <v>0</v>
      </c>
      <c r="BB130" s="192" t="s">
        <v>1</v>
      </c>
      <c r="BM130" s="64">
        <f>IFERROR(X130*I130/H130,"0")</f>
        <v>44.760000000000005</v>
      </c>
      <c r="BN130" s="64">
        <f>IFERROR(Y130*I130/H130,"0")</f>
        <v>44.760000000000005</v>
      </c>
      <c r="BO130" s="64">
        <f>IFERROR(1/J130*(X130/H130),"0")</f>
        <v>0.1098901098901099</v>
      </c>
      <c r="BP130" s="64">
        <f>IFERROR(1/J130*(Y130/H130),"0")</f>
        <v>0.1098901098901099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88</v>
      </c>
      <c r="Q131" s="689"/>
      <c r="R131" s="689"/>
      <c r="S131" s="689"/>
      <c r="T131" s="689"/>
      <c r="U131" s="689"/>
      <c r="V131" s="690"/>
      <c r="W131" s="37" t="s">
        <v>89</v>
      </c>
      <c r="X131" s="669">
        <f>IFERROR(X129/H129,"0")+IFERROR(X130/H130,"0")</f>
        <v>20</v>
      </c>
      <c r="Y131" s="669">
        <f>IFERROR(Y129/H129,"0")+IFERROR(Y130/H130,"0")</f>
        <v>20</v>
      </c>
      <c r="Z131" s="669">
        <f>IFERROR(IF(Z129="",0,Z129),"0")+IFERROR(IF(Z130="",0,Z130),"0")</f>
        <v>0.13020000000000001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88</v>
      </c>
      <c r="Q132" s="689"/>
      <c r="R132" s="689"/>
      <c r="S132" s="689"/>
      <c r="T132" s="689"/>
      <c r="U132" s="689"/>
      <c r="V132" s="690"/>
      <c r="W132" s="37" t="s">
        <v>69</v>
      </c>
      <c r="X132" s="669">
        <f>IFERROR(SUM(X129:X130),"0")</f>
        <v>39.6</v>
      </c>
      <c r="Y132" s="669">
        <f>IFERROR(SUM(Y129:Y130),"0")</f>
        <v>39.6</v>
      </c>
      <c r="Z132" s="37"/>
      <c r="AA132" s="670"/>
      <c r="AB132" s="670"/>
      <c r="AC132" s="670"/>
    </row>
    <row r="133" spans="1:68" ht="16.5" customHeight="1" x14ac:dyDescent="0.25">
      <c r="A133" s="685" t="s">
        <v>255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98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256</v>
      </c>
      <c r="B135" s="54" t="s">
        <v>257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258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256</v>
      </c>
      <c r="B136" s="54" t="s">
        <v>259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69</v>
      </c>
      <c r="X136" s="667">
        <v>20</v>
      </c>
      <c r="Y136" s="668">
        <f>IFERROR(IF(X136="",0,CEILING((X136/$H136),1)*$H136),"")</f>
        <v>22.400000000000002</v>
      </c>
      <c r="Z136" s="36">
        <f>IFERROR(IF(Y136=0,"",ROUNDUP(Y136/H136,0)*0.00651),"")</f>
        <v>4.5569999999999999E-2</v>
      </c>
      <c r="AA136" s="56"/>
      <c r="AB136" s="57"/>
      <c r="AC136" s="195" t="s">
        <v>258</v>
      </c>
      <c r="AG136" s="64"/>
      <c r="AJ136" s="68"/>
      <c r="AK136" s="68">
        <v>0</v>
      </c>
      <c r="BB136" s="196" t="s">
        <v>1</v>
      </c>
      <c r="BM136" s="64">
        <f>IFERROR(X136*I136/H136,"0")</f>
        <v>21.124999999999996</v>
      </c>
      <c r="BN136" s="64">
        <f>IFERROR(Y136*I136/H136,"0")</f>
        <v>23.66</v>
      </c>
      <c r="BO136" s="64">
        <f>IFERROR(1/J136*(X136/H136),"0")</f>
        <v>3.4340659340659344E-2</v>
      </c>
      <c r="BP136" s="64">
        <f>IFERROR(1/J136*(Y136/H136),"0")</f>
        <v>3.8461538461538464E-2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88</v>
      </c>
      <c r="Q137" s="689"/>
      <c r="R137" s="689"/>
      <c r="S137" s="689"/>
      <c r="T137" s="689"/>
      <c r="U137" s="689"/>
      <c r="V137" s="690"/>
      <c r="W137" s="37" t="s">
        <v>89</v>
      </c>
      <c r="X137" s="669">
        <f>IFERROR(X135/H135,"0")+IFERROR(X136/H136,"0")</f>
        <v>6.25</v>
      </c>
      <c r="Y137" s="669">
        <f>IFERROR(Y135/H135,"0")+IFERROR(Y136/H136,"0")</f>
        <v>7</v>
      </c>
      <c r="Z137" s="669">
        <f>IFERROR(IF(Z135="",0,Z135),"0")+IFERROR(IF(Z136="",0,Z136),"0")</f>
        <v>4.5569999999999999E-2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88</v>
      </c>
      <c r="Q138" s="689"/>
      <c r="R138" s="689"/>
      <c r="S138" s="689"/>
      <c r="T138" s="689"/>
      <c r="U138" s="689"/>
      <c r="V138" s="690"/>
      <c r="W138" s="37" t="s">
        <v>69</v>
      </c>
      <c r="X138" s="669">
        <f>IFERROR(SUM(X135:X136),"0")</f>
        <v>20</v>
      </c>
      <c r="Y138" s="669">
        <f>IFERROR(SUM(Y135:Y136),"0")</f>
        <v>22.400000000000002</v>
      </c>
      <c r="Z138" s="37"/>
      <c r="AA138" s="670"/>
      <c r="AB138" s="670"/>
      <c r="AC138" s="670"/>
    </row>
    <row r="139" spans="1:68" ht="14.25" customHeight="1" x14ac:dyDescent="0.25">
      <c r="A139" s="684" t="s">
        <v>147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260</v>
      </c>
      <c r="B140" s="54" t="s">
        <v>261</v>
      </c>
      <c r="C140" s="31">
        <v>4301031234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5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69</v>
      </c>
      <c r="X140" s="667">
        <v>21</v>
      </c>
      <c r="Y140" s="668">
        <f>IFERROR(IF(X140="",0,CEILING((X140/$H140),1)*$H140),"")</f>
        <v>22.4</v>
      </c>
      <c r="Z140" s="36">
        <f>IFERROR(IF(Y140=0,"",ROUNDUP(Y140/H140,0)*0.00651),"")</f>
        <v>5.2080000000000001E-2</v>
      </c>
      <c r="AA140" s="56"/>
      <c r="AB140" s="57"/>
      <c r="AC140" s="197" t="s">
        <v>262</v>
      </c>
      <c r="AG140" s="64"/>
      <c r="AJ140" s="68"/>
      <c r="AK140" s="68">
        <v>0</v>
      </c>
      <c r="BB140" s="198" t="s">
        <v>1</v>
      </c>
      <c r="BM140" s="64">
        <f>IFERROR(X140*I140/H140,"0")</f>
        <v>23.01</v>
      </c>
      <c r="BN140" s="64">
        <f>IFERROR(Y140*I140/H140,"0")</f>
        <v>24.543999999999997</v>
      </c>
      <c r="BO140" s="64">
        <f>IFERROR(1/J140*(X140/H140),"0")</f>
        <v>4.1208791208791215E-2</v>
      </c>
      <c r="BP140" s="64">
        <f>IFERROR(1/J140*(Y140/H140),"0")</f>
        <v>4.3956043956043959E-2</v>
      </c>
    </row>
    <row r="141" spans="1:68" ht="27" customHeight="1" x14ac:dyDescent="0.25">
      <c r="A141" s="54" t="s">
        <v>260</v>
      </c>
      <c r="B141" s="54" t="s">
        <v>263</v>
      </c>
      <c r="C141" s="31">
        <v>4301031235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262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88</v>
      </c>
      <c r="Q142" s="689"/>
      <c r="R142" s="689"/>
      <c r="S142" s="689"/>
      <c r="T142" s="689"/>
      <c r="U142" s="689"/>
      <c r="V142" s="690"/>
      <c r="W142" s="37" t="s">
        <v>89</v>
      </c>
      <c r="X142" s="669">
        <f>IFERROR(X140/H140,"0")+IFERROR(X141/H141,"0")</f>
        <v>7.5000000000000009</v>
      </c>
      <c r="Y142" s="669">
        <f>IFERROR(Y140/H140,"0")+IFERROR(Y141/H141,"0")</f>
        <v>8</v>
      </c>
      <c r="Z142" s="669">
        <f>IFERROR(IF(Z140="",0,Z140),"0")+IFERROR(IF(Z141="",0,Z141),"0")</f>
        <v>5.2080000000000001E-2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88</v>
      </c>
      <c r="Q143" s="689"/>
      <c r="R143" s="689"/>
      <c r="S143" s="689"/>
      <c r="T143" s="689"/>
      <c r="U143" s="689"/>
      <c r="V143" s="690"/>
      <c r="W143" s="37" t="s">
        <v>69</v>
      </c>
      <c r="X143" s="669">
        <f>IFERROR(SUM(X140:X141),"0")</f>
        <v>21</v>
      </c>
      <c r="Y143" s="669">
        <f>IFERROR(SUM(Y140:Y141),"0")</f>
        <v>22.4</v>
      </c>
      <c r="Z143" s="37"/>
      <c r="AA143" s="670"/>
      <c r="AB143" s="670"/>
      <c r="AC143" s="670"/>
    </row>
    <row r="144" spans="1:68" ht="14.25" customHeight="1" x14ac:dyDescent="0.25">
      <c r="A144" s="684" t="s">
        <v>64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264</v>
      </c>
      <c r="B145" s="54" t="s">
        <v>265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258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264</v>
      </c>
      <c r="B146" s="54" t="s">
        <v>266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69</v>
      </c>
      <c r="X146" s="667">
        <v>49.5</v>
      </c>
      <c r="Y146" s="668">
        <f>IFERROR(IF(X146="",0,CEILING((X146/$H146),1)*$H146),"")</f>
        <v>50.160000000000004</v>
      </c>
      <c r="Z146" s="36">
        <f>IFERROR(IF(Y146=0,"",ROUNDUP(Y146/H146,0)*0.00651),"")</f>
        <v>0.12369000000000001</v>
      </c>
      <c r="AA146" s="56"/>
      <c r="AB146" s="57"/>
      <c r="AC146" s="203" t="s">
        <v>258</v>
      </c>
      <c r="AG146" s="64"/>
      <c r="AJ146" s="68"/>
      <c r="AK146" s="68">
        <v>0</v>
      </c>
      <c r="BB146" s="204" t="s">
        <v>1</v>
      </c>
      <c r="BM146" s="64">
        <f>IFERROR(X146*I146/H146,"0")</f>
        <v>54.524999999999999</v>
      </c>
      <c r="BN146" s="64">
        <f>IFERROR(Y146*I146/H146,"0")</f>
        <v>55.252000000000002</v>
      </c>
      <c r="BO146" s="64">
        <f>IFERROR(1/J146*(X146/H146),"0")</f>
        <v>0.10302197802197803</v>
      </c>
      <c r="BP146" s="64">
        <f>IFERROR(1/J146*(Y146/H146),"0")</f>
        <v>0.1043956043956044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88</v>
      </c>
      <c r="Q147" s="689"/>
      <c r="R147" s="689"/>
      <c r="S147" s="689"/>
      <c r="T147" s="689"/>
      <c r="U147" s="689"/>
      <c r="V147" s="690"/>
      <c r="W147" s="37" t="s">
        <v>89</v>
      </c>
      <c r="X147" s="669">
        <f>IFERROR(X145/H145,"0")+IFERROR(X146/H146,"0")</f>
        <v>18.75</v>
      </c>
      <c r="Y147" s="669">
        <f>IFERROR(Y145/H145,"0")+IFERROR(Y146/H146,"0")</f>
        <v>19</v>
      </c>
      <c r="Z147" s="669">
        <f>IFERROR(IF(Z145="",0,Z145),"0")+IFERROR(IF(Z146="",0,Z146),"0")</f>
        <v>0.12369000000000001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88</v>
      </c>
      <c r="Q148" s="689"/>
      <c r="R148" s="689"/>
      <c r="S148" s="689"/>
      <c r="T148" s="689"/>
      <c r="U148" s="689"/>
      <c r="V148" s="690"/>
      <c r="W148" s="37" t="s">
        <v>69</v>
      </c>
      <c r="X148" s="669">
        <f>IFERROR(SUM(X145:X146),"0")</f>
        <v>49.5</v>
      </c>
      <c r="Y148" s="669">
        <f>IFERROR(SUM(Y145:Y146),"0")</f>
        <v>50.160000000000004</v>
      </c>
      <c r="Z148" s="37"/>
      <c r="AA148" s="670"/>
      <c r="AB148" s="670"/>
      <c r="AC148" s="670"/>
    </row>
    <row r="149" spans="1:68" ht="16.5" customHeight="1" x14ac:dyDescent="0.25">
      <c r="A149" s="685" t="s">
        <v>96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267</v>
      </c>
      <c r="B151" s="54" t="s">
        <v>268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269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88</v>
      </c>
      <c r="Q152" s="689"/>
      <c r="R152" s="689"/>
      <c r="S152" s="689"/>
      <c r="T152" s="689"/>
      <c r="U152" s="689"/>
      <c r="V152" s="690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88</v>
      </c>
      <c r="Q153" s="689"/>
      <c r="R153" s="689"/>
      <c r="S153" s="689"/>
      <c r="T153" s="689"/>
      <c r="U153" s="689"/>
      <c r="V153" s="690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147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270</v>
      </c>
      <c r="B155" s="54" t="s">
        <v>271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272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273</v>
      </c>
      <c r="B156" s="54" t="s">
        <v>274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275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276</v>
      </c>
      <c r="B157" s="54" t="s">
        <v>277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278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88</v>
      </c>
      <c r="Q158" s="689"/>
      <c r="R158" s="689"/>
      <c r="S158" s="689"/>
      <c r="T158" s="689"/>
      <c r="U158" s="689"/>
      <c r="V158" s="690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88</v>
      </c>
      <c r="Q159" s="689"/>
      <c r="R159" s="689"/>
      <c r="S159" s="689"/>
      <c r="T159" s="689"/>
      <c r="U159" s="689"/>
      <c r="V159" s="690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64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279</v>
      </c>
      <c r="B161" s="54" t="s">
        <v>280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281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88</v>
      </c>
      <c r="Q162" s="689"/>
      <c r="R162" s="689"/>
      <c r="S162" s="689"/>
      <c r="T162" s="689"/>
      <c r="U162" s="689"/>
      <c r="V162" s="690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88</v>
      </c>
      <c r="Q163" s="689"/>
      <c r="R163" s="689"/>
      <c r="S163" s="689"/>
      <c r="T163" s="689"/>
      <c r="U163" s="689"/>
      <c r="V163" s="690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282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283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136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284</v>
      </c>
      <c r="B167" s="54" t="s">
        <v>285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150</v>
      </c>
      <c r="L167" s="32"/>
      <c r="M167" s="33" t="s">
        <v>68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286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88</v>
      </c>
      <c r="Q168" s="689"/>
      <c r="R168" s="689"/>
      <c r="S168" s="689"/>
      <c r="T168" s="689"/>
      <c r="U168" s="689"/>
      <c r="V168" s="690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88</v>
      </c>
      <c r="Q169" s="689"/>
      <c r="R169" s="689"/>
      <c r="S169" s="689"/>
      <c r="T169" s="689"/>
      <c r="U169" s="689"/>
      <c r="V169" s="690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147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287</v>
      </c>
      <c r="B171" s="54" t="s">
        <v>288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69</v>
      </c>
      <c r="X171" s="667">
        <v>50</v>
      </c>
      <c r="Y171" s="668">
        <f t="shared" ref="Y171:Y179" si="26">IFERROR(IF(X171="",0,CEILING((X171/$H171),1)*$H171),"")</f>
        <v>50.400000000000006</v>
      </c>
      <c r="Z171" s="36">
        <f>IFERROR(IF(Y171=0,"",ROUNDUP(Y171/H171,0)*0.00902),"")</f>
        <v>0.10824</v>
      </c>
      <c r="AA171" s="56"/>
      <c r="AB171" s="57"/>
      <c r="AC171" s="217" t="s">
        <v>289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53.214285714285715</v>
      </c>
      <c r="BN171" s="64">
        <f t="shared" ref="BN171:BN179" si="28">IFERROR(Y171*I171/H171,"0")</f>
        <v>53.64</v>
      </c>
      <c r="BO171" s="64">
        <f t="shared" ref="BO171:BO179" si="29">IFERROR(1/J171*(X171/H171),"0")</f>
        <v>9.0187590187590191E-2</v>
      </c>
      <c r="BP171" s="64">
        <f t="shared" ref="BP171:BP179" si="30">IFERROR(1/J171*(Y171/H171),"0")</f>
        <v>9.0909090909090912E-2</v>
      </c>
    </row>
    <row r="172" spans="1:68" ht="27" customHeight="1" x14ac:dyDescent="0.25">
      <c r="A172" s="54" t="s">
        <v>290</v>
      </c>
      <c r="B172" s="54" t="s">
        <v>291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69</v>
      </c>
      <c r="X172" s="667">
        <v>40</v>
      </c>
      <c r="Y172" s="668">
        <f t="shared" si="26"/>
        <v>42</v>
      </c>
      <c r="Z172" s="36">
        <f>IFERROR(IF(Y172=0,"",ROUNDUP(Y172/H172,0)*0.00902),"")</f>
        <v>9.0200000000000002E-2</v>
      </c>
      <c r="AA172" s="56"/>
      <c r="AB172" s="57"/>
      <c r="AC172" s="219" t="s">
        <v>292</v>
      </c>
      <c r="AG172" s="64"/>
      <c r="AJ172" s="68"/>
      <c r="AK172" s="68">
        <v>0</v>
      </c>
      <c r="BB172" s="220" t="s">
        <v>1</v>
      </c>
      <c r="BM172" s="64">
        <f t="shared" si="27"/>
        <v>42.571428571428562</v>
      </c>
      <c r="BN172" s="64">
        <f t="shared" si="28"/>
        <v>44.699999999999996</v>
      </c>
      <c r="BO172" s="64">
        <f t="shared" si="29"/>
        <v>7.2150072150072145E-2</v>
      </c>
      <c r="BP172" s="64">
        <f t="shared" si="30"/>
        <v>7.575757575757576E-2</v>
      </c>
    </row>
    <row r="173" spans="1:68" ht="27" customHeight="1" x14ac:dyDescent="0.25">
      <c r="A173" s="54" t="s">
        <v>293</v>
      </c>
      <c r="B173" s="54" t="s">
        <v>294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69</v>
      </c>
      <c r="X173" s="667">
        <v>200</v>
      </c>
      <c r="Y173" s="668">
        <f t="shared" si="26"/>
        <v>201.60000000000002</v>
      </c>
      <c r="Z173" s="36">
        <f>IFERROR(IF(Y173=0,"",ROUNDUP(Y173/H173,0)*0.00902),"")</f>
        <v>0.43296000000000001</v>
      </c>
      <c r="AA173" s="56"/>
      <c r="AB173" s="57"/>
      <c r="AC173" s="221" t="s">
        <v>295</v>
      </c>
      <c r="AG173" s="64"/>
      <c r="AJ173" s="68"/>
      <c r="AK173" s="68">
        <v>0</v>
      </c>
      <c r="BB173" s="222" t="s">
        <v>1</v>
      </c>
      <c r="BM173" s="64">
        <f t="shared" si="27"/>
        <v>210</v>
      </c>
      <c r="BN173" s="64">
        <f t="shared" si="28"/>
        <v>211.68000000000004</v>
      </c>
      <c r="BO173" s="64">
        <f t="shared" si="29"/>
        <v>0.36075036075036077</v>
      </c>
      <c r="BP173" s="64">
        <f t="shared" si="30"/>
        <v>0.36363636363636365</v>
      </c>
    </row>
    <row r="174" spans="1:68" ht="27" customHeight="1" x14ac:dyDescent="0.25">
      <c r="A174" s="54" t="s">
        <v>296</v>
      </c>
      <c r="B174" s="54" t="s">
        <v>297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150</v>
      </c>
      <c r="L174" s="32"/>
      <c r="M174" s="33" t="s">
        <v>68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69</v>
      </c>
      <c r="X174" s="667">
        <v>87.5</v>
      </c>
      <c r="Y174" s="668">
        <f t="shared" si="26"/>
        <v>88.2</v>
      </c>
      <c r="Z174" s="36">
        <f>IFERROR(IF(Y174=0,"",ROUNDUP(Y174/H174,0)*0.00502),"")</f>
        <v>0.21084</v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92.916666666666657</v>
      </c>
      <c r="BN174" s="64">
        <f t="shared" si="28"/>
        <v>93.66</v>
      </c>
      <c r="BO174" s="64">
        <f t="shared" si="29"/>
        <v>0.17806267806267806</v>
      </c>
      <c r="BP174" s="64">
        <f t="shared" si="30"/>
        <v>0.17948717948717952</v>
      </c>
    </row>
    <row r="175" spans="1:68" ht="27" customHeight="1" x14ac:dyDescent="0.25">
      <c r="A175" s="54" t="s">
        <v>298</v>
      </c>
      <c r="B175" s="54" t="s">
        <v>299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150</v>
      </c>
      <c r="L175" s="32"/>
      <c r="M175" s="33" t="s">
        <v>68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69</v>
      </c>
      <c r="X175" s="667">
        <v>70</v>
      </c>
      <c r="Y175" s="668">
        <f t="shared" si="26"/>
        <v>71.400000000000006</v>
      </c>
      <c r="Z175" s="36">
        <f>IFERROR(IF(Y175=0,"",ROUNDUP(Y175/H175,0)*0.00502),"")</f>
        <v>0.17068</v>
      </c>
      <c r="AA175" s="56"/>
      <c r="AB175" s="57"/>
      <c r="AC175" s="225" t="s">
        <v>292</v>
      </c>
      <c r="AG175" s="64"/>
      <c r="AJ175" s="68"/>
      <c r="AK175" s="68">
        <v>0</v>
      </c>
      <c r="BB175" s="226" t="s">
        <v>1</v>
      </c>
      <c r="BM175" s="64">
        <f t="shared" si="27"/>
        <v>74.333333333333329</v>
      </c>
      <c r="BN175" s="64">
        <f t="shared" si="28"/>
        <v>75.820000000000007</v>
      </c>
      <c r="BO175" s="64">
        <f t="shared" si="29"/>
        <v>0.14245014245014245</v>
      </c>
      <c r="BP175" s="64">
        <f t="shared" si="30"/>
        <v>0.14529914529914531</v>
      </c>
    </row>
    <row r="176" spans="1:68" ht="27" customHeight="1" x14ac:dyDescent="0.25">
      <c r="A176" s="54" t="s">
        <v>300</v>
      </c>
      <c r="B176" s="54" t="s">
        <v>301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150</v>
      </c>
      <c r="L176" s="32"/>
      <c r="M176" s="33" t="s">
        <v>68</v>
      </c>
      <c r="N176" s="33"/>
      <c r="O176" s="32">
        <v>40</v>
      </c>
      <c r="P176" s="970" t="s">
        <v>302</v>
      </c>
      <c r="Q176" s="674"/>
      <c r="R176" s="674"/>
      <c r="S176" s="674"/>
      <c r="T176" s="675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303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304</v>
      </c>
      <c r="B177" s="54" t="s">
        <v>305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69</v>
      </c>
      <c r="X177" s="667">
        <v>105</v>
      </c>
      <c r="Y177" s="668">
        <f t="shared" si="26"/>
        <v>105</v>
      </c>
      <c r="Z177" s="36">
        <f>IFERROR(IF(Y177=0,"",ROUNDUP(Y177/H177,0)*0.00502),"")</f>
        <v>0.251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7"/>
        <v>110.00000000000001</v>
      </c>
      <c r="BN177" s="64">
        <f t="shared" si="28"/>
        <v>110.00000000000001</v>
      </c>
      <c r="BO177" s="64">
        <f t="shared" si="29"/>
        <v>0.21367521367521369</v>
      </c>
      <c r="BP177" s="64">
        <f t="shared" si="30"/>
        <v>0.21367521367521369</v>
      </c>
    </row>
    <row r="178" spans="1:68" ht="27" customHeight="1" x14ac:dyDescent="0.25">
      <c r="A178" s="54" t="s">
        <v>306</v>
      </c>
      <c r="B178" s="54" t="s">
        <v>307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295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308</v>
      </c>
      <c r="B179" s="54" t="s">
        <v>309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310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88</v>
      </c>
      <c r="Q180" s="689"/>
      <c r="R180" s="689"/>
      <c r="S180" s="689"/>
      <c r="T180" s="689"/>
      <c r="U180" s="689"/>
      <c r="V180" s="690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194.04761904761904</v>
      </c>
      <c r="Y180" s="669">
        <f>IFERROR(Y171/H171,"0")+IFERROR(Y172/H172,"0")+IFERROR(Y173/H173,"0")+IFERROR(Y174/H174,"0")+IFERROR(Y175/H175,"0")+IFERROR(Y176/H176,"0")+IFERROR(Y177/H177,"0")+IFERROR(Y178/H178,"0")+IFERROR(Y179/H179,"0")</f>
        <v>196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1.2639200000000002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88</v>
      </c>
      <c r="Q181" s="689"/>
      <c r="R181" s="689"/>
      <c r="S181" s="689"/>
      <c r="T181" s="689"/>
      <c r="U181" s="689"/>
      <c r="V181" s="690"/>
      <c r="W181" s="37" t="s">
        <v>69</v>
      </c>
      <c r="X181" s="669">
        <f>IFERROR(SUM(X171:X179),"0")</f>
        <v>552.5</v>
      </c>
      <c r="Y181" s="669">
        <f>IFERROR(SUM(Y171:Y179),"0")</f>
        <v>558.6</v>
      </c>
      <c r="Z181" s="37"/>
      <c r="AA181" s="670"/>
      <c r="AB181" s="670"/>
      <c r="AC181" s="670"/>
    </row>
    <row r="182" spans="1:68" ht="14.25" customHeight="1" x14ac:dyDescent="0.25">
      <c r="A182" s="684" t="s">
        <v>90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987" t="s">
        <v>315</v>
      </c>
      <c r="Q183" s="674"/>
      <c r="R183" s="674"/>
      <c r="S183" s="674"/>
      <c r="T183" s="675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316</v>
      </c>
      <c r="AC183" s="235" t="s">
        <v>317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753" t="s">
        <v>320</v>
      </c>
      <c r="Q184" s="674"/>
      <c r="R184" s="674"/>
      <c r="S184" s="674"/>
      <c r="T184" s="675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316</v>
      </c>
      <c r="AC184" s="237" t="s">
        <v>317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321</v>
      </c>
      <c r="B185" s="54" t="s">
        <v>322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313</v>
      </c>
      <c r="L185" s="32"/>
      <c r="M185" s="33" t="s">
        <v>314</v>
      </c>
      <c r="N185" s="33"/>
      <c r="O185" s="32">
        <v>60</v>
      </c>
      <c r="P185" s="842" t="s">
        <v>323</v>
      </c>
      <c r="Q185" s="674"/>
      <c r="R185" s="674"/>
      <c r="S185" s="674"/>
      <c r="T185" s="675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324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88</v>
      </c>
      <c r="Q186" s="689"/>
      <c r="R186" s="689"/>
      <c r="S186" s="689"/>
      <c r="T186" s="689"/>
      <c r="U186" s="689"/>
      <c r="V186" s="690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88</v>
      </c>
      <c r="Q187" s="689"/>
      <c r="R187" s="689"/>
      <c r="S187" s="689"/>
      <c r="T187" s="689"/>
      <c r="U187" s="689"/>
      <c r="V187" s="690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325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326</v>
      </c>
      <c r="B189" s="54" t="s">
        <v>327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313</v>
      </c>
      <c r="L189" s="32"/>
      <c r="M189" s="33" t="s">
        <v>314</v>
      </c>
      <c r="N189" s="33"/>
      <c r="O189" s="32">
        <v>90</v>
      </c>
      <c r="P189" s="790" t="s">
        <v>328</v>
      </c>
      <c r="Q189" s="674"/>
      <c r="R189" s="674"/>
      <c r="S189" s="674"/>
      <c r="T189" s="675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316</v>
      </c>
      <c r="AC189" s="241" t="s">
        <v>317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88</v>
      </c>
      <c r="Q190" s="689"/>
      <c r="R190" s="689"/>
      <c r="S190" s="689"/>
      <c r="T190" s="689"/>
      <c r="U190" s="689"/>
      <c r="V190" s="690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88</v>
      </c>
      <c r="Q191" s="689"/>
      <c r="R191" s="689"/>
      <c r="S191" s="689"/>
      <c r="T191" s="689"/>
      <c r="U191" s="689"/>
      <c r="V191" s="690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329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98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330</v>
      </c>
      <c r="B194" s="54" t="s">
        <v>331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332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333</v>
      </c>
      <c r="B195" s="54" t="s">
        <v>334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332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88</v>
      </c>
      <c r="Q196" s="689"/>
      <c r="R196" s="689"/>
      <c r="S196" s="689"/>
      <c r="T196" s="689"/>
      <c r="U196" s="689"/>
      <c r="V196" s="690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88</v>
      </c>
      <c r="Q197" s="689"/>
      <c r="R197" s="689"/>
      <c r="S197" s="689"/>
      <c r="T197" s="689"/>
      <c r="U197" s="689"/>
      <c r="V197" s="690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136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335</v>
      </c>
      <c r="B199" s="54" t="s">
        <v>336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337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338</v>
      </c>
      <c r="B200" s="54" t="s">
        <v>339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337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88</v>
      </c>
      <c r="Q201" s="689"/>
      <c r="R201" s="689"/>
      <c r="S201" s="689"/>
      <c r="T201" s="689"/>
      <c r="U201" s="689"/>
      <c r="V201" s="690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88</v>
      </c>
      <c r="Q202" s="689"/>
      <c r="R202" s="689"/>
      <c r="S202" s="689"/>
      <c r="T202" s="689"/>
      <c r="U202" s="689"/>
      <c r="V202" s="690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147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340</v>
      </c>
      <c r="B204" s="54" t="s">
        <v>341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69</v>
      </c>
      <c r="X204" s="667">
        <v>70</v>
      </c>
      <c r="Y204" s="668">
        <f t="shared" ref="Y204:Y211" si="31">IFERROR(IF(X204="",0,CEILING((X204/$H204),1)*$H204),"")</f>
        <v>70.2</v>
      </c>
      <c r="Z204" s="36">
        <f>IFERROR(IF(Y204=0,"",ROUNDUP(Y204/H204,0)*0.00902),"")</f>
        <v>0.11726</v>
      </c>
      <c r="AA204" s="56"/>
      <c r="AB204" s="57"/>
      <c r="AC204" s="251" t="s">
        <v>342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72.722222222222229</v>
      </c>
      <c r="BN204" s="64">
        <f t="shared" ref="BN204:BN211" si="33">IFERROR(Y204*I204/H204,"0")</f>
        <v>72.930000000000007</v>
      </c>
      <c r="BO204" s="64">
        <f t="shared" ref="BO204:BO211" si="34">IFERROR(1/J204*(X204/H204),"0")</f>
        <v>9.8204264870931535E-2</v>
      </c>
      <c r="BP204" s="64">
        <f t="shared" ref="BP204:BP211" si="35">IFERROR(1/J204*(Y204/H204),"0")</f>
        <v>9.8484848484848481E-2</v>
      </c>
    </row>
    <row r="205" spans="1:68" ht="27" customHeight="1" x14ac:dyDescent="0.25">
      <c r="A205" s="54" t="s">
        <v>343</v>
      </c>
      <c r="B205" s="54" t="s">
        <v>344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69</v>
      </c>
      <c r="X205" s="667">
        <v>40</v>
      </c>
      <c r="Y205" s="668">
        <f t="shared" si="31"/>
        <v>43.2</v>
      </c>
      <c r="Z205" s="36">
        <f>IFERROR(IF(Y205=0,"",ROUNDUP(Y205/H205,0)*0.00902),"")</f>
        <v>7.2160000000000002E-2</v>
      </c>
      <c r="AA205" s="56"/>
      <c r="AB205" s="57"/>
      <c r="AC205" s="253" t="s">
        <v>345</v>
      </c>
      <c r="AG205" s="64"/>
      <c r="AJ205" s="68"/>
      <c r="AK205" s="68">
        <v>0</v>
      </c>
      <c r="BB205" s="254" t="s">
        <v>1</v>
      </c>
      <c r="BM205" s="64">
        <f t="shared" si="32"/>
        <v>41.555555555555557</v>
      </c>
      <c r="BN205" s="64">
        <f t="shared" si="33"/>
        <v>44.88</v>
      </c>
      <c r="BO205" s="64">
        <f t="shared" si="34"/>
        <v>5.6116722783389444E-2</v>
      </c>
      <c r="BP205" s="64">
        <f t="shared" si="35"/>
        <v>6.0606060606060608E-2</v>
      </c>
    </row>
    <row r="206" spans="1:68" ht="27" customHeight="1" x14ac:dyDescent="0.25">
      <c r="A206" s="54" t="s">
        <v>346</v>
      </c>
      <c r="B206" s="54" t="s">
        <v>347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69</v>
      </c>
      <c r="X206" s="667">
        <v>300</v>
      </c>
      <c r="Y206" s="668">
        <f t="shared" si="31"/>
        <v>302.40000000000003</v>
      </c>
      <c r="Z206" s="36">
        <f>IFERROR(IF(Y206=0,"",ROUNDUP(Y206/H206,0)*0.00902),"")</f>
        <v>0.50512000000000001</v>
      </c>
      <c r="AA206" s="56"/>
      <c r="AB206" s="57"/>
      <c r="AC206" s="255" t="s">
        <v>348</v>
      </c>
      <c r="AG206" s="64"/>
      <c r="AJ206" s="68"/>
      <c r="AK206" s="68">
        <v>0</v>
      </c>
      <c r="BB206" s="256" t="s">
        <v>1</v>
      </c>
      <c r="BM206" s="64">
        <f t="shared" si="32"/>
        <v>311.66666666666663</v>
      </c>
      <c r="BN206" s="64">
        <f t="shared" si="33"/>
        <v>314.16000000000003</v>
      </c>
      <c r="BO206" s="64">
        <f t="shared" si="34"/>
        <v>0.42087542087542085</v>
      </c>
      <c r="BP206" s="64">
        <f t="shared" si="35"/>
        <v>0.42424242424242425</v>
      </c>
    </row>
    <row r="207" spans="1:68" ht="27" customHeight="1" x14ac:dyDescent="0.25">
      <c r="A207" s="54" t="s">
        <v>349</v>
      </c>
      <c r="B207" s="54" t="s">
        <v>350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69</v>
      </c>
      <c r="X207" s="667">
        <v>60</v>
      </c>
      <c r="Y207" s="668">
        <f t="shared" si="31"/>
        <v>64.800000000000011</v>
      </c>
      <c r="Z207" s="36">
        <f>IFERROR(IF(Y207=0,"",ROUNDUP(Y207/H207,0)*0.00902),"")</f>
        <v>0.10824</v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 t="shared" si="32"/>
        <v>62.333333333333336</v>
      </c>
      <c r="BN207" s="64">
        <f t="shared" si="33"/>
        <v>67.320000000000007</v>
      </c>
      <c r="BO207" s="64">
        <f t="shared" si="34"/>
        <v>8.4175084175084181E-2</v>
      </c>
      <c r="BP207" s="64">
        <f t="shared" si="35"/>
        <v>9.0909090909090925E-2</v>
      </c>
    </row>
    <row r="208" spans="1:68" ht="27" customHeight="1" x14ac:dyDescent="0.25">
      <c r="A208" s="54" t="s">
        <v>352</v>
      </c>
      <c r="B208" s="54" t="s">
        <v>353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342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354</v>
      </c>
      <c r="B209" s="54" t="s">
        <v>355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150</v>
      </c>
      <c r="L209" s="32"/>
      <c r="M209" s="33" t="s">
        <v>68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345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356</v>
      </c>
      <c r="B210" s="54" t="s">
        <v>357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150</v>
      </c>
      <c r="L210" s="32"/>
      <c r="M210" s="33" t="s">
        <v>68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69</v>
      </c>
      <c r="X210" s="667">
        <v>30</v>
      </c>
      <c r="Y210" s="668">
        <f t="shared" si="31"/>
        <v>30.6</v>
      </c>
      <c r="Z210" s="36">
        <f>IFERROR(IF(Y210=0,"",ROUNDUP(Y210/H210,0)*0.00502),"")</f>
        <v>8.5339999999999999E-2</v>
      </c>
      <c r="AA210" s="56"/>
      <c r="AB210" s="57"/>
      <c r="AC210" s="263" t="s">
        <v>348</v>
      </c>
      <c r="AG210" s="64"/>
      <c r="AJ210" s="68"/>
      <c r="AK210" s="68">
        <v>0</v>
      </c>
      <c r="BB210" s="264" t="s">
        <v>1</v>
      </c>
      <c r="BM210" s="64">
        <f t="shared" si="32"/>
        <v>31.666666666666664</v>
      </c>
      <c r="BN210" s="64">
        <f t="shared" si="33"/>
        <v>32.299999999999997</v>
      </c>
      <c r="BO210" s="64">
        <f t="shared" si="34"/>
        <v>7.122507122507124E-2</v>
      </c>
      <c r="BP210" s="64">
        <f t="shared" si="35"/>
        <v>7.2649572649572655E-2</v>
      </c>
    </row>
    <row r="211" spans="1:68" ht="27" customHeight="1" x14ac:dyDescent="0.25">
      <c r="A211" s="54" t="s">
        <v>358</v>
      </c>
      <c r="B211" s="54" t="s">
        <v>359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150</v>
      </c>
      <c r="L211" s="32"/>
      <c r="M211" s="33" t="s">
        <v>68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351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88</v>
      </c>
      <c r="Q212" s="689"/>
      <c r="R212" s="689"/>
      <c r="S212" s="689"/>
      <c r="T212" s="689"/>
      <c r="U212" s="689"/>
      <c r="V212" s="690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103.70370370370371</v>
      </c>
      <c r="Y212" s="669">
        <f>IFERROR(Y204/H204,"0")+IFERROR(Y205/H205,"0")+IFERROR(Y206/H206,"0")+IFERROR(Y207/H207,"0")+IFERROR(Y208/H208,"0")+IFERROR(Y209/H209,"0")+IFERROR(Y210/H210,"0")+IFERROR(Y211/H211,"0")</f>
        <v>106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0.88812000000000002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88</v>
      </c>
      <c r="Q213" s="689"/>
      <c r="R213" s="689"/>
      <c r="S213" s="689"/>
      <c r="T213" s="689"/>
      <c r="U213" s="689"/>
      <c r="V213" s="690"/>
      <c r="W213" s="37" t="s">
        <v>69</v>
      </c>
      <c r="X213" s="669">
        <f>IFERROR(SUM(X204:X211),"0")</f>
        <v>500</v>
      </c>
      <c r="Y213" s="669">
        <f>IFERROR(SUM(Y204:Y211),"0")</f>
        <v>511.2000000000001</v>
      </c>
      <c r="Z213" s="37"/>
      <c r="AA213" s="670"/>
      <c r="AB213" s="670"/>
      <c r="AC213" s="670"/>
    </row>
    <row r="214" spans="1:68" ht="14.25" customHeight="1" x14ac:dyDescent="0.25">
      <c r="A214" s="684" t="s">
        <v>64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360</v>
      </c>
      <c r="B215" s="54" t="s">
        <v>361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362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365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366</v>
      </c>
      <c r="B217" s="54" t="s">
        <v>367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69</v>
      </c>
      <c r="X217" s="667">
        <v>50</v>
      </c>
      <c r="Y217" s="668">
        <f t="shared" si="36"/>
        <v>52.199999999999996</v>
      </c>
      <c r="Z217" s="36">
        <f>IFERROR(IF(Y217=0,"",ROUNDUP(Y217/H217,0)*0.01898),"")</f>
        <v>0.11388000000000001</v>
      </c>
      <c r="AA217" s="56"/>
      <c r="AB217" s="57"/>
      <c r="AC217" s="271" t="s">
        <v>368</v>
      </c>
      <c r="AG217" s="64"/>
      <c r="AJ217" s="68"/>
      <c r="AK217" s="68">
        <v>0</v>
      </c>
      <c r="BB217" s="272" t="s">
        <v>1</v>
      </c>
      <c r="BM217" s="64">
        <f t="shared" si="37"/>
        <v>52.982758620689658</v>
      </c>
      <c r="BN217" s="64">
        <f t="shared" si="38"/>
        <v>55.313999999999993</v>
      </c>
      <c r="BO217" s="64">
        <f t="shared" si="39"/>
        <v>8.9798850574712652E-2</v>
      </c>
      <c r="BP217" s="64">
        <f t="shared" si="40"/>
        <v>9.375E-2</v>
      </c>
    </row>
    <row r="218" spans="1:68" ht="27" customHeight="1" x14ac:dyDescent="0.25">
      <c r="A218" s="54" t="s">
        <v>369</v>
      </c>
      <c r="B218" s="54" t="s">
        <v>370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69</v>
      </c>
      <c r="X218" s="667">
        <v>320</v>
      </c>
      <c r="Y218" s="668">
        <f t="shared" si="36"/>
        <v>321.59999999999997</v>
      </c>
      <c r="Z218" s="36">
        <f t="shared" ref="Z218:Z223" si="41">IFERROR(IF(Y218=0,"",ROUNDUP(Y218/H218,0)*0.00651),"")</f>
        <v>0.87234</v>
      </c>
      <c r="AA218" s="56"/>
      <c r="AB218" s="57"/>
      <c r="AC218" s="273" t="s">
        <v>362</v>
      </c>
      <c r="AG218" s="64"/>
      <c r="AJ218" s="68"/>
      <c r="AK218" s="68">
        <v>0</v>
      </c>
      <c r="BB218" s="274" t="s">
        <v>1</v>
      </c>
      <c r="BM218" s="64">
        <f t="shared" si="37"/>
        <v>356</v>
      </c>
      <c r="BN218" s="64">
        <f t="shared" si="38"/>
        <v>357.78</v>
      </c>
      <c r="BO218" s="64">
        <f t="shared" si="39"/>
        <v>0.73260073260073266</v>
      </c>
      <c r="BP218" s="64">
        <f t="shared" si="40"/>
        <v>0.73626373626373631</v>
      </c>
    </row>
    <row r="219" spans="1:68" ht="27" customHeight="1" x14ac:dyDescent="0.25">
      <c r="A219" s="54" t="s">
        <v>371</v>
      </c>
      <c r="B219" s="54" t="s">
        <v>372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373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69</v>
      </c>
      <c r="X220" s="667">
        <v>240</v>
      </c>
      <c r="Y220" s="668">
        <f t="shared" si="36"/>
        <v>240</v>
      </c>
      <c r="Z220" s="36">
        <f t="shared" si="41"/>
        <v>0.65100000000000002</v>
      </c>
      <c r="AA220" s="56"/>
      <c r="AB220" s="57"/>
      <c r="AC220" s="277" t="s">
        <v>368</v>
      </c>
      <c r="AG220" s="64"/>
      <c r="AJ220" s="68"/>
      <c r="AK220" s="68">
        <v>0</v>
      </c>
      <c r="BB220" s="278" t="s">
        <v>1</v>
      </c>
      <c r="BM220" s="64">
        <f t="shared" si="37"/>
        <v>265.20000000000005</v>
      </c>
      <c r="BN220" s="64">
        <f t="shared" si="38"/>
        <v>265.20000000000005</v>
      </c>
      <c r="BO220" s="64">
        <f t="shared" si="39"/>
        <v>0.5494505494505495</v>
      </c>
      <c r="BP220" s="64">
        <f t="shared" si="40"/>
        <v>0.5494505494505495</v>
      </c>
    </row>
    <row r="221" spans="1:68" ht="27" customHeight="1" x14ac:dyDescent="0.25">
      <c r="A221" s="54" t="s">
        <v>376</v>
      </c>
      <c r="B221" s="54" t="s">
        <v>377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368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132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69</v>
      </c>
      <c r="X222" s="667">
        <v>100</v>
      </c>
      <c r="Y222" s="668">
        <f t="shared" si="36"/>
        <v>100.8</v>
      </c>
      <c r="Z222" s="36">
        <f t="shared" si="41"/>
        <v>0.27342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37"/>
        <v>110.5</v>
      </c>
      <c r="BN222" s="64">
        <f t="shared" si="38"/>
        <v>111.384</v>
      </c>
      <c r="BO222" s="64">
        <f t="shared" si="39"/>
        <v>0.22893772893772898</v>
      </c>
      <c r="BP222" s="64">
        <f t="shared" si="40"/>
        <v>0.23076923076923078</v>
      </c>
    </row>
    <row r="223" spans="1:68" ht="27" customHeight="1" x14ac:dyDescent="0.25">
      <c r="A223" s="54" t="s">
        <v>381</v>
      </c>
      <c r="B223" s="54" t="s">
        <v>382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69</v>
      </c>
      <c r="X223" s="667">
        <v>240</v>
      </c>
      <c r="Y223" s="668">
        <f t="shared" si="36"/>
        <v>240</v>
      </c>
      <c r="Z223" s="36">
        <f t="shared" si="41"/>
        <v>0.65100000000000002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37"/>
        <v>265.8</v>
      </c>
      <c r="BN223" s="64">
        <f t="shared" si="38"/>
        <v>265.8</v>
      </c>
      <c r="BO223" s="64">
        <f t="shared" si="39"/>
        <v>0.5494505494505495</v>
      </c>
      <c r="BP223" s="64">
        <f t="shared" si="40"/>
        <v>0.5494505494505495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88</v>
      </c>
      <c r="Q224" s="689"/>
      <c r="R224" s="689"/>
      <c r="S224" s="689"/>
      <c r="T224" s="689"/>
      <c r="U224" s="689"/>
      <c r="V224" s="690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380.74712643678163</v>
      </c>
      <c r="Y224" s="669">
        <f>IFERROR(Y215/H215,"0")+IFERROR(Y216/H216,"0")+IFERROR(Y217/H217,"0")+IFERROR(Y218/H218,"0")+IFERROR(Y219/H219,"0")+IFERROR(Y220/H220,"0")+IFERROR(Y221/H221,"0")+IFERROR(Y222/H222,"0")+IFERROR(Y223/H223,"0")</f>
        <v>382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2.5616400000000001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88</v>
      </c>
      <c r="Q225" s="689"/>
      <c r="R225" s="689"/>
      <c r="S225" s="689"/>
      <c r="T225" s="689"/>
      <c r="U225" s="689"/>
      <c r="V225" s="690"/>
      <c r="W225" s="37" t="s">
        <v>69</v>
      </c>
      <c r="X225" s="669">
        <f>IFERROR(SUM(X215:X223),"0")</f>
        <v>950</v>
      </c>
      <c r="Y225" s="669">
        <f>IFERROR(SUM(Y215:Y223),"0")</f>
        <v>954.59999999999991</v>
      </c>
      <c r="Z225" s="37"/>
      <c r="AA225" s="670"/>
      <c r="AB225" s="670"/>
      <c r="AC225" s="670"/>
    </row>
    <row r="226" spans="1:68" ht="14.25" customHeight="1" x14ac:dyDescent="0.25">
      <c r="A226" s="684" t="s">
        <v>173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384</v>
      </c>
      <c r="B227" s="54" t="s">
        <v>385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132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386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69</v>
      </c>
      <c r="X228" s="667">
        <v>8</v>
      </c>
      <c r="Y228" s="668">
        <f>IFERROR(IF(X228="",0,CEILING((X228/$H228),1)*$H228),"")</f>
        <v>9.6</v>
      </c>
      <c r="Z228" s="36">
        <f>IFERROR(IF(Y228=0,"",ROUNDUP(Y228/H228,0)*0.00651),"")</f>
        <v>2.6040000000000001E-2</v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>IFERROR(X228*I228/H228,"0")</f>
        <v>8.8400000000000016</v>
      </c>
      <c r="BN228" s="64">
        <f>IFERROR(Y228*I228/H228,"0")</f>
        <v>10.608000000000001</v>
      </c>
      <c r="BO228" s="64">
        <f>IFERROR(1/J228*(X228/H228),"0")</f>
        <v>1.8315018315018316E-2</v>
      </c>
      <c r="BP228" s="64">
        <f>IFERROR(1/J228*(Y228/H228),"0")</f>
        <v>2.197802197802198E-2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88</v>
      </c>
      <c r="Q229" s="689"/>
      <c r="R229" s="689"/>
      <c r="S229" s="689"/>
      <c r="T229" s="689"/>
      <c r="U229" s="689"/>
      <c r="V229" s="690"/>
      <c r="W229" s="37" t="s">
        <v>89</v>
      </c>
      <c r="X229" s="669">
        <f>IFERROR(X227/H227,"0")+IFERROR(X228/H228,"0")</f>
        <v>3.3333333333333335</v>
      </c>
      <c r="Y229" s="669">
        <f>IFERROR(Y227/H227,"0")+IFERROR(Y228/H228,"0")</f>
        <v>4</v>
      </c>
      <c r="Z229" s="669">
        <f>IFERROR(IF(Z227="",0,Z227),"0")+IFERROR(IF(Z228="",0,Z228),"0")</f>
        <v>2.6040000000000001E-2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88</v>
      </c>
      <c r="Q230" s="689"/>
      <c r="R230" s="689"/>
      <c r="S230" s="689"/>
      <c r="T230" s="689"/>
      <c r="U230" s="689"/>
      <c r="V230" s="690"/>
      <c r="W230" s="37" t="s">
        <v>69</v>
      </c>
      <c r="X230" s="669">
        <f>IFERROR(SUM(X227:X228),"0")</f>
        <v>8</v>
      </c>
      <c r="Y230" s="669">
        <f>IFERROR(SUM(Y227:Y228),"0")</f>
        <v>9.6</v>
      </c>
      <c r="Z230" s="37"/>
      <c r="AA230" s="670"/>
      <c r="AB230" s="670"/>
      <c r="AC230" s="670"/>
    </row>
    <row r="231" spans="1:68" ht="16.5" customHeight="1" x14ac:dyDescent="0.25">
      <c r="A231" s="685" t="s">
        <v>390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98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391</v>
      </c>
      <c r="B233" s="54" t="s">
        <v>392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393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391</v>
      </c>
      <c r="B234" s="54" t="s">
        <v>394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101</v>
      </c>
      <c r="L234" s="32"/>
      <c r="M234" s="33" t="s">
        <v>395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396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399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101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69</v>
      </c>
      <c r="X236" s="667">
        <v>120</v>
      </c>
      <c r="Y236" s="668">
        <f t="shared" si="42"/>
        <v>127.6</v>
      </c>
      <c r="Z236" s="36">
        <f>IFERROR(IF(Y236=0,"",ROUNDUP(Y236/H236,0)*0.01898),"")</f>
        <v>0.20877999999999999</v>
      </c>
      <c r="AA236" s="56"/>
      <c r="AB236" s="57"/>
      <c r="AC236" s="295" t="s">
        <v>402</v>
      </c>
      <c r="AG236" s="64"/>
      <c r="AJ236" s="68"/>
      <c r="AK236" s="68">
        <v>0</v>
      </c>
      <c r="BB236" s="296" t="s">
        <v>1</v>
      </c>
      <c r="BM236" s="64">
        <f t="shared" si="43"/>
        <v>124.50000000000001</v>
      </c>
      <c r="BN236" s="64">
        <f t="shared" si="44"/>
        <v>132.38499999999999</v>
      </c>
      <c r="BO236" s="64">
        <f t="shared" si="45"/>
        <v>0.16163793103448276</v>
      </c>
      <c r="BP236" s="64">
        <f t="shared" si="46"/>
        <v>0.171875</v>
      </c>
    </row>
    <row r="237" spans="1:68" ht="27" customHeight="1" x14ac:dyDescent="0.25">
      <c r="A237" s="54" t="s">
        <v>400</v>
      </c>
      <c r="B237" s="54" t="s">
        <v>403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101</v>
      </c>
      <c r="L237" s="32"/>
      <c r="M237" s="33" t="s">
        <v>395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396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404</v>
      </c>
      <c r="B238" s="54" t="s">
        <v>405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69</v>
      </c>
      <c r="X238" s="667">
        <v>48</v>
      </c>
      <c r="Y238" s="668">
        <f t="shared" si="42"/>
        <v>48</v>
      </c>
      <c r="Z238" s="36">
        <f>IFERROR(IF(Y238=0,"",ROUNDUP(Y238/H238,0)*0.00902),"")</f>
        <v>0.10824</v>
      </c>
      <c r="AA238" s="56"/>
      <c r="AB238" s="57"/>
      <c r="AC238" s="299" t="s">
        <v>393</v>
      </c>
      <c r="AG238" s="64"/>
      <c r="AJ238" s="68"/>
      <c r="AK238" s="68">
        <v>0</v>
      </c>
      <c r="BB238" s="300" t="s">
        <v>1</v>
      </c>
      <c r="BM238" s="64">
        <f t="shared" si="43"/>
        <v>50.519999999999996</v>
      </c>
      <c r="BN238" s="64">
        <f t="shared" si="44"/>
        <v>50.519999999999996</v>
      </c>
      <c r="BO238" s="64">
        <f t="shared" si="45"/>
        <v>9.0909090909090912E-2</v>
      </c>
      <c r="BP238" s="64">
        <f t="shared" si="46"/>
        <v>9.0909090909090912E-2</v>
      </c>
    </row>
    <row r="239" spans="1:68" ht="27" customHeight="1" x14ac:dyDescent="0.25">
      <c r="A239" s="54" t="s">
        <v>406</v>
      </c>
      <c r="B239" s="54" t="s">
        <v>407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399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408</v>
      </c>
      <c r="B240" s="54" t="s">
        <v>409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69</v>
      </c>
      <c r="X240" s="667">
        <v>20</v>
      </c>
      <c r="Y240" s="668">
        <f t="shared" si="42"/>
        <v>20</v>
      </c>
      <c r="Z240" s="36">
        <f>IFERROR(IF(Y240=0,"",ROUNDUP(Y240/H240,0)*0.00902),"")</f>
        <v>4.5100000000000001E-2</v>
      </c>
      <c r="AA240" s="56"/>
      <c r="AB240" s="57"/>
      <c r="AC240" s="303" t="s">
        <v>402</v>
      </c>
      <c r="AG240" s="64"/>
      <c r="AJ240" s="68"/>
      <c r="AK240" s="68">
        <v>0</v>
      </c>
      <c r="BB240" s="304" t="s">
        <v>1</v>
      </c>
      <c r="BM240" s="64">
        <f t="shared" si="43"/>
        <v>21.05</v>
      </c>
      <c r="BN240" s="64">
        <f t="shared" si="44"/>
        <v>21.05</v>
      </c>
      <c r="BO240" s="64">
        <f t="shared" si="45"/>
        <v>3.787878787878788E-2</v>
      </c>
      <c r="BP240" s="64">
        <f t="shared" si="46"/>
        <v>3.787878787878788E-2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88</v>
      </c>
      <c r="Q241" s="689"/>
      <c r="R241" s="689"/>
      <c r="S241" s="689"/>
      <c r="T241" s="689"/>
      <c r="U241" s="689"/>
      <c r="V241" s="690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27.344827586206897</v>
      </c>
      <c r="Y241" s="669">
        <f>IFERROR(Y233/H233,"0")+IFERROR(Y234/H234,"0")+IFERROR(Y235/H235,"0")+IFERROR(Y236/H236,"0")+IFERROR(Y237/H237,"0")+IFERROR(Y238/H238,"0")+IFERROR(Y239/H239,"0")+IFERROR(Y240/H240,"0")</f>
        <v>28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0.36212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88</v>
      </c>
      <c r="Q242" s="689"/>
      <c r="R242" s="689"/>
      <c r="S242" s="689"/>
      <c r="T242" s="689"/>
      <c r="U242" s="689"/>
      <c r="V242" s="690"/>
      <c r="W242" s="37" t="s">
        <v>69</v>
      </c>
      <c r="X242" s="669">
        <f>IFERROR(SUM(X233:X240),"0")</f>
        <v>188</v>
      </c>
      <c r="Y242" s="669">
        <f>IFERROR(SUM(Y233:Y240),"0")</f>
        <v>195.6</v>
      </c>
      <c r="Z242" s="37"/>
      <c r="AA242" s="670"/>
      <c r="AB242" s="670"/>
      <c r="AC242" s="670"/>
    </row>
    <row r="243" spans="1:68" ht="14.25" customHeight="1" x14ac:dyDescent="0.25">
      <c r="A243" s="684" t="s">
        <v>136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410</v>
      </c>
      <c r="B244" s="54" t="s">
        <v>411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150</v>
      </c>
      <c r="L244" s="32"/>
      <c r="M244" s="33" t="s">
        <v>108</v>
      </c>
      <c r="N244" s="33"/>
      <c r="O244" s="32">
        <v>50</v>
      </c>
      <c r="P244" s="673" t="s">
        <v>412</v>
      </c>
      <c r="Q244" s="674"/>
      <c r="R244" s="674"/>
      <c r="S244" s="674"/>
      <c r="T244" s="675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413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410</v>
      </c>
      <c r="B245" s="54" t="s">
        <v>414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150</v>
      </c>
      <c r="L245" s="32"/>
      <c r="M245" s="33" t="s">
        <v>108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413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88</v>
      </c>
      <c r="Q246" s="689"/>
      <c r="R246" s="689"/>
      <c r="S246" s="689"/>
      <c r="T246" s="689"/>
      <c r="U246" s="689"/>
      <c r="V246" s="690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88</v>
      </c>
      <c r="Q247" s="689"/>
      <c r="R247" s="689"/>
      <c r="S247" s="689"/>
      <c r="T247" s="689"/>
      <c r="U247" s="689"/>
      <c r="V247" s="690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415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416</v>
      </c>
      <c r="B249" s="54" t="s">
        <v>417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313</v>
      </c>
      <c r="L249" s="32"/>
      <c r="M249" s="33" t="s">
        <v>314</v>
      </c>
      <c r="N249" s="33"/>
      <c r="O249" s="32">
        <v>45</v>
      </c>
      <c r="P249" s="700" t="s">
        <v>418</v>
      </c>
      <c r="Q249" s="674"/>
      <c r="R249" s="674"/>
      <c r="S249" s="674"/>
      <c r="T249" s="675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88</v>
      </c>
      <c r="Q250" s="689"/>
      <c r="R250" s="689"/>
      <c r="S250" s="689"/>
      <c r="T250" s="689"/>
      <c r="U250" s="689"/>
      <c r="V250" s="690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88</v>
      </c>
      <c r="Q251" s="689"/>
      <c r="R251" s="689"/>
      <c r="S251" s="689"/>
      <c r="T251" s="689"/>
      <c r="U251" s="689"/>
      <c r="V251" s="690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420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421</v>
      </c>
      <c r="B253" s="54" t="s">
        <v>422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1004" t="s">
        <v>423</v>
      </c>
      <c r="Q253" s="674"/>
      <c r="R253" s="674"/>
      <c r="S253" s="674"/>
      <c r="T253" s="675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316</v>
      </c>
      <c r="AC253" s="311" t="s">
        <v>424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425</v>
      </c>
      <c r="B254" s="54" t="s">
        <v>426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921" t="s">
        <v>427</v>
      </c>
      <c r="Q254" s="674"/>
      <c r="R254" s="674"/>
      <c r="S254" s="674"/>
      <c r="T254" s="675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316</v>
      </c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428</v>
      </c>
      <c r="B255" s="54" t="s">
        <v>429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773" t="s">
        <v>430</v>
      </c>
      <c r="Q255" s="674"/>
      <c r="R255" s="674"/>
      <c r="S255" s="674"/>
      <c r="T255" s="675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316</v>
      </c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925" t="s">
        <v>433</v>
      </c>
      <c r="Q256" s="674"/>
      <c r="R256" s="674"/>
      <c r="S256" s="674"/>
      <c r="T256" s="675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316</v>
      </c>
      <c r="AC256" s="317" t="s">
        <v>424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434</v>
      </c>
      <c r="B257" s="54" t="s">
        <v>435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313</v>
      </c>
      <c r="L257" s="32"/>
      <c r="M257" s="33" t="s">
        <v>314</v>
      </c>
      <c r="N257" s="33"/>
      <c r="O257" s="32">
        <v>90</v>
      </c>
      <c r="P257" s="938" t="s">
        <v>436</v>
      </c>
      <c r="Q257" s="674"/>
      <c r="R257" s="674"/>
      <c r="S257" s="674"/>
      <c r="T257" s="675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424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88</v>
      </c>
      <c r="Q258" s="689"/>
      <c r="R258" s="689"/>
      <c r="S258" s="689"/>
      <c r="T258" s="689"/>
      <c r="U258" s="689"/>
      <c r="V258" s="690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88</v>
      </c>
      <c r="Q259" s="689"/>
      <c r="R259" s="689"/>
      <c r="S259" s="689"/>
      <c r="T259" s="689"/>
      <c r="U259" s="689"/>
      <c r="V259" s="690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437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98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438</v>
      </c>
      <c r="B262" s="54" t="s">
        <v>439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440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441</v>
      </c>
      <c r="B263" s="54" t="s">
        <v>442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101</v>
      </c>
      <c r="L263" s="32"/>
      <c r="M263" s="33" t="s">
        <v>102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441</v>
      </c>
      <c r="B264" s="54" t="s">
        <v>444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101</v>
      </c>
      <c r="L264" s="32"/>
      <c r="M264" s="33" t="s">
        <v>395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445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446</v>
      </c>
      <c r="B265" s="54" t="s">
        <v>447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448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449</v>
      </c>
      <c r="B266" s="54" t="s">
        <v>450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451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454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88</v>
      </c>
      <c r="Q268" s="689"/>
      <c r="R268" s="689"/>
      <c r="S268" s="689"/>
      <c r="T268" s="689"/>
      <c r="U268" s="689"/>
      <c r="V268" s="690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88</v>
      </c>
      <c r="Q269" s="689"/>
      <c r="R269" s="689"/>
      <c r="S269" s="689"/>
      <c r="T269" s="689"/>
      <c r="U269" s="689"/>
      <c r="V269" s="690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455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98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456</v>
      </c>
      <c r="B272" s="54" t="s">
        <v>457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88</v>
      </c>
      <c r="Q273" s="689"/>
      <c r="R273" s="689"/>
      <c r="S273" s="689"/>
      <c r="T273" s="689"/>
      <c r="U273" s="689"/>
      <c r="V273" s="690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88</v>
      </c>
      <c r="Q274" s="689"/>
      <c r="R274" s="689"/>
      <c r="S274" s="689"/>
      <c r="T274" s="689"/>
      <c r="U274" s="689"/>
      <c r="V274" s="690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459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98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460</v>
      </c>
      <c r="B277" s="54" t="s">
        <v>461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462</v>
      </c>
      <c r="B278" s="54" t="s">
        <v>463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464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467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468</v>
      </c>
      <c r="B280" s="54" t="s">
        <v>469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0" t="s">
        <v>470</v>
      </c>
      <c r="Q280" s="674"/>
      <c r="R280" s="674"/>
      <c r="S280" s="674"/>
      <c r="T280" s="675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471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88</v>
      </c>
      <c r="Q281" s="689"/>
      <c r="R281" s="689"/>
      <c r="S281" s="689"/>
      <c r="T281" s="689"/>
      <c r="U281" s="689"/>
      <c r="V281" s="690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88</v>
      </c>
      <c r="Q282" s="689"/>
      <c r="R282" s="689"/>
      <c r="S282" s="689"/>
      <c r="T282" s="689"/>
      <c r="U282" s="689"/>
      <c r="V282" s="690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472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473</v>
      </c>
      <c r="B285" s="54" t="s">
        <v>474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132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475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132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69</v>
      </c>
      <c r="X287" s="667">
        <v>80</v>
      </c>
      <c r="Y287" s="668">
        <f>IFERROR(IF(X287="",0,CEILING((X287/$H287),1)*$H287),"")</f>
        <v>81.599999999999994</v>
      </c>
      <c r="Z287" s="36">
        <f>IFERROR(IF(Y287=0,"",ROUNDUP(Y287/H287,0)*0.00651),"")</f>
        <v>0.22134000000000001</v>
      </c>
      <c r="AA287" s="56"/>
      <c r="AB287" s="57"/>
      <c r="AC287" s="347" t="s">
        <v>475</v>
      </c>
      <c r="AG287" s="64"/>
      <c r="AJ287" s="68"/>
      <c r="AK287" s="68">
        <v>0</v>
      </c>
      <c r="BB287" s="348" t="s">
        <v>1</v>
      </c>
      <c r="BM287" s="64">
        <f>IFERROR(X287*I287/H287,"0")</f>
        <v>88.40000000000002</v>
      </c>
      <c r="BN287" s="64">
        <f>IFERROR(Y287*I287/H287,"0")</f>
        <v>90.168000000000006</v>
      </c>
      <c r="BO287" s="64">
        <f>IFERROR(1/J287*(X287/H287),"0")</f>
        <v>0.18315018315018317</v>
      </c>
      <c r="BP287" s="64">
        <f>IFERROR(1/J287*(Y287/H287),"0")</f>
        <v>0.18681318681318682</v>
      </c>
    </row>
    <row r="288" spans="1:68" ht="37.5" customHeight="1" x14ac:dyDescent="0.25">
      <c r="A288" s="54" t="s">
        <v>481</v>
      </c>
      <c r="B288" s="54" t="s">
        <v>482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69</v>
      </c>
      <c r="X288" s="667">
        <v>240</v>
      </c>
      <c r="Y288" s="668">
        <f>IFERROR(IF(X288="",0,CEILING((X288/$H288),1)*$H288),"")</f>
        <v>240</v>
      </c>
      <c r="Z288" s="36">
        <f>IFERROR(IF(Y288=0,"",ROUNDUP(Y288/H288,0)*0.00651),"")</f>
        <v>0.65100000000000002</v>
      </c>
      <c r="AA288" s="56"/>
      <c r="AB288" s="57"/>
      <c r="AC288" s="349" t="s">
        <v>483</v>
      </c>
      <c r="AG288" s="64"/>
      <c r="AJ288" s="68" t="s">
        <v>109</v>
      </c>
      <c r="AK288" s="68">
        <v>436.8</v>
      </c>
      <c r="BB288" s="350" t="s">
        <v>1</v>
      </c>
      <c r="BM288" s="64">
        <f>IFERROR(X288*I288/H288,"0")</f>
        <v>258.00000000000006</v>
      </c>
      <c r="BN288" s="64">
        <f>IFERROR(Y288*I288/H288,"0")</f>
        <v>258.00000000000006</v>
      </c>
      <c r="BO288" s="64">
        <f>IFERROR(1/J288*(X288/H288),"0")</f>
        <v>0.5494505494505495</v>
      </c>
      <c r="BP288" s="64">
        <f>IFERROR(1/J288*(Y288/H288),"0")</f>
        <v>0.5494505494505495</v>
      </c>
    </row>
    <row r="289" spans="1:68" ht="27" customHeight="1" x14ac:dyDescent="0.25">
      <c r="A289" s="54" t="s">
        <v>484</v>
      </c>
      <c r="B289" s="54" t="s">
        <v>485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478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88</v>
      </c>
      <c r="Q290" s="689"/>
      <c r="R290" s="689"/>
      <c r="S290" s="689"/>
      <c r="T290" s="689"/>
      <c r="U290" s="689"/>
      <c r="V290" s="690"/>
      <c r="W290" s="37" t="s">
        <v>89</v>
      </c>
      <c r="X290" s="669">
        <f>IFERROR(X285/H285,"0")+IFERROR(X286/H286,"0")+IFERROR(X287/H287,"0")+IFERROR(X288/H288,"0")+IFERROR(X289/H289,"0")</f>
        <v>133.33333333333334</v>
      </c>
      <c r="Y290" s="669">
        <f>IFERROR(Y285/H285,"0")+IFERROR(Y286/H286,"0")+IFERROR(Y287/H287,"0")+IFERROR(Y288/H288,"0")+IFERROR(Y289/H289,"0")</f>
        <v>134</v>
      </c>
      <c r="Z290" s="669">
        <f>IFERROR(IF(Z285="",0,Z285),"0")+IFERROR(IF(Z286="",0,Z286),"0")+IFERROR(IF(Z287="",0,Z287),"0")+IFERROR(IF(Z288="",0,Z288),"0")+IFERROR(IF(Z289="",0,Z289),"0")</f>
        <v>0.87234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88</v>
      </c>
      <c r="Q291" s="689"/>
      <c r="R291" s="689"/>
      <c r="S291" s="689"/>
      <c r="T291" s="689"/>
      <c r="U291" s="689"/>
      <c r="V291" s="690"/>
      <c r="W291" s="37" t="s">
        <v>69</v>
      </c>
      <c r="X291" s="669">
        <f>IFERROR(SUM(X285:X289),"0")</f>
        <v>320</v>
      </c>
      <c r="Y291" s="669">
        <f>IFERROR(SUM(Y285:Y289),"0")</f>
        <v>321.60000000000002</v>
      </c>
      <c r="Z291" s="37"/>
      <c r="AA291" s="670"/>
      <c r="AB291" s="670"/>
      <c r="AC291" s="670"/>
    </row>
    <row r="292" spans="1:68" ht="16.5" customHeight="1" x14ac:dyDescent="0.25">
      <c r="A292" s="685" t="s">
        <v>486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98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487</v>
      </c>
      <c r="B294" s="54" t="s">
        <v>488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489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88</v>
      </c>
      <c r="Q295" s="689"/>
      <c r="R295" s="689"/>
      <c r="S295" s="689"/>
      <c r="T295" s="689"/>
      <c r="U295" s="689"/>
      <c r="V295" s="690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88</v>
      </c>
      <c r="Q296" s="689"/>
      <c r="R296" s="689"/>
      <c r="S296" s="689"/>
      <c r="T296" s="689"/>
      <c r="U296" s="689"/>
      <c r="V296" s="690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147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490</v>
      </c>
      <c r="B298" s="54" t="s">
        <v>491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150</v>
      </c>
      <c r="L298" s="32"/>
      <c r="M298" s="33" t="s">
        <v>68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492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88</v>
      </c>
      <c r="Q299" s="689"/>
      <c r="R299" s="689"/>
      <c r="S299" s="689"/>
      <c r="T299" s="689"/>
      <c r="U299" s="689"/>
      <c r="V299" s="690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88</v>
      </c>
      <c r="Q300" s="689"/>
      <c r="R300" s="689"/>
      <c r="S300" s="689"/>
      <c r="T300" s="689"/>
      <c r="U300" s="689"/>
      <c r="V300" s="690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64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493</v>
      </c>
      <c r="B302" s="54" t="s">
        <v>494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495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88</v>
      </c>
      <c r="Q303" s="689"/>
      <c r="R303" s="689"/>
      <c r="S303" s="689"/>
      <c r="T303" s="689"/>
      <c r="U303" s="689"/>
      <c r="V303" s="690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88</v>
      </c>
      <c r="Q304" s="689"/>
      <c r="R304" s="689"/>
      <c r="S304" s="689"/>
      <c r="T304" s="689"/>
      <c r="U304" s="689"/>
      <c r="V304" s="690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496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64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497</v>
      </c>
      <c r="B307" s="54" t="s">
        <v>498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499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88</v>
      </c>
      <c r="Q308" s="689"/>
      <c r="R308" s="689"/>
      <c r="S308" s="689"/>
      <c r="T308" s="689"/>
      <c r="U308" s="689"/>
      <c r="V308" s="690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88</v>
      </c>
      <c r="Q309" s="689"/>
      <c r="R309" s="689"/>
      <c r="S309" s="689"/>
      <c r="T309" s="689"/>
      <c r="U309" s="689"/>
      <c r="V309" s="690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500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98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501</v>
      </c>
      <c r="B312" s="54" t="s">
        <v>502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458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88</v>
      </c>
      <c r="Q313" s="689"/>
      <c r="R313" s="689"/>
      <c r="S313" s="689"/>
      <c r="T313" s="689"/>
      <c r="U313" s="689"/>
      <c r="V313" s="690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88</v>
      </c>
      <c r="Q314" s="689"/>
      <c r="R314" s="689"/>
      <c r="S314" s="689"/>
      <c r="T314" s="689"/>
      <c r="U314" s="689"/>
      <c r="V314" s="690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147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503</v>
      </c>
      <c r="B316" s="54" t="s">
        <v>504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150</v>
      </c>
      <c r="L316" s="32"/>
      <c r="M316" s="33" t="s">
        <v>68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69</v>
      </c>
      <c r="X316" s="667">
        <v>70</v>
      </c>
      <c r="Y316" s="668">
        <f>IFERROR(IF(X316="",0,CEILING((X316/$H316),1)*$H316),"")</f>
        <v>71.400000000000006</v>
      </c>
      <c r="Z316" s="36">
        <f>IFERROR(IF(Y316=0,"",ROUNDUP(Y316/H316,0)*0.00502),"")</f>
        <v>0.17068</v>
      </c>
      <c r="AA316" s="56"/>
      <c r="AB316" s="57"/>
      <c r="AC316" s="363" t="s">
        <v>505</v>
      </c>
      <c r="AG316" s="64"/>
      <c r="AJ316" s="68"/>
      <c r="AK316" s="68">
        <v>0</v>
      </c>
      <c r="BB316" s="364" t="s">
        <v>1</v>
      </c>
      <c r="BM316" s="64">
        <f>IFERROR(X316*I316/H316,"0")</f>
        <v>73.333333333333329</v>
      </c>
      <c r="BN316" s="64">
        <f>IFERROR(Y316*I316/H316,"0")</f>
        <v>74.8</v>
      </c>
      <c r="BO316" s="64">
        <f>IFERROR(1/J316*(X316/H316),"0")</f>
        <v>0.14245014245014245</v>
      </c>
      <c r="BP316" s="64">
        <f>IFERROR(1/J316*(Y316/H316),"0")</f>
        <v>0.14529914529914531</v>
      </c>
    </row>
    <row r="317" spans="1:68" ht="37.5" customHeight="1" x14ac:dyDescent="0.25">
      <c r="A317" s="54" t="s">
        <v>506</v>
      </c>
      <c r="B317" s="54" t="s">
        <v>507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150</v>
      </c>
      <c r="L317" s="32"/>
      <c r="M317" s="33" t="s">
        <v>68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505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88</v>
      </c>
      <c r="Q318" s="689"/>
      <c r="R318" s="689"/>
      <c r="S318" s="689"/>
      <c r="T318" s="689"/>
      <c r="U318" s="689"/>
      <c r="V318" s="690"/>
      <c r="W318" s="37" t="s">
        <v>89</v>
      </c>
      <c r="X318" s="669">
        <f>IFERROR(X316/H316,"0")+IFERROR(X317/H317,"0")</f>
        <v>33.333333333333329</v>
      </c>
      <c r="Y318" s="669">
        <f>IFERROR(Y316/H316,"0")+IFERROR(Y317/H317,"0")</f>
        <v>34</v>
      </c>
      <c r="Z318" s="669">
        <f>IFERROR(IF(Z316="",0,Z316),"0")+IFERROR(IF(Z317="",0,Z317),"0")</f>
        <v>0.17068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88</v>
      </c>
      <c r="Q319" s="689"/>
      <c r="R319" s="689"/>
      <c r="S319" s="689"/>
      <c r="T319" s="689"/>
      <c r="U319" s="689"/>
      <c r="V319" s="690"/>
      <c r="W319" s="37" t="s">
        <v>69</v>
      </c>
      <c r="X319" s="669">
        <f>IFERROR(SUM(X316:X317),"0")</f>
        <v>70</v>
      </c>
      <c r="Y319" s="669">
        <f>IFERROR(SUM(Y316:Y317),"0")</f>
        <v>71.400000000000006</v>
      </c>
      <c r="Z319" s="37"/>
      <c r="AA319" s="670"/>
      <c r="AB319" s="670"/>
      <c r="AC319" s="670"/>
    </row>
    <row r="320" spans="1:68" ht="16.5" customHeight="1" x14ac:dyDescent="0.25">
      <c r="A320" s="685" t="s">
        <v>508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98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509</v>
      </c>
      <c r="B322" s="54" t="s">
        <v>510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511</v>
      </c>
      <c r="AB322" s="57"/>
      <c r="AC322" s="367" t="s">
        <v>512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88</v>
      </c>
      <c r="Q323" s="689"/>
      <c r="R323" s="689"/>
      <c r="S323" s="689"/>
      <c r="T323" s="689"/>
      <c r="U323" s="689"/>
      <c r="V323" s="690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88</v>
      </c>
      <c r="Q324" s="689"/>
      <c r="R324" s="689"/>
      <c r="S324" s="689"/>
      <c r="T324" s="689"/>
      <c r="U324" s="689"/>
      <c r="V324" s="690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513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98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514</v>
      </c>
      <c r="B327" s="54" t="s">
        <v>515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516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101</v>
      </c>
      <c r="L328" s="32" t="s">
        <v>519</v>
      </c>
      <c r="M328" s="33" t="s">
        <v>108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520</v>
      </c>
      <c r="AG328" s="64"/>
      <c r="AJ328" s="68" t="s">
        <v>521</v>
      </c>
      <c r="AK328" s="68">
        <v>86.4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517</v>
      </c>
      <c r="B329" s="54" t="s">
        <v>522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101</v>
      </c>
      <c r="L329" s="32"/>
      <c r="M329" s="33" t="s">
        <v>395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523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520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88</v>
      </c>
      <c r="Q333" s="689"/>
      <c r="R333" s="689"/>
      <c r="S333" s="689"/>
      <c r="T333" s="689"/>
      <c r="U333" s="689"/>
      <c r="V333" s="690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88</v>
      </c>
      <c r="Q334" s="689"/>
      <c r="R334" s="689"/>
      <c r="S334" s="689"/>
      <c r="T334" s="689"/>
      <c r="U334" s="689"/>
      <c r="V334" s="690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147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150</v>
      </c>
      <c r="L339" s="32"/>
      <c r="M339" s="33" t="s">
        <v>68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88</v>
      </c>
      <c r="Q340" s="689"/>
      <c r="R340" s="689"/>
      <c r="S340" s="689"/>
      <c r="T340" s="689"/>
      <c r="U340" s="689"/>
      <c r="V340" s="690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88</v>
      </c>
      <c r="Q341" s="689"/>
      <c r="R341" s="689"/>
      <c r="S341" s="689"/>
      <c r="T341" s="689"/>
      <c r="U341" s="689"/>
      <c r="V341" s="690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64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132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88</v>
      </c>
      <c r="Q348" s="689"/>
      <c r="R348" s="689"/>
      <c r="S348" s="689"/>
      <c r="T348" s="689"/>
      <c r="U348" s="689"/>
      <c r="V348" s="690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88</v>
      </c>
      <c r="Q349" s="689"/>
      <c r="R349" s="689"/>
      <c r="S349" s="689"/>
      <c r="T349" s="689"/>
      <c r="U349" s="689"/>
      <c r="V349" s="690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173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69</v>
      </c>
      <c r="X351" s="667">
        <v>30</v>
      </c>
      <c r="Y351" s="668">
        <f>IFERROR(IF(X351="",0,CEILING((X351/$H351),1)*$H351),"")</f>
        <v>33.6</v>
      </c>
      <c r="Z351" s="36">
        <f>IFERROR(IF(Y351=0,"",ROUNDUP(Y351/H351,0)*0.01898),"")</f>
        <v>7.5920000000000001E-2</v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31.853571428571428</v>
      </c>
      <c r="BN351" s="64">
        <f>IFERROR(Y351*I351/H351,"0")</f>
        <v>35.676000000000002</v>
      </c>
      <c r="BO351" s="64">
        <f>IFERROR(1/J351*(X351/H351),"0")</f>
        <v>5.5803571428571425E-2</v>
      </c>
      <c r="BP351" s="64">
        <f>IFERROR(1/J351*(Y351/H351),"0")</f>
        <v>6.25E-2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69</v>
      </c>
      <c r="X352" s="667">
        <v>350</v>
      </c>
      <c r="Y352" s="668">
        <f>IFERROR(IF(X352="",0,CEILING((X352/$H352),1)*$H352),"")</f>
        <v>351</v>
      </c>
      <c r="Z352" s="36">
        <f>IFERROR(IF(Y352=0,"",ROUNDUP(Y352/H352,0)*0.01898),"")</f>
        <v>0.85409999999999997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373.28846153846155</v>
      </c>
      <c r="BN352" s="64">
        <f>IFERROR(Y352*I352/H352,"0")</f>
        <v>374.35500000000008</v>
      </c>
      <c r="BO352" s="64">
        <f>IFERROR(1/J352*(X352/H352),"0")</f>
        <v>0.70112179487179493</v>
      </c>
      <c r="BP352" s="64">
        <f>IFERROR(1/J352*(Y352/H352),"0")</f>
        <v>0.703125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132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69</v>
      </c>
      <c r="X353" s="667">
        <v>20</v>
      </c>
      <c r="Y353" s="668">
        <f>IFERROR(IF(X353="",0,CEILING((X353/$H353),1)*$H353),"")</f>
        <v>25.200000000000003</v>
      </c>
      <c r="Z353" s="36">
        <f>IFERROR(IF(Y353=0,"",ROUNDUP(Y353/H353,0)*0.01898),"")</f>
        <v>5.6940000000000004E-2</v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21.235714285714284</v>
      </c>
      <c r="BN353" s="64">
        <f>IFERROR(Y353*I353/H353,"0")</f>
        <v>26.757000000000001</v>
      </c>
      <c r="BO353" s="64">
        <f>IFERROR(1/J353*(X353/H353),"0")</f>
        <v>3.7202380952380952E-2</v>
      </c>
      <c r="BP353" s="64">
        <f>IFERROR(1/J353*(Y353/H353),"0")</f>
        <v>4.6875E-2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88</v>
      </c>
      <c r="Q354" s="689"/>
      <c r="R354" s="689"/>
      <c r="S354" s="689"/>
      <c r="T354" s="689"/>
      <c r="U354" s="689"/>
      <c r="V354" s="690"/>
      <c r="W354" s="37" t="s">
        <v>89</v>
      </c>
      <c r="X354" s="669">
        <f>IFERROR(X351/H351,"0")+IFERROR(X352/H352,"0")+IFERROR(X353/H353,"0")</f>
        <v>50.824175824175825</v>
      </c>
      <c r="Y354" s="669">
        <f>IFERROR(Y351/H351,"0")+IFERROR(Y352/H352,"0")+IFERROR(Y353/H353,"0")</f>
        <v>52</v>
      </c>
      <c r="Z354" s="669">
        <f>IFERROR(IF(Z351="",0,Z351),"0")+IFERROR(IF(Z352="",0,Z352),"0")+IFERROR(IF(Z353="",0,Z353),"0")</f>
        <v>0.98695999999999995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88</v>
      </c>
      <c r="Q355" s="689"/>
      <c r="R355" s="689"/>
      <c r="S355" s="689"/>
      <c r="T355" s="689"/>
      <c r="U355" s="689"/>
      <c r="V355" s="690"/>
      <c r="W355" s="37" t="s">
        <v>69</v>
      </c>
      <c r="X355" s="669">
        <f>IFERROR(SUM(X351:X353),"0")</f>
        <v>400</v>
      </c>
      <c r="Y355" s="669">
        <f>IFERROR(SUM(Y351:Y353),"0")</f>
        <v>409.8</v>
      </c>
      <c r="Z355" s="37"/>
      <c r="AA355" s="670"/>
      <c r="AB355" s="670"/>
      <c r="AC355" s="670"/>
    </row>
    <row r="356" spans="1:68" ht="14.25" customHeight="1" x14ac:dyDescent="0.25">
      <c r="A356" s="684" t="s">
        <v>90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11" t="s">
        <v>569</v>
      </c>
      <c r="Q357" s="674"/>
      <c r="R357" s="674"/>
      <c r="S357" s="674"/>
      <c r="T357" s="675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0" t="s">
        <v>573</v>
      </c>
      <c r="Q358" s="674"/>
      <c r="R358" s="674"/>
      <c r="S358" s="674"/>
      <c r="T358" s="675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88</v>
      </c>
      <c r="Q361" s="689"/>
      <c r="R361" s="689"/>
      <c r="S361" s="689"/>
      <c r="T361" s="689"/>
      <c r="U361" s="689"/>
      <c r="V361" s="690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88</v>
      </c>
      <c r="Q362" s="689"/>
      <c r="R362" s="689"/>
      <c r="S362" s="689"/>
      <c r="T362" s="689"/>
      <c r="U362" s="689"/>
      <c r="V362" s="690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580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88</v>
      </c>
      <c r="Q367" s="689"/>
      <c r="R367" s="689"/>
      <c r="S367" s="689"/>
      <c r="T367" s="689"/>
      <c r="U367" s="689"/>
      <c r="V367" s="690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88</v>
      </c>
      <c r="Q368" s="689"/>
      <c r="R368" s="689"/>
      <c r="S368" s="689"/>
      <c r="T368" s="689"/>
      <c r="U368" s="689"/>
      <c r="V368" s="690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589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147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69</v>
      </c>
      <c r="X371" s="667">
        <v>30</v>
      </c>
      <c r="Y371" s="668">
        <f>IFERROR(IF(X371="",0,CEILING((X371/$H371),1)*$H371),"")</f>
        <v>30.6</v>
      </c>
      <c r="Z371" s="36">
        <f>IFERROR(IF(Y371=0,"",ROUNDUP(Y371/H371,0)*0.00651),"")</f>
        <v>0.11067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33.800000000000004</v>
      </c>
      <c r="BN371" s="64">
        <f>IFERROR(Y371*I371/H371,"0")</f>
        <v>34.475999999999999</v>
      </c>
      <c r="BO371" s="64">
        <f>IFERROR(1/J371*(X371/H371),"0")</f>
        <v>9.1575091575091583E-2</v>
      </c>
      <c r="BP371" s="64">
        <f>IFERROR(1/J371*(Y371/H371),"0")</f>
        <v>9.3406593406593408E-2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88</v>
      </c>
      <c r="Q372" s="689"/>
      <c r="R372" s="689"/>
      <c r="S372" s="689"/>
      <c r="T372" s="689"/>
      <c r="U372" s="689"/>
      <c r="V372" s="690"/>
      <c r="W372" s="37" t="s">
        <v>89</v>
      </c>
      <c r="X372" s="669">
        <f>IFERROR(X371/H371,"0")</f>
        <v>16.666666666666668</v>
      </c>
      <c r="Y372" s="669">
        <f>IFERROR(Y371/H371,"0")</f>
        <v>17</v>
      </c>
      <c r="Z372" s="669">
        <f>IFERROR(IF(Z371="",0,Z371),"0")</f>
        <v>0.11067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88</v>
      </c>
      <c r="Q373" s="689"/>
      <c r="R373" s="689"/>
      <c r="S373" s="689"/>
      <c r="T373" s="689"/>
      <c r="U373" s="689"/>
      <c r="V373" s="690"/>
      <c r="W373" s="37" t="s">
        <v>69</v>
      </c>
      <c r="X373" s="669">
        <f>IFERROR(SUM(X371:X371),"0")</f>
        <v>30</v>
      </c>
      <c r="Y373" s="669">
        <f>IFERROR(SUM(Y371:Y371),"0")</f>
        <v>30.6</v>
      </c>
      <c r="Z373" s="37"/>
      <c r="AA373" s="670"/>
      <c r="AB373" s="670"/>
      <c r="AC373" s="670"/>
    </row>
    <row r="374" spans="1:68" ht="14.25" customHeight="1" x14ac:dyDescent="0.25">
      <c r="A374" s="684" t="s">
        <v>64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132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69</v>
      </c>
      <c r="X376" s="667">
        <v>525</v>
      </c>
      <c r="Y376" s="668">
        <f>IFERROR(IF(X376="",0,CEILING((X376/$H376),1)*$H376),"")</f>
        <v>525</v>
      </c>
      <c r="Z376" s="36">
        <f>IFERROR(IF(Y376=0,"",ROUNDUP(Y376/H376,0)*0.00651),"")</f>
        <v>1.6274999999999999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588</v>
      </c>
      <c r="BN376" s="64">
        <f>IFERROR(Y376*I376/H376,"0")</f>
        <v>588</v>
      </c>
      <c r="BO376" s="64">
        <f>IFERROR(1/J376*(X376/H376),"0")</f>
        <v>1.3736263736263736</v>
      </c>
      <c r="BP376" s="64">
        <f>IFERROR(1/J376*(Y376/H376),"0")</f>
        <v>1.3736263736263736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132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69</v>
      </c>
      <c r="X377" s="667">
        <v>280</v>
      </c>
      <c r="Y377" s="668">
        <f>IFERROR(IF(X377="",0,CEILING((X377/$H377),1)*$H377),"")</f>
        <v>281.40000000000003</v>
      </c>
      <c r="Z377" s="36">
        <f>IFERROR(IF(Y377=0,"",ROUNDUP(Y377/H377,0)*0.00651),"")</f>
        <v>0.87234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311.99999999999994</v>
      </c>
      <c r="BN377" s="64">
        <f>IFERROR(Y377*I377/H377,"0")</f>
        <v>313.56</v>
      </c>
      <c r="BO377" s="64">
        <f>IFERROR(1/J377*(X377/H377),"0")</f>
        <v>0.73260073260073255</v>
      </c>
      <c r="BP377" s="64">
        <f>IFERROR(1/J377*(Y377/H377),"0")</f>
        <v>0.73626373626373631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88</v>
      </c>
      <c r="Q378" s="689"/>
      <c r="R378" s="689"/>
      <c r="S378" s="689"/>
      <c r="T378" s="689"/>
      <c r="U378" s="689"/>
      <c r="V378" s="690"/>
      <c r="W378" s="37" t="s">
        <v>89</v>
      </c>
      <c r="X378" s="669">
        <f>IFERROR(X375/H375,"0")+IFERROR(X376/H376,"0")+IFERROR(X377/H377,"0")</f>
        <v>383.33333333333331</v>
      </c>
      <c r="Y378" s="669">
        <f>IFERROR(Y375/H375,"0")+IFERROR(Y376/H376,"0")+IFERROR(Y377/H377,"0")</f>
        <v>384</v>
      </c>
      <c r="Z378" s="669">
        <f>IFERROR(IF(Z375="",0,Z375),"0")+IFERROR(IF(Z376="",0,Z376),"0")+IFERROR(IF(Z377="",0,Z377),"0")</f>
        <v>2.4998399999999998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88</v>
      </c>
      <c r="Q379" s="689"/>
      <c r="R379" s="689"/>
      <c r="S379" s="689"/>
      <c r="T379" s="689"/>
      <c r="U379" s="689"/>
      <c r="V379" s="690"/>
      <c r="W379" s="37" t="s">
        <v>69</v>
      </c>
      <c r="X379" s="669">
        <f>IFERROR(SUM(X375:X377),"0")</f>
        <v>805</v>
      </c>
      <c r="Y379" s="669">
        <f>IFERROR(SUM(Y375:Y377),"0")</f>
        <v>806.40000000000009</v>
      </c>
      <c r="Z379" s="37"/>
      <c r="AA379" s="670"/>
      <c r="AB379" s="670"/>
      <c r="AC379" s="670"/>
    </row>
    <row r="380" spans="1:68" ht="27.75" customHeight="1" x14ac:dyDescent="0.2">
      <c r="A380" s="682" t="s">
        <v>602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603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98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604</v>
      </c>
      <c r="B383" s="54" t="s">
        <v>605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 t="s">
        <v>107</v>
      </c>
      <c r="M383" s="33" t="s">
        <v>68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606</v>
      </c>
      <c r="AG383" s="64"/>
      <c r="AJ383" s="68" t="s">
        <v>109</v>
      </c>
      <c r="AK383" s="68">
        <v>720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customHeight="1" x14ac:dyDescent="0.25">
      <c r="A384" s="54" t="s">
        <v>604</v>
      </c>
      <c r="B384" s="54" t="s">
        <v>607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/>
      <c r="M384" s="33" t="s">
        <v>395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608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609</v>
      </c>
      <c r="B385" s="54" t="s">
        <v>610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 t="s">
        <v>107</v>
      </c>
      <c r="M385" s="33" t="s">
        <v>68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69</v>
      </c>
      <c r="X385" s="667">
        <v>300</v>
      </c>
      <c r="Y385" s="668">
        <f t="shared" si="57"/>
        <v>300</v>
      </c>
      <c r="Z385" s="36">
        <f>IFERROR(IF(Y385=0,"",ROUNDUP(Y385/H385,0)*0.02175),"")</f>
        <v>0.43499999999999994</v>
      </c>
      <c r="AA385" s="56"/>
      <c r="AB385" s="57"/>
      <c r="AC385" s="431" t="s">
        <v>611</v>
      </c>
      <c r="AG385" s="64"/>
      <c r="AJ385" s="68" t="s">
        <v>109</v>
      </c>
      <c r="AK385" s="68">
        <v>720</v>
      </c>
      <c r="BB385" s="432" t="s">
        <v>1</v>
      </c>
      <c r="BM385" s="64">
        <f t="shared" si="58"/>
        <v>309.60000000000002</v>
      </c>
      <c r="BN385" s="64">
        <f t="shared" si="59"/>
        <v>309.60000000000002</v>
      </c>
      <c r="BO385" s="64">
        <f t="shared" si="60"/>
        <v>0.41666666666666663</v>
      </c>
      <c r="BP385" s="64">
        <f t="shared" si="61"/>
        <v>0.41666666666666663</v>
      </c>
    </row>
    <row r="386" spans="1:68" ht="27" customHeight="1" x14ac:dyDescent="0.25">
      <c r="A386" s="54" t="s">
        <v>609</v>
      </c>
      <c r="B386" s="54" t="s">
        <v>612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/>
      <c r="M386" s="33" t="s">
        <v>395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608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613</v>
      </c>
      <c r="B387" s="54" t="s">
        <v>614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132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615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616</v>
      </c>
      <c r="B388" s="54" t="s">
        <v>617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 t="s">
        <v>107</v>
      </c>
      <c r="M388" s="33" t="s">
        <v>68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618</v>
      </c>
      <c r="AG388" s="64"/>
      <c r="AJ388" s="68" t="s">
        <v>109</v>
      </c>
      <c r="AK388" s="68">
        <v>720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customHeight="1" x14ac:dyDescent="0.25">
      <c r="A389" s="54" t="s">
        <v>616</v>
      </c>
      <c r="B389" s="54" t="s">
        <v>619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/>
      <c r="M389" s="33" t="s">
        <v>395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608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611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618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88</v>
      </c>
      <c r="Q393" s="689"/>
      <c r="R393" s="689"/>
      <c r="S393" s="689"/>
      <c r="T393" s="689"/>
      <c r="U393" s="689"/>
      <c r="V393" s="690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20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20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0.43499999999999994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88</v>
      </c>
      <c r="Q394" s="689"/>
      <c r="R394" s="689"/>
      <c r="S394" s="689"/>
      <c r="T394" s="689"/>
      <c r="U394" s="689"/>
      <c r="V394" s="690"/>
      <c r="W394" s="37" t="s">
        <v>69</v>
      </c>
      <c r="X394" s="669">
        <f>IFERROR(SUM(X383:X392),"0")</f>
        <v>300</v>
      </c>
      <c r="Y394" s="669">
        <f>IFERROR(SUM(Y383:Y392),"0")</f>
        <v>300</v>
      </c>
      <c r="Z394" s="37"/>
      <c r="AA394" s="670"/>
      <c r="AB394" s="670"/>
      <c r="AC394" s="670"/>
    </row>
    <row r="395" spans="1:68" ht="14.25" customHeight="1" x14ac:dyDescent="0.25">
      <c r="A395" s="684" t="s">
        <v>136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107</v>
      </c>
      <c r="M396" s="33" t="s">
        <v>102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69</v>
      </c>
      <c r="X396" s="667">
        <v>1200</v>
      </c>
      <c r="Y396" s="668">
        <f>IFERROR(IF(X396="",0,CEILING((X396/$H396),1)*$H396),"")</f>
        <v>1200</v>
      </c>
      <c r="Z396" s="36">
        <f>IFERROR(IF(Y396=0,"",ROUNDUP(Y396/H396,0)*0.02175),"")</f>
        <v>1.7399999999999998</v>
      </c>
      <c r="AA396" s="56"/>
      <c r="AB396" s="57"/>
      <c r="AC396" s="447" t="s">
        <v>629</v>
      </c>
      <c r="AG396" s="64"/>
      <c r="AJ396" s="68" t="s">
        <v>109</v>
      </c>
      <c r="AK396" s="68">
        <v>720</v>
      </c>
      <c r="BB396" s="448" t="s">
        <v>1</v>
      </c>
      <c r="BM396" s="64">
        <f>IFERROR(X396*I396/H396,"0")</f>
        <v>1238.4000000000001</v>
      </c>
      <c r="BN396" s="64">
        <f>IFERROR(Y396*I396/H396,"0")</f>
        <v>1238.4000000000001</v>
      </c>
      <c r="BO396" s="64">
        <f>IFERROR(1/J396*(X396/H396),"0")</f>
        <v>1.6666666666666665</v>
      </c>
      <c r="BP396" s="64">
        <f>IFERROR(1/J396*(Y396/H396),"0")</f>
        <v>1.6666666666666665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88</v>
      </c>
      <c r="Q398" s="689"/>
      <c r="R398" s="689"/>
      <c r="S398" s="689"/>
      <c r="T398" s="689"/>
      <c r="U398" s="689"/>
      <c r="V398" s="690"/>
      <c r="W398" s="37" t="s">
        <v>89</v>
      </c>
      <c r="X398" s="669">
        <f>IFERROR(X396/H396,"0")+IFERROR(X397/H397,"0")</f>
        <v>80</v>
      </c>
      <c r="Y398" s="669">
        <f>IFERROR(Y396/H396,"0")+IFERROR(Y397/H397,"0")</f>
        <v>80</v>
      </c>
      <c r="Z398" s="669">
        <f>IFERROR(IF(Z396="",0,Z396),"0")+IFERROR(IF(Z397="",0,Z397),"0")</f>
        <v>1.7399999999999998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88</v>
      </c>
      <c r="Q399" s="689"/>
      <c r="R399" s="689"/>
      <c r="S399" s="689"/>
      <c r="T399" s="689"/>
      <c r="U399" s="689"/>
      <c r="V399" s="690"/>
      <c r="W399" s="37" t="s">
        <v>69</v>
      </c>
      <c r="X399" s="669">
        <f>IFERROR(SUM(X396:X397),"0")</f>
        <v>1200</v>
      </c>
      <c r="Y399" s="669">
        <f>IFERROR(SUM(Y396:Y397),"0")</f>
        <v>1200</v>
      </c>
      <c r="Z399" s="37"/>
      <c r="AA399" s="670"/>
      <c r="AB399" s="670"/>
      <c r="AC399" s="670"/>
    </row>
    <row r="400" spans="1:68" ht="14.25" customHeight="1" x14ac:dyDescent="0.25">
      <c r="A400" s="684" t="s">
        <v>64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69" t="s">
        <v>634</v>
      </c>
      <c r="Q401" s="674"/>
      <c r="R401" s="674"/>
      <c r="S401" s="674"/>
      <c r="T401" s="675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68" t="s">
        <v>638</v>
      </c>
      <c r="Q402" s="674"/>
      <c r="R402" s="674"/>
      <c r="S402" s="674"/>
      <c r="T402" s="675"/>
      <c r="U402" s="34"/>
      <c r="V402" s="34"/>
      <c r="W402" s="35" t="s">
        <v>69</v>
      </c>
      <c r="X402" s="667">
        <v>40</v>
      </c>
      <c r="Y402" s="668">
        <f>IFERROR(IF(X402="",0,CEILING((X402/$H402),1)*$H402),"")</f>
        <v>45</v>
      </c>
      <c r="Z402" s="36">
        <f>IFERROR(IF(Y402=0,"",ROUNDUP(Y402/H402,0)*0.01898),"")</f>
        <v>9.4899999999999998E-2</v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42.306666666666665</v>
      </c>
      <c r="BN402" s="64">
        <f>IFERROR(Y402*I402/H402,"0")</f>
        <v>47.594999999999999</v>
      </c>
      <c r="BO402" s="64">
        <f>IFERROR(1/J402*(X402/H402),"0")</f>
        <v>6.9444444444444448E-2</v>
      </c>
      <c r="BP402" s="64">
        <f>IFERROR(1/J402*(Y402/H402),"0")</f>
        <v>7.8125E-2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88</v>
      </c>
      <c r="Q403" s="689"/>
      <c r="R403" s="689"/>
      <c r="S403" s="689"/>
      <c r="T403" s="689"/>
      <c r="U403" s="689"/>
      <c r="V403" s="690"/>
      <c r="W403" s="37" t="s">
        <v>89</v>
      </c>
      <c r="X403" s="669">
        <f>IFERROR(X401/H401,"0")+IFERROR(X402/H402,"0")</f>
        <v>4.4444444444444446</v>
      </c>
      <c r="Y403" s="669">
        <f>IFERROR(Y401/H401,"0")+IFERROR(Y402/H402,"0")</f>
        <v>5</v>
      </c>
      <c r="Z403" s="669">
        <f>IFERROR(IF(Z401="",0,Z401),"0")+IFERROR(IF(Z402="",0,Z402),"0")</f>
        <v>9.4899999999999998E-2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88</v>
      </c>
      <c r="Q404" s="689"/>
      <c r="R404" s="689"/>
      <c r="S404" s="689"/>
      <c r="T404" s="689"/>
      <c r="U404" s="689"/>
      <c r="V404" s="690"/>
      <c r="W404" s="37" t="s">
        <v>69</v>
      </c>
      <c r="X404" s="669">
        <f>IFERROR(SUM(X401:X402),"0")</f>
        <v>40</v>
      </c>
      <c r="Y404" s="669">
        <f>IFERROR(SUM(Y401:Y402),"0")</f>
        <v>45</v>
      </c>
      <c r="Z404" s="37"/>
      <c r="AA404" s="670"/>
      <c r="AB404" s="670"/>
      <c r="AC404" s="670"/>
    </row>
    <row r="405" spans="1:68" ht="14.25" customHeight="1" x14ac:dyDescent="0.25">
      <c r="A405" s="684" t="s">
        <v>173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15" t="s">
        <v>642</v>
      </c>
      <c r="Q406" s="674"/>
      <c r="R406" s="674"/>
      <c r="S406" s="674"/>
      <c r="T406" s="675"/>
      <c r="U406" s="34"/>
      <c r="V406" s="34"/>
      <c r="W406" s="35" t="s">
        <v>69</v>
      </c>
      <c r="X406" s="667">
        <v>50</v>
      </c>
      <c r="Y406" s="668">
        <f>IFERROR(IF(X406="",0,CEILING((X406/$H406),1)*$H406),"")</f>
        <v>54</v>
      </c>
      <c r="Z406" s="36">
        <f>IFERROR(IF(Y406=0,"",ROUNDUP(Y406/H406,0)*0.01898),"")</f>
        <v>0.11388000000000001</v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52.883333333333333</v>
      </c>
      <c r="BN406" s="64">
        <f>IFERROR(Y406*I406/H406,"0")</f>
        <v>57.113999999999997</v>
      </c>
      <c r="BO406" s="64">
        <f>IFERROR(1/J406*(X406/H406),"0")</f>
        <v>8.6805555555555552E-2</v>
      </c>
      <c r="BP406" s="64">
        <f>IFERROR(1/J406*(Y406/H406),"0")</f>
        <v>9.375E-2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88</v>
      </c>
      <c r="Q407" s="689"/>
      <c r="R407" s="689"/>
      <c r="S407" s="689"/>
      <c r="T407" s="689"/>
      <c r="U407" s="689"/>
      <c r="V407" s="690"/>
      <c r="W407" s="37" t="s">
        <v>89</v>
      </c>
      <c r="X407" s="669">
        <f>IFERROR(X406/H406,"0")</f>
        <v>5.5555555555555554</v>
      </c>
      <c r="Y407" s="669">
        <f>IFERROR(Y406/H406,"0")</f>
        <v>6</v>
      </c>
      <c r="Z407" s="669">
        <f>IFERROR(IF(Z406="",0,Z406),"0")</f>
        <v>0.11388000000000001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88</v>
      </c>
      <c r="Q408" s="689"/>
      <c r="R408" s="689"/>
      <c r="S408" s="689"/>
      <c r="T408" s="689"/>
      <c r="U408" s="689"/>
      <c r="V408" s="690"/>
      <c r="W408" s="37" t="s">
        <v>69</v>
      </c>
      <c r="X408" s="669">
        <f>IFERROR(SUM(X406:X406),"0")</f>
        <v>50</v>
      </c>
      <c r="Y408" s="669">
        <f>IFERROR(SUM(Y406:Y406),"0")</f>
        <v>54</v>
      </c>
      <c r="Z408" s="37"/>
      <c r="AA408" s="670"/>
      <c r="AB408" s="670"/>
      <c r="AC408" s="670"/>
    </row>
    <row r="409" spans="1:68" ht="16.5" customHeight="1" x14ac:dyDescent="0.25">
      <c r="A409" s="685" t="s">
        <v>644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98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645</v>
      </c>
      <c r="B411" s="54" t="s">
        <v>646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645</v>
      </c>
      <c r="B412" s="54" t="s">
        <v>648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69</v>
      </c>
      <c r="X414" s="667">
        <v>80</v>
      </c>
      <c r="Y414" s="668">
        <f>IFERROR(IF(X414="",0,CEILING((X414/$H414),1)*$H414),"")</f>
        <v>84</v>
      </c>
      <c r="Z414" s="36">
        <f>IFERROR(IF(Y414=0,"",ROUNDUP(Y414/H414,0)*0.01898),"")</f>
        <v>0.13286000000000001</v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82.9</v>
      </c>
      <c r="BN414" s="64">
        <f>IFERROR(Y414*I414/H414,"0")</f>
        <v>87.045000000000002</v>
      </c>
      <c r="BO414" s="64">
        <f>IFERROR(1/J414*(X414/H414),"0")</f>
        <v>0.10416666666666667</v>
      </c>
      <c r="BP414" s="64">
        <f>IFERROR(1/J414*(Y414/H414),"0")</f>
        <v>0.109375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88</v>
      </c>
      <c r="Q416" s="689"/>
      <c r="R416" s="689"/>
      <c r="S416" s="689"/>
      <c r="T416" s="689"/>
      <c r="U416" s="689"/>
      <c r="V416" s="690"/>
      <c r="W416" s="37" t="s">
        <v>89</v>
      </c>
      <c r="X416" s="669">
        <f>IFERROR(X411/H411,"0")+IFERROR(X412/H412,"0")+IFERROR(X413/H413,"0")+IFERROR(X414/H414,"0")+IFERROR(X415/H415,"0")</f>
        <v>6.666666666666667</v>
      </c>
      <c r="Y416" s="669">
        <f>IFERROR(Y411/H411,"0")+IFERROR(Y412/H412,"0")+IFERROR(Y413/H413,"0")+IFERROR(Y414/H414,"0")+IFERROR(Y415/H415,"0")</f>
        <v>7</v>
      </c>
      <c r="Z416" s="669">
        <f>IFERROR(IF(Z411="",0,Z411),"0")+IFERROR(IF(Z412="",0,Z412),"0")+IFERROR(IF(Z413="",0,Z413),"0")+IFERROR(IF(Z414="",0,Z414),"0")+IFERROR(IF(Z415="",0,Z415),"0")</f>
        <v>0.13286000000000001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88</v>
      </c>
      <c r="Q417" s="689"/>
      <c r="R417" s="689"/>
      <c r="S417" s="689"/>
      <c r="T417" s="689"/>
      <c r="U417" s="689"/>
      <c r="V417" s="690"/>
      <c r="W417" s="37" t="s">
        <v>69</v>
      </c>
      <c r="X417" s="669">
        <f>IFERROR(SUM(X411:X415),"0")</f>
        <v>80</v>
      </c>
      <c r="Y417" s="669">
        <f>IFERROR(SUM(Y411:Y415),"0")</f>
        <v>84</v>
      </c>
      <c r="Z417" s="37"/>
      <c r="AA417" s="670"/>
      <c r="AB417" s="670"/>
      <c r="AC417" s="670"/>
    </row>
    <row r="418" spans="1:68" ht="14.25" customHeight="1" x14ac:dyDescent="0.25">
      <c r="A418" s="684" t="s">
        <v>147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88</v>
      </c>
      <c r="Q420" s="689"/>
      <c r="R420" s="689"/>
      <c r="S420" s="689"/>
      <c r="T420" s="689"/>
      <c r="U420" s="689"/>
      <c r="V420" s="690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88</v>
      </c>
      <c r="Q421" s="689"/>
      <c r="R421" s="689"/>
      <c r="S421" s="689"/>
      <c r="T421" s="689"/>
      <c r="U421" s="689"/>
      <c r="V421" s="690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64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69</v>
      </c>
      <c r="X423" s="667">
        <v>30</v>
      </c>
      <c r="Y423" s="668">
        <f>IFERROR(IF(X423="",0,CEILING((X423/$H423),1)*$H423),"")</f>
        <v>36</v>
      </c>
      <c r="Z423" s="36">
        <f>IFERROR(IF(Y423=0,"",ROUNDUP(Y423/H423,0)*0.01898),"")</f>
        <v>7.5920000000000001E-2</v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31.73</v>
      </c>
      <c r="BN423" s="64">
        <f>IFERROR(Y423*I423/H423,"0")</f>
        <v>38.076000000000001</v>
      </c>
      <c r="BO423" s="64">
        <f>IFERROR(1/J423*(X423/H423),"0")</f>
        <v>5.2083333333333336E-2</v>
      </c>
      <c r="BP423" s="64">
        <f>IFERROR(1/J423*(Y423/H423),"0")</f>
        <v>6.25E-2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663</v>
      </c>
      <c r="B425" s="54" t="s">
        <v>666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88</v>
      </c>
      <c r="Q427" s="689"/>
      <c r="R427" s="689"/>
      <c r="S427" s="689"/>
      <c r="T427" s="689"/>
      <c r="U427" s="689"/>
      <c r="V427" s="690"/>
      <c r="W427" s="37" t="s">
        <v>89</v>
      </c>
      <c r="X427" s="669">
        <f>IFERROR(X423/H423,"0")+IFERROR(X424/H424,"0")+IFERROR(X425/H425,"0")+IFERROR(X426/H426,"0")</f>
        <v>3.3333333333333335</v>
      </c>
      <c r="Y427" s="669">
        <f>IFERROR(Y423/H423,"0")+IFERROR(Y424/H424,"0")+IFERROR(Y425/H425,"0")+IFERROR(Y426/H426,"0")</f>
        <v>4</v>
      </c>
      <c r="Z427" s="669">
        <f>IFERROR(IF(Z423="",0,Z423),"0")+IFERROR(IF(Z424="",0,Z424),"0")+IFERROR(IF(Z425="",0,Z425),"0")+IFERROR(IF(Z426="",0,Z426),"0")</f>
        <v>7.5920000000000001E-2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88</v>
      </c>
      <c r="Q428" s="689"/>
      <c r="R428" s="689"/>
      <c r="S428" s="689"/>
      <c r="T428" s="689"/>
      <c r="U428" s="689"/>
      <c r="V428" s="690"/>
      <c r="W428" s="37" t="s">
        <v>69</v>
      </c>
      <c r="X428" s="669">
        <f>IFERROR(SUM(X423:X426),"0")</f>
        <v>30</v>
      </c>
      <c r="Y428" s="669">
        <f>IFERROR(SUM(Y423:Y426),"0")</f>
        <v>36</v>
      </c>
      <c r="Z428" s="37"/>
      <c r="AA428" s="670"/>
      <c r="AB428" s="670"/>
      <c r="AC428" s="670"/>
    </row>
    <row r="429" spans="1:68" ht="14.25" customHeight="1" x14ac:dyDescent="0.25">
      <c r="A429" s="684" t="s">
        <v>173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6" t="s">
        <v>672</v>
      </c>
      <c r="Q430" s="674"/>
      <c r="R430" s="674"/>
      <c r="S430" s="674"/>
      <c r="T430" s="675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88</v>
      </c>
      <c r="Q431" s="689"/>
      <c r="R431" s="689"/>
      <c r="S431" s="689"/>
      <c r="T431" s="689"/>
      <c r="U431" s="689"/>
      <c r="V431" s="690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88</v>
      </c>
      <c r="Q432" s="689"/>
      <c r="R432" s="689"/>
      <c r="S432" s="689"/>
      <c r="T432" s="689"/>
      <c r="U432" s="689"/>
      <c r="V432" s="690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674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675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147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31" t="s">
        <v>678</v>
      </c>
      <c r="Q436" s="674"/>
      <c r="R436" s="674"/>
      <c r="S436" s="674"/>
      <c r="T436" s="675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77" t="s">
        <v>682</v>
      </c>
      <c r="Q437" s="674"/>
      <c r="R437" s="674"/>
      <c r="S437" s="674"/>
      <c r="T437" s="675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59" t="s">
        <v>682</v>
      </c>
      <c r="Q438" s="674"/>
      <c r="R438" s="674"/>
      <c r="S438" s="674"/>
      <c r="T438" s="675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15" t="s">
        <v>687</v>
      </c>
      <c r="Q439" s="674"/>
      <c r="R439" s="674"/>
      <c r="S439" s="674"/>
      <c r="T439" s="675"/>
      <c r="U439" s="34"/>
      <c r="V439" s="34"/>
      <c r="W439" s="35" t="s">
        <v>69</v>
      </c>
      <c r="X439" s="667">
        <v>10</v>
      </c>
      <c r="Y439" s="668">
        <f t="shared" si="62"/>
        <v>10.8</v>
      </c>
      <c r="Z439" s="36">
        <f>IFERROR(IF(Y439=0,"",ROUNDUP(Y439/H439,0)*0.00902),"")</f>
        <v>1.804E-2</v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10.388888888888889</v>
      </c>
      <c r="BN439" s="64">
        <f t="shared" si="64"/>
        <v>11.22</v>
      </c>
      <c r="BO439" s="64">
        <f t="shared" si="65"/>
        <v>1.4029180695847361E-2</v>
      </c>
      <c r="BP439" s="64">
        <f t="shared" si="66"/>
        <v>1.5151515151515152E-2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4"/>
      <c r="R440" s="674"/>
      <c r="S440" s="674"/>
      <c r="T440" s="675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8" t="s">
        <v>692</v>
      </c>
      <c r="Q441" s="674"/>
      <c r="R441" s="674"/>
      <c r="S441" s="674"/>
      <c r="T441" s="675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150</v>
      </c>
      <c r="L442" s="32"/>
      <c r="M442" s="33" t="s">
        <v>68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69</v>
      </c>
      <c r="X442" s="667">
        <v>42</v>
      </c>
      <c r="Y442" s="668">
        <f t="shared" si="62"/>
        <v>42</v>
      </c>
      <c r="Z442" s="36">
        <f t="shared" si="67"/>
        <v>0.1004</v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44.599999999999994</v>
      </c>
      <c r="BN442" s="64">
        <f t="shared" si="64"/>
        <v>44.599999999999994</v>
      </c>
      <c r="BO442" s="64">
        <f t="shared" si="65"/>
        <v>8.5470085470085472E-2</v>
      </c>
      <c r="BP442" s="64">
        <f t="shared" si="66"/>
        <v>8.5470085470085472E-2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150</v>
      </c>
      <c r="L443" s="32"/>
      <c r="M443" s="33" t="s">
        <v>68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69</v>
      </c>
      <c r="X443" s="667">
        <v>28</v>
      </c>
      <c r="Y443" s="668">
        <f t="shared" si="62"/>
        <v>29.400000000000002</v>
      </c>
      <c r="Z443" s="36">
        <f t="shared" si="67"/>
        <v>7.0280000000000009E-2</v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29.733333333333331</v>
      </c>
      <c r="BN443" s="64">
        <f t="shared" si="64"/>
        <v>31.22</v>
      </c>
      <c r="BO443" s="64">
        <f t="shared" si="65"/>
        <v>5.6980056980056981E-2</v>
      </c>
      <c r="BP443" s="64">
        <f t="shared" si="66"/>
        <v>5.9829059829059839E-2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150</v>
      </c>
      <c r="L444" s="32"/>
      <c r="M444" s="33" t="s">
        <v>68</v>
      </c>
      <c r="N444" s="33"/>
      <c r="O444" s="32">
        <v>50</v>
      </c>
      <c r="P444" s="10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4"/>
      <c r="R444" s="674"/>
      <c r="S444" s="674"/>
      <c r="T444" s="675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150</v>
      </c>
      <c r="L445" s="32"/>
      <c r="M445" s="33" t="s">
        <v>68</v>
      </c>
      <c r="N445" s="33"/>
      <c r="O445" s="32">
        <v>50</v>
      </c>
      <c r="P445" s="723" t="s">
        <v>702</v>
      </c>
      <c r="Q445" s="674"/>
      <c r="R445" s="674"/>
      <c r="S445" s="674"/>
      <c r="T445" s="675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150</v>
      </c>
      <c r="L446" s="32"/>
      <c r="M446" s="33" t="s">
        <v>68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69</v>
      </c>
      <c r="X446" s="667">
        <v>52.5</v>
      </c>
      <c r="Y446" s="668">
        <f t="shared" si="62"/>
        <v>52.5</v>
      </c>
      <c r="Z446" s="36">
        <f t="shared" si="67"/>
        <v>0.1255</v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55.75</v>
      </c>
      <c r="BN446" s="64">
        <f t="shared" si="64"/>
        <v>55.75</v>
      </c>
      <c r="BO446" s="64">
        <f t="shared" si="65"/>
        <v>0.10683760683760685</v>
      </c>
      <c r="BP446" s="64">
        <f t="shared" si="66"/>
        <v>0.10683760683760685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150</v>
      </c>
      <c r="L447" s="32"/>
      <c r="M447" s="33" t="s">
        <v>68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88</v>
      </c>
      <c r="Q448" s="689"/>
      <c r="R448" s="689"/>
      <c r="S448" s="689"/>
      <c r="T448" s="689"/>
      <c r="U448" s="689"/>
      <c r="V448" s="690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60.185185185185183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61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0.31422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88</v>
      </c>
      <c r="Q449" s="689"/>
      <c r="R449" s="689"/>
      <c r="S449" s="689"/>
      <c r="T449" s="689"/>
      <c r="U449" s="689"/>
      <c r="V449" s="690"/>
      <c r="W449" s="37" t="s">
        <v>69</v>
      </c>
      <c r="X449" s="669">
        <f>IFERROR(SUM(X436:X447),"0")</f>
        <v>132.5</v>
      </c>
      <c r="Y449" s="669">
        <f>IFERROR(SUM(Y436:Y447),"0")</f>
        <v>134.69999999999999</v>
      </c>
      <c r="Z449" s="37"/>
      <c r="AA449" s="670"/>
      <c r="AB449" s="670"/>
      <c r="AC449" s="670"/>
    </row>
    <row r="450" spans="1:68" ht="14.25" customHeight="1" x14ac:dyDescent="0.25">
      <c r="A450" s="684" t="s">
        <v>64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88</v>
      </c>
      <c r="Q453" s="689"/>
      <c r="R453" s="689"/>
      <c r="S453" s="689"/>
      <c r="T453" s="689"/>
      <c r="U453" s="689"/>
      <c r="V453" s="690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88</v>
      </c>
      <c r="Q454" s="689"/>
      <c r="R454" s="689"/>
      <c r="S454" s="689"/>
      <c r="T454" s="689"/>
      <c r="U454" s="689"/>
      <c r="V454" s="690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714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136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88</v>
      </c>
      <c r="Q459" s="689"/>
      <c r="R459" s="689"/>
      <c r="S459" s="689"/>
      <c r="T459" s="689"/>
      <c r="U459" s="689"/>
      <c r="V459" s="690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88</v>
      </c>
      <c r="Q460" s="689"/>
      <c r="R460" s="689"/>
      <c r="S460" s="689"/>
      <c r="T460" s="689"/>
      <c r="U460" s="689"/>
      <c r="V460" s="690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147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5" t="s">
        <v>723</v>
      </c>
      <c r="Q462" s="674"/>
      <c r="R462" s="674"/>
      <c r="S462" s="674"/>
      <c r="T462" s="675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150</v>
      </c>
      <c r="L463" s="32"/>
      <c r="M463" s="33" t="s">
        <v>68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50</v>
      </c>
      <c r="P464" s="766" t="s">
        <v>730</v>
      </c>
      <c r="Q464" s="674"/>
      <c r="R464" s="674"/>
      <c r="S464" s="674"/>
      <c r="T464" s="675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150</v>
      </c>
      <c r="L465" s="32"/>
      <c r="M465" s="33" t="s">
        <v>68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69</v>
      </c>
      <c r="X465" s="667">
        <v>17.5</v>
      </c>
      <c r="Y465" s="668">
        <f>IFERROR(IF(X465="",0,CEILING((X465/$H465),1)*$H465),"")</f>
        <v>18.900000000000002</v>
      </c>
      <c r="Z465" s="36">
        <f>IFERROR(IF(Y465=0,"",ROUNDUP(Y465/H465,0)*0.00502),"")</f>
        <v>4.5179999999999998E-2</v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18.583333333333332</v>
      </c>
      <c r="BN465" s="64">
        <f>IFERROR(Y465*I465/H465,"0")</f>
        <v>20.07</v>
      </c>
      <c r="BO465" s="64">
        <f>IFERROR(1/J465*(X465/H465),"0")</f>
        <v>3.5612535612535613E-2</v>
      </c>
      <c r="BP465" s="64">
        <f>IFERROR(1/J465*(Y465/H465),"0")</f>
        <v>3.8461538461538464E-2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88</v>
      </c>
      <c r="Q466" s="689"/>
      <c r="R466" s="689"/>
      <c r="S466" s="689"/>
      <c r="T466" s="689"/>
      <c r="U466" s="689"/>
      <c r="V466" s="690"/>
      <c r="W466" s="37" t="s">
        <v>89</v>
      </c>
      <c r="X466" s="669">
        <f>IFERROR(X462/H462,"0")+IFERROR(X463/H463,"0")+IFERROR(X464/H464,"0")+IFERROR(X465/H465,"0")</f>
        <v>8.3333333333333321</v>
      </c>
      <c r="Y466" s="669">
        <f>IFERROR(Y462/H462,"0")+IFERROR(Y463/H463,"0")+IFERROR(Y464/H464,"0")+IFERROR(Y465/H465,"0")</f>
        <v>9</v>
      </c>
      <c r="Z466" s="669">
        <f>IFERROR(IF(Z462="",0,Z462),"0")+IFERROR(IF(Z463="",0,Z463),"0")+IFERROR(IF(Z464="",0,Z464),"0")+IFERROR(IF(Z465="",0,Z465),"0")</f>
        <v>4.5179999999999998E-2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88</v>
      </c>
      <c r="Q467" s="689"/>
      <c r="R467" s="689"/>
      <c r="S467" s="689"/>
      <c r="T467" s="689"/>
      <c r="U467" s="689"/>
      <c r="V467" s="690"/>
      <c r="W467" s="37" t="s">
        <v>69</v>
      </c>
      <c r="X467" s="669">
        <f>IFERROR(SUM(X462:X465),"0")</f>
        <v>17.5</v>
      </c>
      <c r="Y467" s="669">
        <f>IFERROR(SUM(Y462:Y465),"0")</f>
        <v>18.900000000000002</v>
      </c>
      <c r="Z467" s="37"/>
      <c r="AA467" s="670"/>
      <c r="AB467" s="670"/>
      <c r="AC467" s="670"/>
    </row>
    <row r="468" spans="1:68" ht="16.5" customHeight="1" x14ac:dyDescent="0.25">
      <c r="A468" s="685" t="s">
        <v>734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147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150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69</v>
      </c>
      <c r="X470" s="667">
        <v>4</v>
      </c>
      <c r="Y470" s="668">
        <f>IFERROR(IF(X470="",0,CEILING((X470/$H470),1)*$H470),"")</f>
        <v>4.8</v>
      </c>
      <c r="Z470" s="36">
        <f>IFERROR(IF(Y470=0,"",ROUNDUP(Y470/H470,0)*0.00502),"")</f>
        <v>2.0080000000000001E-2</v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4.5733333333333341</v>
      </c>
      <c r="BN470" s="64">
        <f>IFERROR(Y470*I470/H470,"0")</f>
        <v>5.4880000000000004</v>
      </c>
      <c r="BO470" s="64">
        <f>IFERROR(1/J470*(X470/H470),"0")</f>
        <v>1.4245014245014247E-2</v>
      </c>
      <c r="BP470" s="64">
        <f>IFERROR(1/J470*(Y470/H470),"0")</f>
        <v>1.7094017094017096E-2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60" t="s">
        <v>740</v>
      </c>
      <c r="Q471" s="674"/>
      <c r="R471" s="674"/>
      <c r="S471" s="674"/>
      <c r="T471" s="675"/>
      <c r="U471" s="34"/>
      <c r="V471" s="34"/>
      <c r="W471" s="35" t="s">
        <v>69</v>
      </c>
      <c r="X471" s="667">
        <v>40</v>
      </c>
      <c r="Y471" s="668">
        <f>IFERROR(IF(X471="",0,CEILING((X471/$H471),1)*$H471),"")</f>
        <v>40.799999999999997</v>
      </c>
      <c r="Z471" s="36">
        <f>IFERROR(IF(Y471=0,"",ROUNDUP(Y471/H471,0)*0.00651),"")</f>
        <v>0.22134000000000001</v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70</v>
      </c>
      <c r="BN471" s="64">
        <f>IFERROR(Y471*I471/H471,"0")</f>
        <v>71.399999999999991</v>
      </c>
      <c r="BO471" s="64">
        <f>IFERROR(1/J471*(X471/H471),"0")</f>
        <v>0.18315018315018317</v>
      </c>
      <c r="BP471" s="64">
        <f>IFERROR(1/J471*(Y471/H471),"0")</f>
        <v>0.18681318681318682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88</v>
      </c>
      <c r="Q472" s="689"/>
      <c r="R472" s="689"/>
      <c r="S472" s="689"/>
      <c r="T472" s="689"/>
      <c r="U472" s="689"/>
      <c r="V472" s="690"/>
      <c r="W472" s="37" t="s">
        <v>89</v>
      </c>
      <c r="X472" s="669">
        <f>IFERROR(X470/H470,"0")+IFERROR(X471/H471,"0")</f>
        <v>36.666666666666671</v>
      </c>
      <c r="Y472" s="669">
        <f>IFERROR(Y470/H470,"0")+IFERROR(Y471/H471,"0")</f>
        <v>38</v>
      </c>
      <c r="Z472" s="669">
        <f>IFERROR(IF(Z470="",0,Z470),"0")+IFERROR(IF(Z471="",0,Z471),"0")</f>
        <v>0.24142000000000002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88</v>
      </c>
      <c r="Q473" s="689"/>
      <c r="R473" s="689"/>
      <c r="S473" s="689"/>
      <c r="T473" s="689"/>
      <c r="U473" s="689"/>
      <c r="V473" s="690"/>
      <c r="W473" s="37" t="s">
        <v>69</v>
      </c>
      <c r="X473" s="669">
        <f>IFERROR(SUM(X470:X471),"0")</f>
        <v>44</v>
      </c>
      <c r="Y473" s="669">
        <f>IFERROR(SUM(Y470:Y471),"0")</f>
        <v>45.599999999999994</v>
      </c>
      <c r="Z473" s="37"/>
      <c r="AA473" s="670"/>
      <c r="AB473" s="670"/>
      <c r="AC473" s="670"/>
    </row>
    <row r="474" spans="1:68" ht="16.5" customHeight="1" x14ac:dyDescent="0.25">
      <c r="A474" s="685" t="s">
        <v>742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147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88</v>
      </c>
      <c r="Q477" s="689"/>
      <c r="R477" s="689"/>
      <c r="S477" s="689"/>
      <c r="T477" s="689"/>
      <c r="U477" s="689"/>
      <c r="V477" s="690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88</v>
      </c>
      <c r="Q478" s="689"/>
      <c r="R478" s="689"/>
      <c r="S478" s="689"/>
      <c r="T478" s="689"/>
      <c r="U478" s="689"/>
      <c r="V478" s="690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173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88</v>
      </c>
      <c r="Q481" s="689"/>
      <c r="R481" s="689"/>
      <c r="S481" s="689"/>
      <c r="T481" s="689"/>
      <c r="U481" s="689"/>
      <c r="V481" s="690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88</v>
      </c>
      <c r="Q482" s="689"/>
      <c r="R482" s="689"/>
      <c r="S482" s="689"/>
      <c r="T482" s="689"/>
      <c r="U482" s="689"/>
      <c r="V482" s="690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749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749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98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69</v>
      </c>
      <c r="X486" s="667">
        <v>100</v>
      </c>
      <c r="Y486" s="668">
        <f t="shared" ref="Y486:Y501" si="68">IFERROR(IF(X486="",0,CEILING((X486/$H486),1)*$H486),"")</f>
        <v>100.32000000000001</v>
      </c>
      <c r="Z486" s="36">
        <f t="shared" ref="Z486:Z491" si="69">IFERROR(IF(Y486=0,"",ROUNDUP(Y486/H486,0)*0.01196),"")</f>
        <v>0.22724</v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106.81818181818181</v>
      </c>
      <c r="BN486" s="64">
        <f t="shared" ref="BN486:BN501" si="71">IFERROR(Y486*I486/H486,"0")</f>
        <v>107.16</v>
      </c>
      <c r="BO486" s="64">
        <f t="shared" ref="BO486:BO501" si="72">IFERROR(1/J486*(X486/H486),"0")</f>
        <v>0.18210955710955709</v>
      </c>
      <c r="BP486" s="64">
        <f t="shared" ref="BP486:BP501" si="73">IFERROR(1/J486*(Y486/H486),"0")</f>
        <v>0.18269230769230771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69</v>
      </c>
      <c r="X490" s="667">
        <v>160</v>
      </c>
      <c r="Y490" s="668">
        <f t="shared" si="68"/>
        <v>163.68</v>
      </c>
      <c r="Z490" s="36">
        <f t="shared" si="69"/>
        <v>0.37075999999999998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170.90909090909091</v>
      </c>
      <c r="BN490" s="64">
        <f t="shared" si="71"/>
        <v>174.84</v>
      </c>
      <c r="BO490" s="64">
        <f t="shared" si="72"/>
        <v>0.29137529137529139</v>
      </c>
      <c r="BP490" s="64">
        <f t="shared" si="73"/>
        <v>0.29807692307692307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83" t="s">
        <v>770</v>
      </c>
      <c r="Q492" s="674"/>
      <c r="R492" s="674"/>
      <c r="S492" s="674"/>
      <c r="T492" s="675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69</v>
      </c>
      <c r="X493" s="667">
        <v>180</v>
      </c>
      <c r="Y493" s="668">
        <f t="shared" si="68"/>
        <v>180</v>
      </c>
      <c r="Z493" s="36">
        <f>IFERROR(IF(Y493=0,"",ROUNDUP(Y493/H493,0)*0.00902),"")</f>
        <v>0.45100000000000001</v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190.49999999999997</v>
      </c>
      <c r="BN493" s="64">
        <f t="shared" si="71"/>
        <v>190.49999999999997</v>
      </c>
      <c r="BO493" s="64">
        <f t="shared" si="72"/>
        <v>0.37878787878787878</v>
      </c>
      <c r="BP493" s="64">
        <f t="shared" si="73"/>
        <v>0.37878787878787878</v>
      </c>
    </row>
    <row r="494" spans="1:68" ht="27" customHeight="1" x14ac:dyDescent="0.25">
      <c r="A494" s="54" t="s">
        <v>771</v>
      </c>
      <c r="B494" s="54" t="s">
        <v>773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57" t="s">
        <v>778</v>
      </c>
      <c r="Q496" s="674"/>
      <c r="R496" s="674"/>
      <c r="S496" s="674"/>
      <c r="T496" s="675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20" t="s">
        <v>781</v>
      </c>
      <c r="Q497" s="674"/>
      <c r="R497" s="674"/>
      <c r="S497" s="674"/>
      <c r="T497" s="675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796" t="s">
        <v>784</v>
      </c>
      <c r="Q498" s="674"/>
      <c r="R498" s="674"/>
      <c r="S498" s="674"/>
      <c r="T498" s="675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106</v>
      </c>
      <c r="L499" s="32"/>
      <c r="M499" s="33" t="s">
        <v>102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69</v>
      </c>
      <c r="X499" s="667">
        <v>180</v>
      </c>
      <c r="Y499" s="668">
        <f t="shared" si="68"/>
        <v>180</v>
      </c>
      <c r="Z499" s="36">
        <f>IFERROR(IF(Y499=0,"",ROUNDUP(Y499/H499,0)*0.00902),"")</f>
        <v>0.45100000000000001</v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190.49999999999997</v>
      </c>
      <c r="BN499" s="64">
        <f t="shared" si="71"/>
        <v>190.49999999999997</v>
      </c>
      <c r="BO499" s="64">
        <f t="shared" si="72"/>
        <v>0.37878787878787878</v>
      </c>
      <c r="BP499" s="64">
        <f t="shared" si="73"/>
        <v>0.37878787878787878</v>
      </c>
    </row>
    <row r="500" spans="1:68" ht="27" customHeight="1" x14ac:dyDescent="0.25">
      <c r="A500" s="54" t="s">
        <v>785</v>
      </c>
      <c r="B500" s="54" t="s">
        <v>787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106</v>
      </c>
      <c r="L500" s="32"/>
      <c r="M500" s="33" t="s">
        <v>102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88</v>
      </c>
      <c r="Q502" s="689"/>
      <c r="R502" s="689"/>
      <c r="S502" s="689"/>
      <c r="T502" s="689"/>
      <c r="U502" s="689"/>
      <c r="V502" s="690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149.24242424242425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150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1.5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88</v>
      </c>
      <c r="Q503" s="689"/>
      <c r="R503" s="689"/>
      <c r="S503" s="689"/>
      <c r="T503" s="689"/>
      <c r="U503" s="689"/>
      <c r="V503" s="690"/>
      <c r="W503" s="37" t="s">
        <v>69</v>
      </c>
      <c r="X503" s="669">
        <f>IFERROR(SUM(X486:X501),"0")</f>
        <v>620</v>
      </c>
      <c r="Y503" s="669">
        <f>IFERROR(SUM(Y486:Y501),"0")</f>
        <v>624</v>
      </c>
      <c r="Z503" s="37"/>
      <c r="AA503" s="670"/>
      <c r="AB503" s="670"/>
      <c r="AC503" s="670"/>
    </row>
    <row r="504" spans="1:68" ht="14.25" customHeight="1" x14ac:dyDescent="0.25">
      <c r="A504" s="684" t="s">
        <v>136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69</v>
      </c>
      <c r="X505" s="667">
        <v>150</v>
      </c>
      <c r="Y505" s="668">
        <f>IFERROR(IF(X505="",0,CEILING((X505/$H505),1)*$H505),"")</f>
        <v>153.12</v>
      </c>
      <c r="Z505" s="36">
        <f>IFERROR(IF(Y505=0,"",ROUNDUP(Y505/H505,0)*0.01196),"")</f>
        <v>0.34683999999999998</v>
      </c>
      <c r="AA505" s="56"/>
      <c r="AB505" s="57"/>
      <c r="AC505" s="559" t="s">
        <v>792</v>
      </c>
      <c r="AG505" s="64"/>
      <c r="AJ505" s="68"/>
      <c r="AK505" s="68">
        <v>0</v>
      </c>
      <c r="BB505" s="560" t="s">
        <v>1</v>
      </c>
      <c r="BM505" s="64">
        <f>IFERROR(X505*I505/H505,"0")</f>
        <v>160.22727272727272</v>
      </c>
      <c r="BN505" s="64">
        <f>IFERROR(Y505*I505/H505,"0")</f>
        <v>163.56</v>
      </c>
      <c r="BO505" s="64">
        <f>IFERROR(1/J505*(X505/H505),"0")</f>
        <v>0.27316433566433568</v>
      </c>
      <c r="BP505" s="64">
        <f>IFERROR(1/J505*(Y505/H505),"0")</f>
        <v>0.27884615384615385</v>
      </c>
    </row>
    <row r="506" spans="1:68" ht="16.5" customHeight="1" x14ac:dyDescent="0.25">
      <c r="A506" s="54" t="s">
        <v>790</v>
      </c>
      <c r="B506" s="54" t="s">
        <v>793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108</v>
      </c>
      <c r="N506" s="33"/>
      <c r="O506" s="32">
        <v>70</v>
      </c>
      <c r="P506" s="900" t="s">
        <v>794</v>
      </c>
      <c r="Q506" s="674"/>
      <c r="R506" s="674"/>
      <c r="S506" s="674"/>
      <c r="T506" s="675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50" t="s">
        <v>798</v>
      </c>
      <c r="Q507" s="674"/>
      <c r="R507" s="674"/>
      <c r="S507" s="674"/>
      <c r="T507" s="675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795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64" t="s">
        <v>801</v>
      </c>
      <c r="Q508" s="674"/>
      <c r="R508" s="674"/>
      <c r="S508" s="674"/>
      <c r="T508" s="675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795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88</v>
      </c>
      <c r="Q509" s="689"/>
      <c r="R509" s="689"/>
      <c r="S509" s="689"/>
      <c r="T509" s="689"/>
      <c r="U509" s="689"/>
      <c r="V509" s="690"/>
      <c r="W509" s="37" t="s">
        <v>89</v>
      </c>
      <c r="X509" s="669">
        <f>IFERROR(X505/H505,"0")+IFERROR(X506/H506,"0")+IFERROR(X507/H507,"0")+IFERROR(X508/H508,"0")</f>
        <v>28.409090909090907</v>
      </c>
      <c r="Y509" s="669">
        <f>IFERROR(Y505/H505,"0")+IFERROR(Y506/H506,"0")+IFERROR(Y507/H507,"0")+IFERROR(Y508/H508,"0")</f>
        <v>29</v>
      </c>
      <c r="Z509" s="669">
        <f>IFERROR(IF(Z505="",0,Z505),"0")+IFERROR(IF(Z506="",0,Z506),"0")+IFERROR(IF(Z507="",0,Z507),"0")+IFERROR(IF(Z508="",0,Z508),"0")</f>
        <v>0.34683999999999998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88</v>
      </c>
      <c r="Q510" s="689"/>
      <c r="R510" s="689"/>
      <c r="S510" s="689"/>
      <c r="T510" s="689"/>
      <c r="U510" s="689"/>
      <c r="V510" s="690"/>
      <c r="W510" s="37" t="s">
        <v>69</v>
      </c>
      <c r="X510" s="669">
        <f>IFERROR(SUM(X505:X508),"0")</f>
        <v>150</v>
      </c>
      <c r="Y510" s="669">
        <f>IFERROR(SUM(Y505:Y508),"0")</f>
        <v>153.12</v>
      </c>
      <c r="Z510" s="37"/>
      <c r="AA510" s="670"/>
      <c r="AB510" s="670"/>
      <c r="AC510" s="670"/>
    </row>
    <row r="511" spans="1:68" ht="14.25" customHeight="1" x14ac:dyDescent="0.25">
      <c r="A511" s="684" t="s">
        <v>147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22" t="s">
        <v>804</v>
      </c>
      <c r="Q512" s="674"/>
      <c r="R512" s="674"/>
      <c r="S512" s="674"/>
      <c r="T512" s="675"/>
      <c r="U512" s="34"/>
      <c r="V512" s="34"/>
      <c r="W512" s="35" t="s">
        <v>69</v>
      </c>
      <c r="X512" s="667">
        <v>20</v>
      </c>
      <c r="Y512" s="668">
        <f t="shared" ref="Y512:Y522" si="74">IFERROR(IF(X512="",0,CEILING((X512/$H512),1)*$H512),"")</f>
        <v>21.12</v>
      </c>
      <c r="Z512" s="36">
        <f>IFERROR(IF(Y512=0,"",ROUNDUP(Y512/H512,0)*0.01196),"")</f>
        <v>4.7840000000000001E-2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21.363636363636363</v>
      </c>
      <c r="BN512" s="64">
        <f t="shared" ref="BN512:BN522" si="76">IFERROR(Y512*I512/H512,"0")</f>
        <v>22.56</v>
      </c>
      <c r="BO512" s="64">
        <f t="shared" ref="BO512:BO522" si="77">IFERROR(1/J512*(X512/H512),"0")</f>
        <v>3.6421911421911424E-2</v>
      </c>
      <c r="BP512" s="64">
        <f t="shared" ref="BP512:BP522" si="78">IFERROR(1/J512*(Y512/H512),"0")</f>
        <v>3.8461538461538464E-2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3" t="s">
        <v>808</v>
      </c>
      <c r="Q513" s="674"/>
      <c r="R513" s="674"/>
      <c r="S513" s="674"/>
      <c r="T513" s="675"/>
      <c r="U513" s="34"/>
      <c r="V513" s="34"/>
      <c r="W513" s="35" t="s">
        <v>69</v>
      </c>
      <c r="X513" s="667">
        <v>50</v>
      </c>
      <c r="Y513" s="668">
        <f t="shared" si="74"/>
        <v>52.800000000000004</v>
      </c>
      <c r="Z513" s="36">
        <f>IFERROR(IF(Y513=0,"",ROUNDUP(Y513/H513,0)*0.01196),"")</f>
        <v>0.1196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53.409090909090907</v>
      </c>
      <c r="BN513" s="64">
        <f t="shared" si="76"/>
        <v>56.400000000000006</v>
      </c>
      <c r="BO513" s="64">
        <f t="shared" si="77"/>
        <v>9.1054778554778545E-2</v>
      </c>
      <c r="BP513" s="64">
        <f t="shared" si="78"/>
        <v>9.6153846153846159E-2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66" t="s">
        <v>812</v>
      </c>
      <c r="Q514" s="674"/>
      <c r="R514" s="674"/>
      <c r="S514" s="674"/>
      <c r="T514" s="675"/>
      <c r="U514" s="34"/>
      <c r="V514" s="34"/>
      <c r="W514" s="35" t="s">
        <v>69</v>
      </c>
      <c r="X514" s="667">
        <v>200</v>
      </c>
      <c r="Y514" s="668">
        <f t="shared" si="74"/>
        <v>200.64000000000001</v>
      </c>
      <c r="Z514" s="36">
        <f>IFERROR(IF(Y514=0,"",ROUNDUP(Y514/H514,0)*0.01196),"")</f>
        <v>0.45448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213.63636363636363</v>
      </c>
      <c r="BN514" s="64">
        <f t="shared" si="76"/>
        <v>214.32</v>
      </c>
      <c r="BO514" s="64">
        <f t="shared" si="77"/>
        <v>0.36421911421911418</v>
      </c>
      <c r="BP514" s="64">
        <f t="shared" si="78"/>
        <v>0.36538461538461542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2" t="s">
        <v>816</v>
      </c>
      <c r="Q515" s="674"/>
      <c r="R515" s="674"/>
      <c r="S515" s="674"/>
      <c r="T515" s="675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2" t="s">
        <v>819</v>
      </c>
      <c r="Q516" s="674"/>
      <c r="R516" s="674"/>
      <c r="S516" s="674"/>
      <c r="T516" s="675"/>
      <c r="U516" s="34"/>
      <c r="V516" s="34"/>
      <c r="W516" s="35" t="s">
        <v>69</v>
      </c>
      <c r="X516" s="667">
        <v>90</v>
      </c>
      <c r="Y516" s="668">
        <f t="shared" si="74"/>
        <v>91.2</v>
      </c>
      <c r="Z516" s="36">
        <f>IFERROR(IF(Y516=0,"",ROUNDUP(Y516/H516,0)*0.00902),"")</f>
        <v>0.17138</v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129.9375</v>
      </c>
      <c r="BN516" s="64">
        <f t="shared" si="76"/>
        <v>131.66999999999999</v>
      </c>
      <c r="BO516" s="64">
        <f t="shared" si="77"/>
        <v>0.14204545454545456</v>
      </c>
      <c r="BP516" s="64">
        <f t="shared" si="78"/>
        <v>0.14393939393939395</v>
      </c>
    </row>
    <row r="517" spans="1:68" ht="27" customHeight="1" x14ac:dyDescent="0.25">
      <c r="A517" s="54" t="s">
        <v>817</v>
      </c>
      <c r="B517" s="54" t="s">
        <v>820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106</v>
      </c>
      <c r="L517" s="32"/>
      <c r="M517" s="33" t="s">
        <v>102</v>
      </c>
      <c r="N517" s="33"/>
      <c r="O517" s="32">
        <v>70</v>
      </c>
      <c r="P517" s="904" t="s">
        <v>821</v>
      </c>
      <c r="Q517" s="674"/>
      <c r="R517" s="674"/>
      <c r="S517" s="674"/>
      <c r="T517" s="675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805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106</v>
      </c>
      <c r="L518" s="32"/>
      <c r="M518" s="33" t="s">
        <v>102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823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44" t="s">
        <v>826</v>
      </c>
      <c r="Q519" s="674"/>
      <c r="R519" s="674"/>
      <c r="S519" s="674"/>
      <c r="T519" s="675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827</v>
      </c>
      <c r="B520" s="54" t="s">
        <v>828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106</v>
      </c>
      <c r="L520" s="32"/>
      <c r="M520" s="33" t="s">
        <v>68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69</v>
      </c>
      <c r="X520" s="667">
        <v>60</v>
      </c>
      <c r="Y520" s="668">
        <f t="shared" si="74"/>
        <v>61.2</v>
      </c>
      <c r="Z520" s="36">
        <f>IFERROR(IF(Y520=0,"",ROUNDUP(Y520/H520,0)*0.00902),"")</f>
        <v>0.15334</v>
      </c>
      <c r="AA520" s="56"/>
      <c r="AB520" s="57"/>
      <c r="AC520" s="583" t="s">
        <v>829</v>
      </c>
      <c r="AG520" s="64"/>
      <c r="AJ520" s="68"/>
      <c r="AK520" s="68">
        <v>0</v>
      </c>
      <c r="BB520" s="584" t="s">
        <v>1</v>
      </c>
      <c r="BM520" s="64">
        <f t="shared" si="75"/>
        <v>63.5</v>
      </c>
      <c r="BN520" s="64">
        <f t="shared" si="76"/>
        <v>64.77000000000001</v>
      </c>
      <c r="BO520" s="64">
        <f t="shared" si="77"/>
        <v>0.12626262626262627</v>
      </c>
      <c r="BP520" s="64">
        <f t="shared" si="78"/>
        <v>0.12878787878787878</v>
      </c>
    </row>
    <row r="521" spans="1:68" ht="27" customHeight="1" x14ac:dyDescent="0.25">
      <c r="A521" s="54" t="s">
        <v>827</v>
      </c>
      <c r="B521" s="54" t="s">
        <v>830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70</v>
      </c>
      <c r="P521" s="729" t="s">
        <v>831</v>
      </c>
      <c r="Q521" s="674"/>
      <c r="R521" s="674"/>
      <c r="S521" s="674"/>
      <c r="T521" s="675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813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827</v>
      </c>
      <c r="B522" s="54" t="s">
        <v>832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106</v>
      </c>
      <c r="L522" s="32"/>
      <c r="M522" s="33" t="s">
        <v>68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88</v>
      </c>
      <c r="Q523" s="689"/>
      <c r="R523" s="689"/>
      <c r="S523" s="689"/>
      <c r="T523" s="689"/>
      <c r="U523" s="689"/>
      <c r="V523" s="690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86.553030303030297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88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0.94664000000000004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88</v>
      </c>
      <c r="Q524" s="689"/>
      <c r="R524" s="689"/>
      <c r="S524" s="689"/>
      <c r="T524" s="689"/>
      <c r="U524" s="689"/>
      <c r="V524" s="690"/>
      <c r="W524" s="37" t="s">
        <v>69</v>
      </c>
      <c r="X524" s="669">
        <f>IFERROR(SUM(X512:X522),"0")</f>
        <v>420</v>
      </c>
      <c r="Y524" s="669">
        <f>IFERROR(SUM(Y512:Y522),"0")</f>
        <v>426.96</v>
      </c>
      <c r="Z524" s="37"/>
      <c r="AA524" s="670"/>
      <c r="AB524" s="670"/>
      <c r="AC524" s="670"/>
    </row>
    <row r="525" spans="1:68" ht="14.25" customHeight="1" x14ac:dyDescent="0.25">
      <c r="A525" s="684" t="s">
        <v>64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88</v>
      </c>
      <c r="Q529" s="689"/>
      <c r="R529" s="689"/>
      <c r="S529" s="689"/>
      <c r="T529" s="689"/>
      <c r="U529" s="689"/>
      <c r="V529" s="690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88</v>
      </c>
      <c r="Q530" s="689"/>
      <c r="R530" s="689"/>
      <c r="S530" s="689"/>
      <c r="T530" s="689"/>
      <c r="U530" s="689"/>
      <c r="V530" s="690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173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06" t="s">
        <v>844</v>
      </c>
      <c r="Q532" s="674"/>
      <c r="R532" s="674"/>
      <c r="S532" s="674"/>
      <c r="T532" s="675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88</v>
      </c>
      <c r="Q533" s="689"/>
      <c r="R533" s="689"/>
      <c r="S533" s="689"/>
      <c r="T533" s="689"/>
      <c r="U533" s="689"/>
      <c r="V533" s="690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88</v>
      </c>
      <c r="Q534" s="689"/>
      <c r="R534" s="689"/>
      <c r="S534" s="689"/>
      <c r="T534" s="689"/>
      <c r="U534" s="689"/>
      <c r="V534" s="690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846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846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98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1" t="s">
        <v>849</v>
      </c>
      <c r="Q538" s="674"/>
      <c r="R538" s="674"/>
      <c r="S538" s="674"/>
      <c r="T538" s="675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0" t="s">
        <v>853</v>
      </c>
      <c r="Q539" s="674"/>
      <c r="R539" s="674"/>
      <c r="S539" s="674"/>
      <c r="T539" s="675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7" t="s">
        <v>857</v>
      </c>
      <c r="Q540" s="674"/>
      <c r="R540" s="674"/>
      <c r="S540" s="674"/>
      <c r="T540" s="675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32" t="s">
        <v>861</v>
      </c>
      <c r="Q541" s="674"/>
      <c r="R541" s="674"/>
      <c r="S541" s="674"/>
      <c r="T541" s="675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62" t="s">
        <v>865</v>
      </c>
      <c r="Q542" s="674"/>
      <c r="R542" s="674"/>
      <c r="S542" s="674"/>
      <c r="T542" s="675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3" t="s">
        <v>868</v>
      </c>
      <c r="Q543" s="674"/>
      <c r="R543" s="674"/>
      <c r="S543" s="674"/>
      <c r="T543" s="675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88</v>
      </c>
      <c r="Q544" s="689"/>
      <c r="R544" s="689"/>
      <c r="S544" s="689"/>
      <c r="T544" s="689"/>
      <c r="U544" s="689"/>
      <c r="V544" s="690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88</v>
      </c>
      <c r="Q545" s="689"/>
      <c r="R545" s="689"/>
      <c r="S545" s="689"/>
      <c r="T545" s="689"/>
      <c r="U545" s="689"/>
      <c r="V545" s="690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136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869</v>
      </c>
      <c r="B547" s="54" t="s">
        <v>870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75" t="s">
        <v>871</v>
      </c>
      <c r="Q547" s="674"/>
      <c r="R547" s="674"/>
      <c r="S547" s="674"/>
      <c r="T547" s="675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795" t="s">
        <v>874</v>
      </c>
      <c r="Q548" s="674"/>
      <c r="R548" s="674"/>
      <c r="S548" s="674"/>
      <c r="T548" s="675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10" t="s">
        <v>878</v>
      </c>
      <c r="Q549" s="674"/>
      <c r="R549" s="674"/>
      <c r="S549" s="674"/>
      <c r="T549" s="675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38" t="s">
        <v>881</v>
      </c>
      <c r="Q550" s="674"/>
      <c r="R550" s="674"/>
      <c r="S550" s="674"/>
      <c r="T550" s="675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7" t="s">
        <v>885</v>
      </c>
      <c r="Q551" s="674"/>
      <c r="R551" s="674"/>
      <c r="S551" s="674"/>
      <c r="T551" s="675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88</v>
      </c>
      <c r="Q552" s="689"/>
      <c r="R552" s="689"/>
      <c r="S552" s="689"/>
      <c r="T552" s="689"/>
      <c r="U552" s="689"/>
      <c r="V552" s="690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88</v>
      </c>
      <c r="Q553" s="689"/>
      <c r="R553" s="689"/>
      <c r="S553" s="689"/>
      <c r="T553" s="689"/>
      <c r="U553" s="689"/>
      <c r="V553" s="690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147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2" t="s">
        <v>888</v>
      </c>
      <c r="Q555" s="674"/>
      <c r="R555" s="674"/>
      <c r="S555" s="674"/>
      <c r="T555" s="675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85" t="s">
        <v>892</v>
      </c>
      <c r="Q556" s="674"/>
      <c r="R556" s="674"/>
      <c r="S556" s="674"/>
      <c r="T556" s="675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67" t="s">
        <v>896</v>
      </c>
      <c r="Q557" s="674"/>
      <c r="R557" s="674"/>
      <c r="S557" s="674"/>
      <c r="T557" s="675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9" t="s">
        <v>900</v>
      </c>
      <c r="Q558" s="674"/>
      <c r="R558" s="674"/>
      <c r="S558" s="674"/>
      <c r="T558" s="675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7" t="s">
        <v>904</v>
      </c>
      <c r="Q559" s="674"/>
      <c r="R559" s="674"/>
      <c r="S559" s="674"/>
      <c r="T559" s="675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150</v>
      </c>
      <c r="L560" s="32"/>
      <c r="M560" s="33" t="s">
        <v>68</v>
      </c>
      <c r="N560" s="33"/>
      <c r="O560" s="32">
        <v>40</v>
      </c>
      <c r="P560" s="969" t="s">
        <v>908</v>
      </c>
      <c r="Q560" s="674"/>
      <c r="R560" s="674"/>
      <c r="S560" s="674"/>
      <c r="T560" s="675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150</v>
      </c>
      <c r="L561" s="32"/>
      <c r="M561" s="33" t="s">
        <v>68</v>
      </c>
      <c r="N561" s="33"/>
      <c r="O561" s="32">
        <v>40</v>
      </c>
      <c r="P561" s="912" t="s">
        <v>911</v>
      </c>
      <c r="Q561" s="674"/>
      <c r="R561" s="674"/>
      <c r="S561" s="674"/>
      <c r="T561" s="675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88</v>
      </c>
      <c r="Q562" s="689"/>
      <c r="R562" s="689"/>
      <c r="S562" s="689"/>
      <c r="T562" s="689"/>
      <c r="U562" s="689"/>
      <c r="V562" s="690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88</v>
      </c>
      <c r="Q563" s="689"/>
      <c r="R563" s="689"/>
      <c r="S563" s="689"/>
      <c r="T563" s="689"/>
      <c r="U563" s="689"/>
      <c r="V563" s="690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64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101</v>
      </c>
      <c r="L565" s="32"/>
      <c r="M565" s="33" t="s">
        <v>132</v>
      </c>
      <c r="N565" s="33"/>
      <c r="O565" s="32">
        <v>45</v>
      </c>
      <c r="P565" s="744" t="s">
        <v>914</v>
      </c>
      <c r="Q565" s="674"/>
      <c r="R565" s="674"/>
      <c r="S565" s="674"/>
      <c r="T565" s="675"/>
      <c r="U565" s="34"/>
      <c r="V565" s="34"/>
      <c r="W565" s="35" t="s">
        <v>69</v>
      </c>
      <c r="X565" s="667">
        <v>1100</v>
      </c>
      <c r="Y565" s="668">
        <f>IFERROR(IF(X565="",0,CEILING((X565/$H565),1)*$H565),"")</f>
        <v>1107</v>
      </c>
      <c r="Z565" s="36">
        <f>IFERROR(IF(Y565=0,"",ROUNDUP(Y565/H565,0)*0.01898),"")</f>
        <v>2.3345400000000001</v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1163.4333333333334</v>
      </c>
      <c r="BN565" s="64">
        <f>IFERROR(Y565*I565/H565,"0")</f>
        <v>1170.837</v>
      </c>
      <c r="BO565" s="64">
        <f>IFERROR(1/J565*(X565/H565),"0")</f>
        <v>1.9097222222222223</v>
      </c>
      <c r="BP565" s="64">
        <f>IFERROR(1/J565*(Y565/H565),"0")</f>
        <v>1.921875</v>
      </c>
    </row>
    <row r="566" spans="1:68" ht="27" customHeight="1" x14ac:dyDescent="0.25">
      <c r="A566" s="54" t="s">
        <v>912</v>
      </c>
      <c r="B566" s="54" t="s">
        <v>916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101</v>
      </c>
      <c r="L566" s="32"/>
      <c r="M566" s="33" t="s">
        <v>108</v>
      </c>
      <c r="N566" s="33"/>
      <c r="O566" s="32">
        <v>45</v>
      </c>
      <c r="P566" s="903" t="s">
        <v>914</v>
      </c>
      <c r="Q566" s="674"/>
      <c r="R566" s="674"/>
      <c r="S566" s="674"/>
      <c r="T566" s="675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5" t="s">
        <v>919</v>
      </c>
      <c r="Q567" s="674"/>
      <c r="R567" s="674"/>
      <c r="S567" s="674"/>
      <c r="T567" s="675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132</v>
      </c>
      <c r="N568" s="33"/>
      <c r="O568" s="32">
        <v>45</v>
      </c>
      <c r="P568" s="1021" t="s">
        <v>923</v>
      </c>
      <c r="Q568" s="674"/>
      <c r="R568" s="674"/>
      <c r="S568" s="674"/>
      <c r="T568" s="675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132</v>
      </c>
      <c r="N569" s="33"/>
      <c r="O569" s="32">
        <v>45</v>
      </c>
      <c r="P569" s="950" t="s">
        <v>926</v>
      </c>
      <c r="Q569" s="674"/>
      <c r="R569" s="674"/>
      <c r="S569" s="674"/>
      <c r="T569" s="675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88</v>
      </c>
      <c r="Q570" s="689"/>
      <c r="R570" s="689"/>
      <c r="S570" s="689"/>
      <c r="T570" s="689"/>
      <c r="U570" s="689"/>
      <c r="V570" s="690"/>
      <c r="W570" s="37" t="s">
        <v>89</v>
      </c>
      <c r="X570" s="669">
        <f>IFERROR(X565/H565,"0")+IFERROR(X566/H566,"0")+IFERROR(X567/H567,"0")+IFERROR(X568/H568,"0")+IFERROR(X569/H569,"0")</f>
        <v>122.22222222222223</v>
      </c>
      <c r="Y570" s="669">
        <f>IFERROR(Y565/H565,"0")+IFERROR(Y566/H566,"0")+IFERROR(Y567/H567,"0")+IFERROR(Y568/H568,"0")+IFERROR(Y569/H569,"0")</f>
        <v>123</v>
      </c>
      <c r="Z570" s="669">
        <f>IFERROR(IF(Z565="",0,Z565),"0")+IFERROR(IF(Z566="",0,Z566),"0")+IFERROR(IF(Z567="",0,Z567),"0")+IFERROR(IF(Z568="",0,Z568),"0")+IFERROR(IF(Z569="",0,Z569),"0")</f>
        <v>2.3345400000000001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88</v>
      </c>
      <c r="Q571" s="689"/>
      <c r="R571" s="689"/>
      <c r="S571" s="689"/>
      <c r="T571" s="689"/>
      <c r="U571" s="689"/>
      <c r="V571" s="690"/>
      <c r="W571" s="37" t="s">
        <v>69</v>
      </c>
      <c r="X571" s="669">
        <f>IFERROR(SUM(X565:X569),"0")</f>
        <v>1100</v>
      </c>
      <c r="Y571" s="669">
        <f>IFERROR(SUM(Y565:Y569),"0")</f>
        <v>1107</v>
      </c>
      <c r="Z571" s="37"/>
      <c r="AA571" s="670"/>
      <c r="AB571" s="670"/>
      <c r="AC571" s="670"/>
    </row>
    <row r="572" spans="1:68" ht="14.25" customHeight="1" x14ac:dyDescent="0.25">
      <c r="A572" s="684" t="s">
        <v>173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101</v>
      </c>
      <c r="L573" s="32"/>
      <c r="M573" s="33" t="s">
        <v>132</v>
      </c>
      <c r="N573" s="33"/>
      <c r="O573" s="32">
        <v>40</v>
      </c>
      <c r="P573" s="767" t="s">
        <v>929</v>
      </c>
      <c r="Q573" s="674"/>
      <c r="R573" s="674"/>
      <c r="S573" s="674"/>
      <c r="T573" s="675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927</v>
      </c>
      <c r="B574" s="54" t="s">
        <v>931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101</v>
      </c>
      <c r="L574" s="32"/>
      <c r="M574" s="33" t="s">
        <v>108</v>
      </c>
      <c r="N574" s="33"/>
      <c r="O574" s="32">
        <v>40</v>
      </c>
      <c r="P574" s="808" t="s">
        <v>932</v>
      </c>
      <c r="Q574" s="674"/>
      <c r="R574" s="674"/>
      <c r="S574" s="674"/>
      <c r="T574" s="675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101</v>
      </c>
      <c r="L575" s="32"/>
      <c r="M575" s="33" t="s">
        <v>132</v>
      </c>
      <c r="N575" s="33"/>
      <c r="O575" s="32">
        <v>40</v>
      </c>
      <c r="P575" s="973" t="s">
        <v>935</v>
      </c>
      <c r="Q575" s="674"/>
      <c r="R575" s="674"/>
      <c r="S575" s="674"/>
      <c r="T575" s="675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101</v>
      </c>
      <c r="L576" s="32"/>
      <c r="M576" s="33" t="s">
        <v>108</v>
      </c>
      <c r="N576" s="33"/>
      <c r="O576" s="32">
        <v>40</v>
      </c>
      <c r="P576" s="981" t="s">
        <v>938</v>
      </c>
      <c r="Q576" s="674"/>
      <c r="R576" s="674"/>
      <c r="S576" s="674"/>
      <c r="T576" s="675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88</v>
      </c>
      <c r="Q577" s="689"/>
      <c r="R577" s="689"/>
      <c r="S577" s="689"/>
      <c r="T577" s="689"/>
      <c r="U577" s="689"/>
      <c r="V577" s="690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88</v>
      </c>
      <c r="Q578" s="689"/>
      <c r="R578" s="689"/>
      <c r="S578" s="689"/>
      <c r="T578" s="689"/>
      <c r="U578" s="689"/>
      <c r="V578" s="690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939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43" t="s">
        <v>942</v>
      </c>
      <c r="Q581" s="674"/>
      <c r="R581" s="674"/>
      <c r="S581" s="674"/>
      <c r="T581" s="675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88</v>
      </c>
      <c r="Q582" s="689"/>
      <c r="R582" s="689"/>
      <c r="S582" s="689"/>
      <c r="T582" s="689"/>
      <c r="U582" s="689"/>
      <c r="V582" s="690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88</v>
      </c>
      <c r="Q583" s="689"/>
      <c r="R583" s="689"/>
      <c r="S583" s="689"/>
      <c r="T583" s="689"/>
      <c r="U583" s="689"/>
      <c r="V583" s="690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136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792" t="s">
        <v>946</v>
      </c>
      <c r="Q585" s="674"/>
      <c r="R585" s="674"/>
      <c r="S585" s="674"/>
      <c r="T585" s="675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88</v>
      </c>
      <c r="Q586" s="689"/>
      <c r="R586" s="689"/>
      <c r="S586" s="689"/>
      <c r="T586" s="689"/>
      <c r="U586" s="689"/>
      <c r="V586" s="690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88</v>
      </c>
      <c r="Q587" s="689"/>
      <c r="R587" s="689"/>
      <c r="S587" s="689"/>
      <c r="T587" s="689"/>
      <c r="U587" s="689"/>
      <c r="V587" s="690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147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22" t="s">
        <v>950</v>
      </c>
      <c r="Q589" s="674"/>
      <c r="R589" s="674"/>
      <c r="S589" s="674"/>
      <c r="T589" s="675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88</v>
      </c>
      <c r="Q590" s="689"/>
      <c r="R590" s="689"/>
      <c r="S590" s="689"/>
      <c r="T590" s="689"/>
      <c r="U590" s="689"/>
      <c r="V590" s="690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88</v>
      </c>
      <c r="Q591" s="689"/>
      <c r="R591" s="689"/>
      <c r="S591" s="689"/>
      <c r="T591" s="689"/>
      <c r="U591" s="689"/>
      <c r="V591" s="690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64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132</v>
      </c>
      <c r="N593" s="33"/>
      <c r="O593" s="32">
        <v>45</v>
      </c>
      <c r="P593" s="826" t="s">
        <v>954</v>
      </c>
      <c r="Q593" s="674"/>
      <c r="R593" s="674"/>
      <c r="S593" s="674"/>
      <c r="T593" s="675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88</v>
      </c>
      <c r="Q594" s="689"/>
      <c r="R594" s="689"/>
      <c r="S594" s="689"/>
      <c r="T594" s="689"/>
      <c r="U594" s="689"/>
      <c r="V594" s="690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88</v>
      </c>
      <c r="Q595" s="689"/>
      <c r="R595" s="689"/>
      <c r="S595" s="689"/>
      <c r="T595" s="689"/>
      <c r="U595" s="689"/>
      <c r="V595" s="690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956</v>
      </c>
      <c r="Q596" s="805"/>
      <c r="R596" s="805"/>
      <c r="S596" s="805"/>
      <c r="T596" s="805"/>
      <c r="U596" s="805"/>
      <c r="V596" s="806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11823.6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11964.140000000003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957</v>
      </c>
      <c r="Q597" s="805"/>
      <c r="R597" s="805"/>
      <c r="S597" s="805"/>
      <c r="T597" s="805"/>
      <c r="U597" s="805"/>
      <c r="V597" s="806"/>
      <c r="W597" s="37" t="s">
        <v>69</v>
      </c>
      <c r="X597" s="669">
        <f>IFERROR(SUM(BM22:BM593),"0")</f>
        <v>12655.944102554535</v>
      </c>
      <c r="Y597" s="669">
        <f>IFERROR(SUM(BN22:BN593),"0")</f>
        <v>12805.504999999996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958</v>
      </c>
      <c r="Q598" s="805"/>
      <c r="R598" s="805"/>
      <c r="S598" s="805"/>
      <c r="T598" s="805"/>
      <c r="U598" s="805"/>
      <c r="V598" s="806"/>
      <c r="W598" s="37" t="s">
        <v>959</v>
      </c>
      <c r="X598" s="38">
        <f>ROUNDUP(SUM(BO22:BO593),0)</f>
        <v>23</v>
      </c>
      <c r="Y598" s="38">
        <f>ROUNDUP(SUM(BP22:BP593),0)</f>
        <v>23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960</v>
      </c>
      <c r="Q599" s="805"/>
      <c r="R599" s="805"/>
      <c r="S599" s="805"/>
      <c r="T599" s="805"/>
      <c r="U599" s="805"/>
      <c r="V599" s="806"/>
      <c r="W599" s="37" t="s">
        <v>69</v>
      </c>
      <c r="X599" s="669">
        <f>GrossWeightTotal+PalletQtyTotal*25</f>
        <v>13230.944102554535</v>
      </c>
      <c r="Y599" s="669">
        <f>GrossWeightTotalR+PalletQtyTotalR*25</f>
        <v>13380.504999999996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961</v>
      </c>
      <c r="Q600" s="805"/>
      <c r="R600" s="805"/>
      <c r="S600" s="805"/>
      <c r="T600" s="805"/>
      <c r="U600" s="805"/>
      <c r="V600" s="806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2865.8852255662605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2891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962</v>
      </c>
      <c r="Q601" s="805"/>
      <c r="R601" s="805"/>
      <c r="S601" s="805"/>
      <c r="T601" s="805"/>
      <c r="U601" s="805"/>
      <c r="V601" s="806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26.580679999999997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698" t="s">
        <v>96</v>
      </c>
      <c r="D603" s="758"/>
      <c r="E603" s="758"/>
      <c r="F603" s="758"/>
      <c r="G603" s="758"/>
      <c r="H603" s="759"/>
      <c r="I603" s="698" t="s">
        <v>282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602</v>
      </c>
      <c r="X603" s="759"/>
      <c r="Y603" s="698" t="s">
        <v>674</v>
      </c>
      <c r="Z603" s="758"/>
      <c r="AA603" s="758"/>
      <c r="AB603" s="759"/>
      <c r="AC603" s="664" t="s">
        <v>749</v>
      </c>
      <c r="AD603" s="698" t="s">
        <v>846</v>
      </c>
      <c r="AE603" s="759"/>
      <c r="AF603" s="665"/>
    </row>
    <row r="604" spans="1:68" ht="14.25" customHeight="1" thickTop="1" x14ac:dyDescent="0.2">
      <c r="A604" s="943" t="s">
        <v>965</v>
      </c>
      <c r="B604" s="698" t="s">
        <v>63</v>
      </c>
      <c r="C604" s="698" t="s">
        <v>97</v>
      </c>
      <c r="D604" s="698" t="s">
        <v>118</v>
      </c>
      <c r="E604" s="698" t="s">
        <v>181</v>
      </c>
      <c r="F604" s="698" t="s">
        <v>212</v>
      </c>
      <c r="G604" s="698" t="s">
        <v>255</v>
      </c>
      <c r="H604" s="698" t="s">
        <v>96</v>
      </c>
      <c r="I604" s="698" t="s">
        <v>283</v>
      </c>
      <c r="J604" s="698" t="s">
        <v>329</v>
      </c>
      <c r="K604" s="698" t="s">
        <v>390</v>
      </c>
      <c r="L604" s="698" t="s">
        <v>437</v>
      </c>
      <c r="M604" s="698" t="s">
        <v>455</v>
      </c>
      <c r="N604" s="665"/>
      <c r="O604" s="698" t="s">
        <v>459</v>
      </c>
      <c r="P604" s="698" t="s">
        <v>472</v>
      </c>
      <c r="Q604" s="698" t="s">
        <v>486</v>
      </c>
      <c r="R604" s="698" t="s">
        <v>496</v>
      </c>
      <c r="S604" s="698" t="s">
        <v>500</v>
      </c>
      <c r="T604" s="698" t="s">
        <v>508</v>
      </c>
      <c r="U604" s="698" t="s">
        <v>513</v>
      </c>
      <c r="V604" s="698" t="s">
        <v>589</v>
      </c>
      <c r="W604" s="698" t="s">
        <v>603</v>
      </c>
      <c r="X604" s="698" t="s">
        <v>644</v>
      </c>
      <c r="Y604" s="698" t="s">
        <v>675</v>
      </c>
      <c r="Z604" s="698" t="s">
        <v>714</v>
      </c>
      <c r="AA604" s="698" t="s">
        <v>734</v>
      </c>
      <c r="AB604" s="698" t="s">
        <v>742</v>
      </c>
      <c r="AC604" s="698" t="s">
        <v>749</v>
      </c>
      <c r="AD604" s="698" t="s">
        <v>846</v>
      </c>
      <c r="AE604" s="698" t="s">
        <v>939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268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885.3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1026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1591.1999999999998</v>
      </c>
      <c r="G606" s="46">
        <f>IFERROR(Y135*1,"0")+IFERROR(Y136*1,"0")+IFERROR(Y140*1,"0")+IFERROR(Y141*1,"0")+IFERROR(Y145*1,"0")+IFERROR(Y146*1,"0")</f>
        <v>94.960000000000008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558.6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1475.3999999999999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195.6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321.60000000000002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71.400000000000006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409.8</v>
      </c>
      <c r="V606" s="46">
        <f>IFERROR(Y371*1,"0")+IFERROR(Y375*1,"0")+IFERROR(Y376*1,"0")+IFERROR(Y377*1,"0")</f>
        <v>837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1599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120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134.69999999999999</v>
      </c>
      <c r="Z606" s="46">
        <f>IFERROR(Y457*1,"0")+IFERROR(Y458*1,"0")+IFERROR(Y462*1,"0")+IFERROR(Y463*1,"0")+IFERROR(Y464*1,"0")+IFERROR(Y465*1,"0")</f>
        <v>18.900000000000002</v>
      </c>
      <c r="AA606" s="46">
        <f>IFERROR(Y470*1,"0")+IFERROR(Y471*1,"0")</f>
        <v>45.599999999999994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1204.0800000000002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1107</v>
      </c>
      <c r="AE606" s="46">
        <f>IFERROR(Y581*1,"0")+IFERROR(Y585*1,"0")+IFERROR(Y589*1,"0")+IFERROR(Y593*1,"0")</f>
        <v>0</v>
      </c>
      <c r="AF606" s="665"/>
    </row>
  </sheetData>
  <sheetProtection algorithmName="SHA-512" hashValue="1zT8mk8iEO5dk1TlCAkyPQEWJkTdo9fYDJkTfWjPmfo7bu+9Mt9ijpGBW1pjpm/kiyhKf32GJOn5k7WhkkDuKw==" saltValue="cbNE8RzoIsOuMBZ/kxlxU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288 X383 X385 X388 X396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8" xr:uid="{00000000-0002-0000-0000-000012000000}">
      <formula1>IF(AK328&gt;0,OR(X328=0,AND(IF(X328-AK328&gt;=0,TRUE,FALSE),X328&gt;0,IF(X328/(H328*K328)=ROUND(X328/(H328*K328),0),TRUE,FALSE))),FALSE)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E7zWahc3AdNansHtfq7Yui515nIxGd+wkjOo+0JLCkH2w9tZXheO4Buf66WPAx/p6NDhY69aWz+8l8ICwXobeg==" saltValue="7M00SzaBdfGZAeCjCofem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2025-04-30T08:38:42Z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