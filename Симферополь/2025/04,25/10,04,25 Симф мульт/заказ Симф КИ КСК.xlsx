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21FEFAEB-123B-44E3-A11B-A7BDF5DFE5B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P499" i="1"/>
  <c r="BO498" i="1"/>
  <c r="BM498" i="1"/>
  <c r="Y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AB601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Y443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Y261" i="1" s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I601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F10" i="1" s="1"/>
  <c r="D7" i="1"/>
  <c r="Q6" i="1"/>
  <c r="P2" i="1"/>
  <c r="Y55" i="1" l="1"/>
  <c r="Y77" i="1"/>
  <c r="Y102" i="1"/>
  <c r="Y117" i="1"/>
  <c r="Y128" i="1"/>
  <c r="Y134" i="1"/>
  <c r="Y139" i="1"/>
  <c r="Y145" i="1"/>
  <c r="BP159" i="1"/>
  <c r="BN159" i="1"/>
  <c r="Z159" i="1"/>
  <c r="BP192" i="1"/>
  <c r="BN192" i="1"/>
  <c r="Z192" i="1"/>
  <c r="Z193" i="1" s="1"/>
  <c r="Y194" i="1"/>
  <c r="Y221" i="1"/>
  <c r="BP212" i="1"/>
  <c r="BN212" i="1"/>
  <c r="Z212" i="1"/>
  <c r="BP216" i="1"/>
  <c r="BN216" i="1"/>
  <c r="Z216" i="1"/>
  <c r="Y222" i="1"/>
  <c r="BP233" i="1"/>
  <c r="BN233" i="1"/>
  <c r="Z233" i="1"/>
  <c r="BP237" i="1"/>
  <c r="BN237" i="1"/>
  <c r="Z237" i="1"/>
  <c r="Y239" i="1"/>
  <c r="Y333" i="1"/>
  <c r="BP328" i="1"/>
  <c r="BN328" i="1"/>
  <c r="Z328" i="1"/>
  <c r="H9" i="1"/>
  <c r="A10" i="1"/>
  <c r="Y28" i="1"/>
  <c r="Y42" i="1"/>
  <c r="Y46" i="1"/>
  <c r="Y63" i="1"/>
  <c r="Y69" i="1"/>
  <c r="Y83" i="1"/>
  <c r="Y90" i="1"/>
  <c r="Y111" i="1"/>
  <c r="Y149" i="1"/>
  <c r="BP177" i="1"/>
  <c r="BN177" i="1"/>
  <c r="Z177" i="1"/>
  <c r="BP182" i="1"/>
  <c r="BN182" i="1"/>
  <c r="Z182" i="1"/>
  <c r="Y18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BP220" i="1"/>
  <c r="BN220" i="1"/>
  <c r="Z220" i="1"/>
  <c r="Y227" i="1"/>
  <c r="BP224" i="1"/>
  <c r="BN224" i="1"/>
  <c r="Z224" i="1"/>
  <c r="Z226" i="1" s="1"/>
  <c r="Y243" i="1"/>
  <c r="BP241" i="1"/>
  <c r="BN241" i="1"/>
  <c r="Z241" i="1"/>
  <c r="BP257" i="1"/>
  <c r="BN257" i="1"/>
  <c r="Z257" i="1"/>
  <c r="BP271" i="1"/>
  <c r="BN271" i="1"/>
  <c r="Z271" i="1"/>
  <c r="Z273" i="1" s="1"/>
  <c r="BP280" i="1"/>
  <c r="BN280" i="1"/>
  <c r="Z280" i="1"/>
  <c r="BP324" i="1"/>
  <c r="BN324" i="1"/>
  <c r="Z324" i="1"/>
  <c r="Y326" i="1"/>
  <c r="Y332" i="1"/>
  <c r="BP336" i="1"/>
  <c r="BN336" i="1"/>
  <c r="Z336" i="1"/>
  <c r="Z340" i="1" s="1"/>
  <c r="Y340" i="1"/>
  <c r="Z346" i="1"/>
  <c r="BP344" i="1"/>
  <c r="BN344" i="1"/>
  <c r="Z344" i="1"/>
  <c r="Y346" i="1"/>
  <c r="F9" i="1"/>
  <c r="J9" i="1"/>
  <c r="Z22" i="1"/>
  <c r="Z28" i="1" s="1"/>
  <c r="BN22" i="1"/>
  <c r="BP22" i="1"/>
  <c r="Z26" i="1"/>
  <c r="BN26" i="1"/>
  <c r="X595" i="1"/>
  <c r="Y29" i="1"/>
  <c r="C601" i="1"/>
  <c r="Z38" i="1"/>
  <c r="Z41" i="1" s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1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1" i="1"/>
  <c r="Z107" i="1"/>
  <c r="Z110" i="1" s="1"/>
  <c r="BN107" i="1"/>
  <c r="Z109" i="1"/>
  <c r="BN109" i="1"/>
  <c r="Y110" i="1"/>
  <c r="Z113" i="1"/>
  <c r="Z116" i="1" s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1" i="1"/>
  <c r="Y155" i="1"/>
  <c r="Y162" i="1"/>
  <c r="BP157" i="1"/>
  <c r="BN157" i="1"/>
  <c r="Z157" i="1"/>
  <c r="Z161" i="1" s="1"/>
  <c r="Y161" i="1"/>
  <c r="BP175" i="1"/>
  <c r="BN175" i="1"/>
  <c r="Z175" i="1"/>
  <c r="Z183" i="1" s="1"/>
  <c r="BP180" i="1"/>
  <c r="BN180" i="1"/>
  <c r="Z180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Z238" i="1" s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Z282" i="1"/>
  <c r="BP278" i="1"/>
  <c r="BN278" i="1"/>
  <c r="Z278" i="1"/>
  <c r="Y282" i="1"/>
  <c r="BP309" i="1"/>
  <c r="BN309" i="1"/>
  <c r="Z309" i="1"/>
  <c r="Z310" i="1" s="1"/>
  <c r="Y311" i="1"/>
  <c r="T601" i="1"/>
  <c r="Y315" i="1"/>
  <c r="BP314" i="1"/>
  <c r="BN314" i="1"/>
  <c r="Z314" i="1"/>
  <c r="Z315" i="1" s="1"/>
  <c r="Y316" i="1"/>
  <c r="U601" i="1"/>
  <c r="Y325" i="1"/>
  <c r="BP319" i="1"/>
  <c r="BN319" i="1"/>
  <c r="Z319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Y172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BP320" i="1"/>
  <c r="BN32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467" i="1"/>
  <c r="Y472" i="1"/>
  <c r="BP481" i="1"/>
  <c r="BN481" i="1"/>
  <c r="Z481" i="1"/>
  <c r="BP486" i="1"/>
  <c r="BN486" i="1"/>
  <c r="Z486" i="1"/>
  <c r="Z495" i="1" s="1"/>
  <c r="BP489" i="1"/>
  <c r="BN489" i="1"/>
  <c r="Z489" i="1"/>
  <c r="BP491" i="1"/>
  <c r="BN491" i="1"/>
  <c r="Z491" i="1"/>
  <c r="Y495" i="1"/>
  <c r="Y503" i="1"/>
  <c r="BP498" i="1"/>
  <c r="BN498" i="1"/>
  <c r="Z498" i="1"/>
  <c r="Z502" i="1" s="1"/>
  <c r="BP506" i="1"/>
  <c r="BN506" i="1"/>
  <c r="Z506" i="1"/>
  <c r="BP508" i="1"/>
  <c r="BN508" i="1"/>
  <c r="Z508" i="1"/>
  <c r="BP512" i="1"/>
  <c r="BN512" i="1"/>
  <c r="Z512" i="1"/>
  <c r="BP515" i="1"/>
  <c r="BN515" i="1"/>
  <c r="Z515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65" i="1" l="1"/>
  <c r="Z528" i="1"/>
  <c r="Z442" i="1"/>
  <c r="Z385" i="1"/>
  <c r="Z353" i="1"/>
  <c r="Z325" i="1"/>
  <c r="Z261" i="1"/>
  <c r="Z209" i="1"/>
  <c r="Z128" i="1"/>
  <c r="Z77" i="1"/>
  <c r="Y592" i="1"/>
  <c r="Z243" i="1"/>
  <c r="Z332" i="1"/>
  <c r="Z547" i="1"/>
  <c r="Z517" i="1"/>
  <c r="Z421" i="1"/>
  <c r="Z370" i="1"/>
  <c r="Z68" i="1"/>
  <c r="Z55" i="1"/>
  <c r="Z596" i="1" s="1"/>
  <c r="Y591" i="1"/>
  <c r="Y593" i="1"/>
  <c r="Y595" i="1"/>
  <c r="Z221" i="1"/>
  <c r="Y594" i="1" l="1"/>
</calcChain>
</file>

<file path=xl/sharedStrings.xml><?xml version="1.0" encoding="utf-8"?>
<sst xmlns="http://schemas.openxmlformats.org/spreadsheetml/2006/main" count="2730" uniqueCount="967">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</sst>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0.375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80</v>
      </c>
      <c r="Y38" s="664">
        <f>IFERROR(IF(X38="",0,CEILING((X38/$H38),1)*$H38),"")</f>
        <v>80</v>
      </c>
      <c r="Z38" s="36">
        <f>IFERROR(IF(Y38=0,"",ROUNDUP(Y38/H38,0)*0.00902),"")</f>
        <v>0.1804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84.2</v>
      </c>
      <c r="BN38" s="64">
        <f>IFERROR(Y38*I38/H38,"0")</f>
        <v>84.2</v>
      </c>
      <c r="BO38" s="64">
        <f>IFERROR(1/J38*(X38/H38),"0")</f>
        <v>0.15151515151515152</v>
      </c>
      <c r="BP38" s="64">
        <f>IFERROR(1/J38*(Y38/H38),"0")</f>
        <v>0.15151515151515152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20</v>
      </c>
      <c r="Y41" s="665">
        <f>IFERROR(Y37/H37,"0")+IFERROR(Y38/H38,"0")+IFERROR(Y39/H39,"0")+IFERROR(Y40/H40,"0")</f>
        <v>20</v>
      </c>
      <c r="Z41" s="665">
        <f>IFERROR(IF(Z37="",0,Z37),"0")+IFERROR(IF(Z38="",0,Z38),"0")+IFERROR(IF(Z39="",0,Z39),"0")+IFERROR(IF(Z40="",0,Z40),"0")</f>
        <v>0.1804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80</v>
      </c>
      <c r="Y42" s="665">
        <f>IFERROR(SUM(Y37:Y40),"0")</f>
        <v>80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100</v>
      </c>
      <c r="Y50" s="664">
        <f t="shared" si="6"/>
        <v>108</v>
      </c>
      <c r="Z50" s="36">
        <f>IFERROR(IF(Y50=0,"",ROUNDUP(Y50/H50,0)*0.01898),"")</f>
        <v>0.1898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104.02777777777777</v>
      </c>
      <c r="BN50" s="64">
        <f t="shared" si="8"/>
        <v>112.34999999999998</v>
      </c>
      <c r="BO50" s="64">
        <f t="shared" si="9"/>
        <v>0.14467592592592593</v>
      </c>
      <c r="BP50" s="64">
        <f t="shared" si="10"/>
        <v>0.15625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225</v>
      </c>
      <c r="Y54" s="664">
        <f t="shared" si="6"/>
        <v>225</v>
      </c>
      <c r="Z54" s="36">
        <f>IFERROR(IF(Y54=0,"",ROUNDUP(Y54/H54,0)*0.00902),"")</f>
        <v>0.45100000000000001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235.5</v>
      </c>
      <c r="BN54" s="64">
        <f t="shared" si="8"/>
        <v>235.5</v>
      </c>
      <c r="BO54" s="64">
        <f t="shared" si="9"/>
        <v>0.37878787878787878</v>
      </c>
      <c r="BP54" s="64">
        <f t="shared" si="10"/>
        <v>0.37878787878787878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59.25925925925926</v>
      </c>
      <c r="Y55" s="665">
        <f>IFERROR(Y49/H49,"0")+IFERROR(Y50/H50,"0")+IFERROR(Y51/H51,"0")+IFERROR(Y52/H52,"0")+IFERROR(Y53/H53,"0")+IFERROR(Y54/H54,"0")</f>
        <v>60</v>
      </c>
      <c r="Z55" s="665">
        <f>IFERROR(IF(Z49="",0,Z49),"0")+IFERROR(IF(Z50="",0,Z50),"0")+IFERROR(IF(Z51="",0,Z51),"0")+IFERROR(IF(Z52="",0,Z52),"0")+IFERROR(IF(Z53="",0,Z53),"0")+IFERROR(IF(Z54="",0,Z54),"0")</f>
        <v>0.64080000000000004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325</v>
      </c>
      <c r="Y56" s="665">
        <f>IFERROR(SUM(Y49:Y54),"0")</f>
        <v>333</v>
      </c>
      <c r="Z56" s="37"/>
      <c r="AA56" s="666"/>
      <c r="AB56" s="666"/>
      <c r="AC56" s="666"/>
    </row>
    <row r="57" spans="1:68" ht="14.25" customHeight="1" x14ac:dyDescent="0.25">
      <c r="A57" s="679" t="s">
        <v>136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100</v>
      </c>
      <c r="Y58" s="664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90</v>
      </c>
      <c r="Y61" s="664">
        <f>IFERROR(IF(X61="",0,CEILING((X61/$H61),1)*$H61),"")</f>
        <v>91.800000000000011</v>
      </c>
      <c r="Z61" s="36">
        <f>IFERROR(IF(Y61=0,"",ROUNDUP(Y61/H61,0)*0.00651),"")</f>
        <v>0.22134000000000001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95.999999999999986</v>
      </c>
      <c r="BN61" s="64">
        <f>IFERROR(Y61*I61/H61,"0")</f>
        <v>97.92</v>
      </c>
      <c r="BO61" s="64">
        <f>IFERROR(1/J61*(X61/H61),"0")</f>
        <v>0.18315018315018314</v>
      </c>
      <c r="BP61" s="64">
        <f>IFERROR(1/J61*(Y61/H61),"0")</f>
        <v>0.18681318681318682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42.592592592592588</v>
      </c>
      <c r="Y62" s="665">
        <f>IFERROR(Y58/H58,"0")+IFERROR(Y59/H59,"0")+IFERROR(Y60/H60,"0")+IFERROR(Y61/H61,"0")</f>
        <v>44</v>
      </c>
      <c r="Z62" s="665">
        <f>IFERROR(IF(Z58="",0,Z58),"0")+IFERROR(IF(Z59="",0,Z59),"0")+IFERROR(IF(Z60="",0,Z60),"0")+IFERROR(IF(Z61="",0,Z61),"0")</f>
        <v>0.41114000000000001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190</v>
      </c>
      <c r="Y63" s="665">
        <f>IFERROR(SUM(Y58:Y61),"0")</f>
        <v>199.8</v>
      </c>
      <c r="Z63" s="37"/>
      <c r="AA63" s="666"/>
      <c r="AB63" s="666"/>
      <c r="AC63" s="666"/>
    </row>
    <row r="64" spans="1:68" ht="14.25" customHeight="1" x14ac:dyDescent="0.25">
      <c r="A64" s="679" t="s">
        <v>147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10</v>
      </c>
      <c r="Y73" s="664">
        <f t="shared" si="11"/>
        <v>16.8</v>
      </c>
      <c r="Z73" s="36">
        <f>IFERROR(IF(Y73=0,"",ROUNDUP(Y73/H73,0)*0.01898),"")</f>
        <v>3.7960000000000001E-2</v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10.603571428571428</v>
      </c>
      <c r="BN73" s="64">
        <f t="shared" si="13"/>
        <v>17.814</v>
      </c>
      <c r="BO73" s="64">
        <f t="shared" si="14"/>
        <v>1.8601190476190476E-2</v>
      </c>
      <c r="BP73" s="64">
        <f t="shared" si="15"/>
        <v>3.125E-2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1.1904761904761905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10</v>
      </c>
      <c r="Y78" s="665">
        <f>IFERROR(SUM(Y71:Y76),"0")</f>
        <v>16.8</v>
      </c>
      <c r="Z78" s="37"/>
      <c r="AA78" s="666"/>
      <c r="AB78" s="666"/>
      <c r="AC78" s="666"/>
    </row>
    <row r="79" spans="1:68" ht="14.25" customHeight="1" x14ac:dyDescent="0.25">
      <c r="A79" s="679" t="s">
        <v>173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181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225</v>
      </c>
      <c r="Y89" s="664">
        <f>IFERROR(IF(X89="",0,CEILING((X89/$H89),1)*$H89),"")</f>
        <v>225</v>
      </c>
      <c r="Z89" s="36">
        <f>IFERROR(IF(Y89=0,"",ROUNDUP(Y89/H89,0)*0.00902),"")</f>
        <v>0.45100000000000001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235.5</v>
      </c>
      <c r="BN89" s="64">
        <f>IFERROR(Y89*I89/H89,"0")</f>
        <v>235.5</v>
      </c>
      <c r="BO89" s="64">
        <f>IFERROR(1/J89*(X89/H89),"0")</f>
        <v>0.37878787878787878</v>
      </c>
      <c r="BP89" s="64">
        <f>IFERROR(1/J89*(Y89/H89),"0")</f>
        <v>0.37878787878787878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50</v>
      </c>
      <c r="Y90" s="665">
        <f>IFERROR(Y87/H87,"0")+IFERROR(Y88/H88,"0")+IFERROR(Y89/H89,"0")</f>
        <v>50</v>
      </c>
      <c r="Z90" s="665">
        <f>IFERROR(IF(Z87="",0,Z87),"0")+IFERROR(IF(Z88="",0,Z88),"0")+IFERROR(IF(Z89="",0,Z89),"0")</f>
        <v>0.45100000000000001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225</v>
      </c>
      <c r="Y91" s="665">
        <f>IFERROR(SUM(Y87:Y89),"0")</f>
        <v>225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100</v>
      </c>
      <c r="Y93" s="664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1" t="s">
        <v>195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199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203</v>
      </c>
      <c r="Q97" s="670"/>
      <c r="R97" s="670"/>
      <c r="S97" s="670"/>
      <c r="T97" s="671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201</v>
      </c>
      <c r="B98" s="54" t="s">
        <v>204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3" t="s">
        <v>205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11.904761904761905</v>
      </c>
      <c r="Y102" s="665">
        <f>IFERROR(Y93/H93,"0")+IFERROR(Y94/H94,"0")+IFERROR(Y95/H95,"0")+IFERROR(Y96/H96,"0")+IFERROR(Y97/H97,"0")+IFERROR(Y98/H98,"0")+IFERROR(Y99/H99,"0")+IFERROR(Y100/H100,"0")+IFERROR(Y101/H101,"0")</f>
        <v>12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0.22776000000000002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100</v>
      </c>
      <c r="Y103" s="665">
        <f>IFERROR(SUM(Y93:Y101),"0")</f>
        <v>100.80000000000001</v>
      </c>
      <c r="Z103" s="37"/>
      <c r="AA103" s="666"/>
      <c r="AB103" s="666"/>
      <c r="AC103" s="666"/>
    </row>
    <row r="104" spans="1:68" ht="16.5" customHeight="1" x14ac:dyDescent="0.25">
      <c r="A104" s="716" t="s">
        <v>212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136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229</v>
      </c>
      <c r="B120" s="54" t="s">
        <v>232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200</v>
      </c>
      <c r="Y121" s="664">
        <f t="shared" si="21"/>
        <v>201.60000000000002</v>
      </c>
      <c r="Z121" s="36">
        <f>IFERROR(IF(Y121=0,"",ROUNDUP(Y121/H121,0)*0.01898),"")</f>
        <v>0.45552000000000004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212.21428571428572</v>
      </c>
      <c r="BN121" s="64">
        <f t="shared" si="23"/>
        <v>213.91200000000001</v>
      </c>
      <c r="BO121" s="64">
        <f t="shared" si="24"/>
        <v>0.37202380952380953</v>
      </c>
      <c r="BP121" s="64">
        <f t="shared" si="25"/>
        <v>0.375</v>
      </c>
    </row>
    <row r="122" spans="1:68" ht="37.5" customHeight="1" x14ac:dyDescent="0.25">
      <c r="A122" s="54" t="s">
        <v>237</v>
      </c>
      <c r="B122" s="54" t="s">
        <v>238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239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240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90</v>
      </c>
      <c r="Y124" s="664">
        <f t="shared" si="21"/>
        <v>91.800000000000011</v>
      </c>
      <c r="Z124" s="36">
        <f t="shared" si="26"/>
        <v>0.22134000000000001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98.399999999999991</v>
      </c>
      <c r="BN124" s="64">
        <f t="shared" si="23"/>
        <v>100.36799999999999</v>
      </c>
      <c r="BO124" s="64">
        <f t="shared" si="24"/>
        <v>0.18315018315018314</v>
      </c>
      <c r="BP124" s="64">
        <f t="shared" si="25"/>
        <v>0.18681318681318682</v>
      </c>
    </row>
    <row r="125" spans="1:68" ht="27" customHeight="1" x14ac:dyDescent="0.25">
      <c r="A125" s="54" t="s">
        <v>241</v>
      </c>
      <c r="B125" s="54" t="s">
        <v>243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3" t="s">
        <v>244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248</v>
      </c>
      <c r="B127" s="54" t="s">
        <v>249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57.142857142857139</v>
      </c>
      <c r="Y128" s="665">
        <f>IFERROR(Y119/H119,"0")+IFERROR(Y120/H120,"0")+IFERROR(Y121/H121,"0")+IFERROR(Y122/H122,"0")+IFERROR(Y123/H123,"0")+IFERROR(Y124/H124,"0")+IFERROR(Y125/H125,"0")+IFERROR(Y126/H126,"0")+IFERROR(Y127/H127,"0")</f>
        <v>58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0.67686000000000002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290</v>
      </c>
      <c r="Y129" s="665">
        <f>IFERROR(SUM(Y119:Y127),"0")</f>
        <v>293.40000000000003</v>
      </c>
      <c r="Z129" s="37"/>
      <c r="AA129" s="666"/>
      <c r="AB129" s="666"/>
      <c r="AC129" s="666"/>
    </row>
    <row r="130" spans="1:68" ht="14.25" customHeight="1" x14ac:dyDescent="0.25">
      <c r="A130" s="679" t="s">
        <v>173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251</v>
      </c>
      <c r="B131" s="54" t="s">
        <v>252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257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258</v>
      </c>
      <c r="B137" s="54" t="s">
        <v>259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60</v>
      </c>
      <c r="Y138" s="664">
        <f>IFERROR(IF(X138="",0,CEILING((X138/$H138),1)*$H138),"")</f>
        <v>60.800000000000004</v>
      </c>
      <c r="Z138" s="36">
        <f>IFERROR(IF(Y138=0,"",ROUNDUP(Y138/H138,0)*0.00651),"")</f>
        <v>0.12369000000000001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63.374999999999993</v>
      </c>
      <c r="BN138" s="64">
        <f>IFERROR(Y138*I138/H138,"0")</f>
        <v>64.22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18.75</v>
      </c>
      <c r="Y139" s="665">
        <f>IFERROR(Y137/H137,"0")+IFERROR(Y138/H138,"0")</f>
        <v>19</v>
      </c>
      <c r="Z139" s="665">
        <f>IFERROR(IF(Z137="",0,Z137),"0")+IFERROR(IF(Z138="",0,Z138),"0")</f>
        <v>0.12369000000000001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60</v>
      </c>
      <c r="Y140" s="665">
        <f>IFERROR(SUM(Y137:Y138),"0")</f>
        <v>60.800000000000004</v>
      </c>
      <c r="Z140" s="37"/>
      <c r="AA140" s="666"/>
      <c r="AB140" s="666"/>
      <c r="AC140" s="666"/>
    </row>
    <row r="141" spans="1:68" ht="14.25" customHeight="1" x14ac:dyDescent="0.25">
      <c r="A141" s="679" t="s">
        <v>147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42</v>
      </c>
      <c r="Y142" s="664">
        <f>IFERROR(IF(X142="",0,CEILING((X142/$H142),1)*$H142),"")</f>
        <v>42</v>
      </c>
      <c r="Z142" s="36">
        <f>IFERROR(IF(Y142=0,"",ROUNDUP(Y142/H142,0)*0.00651),"")</f>
        <v>9.7650000000000001E-2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46.02</v>
      </c>
      <c r="BN142" s="64">
        <f>IFERROR(Y142*I142/H142,"0")</f>
        <v>46.02</v>
      </c>
      <c r="BO142" s="64">
        <f>IFERROR(1/J142*(X142/H142),"0")</f>
        <v>8.241758241758243E-2</v>
      </c>
      <c r="BP142" s="64">
        <f>IFERROR(1/J142*(Y142/H142),"0")</f>
        <v>8.241758241758243E-2</v>
      </c>
    </row>
    <row r="143" spans="1:68" ht="27" customHeight="1" x14ac:dyDescent="0.25">
      <c r="A143" s="54" t="s">
        <v>262</v>
      </c>
      <c r="B143" s="54" t="s">
        <v>265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15.000000000000002</v>
      </c>
      <c r="Y144" s="665">
        <f>IFERROR(Y142/H142,"0")+IFERROR(Y143/H143,"0")</f>
        <v>15.000000000000002</v>
      </c>
      <c r="Z144" s="665">
        <f>IFERROR(IF(Z142="",0,Z142),"0")+IFERROR(IF(Z143="",0,Z143),"0")</f>
        <v>9.7650000000000001E-2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42</v>
      </c>
      <c r="Y145" s="665">
        <f>IFERROR(SUM(Y142:Y143),"0")</f>
        <v>42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266</v>
      </c>
      <c r="B147" s="54" t="s">
        <v>267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39.6</v>
      </c>
      <c r="Y148" s="664">
        <f>IFERROR(IF(X148="",0,CEILING((X148/$H148),1)*$H148),"")</f>
        <v>39.6</v>
      </c>
      <c r="Z148" s="36">
        <f>IFERROR(IF(Y148=0,"",ROUNDUP(Y148/H148,0)*0.00651),"")</f>
        <v>9.7650000000000001E-2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43.62</v>
      </c>
      <c r="BN148" s="64">
        <f>IFERROR(Y148*I148/H148,"0")</f>
        <v>43.62</v>
      </c>
      <c r="BO148" s="64">
        <f>IFERROR(1/J148*(X148/H148),"0")</f>
        <v>8.241758241758243E-2</v>
      </c>
      <c r="BP148" s="64">
        <f>IFERROR(1/J148*(Y148/H148),"0")</f>
        <v>8.241758241758243E-2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15</v>
      </c>
      <c r="Y149" s="665">
        <f>IFERROR(Y147/H147,"0")+IFERROR(Y148/H148,"0")</f>
        <v>15</v>
      </c>
      <c r="Z149" s="665">
        <f>IFERROR(IF(Z147="",0,Z147),"0")+IFERROR(IF(Z148="",0,Z148),"0")</f>
        <v>9.7650000000000001E-2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39.6</v>
      </c>
      <c r="Y150" s="665">
        <f>IFERROR(SUM(Y147:Y148),"0")</f>
        <v>39.6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269</v>
      </c>
      <c r="B153" s="54" t="s">
        <v>270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147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272</v>
      </c>
      <c r="B157" s="54" t="s">
        <v>273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275</v>
      </c>
      <c r="B158" s="54" t="s">
        <v>276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278</v>
      </c>
      <c r="B159" s="54" t="s">
        <v>279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281</v>
      </c>
      <c r="B160" s="54" t="s">
        <v>282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283</v>
      </c>
      <c r="B164" s="54" t="s">
        <v>284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287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136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147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30</v>
      </c>
      <c r="Y174" s="664">
        <f t="shared" ref="Y174:Y182" si="27">IFERROR(IF(X174="",0,CEILING((X174/$H174),1)*$H174),"")</f>
        <v>33.6</v>
      </c>
      <c r="Z174" s="36">
        <f>IFERROR(IF(Y174=0,"",ROUNDUP(Y174/H174,0)*0.00902),"")</f>
        <v>7.2160000000000002E-2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31.928571428571427</v>
      </c>
      <c r="BN174" s="64">
        <f t="shared" ref="BN174:BN182" si="29">IFERROR(Y174*I174/H174,"0")</f>
        <v>35.76</v>
      </c>
      <c r="BO174" s="64">
        <f t="shared" ref="BO174:BO182" si="30">IFERROR(1/J174*(X174/H174),"0")</f>
        <v>5.4112554112554112E-2</v>
      </c>
      <c r="BP174" s="64">
        <f t="shared" ref="BP174:BP182" si="31">IFERROR(1/J174*(Y174/H174),"0")</f>
        <v>6.0606060606060608E-2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10</v>
      </c>
      <c r="Y175" s="664">
        <f t="shared" si="27"/>
        <v>12.600000000000001</v>
      </c>
      <c r="Z175" s="36">
        <f>IFERROR(IF(Y175=0,"",ROUNDUP(Y175/H175,0)*0.00902),"")</f>
        <v>2.7060000000000001E-2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10.642857142857141</v>
      </c>
      <c r="BN175" s="64">
        <f t="shared" si="29"/>
        <v>13.41</v>
      </c>
      <c r="BO175" s="64">
        <f t="shared" si="30"/>
        <v>1.8037518037518036E-2</v>
      </c>
      <c r="BP175" s="64">
        <f t="shared" si="31"/>
        <v>2.2727272727272728E-2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100</v>
      </c>
      <c r="Y176" s="664">
        <f t="shared" si="27"/>
        <v>100.80000000000001</v>
      </c>
      <c r="Z176" s="36">
        <f>IFERROR(IF(Y176=0,"",ROUNDUP(Y176/H176,0)*0.00902),"")</f>
        <v>0.21648000000000001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105</v>
      </c>
      <c r="BN176" s="64">
        <f t="shared" si="29"/>
        <v>105.84000000000002</v>
      </c>
      <c r="BO176" s="64">
        <f t="shared" si="30"/>
        <v>0.18037518037518038</v>
      </c>
      <c r="BP176" s="64">
        <f t="shared" si="31"/>
        <v>0.18181818181818182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70</v>
      </c>
      <c r="Y177" s="664">
        <f t="shared" si="27"/>
        <v>71.400000000000006</v>
      </c>
      <c r="Z177" s="36">
        <f>IFERROR(IF(Y177=0,"",ROUNDUP(Y177/H177,0)*0.00502),"")</f>
        <v>0.17068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74.333333333333329</v>
      </c>
      <c r="BN177" s="64">
        <f t="shared" si="29"/>
        <v>75.820000000000007</v>
      </c>
      <c r="BO177" s="64">
        <f t="shared" si="30"/>
        <v>0.14245014245014245</v>
      </c>
      <c r="BP177" s="64">
        <f t="shared" si="31"/>
        <v>0.14529914529914531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70</v>
      </c>
      <c r="Y178" s="664">
        <f t="shared" si="27"/>
        <v>71.400000000000006</v>
      </c>
      <c r="Z178" s="36">
        <f>IFERROR(IF(Y178=0,"",ROUNDUP(Y178/H178,0)*0.00502),"")</f>
        <v>0.17068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74.333333333333329</v>
      </c>
      <c r="BN178" s="64">
        <f t="shared" si="29"/>
        <v>75.820000000000007</v>
      </c>
      <c r="BO178" s="64">
        <f t="shared" si="30"/>
        <v>0.14245014245014245</v>
      </c>
      <c r="BP178" s="64">
        <f t="shared" si="31"/>
        <v>0.14529914529914531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5" t="s">
        <v>306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3</v>
      </c>
      <c r="Y179" s="664">
        <f t="shared" si="27"/>
        <v>3.6</v>
      </c>
      <c r="Z179" s="36">
        <f>IFERROR(IF(Y179=0,"",ROUNDUP(Y179/H179,0)*0.00502),"")</f>
        <v>1.004E-2</v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3.2166666666666668</v>
      </c>
      <c r="BN179" s="64">
        <f t="shared" si="29"/>
        <v>3.8599999999999994</v>
      </c>
      <c r="BO179" s="64">
        <f t="shared" si="30"/>
        <v>7.1225071225071226E-3</v>
      </c>
      <c r="BP179" s="64">
        <f t="shared" si="31"/>
        <v>8.5470085470085479E-3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52.5</v>
      </c>
      <c r="Y180" s="664">
        <f t="shared" si="27"/>
        <v>52.5</v>
      </c>
      <c r="Z180" s="36">
        <f>IFERROR(IF(Y180=0,"",ROUNDUP(Y180/H180,0)*0.00502),"")</f>
        <v>0.1255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55.000000000000007</v>
      </c>
      <c r="BN180" s="64">
        <f t="shared" si="29"/>
        <v>55.000000000000007</v>
      </c>
      <c r="BO180" s="64">
        <f t="shared" si="30"/>
        <v>0.10683760683760685</v>
      </c>
      <c r="BP180" s="64">
        <f t="shared" si="31"/>
        <v>0.10683760683760685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126.66666666666666</v>
      </c>
      <c r="Y183" s="665">
        <f>IFERROR(Y174/H174,"0")+IFERROR(Y175/H175,"0")+IFERROR(Y176/H176,"0")+IFERROR(Y177/H177,"0")+IFERROR(Y178/H178,"0")+IFERROR(Y179/H179,"0")+IFERROR(Y180/H180,"0")+IFERROR(Y181/H181,"0")+IFERROR(Y182/H182,"0")</f>
        <v>130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0.79259999999999997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335.5</v>
      </c>
      <c r="Y184" s="665">
        <f>IFERROR(SUM(Y174:Y182),"0")</f>
        <v>345.90000000000003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4" t="s">
        <v>319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322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136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147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50</v>
      </c>
      <c r="Y201" s="664">
        <f t="shared" ref="Y201:Y208" si="32">IFERROR(IF(X201="",0,CEILING((X201/$H201),1)*$H201),"")</f>
        <v>54</v>
      </c>
      <c r="Z201" s="36">
        <f>IFERROR(IF(Y201=0,"",ROUNDUP(Y201/H201,0)*0.00902),"")</f>
        <v>9.0200000000000002E-2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51.944444444444443</v>
      </c>
      <c r="BN201" s="64">
        <f t="shared" ref="BN201:BN208" si="34">IFERROR(Y201*I201/H201,"0")</f>
        <v>56.099999999999994</v>
      </c>
      <c r="BO201" s="64">
        <f t="shared" ref="BO201:BO208" si="35">IFERROR(1/J201*(X201/H201),"0")</f>
        <v>7.0145903479236812E-2</v>
      </c>
      <c r="BP201" s="64">
        <f t="shared" ref="BP201:BP208" si="36">IFERROR(1/J201*(Y201/H201),"0")</f>
        <v>7.575757575757576E-2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50</v>
      </c>
      <c r="Y202" s="664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51.944444444444443</v>
      </c>
      <c r="BN202" s="64">
        <f t="shared" si="34"/>
        <v>56.099999999999994</v>
      </c>
      <c r="BO202" s="64">
        <f t="shared" si="35"/>
        <v>7.0145903479236812E-2</v>
      </c>
      <c r="BP202" s="64">
        <f t="shared" si="36"/>
        <v>7.575757575757576E-2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70</v>
      </c>
      <c r="Y203" s="664">
        <f t="shared" si="32"/>
        <v>70.2</v>
      </c>
      <c r="Z203" s="36">
        <f>IFERROR(IF(Y203=0,"",ROUNDUP(Y203/H203,0)*0.00902),"")</f>
        <v>0.11726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72.722222222222229</v>
      </c>
      <c r="BN203" s="64">
        <f t="shared" si="34"/>
        <v>72.930000000000007</v>
      </c>
      <c r="BO203" s="64">
        <f t="shared" si="35"/>
        <v>9.8204264870931535E-2</v>
      </c>
      <c r="BP203" s="64">
        <f t="shared" si="36"/>
        <v>9.8484848484848481E-2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50</v>
      </c>
      <c r="Y204" s="664">
        <f t="shared" si="32"/>
        <v>54</v>
      </c>
      <c r="Z204" s="36">
        <f>IFERROR(IF(Y204=0,"",ROUNDUP(Y204/H204,0)*0.00902),"")</f>
        <v>9.0200000000000002E-2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51.944444444444443</v>
      </c>
      <c r="BN204" s="64">
        <f t="shared" si="34"/>
        <v>56.099999999999994</v>
      </c>
      <c r="BO204" s="64">
        <f t="shared" si="35"/>
        <v>7.0145903479236812E-2</v>
      </c>
      <c r="BP204" s="64">
        <f t="shared" si="36"/>
        <v>7.575757575757576E-2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45</v>
      </c>
      <c r="Y205" s="664">
        <f t="shared" si="32"/>
        <v>45</v>
      </c>
      <c r="Z205" s="36">
        <f>IFERROR(IF(Y205=0,"",ROUNDUP(Y205/H205,0)*0.00502),"")</f>
        <v>0.1255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48.249999999999993</v>
      </c>
      <c r="BN205" s="64">
        <f t="shared" si="34"/>
        <v>48.249999999999993</v>
      </c>
      <c r="BO205" s="64">
        <f t="shared" si="35"/>
        <v>0.10683760683760685</v>
      </c>
      <c r="BP205" s="64">
        <f t="shared" si="36"/>
        <v>0.10683760683760685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30</v>
      </c>
      <c r="Y206" s="664">
        <f t="shared" si="32"/>
        <v>30.6</v>
      </c>
      <c r="Z206" s="36">
        <f>IFERROR(IF(Y206=0,"",ROUNDUP(Y206/H206,0)*0.00502),"")</f>
        <v>8.5339999999999999E-2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31.666666666666664</v>
      </c>
      <c r="BN206" s="64">
        <f t="shared" si="34"/>
        <v>32.299999999999997</v>
      </c>
      <c r="BO206" s="64">
        <f t="shared" si="35"/>
        <v>7.122507122507124E-2</v>
      </c>
      <c r="BP206" s="64">
        <f t="shared" si="36"/>
        <v>7.2649572649572655E-2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45</v>
      </c>
      <c r="Y207" s="664">
        <f t="shared" si="32"/>
        <v>45</v>
      </c>
      <c r="Z207" s="36">
        <f>IFERROR(IF(Y207=0,"",ROUNDUP(Y207/H207,0)*0.00502),"")</f>
        <v>0.1255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47.5</v>
      </c>
      <c r="BN207" s="64">
        <f t="shared" si="34"/>
        <v>47.5</v>
      </c>
      <c r="BO207" s="64">
        <f t="shared" si="35"/>
        <v>0.10683760683760685</v>
      </c>
      <c r="BP207" s="64">
        <f t="shared" si="36"/>
        <v>0.10683760683760685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30</v>
      </c>
      <c r="Y208" s="664">
        <f t="shared" si="32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31.666666666666664</v>
      </c>
      <c r="BN208" s="64">
        <f t="shared" si="34"/>
        <v>32.299999999999997</v>
      </c>
      <c r="BO208" s="64">
        <f t="shared" si="35"/>
        <v>7.122507122507124E-2</v>
      </c>
      <c r="BP208" s="64">
        <f t="shared" si="36"/>
        <v>7.2649572649572655E-2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124.07407407407408</v>
      </c>
      <c r="Y209" s="665">
        <f>IFERROR(Y201/H201,"0")+IFERROR(Y202/H202,"0")+IFERROR(Y203/H203,"0")+IFERROR(Y204/H204,"0")+IFERROR(Y205/H205,"0")+IFERROR(Y206/H206,"0")+IFERROR(Y207/H207,"0")+IFERROR(Y208/H208,"0")</f>
        <v>127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0.80953999999999993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370</v>
      </c>
      <c r="Y210" s="665">
        <f>IFERROR(SUM(Y201:Y208),"0")</f>
        <v>383.40000000000003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100</v>
      </c>
      <c r="Y214" s="664">
        <f t="shared" si="37"/>
        <v>104.39999999999999</v>
      </c>
      <c r="Z214" s="36">
        <f>IFERROR(IF(Y214=0,"",ROUNDUP(Y214/H214,0)*0.01898),"")</f>
        <v>0.22776000000000002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105.96551724137932</v>
      </c>
      <c r="BN214" s="64">
        <f t="shared" si="39"/>
        <v>110.62799999999999</v>
      </c>
      <c r="BO214" s="64">
        <f t="shared" si="40"/>
        <v>0.1795977011494253</v>
      </c>
      <c r="BP214" s="64">
        <f t="shared" si="41"/>
        <v>0.1875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120</v>
      </c>
      <c r="Y215" s="664">
        <f t="shared" si="37"/>
        <v>120</v>
      </c>
      <c r="Z215" s="36">
        <f t="shared" ref="Z215:Z220" si="42">IFERROR(IF(Y215=0,"",ROUNDUP(Y215/H215,0)*0.00651),"")</f>
        <v>0.32550000000000001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133.5</v>
      </c>
      <c r="BN215" s="64">
        <f t="shared" si="39"/>
        <v>133.5</v>
      </c>
      <c r="BO215" s="64">
        <f t="shared" si="40"/>
        <v>0.27472527472527475</v>
      </c>
      <c r="BP215" s="64">
        <f t="shared" si="41"/>
        <v>0.27472527472527475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160</v>
      </c>
      <c r="Y217" s="664">
        <f t="shared" si="37"/>
        <v>160.79999999999998</v>
      </c>
      <c r="Z217" s="36">
        <f t="shared" si="42"/>
        <v>0.43617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176.80000000000004</v>
      </c>
      <c r="BN217" s="64">
        <f t="shared" si="39"/>
        <v>177.684</v>
      </c>
      <c r="BO217" s="64">
        <f t="shared" si="40"/>
        <v>0.36630036630036633</v>
      </c>
      <c r="BP217" s="64">
        <f t="shared" si="41"/>
        <v>0.36813186813186816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40</v>
      </c>
      <c r="Y219" s="664">
        <f t="shared" si="37"/>
        <v>40.799999999999997</v>
      </c>
      <c r="Z219" s="36">
        <f t="shared" si="42"/>
        <v>0.11067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44.20000000000001</v>
      </c>
      <c r="BN219" s="64">
        <f t="shared" si="39"/>
        <v>45.084000000000003</v>
      </c>
      <c r="BO219" s="64">
        <f t="shared" si="40"/>
        <v>9.1575091575091583E-2</v>
      </c>
      <c r="BP219" s="64">
        <f t="shared" si="41"/>
        <v>9.3406593406593408E-2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120</v>
      </c>
      <c r="Y220" s="664">
        <f t="shared" si="37"/>
        <v>120</v>
      </c>
      <c r="Z220" s="36">
        <f t="shared" si="42"/>
        <v>0.32550000000000001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132.9</v>
      </c>
      <c r="BN220" s="64">
        <f t="shared" si="39"/>
        <v>132.9</v>
      </c>
      <c r="BO220" s="64">
        <f t="shared" si="40"/>
        <v>0.27472527472527475</v>
      </c>
      <c r="BP220" s="64">
        <f t="shared" si="41"/>
        <v>0.27472527472527475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194.82758620689654</v>
      </c>
      <c r="Y221" s="665">
        <f>IFERROR(Y212/H212,"0")+IFERROR(Y213/H213,"0")+IFERROR(Y214/H214,"0")+IFERROR(Y215/H215,"0")+IFERROR(Y216/H216,"0")+IFERROR(Y217/H217,"0")+IFERROR(Y218/H218,"0")+IFERROR(Y219/H219,"0")+IFERROR(Y220/H220,"0")</f>
        <v>196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1.4256000000000002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540</v>
      </c>
      <c r="Y222" s="665">
        <f>IFERROR(SUM(Y212:Y220),"0")</f>
        <v>546</v>
      </c>
      <c r="Z222" s="37"/>
      <c r="AA222" s="666"/>
      <c r="AB222" s="666"/>
      <c r="AC222" s="666"/>
    </row>
    <row r="223" spans="1:68" ht="14.25" customHeight="1" x14ac:dyDescent="0.25">
      <c r="A223" s="679" t="s">
        <v>173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383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10</v>
      </c>
      <c r="Y232" s="664">
        <f t="shared" si="43"/>
        <v>11.6</v>
      </c>
      <c r="Z232" s="36">
        <f>IFERROR(IF(Y232=0,"",ROUNDUP(Y232/H232,0)*0.01898),"")</f>
        <v>1.898E-2</v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10.375</v>
      </c>
      <c r="BN232" s="64">
        <f t="shared" si="45"/>
        <v>12.035</v>
      </c>
      <c r="BO232" s="64">
        <f t="shared" si="46"/>
        <v>1.3469827586206897E-2</v>
      </c>
      <c r="BP232" s="64">
        <f t="shared" si="47"/>
        <v>1.5625E-2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20</v>
      </c>
      <c r="Y237" s="664">
        <f t="shared" si="43"/>
        <v>20</v>
      </c>
      <c r="Z237" s="36">
        <f>IFERROR(IF(Y237=0,"",ROUNDUP(Y237/H237,0)*0.00902),"")</f>
        <v>4.5100000000000001E-2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21.05</v>
      </c>
      <c r="BN237" s="64">
        <f t="shared" si="45"/>
        <v>21.05</v>
      </c>
      <c r="BO237" s="64">
        <f t="shared" si="46"/>
        <v>3.787878787878788E-2</v>
      </c>
      <c r="BP237" s="64">
        <f t="shared" si="47"/>
        <v>3.787878787878788E-2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5.8620689655172411</v>
      </c>
      <c r="Y238" s="665">
        <f>IFERROR(Y230/H230,"0")+IFERROR(Y231/H231,"0")+IFERROR(Y232/H232,"0")+IFERROR(Y233/H233,"0")+IFERROR(Y234/H234,"0")+IFERROR(Y235/H235,"0")+IFERROR(Y236/H236,"0")+IFERROR(Y237/H237,"0")</f>
        <v>6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6.4079999999999998E-2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30</v>
      </c>
      <c r="Y239" s="665">
        <f>IFERROR(SUM(Y230:Y237),"0")</f>
        <v>31.6</v>
      </c>
      <c r="Z239" s="37"/>
      <c r="AA239" s="666"/>
      <c r="AB239" s="666"/>
      <c r="AC239" s="666"/>
    </row>
    <row r="240" spans="1:68" ht="14.25" customHeight="1" x14ac:dyDescent="0.25">
      <c r="A240" s="679" t="s">
        <v>136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7">
        <v>4680115885721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7">
        <v>4680115885981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408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4" t="s">
        <v>411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413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75" t="s">
        <v>416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418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436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440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449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60</v>
      </c>
      <c r="Y279" s="664">
        <f>IFERROR(IF(X279="",0,CEILING((X279/$H279),1)*$H279),"")</f>
        <v>60</v>
      </c>
      <c r="Z279" s="36">
        <f>IFERROR(IF(Y279=0,"",ROUNDUP(Y279/H279,0)*0.00651),"")</f>
        <v>0.16275000000000001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66.300000000000011</v>
      </c>
      <c r="BN279" s="64">
        <f>IFERROR(Y279*I279/H279,"0")</f>
        <v>66.300000000000011</v>
      </c>
      <c r="BO279" s="64">
        <f>IFERROR(1/J279*(X279/H279),"0")</f>
        <v>0.13736263736263737</v>
      </c>
      <c r="BP279" s="64">
        <f>IFERROR(1/J279*(Y279/H279),"0")</f>
        <v>0.13736263736263737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40</v>
      </c>
      <c r="Y280" s="664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41.666666666666671</v>
      </c>
      <c r="Y282" s="665">
        <f>IFERROR(Y277/H277,"0")+IFERROR(Y278/H278,"0")+IFERROR(Y279/H279,"0")+IFERROR(Y280/H280,"0")+IFERROR(Y281/H281,"0")</f>
        <v>42</v>
      </c>
      <c r="Z282" s="665">
        <f>IFERROR(IF(Z277="",0,Z277),"0")+IFERROR(IF(Z278="",0,Z278),"0")+IFERROR(IF(Z279="",0,Z279),"0")+IFERROR(IF(Z280="",0,Z280),"0")+IFERROR(IF(Z281="",0,Z281),"0")</f>
        <v>0.27342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100</v>
      </c>
      <c r="Y283" s="665">
        <f>IFERROR(SUM(Y277:Y281),"0")</f>
        <v>100.8</v>
      </c>
      <c r="Z283" s="37"/>
      <c r="AA283" s="666"/>
      <c r="AB283" s="666"/>
      <c r="AC283" s="666"/>
    </row>
    <row r="284" spans="1:68" ht="16.5" customHeight="1" x14ac:dyDescent="0.25">
      <c r="A284" s="716" t="s">
        <v>463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147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473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477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147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485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490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147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173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20</v>
      </c>
      <c r="Y343" s="664">
        <f>IFERROR(IF(X343="",0,CEILING((X343/$H343),1)*$H343),"")</f>
        <v>25.200000000000003</v>
      </c>
      <c r="Z343" s="36">
        <f>IFERROR(IF(Y343=0,"",ROUNDUP(Y343/H343,0)*0.01898),"")</f>
        <v>5.6940000000000004E-2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21.235714285714284</v>
      </c>
      <c r="BN343" s="64">
        <f>IFERROR(Y343*I343/H343,"0")</f>
        <v>26.757000000000001</v>
      </c>
      <c r="BO343" s="64">
        <f>IFERROR(1/J343*(X343/H343),"0")</f>
        <v>3.7202380952380952E-2</v>
      </c>
      <c r="BP343" s="64">
        <f>IFERROR(1/J343*(Y343/H343),"0")</f>
        <v>4.6875E-2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150</v>
      </c>
      <c r="Y344" s="664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10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10.617857142857142</v>
      </c>
      <c r="BN345" s="64">
        <f>IFERROR(Y345*I345/H345,"0")</f>
        <v>17.838000000000001</v>
      </c>
      <c r="BO345" s="64">
        <f>IFERROR(1/J345*(X345/H345),"0")</f>
        <v>1.8601190476190476E-2</v>
      </c>
      <c r="BP345" s="64">
        <f>IFERROR(1/J345*(Y345/H345),"0")</f>
        <v>3.125E-2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22.802197802197799</v>
      </c>
      <c r="Y346" s="665">
        <f>IFERROR(Y343/H343,"0")+IFERROR(Y344/H344,"0")+IFERROR(Y345/H345,"0")</f>
        <v>25</v>
      </c>
      <c r="Z346" s="665">
        <f>IFERROR(IF(Z343="",0,Z343),"0")+IFERROR(IF(Z344="",0,Z344),"0")+IFERROR(IF(Z345="",0,Z345),"0")</f>
        <v>0.47449999999999998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180</v>
      </c>
      <c r="Y347" s="665">
        <f>IFERROR(SUM(Y343:Y345),"0")</f>
        <v>198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147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12</v>
      </c>
      <c r="Y363" s="664">
        <f>IFERROR(IF(X363="",0,CEILING((X363/$H363),1)*$H363),"")</f>
        <v>12.6</v>
      </c>
      <c r="Z363" s="36">
        <f>IFERROR(IF(Y363=0,"",ROUNDUP(Y363/H363,0)*0.00651),"")</f>
        <v>4.5569999999999999E-2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13.52</v>
      </c>
      <c r="BN363" s="64">
        <f>IFERROR(Y363*I363/H363,"0")</f>
        <v>14.196</v>
      </c>
      <c r="BO363" s="64">
        <f>IFERROR(1/J363*(X363/H363),"0")</f>
        <v>3.6630036630036632E-2</v>
      </c>
      <c r="BP363" s="64">
        <f>IFERROR(1/J363*(Y363/H363),"0")</f>
        <v>3.8461538461538464E-2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6.6666666666666661</v>
      </c>
      <c r="Y364" s="665">
        <f>IFERROR(Y363/H363,"0")</f>
        <v>7</v>
      </c>
      <c r="Z364" s="665">
        <f>IFERROR(IF(Z363="",0,Z363),"0")</f>
        <v>4.5569999999999999E-2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12</v>
      </c>
      <c r="Y365" s="665">
        <f>IFERROR(SUM(Y363:Y363),"0")</f>
        <v>12.6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140</v>
      </c>
      <c r="Y368" s="664">
        <f>IFERROR(IF(X368="",0,CEILING((X368/$H368),1)*$H368),"")</f>
        <v>140.70000000000002</v>
      </c>
      <c r="Z368" s="36">
        <f>IFERROR(IF(Y368=0,"",ROUNDUP(Y368/H368,0)*0.00651),"")</f>
        <v>0.43617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156.79999999999998</v>
      </c>
      <c r="BN368" s="64">
        <f>IFERROR(Y368*I368/H368,"0")</f>
        <v>157.584</v>
      </c>
      <c r="BO368" s="64">
        <f>IFERROR(1/J368*(X368/H368),"0")</f>
        <v>0.36630036630036628</v>
      </c>
      <c r="BP368" s="64">
        <f>IFERROR(1/J368*(Y368/H368),"0")</f>
        <v>0.36813186813186816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210</v>
      </c>
      <c r="Y369" s="664">
        <f>IFERROR(IF(X369="",0,CEILING((X369/$H369),1)*$H369),"")</f>
        <v>210</v>
      </c>
      <c r="Z369" s="36">
        <f>IFERROR(IF(Y369=0,"",ROUNDUP(Y369/H369,0)*0.00651),"")</f>
        <v>0.65100000000000002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233.99999999999997</v>
      </c>
      <c r="BN369" s="64">
        <f>IFERROR(Y369*I369/H369,"0")</f>
        <v>233.99999999999997</v>
      </c>
      <c r="BO369" s="64">
        <f>IFERROR(1/J369*(X369/H369),"0")</f>
        <v>0.5494505494505495</v>
      </c>
      <c r="BP369" s="64">
        <f>IFERROR(1/J369*(Y369/H369),"0")</f>
        <v>0.5494505494505495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166.66666666666666</v>
      </c>
      <c r="Y370" s="665">
        <f>IFERROR(Y367/H367,"0")+IFERROR(Y368/H368,"0")+IFERROR(Y369/H369,"0")</f>
        <v>167</v>
      </c>
      <c r="Z370" s="665">
        <f>IFERROR(IF(Z367="",0,Z367),"0")+IFERROR(IF(Z368="",0,Z368),"0")+IFERROR(IF(Z369="",0,Z369),"0")</f>
        <v>1.08717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350</v>
      </c>
      <c r="Y371" s="665">
        <f>IFERROR(SUM(Y367:Y369),"0")</f>
        <v>350.70000000000005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27" customHeight="1" x14ac:dyDescent="0.25">
      <c r="A375" s="54" t="s">
        <v>581</v>
      </c>
      <c r="B375" s="54" t="s">
        <v>582</v>
      </c>
      <c r="C375" s="31">
        <v>4301011946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900</v>
      </c>
      <c r="Y376" s="664">
        <f t="shared" si="58"/>
        <v>900</v>
      </c>
      <c r="Z376" s="36">
        <f>IFERROR(IF(Y376=0,"",ROUNDUP(Y376/H376,0)*0.02175),"")</f>
        <v>1.3049999999999999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928.8</v>
      </c>
      <c r="BN376" s="64">
        <f t="shared" si="60"/>
        <v>928.8</v>
      </c>
      <c r="BO376" s="64">
        <f t="shared" si="61"/>
        <v>1.25</v>
      </c>
      <c r="BP376" s="64">
        <f t="shared" si="62"/>
        <v>1.25</v>
      </c>
    </row>
    <row r="377" spans="1:68" ht="27" customHeight="1" x14ac:dyDescent="0.25">
      <c r="A377" s="54" t="s">
        <v>586</v>
      </c>
      <c r="B377" s="54" t="s">
        <v>587</v>
      </c>
      <c r="C377" s="31">
        <v>4301011947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8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500</v>
      </c>
      <c r="Y378" s="664">
        <f t="shared" si="58"/>
        <v>510</v>
      </c>
      <c r="Z378" s="36">
        <f>IFERROR(IF(Y378=0,"",ROUNDUP(Y378/H378,0)*0.02175),"")</f>
        <v>0.73949999999999994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516</v>
      </c>
      <c r="BN378" s="64">
        <f t="shared" si="60"/>
        <v>526.32000000000005</v>
      </c>
      <c r="BO378" s="64">
        <f t="shared" si="61"/>
        <v>0.69444444444444442</v>
      </c>
      <c r="BP378" s="64">
        <f t="shared" si="62"/>
        <v>0.70833333333333326</v>
      </c>
    </row>
    <row r="379" spans="1:68" ht="27" customHeight="1" x14ac:dyDescent="0.25">
      <c r="A379" s="54" t="s">
        <v>590</v>
      </c>
      <c r="B379" s="54" t="s">
        <v>591</v>
      </c>
      <c r="C379" s="31">
        <v>4301011943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100</v>
      </c>
      <c r="Y380" s="664">
        <f t="shared" si="58"/>
        <v>105</v>
      </c>
      <c r="Z380" s="36">
        <f>IFERROR(IF(Y380=0,"",ROUNDUP(Y380/H380,0)*0.02175),"")</f>
        <v>0.15225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103.2</v>
      </c>
      <c r="BN380" s="64">
        <f t="shared" si="60"/>
        <v>108.36</v>
      </c>
      <c r="BO380" s="64">
        <f t="shared" si="61"/>
        <v>0.1388888888888889</v>
      </c>
      <c r="BP380" s="64">
        <f t="shared" si="62"/>
        <v>0.14583333333333331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7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IFERROR(IF(Y381=0,"",ROUNDUP(Y381/H381,0)*0.02175),"")</f>
        <v/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100.00000000000001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101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2.1967499999999998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1500</v>
      </c>
      <c r="Y386" s="665">
        <f>IFERROR(SUM(Y375:Y384),"0")</f>
        <v>1515</v>
      </c>
      <c r="Z386" s="37"/>
      <c r="AA386" s="666"/>
      <c r="AB386" s="666"/>
      <c r="AC386" s="666"/>
    </row>
    <row r="387" spans="1:68" ht="14.25" customHeight="1" x14ac:dyDescent="0.25">
      <c r="A387" s="679" t="s">
        <v>136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800</v>
      </c>
      <c r="Y388" s="664">
        <f>IFERROR(IF(X388="",0,CEILING((X388/$H388),1)*$H388),"")</f>
        <v>810</v>
      </c>
      <c r="Z388" s="36">
        <f>IFERROR(IF(Y388=0,"",ROUNDUP(Y388/H388,0)*0.02175),"")</f>
        <v>1.1744999999999999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825.6</v>
      </c>
      <c r="BN388" s="64">
        <f>IFERROR(Y388*I388/H388,"0")</f>
        <v>835.92000000000007</v>
      </c>
      <c r="BO388" s="64">
        <f>IFERROR(1/J388*(X388/H388),"0")</f>
        <v>1.1111111111111112</v>
      </c>
      <c r="BP388" s="64">
        <f>IFERROR(1/J388*(Y388/H388),"0")</f>
        <v>1.125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8</v>
      </c>
      <c r="Y389" s="664">
        <f>IFERROR(IF(X389="",0,CEILING((X389/$H389),1)*$H389),"")</f>
        <v>8</v>
      </c>
      <c r="Z389" s="36">
        <f>IFERROR(IF(Y389=0,"",ROUNDUP(Y389/H389,0)*0.00902),"")</f>
        <v>1.804E-2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8.42</v>
      </c>
      <c r="BN389" s="64">
        <f>IFERROR(Y389*I389/H389,"0")</f>
        <v>8.42</v>
      </c>
      <c r="BO389" s="64">
        <f>IFERROR(1/J389*(X389/H389),"0")</f>
        <v>1.5151515151515152E-2</v>
      </c>
      <c r="BP389" s="64">
        <f>IFERROR(1/J389*(Y389/H389),"0")</f>
        <v>1.5151515151515152E-2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55.333333333333336</v>
      </c>
      <c r="Y390" s="665">
        <f>IFERROR(Y388/H388,"0")+IFERROR(Y389/H389,"0")</f>
        <v>56</v>
      </c>
      <c r="Z390" s="665">
        <f>IFERROR(IF(Z388="",0,Z388),"0")+IFERROR(IF(Z389="",0,Z389),"0")</f>
        <v>1.1925399999999999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808</v>
      </c>
      <c r="Y391" s="665">
        <f>IFERROR(SUM(Y388:Y389),"0")</f>
        <v>818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30</v>
      </c>
      <c r="Y394" s="664">
        <f>IFERROR(IF(X394="",0,CEILING((X394/$H394),1)*$H394),"")</f>
        <v>36</v>
      </c>
      <c r="Z394" s="36">
        <f>IFERROR(IF(Y394=0,"",ROUNDUP(Y394/H394,0)*0.01898),"")</f>
        <v>7.5920000000000001E-2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31.73</v>
      </c>
      <c r="BN394" s="64">
        <f>IFERROR(Y394*I394/H394,"0")</f>
        <v>38.076000000000001</v>
      </c>
      <c r="BO394" s="64">
        <f>IFERROR(1/J394*(X394/H394),"0")</f>
        <v>5.2083333333333336E-2</v>
      </c>
      <c r="BP394" s="64">
        <f>IFERROR(1/J394*(Y394/H394),"0")</f>
        <v>6.25E-2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3.3333333333333335</v>
      </c>
      <c r="Y395" s="665">
        <f>IFERROR(Y393/H393,"0")+IFERROR(Y394/H394,"0")</f>
        <v>4</v>
      </c>
      <c r="Z395" s="665">
        <f>IFERROR(IF(Z393="",0,Z393),"0")+IFERROR(IF(Z394="",0,Z394),"0")</f>
        <v>7.5920000000000001E-2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30</v>
      </c>
      <c r="Y396" s="665">
        <f>IFERROR(SUM(Y393:Y394),"0")</f>
        <v>36</v>
      </c>
      <c r="Z396" s="37"/>
      <c r="AA396" s="666"/>
      <c r="AB396" s="666"/>
      <c r="AC396" s="666"/>
    </row>
    <row r="397" spans="1:68" ht="14.25" customHeight="1" x14ac:dyDescent="0.25">
      <c r="A397" s="679" t="s">
        <v>173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147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20</v>
      </c>
      <c r="Y416" s="664">
        <f>IFERROR(IF(X416="",0,CEILING((X416/$H416),1)*$H416),"")</f>
        <v>27</v>
      </c>
      <c r="Z416" s="36">
        <f>IFERROR(IF(Y416=0,"",ROUNDUP(Y416/H416,0)*0.01898),"")</f>
        <v>5.6940000000000004E-2</v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21.153333333333332</v>
      </c>
      <c r="BN416" s="64">
        <f>IFERROR(Y416*I416/H416,"0")</f>
        <v>28.556999999999999</v>
      </c>
      <c r="BO416" s="64">
        <f>IFERROR(1/J416*(X416/H416),"0")</f>
        <v>3.4722222222222224E-2</v>
      </c>
      <c r="BP416" s="64">
        <f>IFERROR(1/J416*(Y416/H416),"0")</f>
        <v>4.6875E-2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2.2222222222222223</v>
      </c>
      <c r="Y421" s="665">
        <f>IFERROR(Y416/H416,"0")+IFERROR(Y417/H417,"0")+IFERROR(Y418/H418,"0")+IFERROR(Y419/H419,"0")+IFERROR(Y420/H420,"0")</f>
        <v>3</v>
      </c>
      <c r="Z421" s="665">
        <f>IFERROR(IF(Z416="",0,Z416),"0")+IFERROR(IF(Z417="",0,Z417),"0")+IFERROR(IF(Z418="",0,Z418),"0")+IFERROR(IF(Z419="",0,Z419),"0")+IFERROR(IF(Z420="",0,Z420),"0")</f>
        <v>5.6940000000000004E-2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20</v>
      </c>
      <c r="Y422" s="665">
        <f>IFERROR(SUM(Y416:Y420),"0")</f>
        <v>27</v>
      </c>
      <c r="Z422" s="37"/>
      <c r="AA422" s="666"/>
      <c r="AB422" s="666"/>
      <c r="AC422" s="666"/>
    </row>
    <row r="423" spans="1:68" ht="14.25" customHeight="1" x14ac:dyDescent="0.25">
      <c r="A423" s="679" t="s">
        <v>173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147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10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customHeight="1" x14ac:dyDescent="0.25">
      <c r="A431" s="54" t="s">
        <v>663</v>
      </c>
      <c r="B431" s="54" t="s">
        <v>664</v>
      </c>
      <c r="C431" s="31">
        <v>4301031382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4301031406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35</v>
      </c>
      <c r="Y436" s="664">
        <f t="shared" si="63"/>
        <v>35.700000000000003</v>
      </c>
      <c r="Z436" s="36">
        <f t="shared" si="68"/>
        <v>8.5339999999999999E-2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37.166666666666664</v>
      </c>
      <c r="BN436" s="64">
        <f t="shared" si="65"/>
        <v>37.910000000000004</v>
      </c>
      <c r="BO436" s="64">
        <f t="shared" si="66"/>
        <v>7.1225071225071226E-2</v>
      </c>
      <c r="BP436" s="64">
        <f t="shared" si="67"/>
        <v>7.2649572649572655E-2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10.5</v>
      </c>
      <c r="Y437" s="664">
        <f t="shared" si="63"/>
        <v>10.5</v>
      </c>
      <c r="Z437" s="36">
        <f t="shared" si="68"/>
        <v>2.5100000000000001E-2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11.149999999999999</v>
      </c>
      <c r="BN437" s="64">
        <f t="shared" si="65"/>
        <v>11.149999999999999</v>
      </c>
      <c r="BO437" s="64">
        <f t="shared" si="66"/>
        <v>2.1367521367521368E-2</v>
      </c>
      <c r="BP437" s="64">
        <f t="shared" si="67"/>
        <v>2.1367521367521368E-2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35</v>
      </c>
      <c r="Y440" s="664">
        <f t="shared" si="63"/>
        <v>35.700000000000003</v>
      </c>
      <c r="Z440" s="36">
        <f t="shared" si="68"/>
        <v>8.5339999999999999E-2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37.166666666666664</v>
      </c>
      <c r="BN440" s="64">
        <f t="shared" si="65"/>
        <v>37.910000000000004</v>
      </c>
      <c r="BO440" s="64">
        <f t="shared" si="66"/>
        <v>7.1225071225071226E-2</v>
      </c>
      <c r="BP440" s="64">
        <f t="shared" si="67"/>
        <v>7.2649572649572655E-2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40.185185185185176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41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0.21382000000000001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90.5</v>
      </c>
      <c r="Y443" s="665">
        <f>IFERROR(SUM(Y430:Y441),"0")</f>
        <v>92.7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136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147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10.5</v>
      </c>
      <c r="Y459" s="664">
        <f>IFERROR(IF(X459="",0,CEILING((X459/$H459),1)*$H459),"")</f>
        <v>10.5</v>
      </c>
      <c r="Z459" s="36">
        <f>IFERROR(IF(Y459=0,"",ROUNDUP(Y459/H459,0)*0.00502),"")</f>
        <v>2.5100000000000001E-2</v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11.149999999999999</v>
      </c>
      <c r="BN459" s="64">
        <f>IFERROR(Y459*I459/H459,"0")</f>
        <v>11.149999999999999</v>
      </c>
      <c r="BO459" s="64">
        <f>IFERROR(1/J459*(X459/H459),"0")</f>
        <v>2.1367521367521368E-2</v>
      </c>
      <c r="BP459" s="64">
        <f>IFERROR(1/J459*(Y459/H459),"0")</f>
        <v>2.1367521367521368E-2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5</v>
      </c>
      <c r="Y460" s="665">
        <f>IFERROR(Y456/H456,"0")+IFERROR(Y457/H457,"0")+IFERROR(Y458/H458,"0")+IFERROR(Y459/H459,"0")</f>
        <v>5</v>
      </c>
      <c r="Z460" s="665">
        <f>IFERROR(IF(Z456="",0,Z456),"0")+IFERROR(IF(Z457="",0,Z457),"0")+IFERROR(IF(Z458="",0,Z458),"0")+IFERROR(IF(Z459="",0,Z459),"0")</f>
        <v>2.5100000000000001E-2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10.5</v>
      </c>
      <c r="Y461" s="665">
        <f>IFERROR(SUM(Y456:Y459),"0")</f>
        <v>10.5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147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10</v>
      </c>
      <c r="Y465" s="664">
        <f>IFERROR(IF(X465="",0,CEILING((X465/$H465),1)*$H465),"")</f>
        <v>10.799999999999999</v>
      </c>
      <c r="Z465" s="36">
        <f>IFERROR(IF(Y465=0,"",ROUNDUP(Y465/H465,0)*0.00651),"")</f>
        <v>5.8590000000000003E-2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17.5</v>
      </c>
      <c r="BN465" s="64">
        <f>IFERROR(Y465*I465/H465,"0")</f>
        <v>18.900000000000002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8.3333333333333339</v>
      </c>
      <c r="Y466" s="665">
        <f>IFERROR(Y464/H464,"0")+IFERROR(Y465/H465,"0")</f>
        <v>9</v>
      </c>
      <c r="Z466" s="665">
        <f>IFERROR(IF(Z464="",0,Z464),"0")+IFERROR(IF(Z465="",0,Z465),"0")</f>
        <v>5.8590000000000003E-2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10</v>
      </c>
      <c r="Y467" s="665">
        <f>IFERROR(SUM(Y464:Y465),"0")</f>
        <v>10.799999999999999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147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173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30</v>
      </c>
      <c r="Y483" s="664">
        <f t="shared" si="69"/>
        <v>31.68</v>
      </c>
      <c r="Z483" s="36">
        <f>IFERROR(IF(Y483=0,"",ROUNDUP(Y483/H483,0)*0.01196),"")</f>
        <v>7.1760000000000004E-2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32.04545454545454</v>
      </c>
      <c r="BN483" s="64">
        <f t="shared" si="71"/>
        <v>33.839999999999996</v>
      </c>
      <c r="BO483" s="64">
        <f t="shared" si="72"/>
        <v>5.4632867132867136E-2</v>
      </c>
      <c r="BP483" s="64">
        <f t="shared" si="73"/>
        <v>5.7692307692307696E-2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4301012035</v>
      </c>
      <c r="D486" s="667">
        <v>4680115880603</v>
      </c>
      <c r="E486" s="668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67">
        <v>4680115880603</v>
      </c>
      <c r="E487" s="668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30</v>
      </c>
      <c r="Y487" s="664">
        <f t="shared" si="69"/>
        <v>32.4</v>
      </c>
      <c r="Z487" s="36">
        <f>IFERROR(IF(Y487=0,"",ROUNDUP(Y487/H487,0)*0.00902),"")</f>
        <v>8.1180000000000002E-2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31.75</v>
      </c>
      <c r="BN487" s="64">
        <f t="shared" si="71"/>
        <v>34.29</v>
      </c>
      <c r="BO487" s="64">
        <f t="shared" si="72"/>
        <v>6.3131313131313135E-2</v>
      </c>
      <c r="BP487" s="64">
        <f t="shared" si="73"/>
        <v>6.8181818181818177E-2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4301012034</v>
      </c>
      <c r="D492" s="667">
        <v>4607091389982</v>
      </c>
      <c r="E492" s="668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67">
        <v>4607091389982</v>
      </c>
      <c r="E493" s="668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36</v>
      </c>
      <c r="Y493" s="664">
        <f t="shared" si="69"/>
        <v>36</v>
      </c>
      <c r="Z493" s="36">
        <f>IFERROR(IF(Y493=0,"",ROUNDUP(Y493/H493,0)*0.00902),"")</f>
        <v>9.0200000000000002E-2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38.1</v>
      </c>
      <c r="BN493" s="64">
        <f t="shared" si="71"/>
        <v>38.1</v>
      </c>
      <c r="BO493" s="64">
        <f t="shared" si="72"/>
        <v>7.575757575757576E-2</v>
      </c>
      <c r="BP493" s="64">
        <f t="shared" si="73"/>
        <v>7.575757575757576E-2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24.015151515151516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0.24314000000000002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96</v>
      </c>
      <c r="Y496" s="665">
        <f>IFERROR(SUM(Y480:Y494),"0")</f>
        <v>100.08</v>
      </c>
      <c r="Z496" s="37"/>
      <c r="AA496" s="666"/>
      <c r="AB496" s="666"/>
      <c r="AC496" s="666"/>
    </row>
    <row r="497" spans="1:68" ht="14.25" customHeight="1" x14ac:dyDescent="0.25">
      <c r="A497" s="679" t="s">
        <v>136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4301020334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3" t="s">
        <v>773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50</v>
      </c>
      <c r="Y499" s="664">
        <f>IFERROR(IF(X499="",0,CEILING((X499/$H499),1)*$H499),"")</f>
        <v>52.800000000000004</v>
      </c>
      <c r="Z499" s="36">
        <f>IFERROR(IF(Y499=0,"",ROUNDUP(Y499/H499,0)*0.01196),"")</f>
        <v>0.1196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53.409090909090907</v>
      </c>
      <c r="BN499" s="64">
        <f>IFERROR(Y499*I499/H499,"0")</f>
        <v>56.400000000000006</v>
      </c>
      <c r="BO499" s="64">
        <f>IFERROR(1/J499*(X499/H499),"0")</f>
        <v>9.1054778554778545E-2</v>
      </c>
      <c r="BP499" s="64">
        <f>IFERROR(1/J499*(Y499/H499),"0")</f>
        <v>9.6153846153846159E-2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9.4696969696969688</v>
      </c>
      <c r="Y502" s="665">
        <f>IFERROR(Y498/H498,"0")+IFERROR(Y499/H499,"0")+IFERROR(Y500/H500,"0")+IFERROR(Y501/H501,"0")</f>
        <v>10</v>
      </c>
      <c r="Z502" s="665">
        <f>IFERROR(IF(Z498="",0,Z498),"0")+IFERROR(IF(Z499="",0,Z499),"0")+IFERROR(IF(Z500="",0,Z500),"0")+IFERROR(IF(Z501="",0,Z501),"0")</f>
        <v>0.1196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50</v>
      </c>
      <c r="Y503" s="665">
        <f>IFERROR(SUM(Y498:Y501),"0")</f>
        <v>52.800000000000004</v>
      </c>
      <c r="Z503" s="37"/>
      <c r="AA503" s="666"/>
      <c r="AB503" s="666"/>
      <c r="AC503" s="666"/>
    </row>
    <row r="504" spans="1:68" ht="14.25" customHeight="1" x14ac:dyDescent="0.25">
      <c r="A504" s="679" t="s">
        <v>147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20</v>
      </c>
      <c r="Y505" s="664">
        <f t="shared" ref="Y505:Y516" si="74">IFERROR(IF(X505="",0,CEILING((X505/$H505),1)*$H505),"")</f>
        <v>21.12</v>
      </c>
      <c r="Z505" s="36">
        <f>IFERROR(IF(Y505=0,"",ROUNDUP(Y505/H505,0)*0.01196),"")</f>
        <v>4.7840000000000001E-2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21.363636363636363</v>
      </c>
      <c r="BN505" s="64">
        <f t="shared" ref="BN505:BN516" si="76">IFERROR(Y505*I505/H505,"0")</f>
        <v>22.56</v>
      </c>
      <c r="BO505" s="64">
        <f t="shared" ref="BO505:BO516" si="77">IFERROR(1/J505*(X505/H505),"0")</f>
        <v>3.6421911421911424E-2</v>
      </c>
      <c r="BP505" s="64">
        <f t="shared" ref="BP505:BP516" si="78">IFERROR(1/J505*(Y505/H505),"0")</f>
        <v>3.8461538461538464E-2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60</v>
      </c>
      <c r="Y507" s="664">
        <f t="shared" si="74"/>
        <v>63.36</v>
      </c>
      <c r="Z507" s="36">
        <f>IFERROR(IF(Y507=0,"",ROUNDUP(Y507/H507,0)*0.01196),"")</f>
        <v>0.14352000000000001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64.090909090909079</v>
      </c>
      <c r="BN507" s="64">
        <f t="shared" si="76"/>
        <v>67.679999999999993</v>
      </c>
      <c r="BO507" s="64">
        <f t="shared" si="77"/>
        <v>0.10926573426573427</v>
      </c>
      <c r="BP507" s="64">
        <f t="shared" si="78"/>
        <v>0.11538461538461539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4301031351</v>
      </c>
      <c r="D509" s="667">
        <v>4680115882072</v>
      </c>
      <c r="E509" s="668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4301031383</v>
      </c>
      <c r="D510" s="667">
        <v>4680115882072</v>
      </c>
      <c r="E510" s="668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8" t="s">
        <v>804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IFERROR(IF(Y511=0,"",ROUNDUP(Y511/H511,0)*0.00902),"")</f>
        <v/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4301031384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67">
        <v>4680115882096</v>
      </c>
      <c r="E515" s="668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30</v>
      </c>
      <c r="Y515" s="664">
        <f t="shared" si="74"/>
        <v>32.4</v>
      </c>
      <c r="Z515" s="36">
        <f>IFERROR(IF(Y515=0,"",ROUNDUP(Y515/H515,0)*0.00902),"")</f>
        <v>8.1180000000000002E-2</v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31.75</v>
      </c>
      <c r="BN515" s="64">
        <f t="shared" si="76"/>
        <v>34.29</v>
      </c>
      <c r="BO515" s="64">
        <f t="shared" si="77"/>
        <v>6.3131313131313135E-2</v>
      </c>
      <c r="BP515" s="64">
        <f t="shared" si="78"/>
        <v>6.8181818181818177E-2</v>
      </c>
    </row>
    <row r="516" spans="1:68" ht="27" customHeight="1" x14ac:dyDescent="0.25">
      <c r="A516" s="54" t="s">
        <v>810</v>
      </c>
      <c r="B516" s="54" t="s">
        <v>814</v>
      </c>
      <c r="C516" s="31">
        <v>4301031417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3" t="s">
        <v>815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23.484848484848484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25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0.27254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110</v>
      </c>
      <c r="Y518" s="665">
        <f>IFERROR(SUM(Y505:Y516),"0")</f>
        <v>116.88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173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136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147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4301051887</v>
      </c>
      <c r="D560" s="667">
        <v>4640242180533</v>
      </c>
      <c r="E560" s="668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67">
        <v>4640242180533</v>
      </c>
      <c r="E561" s="668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173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4301060485</v>
      </c>
      <c r="D568" s="667">
        <v>4640242180120</v>
      </c>
      <c r="E568" s="668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4301060496</v>
      </c>
      <c r="D569" s="667">
        <v>4640242180120</v>
      </c>
      <c r="E569" s="668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4301060486</v>
      </c>
      <c r="D570" s="667">
        <v>4640242180137</v>
      </c>
      <c r="E570" s="668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4301060498</v>
      </c>
      <c r="D571" s="667">
        <v>4640242180137</v>
      </c>
      <c r="E571" s="668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136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147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6004.1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6139.96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6343.9401392860018</v>
      </c>
      <c r="Y592" s="665">
        <f>IFERROR(SUM(BN22:BN588),"0")</f>
        <v>6487.5409999999993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11</v>
      </c>
      <c r="Y593" s="38">
        <f>ROUNDUP(SUM(BP22:BP588),0)</f>
        <v>11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6618.9401392860018</v>
      </c>
      <c r="Y594" s="665">
        <f>GrossWeightTotalR+PalletQtyTotalR*25</f>
        <v>6762.5409999999993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1251.4496451824034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1274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12.37233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286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181</v>
      </c>
      <c r="F599" s="686" t="s">
        <v>212</v>
      </c>
      <c r="G599" s="686" t="s">
        <v>257</v>
      </c>
      <c r="H599" s="686" t="s">
        <v>96</v>
      </c>
      <c r="I599" s="686" t="s">
        <v>287</v>
      </c>
      <c r="J599" s="686" t="s">
        <v>322</v>
      </c>
      <c r="K599" s="686" t="s">
        <v>383</v>
      </c>
      <c r="L599" s="686" t="s">
        <v>418</v>
      </c>
      <c r="M599" s="686" t="s">
        <v>436</v>
      </c>
      <c r="N599" s="661"/>
      <c r="O599" s="686" t="s">
        <v>440</v>
      </c>
      <c r="P599" s="686" t="s">
        <v>449</v>
      </c>
      <c r="Q599" s="686" t="s">
        <v>463</v>
      </c>
      <c r="R599" s="686" t="s">
        <v>473</v>
      </c>
      <c r="S599" s="686" t="s">
        <v>477</v>
      </c>
      <c r="T599" s="686" t="s">
        <v>485</v>
      </c>
      <c r="U599" s="686" t="s">
        <v>490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80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549.59999999999991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325.8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293.40000000000003</v>
      </c>
      <c r="G601" s="46">
        <f>IFERROR(Y137*1,"0")+IFERROR(Y138*1,"0")+IFERROR(Y142*1,"0")+IFERROR(Y143*1,"0")+IFERROR(Y147*1,"0")+IFERROR(Y148*1,"0")</f>
        <v>142.4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345.90000000000003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929.39999999999986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31.6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100.8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198</v>
      </c>
      <c r="V601" s="46">
        <f>IFERROR(Y363*1,"0")+IFERROR(Y367*1,"0")+IFERROR(Y368*1,"0")+IFERROR(Y369*1,"0")</f>
        <v>363.3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2369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92.7</v>
      </c>
      <c r="Z601" s="46">
        <f>IFERROR(Y451*1,"0")+IFERROR(Y452*1,"0")+IFERROR(Y456*1,"0")+IFERROR(Y457*1,"0")+IFERROR(Y458*1,"0")+IFERROR(Y459*1,"0")</f>
        <v>10.5</v>
      </c>
      <c r="AA601" s="46">
        <f>IFERROR(Y464*1,"0")+IFERROR(Y465*1,"0")</f>
        <v>10.799999999999999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269.76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2025-04-10T09:17:16Z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