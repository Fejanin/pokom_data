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E524598E-EBFF-45FB-B153-4A484939D95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1" l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X325" i="1"/>
  <c r="Y324" i="1"/>
  <c r="X324" i="1"/>
  <c r="BP323" i="1"/>
  <c r="BO323" i="1"/>
  <c r="BN323" i="1"/>
  <c r="BM323" i="1"/>
  <c r="Z323" i="1"/>
  <c r="Z324" i="1" s="1"/>
  <c r="Y323" i="1"/>
  <c r="Y325" i="1" s="1"/>
  <c r="X320" i="1"/>
  <c r="X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P307" i="1"/>
  <c r="BP306" i="1"/>
  <c r="BO306" i="1"/>
  <c r="BN306" i="1"/>
  <c r="BM306" i="1"/>
  <c r="Z306" i="1"/>
  <c r="Y306" i="1"/>
  <c r="BP305" i="1"/>
  <c r="BO305" i="1"/>
  <c r="BN305" i="1"/>
  <c r="BM305" i="1"/>
  <c r="Z305" i="1"/>
  <c r="Y305" i="1"/>
  <c r="P305" i="1"/>
  <c r="BO304" i="1"/>
  <c r="BM304" i="1"/>
  <c r="Z304" i="1"/>
  <c r="Y304" i="1"/>
  <c r="BO303" i="1"/>
  <c r="BM303" i="1"/>
  <c r="Z303" i="1"/>
  <c r="Y303" i="1"/>
  <c r="P303" i="1"/>
  <c r="BP302" i="1"/>
  <c r="BO302" i="1"/>
  <c r="BN302" i="1"/>
  <c r="BM302" i="1"/>
  <c r="Z302" i="1"/>
  <c r="Y302" i="1"/>
  <c r="BP301" i="1"/>
  <c r="BO301" i="1"/>
  <c r="BN301" i="1"/>
  <c r="BM301" i="1"/>
  <c r="Z301" i="1"/>
  <c r="Y301" i="1"/>
  <c r="BP300" i="1"/>
  <c r="BO300" i="1"/>
  <c r="BN300" i="1"/>
  <c r="BM300" i="1"/>
  <c r="Z300" i="1"/>
  <c r="Z319" i="1" s="1"/>
  <c r="Y300" i="1"/>
  <c r="P300" i="1"/>
  <c r="BO299" i="1"/>
  <c r="BM299" i="1"/>
  <c r="Z299" i="1"/>
  <c r="Y299" i="1"/>
  <c r="BO298" i="1"/>
  <c r="BM298" i="1"/>
  <c r="Z298" i="1"/>
  <c r="Y298" i="1"/>
  <c r="X296" i="1"/>
  <c r="X295" i="1"/>
  <c r="BP294" i="1"/>
  <c r="BO294" i="1"/>
  <c r="BN294" i="1"/>
  <c r="BM294" i="1"/>
  <c r="Z294" i="1"/>
  <c r="Y294" i="1"/>
  <c r="P294" i="1"/>
  <c r="BO293" i="1"/>
  <c r="BM293" i="1"/>
  <c r="Z293" i="1"/>
  <c r="Y293" i="1"/>
  <c r="P293" i="1"/>
  <c r="BP292" i="1"/>
  <c r="BO292" i="1"/>
  <c r="BN292" i="1"/>
  <c r="BM292" i="1"/>
  <c r="Z292" i="1"/>
  <c r="Z295" i="1" s="1"/>
  <c r="Y292" i="1"/>
  <c r="Y290" i="1"/>
  <c r="X290" i="1"/>
  <c r="Z289" i="1"/>
  <c r="X289" i="1"/>
  <c r="BO288" i="1"/>
  <c r="BM288" i="1"/>
  <c r="Z288" i="1"/>
  <c r="Y288" i="1"/>
  <c r="BO287" i="1"/>
  <c r="BM287" i="1"/>
  <c r="Z287" i="1"/>
  <c r="Y287" i="1"/>
  <c r="P287" i="1"/>
  <c r="X285" i="1"/>
  <c r="Z284" i="1"/>
  <c r="X284" i="1"/>
  <c r="BO283" i="1"/>
  <c r="BM283" i="1"/>
  <c r="Z283" i="1"/>
  <c r="Y283" i="1"/>
  <c r="P283" i="1"/>
  <c r="Y281" i="1"/>
  <c r="X281" i="1"/>
  <c r="Z280" i="1"/>
  <c r="X280" i="1"/>
  <c r="BO279" i="1"/>
  <c r="BM279" i="1"/>
  <c r="Z279" i="1"/>
  <c r="Y279" i="1"/>
  <c r="BO278" i="1"/>
  <c r="BM278" i="1"/>
  <c r="Z278" i="1"/>
  <c r="Y278" i="1"/>
  <c r="BO277" i="1"/>
  <c r="BM277" i="1"/>
  <c r="Z277" i="1"/>
  <c r="Y277" i="1"/>
  <c r="X273" i="1"/>
  <c r="Y272" i="1"/>
  <c r="X272" i="1"/>
  <c r="BP271" i="1"/>
  <c r="BO271" i="1"/>
  <c r="BN271" i="1"/>
  <c r="BM271" i="1"/>
  <c r="Z271" i="1"/>
  <c r="Z272" i="1" s="1"/>
  <c r="Y271" i="1"/>
  <c r="Y273" i="1" s="1"/>
  <c r="P271" i="1"/>
  <c r="X269" i="1"/>
  <c r="Y268" i="1"/>
  <c r="X268" i="1"/>
  <c r="BP267" i="1"/>
  <c r="BO267" i="1"/>
  <c r="BN267" i="1"/>
  <c r="BM267" i="1"/>
  <c r="Z267" i="1"/>
  <c r="Z268" i="1" s="1"/>
  <c r="Y267" i="1"/>
  <c r="Y269" i="1" s="1"/>
  <c r="X263" i="1"/>
  <c r="X262" i="1"/>
  <c r="BO261" i="1"/>
  <c r="BM261" i="1"/>
  <c r="Z261" i="1"/>
  <c r="Y261" i="1"/>
  <c r="P261" i="1"/>
  <c r="BP260" i="1"/>
  <c r="BO260" i="1"/>
  <c r="BN260" i="1"/>
  <c r="BM260" i="1"/>
  <c r="Z260" i="1"/>
  <c r="Z262" i="1" s="1"/>
  <c r="Y260" i="1"/>
  <c r="P260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4" i="1"/>
  <c r="X244" i="1"/>
  <c r="Z243" i="1"/>
  <c r="X243" i="1"/>
  <c r="BO242" i="1"/>
  <c r="BM242" i="1"/>
  <c r="Z242" i="1"/>
  <c r="Y242" i="1"/>
  <c r="P242" i="1"/>
  <c r="X239" i="1"/>
  <c r="Z238" i="1"/>
  <c r="X238" i="1"/>
  <c r="BO237" i="1"/>
  <c r="BM237" i="1"/>
  <c r="Z237" i="1"/>
  <c r="Y237" i="1"/>
  <c r="BO236" i="1"/>
  <c r="BM236" i="1"/>
  <c r="Z236" i="1"/>
  <c r="Y236" i="1"/>
  <c r="BO235" i="1"/>
  <c r="BM235" i="1"/>
  <c r="Z235" i="1"/>
  <c r="Y235" i="1"/>
  <c r="X233" i="1"/>
  <c r="Y232" i="1"/>
  <c r="X232" i="1"/>
  <c r="BP231" i="1"/>
  <c r="BO231" i="1"/>
  <c r="BN231" i="1"/>
  <c r="BM231" i="1"/>
  <c r="Z231" i="1"/>
  <c r="Z232" i="1" s="1"/>
  <c r="Y231" i="1"/>
  <c r="Y233" i="1" s="1"/>
  <c r="X228" i="1"/>
  <c r="X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7" i="1" s="1"/>
  <c r="Y223" i="1"/>
  <c r="Y227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Z219" i="1" s="1"/>
  <c r="Y213" i="1"/>
  <c r="Y220" i="1" s="1"/>
  <c r="P213" i="1"/>
  <c r="X210" i="1"/>
  <c r="X209" i="1"/>
  <c r="BO208" i="1"/>
  <c r="BM208" i="1"/>
  <c r="Z208" i="1"/>
  <c r="Y208" i="1"/>
  <c r="BP208" i="1" s="1"/>
  <c r="P208" i="1"/>
  <c r="BP207" i="1"/>
  <c r="BO207" i="1"/>
  <c r="BN207" i="1"/>
  <c r="BM207" i="1"/>
  <c r="Z207" i="1"/>
  <c r="Z209" i="1" s="1"/>
  <c r="Y207" i="1"/>
  <c r="P207" i="1"/>
  <c r="BO206" i="1"/>
  <c r="BM206" i="1"/>
  <c r="Z206" i="1"/>
  <c r="Y206" i="1"/>
  <c r="Y209" i="1" s="1"/>
  <c r="P206" i="1"/>
  <c r="X203" i="1"/>
  <c r="X202" i="1"/>
  <c r="BO201" i="1"/>
  <c r="BM201" i="1"/>
  <c r="Z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BP199" i="1" s="1"/>
  <c r="P199" i="1"/>
  <c r="BP198" i="1"/>
  <c r="BO198" i="1"/>
  <c r="BN198" i="1"/>
  <c r="BM198" i="1"/>
  <c r="Z198" i="1"/>
  <c r="Z202" i="1" s="1"/>
  <c r="Y198" i="1"/>
  <c r="Y202" i="1" s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X190" i="1"/>
  <c r="X189" i="1"/>
  <c r="BO188" i="1"/>
  <c r="BM188" i="1"/>
  <c r="Z188" i="1"/>
  <c r="Y188" i="1"/>
  <c r="P188" i="1"/>
  <c r="BP187" i="1"/>
  <c r="BO187" i="1"/>
  <c r="BN187" i="1"/>
  <c r="BM187" i="1"/>
  <c r="Z187" i="1"/>
  <c r="Z189" i="1" s="1"/>
  <c r="Y187" i="1"/>
  <c r="P187" i="1"/>
  <c r="BO186" i="1"/>
  <c r="BM186" i="1"/>
  <c r="Z186" i="1"/>
  <c r="Y186" i="1"/>
  <c r="P186" i="1"/>
  <c r="Y182" i="1"/>
  <c r="X182" i="1"/>
  <c r="Z181" i="1"/>
  <c r="X181" i="1"/>
  <c r="BO180" i="1"/>
  <c r="BM180" i="1"/>
  <c r="Z180" i="1"/>
  <c r="Y180" i="1"/>
  <c r="P180" i="1"/>
  <c r="BP179" i="1"/>
  <c r="BO179" i="1"/>
  <c r="BN179" i="1"/>
  <c r="BM179" i="1"/>
  <c r="Z179" i="1"/>
  <c r="Y179" i="1"/>
  <c r="Y181" i="1" s="1"/>
  <c r="P179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Z176" i="1" s="1"/>
  <c r="Y172" i="1"/>
  <c r="Y177" i="1" s="1"/>
  <c r="X169" i="1"/>
  <c r="Z168" i="1"/>
  <c r="X168" i="1"/>
  <c r="BO167" i="1"/>
  <c r="BM167" i="1"/>
  <c r="Z167" i="1"/>
  <c r="Y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Y155" i="1"/>
  <c r="P155" i="1"/>
  <c r="Y152" i="1"/>
  <c r="X152" i="1"/>
  <c r="Z151" i="1"/>
  <c r="X151" i="1"/>
  <c r="BO150" i="1"/>
  <c r="BM150" i="1"/>
  <c r="Z150" i="1"/>
  <c r="Y150" i="1"/>
  <c r="P150" i="1"/>
  <c r="X147" i="1"/>
  <c r="Z146" i="1"/>
  <c r="X146" i="1"/>
  <c r="BO145" i="1"/>
  <c r="BM145" i="1"/>
  <c r="Z145" i="1"/>
  <c r="Y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Y136" i="1"/>
  <c r="X136" i="1"/>
  <c r="Z135" i="1"/>
  <c r="X135" i="1"/>
  <c r="BO134" i="1"/>
  <c r="BM134" i="1"/>
  <c r="Z134" i="1"/>
  <c r="Y134" i="1"/>
  <c r="P134" i="1"/>
  <c r="BP133" i="1"/>
  <c r="BO133" i="1"/>
  <c r="BN133" i="1"/>
  <c r="BM133" i="1"/>
  <c r="Z133" i="1"/>
  <c r="Y133" i="1"/>
  <c r="Y135" i="1" s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Z129" i="1" s="1"/>
  <c r="Y127" i="1"/>
  <c r="P127" i="1"/>
  <c r="X124" i="1"/>
  <c r="Z123" i="1"/>
  <c r="X123" i="1"/>
  <c r="BO122" i="1"/>
  <c r="BM122" i="1"/>
  <c r="Z122" i="1"/>
  <c r="Y122" i="1"/>
  <c r="X120" i="1"/>
  <c r="X119" i="1"/>
  <c r="BP118" i="1"/>
  <c r="BO118" i="1"/>
  <c r="BN118" i="1"/>
  <c r="BM118" i="1"/>
  <c r="Z118" i="1"/>
  <c r="Y118" i="1"/>
  <c r="P118" i="1"/>
  <c r="BO117" i="1"/>
  <c r="BM117" i="1"/>
  <c r="Z117" i="1"/>
  <c r="Y117" i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P113" i="1"/>
  <c r="BP112" i="1"/>
  <c r="BO112" i="1"/>
  <c r="BN112" i="1"/>
  <c r="BM112" i="1"/>
  <c r="Z112" i="1"/>
  <c r="Z119" i="1" s="1"/>
  <c r="Y112" i="1"/>
  <c r="Y109" i="1"/>
  <c r="X109" i="1"/>
  <c r="Z108" i="1"/>
  <c r="X108" i="1"/>
  <c r="BO107" i="1"/>
  <c r="BM107" i="1"/>
  <c r="Z107" i="1"/>
  <c r="Y107" i="1"/>
  <c r="P107" i="1"/>
  <c r="BP106" i="1"/>
  <c r="BO106" i="1"/>
  <c r="BN106" i="1"/>
  <c r="BM106" i="1"/>
  <c r="Z106" i="1"/>
  <c r="Y106" i="1"/>
  <c r="BP105" i="1"/>
  <c r="BO105" i="1"/>
  <c r="BN105" i="1"/>
  <c r="BM105" i="1"/>
  <c r="Z105" i="1"/>
  <c r="Y105" i="1"/>
  <c r="Y108" i="1" s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Z99" i="1"/>
  <c r="Y99" i="1"/>
  <c r="P99" i="1"/>
  <c r="BP98" i="1"/>
  <c r="BO98" i="1"/>
  <c r="BN98" i="1"/>
  <c r="BM98" i="1"/>
  <c r="Z98" i="1"/>
  <c r="Y98" i="1"/>
  <c r="P98" i="1"/>
  <c r="BO97" i="1"/>
  <c r="BM97" i="1"/>
  <c r="Z97" i="1"/>
  <c r="Y97" i="1"/>
  <c r="BO96" i="1"/>
  <c r="BM96" i="1"/>
  <c r="Z96" i="1"/>
  <c r="Y96" i="1"/>
  <c r="P96" i="1"/>
  <c r="BP95" i="1"/>
  <c r="BO95" i="1"/>
  <c r="BN95" i="1"/>
  <c r="BM95" i="1"/>
  <c r="Z95" i="1"/>
  <c r="Z101" i="1" s="1"/>
  <c r="Y95" i="1"/>
  <c r="Y102" i="1" s="1"/>
  <c r="X92" i="1"/>
  <c r="X91" i="1"/>
  <c r="BO90" i="1"/>
  <c r="BM90" i="1"/>
  <c r="Z90" i="1"/>
  <c r="Y90" i="1"/>
  <c r="P90" i="1"/>
  <c r="BP89" i="1"/>
  <c r="BO89" i="1"/>
  <c r="BN89" i="1"/>
  <c r="BM89" i="1"/>
  <c r="Z89" i="1"/>
  <c r="Z91" i="1" s="1"/>
  <c r="Y89" i="1"/>
  <c r="Y86" i="1"/>
  <c r="X86" i="1"/>
  <c r="Z85" i="1"/>
  <c r="X85" i="1"/>
  <c r="BO84" i="1"/>
  <c r="BM84" i="1"/>
  <c r="Z84" i="1"/>
  <c r="Y84" i="1"/>
  <c r="X81" i="1"/>
  <c r="X80" i="1"/>
  <c r="BP79" i="1"/>
  <c r="BO79" i="1"/>
  <c r="BN79" i="1"/>
  <c r="BM79" i="1"/>
  <c r="Z79" i="1"/>
  <c r="Y79" i="1"/>
  <c r="P79" i="1"/>
  <c r="BO78" i="1"/>
  <c r="BM78" i="1"/>
  <c r="Z78" i="1"/>
  <c r="Z80" i="1" s="1"/>
  <c r="Y78" i="1"/>
  <c r="P78" i="1"/>
  <c r="X75" i="1"/>
  <c r="Z74" i="1"/>
  <c r="X74" i="1"/>
  <c r="BO73" i="1"/>
  <c r="BM73" i="1"/>
  <c r="Z73" i="1"/>
  <c r="Y73" i="1"/>
  <c r="BO72" i="1"/>
  <c r="BM72" i="1"/>
  <c r="Z72" i="1"/>
  <c r="Y72" i="1"/>
  <c r="BO71" i="1"/>
  <c r="BM71" i="1"/>
  <c r="Z71" i="1"/>
  <c r="Y71" i="1"/>
  <c r="X69" i="1"/>
  <c r="Y68" i="1"/>
  <c r="X68" i="1"/>
  <c r="BP67" i="1"/>
  <c r="BO67" i="1"/>
  <c r="BN67" i="1"/>
  <c r="BM67" i="1"/>
  <c r="Z67" i="1"/>
  <c r="Z68" i="1" s="1"/>
  <c r="Y67" i="1"/>
  <c r="Y69" i="1" s="1"/>
  <c r="P67" i="1"/>
  <c r="X65" i="1"/>
  <c r="Y64" i="1"/>
  <c r="X64" i="1"/>
  <c r="BP63" i="1"/>
  <c r="BO63" i="1"/>
  <c r="BN63" i="1"/>
  <c r="BM63" i="1"/>
  <c r="Z63" i="1"/>
  <c r="Z64" i="1" s="1"/>
  <c r="Y63" i="1"/>
  <c r="Y65" i="1" s="1"/>
  <c r="Y61" i="1"/>
  <c r="X61" i="1"/>
  <c r="Z60" i="1"/>
  <c r="X60" i="1"/>
  <c r="BO59" i="1"/>
  <c r="BM59" i="1"/>
  <c r="Z59" i="1"/>
  <c r="Y59" i="1"/>
  <c r="X57" i="1"/>
  <c r="Y56" i="1"/>
  <c r="X56" i="1"/>
  <c r="BP55" i="1"/>
  <c r="BO55" i="1"/>
  <c r="BN55" i="1"/>
  <c r="BM55" i="1"/>
  <c r="Z55" i="1"/>
  <c r="Z56" i="1" s="1"/>
  <c r="Y55" i="1"/>
  <c r="Y57" i="1" s="1"/>
  <c r="X52" i="1"/>
  <c r="X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BP43" i="1"/>
  <c r="BO43" i="1"/>
  <c r="BN43" i="1"/>
  <c r="BM43" i="1"/>
  <c r="Z43" i="1"/>
  <c r="Z51" i="1" s="1"/>
  <c r="Y43" i="1"/>
  <c r="P43" i="1"/>
  <c r="X40" i="1"/>
  <c r="Y39" i="1"/>
  <c r="X39" i="1"/>
  <c r="BP38" i="1"/>
  <c r="BO38" i="1"/>
  <c r="BN38" i="1"/>
  <c r="BM38" i="1"/>
  <c r="Z38" i="1"/>
  <c r="Y38" i="1"/>
  <c r="BP37" i="1"/>
  <c r="BO37" i="1"/>
  <c r="BN37" i="1"/>
  <c r="BM37" i="1"/>
  <c r="Z37" i="1"/>
  <c r="Y37" i="1"/>
  <c r="BP36" i="1"/>
  <c r="BO36" i="1"/>
  <c r="BN36" i="1"/>
  <c r="BM36" i="1"/>
  <c r="Z36" i="1"/>
  <c r="Z39" i="1" s="1"/>
  <c r="Y36" i="1"/>
  <c r="Y40" i="1" s="1"/>
  <c r="Y33" i="1"/>
  <c r="X33" i="1"/>
  <c r="Z32" i="1"/>
  <c r="X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Z28" i="1"/>
  <c r="Y28" i="1"/>
  <c r="X24" i="1"/>
  <c r="X326" i="1" s="1"/>
  <c r="Y23" i="1"/>
  <c r="X23" i="1"/>
  <c r="X330" i="1" s="1"/>
  <c r="BP22" i="1"/>
  <c r="BO22" i="1"/>
  <c r="X328" i="1" s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BP44" i="1" l="1"/>
  <c r="BN44" i="1"/>
  <c r="BP46" i="1"/>
  <c r="BN46" i="1"/>
  <c r="BP48" i="1"/>
  <c r="BN48" i="1"/>
  <c r="BP50" i="1"/>
  <c r="BN50" i="1"/>
  <c r="Y74" i="1"/>
  <c r="BP71" i="1"/>
  <c r="BN71" i="1"/>
  <c r="BP72" i="1"/>
  <c r="BN72" i="1"/>
  <c r="BP73" i="1"/>
  <c r="BN73" i="1"/>
  <c r="BP90" i="1"/>
  <c r="BN90" i="1"/>
  <c r="BP113" i="1"/>
  <c r="BN113" i="1"/>
  <c r="BP115" i="1"/>
  <c r="BN115" i="1"/>
  <c r="BP117" i="1"/>
  <c r="BN117" i="1"/>
  <c r="Y119" i="1"/>
  <c r="Y123" i="1"/>
  <c r="BP122" i="1"/>
  <c r="BN122" i="1"/>
  <c r="Y142" i="1"/>
  <c r="BP139" i="1"/>
  <c r="BN139" i="1"/>
  <c r="Y141" i="1"/>
  <c r="Y146" i="1"/>
  <c r="BP145" i="1"/>
  <c r="BN145" i="1"/>
  <c r="Y158" i="1"/>
  <c r="BP155" i="1"/>
  <c r="BN155" i="1"/>
  <c r="Y157" i="1"/>
  <c r="Y168" i="1"/>
  <c r="BP167" i="1"/>
  <c r="BN167" i="1"/>
  <c r="Y189" i="1"/>
  <c r="BP186" i="1"/>
  <c r="BN186" i="1"/>
  <c r="Y190" i="1"/>
  <c r="BP188" i="1"/>
  <c r="BN188" i="1"/>
  <c r="Y32" i="1"/>
  <c r="BP28" i="1"/>
  <c r="Y328" i="1" s="1"/>
  <c r="BN28" i="1"/>
  <c r="X327" i="1"/>
  <c r="X329" i="1" s="1"/>
  <c r="BP29" i="1"/>
  <c r="BN29" i="1"/>
  <c r="Y327" i="1" s="1"/>
  <c r="Y329" i="1" s="1"/>
  <c r="BP30" i="1"/>
  <c r="BN30" i="1"/>
  <c r="BP31" i="1"/>
  <c r="BN31" i="1"/>
  <c r="Y51" i="1"/>
  <c r="Y52" i="1"/>
  <c r="Y326" i="1" s="1"/>
  <c r="Y60" i="1"/>
  <c r="BP59" i="1"/>
  <c r="BN59" i="1"/>
  <c r="Y75" i="1"/>
  <c r="Y81" i="1"/>
  <c r="BP78" i="1"/>
  <c r="BN78" i="1"/>
  <c r="Y80" i="1"/>
  <c r="Y330" i="1" s="1"/>
  <c r="Y85" i="1"/>
  <c r="BP84" i="1"/>
  <c r="BN84" i="1"/>
  <c r="Y91" i="1"/>
  <c r="Y92" i="1"/>
  <c r="BP96" i="1"/>
  <c r="BN96" i="1"/>
  <c r="BP97" i="1"/>
  <c r="BN97" i="1"/>
  <c r="BP99" i="1"/>
  <c r="BN99" i="1"/>
  <c r="Y101" i="1"/>
  <c r="BP107" i="1"/>
  <c r="BN107" i="1"/>
  <c r="Y120" i="1"/>
  <c r="Y124" i="1"/>
  <c r="Y130" i="1"/>
  <c r="BP127" i="1"/>
  <c r="BN127" i="1"/>
  <c r="Y129" i="1"/>
  <c r="BP134" i="1"/>
  <c r="BN134" i="1"/>
  <c r="Z141" i="1"/>
  <c r="Z331" i="1" s="1"/>
  <c r="Y147" i="1"/>
  <c r="Y151" i="1"/>
  <c r="BP150" i="1"/>
  <c r="BN150" i="1"/>
  <c r="Z157" i="1"/>
  <c r="Y169" i="1"/>
  <c r="BP174" i="1"/>
  <c r="BN174" i="1"/>
  <c r="Y176" i="1"/>
  <c r="BP180" i="1"/>
  <c r="BN180" i="1"/>
  <c r="Y203" i="1"/>
  <c r="Y210" i="1"/>
  <c r="Y219" i="1"/>
  <c r="Y228" i="1"/>
  <c r="Y238" i="1"/>
  <c r="BP235" i="1"/>
  <c r="BN235" i="1"/>
  <c r="BP236" i="1"/>
  <c r="BN236" i="1"/>
  <c r="BP237" i="1"/>
  <c r="BN237" i="1"/>
  <c r="Y250" i="1"/>
  <c r="BP247" i="1"/>
  <c r="BN247" i="1"/>
  <c r="Y249" i="1"/>
  <c r="BP261" i="1"/>
  <c r="BN261" i="1"/>
  <c r="Y284" i="1"/>
  <c r="BP283" i="1"/>
  <c r="BN283" i="1"/>
  <c r="BP293" i="1"/>
  <c r="BN293" i="1"/>
  <c r="Y295" i="1"/>
  <c r="Y319" i="1"/>
  <c r="BP298" i="1"/>
  <c r="BN298" i="1"/>
  <c r="BP299" i="1"/>
  <c r="BN299" i="1"/>
  <c r="BP303" i="1"/>
  <c r="BN303" i="1"/>
  <c r="BP304" i="1"/>
  <c r="BN304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H9" i="1"/>
  <c r="BN199" i="1"/>
  <c r="BN201" i="1"/>
  <c r="BN206" i="1"/>
  <c r="BP206" i="1"/>
  <c r="BN208" i="1"/>
  <c r="BN213" i="1"/>
  <c r="BP213" i="1"/>
  <c r="BN215" i="1"/>
  <c r="BN217" i="1"/>
  <c r="BN224" i="1"/>
  <c r="BN226" i="1"/>
  <c r="Y239" i="1"/>
  <c r="Y243" i="1"/>
  <c r="BP242" i="1"/>
  <c r="BN242" i="1"/>
  <c r="Z249" i="1"/>
  <c r="Y262" i="1"/>
  <c r="Y263" i="1"/>
  <c r="Y280" i="1"/>
  <c r="BP277" i="1"/>
  <c r="BN277" i="1"/>
  <c r="BP278" i="1"/>
  <c r="BN278" i="1"/>
  <c r="BP279" i="1"/>
  <c r="BN279" i="1"/>
  <c r="Y285" i="1"/>
  <c r="Y289" i="1"/>
  <c r="BP287" i="1"/>
  <c r="BN287" i="1"/>
  <c r="BP288" i="1"/>
  <c r="BN288" i="1"/>
  <c r="Y296" i="1"/>
  <c r="Y320" i="1"/>
  <c r="B339" i="1" l="1"/>
  <c r="C339" i="1"/>
  <c r="A339" i="1"/>
</calcChain>
</file>

<file path=xl/sharedStrings.xml><?xml version="1.0" encoding="utf-8"?>
<sst xmlns="http://schemas.openxmlformats.org/spreadsheetml/2006/main" count="1612" uniqueCount="538">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</sst>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3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9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6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0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64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9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9"/>
  <sheetViews>
    <sheetView showGridLines="0" tabSelected="1" topLeftCell="A318" zoomScaleNormal="100" zoomScaleSheetLayoutView="100" workbookViewId="0">
      <selection activeCell="AA332" sqref="AA332"/>
    </sheetView>
  </sheetViews>
  <sheetFormatPr defaultColWidth="9.140625" defaultRowHeight="12.75" x14ac:dyDescent="0.2"/>
  <cols>
    <col min="1" max="1" width="9.140625" style="3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32" customWidth="1"/>
    <col min="19" max="19" width="6.140625" style="3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32" customWidth="1"/>
    <col min="25" max="25" width="11" style="332" customWidth="1"/>
    <col min="26" max="26" width="10" style="332" customWidth="1"/>
    <col min="27" max="27" width="11.5703125" style="332" customWidth="1"/>
    <col min="28" max="28" width="10.42578125" style="332" customWidth="1"/>
    <col min="29" max="29" width="30" style="3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32" customWidth="1"/>
    <col min="34" max="34" width="9.140625" style="332" customWidth="1"/>
    <col min="35" max="16384" width="9.140625" style="332"/>
  </cols>
  <sheetData>
    <row r="1" spans="1:32" s="328" customFormat="1" ht="45" customHeight="1" x14ac:dyDescent="0.2">
      <c r="A1" s="41"/>
      <c r="B1" s="41"/>
      <c r="C1" s="41"/>
      <c r="D1" s="393" t="s">
        <v>0</v>
      </c>
      <c r="E1" s="361"/>
      <c r="F1" s="361"/>
      <c r="G1" s="12" t="s">
        <v>1</v>
      </c>
      <c r="H1" s="393" t="s">
        <v>2</v>
      </c>
      <c r="I1" s="361"/>
      <c r="J1" s="361"/>
      <c r="K1" s="361"/>
      <c r="L1" s="361"/>
      <c r="M1" s="361"/>
      <c r="N1" s="361"/>
      <c r="O1" s="361"/>
      <c r="P1" s="361"/>
      <c r="Q1" s="361"/>
      <c r="R1" s="360" t="s">
        <v>3</v>
      </c>
      <c r="S1" s="361"/>
      <c r="T1" s="36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48"/>
      <c r="R2" s="348"/>
      <c r="S2" s="348"/>
      <c r="T2" s="348"/>
      <c r="U2" s="348"/>
      <c r="V2" s="348"/>
      <c r="W2" s="348"/>
      <c r="X2" s="16"/>
      <c r="Y2" s="16"/>
      <c r="Z2" s="16"/>
      <c r="AA2" s="16"/>
      <c r="AB2" s="51"/>
      <c r="AC2" s="51"/>
      <c r="AD2" s="51"/>
      <c r="AE2" s="51"/>
    </row>
    <row r="3" spans="1:32" s="32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48"/>
      <c r="Q3" s="348"/>
      <c r="R3" s="348"/>
      <c r="S3" s="348"/>
      <c r="T3" s="348"/>
      <c r="U3" s="348"/>
      <c r="V3" s="348"/>
      <c r="W3" s="348"/>
      <c r="X3" s="16"/>
      <c r="Y3" s="16"/>
      <c r="Z3" s="16"/>
      <c r="AA3" s="16"/>
      <c r="AB3" s="51"/>
      <c r="AC3" s="51"/>
      <c r="AD3" s="51"/>
      <c r="AE3" s="51"/>
    </row>
    <row r="4" spans="1:32" s="32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8" customFormat="1" ht="23.45" customHeight="1" x14ac:dyDescent="0.2">
      <c r="A5" s="420" t="s">
        <v>8</v>
      </c>
      <c r="B5" s="376"/>
      <c r="C5" s="377"/>
      <c r="D5" s="395"/>
      <c r="E5" s="396"/>
      <c r="F5" s="532" t="s">
        <v>9</v>
      </c>
      <c r="G5" s="377"/>
      <c r="H5" s="395"/>
      <c r="I5" s="495"/>
      <c r="J5" s="495"/>
      <c r="K5" s="495"/>
      <c r="L5" s="495"/>
      <c r="M5" s="396"/>
      <c r="N5" s="61"/>
      <c r="P5" s="24" t="s">
        <v>10</v>
      </c>
      <c r="Q5" s="540">
        <v>45758</v>
      </c>
      <c r="R5" s="419"/>
      <c r="T5" s="447" t="s">
        <v>11</v>
      </c>
      <c r="U5" s="422"/>
      <c r="V5" s="448" t="s">
        <v>12</v>
      </c>
      <c r="W5" s="419"/>
      <c r="AB5" s="51"/>
      <c r="AC5" s="51"/>
      <c r="AD5" s="51"/>
      <c r="AE5" s="51"/>
    </row>
    <row r="6" spans="1:32" s="328" customFormat="1" ht="24" customHeight="1" x14ac:dyDescent="0.2">
      <c r="A6" s="420" t="s">
        <v>13</v>
      </c>
      <c r="B6" s="376"/>
      <c r="C6" s="377"/>
      <c r="D6" s="498" t="s">
        <v>14</v>
      </c>
      <c r="E6" s="499"/>
      <c r="F6" s="499"/>
      <c r="G6" s="499"/>
      <c r="H6" s="499"/>
      <c r="I6" s="499"/>
      <c r="J6" s="499"/>
      <c r="K6" s="499"/>
      <c r="L6" s="499"/>
      <c r="M6" s="419"/>
      <c r="N6" s="62"/>
      <c r="P6" s="24" t="s">
        <v>15</v>
      </c>
      <c r="Q6" s="543" t="str">
        <f>IF(Q5=0," ",CHOOSE(WEEKDAY(Q5,2),"Понедельник","Вторник","Среда","Четверг","Пятница","Суббота","Воскресенье"))</f>
        <v>Пятница</v>
      </c>
      <c r="R6" s="344"/>
      <c r="T6" s="452" t="s">
        <v>16</v>
      </c>
      <c r="U6" s="422"/>
      <c r="V6" s="484" t="s">
        <v>17</v>
      </c>
      <c r="W6" s="371"/>
      <c r="AB6" s="51"/>
      <c r="AC6" s="51"/>
      <c r="AD6" s="51"/>
      <c r="AE6" s="51"/>
    </row>
    <row r="7" spans="1:32" s="328" customFormat="1" ht="21.75" hidden="1" customHeight="1" x14ac:dyDescent="0.2">
      <c r="A7" s="55"/>
      <c r="B7" s="55"/>
      <c r="C7" s="55"/>
      <c r="D7" s="378" t="str">
        <f>IFERROR(VLOOKUP(DeliveryAddress,Table,3,0),1)</f>
        <v>1</v>
      </c>
      <c r="E7" s="379"/>
      <c r="F7" s="379"/>
      <c r="G7" s="379"/>
      <c r="H7" s="379"/>
      <c r="I7" s="379"/>
      <c r="J7" s="379"/>
      <c r="K7" s="379"/>
      <c r="L7" s="379"/>
      <c r="M7" s="380"/>
      <c r="N7" s="63"/>
      <c r="P7" s="24"/>
      <c r="Q7" s="42"/>
      <c r="R7" s="42"/>
      <c r="T7" s="348"/>
      <c r="U7" s="422"/>
      <c r="V7" s="485"/>
      <c r="W7" s="486"/>
      <c r="AB7" s="51"/>
      <c r="AC7" s="51"/>
      <c r="AD7" s="51"/>
      <c r="AE7" s="51"/>
    </row>
    <row r="8" spans="1:32" s="328" customFormat="1" ht="25.5" customHeight="1" x14ac:dyDescent="0.2">
      <c r="A8" s="552" t="s">
        <v>18</v>
      </c>
      <c r="B8" s="353"/>
      <c r="C8" s="354"/>
      <c r="D8" s="386" t="s">
        <v>19</v>
      </c>
      <c r="E8" s="387"/>
      <c r="F8" s="387"/>
      <c r="G8" s="387"/>
      <c r="H8" s="387"/>
      <c r="I8" s="387"/>
      <c r="J8" s="387"/>
      <c r="K8" s="387"/>
      <c r="L8" s="387"/>
      <c r="M8" s="388"/>
      <c r="N8" s="64"/>
      <c r="P8" s="24" t="s">
        <v>20</v>
      </c>
      <c r="Q8" s="428">
        <v>0.375</v>
      </c>
      <c r="R8" s="380"/>
      <c r="T8" s="348"/>
      <c r="U8" s="422"/>
      <c r="V8" s="485"/>
      <c r="W8" s="486"/>
      <c r="AB8" s="51"/>
      <c r="AC8" s="51"/>
      <c r="AD8" s="51"/>
      <c r="AE8" s="51"/>
    </row>
    <row r="9" spans="1:32" s="328" customFormat="1" ht="39.950000000000003" customHeight="1" x14ac:dyDescent="0.2">
      <c r="A9" s="4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48"/>
      <c r="C9" s="348"/>
      <c r="D9" s="431"/>
      <c r="E9" s="351"/>
      <c r="F9" s="4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48"/>
      <c r="H9" s="350" t="str">
        <f>IF(AND($A$9="Тип доверенности/получателя при получении в адресе перегруза:",$D$9="Разовая доверенность"),"Введите ФИО","")</f>
        <v/>
      </c>
      <c r="I9" s="351"/>
      <c r="J9" s="3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51"/>
      <c r="L9" s="351"/>
      <c r="M9" s="351"/>
      <c r="N9" s="326"/>
      <c r="P9" s="26" t="s">
        <v>21</v>
      </c>
      <c r="Q9" s="414"/>
      <c r="R9" s="415"/>
      <c r="T9" s="348"/>
      <c r="U9" s="422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8" customFormat="1" ht="26.45" customHeight="1" x14ac:dyDescent="0.2">
      <c r="A10" s="4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48"/>
      <c r="C10" s="348"/>
      <c r="D10" s="431"/>
      <c r="E10" s="351"/>
      <c r="F10" s="4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48"/>
      <c r="H10" s="479" t="str">
        <f>IFERROR(VLOOKUP($D$10,Proxy,2,FALSE),"")</f>
        <v/>
      </c>
      <c r="I10" s="348"/>
      <c r="J10" s="348"/>
      <c r="K10" s="348"/>
      <c r="L10" s="348"/>
      <c r="M10" s="348"/>
      <c r="N10" s="327"/>
      <c r="P10" s="26" t="s">
        <v>22</v>
      </c>
      <c r="Q10" s="453"/>
      <c r="R10" s="454"/>
      <c r="U10" s="24" t="s">
        <v>23</v>
      </c>
      <c r="V10" s="370" t="s">
        <v>24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8"/>
      <c r="R11" s="419"/>
      <c r="U11" s="24" t="s">
        <v>27</v>
      </c>
      <c r="V11" s="509" t="s">
        <v>28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8" customFormat="1" ht="18.600000000000001" customHeight="1" x14ac:dyDescent="0.2">
      <c r="A12" s="445" t="s">
        <v>29</v>
      </c>
      <c r="B12" s="376"/>
      <c r="C12" s="376"/>
      <c r="D12" s="376"/>
      <c r="E12" s="376"/>
      <c r="F12" s="376"/>
      <c r="G12" s="376"/>
      <c r="H12" s="376"/>
      <c r="I12" s="376"/>
      <c r="J12" s="376"/>
      <c r="K12" s="376"/>
      <c r="L12" s="376"/>
      <c r="M12" s="377"/>
      <c r="N12" s="65"/>
      <c r="P12" s="24" t="s">
        <v>30</v>
      </c>
      <c r="Q12" s="428"/>
      <c r="R12" s="380"/>
      <c r="S12" s="23"/>
      <c r="U12" s="24"/>
      <c r="V12" s="361"/>
      <c r="W12" s="348"/>
      <c r="AB12" s="51"/>
      <c r="AC12" s="51"/>
      <c r="AD12" s="51"/>
      <c r="AE12" s="51"/>
    </row>
    <row r="13" spans="1:32" s="328" customFormat="1" ht="23.25" customHeight="1" x14ac:dyDescent="0.2">
      <c r="A13" s="445" t="s">
        <v>31</v>
      </c>
      <c r="B13" s="376"/>
      <c r="C13" s="376"/>
      <c r="D13" s="376"/>
      <c r="E13" s="376"/>
      <c r="F13" s="376"/>
      <c r="G13" s="376"/>
      <c r="H13" s="376"/>
      <c r="I13" s="376"/>
      <c r="J13" s="376"/>
      <c r="K13" s="376"/>
      <c r="L13" s="376"/>
      <c r="M13" s="377"/>
      <c r="N13" s="65"/>
      <c r="O13" s="26"/>
      <c r="P13" s="26" t="s">
        <v>32</v>
      </c>
      <c r="Q13" s="509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8" customFormat="1" ht="18.600000000000001" customHeight="1" x14ac:dyDescent="0.2">
      <c r="A14" s="445" t="s">
        <v>33</v>
      </c>
      <c r="B14" s="376"/>
      <c r="C14" s="376"/>
      <c r="D14" s="376"/>
      <c r="E14" s="376"/>
      <c r="F14" s="376"/>
      <c r="G14" s="376"/>
      <c r="H14" s="376"/>
      <c r="I14" s="376"/>
      <c r="J14" s="376"/>
      <c r="K14" s="376"/>
      <c r="L14" s="376"/>
      <c r="M14" s="37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8" customFormat="1" ht="22.5" customHeight="1" x14ac:dyDescent="0.2">
      <c r="A15" s="461" t="s">
        <v>34</v>
      </c>
      <c r="B15" s="376"/>
      <c r="C15" s="376"/>
      <c r="D15" s="376"/>
      <c r="E15" s="376"/>
      <c r="F15" s="376"/>
      <c r="G15" s="376"/>
      <c r="H15" s="376"/>
      <c r="I15" s="376"/>
      <c r="J15" s="376"/>
      <c r="K15" s="376"/>
      <c r="L15" s="376"/>
      <c r="M15" s="377"/>
      <c r="N15" s="66"/>
      <c r="P15" s="436" t="s">
        <v>35</v>
      </c>
      <c r="Q15" s="361"/>
      <c r="R15" s="361"/>
      <c r="S15" s="361"/>
      <c r="T15" s="36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7"/>
      <c r="Q16" s="437"/>
      <c r="R16" s="437"/>
      <c r="S16" s="437"/>
      <c r="T16" s="4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8" t="s">
        <v>36</v>
      </c>
      <c r="B17" s="368" t="s">
        <v>37</v>
      </c>
      <c r="C17" s="430" t="s">
        <v>38</v>
      </c>
      <c r="D17" s="368" t="s">
        <v>39</v>
      </c>
      <c r="E17" s="405"/>
      <c r="F17" s="368" t="s">
        <v>40</v>
      </c>
      <c r="G17" s="368" t="s">
        <v>41</v>
      </c>
      <c r="H17" s="368" t="s">
        <v>42</v>
      </c>
      <c r="I17" s="368" t="s">
        <v>43</v>
      </c>
      <c r="J17" s="368" t="s">
        <v>44</v>
      </c>
      <c r="K17" s="368" t="s">
        <v>45</v>
      </c>
      <c r="L17" s="368" t="s">
        <v>46</v>
      </c>
      <c r="M17" s="368" t="s">
        <v>47</v>
      </c>
      <c r="N17" s="368" t="s">
        <v>48</v>
      </c>
      <c r="O17" s="368" t="s">
        <v>49</v>
      </c>
      <c r="P17" s="368" t="s">
        <v>50</v>
      </c>
      <c r="Q17" s="404"/>
      <c r="R17" s="404"/>
      <c r="S17" s="404"/>
      <c r="T17" s="405"/>
      <c r="U17" s="549" t="s">
        <v>51</v>
      </c>
      <c r="V17" s="377"/>
      <c r="W17" s="368" t="s">
        <v>52</v>
      </c>
      <c r="X17" s="368" t="s">
        <v>53</v>
      </c>
      <c r="Y17" s="550" t="s">
        <v>54</v>
      </c>
      <c r="Z17" s="493" t="s">
        <v>55</v>
      </c>
      <c r="AA17" s="477" t="s">
        <v>56</v>
      </c>
      <c r="AB17" s="477" t="s">
        <v>57</v>
      </c>
      <c r="AC17" s="477" t="s">
        <v>58</v>
      </c>
      <c r="AD17" s="477" t="s">
        <v>59</v>
      </c>
      <c r="AE17" s="527"/>
      <c r="AF17" s="528"/>
      <c r="AG17" s="69"/>
      <c r="BD17" s="68" t="s">
        <v>60</v>
      </c>
    </row>
    <row r="18" spans="1:68" ht="14.25" customHeight="1" x14ac:dyDescent="0.2">
      <c r="A18" s="369"/>
      <c r="B18" s="369"/>
      <c r="C18" s="369"/>
      <c r="D18" s="406"/>
      <c r="E18" s="408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406"/>
      <c r="Q18" s="407"/>
      <c r="R18" s="407"/>
      <c r="S18" s="407"/>
      <c r="T18" s="408"/>
      <c r="U18" s="70" t="s">
        <v>61</v>
      </c>
      <c r="V18" s="70" t="s">
        <v>62</v>
      </c>
      <c r="W18" s="369"/>
      <c r="X18" s="369"/>
      <c r="Y18" s="551"/>
      <c r="Z18" s="494"/>
      <c r="AA18" s="478"/>
      <c r="AB18" s="478"/>
      <c r="AC18" s="478"/>
      <c r="AD18" s="529"/>
      <c r="AE18" s="530"/>
      <c r="AF18" s="531"/>
      <c r="AG18" s="69"/>
      <c r="BD18" s="68"/>
    </row>
    <row r="19" spans="1:68" ht="27.75" customHeight="1" x14ac:dyDescent="0.2">
      <c r="A19" s="438" t="s">
        <v>63</v>
      </c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8"/>
      <c r="AB19" s="48"/>
      <c r="AC19" s="48"/>
    </row>
    <row r="20" spans="1:68" ht="16.5" customHeight="1" x14ac:dyDescent="0.25">
      <c r="A20" s="349" t="s">
        <v>63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29"/>
      <c r="AB20" s="329"/>
      <c r="AC20" s="329"/>
    </row>
    <row r="21" spans="1:68" ht="14.25" customHeight="1" x14ac:dyDescent="0.25">
      <c r="A21" s="347" t="s">
        <v>64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30"/>
      <c r="AB21" s="330"/>
      <c r="AC21" s="33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43">
        <v>4607111035752</v>
      </c>
      <c r="E22" s="344"/>
      <c r="F22" s="333">
        <v>0.43</v>
      </c>
      <c r="G22" s="32">
        <v>16</v>
      </c>
      <c r="H22" s="333">
        <v>6.88</v>
      </c>
      <c r="I22" s="33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9"/>
      <c r="R22" s="339"/>
      <c r="S22" s="339"/>
      <c r="T22" s="340"/>
      <c r="U22" s="34"/>
      <c r="V22" s="34"/>
      <c r="W22" s="35" t="s">
        <v>70</v>
      </c>
      <c r="X22" s="334">
        <v>0</v>
      </c>
      <c r="Y22" s="33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64"/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65"/>
      <c r="P23" s="352" t="s">
        <v>73</v>
      </c>
      <c r="Q23" s="353"/>
      <c r="R23" s="353"/>
      <c r="S23" s="353"/>
      <c r="T23" s="353"/>
      <c r="U23" s="353"/>
      <c r="V23" s="354"/>
      <c r="W23" s="37" t="s">
        <v>70</v>
      </c>
      <c r="X23" s="336">
        <f>IFERROR(SUM(X22:X22),"0")</f>
        <v>0</v>
      </c>
      <c r="Y23" s="336">
        <f>IFERROR(SUM(Y22:Y22),"0")</f>
        <v>0</v>
      </c>
      <c r="Z23" s="336">
        <f>IFERROR(IF(Z22="",0,Z22),"0")</f>
        <v>0</v>
      </c>
      <c r="AA23" s="337"/>
      <c r="AB23" s="337"/>
      <c r="AC23" s="337"/>
    </row>
    <row r="24" spans="1:68" x14ac:dyDescent="0.2">
      <c r="A24" s="348"/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65"/>
      <c r="P24" s="352" t="s">
        <v>73</v>
      </c>
      <c r="Q24" s="353"/>
      <c r="R24" s="353"/>
      <c r="S24" s="353"/>
      <c r="T24" s="353"/>
      <c r="U24" s="353"/>
      <c r="V24" s="354"/>
      <c r="W24" s="37" t="s">
        <v>74</v>
      </c>
      <c r="X24" s="336">
        <f>IFERROR(SUMPRODUCT(X22:X22*H22:H22),"0")</f>
        <v>0</v>
      </c>
      <c r="Y24" s="336">
        <f>IFERROR(SUMPRODUCT(Y22:Y22*H22:H22),"0")</f>
        <v>0</v>
      </c>
      <c r="Z24" s="37"/>
      <c r="AA24" s="337"/>
      <c r="AB24" s="337"/>
      <c r="AC24" s="337"/>
    </row>
    <row r="25" spans="1:68" ht="27.75" customHeight="1" x14ac:dyDescent="0.2">
      <c r="A25" s="438" t="s">
        <v>75</v>
      </c>
      <c r="B25" s="439"/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  <c r="AA25" s="48"/>
      <c r="AB25" s="48"/>
      <c r="AC25" s="48"/>
    </row>
    <row r="26" spans="1:68" ht="16.5" customHeight="1" x14ac:dyDescent="0.25">
      <c r="A26" s="349" t="s">
        <v>76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29"/>
      <c r="AB26" s="329"/>
      <c r="AC26" s="329"/>
    </row>
    <row r="27" spans="1:68" ht="14.25" customHeight="1" x14ac:dyDescent="0.25">
      <c r="A27" s="347" t="s">
        <v>77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30"/>
      <c r="AB27" s="330"/>
      <c r="AC27" s="330"/>
    </row>
    <row r="28" spans="1:68" ht="27" customHeight="1" x14ac:dyDescent="0.25">
      <c r="A28" s="54" t="s">
        <v>78</v>
      </c>
      <c r="B28" s="54" t="s">
        <v>79</v>
      </c>
      <c r="C28" s="31">
        <v>4301132186</v>
      </c>
      <c r="D28" s="343">
        <v>4607111036520</v>
      </c>
      <c r="E28" s="344"/>
      <c r="F28" s="333">
        <v>0.25</v>
      </c>
      <c r="G28" s="32">
        <v>6</v>
      </c>
      <c r="H28" s="333">
        <v>1.5</v>
      </c>
      <c r="I28" s="33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3" t="s">
        <v>81</v>
      </c>
      <c r="Q28" s="339"/>
      <c r="R28" s="339"/>
      <c r="S28" s="339"/>
      <c r="T28" s="340"/>
      <c r="U28" s="34"/>
      <c r="V28" s="34"/>
      <c r="W28" s="35" t="s">
        <v>70</v>
      </c>
      <c r="X28" s="334">
        <v>0</v>
      </c>
      <c r="Y28" s="335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3">
        <v>4607111036537</v>
      </c>
      <c r="E29" s="344"/>
      <c r="F29" s="333">
        <v>0.25</v>
      </c>
      <c r="G29" s="32">
        <v>6</v>
      </c>
      <c r="H29" s="333">
        <v>1.5</v>
      </c>
      <c r="I29" s="33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3" t="s">
        <v>86</v>
      </c>
      <c r="Q29" s="339"/>
      <c r="R29" s="339"/>
      <c r="S29" s="339"/>
      <c r="T29" s="340"/>
      <c r="U29" s="34"/>
      <c r="V29" s="34"/>
      <c r="W29" s="35" t="s">
        <v>70</v>
      </c>
      <c r="X29" s="334">
        <v>98</v>
      </c>
      <c r="Y29" s="335">
        <f>IFERROR(IF(X29="","",X29),"")</f>
        <v>98</v>
      </c>
      <c r="Z29" s="36">
        <f>IFERROR(IF(X29="","",X29*0.00941),"")</f>
        <v>0.92218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188.3364</v>
      </c>
      <c r="BN29" s="67">
        <f>IFERROR(Y29*I29,"0")</f>
        <v>188.3364</v>
      </c>
      <c r="BO29" s="67">
        <f>IFERROR(X29/J29,"0")</f>
        <v>0.7</v>
      </c>
      <c r="BP29" s="67">
        <f>IFERROR(Y29/J29,"0")</f>
        <v>0.7</v>
      </c>
    </row>
    <row r="30" spans="1:68" ht="27" customHeight="1" x14ac:dyDescent="0.25">
      <c r="A30" s="54" t="s">
        <v>87</v>
      </c>
      <c r="B30" s="54" t="s">
        <v>88</v>
      </c>
      <c r="C30" s="31">
        <v>4301132184</v>
      </c>
      <c r="D30" s="343">
        <v>4607111036599</v>
      </c>
      <c r="E30" s="344"/>
      <c r="F30" s="333">
        <v>0.25</v>
      </c>
      <c r="G30" s="32">
        <v>6</v>
      </c>
      <c r="H30" s="333">
        <v>1.5</v>
      </c>
      <c r="I30" s="33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7" t="s">
        <v>89</v>
      </c>
      <c r="Q30" s="339"/>
      <c r="R30" s="339"/>
      <c r="S30" s="339"/>
      <c r="T30" s="340"/>
      <c r="U30" s="34"/>
      <c r="V30" s="34"/>
      <c r="W30" s="35" t="s">
        <v>70</v>
      </c>
      <c r="X30" s="334">
        <v>0</v>
      </c>
      <c r="Y30" s="335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customHeight="1" x14ac:dyDescent="0.25">
      <c r="A31" s="54" t="s">
        <v>90</v>
      </c>
      <c r="B31" s="54" t="s">
        <v>91</v>
      </c>
      <c r="C31" s="31">
        <v>4301132183</v>
      </c>
      <c r="D31" s="343">
        <v>4607111036605</v>
      </c>
      <c r="E31" s="344"/>
      <c r="F31" s="333">
        <v>0.25</v>
      </c>
      <c r="G31" s="32">
        <v>6</v>
      </c>
      <c r="H31" s="333">
        <v>1.5</v>
      </c>
      <c r="I31" s="33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391" t="s">
        <v>92</v>
      </c>
      <c r="Q31" s="339"/>
      <c r="R31" s="339"/>
      <c r="S31" s="339"/>
      <c r="T31" s="340"/>
      <c r="U31" s="34"/>
      <c r="V31" s="34"/>
      <c r="W31" s="35" t="s">
        <v>70</v>
      </c>
      <c r="X31" s="334">
        <v>0</v>
      </c>
      <c r="Y31" s="335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64"/>
      <c r="B32" s="348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65"/>
      <c r="P32" s="352" t="s">
        <v>73</v>
      </c>
      <c r="Q32" s="353"/>
      <c r="R32" s="353"/>
      <c r="S32" s="353"/>
      <c r="T32" s="353"/>
      <c r="U32" s="353"/>
      <c r="V32" s="354"/>
      <c r="W32" s="37" t="s">
        <v>70</v>
      </c>
      <c r="X32" s="336">
        <f>IFERROR(SUM(X28:X31),"0")</f>
        <v>98</v>
      </c>
      <c r="Y32" s="336">
        <f>IFERROR(SUM(Y28:Y31),"0")</f>
        <v>98</v>
      </c>
      <c r="Z32" s="336">
        <f>IFERROR(IF(Z28="",0,Z28),"0")+IFERROR(IF(Z29="",0,Z29),"0")+IFERROR(IF(Z30="",0,Z30),"0")+IFERROR(IF(Z31="",0,Z31),"0")</f>
        <v>0.92218</v>
      </c>
      <c r="AA32" s="337"/>
      <c r="AB32" s="337"/>
      <c r="AC32" s="337"/>
    </row>
    <row r="33" spans="1:68" x14ac:dyDescent="0.2">
      <c r="A33" s="348"/>
      <c r="B33" s="348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65"/>
      <c r="P33" s="352" t="s">
        <v>73</v>
      </c>
      <c r="Q33" s="353"/>
      <c r="R33" s="353"/>
      <c r="S33" s="353"/>
      <c r="T33" s="353"/>
      <c r="U33" s="353"/>
      <c r="V33" s="354"/>
      <c r="W33" s="37" t="s">
        <v>74</v>
      </c>
      <c r="X33" s="336">
        <f>IFERROR(SUMPRODUCT(X28:X31*H28:H31),"0")</f>
        <v>147</v>
      </c>
      <c r="Y33" s="336">
        <f>IFERROR(SUMPRODUCT(Y28:Y31*H28:H31),"0")</f>
        <v>147</v>
      </c>
      <c r="Z33" s="37"/>
      <c r="AA33" s="337"/>
      <c r="AB33" s="337"/>
      <c r="AC33" s="337"/>
    </row>
    <row r="34" spans="1:68" ht="16.5" customHeight="1" x14ac:dyDescent="0.25">
      <c r="A34" s="349" t="s">
        <v>93</v>
      </c>
      <c r="B34" s="348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29"/>
      <c r="AB34" s="329"/>
      <c r="AC34" s="329"/>
    </row>
    <row r="35" spans="1:68" ht="14.25" customHeight="1" x14ac:dyDescent="0.25">
      <c r="A35" s="347" t="s">
        <v>64</v>
      </c>
      <c r="B35" s="348"/>
      <c r="C35" s="348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30"/>
      <c r="AB35" s="330"/>
      <c r="AC35" s="330"/>
    </row>
    <row r="36" spans="1:68" ht="27" customHeight="1" x14ac:dyDescent="0.25">
      <c r="A36" s="54" t="s">
        <v>94</v>
      </c>
      <c r="B36" s="54" t="s">
        <v>95</v>
      </c>
      <c r="C36" s="31">
        <v>4301071090</v>
      </c>
      <c r="D36" s="343">
        <v>4620207490075</v>
      </c>
      <c r="E36" s="344"/>
      <c r="F36" s="333">
        <v>0.7</v>
      </c>
      <c r="G36" s="32">
        <v>8</v>
      </c>
      <c r="H36" s="333">
        <v>5.6</v>
      </c>
      <c r="I36" s="333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18" t="s">
        <v>96</v>
      </c>
      <c r="Q36" s="339"/>
      <c r="R36" s="339"/>
      <c r="S36" s="339"/>
      <c r="T36" s="340"/>
      <c r="U36" s="34"/>
      <c r="V36" s="34"/>
      <c r="W36" s="35" t="s">
        <v>70</v>
      </c>
      <c r="X36" s="334">
        <v>0</v>
      </c>
      <c r="Y36" s="335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98</v>
      </c>
      <c r="B37" s="54" t="s">
        <v>99</v>
      </c>
      <c r="C37" s="31">
        <v>4301071092</v>
      </c>
      <c r="D37" s="343">
        <v>4620207490174</v>
      </c>
      <c r="E37" s="344"/>
      <c r="F37" s="333">
        <v>0.7</v>
      </c>
      <c r="G37" s="32">
        <v>8</v>
      </c>
      <c r="H37" s="333">
        <v>5.6</v>
      </c>
      <c r="I37" s="333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64" t="s">
        <v>100</v>
      </c>
      <c r="Q37" s="339"/>
      <c r="R37" s="339"/>
      <c r="S37" s="339"/>
      <c r="T37" s="340"/>
      <c r="U37" s="34"/>
      <c r="V37" s="34"/>
      <c r="W37" s="35" t="s">
        <v>70</v>
      </c>
      <c r="X37" s="334">
        <v>0</v>
      </c>
      <c r="Y37" s="335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101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t="27" customHeight="1" x14ac:dyDescent="0.25">
      <c r="A38" s="54" t="s">
        <v>102</v>
      </c>
      <c r="B38" s="54" t="s">
        <v>103</v>
      </c>
      <c r="C38" s="31">
        <v>4301071091</v>
      </c>
      <c r="D38" s="343">
        <v>4620207490044</v>
      </c>
      <c r="E38" s="344"/>
      <c r="F38" s="333">
        <v>0.7</v>
      </c>
      <c r="G38" s="32">
        <v>8</v>
      </c>
      <c r="H38" s="333">
        <v>5.6</v>
      </c>
      <c r="I38" s="333">
        <v>5.87</v>
      </c>
      <c r="J38" s="32">
        <v>84</v>
      </c>
      <c r="K38" s="32" t="s">
        <v>67</v>
      </c>
      <c r="L38" s="32" t="s">
        <v>68</v>
      </c>
      <c r="M38" s="33" t="s">
        <v>69</v>
      </c>
      <c r="N38" s="33"/>
      <c r="O38" s="32">
        <v>180</v>
      </c>
      <c r="P38" s="489" t="s">
        <v>104</v>
      </c>
      <c r="Q38" s="339"/>
      <c r="R38" s="339"/>
      <c r="S38" s="339"/>
      <c r="T38" s="340"/>
      <c r="U38" s="34"/>
      <c r="V38" s="34"/>
      <c r="W38" s="35" t="s">
        <v>70</v>
      </c>
      <c r="X38" s="334">
        <v>0</v>
      </c>
      <c r="Y38" s="335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105</v>
      </c>
      <c r="AG38" s="67"/>
      <c r="AJ38" s="71" t="s">
        <v>72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364"/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65"/>
      <c r="P39" s="352" t="s">
        <v>73</v>
      </c>
      <c r="Q39" s="353"/>
      <c r="R39" s="353"/>
      <c r="S39" s="353"/>
      <c r="T39" s="353"/>
      <c r="U39" s="353"/>
      <c r="V39" s="354"/>
      <c r="W39" s="37" t="s">
        <v>70</v>
      </c>
      <c r="X39" s="336">
        <f>IFERROR(SUM(X36:X38),"0")</f>
        <v>0</v>
      </c>
      <c r="Y39" s="336">
        <f>IFERROR(SUM(Y36:Y38),"0")</f>
        <v>0</v>
      </c>
      <c r="Z39" s="336">
        <f>IFERROR(IF(Z36="",0,Z36),"0")+IFERROR(IF(Z37="",0,Z37),"0")+IFERROR(IF(Z38="",0,Z38),"0")</f>
        <v>0</v>
      </c>
      <c r="AA39" s="337"/>
      <c r="AB39" s="337"/>
      <c r="AC39" s="337"/>
    </row>
    <row r="40" spans="1:68" x14ac:dyDescent="0.2">
      <c r="A40" s="348"/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65"/>
      <c r="P40" s="352" t="s">
        <v>73</v>
      </c>
      <c r="Q40" s="353"/>
      <c r="R40" s="353"/>
      <c r="S40" s="353"/>
      <c r="T40" s="353"/>
      <c r="U40" s="353"/>
      <c r="V40" s="354"/>
      <c r="W40" s="37" t="s">
        <v>74</v>
      </c>
      <c r="X40" s="336">
        <f>IFERROR(SUMPRODUCT(X36:X38*H36:H38),"0")</f>
        <v>0</v>
      </c>
      <c r="Y40" s="336">
        <f>IFERROR(SUMPRODUCT(Y36:Y38*H36:H38),"0")</f>
        <v>0</v>
      </c>
      <c r="Z40" s="37"/>
      <c r="AA40" s="337"/>
      <c r="AB40" s="337"/>
      <c r="AC40" s="337"/>
    </row>
    <row r="41" spans="1:68" ht="16.5" customHeight="1" x14ac:dyDescent="0.25">
      <c r="A41" s="349" t="s">
        <v>106</v>
      </c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8"/>
      <c r="S41" s="348"/>
      <c r="T41" s="348"/>
      <c r="U41" s="348"/>
      <c r="V41" s="348"/>
      <c r="W41" s="348"/>
      <c r="X41" s="348"/>
      <c r="Y41" s="348"/>
      <c r="Z41" s="348"/>
      <c r="AA41" s="329"/>
      <c r="AB41" s="329"/>
      <c r="AC41" s="329"/>
    </row>
    <row r="42" spans="1:68" ht="14.25" customHeight="1" x14ac:dyDescent="0.25">
      <c r="A42" s="347" t="s">
        <v>64</v>
      </c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8"/>
      <c r="Z42" s="348"/>
      <c r="AA42" s="330"/>
      <c r="AB42" s="330"/>
      <c r="AC42" s="330"/>
    </row>
    <row r="43" spans="1:68" ht="27" customHeight="1" x14ac:dyDescent="0.25">
      <c r="A43" s="54" t="s">
        <v>107</v>
      </c>
      <c r="B43" s="54" t="s">
        <v>108</v>
      </c>
      <c r="C43" s="31">
        <v>4301071032</v>
      </c>
      <c r="D43" s="343">
        <v>4607111038999</v>
      </c>
      <c r="E43" s="344"/>
      <c r="F43" s="333">
        <v>0.4</v>
      </c>
      <c r="G43" s="32">
        <v>16</v>
      </c>
      <c r="H43" s="333">
        <v>6.4</v>
      </c>
      <c r="I43" s="333">
        <v>6.7195999999999998</v>
      </c>
      <c r="J43" s="32">
        <v>84</v>
      </c>
      <c r="K43" s="32" t="s">
        <v>67</v>
      </c>
      <c r="L43" s="32" t="s">
        <v>109</v>
      </c>
      <c r="M43" s="33" t="s">
        <v>69</v>
      </c>
      <c r="N43" s="33"/>
      <c r="O43" s="32">
        <v>180</v>
      </c>
      <c r="P43" s="44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39"/>
      <c r="R43" s="339"/>
      <c r="S43" s="339"/>
      <c r="T43" s="340"/>
      <c r="U43" s="34"/>
      <c r="V43" s="34"/>
      <c r="W43" s="35" t="s">
        <v>70</v>
      </c>
      <c r="X43" s="334">
        <v>12</v>
      </c>
      <c r="Y43" s="335">
        <f t="shared" ref="Y43:Y50" si="0">IFERROR(IF(X43="","",X43),"")</f>
        <v>12</v>
      </c>
      <c r="Z43" s="36">
        <f t="shared" ref="Z43:Z50" si="1">IFERROR(IF(X43="","",X43*0.0155),"")</f>
        <v>0.186</v>
      </c>
      <c r="AA43" s="56"/>
      <c r="AB43" s="57"/>
      <c r="AC43" s="88" t="s">
        <v>110</v>
      </c>
      <c r="AG43" s="67"/>
      <c r="AJ43" s="71" t="s">
        <v>111</v>
      </c>
      <c r="AK43" s="71">
        <v>12</v>
      </c>
      <c r="BB43" s="89" t="s">
        <v>1</v>
      </c>
      <c r="BM43" s="67">
        <f t="shared" ref="BM43:BM50" si="2">IFERROR(X43*I43,"0")</f>
        <v>80.635199999999998</v>
      </c>
      <c r="BN43" s="67">
        <f t="shared" ref="BN43:BN50" si="3">IFERROR(Y43*I43,"0")</f>
        <v>80.635199999999998</v>
      </c>
      <c r="BO43" s="67">
        <f t="shared" ref="BO43:BO50" si="4">IFERROR(X43/J43,"0")</f>
        <v>0.14285714285714285</v>
      </c>
      <c r="BP43" s="67">
        <f t="shared" ref="BP43:BP50" si="5">IFERROR(Y43/J43,"0")</f>
        <v>0.14285714285714285</v>
      </c>
    </row>
    <row r="44" spans="1:68" ht="27" customHeight="1" x14ac:dyDescent="0.25">
      <c r="A44" s="54" t="s">
        <v>112</v>
      </c>
      <c r="B44" s="54" t="s">
        <v>113</v>
      </c>
      <c r="C44" s="31">
        <v>4301070972</v>
      </c>
      <c r="D44" s="343">
        <v>4607111037183</v>
      </c>
      <c r="E44" s="344"/>
      <c r="F44" s="333">
        <v>0.9</v>
      </c>
      <c r="G44" s="32">
        <v>8</v>
      </c>
      <c r="H44" s="333">
        <v>7.2</v>
      </c>
      <c r="I44" s="333">
        <v>7.4859999999999998</v>
      </c>
      <c r="J44" s="32">
        <v>84</v>
      </c>
      <c r="K44" s="32" t="s">
        <v>67</v>
      </c>
      <c r="L44" s="32" t="s">
        <v>114</v>
      </c>
      <c r="M44" s="33" t="s">
        <v>69</v>
      </c>
      <c r="N44" s="33"/>
      <c r="O44" s="32">
        <v>180</v>
      </c>
      <c r="P44" s="389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39"/>
      <c r="R44" s="339"/>
      <c r="S44" s="339"/>
      <c r="T44" s="340"/>
      <c r="U44" s="34"/>
      <c r="V44" s="34"/>
      <c r="W44" s="35" t="s">
        <v>70</v>
      </c>
      <c r="X44" s="334">
        <v>0</v>
      </c>
      <c r="Y44" s="335">
        <f t="shared" si="0"/>
        <v>0</v>
      </c>
      <c r="Z44" s="36">
        <f t="shared" si="1"/>
        <v>0</v>
      </c>
      <c r="AA44" s="56"/>
      <c r="AB44" s="57"/>
      <c r="AC44" s="90" t="s">
        <v>110</v>
      </c>
      <c r="AG44" s="67"/>
      <c r="AJ44" s="71" t="s">
        <v>115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116</v>
      </c>
      <c r="B45" s="54" t="s">
        <v>117</v>
      </c>
      <c r="C45" s="31">
        <v>4301071044</v>
      </c>
      <c r="D45" s="343">
        <v>4607111039385</v>
      </c>
      <c r="E45" s="344"/>
      <c r="F45" s="333">
        <v>0.7</v>
      </c>
      <c r="G45" s="32">
        <v>10</v>
      </c>
      <c r="H45" s="333">
        <v>7</v>
      </c>
      <c r="I45" s="333">
        <v>7.3</v>
      </c>
      <c r="J45" s="32">
        <v>84</v>
      </c>
      <c r="K45" s="32" t="s">
        <v>67</v>
      </c>
      <c r="L45" s="32" t="s">
        <v>114</v>
      </c>
      <c r="M45" s="33" t="s">
        <v>69</v>
      </c>
      <c r="N45" s="33"/>
      <c r="O45" s="32">
        <v>180</v>
      </c>
      <c r="P45" s="48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339"/>
      <c r="R45" s="339"/>
      <c r="S45" s="339"/>
      <c r="T45" s="340"/>
      <c r="U45" s="34"/>
      <c r="V45" s="34"/>
      <c r="W45" s="35" t="s">
        <v>70</v>
      </c>
      <c r="X45" s="334">
        <v>24</v>
      </c>
      <c r="Y45" s="335">
        <f t="shared" si="0"/>
        <v>24</v>
      </c>
      <c r="Z45" s="36">
        <f t="shared" si="1"/>
        <v>0.372</v>
      </c>
      <c r="AA45" s="56"/>
      <c r="AB45" s="57"/>
      <c r="AC45" s="92" t="s">
        <v>110</v>
      </c>
      <c r="AG45" s="67"/>
      <c r="AJ45" s="71" t="s">
        <v>115</v>
      </c>
      <c r="AK45" s="71">
        <v>84</v>
      </c>
      <c r="BB45" s="93" t="s">
        <v>1</v>
      </c>
      <c r="BM45" s="67">
        <f t="shared" si="2"/>
        <v>175.2</v>
      </c>
      <c r="BN45" s="67">
        <f t="shared" si="3"/>
        <v>175.2</v>
      </c>
      <c r="BO45" s="67">
        <f t="shared" si="4"/>
        <v>0.2857142857142857</v>
      </c>
      <c r="BP45" s="67">
        <f t="shared" si="5"/>
        <v>0.2857142857142857</v>
      </c>
    </row>
    <row r="46" spans="1:68" ht="27" customHeight="1" x14ac:dyDescent="0.25">
      <c r="A46" s="54" t="s">
        <v>118</v>
      </c>
      <c r="B46" s="54" t="s">
        <v>119</v>
      </c>
      <c r="C46" s="31">
        <v>4301071045</v>
      </c>
      <c r="D46" s="343">
        <v>4607111039392</v>
      </c>
      <c r="E46" s="344"/>
      <c r="F46" s="333">
        <v>0.4</v>
      </c>
      <c r="G46" s="32">
        <v>16</v>
      </c>
      <c r="H46" s="333">
        <v>6.4</v>
      </c>
      <c r="I46" s="333">
        <v>6.7195999999999998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505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39"/>
      <c r="R46" s="339"/>
      <c r="S46" s="339"/>
      <c r="T46" s="340"/>
      <c r="U46" s="34"/>
      <c r="V46" s="34"/>
      <c r="W46" s="35" t="s">
        <v>70</v>
      </c>
      <c r="X46" s="334">
        <v>12</v>
      </c>
      <c r="Y46" s="335">
        <f t="shared" si="0"/>
        <v>12</v>
      </c>
      <c r="Z46" s="36">
        <f t="shared" si="1"/>
        <v>0.186</v>
      </c>
      <c r="AA46" s="56"/>
      <c r="AB46" s="57"/>
      <c r="AC46" s="94" t="s">
        <v>120</v>
      </c>
      <c r="AG46" s="67"/>
      <c r="AJ46" s="71" t="s">
        <v>111</v>
      </c>
      <c r="AK46" s="71">
        <v>12</v>
      </c>
      <c r="BB46" s="95" t="s">
        <v>1</v>
      </c>
      <c r="BM46" s="67">
        <f t="shared" si="2"/>
        <v>80.635199999999998</v>
      </c>
      <c r="BN46" s="67">
        <f t="shared" si="3"/>
        <v>80.635199999999998</v>
      </c>
      <c r="BO46" s="67">
        <f t="shared" si="4"/>
        <v>0.14285714285714285</v>
      </c>
      <c r="BP46" s="67">
        <f t="shared" si="5"/>
        <v>0.14285714285714285</v>
      </c>
    </row>
    <row r="47" spans="1:68" ht="27" customHeight="1" x14ac:dyDescent="0.25">
      <c r="A47" s="54" t="s">
        <v>121</v>
      </c>
      <c r="B47" s="54" t="s">
        <v>122</v>
      </c>
      <c r="C47" s="31">
        <v>4301071031</v>
      </c>
      <c r="D47" s="343">
        <v>4607111038982</v>
      </c>
      <c r="E47" s="344"/>
      <c r="F47" s="333">
        <v>0.7</v>
      </c>
      <c r="G47" s="32">
        <v>10</v>
      </c>
      <c r="H47" s="333">
        <v>7</v>
      </c>
      <c r="I47" s="333">
        <v>7.2859999999999996</v>
      </c>
      <c r="J47" s="32">
        <v>84</v>
      </c>
      <c r="K47" s="32" t="s">
        <v>67</v>
      </c>
      <c r="L47" s="32" t="s">
        <v>109</v>
      </c>
      <c r="M47" s="33" t="s">
        <v>69</v>
      </c>
      <c r="N47" s="33"/>
      <c r="O47" s="32">
        <v>180</v>
      </c>
      <c r="P47" s="40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39"/>
      <c r="R47" s="339"/>
      <c r="S47" s="339"/>
      <c r="T47" s="340"/>
      <c r="U47" s="34"/>
      <c r="V47" s="34"/>
      <c r="W47" s="35" t="s">
        <v>70</v>
      </c>
      <c r="X47" s="334">
        <v>48</v>
      </c>
      <c r="Y47" s="335">
        <f t="shared" si="0"/>
        <v>48</v>
      </c>
      <c r="Z47" s="36">
        <f t="shared" si="1"/>
        <v>0.74399999999999999</v>
      </c>
      <c r="AA47" s="56"/>
      <c r="AB47" s="57"/>
      <c r="AC47" s="96" t="s">
        <v>120</v>
      </c>
      <c r="AG47" s="67"/>
      <c r="AJ47" s="71" t="s">
        <v>111</v>
      </c>
      <c r="AK47" s="71">
        <v>12</v>
      </c>
      <c r="BB47" s="97" t="s">
        <v>1</v>
      </c>
      <c r="BM47" s="67">
        <f t="shared" si="2"/>
        <v>349.72799999999995</v>
      </c>
      <c r="BN47" s="67">
        <f t="shared" si="3"/>
        <v>349.72799999999995</v>
      </c>
      <c r="BO47" s="67">
        <f t="shared" si="4"/>
        <v>0.5714285714285714</v>
      </c>
      <c r="BP47" s="67">
        <f t="shared" si="5"/>
        <v>0.5714285714285714</v>
      </c>
    </row>
    <row r="48" spans="1:68" ht="27" customHeight="1" x14ac:dyDescent="0.25">
      <c r="A48" s="54" t="s">
        <v>123</v>
      </c>
      <c r="B48" s="54" t="s">
        <v>124</v>
      </c>
      <c r="C48" s="31">
        <v>4301071046</v>
      </c>
      <c r="D48" s="343">
        <v>4607111039354</v>
      </c>
      <c r="E48" s="344"/>
      <c r="F48" s="333">
        <v>0.4</v>
      </c>
      <c r="G48" s="32">
        <v>16</v>
      </c>
      <c r="H48" s="333">
        <v>6.4</v>
      </c>
      <c r="I48" s="333">
        <v>6.7195999999999998</v>
      </c>
      <c r="J48" s="32">
        <v>84</v>
      </c>
      <c r="K48" s="32" t="s">
        <v>67</v>
      </c>
      <c r="L48" s="32" t="s">
        <v>109</v>
      </c>
      <c r="M48" s="33" t="s">
        <v>69</v>
      </c>
      <c r="N48" s="33"/>
      <c r="O48" s="32">
        <v>180</v>
      </c>
      <c r="P48" s="50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39"/>
      <c r="R48" s="339"/>
      <c r="S48" s="339"/>
      <c r="T48" s="340"/>
      <c r="U48" s="34"/>
      <c r="V48" s="34"/>
      <c r="W48" s="35" t="s">
        <v>70</v>
      </c>
      <c r="X48" s="334">
        <v>12</v>
      </c>
      <c r="Y48" s="335">
        <f t="shared" si="0"/>
        <v>12</v>
      </c>
      <c r="Z48" s="36">
        <f t="shared" si="1"/>
        <v>0.186</v>
      </c>
      <c r="AA48" s="56"/>
      <c r="AB48" s="57"/>
      <c r="AC48" s="98" t="s">
        <v>120</v>
      </c>
      <c r="AG48" s="67"/>
      <c r="AJ48" s="71" t="s">
        <v>111</v>
      </c>
      <c r="AK48" s="71">
        <v>12</v>
      </c>
      <c r="BB48" s="99" t="s">
        <v>1</v>
      </c>
      <c r="BM48" s="67">
        <f t="shared" si="2"/>
        <v>80.635199999999998</v>
      </c>
      <c r="BN48" s="67">
        <f t="shared" si="3"/>
        <v>80.635199999999998</v>
      </c>
      <c r="BO48" s="67">
        <f t="shared" si="4"/>
        <v>0.14285714285714285</v>
      </c>
      <c r="BP48" s="67">
        <f t="shared" si="5"/>
        <v>0.14285714285714285</v>
      </c>
    </row>
    <row r="49" spans="1:68" ht="27" customHeight="1" x14ac:dyDescent="0.25">
      <c r="A49" s="54" t="s">
        <v>125</v>
      </c>
      <c r="B49" s="54" t="s">
        <v>126</v>
      </c>
      <c r="C49" s="31">
        <v>4301070968</v>
      </c>
      <c r="D49" s="343">
        <v>4607111036889</v>
      </c>
      <c r="E49" s="344"/>
      <c r="F49" s="333">
        <v>0.9</v>
      </c>
      <c r="G49" s="32">
        <v>8</v>
      </c>
      <c r="H49" s="333">
        <v>7.2</v>
      </c>
      <c r="I49" s="333">
        <v>7.4859999999999998</v>
      </c>
      <c r="J49" s="32">
        <v>84</v>
      </c>
      <c r="K49" s="32" t="s">
        <v>67</v>
      </c>
      <c r="L49" s="32" t="s">
        <v>109</v>
      </c>
      <c r="M49" s="33" t="s">
        <v>69</v>
      </c>
      <c r="N49" s="33"/>
      <c r="O49" s="32">
        <v>180</v>
      </c>
      <c r="P49" s="517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39"/>
      <c r="R49" s="339"/>
      <c r="S49" s="339"/>
      <c r="T49" s="340"/>
      <c r="U49" s="34"/>
      <c r="V49" s="34"/>
      <c r="W49" s="35" t="s">
        <v>70</v>
      </c>
      <c r="X49" s="334">
        <v>0</v>
      </c>
      <c r="Y49" s="335">
        <f t="shared" si="0"/>
        <v>0</v>
      </c>
      <c r="Z49" s="36">
        <f t="shared" si="1"/>
        <v>0</v>
      </c>
      <c r="AA49" s="56"/>
      <c r="AB49" s="57"/>
      <c r="AC49" s="100" t="s">
        <v>120</v>
      </c>
      <c r="AG49" s="67"/>
      <c r="AJ49" s="71" t="s">
        <v>111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4301071047</v>
      </c>
      <c r="D50" s="343">
        <v>4607111039330</v>
      </c>
      <c r="E50" s="344"/>
      <c r="F50" s="333">
        <v>0.7</v>
      </c>
      <c r="G50" s="32">
        <v>10</v>
      </c>
      <c r="H50" s="333">
        <v>7</v>
      </c>
      <c r="I50" s="333">
        <v>7.3</v>
      </c>
      <c r="J50" s="32">
        <v>84</v>
      </c>
      <c r="K50" s="32" t="s">
        <v>67</v>
      </c>
      <c r="L50" s="32" t="s">
        <v>109</v>
      </c>
      <c r="M50" s="33" t="s">
        <v>69</v>
      </c>
      <c r="N50" s="33"/>
      <c r="O50" s="32">
        <v>180</v>
      </c>
      <c r="P50" s="4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339"/>
      <c r="R50" s="339"/>
      <c r="S50" s="339"/>
      <c r="T50" s="340"/>
      <c r="U50" s="34"/>
      <c r="V50" s="34"/>
      <c r="W50" s="35" t="s">
        <v>70</v>
      </c>
      <c r="X50" s="334">
        <v>0</v>
      </c>
      <c r="Y50" s="335">
        <f t="shared" si="0"/>
        <v>0</v>
      </c>
      <c r="Z50" s="36">
        <f t="shared" si="1"/>
        <v>0</v>
      </c>
      <c r="AA50" s="56"/>
      <c r="AB50" s="57"/>
      <c r="AC50" s="102" t="s">
        <v>120</v>
      </c>
      <c r="AG50" s="67"/>
      <c r="AJ50" s="71" t="s">
        <v>111</v>
      </c>
      <c r="AK50" s="71">
        <v>12</v>
      </c>
      <c r="BB50" s="103" t="s">
        <v>1</v>
      </c>
      <c r="BM50" s="67">
        <f t="shared" si="2"/>
        <v>0</v>
      </c>
      <c r="BN50" s="67">
        <f t="shared" si="3"/>
        <v>0</v>
      </c>
      <c r="BO50" s="67">
        <f t="shared" si="4"/>
        <v>0</v>
      </c>
      <c r="BP50" s="67">
        <f t="shared" si="5"/>
        <v>0</v>
      </c>
    </row>
    <row r="51" spans="1:68" x14ac:dyDescent="0.2">
      <c r="A51" s="364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65"/>
      <c r="P51" s="352" t="s">
        <v>73</v>
      </c>
      <c r="Q51" s="353"/>
      <c r="R51" s="353"/>
      <c r="S51" s="353"/>
      <c r="T51" s="353"/>
      <c r="U51" s="353"/>
      <c r="V51" s="354"/>
      <c r="W51" s="37" t="s">
        <v>70</v>
      </c>
      <c r="X51" s="336">
        <f>IFERROR(SUM(X43:X50),"0")</f>
        <v>108</v>
      </c>
      <c r="Y51" s="336">
        <f>IFERROR(SUM(Y43:Y50),"0")</f>
        <v>108</v>
      </c>
      <c r="Z51" s="336">
        <f>IFERROR(IF(Z43="",0,Z43),"0")+IFERROR(IF(Z44="",0,Z44),"0")+IFERROR(IF(Z45="",0,Z45),"0")+IFERROR(IF(Z46="",0,Z46),"0")+IFERROR(IF(Z47="",0,Z47),"0")+IFERROR(IF(Z48="",0,Z48),"0")+IFERROR(IF(Z49="",0,Z49),"0")+IFERROR(IF(Z50="",0,Z50),"0")</f>
        <v>1.6739999999999999</v>
      </c>
      <c r="AA51" s="337"/>
      <c r="AB51" s="337"/>
      <c r="AC51" s="337"/>
    </row>
    <row r="52" spans="1:68" x14ac:dyDescent="0.2">
      <c r="A52" s="348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65"/>
      <c r="P52" s="352" t="s">
        <v>73</v>
      </c>
      <c r="Q52" s="353"/>
      <c r="R52" s="353"/>
      <c r="S52" s="353"/>
      <c r="T52" s="353"/>
      <c r="U52" s="353"/>
      <c r="V52" s="354"/>
      <c r="W52" s="37" t="s">
        <v>74</v>
      </c>
      <c r="X52" s="336">
        <f>IFERROR(SUMPRODUCT(X43:X50*H43:H50),"0")</f>
        <v>734.40000000000009</v>
      </c>
      <c r="Y52" s="336">
        <f>IFERROR(SUMPRODUCT(Y43:Y50*H43:H50),"0")</f>
        <v>734.40000000000009</v>
      </c>
      <c r="Z52" s="37"/>
      <c r="AA52" s="337"/>
      <c r="AB52" s="337"/>
      <c r="AC52" s="337"/>
    </row>
    <row r="53" spans="1:68" ht="16.5" customHeight="1" x14ac:dyDescent="0.25">
      <c r="A53" s="349" t="s">
        <v>129</v>
      </c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29"/>
      <c r="AB53" s="329"/>
      <c r="AC53" s="329"/>
    </row>
    <row r="54" spans="1:68" ht="14.25" customHeight="1" x14ac:dyDescent="0.25">
      <c r="A54" s="347" t="s">
        <v>64</v>
      </c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30"/>
      <c r="AB54" s="330"/>
      <c r="AC54" s="330"/>
    </row>
    <row r="55" spans="1:68" ht="16.5" customHeight="1" x14ac:dyDescent="0.25">
      <c r="A55" s="54" t="s">
        <v>130</v>
      </c>
      <c r="B55" s="54" t="s">
        <v>131</v>
      </c>
      <c r="C55" s="31">
        <v>4301071073</v>
      </c>
      <c r="D55" s="343">
        <v>4620207490822</v>
      </c>
      <c r="E55" s="344"/>
      <c r="F55" s="333">
        <v>0.43</v>
      </c>
      <c r="G55" s="32">
        <v>8</v>
      </c>
      <c r="H55" s="333">
        <v>3.44</v>
      </c>
      <c r="I55" s="333">
        <v>3.64</v>
      </c>
      <c r="J55" s="32">
        <v>144</v>
      </c>
      <c r="K55" s="32" t="s">
        <v>67</v>
      </c>
      <c r="L55" s="32" t="s">
        <v>68</v>
      </c>
      <c r="M55" s="33" t="s">
        <v>69</v>
      </c>
      <c r="N55" s="33"/>
      <c r="O55" s="32">
        <v>365</v>
      </c>
      <c r="P55" s="427" t="s">
        <v>132</v>
      </c>
      <c r="Q55" s="339"/>
      <c r="R55" s="339"/>
      <c r="S55" s="339"/>
      <c r="T55" s="340"/>
      <c r="U55" s="34"/>
      <c r="V55" s="34"/>
      <c r="W55" s="35" t="s">
        <v>70</v>
      </c>
      <c r="X55" s="334">
        <v>0</v>
      </c>
      <c r="Y55" s="335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133</v>
      </c>
      <c r="AG55" s="67"/>
      <c r="AJ55" s="71" t="s">
        <v>72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64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65"/>
      <c r="P56" s="352" t="s">
        <v>73</v>
      </c>
      <c r="Q56" s="353"/>
      <c r="R56" s="353"/>
      <c r="S56" s="353"/>
      <c r="T56" s="353"/>
      <c r="U56" s="353"/>
      <c r="V56" s="354"/>
      <c r="W56" s="37" t="s">
        <v>70</v>
      </c>
      <c r="X56" s="336">
        <f>IFERROR(SUM(X55:X55),"0")</f>
        <v>0</v>
      </c>
      <c r="Y56" s="336">
        <f>IFERROR(SUM(Y55:Y55),"0")</f>
        <v>0</v>
      </c>
      <c r="Z56" s="336">
        <f>IFERROR(IF(Z55="",0,Z55),"0")</f>
        <v>0</v>
      </c>
      <c r="AA56" s="337"/>
      <c r="AB56" s="337"/>
      <c r="AC56" s="337"/>
    </row>
    <row r="57" spans="1:68" x14ac:dyDescent="0.2">
      <c r="A57" s="348"/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65"/>
      <c r="P57" s="352" t="s">
        <v>73</v>
      </c>
      <c r="Q57" s="353"/>
      <c r="R57" s="353"/>
      <c r="S57" s="353"/>
      <c r="T57" s="353"/>
      <c r="U57" s="353"/>
      <c r="V57" s="354"/>
      <c r="W57" s="37" t="s">
        <v>74</v>
      </c>
      <c r="X57" s="336">
        <f>IFERROR(SUMPRODUCT(X55:X55*H55:H55),"0")</f>
        <v>0</v>
      </c>
      <c r="Y57" s="336">
        <f>IFERROR(SUMPRODUCT(Y55:Y55*H55:H55),"0")</f>
        <v>0</v>
      </c>
      <c r="Z57" s="37"/>
      <c r="AA57" s="337"/>
      <c r="AB57" s="337"/>
      <c r="AC57" s="337"/>
    </row>
    <row r="58" spans="1:68" ht="14.25" customHeight="1" x14ac:dyDescent="0.25">
      <c r="A58" s="347" t="s">
        <v>134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330"/>
      <c r="AB58" s="330"/>
      <c r="AC58" s="330"/>
    </row>
    <row r="59" spans="1:68" ht="16.5" customHeight="1" x14ac:dyDescent="0.25">
      <c r="A59" s="54" t="s">
        <v>135</v>
      </c>
      <c r="B59" s="54" t="s">
        <v>136</v>
      </c>
      <c r="C59" s="31">
        <v>4301100087</v>
      </c>
      <c r="D59" s="343">
        <v>4607111039743</v>
      </c>
      <c r="E59" s="344"/>
      <c r="F59" s="333">
        <v>0.18</v>
      </c>
      <c r="G59" s="32">
        <v>6</v>
      </c>
      <c r="H59" s="333">
        <v>1.08</v>
      </c>
      <c r="I59" s="333">
        <v>2.34</v>
      </c>
      <c r="J59" s="32">
        <v>182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504" t="s">
        <v>137</v>
      </c>
      <c r="Q59" s="339"/>
      <c r="R59" s="339"/>
      <c r="S59" s="339"/>
      <c r="T59" s="340"/>
      <c r="U59" s="34"/>
      <c r="V59" s="34"/>
      <c r="W59" s="35" t="s">
        <v>70</v>
      </c>
      <c r="X59" s="334">
        <v>0</v>
      </c>
      <c r="Y59" s="33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138</v>
      </c>
      <c r="AG59" s="67"/>
      <c r="AJ59" s="71" t="s">
        <v>72</v>
      </c>
      <c r="AK59" s="71">
        <v>1</v>
      </c>
      <c r="BB59" s="107" t="s">
        <v>83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x14ac:dyDescent="0.2">
      <c r="A60" s="364"/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8"/>
      <c r="O60" s="365"/>
      <c r="P60" s="352" t="s">
        <v>73</v>
      </c>
      <c r="Q60" s="353"/>
      <c r="R60" s="353"/>
      <c r="S60" s="353"/>
      <c r="T60" s="353"/>
      <c r="U60" s="353"/>
      <c r="V60" s="354"/>
      <c r="W60" s="37" t="s">
        <v>70</v>
      </c>
      <c r="X60" s="336">
        <f>IFERROR(SUM(X59:X59),"0")</f>
        <v>0</v>
      </c>
      <c r="Y60" s="336">
        <f>IFERROR(SUM(Y59:Y59),"0")</f>
        <v>0</v>
      </c>
      <c r="Z60" s="336">
        <f>IFERROR(IF(Z59="",0,Z59),"0")</f>
        <v>0</v>
      </c>
      <c r="AA60" s="337"/>
      <c r="AB60" s="337"/>
      <c r="AC60" s="337"/>
    </row>
    <row r="61" spans="1:68" x14ac:dyDescent="0.2">
      <c r="A61" s="348"/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65"/>
      <c r="P61" s="352" t="s">
        <v>73</v>
      </c>
      <c r="Q61" s="353"/>
      <c r="R61" s="353"/>
      <c r="S61" s="353"/>
      <c r="T61" s="353"/>
      <c r="U61" s="353"/>
      <c r="V61" s="354"/>
      <c r="W61" s="37" t="s">
        <v>74</v>
      </c>
      <c r="X61" s="336">
        <f>IFERROR(SUMPRODUCT(X59:X59*H59:H59),"0")</f>
        <v>0</v>
      </c>
      <c r="Y61" s="336">
        <f>IFERROR(SUMPRODUCT(Y59:Y59*H59:H59),"0")</f>
        <v>0</v>
      </c>
      <c r="Z61" s="37"/>
      <c r="AA61" s="337"/>
      <c r="AB61" s="337"/>
      <c r="AC61" s="337"/>
    </row>
    <row r="62" spans="1:68" ht="14.25" customHeight="1" x14ac:dyDescent="0.25">
      <c r="A62" s="347" t="s">
        <v>77</v>
      </c>
      <c r="B62" s="348"/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  <c r="N62" s="348"/>
      <c r="O62" s="348"/>
      <c r="P62" s="348"/>
      <c r="Q62" s="348"/>
      <c r="R62" s="348"/>
      <c r="S62" s="348"/>
      <c r="T62" s="348"/>
      <c r="U62" s="348"/>
      <c r="V62" s="348"/>
      <c r="W62" s="348"/>
      <c r="X62" s="348"/>
      <c r="Y62" s="348"/>
      <c r="Z62" s="348"/>
      <c r="AA62" s="330"/>
      <c r="AB62" s="330"/>
      <c r="AC62" s="330"/>
    </row>
    <row r="63" spans="1:68" ht="16.5" customHeight="1" x14ac:dyDescent="0.25">
      <c r="A63" s="54" t="s">
        <v>139</v>
      </c>
      <c r="B63" s="54" t="s">
        <v>140</v>
      </c>
      <c r="C63" s="31">
        <v>4301132194</v>
      </c>
      <c r="D63" s="343">
        <v>4607111039712</v>
      </c>
      <c r="E63" s="344"/>
      <c r="F63" s="333">
        <v>0.2</v>
      </c>
      <c r="G63" s="32">
        <v>6</v>
      </c>
      <c r="H63" s="333">
        <v>1.2</v>
      </c>
      <c r="I63" s="333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09" t="s">
        <v>141</v>
      </c>
      <c r="Q63" s="339"/>
      <c r="R63" s="339"/>
      <c r="S63" s="339"/>
      <c r="T63" s="340"/>
      <c r="U63" s="34"/>
      <c r="V63" s="34"/>
      <c r="W63" s="35" t="s">
        <v>70</v>
      </c>
      <c r="X63" s="334">
        <v>0</v>
      </c>
      <c r="Y63" s="335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142</v>
      </c>
      <c r="AG63" s="67"/>
      <c r="AJ63" s="71" t="s">
        <v>72</v>
      </c>
      <c r="AK63" s="71">
        <v>1</v>
      </c>
      <c r="BB63" s="109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64"/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65"/>
      <c r="P64" s="352" t="s">
        <v>73</v>
      </c>
      <c r="Q64" s="353"/>
      <c r="R64" s="353"/>
      <c r="S64" s="353"/>
      <c r="T64" s="353"/>
      <c r="U64" s="353"/>
      <c r="V64" s="354"/>
      <c r="W64" s="37" t="s">
        <v>70</v>
      </c>
      <c r="X64" s="336">
        <f>IFERROR(SUM(X63:X63),"0")</f>
        <v>0</v>
      </c>
      <c r="Y64" s="336">
        <f>IFERROR(SUM(Y63:Y63),"0")</f>
        <v>0</v>
      </c>
      <c r="Z64" s="336">
        <f>IFERROR(IF(Z63="",0,Z63),"0")</f>
        <v>0</v>
      </c>
      <c r="AA64" s="337"/>
      <c r="AB64" s="337"/>
      <c r="AC64" s="337"/>
    </row>
    <row r="65" spans="1:68" x14ac:dyDescent="0.2">
      <c r="A65" s="348"/>
      <c r="B65" s="348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65"/>
      <c r="P65" s="352" t="s">
        <v>73</v>
      </c>
      <c r="Q65" s="353"/>
      <c r="R65" s="353"/>
      <c r="S65" s="353"/>
      <c r="T65" s="353"/>
      <c r="U65" s="353"/>
      <c r="V65" s="354"/>
      <c r="W65" s="37" t="s">
        <v>74</v>
      </c>
      <c r="X65" s="336">
        <f>IFERROR(SUMPRODUCT(X63:X63*H63:H63),"0")</f>
        <v>0</v>
      </c>
      <c r="Y65" s="336">
        <f>IFERROR(SUMPRODUCT(Y63:Y63*H63:H63),"0")</f>
        <v>0</v>
      </c>
      <c r="Z65" s="37"/>
      <c r="AA65" s="337"/>
      <c r="AB65" s="337"/>
      <c r="AC65" s="337"/>
    </row>
    <row r="66" spans="1:68" ht="14.25" customHeight="1" x14ac:dyDescent="0.25">
      <c r="A66" s="347" t="s">
        <v>143</v>
      </c>
      <c r="B66" s="348"/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  <c r="U66" s="348"/>
      <c r="V66" s="348"/>
      <c r="W66" s="348"/>
      <c r="X66" s="348"/>
      <c r="Y66" s="348"/>
      <c r="Z66" s="348"/>
      <c r="AA66" s="330"/>
      <c r="AB66" s="330"/>
      <c r="AC66" s="330"/>
    </row>
    <row r="67" spans="1:68" ht="16.5" customHeight="1" x14ac:dyDescent="0.25">
      <c r="A67" s="54" t="s">
        <v>144</v>
      </c>
      <c r="B67" s="54" t="s">
        <v>145</v>
      </c>
      <c r="C67" s="31">
        <v>4301136018</v>
      </c>
      <c r="D67" s="343">
        <v>4607111037008</v>
      </c>
      <c r="E67" s="344"/>
      <c r="F67" s="333">
        <v>0.36</v>
      </c>
      <c r="G67" s="32">
        <v>4</v>
      </c>
      <c r="H67" s="333">
        <v>1.44</v>
      </c>
      <c r="I67" s="333">
        <v>1.74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3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39"/>
      <c r="R67" s="339"/>
      <c r="S67" s="339"/>
      <c r="T67" s="340"/>
      <c r="U67" s="34"/>
      <c r="V67" s="34"/>
      <c r="W67" s="35" t="s">
        <v>70</v>
      </c>
      <c r="X67" s="334">
        <v>0</v>
      </c>
      <c r="Y67" s="335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146</v>
      </c>
      <c r="AG67" s="67"/>
      <c r="AJ67" s="71" t="s">
        <v>72</v>
      </c>
      <c r="AK67" s="71">
        <v>1</v>
      </c>
      <c r="BB67" s="111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64"/>
      <c r="B68" s="348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65"/>
      <c r="P68" s="352" t="s">
        <v>73</v>
      </c>
      <c r="Q68" s="353"/>
      <c r="R68" s="353"/>
      <c r="S68" s="353"/>
      <c r="T68" s="353"/>
      <c r="U68" s="353"/>
      <c r="V68" s="354"/>
      <c r="W68" s="37" t="s">
        <v>70</v>
      </c>
      <c r="X68" s="336">
        <f>IFERROR(SUM(X67:X67),"0")</f>
        <v>0</v>
      </c>
      <c r="Y68" s="336">
        <f>IFERROR(SUM(Y67:Y67),"0")</f>
        <v>0</v>
      </c>
      <c r="Z68" s="336">
        <f>IFERROR(IF(Z67="",0,Z67),"0")</f>
        <v>0</v>
      </c>
      <c r="AA68" s="337"/>
      <c r="AB68" s="337"/>
      <c r="AC68" s="337"/>
    </row>
    <row r="69" spans="1:68" x14ac:dyDescent="0.2">
      <c r="A69" s="348"/>
      <c r="B69" s="348"/>
      <c r="C69" s="348"/>
      <c r="D69" s="348"/>
      <c r="E69" s="348"/>
      <c r="F69" s="348"/>
      <c r="G69" s="348"/>
      <c r="H69" s="348"/>
      <c r="I69" s="348"/>
      <c r="J69" s="348"/>
      <c r="K69" s="348"/>
      <c r="L69" s="348"/>
      <c r="M69" s="348"/>
      <c r="N69" s="348"/>
      <c r="O69" s="365"/>
      <c r="P69" s="352" t="s">
        <v>73</v>
      </c>
      <c r="Q69" s="353"/>
      <c r="R69" s="353"/>
      <c r="S69" s="353"/>
      <c r="T69" s="353"/>
      <c r="U69" s="353"/>
      <c r="V69" s="354"/>
      <c r="W69" s="37" t="s">
        <v>74</v>
      </c>
      <c r="X69" s="336">
        <f>IFERROR(SUMPRODUCT(X67:X67*H67:H67),"0")</f>
        <v>0</v>
      </c>
      <c r="Y69" s="336">
        <f>IFERROR(SUMPRODUCT(Y67:Y67*H67:H67),"0")</f>
        <v>0</v>
      </c>
      <c r="Z69" s="37"/>
      <c r="AA69" s="337"/>
      <c r="AB69" s="337"/>
      <c r="AC69" s="337"/>
    </row>
    <row r="70" spans="1:68" ht="14.25" customHeight="1" x14ac:dyDescent="0.25">
      <c r="A70" s="347" t="s">
        <v>147</v>
      </c>
      <c r="B70" s="348"/>
      <c r="C70" s="348"/>
      <c r="D70" s="348"/>
      <c r="E70" s="348"/>
      <c r="F70" s="348"/>
      <c r="G70" s="348"/>
      <c r="H70" s="348"/>
      <c r="I70" s="348"/>
      <c r="J70" s="348"/>
      <c r="K70" s="348"/>
      <c r="L70" s="348"/>
      <c r="M70" s="348"/>
      <c r="N70" s="348"/>
      <c r="O70" s="348"/>
      <c r="P70" s="348"/>
      <c r="Q70" s="348"/>
      <c r="R70" s="348"/>
      <c r="S70" s="348"/>
      <c r="T70" s="348"/>
      <c r="U70" s="348"/>
      <c r="V70" s="348"/>
      <c r="W70" s="348"/>
      <c r="X70" s="348"/>
      <c r="Y70" s="348"/>
      <c r="Z70" s="348"/>
      <c r="AA70" s="330"/>
      <c r="AB70" s="330"/>
      <c r="AC70" s="330"/>
    </row>
    <row r="71" spans="1:68" ht="16.5" customHeight="1" x14ac:dyDescent="0.25">
      <c r="A71" s="54" t="s">
        <v>148</v>
      </c>
      <c r="B71" s="54" t="s">
        <v>149</v>
      </c>
      <c r="C71" s="31">
        <v>4301135664</v>
      </c>
      <c r="D71" s="343">
        <v>4607111039705</v>
      </c>
      <c r="E71" s="344"/>
      <c r="F71" s="333">
        <v>0.2</v>
      </c>
      <c r="G71" s="32">
        <v>6</v>
      </c>
      <c r="H71" s="333">
        <v>1.2</v>
      </c>
      <c r="I71" s="333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54" t="s">
        <v>150</v>
      </c>
      <c r="Q71" s="339"/>
      <c r="R71" s="339"/>
      <c r="S71" s="339"/>
      <c r="T71" s="340"/>
      <c r="U71" s="34"/>
      <c r="V71" s="34"/>
      <c r="W71" s="35" t="s">
        <v>70</v>
      </c>
      <c r="X71" s="334">
        <v>0</v>
      </c>
      <c r="Y71" s="335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146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151</v>
      </c>
      <c r="B72" s="54" t="s">
        <v>152</v>
      </c>
      <c r="C72" s="31">
        <v>4301135665</v>
      </c>
      <c r="D72" s="343">
        <v>4607111039729</v>
      </c>
      <c r="E72" s="344"/>
      <c r="F72" s="333">
        <v>0.2</v>
      </c>
      <c r="G72" s="32">
        <v>6</v>
      </c>
      <c r="H72" s="333">
        <v>1.2</v>
      </c>
      <c r="I72" s="333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38" t="s">
        <v>153</v>
      </c>
      <c r="Q72" s="339"/>
      <c r="R72" s="339"/>
      <c r="S72" s="339"/>
      <c r="T72" s="340"/>
      <c r="U72" s="34"/>
      <c r="V72" s="34"/>
      <c r="W72" s="35" t="s">
        <v>70</v>
      </c>
      <c r="X72" s="334">
        <v>0</v>
      </c>
      <c r="Y72" s="335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154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4301135702</v>
      </c>
      <c r="D73" s="343">
        <v>4620207490228</v>
      </c>
      <c r="E73" s="344"/>
      <c r="F73" s="333">
        <v>0.2</v>
      </c>
      <c r="G73" s="32">
        <v>6</v>
      </c>
      <c r="H73" s="333">
        <v>1.2</v>
      </c>
      <c r="I73" s="333">
        <v>1.56</v>
      </c>
      <c r="J73" s="32">
        <v>140</v>
      </c>
      <c r="K73" s="32" t="s">
        <v>80</v>
      </c>
      <c r="L73" s="32" t="s">
        <v>68</v>
      </c>
      <c r="M73" s="33" t="s">
        <v>69</v>
      </c>
      <c r="N73" s="33"/>
      <c r="O73" s="32">
        <v>365</v>
      </c>
      <c r="P73" s="341" t="s">
        <v>157</v>
      </c>
      <c r="Q73" s="339"/>
      <c r="R73" s="339"/>
      <c r="S73" s="339"/>
      <c r="T73" s="340"/>
      <c r="U73" s="34"/>
      <c r="V73" s="34"/>
      <c r="W73" s="35" t="s">
        <v>70</v>
      </c>
      <c r="X73" s="334">
        <v>0</v>
      </c>
      <c r="Y73" s="335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154</v>
      </c>
      <c r="AG73" s="67"/>
      <c r="AJ73" s="71" t="s">
        <v>72</v>
      </c>
      <c r="AK73" s="71">
        <v>1</v>
      </c>
      <c r="BB73" s="117" t="s">
        <v>83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x14ac:dyDescent="0.2">
      <c r="A74" s="364"/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8"/>
      <c r="O74" s="365"/>
      <c r="P74" s="352" t="s">
        <v>73</v>
      </c>
      <c r="Q74" s="353"/>
      <c r="R74" s="353"/>
      <c r="S74" s="353"/>
      <c r="T74" s="353"/>
      <c r="U74" s="353"/>
      <c r="V74" s="354"/>
      <c r="W74" s="37" t="s">
        <v>70</v>
      </c>
      <c r="X74" s="336">
        <f>IFERROR(SUM(X71:X73),"0")</f>
        <v>0</v>
      </c>
      <c r="Y74" s="336">
        <f>IFERROR(SUM(Y71:Y73),"0")</f>
        <v>0</v>
      </c>
      <c r="Z74" s="336">
        <f>IFERROR(IF(Z71="",0,Z71),"0")+IFERROR(IF(Z72="",0,Z72),"0")+IFERROR(IF(Z73="",0,Z73),"0")</f>
        <v>0</v>
      </c>
      <c r="AA74" s="337"/>
      <c r="AB74" s="337"/>
      <c r="AC74" s="337"/>
    </row>
    <row r="75" spans="1:68" x14ac:dyDescent="0.2">
      <c r="A75" s="348"/>
      <c r="B75" s="348"/>
      <c r="C75" s="348"/>
      <c r="D75" s="348"/>
      <c r="E75" s="348"/>
      <c r="F75" s="348"/>
      <c r="G75" s="348"/>
      <c r="H75" s="348"/>
      <c r="I75" s="348"/>
      <c r="J75" s="348"/>
      <c r="K75" s="348"/>
      <c r="L75" s="348"/>
      <c r="M75" s="348"/>
      <c r="N75" s="348"/>
      <c r="O75" s="365"/>
      <c r="P75" s="352" t="s">
        <v>73</v>
      </c>
      <c r="Q75" s="353"/>
      <c r="R75" s="353"/>
      <c r="S75" s="353"/>
      <c r="T75" s="353"/>
      <c r="U75" s="353"/>
      <c r="V75" s="354"/>
      <c r="W75" s="37" t="s">
        <v>74</v>
      </c>
      <c r="X75" s="336">
        <f>IFERROR(SUMPRODUCT(X71:X73*H71:H73),"0")</f>
        <v>0</v>
      </c>
      <c r="Y75" s="336">
        <f>IFERROR(SUMPRODUCT(Y71:Y73*H71:H73),"0")</f>
        <v>0</v>
      </c>
      <c r="Z75" s="37"/>
      <c r="AA75" s="337"/>
      <c r="AB75" s="337"/>
      <c r="AC75" s="337"/>
    </row>
    <row r="76" spans="1:68" ht="16.5" customHeight="1" x14ac:dyDescent="0.25">
      <c r="A76" s="349" t="s">
        <v>158</v>
      </c>
      <c r="B76" s="348"/>
      <c r="C76" s="348"/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  <c r="Z76" s="348"/>
      <c r="AA76" s="329"/>
      <c r="AB76" s="329"/>
      <c r="AC76" s="329"/>
    </row>
    <row r="77" spans="1:68" ht="14.25" customHeight="1" x14ac:dyDescent="0.25">
      <c r="A77" s="347" t="s">
        <v>64</v>
      </c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  <c r="M77" s="348"/>
      <c r="N77" s="348"/>
      <c r="O77" s="348"/>
      <c r="P77" s="348"/>
      <c r="Q77" s="348"/>
      <c r="R77" s="348"/>
      <c r="S77" s="348"/>
      <c r="T77" s="348"/>
      <c r="U77" s="348"/>
      <c r="V77" s="348"/>
      <c r="W77" s="348"/>
      <c r="X77" s="348"/>
      <c r="Y77" s="348"/>
      <c r="Z77" s="348"/>
      <c r="AA77" s="330"/>
      <c r="AB77" s="330"/>
      <c r="AC77" s="330"/>
    </row>
    <row r="78" spans="1:68" ht="27" customHeight="1" x14ac:dyDescent="0.25">
      <c r="A78" s="54" t="s">
        <v>159</v>
      </c>
      <c r="B78" s="54" t="s">
        <v>160</v>
      </c>
      <c r="C78" s="31">
        <v>4301070977</v>
      </c>
      <c r="D78" s="343">
        <v>4607111037411</v>
      </c>
      <c r="E78" s="344"/>
      <c r="F78" s="333">
        <v>2.7</v>
      </c>
      <c r="G78" s="32">
        <v>1</v>
      </c>
      <c r="H78" s="333">
        <v>2.7</v>
      </c>
      <c r="I78" s="333">
        <v>2.8132000000000001</v>
      </c>
      <c r="J78" s="32">
        <v>234</v>
      </c>
      <c r="K78" s="32" t="s">
        <v>161</v>
      </c>
      <c r="L78" s="32" t="s">
        <v>109</v>
      </c>
      <c r="M78" s="33" t="s">
        <v>69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39"/>
      <c r="R78" s="339"/>
      <c r="S78" s="339"/>
      <c r="T78" s="340"/>
      <c r="U78" s="34"/>
      <c r="V78" s="34"/>
      <c r="W78" s="35" t="s">
        <v>70</v>
      </c>
      <c r="X78" s="334">
        <v>18</v>
      </c>
      <c r="Y78" s="335">
        <f>IFERROR(IF(X78="","",X78),"")</f>
        <v>18</v>
      </c>
      <c r="Z78" s="36">
        <f>IFERROR(IF(X78="","",X78*0.00502),"")</f>
        <v>9.0359999999999996E-2</v>
      </c>
      <c r="AA78" s="56"/>
      <c r="AB78" s="57"/>
      <c r="AC78" s="118" t="s">
        <v>162</v>
      </c>
      <c r="AG78" s="67"/>
      <c r="AJ78" s="71" t="s">
        <v>111</v>
      </c>
      <c r="AK78" s="71">
        <v>18</v>
      </c>
      <c r="BB78" s="119" t="s">
        <v>1</v>
      </c>
      <c r="BM78" s="67">
        <f>IFERROR(X78*I78,"0")</f>
        <v>50.637600000000006</v>
      </c>
      <c r="BN78" s="67">
        <f>IFERROR(Y78*I78,"0")</f>
        <v>50.637600000000006</v>
      </c>
      <c r="BO78" s="67">
        <f>IFERROR(X78/J78,"0")</f>
        <v>7.6923076923076927E-2</v>
      </c>
      <c r="BP78" s="67">
        <f>IFERROR(Y78/J78,"0")</f>
        <v>7.6923076923076927E-2</v>
      </c>
    </row>
    <row r="79" spans="1:68" ht="27" customHeight="1" x14ac:dyDescent="0.25">
      <c r="A79" s="54" t="s">
        <v>163</v>
      </c>
      <c r="B79" s="54" t="s">
        <v>164</v>
      </c>
      <c r="C79" s="31">
        <v>4301070981</v>
      </c>
      <c r="D79" s="343">
        <v>4607111036728</v>
      </c>
      <c r="E79" s="344"/>
      <c r="F79" s="333">
        <v>5</v>
      </c>
      <c r="G79" s="32">
        <v>1</v>
      </c>
      <c r="H79" s="333">
        <v>5</v>
      </c>
      <c r="I79" s="333">
        <v>5.2131999999999996</v>
      </c>
      <c r="J79" s="32">
        <v>144</v>
      </c>
      <c r="K79" s="32" t="s">
        <v>67</v>
      </c>
      <c r="L79" s="32" t="s">
        <v>114</v>
      </c>
      <c r="M79" s="33" t="s">
        <v>69</v>
      </c>
      <c r="N79" s="33"/>
      <c r="O79" s="32">
        <v>180</v>
      </c>
      <c r="P79" s="33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39"/>
      <c r="R79" s="339"/>
      <c r="S79" s="339"/>
      <c r="T79" s="340"/>
      <c r="U79" s="34"/>
      <c r="V79" s="34"/>
      <c r="W79" s="35" t="s">
        <v>70</v>
      </c>
      <c r="X79" s="334">
        <v>120</v>
      </c>
      <c r="Y79" s="335">
        <f>IFERROR(IF(X79="","",X79),"")</f>
        <v>120</v>
      </c>
      <c r="Z79" s="36">
        <f>IFERROR(IF(X79="","",X79*0.00866),"")</f>
        <v>1.0391999999999999</v>
      </c>
      <c r="AA79" s="56"/>
      <c r="AB79" s="57"/>
      <c r="AC79" s="120" t="s">
        <v>162</v>
      </c>
      <c r="AG79" s="67"/>
      <c r="AJ79" s="71" t="s">
        <v>115</v>
      </c>
      <c r="AK79" s="71">
        <v>144</v>
      </c>
      <c r="BB79" s="121" t="s">
        <v>1</v>
      </c>
      <c r="BM79" s="67">
        <f>IFERROR(X79*I79,"0")</f>
        <v>625.58399999999995</v>
      </c>
      <c r="BN79" s="67">
        <f>IFERROR(Y79*I79,"0")</f>
        <v>625.58399999999995</v>
      </c>
      <c r="BO79" s="67">
        <f>IFERROR(X79/J79,"0")</f>
        <v>0.83333333333333337</v>
      </c>
      <c r="BP79" s="67">
        <f>IFERROR(Y79/J79,"0")</f>
        <v>0.83333333333333337</v>
      </c>
    </row>
    <row r="80" spans="1:68" x14ac:dyDescent="0.2">
      <c r="A80" s="364"/>
      <c r="B80" s="348"/>
      <c r="C80" s="348"/>
      <c r="D80" s="348"/>
      <c r="E80" s="348"/>
      <c r="F80" s="348"/>
      <c r="G80" s="348"/>
      <c r="H80" s="348"/>
      <c r="I80" s="348"/>
      <c r="J80" s="348"/>
      <c r="K80" s="348"/>
      <c r="L80" s="348"/>
      <c r="M80" s="348"/>
      <c r="N80" s="348"/>
      <c r="O80" s="365"/>
      <c r="P80" s="352" t="s">
        <v>73</v>
      </c>
      <c r="Q80" s="353"/>
      <c r="R80" s="353"/>
      <c r="S80" s="353"/>
      <c r="T80" s="353"/>
      <c r="U80" s="353"/>
      <c r="V80" s="354"/>
      <c r="W80" s="37" t="s">
        <v>70</v>
      </c>
      <c r="X80" s="336">
        <f>IFERROR(SUM(X78:X79),"0")</f>
        <v>138</v>
      </c>
      <c r="Y80" s="336">
        <f>IFERROR(SUM(Y78:Y79),"0")</f>
        <v>138</v>
      </c>
      <c r="Z80" s="336">
        <f>IFERROR(IF(Z78="",0,Z78),"0")+IFERROR(IF(Z79="",0,Z79),"0")</f>
        <v>1.1295599999999999</v>
      </c>
      <c r="AA80" s="337"/>
      <c r="AB80" s="337"/>
      <c r="AC80" s="337"/>
    </row>
    <row r="81" spans="1:68" x14ac:dyDescent="0.2">
      <c r="A81" s="348"/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65"/>
      <c r="P81" s="352" t="s">
        <v>73</v>
      </c>
      <c r="Q81" s="353"/>
      <c r="R81" s="353"/>
      <c r="S81" s="353"/>
      <c r="T81" s="353"/>
      <c r="U81" s="353"/>
      <c r="V81" s="354"/>
      <c r="W81" s="37" t="s">
        <v>74</v>
      </c>
      <c r="X81" s="336">
        <f>IFERROR(SUMPRODUCT(X78:X79*H78:H79),"0")</f>
        <v>648.6</v>
      </c>
      <c r="Y81" s="336">
        <f>IFERROR(SUMPRODUCT(Y78:Y79*H78:H79),"0")</f>
        <v>648.6</v>
      </c>
      <c r="Z81" s="37"/>
      <c r="AA81" s="337"/>
      <c r="AB81" s="337"/>
      <c r="AC81" s="337"/>
    </row>
    <row r="82" spans="1:68" ht="16.5" customHeight="1" x14ac:dyDescent="0.25">
      <c r="A82" s="349" t="s">
        <v>165</v>
      </c>
      <c r="B82" s="348"/>
      <c r="C82" s="348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8"/>
      <c r="P82" s="348"/>
      <c r="Q82" s="348"/>
      <c r="R82" s="348"/>
      <c r="S82" s="348"/>
      <c r="T82" s="348"/>
      <c r="U82" s="348"/>
      <c r="V82" s="348"/>
      <c r="W82" s="348"/>
      <c r="X82" s="348"/>
      <c r="Y82" s="348"/>
      <c r="Z82" s="348"/>
      <c r="AA82" s="329"/>
      <c r="AB82" s="329"/>
      <c r="AC82" s="329"/>
    </row>
    <row r="83" spans="1:68" ht="14.25" customHeight="1" x14ac:dyDescent="0.25">
      <c r="A83" s="347" t="s">
        <v>147</v>
      </c>
      <c r="B83" s="348"/>
      <c r="C83" s="348"/>
      <c r="D83" s="348"/>
      <c r="E83" s="348"/>
      <c r="F83" s="348"/>
      <c r="G83" s="348"/>
      <c r="H83" s="348"/>
      <c r="I83" s="348"/>
      <c r="J83" s="348"/>
      <c r="K83" s="348"/>
      <c r="L83" s="348"/>
      <c r="M83" s="348"/>
      <c r="N83" s="348"/>
      <c r="O83" s="348"/>
      <c r="P83" s="348"/>
      <c r="Q83" s="348"/>
      <c r="R83" s="348"/>
      <c r="S83" s="348"/>
      <c r="T83" s="348"/>
      <c r="U83" s="348"/>
      <c r="V83" s="348"/>
      <c r="W83" s="348"/>
      <c r="X83" s="348"/>
      <c r="Y83" s="348"/>
      <c r="Z83" s="348"/>
      <c r="AA83" s="330"/>
      <c r="AB83" s="330"/>
      <c r="AC83" s="330"/>
    </row>
    <row r="84" spans="1:68" ht="27" customHeight="1" x14ac:dyDescent="0.25">
      <c r="A84" s="54" t="s">
        <v>166</v>
      </c>
      <c r="B84" s="54" t="s">
        <v>167</v>
      </c>
      <c r="C84" s="31">
        <v>4301135584</v>
      </c>
      <c r="D84" s="343">
        <v>4607111033659</v>
      </c>
      <c r="E84" s="344"/>
      <c r="F84" s="333">
        <v>0.3</v>
      </c>
      <c r="G84" s="32">
        <v>12</v>
      </c>
      <c r="H84" s="333">
        <v>3.6</v>
      </c>
      <c r="I84" s="333">
        <v>4.3036000000000003</v>
      </c>
      <c r="J84" s="32">
        <v>70</v>
      </c>
      <c r="K84" s="32" t="s">
        <v>80</v>
      </c>
      <c r="L84" s="32" t="s">
        <v>68</v>
      </c>
      <c r="M84" s="33" t="s">
        <v>69</v>
      </c>
      <c r="N84" s="33"/>
      <c r="O84" s="32">
        <v>180</v>
      </c>
      <c r="P84" s="490" t="s">
        <v>168</v>
      </c>
      <c r="Q84" s="339"/>
      <c r="R84" s="339"/>
      <c r="S84" s="339"/>
      <c r="T84" s="340"/>
      <c r="U84" s="34"/>
      <c r="V84" s="34"/>
      <c r="W84" s="35" t="s">
        <v>70</v>
      </c>
      <c r="X84" s="334">
        <v>14</v>
      </c>
      <c r="Y84" s="335">
        <f>IFERROR(IF(X84="","",X84),"")</f>
        <v>14</v>
      </c>
      <c r="Z84" s="36">
        <f>IFERROR(IF(X84="","",X84*0.01788),"")</f>
        <v>0.25031999999999999</v>
      </c>
      <c r="AA84" s="56"/>
      <c r="AB84" s="57"/>
      <c r="AC84" s="122" t="s">
        <v>169</v>
      </c>
      <c r="AG84" s="67"/>
      <c r="AJ84" s="71" t="s">
        <v>72</v>
      </c>
      <c r="AK84" s="71">
        <v>1</v>
      </c>
      <c r="BB84" s="123" t="s">
        <v>83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364"/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65"/>
      <c r="P85" s="352" t="s">
        <v>73</v>
      </c>
      <c r="Q85" s="353"/>
      <c r="R85" s="353"/>
      <c r="S85" s="353"/>
      <c r="T85" s="353"/>
      <c r="U85" s="353"/>
      <c r="V85" s="354"/>
      <c r="W85" s="37" t="s">
        <v>70</v>
      </c>
      <c r="X85" s="336">
        <f>IFERROR(SUM(X84:X84),"0")</f>
        <v>14</v>
      </c>
      <c r="Y85" s="336">
        <f>IFERROR(SUM(Y84:Y84),"0")</f>
        <v>14</v>
      </c>
      <c r="Z85" s="336">
        <f>IFERROR(IF(Z84="",0,Z84),"0")</f>
        <v>0.25031999999999999</v>
      </c>
      <c r="AA85" s="337"/>
      <c r="AB85" s="337"/>
      <c r="AC85" s="337"/>
    </row>
    <row r="86" spans="1:68" x14ac:dyDescent="0.2">
      <c r="A86" s="348"/>
      <c r="B86" s="348"/>
      <c r="C86" s="348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65"/>
      <c r="P86" s="352" t="s">
        <v>73</v>
      </c>
      <c r="Q86" s="353"/>
      <c r="R86" s="353"/>
      <c r="S86" s="353"/>
      <c r="T86" s="353"/>
      <c r="U86" s="353"/>
      <c r="V86" s="354"/>
      <c r="W86" s="37" t="s">
        <v>74</v>
      </c>
      <c r="X86" s="336">
        <f>IFERROR(SUMPRODUCT(X84:X84*H84:H84),"0")</f>
        <v>50.4</v>
      </c>
      <c r="Y86" s="336">
        <f>IFERROR(SUMPRODUCT(Y84:Y84*H84:H84),"0")</f>
        <v>50.4</v>
      </c>
      <c r="Z86" s="37"/>
      <c r="AA86" s="337"/>
      <c r="AB86" s="337"/>
      <c r="AC86" s="337"/>
    </row>
    <row r="87" spans="1:68" ht="16.5" customHeight="1" x14ac:dyDescent="0.25">
      <c r="A87" s="349" t="s">
        <v>170</v>
      </c>
      <c r="B87" s="348"/>
      <c r="C87" s="348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8"/>
      <c r="P87" s="348"/>
      <c r="Q87" s="348"/>
      <c r="R87" s="348"/>
      <c r="S87" s="348"/>
      <c r="T87" s="348"/>
      <c r="U87" s="348"/>
      <c r="V87" s="348"/>
      <c r="W87" s="348"/>
      <c r="X87" s="348"/>
      <c r="Y87" s="348"/>
      <c r="Z87" s="348"/>
      <c r="AA87" s="329"/>
      <c r="AB87" s="329"/>
      <c r="AC87" s="329"/>
    </row>
    <row r="88" spans="1:68" ht="14.25" customHeight="1" x14ac:dyDescent="0.25">
      <c r="A88" s="347" t="s">
        <v>171</v>
      </c>
      <c r="B88" s="348"/>
      <c r="C88" s="348"/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8"/>
      <c r="P88" s="348"/>
      <c r="Q88" s="348"/>
      <c r="R88" s="348"/>
      <c r="S88" s="348"/>
      <c r="T88" s="348"/>
      <c r="U88" s="348"/>
      <c r="V88" s="348"/>
      <c r="W88" s="348"/>
      <c r="X88" s="348"/>
      <c r="Y88" s="348"/>
      <c r="Z88" s="348"/>
      <c r="AA88" s="330"/>
      <c r="AB88" s="330"/>
      <c r="AC88" s="330"/>
    </row>
    <row r="89" spans="1:68" ht="27" customHeight="1" x14ac:dyDescent="0.25">
      <c r="A89" s="54" t="s">
        <v>172</v>
      </c>
      <c r="B89" s="54" t="s">
        <v>173</v>
      </c>
      <c r="C89" s="31">
        <v>4301131041</v>
      </c>
      <c r="D89" s="343">
        <v>4607111034120</v>
      </c>
      <c r="E89" s="344"/>
      <c r="F89" s="333">
        <v>0.3</v>
      </c>
      <c r="G89" s="32">
        <v>12</v>
      </c>
      <c r="H89" s="333">
        <v>3.6</v>
      </c>
      <c r="I89" s="33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57" t="s">
        <v>174</v>
      </c>
      <c r="Q89" s="339"/>
      <c r="R89" s="339"/>
      <c r="S89" s="339"/>
      <c r="T89" s="340"/>
      <c r="U89" s="34"/>
      <c r="V89" s="34"/>
      <c r="W89" s="35" t="s">
        <v>70</v>
      </c>
      <c r="X89" s="334">
        <v>14</v>
      </c>
      <c r="Y89" s="335">
        <f>IFERROR(IF(X89="","",X89),"")</f>
        <v>14</v>
      </c>
      <c r="Z89" s="36">
        <f>IFERROR(IF(X89="","",X89*0.01788),"")</f>
        <v>0.25031999999999999</v>
      </c>
      <c r="AA89" s="56"/>
      <c r="AB89" s="57"/>
      <c r="AC89" s="124" t="s">
        <v>175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ht="27" customHeight="1" x14ac:dyDescent="0.25">
      <c r="A90" s="54" t="s">
        <v>176</v>
      </c>
      <c r="B90" s="54" t="s">
        <v>177</v>
      </c>
      <c r="C90" s="31">
        <v>4301131021</v>
      </c>
      <c r="D90" s="343">
        <v>4607111034137</v>
      </c>
      <c r="E90" s="344"/>
      <c r="F90" s="333">
        <v>0.3</v>
      </c>
      <c r="G90" s="32">
        <v>12</v>
      </c>
      <c r="H90" s="333">
        <v>3.6</v>
      </c>
      <c r="I90" s="333">
        <v>4.3036000000000003</v>
      </c>
      <c r="J90" s="32">
        <v>70</v>
      </c>
      <c r="K90" s="32" t="s">
        <v>80</v>
      </c>
      <c r="L90" s="32" t="s">
        <v>109</v>
      </c>
      <c r="M90" s="33" t="s">
        <v>69</v>
      </c>
      <c r="N90" s="33"/>
      <c r="O90" s="32">
        <v>180</v>
      </c>
      <c r="P90" s="475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339"/>
      <c r="R90" s="339"/>
      <c r="S90" s="339"/>
      <c r="T90" s="340"/>
      <c r="U90" s="34"/>
      <c r="V90" s="34"/>
      <c r="W90" s="35" t="s">
        <v>70</v>
      </c>
      <c r="X90" s="334">
        <v>28</v>
      </c>
      <c r="Y90" s="335">
        <f>IFERROR(IF(X90="","",X90),"")</f>
        <v>28</v>
      </c>
      <c r="Z90" s="36">
        <f>IFERROR(IF(X90="","",X90*0.01788),"")</f>
        <v>0.50063999999999997</v>
      </c>
      <c r="AA90" s="56"/>
      <c r="AB90" s="57"/>
      <c r="AC90" s="126" t="s">
        <v>178</v>
      </c>
      <c r="AG90" s="67"/>
      <c r="AJ90" s="71" t="s">
        <v>111</v>
      </c>
      <c r="AK90" s="71">
        <v>14</v>
      </c>
      <c r="BB90" s="127" t="s">
        <v>83</v>
      </c>
      <c r="BM90" s="67">
        <f>IFERROR(X90*I90,"0")</f>
        <v>120.50080000000001</v>
      </c>
      <c r="BN90" s="67">
        <f>IFERROR(Y90*I90,"0")</f>
        <v>120.50080000000001</v>
      </c>
      <c r="BO90" s="67">
        <f>IFERROR(X90/J90,"0")</f>
        <v>0.4</v>
      </c>
      <c r="BP90" s="67">
        <f>IFERROR(Y90/J90,"0")</f>
        <v>0.4</v>
      </c>
    </row>
    <row r="91" spans="1:68" x14ac:dyDescent="0.2">
      <c r="A91" s="364"/>
      <c r="B91" s="348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65"/>
      <c r="P91" s="352" t="s">
        <v>73</v>
      </c>
      <c r="Q91" s="353"/>
      <c r="R91" s="353"/>
      <c r="S91" s="353"/>
      <c r="T91" s="353"/>
      <c r="U91" s="353"/>
      <c r="V91" s="354"/>
      <c r="W91" s="37" t="s">
        <v>70</v>
      </c>
      <c r="X91" s="336">
        <f>IFERROR(SUM(X89:X90),"0")</f>
        <v>42</v>
      </c>
      <c r="Y91" s="336">
        <f>IFERROR(SUM(Y89:Y90),"0")</f>
        <v>42</v>
      </c>
      <c r="Z91" s="336">
        <f>IFERROR(IF(Z89="",0,Z89),"0")+IFERROR(IF(Z90="",0,Z90),"0")</f>
        <v>0.75095999999999996</v>
      </c>
      <c r="AA91" s="337"/>
      <c r="AB91" s="337"/>
      <c r="AC91" s="337"/>
    </row>
    <row r="92" spans="1:68" x14ac:dyDescent="0.2">
      <c r="A92" s="348"/>
      <c r="B92" s="348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65"/>
      <c r="P92" s="352" t="s">
        <v>73</v>
      </c>
      <c r="Q92" s="353"/>
      <c r="R92" s="353"/>
      <c r="S92" s="353"/>
      <c r="T92" s="353"/>
      <c r="U92" s="353"/>
      <c r="V92" s="354"/>
      <c r="W92" s="37" t="s">
        <v>74</v>
      </c>
      <c r="X92" s="336">
        <f>IFERROR(SUMPRODUCT(X89:X90*H89:H90),"0")</f>
        <v>151.19999999999999</v>
      </c>
      <c r="Y92" s="336">
        <f>IFERROR(SUMPRODUCT(Y89:Y90*H89:H90),"0")</f>
        <v>151.19999999999999</v>
      </c>
      <c r="Z92" s="37"/>
      <c r="AA92" s="337"/>
      <c r="AB92" s="337"/>
      <c r="AC92" s="337"/>
    </row>
    <row r="93" spans="1:68" ht="16.5" customHeight="1" x14ac:dyDescent="0.25">
      <c r="A93" s="349" t="s">
        <v>179</v>
      </c>
      <c r="B93" s="348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8"/>
      <c r="R93" s="348"/>
      <c r="S93" s="348"/>
      <c r="T93" s="348"/>
      <c r="U93" s="348"/>
      <c r="V93" s="348"/>
      <c r="W93" s="348"/>
      <c r="X93" s="348"/>
      <c r="Y93" s="348"/>
      <c r="Z93" s="348"/>
      <c r="AA93" s="329"/>
      <c r="AB93" s="329"/>
      <c r="AC93" s="329"/>
    </row>
    <row r="94" spans="1:68" ht="14.25" customHeight="1" x14ac:dyDescent="0.25">
      <c r="A94" s="347" t="s">
        <v>147</v>
      </c>
      <c r="B94" s="348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8"/>
      <c r="R94" s="348"/>
      <c r="S94" s="348"/>
      <c r="T94" s="348"/>
      <c r="U94" s="348"/>
      <c r="V94" s="348"/>
      <c r="W94" s="348"/>
      <c r="X94" s="348"/>
      <c r="Y94" s="348"/>
      <c r="Z94" s="348"/>
      <c r="AA94" s="330"/>
      <c r="AB94" s="330"/>
      <c r="AC94" s="330"/>
    </row>
    <row r="95" spans="1:68" ht="27" customHeight="1" x14ac:dyDescent="0.25">
      <c r="A95" s="54" t="s">
        <v>180</v>
      </c>
      <c r="B95" s="54" t="s">
        <v>181</v>
      </c>
      <c r="C95" s="31">
        <v>4301135569</v>
      </c>
      <c r="D95" s="343">
        <v>4607111033628</v>
      </c>
      <c r="E95" s="344"/>
      <c r="F95" s="333">
        <v>0.3</v>
      </c>
      <c r="G95" s="32">
        <v>12</v>
      </c>
      <c r="H95" s="333">
        <v>3.6</v>
      </c>
      <c r="I95" s="333">
        <v>4.3036000000000003</v>
      </c>
      <c r="J95" s="32">
        <v>70</v>
      </c>
      <c r="K95" s="32" t="s">
        <v>80</v>
      </c>
      <c r="L95" s="32" t="s">
        <v>109</v>
      </c>
      <c r="M95" s="33" t="s">
        <v>69</v>
      </c>
      <c r="N95" s="33"/>
      <c r="O95" s="32">
        <v>180</v>
      </c>
      <c r="P95" s="392" t="s">
        <v>182</v>
      </c>
      <c r="Q95" s="339"/>
      <c r="R95" s="339"/>
      <c r="S95" s="339"/>
      <c r="T95" s="340"/>
      <c r="U95" s="34"/>
      <c r="V95" s="34"/>
      <c r="W95" s="35" t="s">
        <v>70</v>
      </c>
      <c r="X95" s="334">
        <v>14</v>
      </c>
      <c r="Y95" s="335">
        <f t="shared" ref="Y95:Y100" si="6">IFERROR(IF(X95="","",X95),"")</f>
        <v>14</v>
      </c>
      <c r="Z95" s="36">
        <f t="shared" ref="Z95:Z100" si="7">IFERROR(IF(X95="","",X95*0.01788),"")</f>
        <v>0.25031999999999999</v>
      </c>
      <c r="AA95" s="56"/>
      <c r="AB95" s="57"/>
      <c r="AC95" s="128" t="s">
        <v>169</v>
      </c>
      <c r="AG95" s="67"/>
      <c r="AJ95" s="71" t="s">
        <v>111</v>
      </c>
      <c r="AK95" s="71">
        <v>14</v>
      </c>
      <c r="BB95" s="129" t="s">
        <v>83</v>
      </c>
      <c r="BM95" s="67">
        <f t="shared" ref="BM95:BM100" si="8">IFERROR(X95*I95,"0")</f>
        <v>60.250400000000006</v>
      </c>
      <c r="BN95" s="67">
        <f t="shared" ref="BN95:BN100" si="9">IFERROR(Y95*I95,"0")</f>
        <v>60.250400000000006</v>
      </c>
      <c r="BO95" s="67">
        <f t="shared" ref="BO95:BO100" si="10">IFERROR(X95/J95,"0")</f>
        <v>0.2</v>
      </c>
      <c r="BP95" s="67">
        <f t="shared" ref="BP95:BP100" si="11">IFERROR(Y95/J95,"0")</f>
        <v>0.2</v>
      </c>
    </row>
    <row r="96" spans="1:68" ht="27" customHeight="1" x14ac:dyDescent="0.25">
      <c r="A96" s="54" t="s">
        <v>183</v>
      </c>
      <c r="B96" s="54" t="s">
        <v>184</v>
      </c>
      <c r="C96" s="31">
        <v>4301135565</v>
      </c>
      <c r="D96" s="343">
        <v>4607111033451</v>
      </c>
      <c r="E96" s="344"/>
      <c r="F96" s="333">
        <v>0.3</v>
      </c>
      <c r="G96" s="32">
        <v>12</v>
      </c>
      <c r="H96" s="333">
        <v>3.6</v>
      </c>
      <c r="I96" s="333">
        <v>4.3036000000000003</v>
      </c>
      <c r="J96" s="32">
        <v>70</v>
      </c>
      <c r="K96" s="32" t="s">
        <v>80</v>
      </c>
      <c r="L96" s="32" t="s">
        <v>114</v>
      </c>
      <c r="M96" s="33" t="s">
        <v>69</v>
      </c>
      <c r="N96" s="33"/>
      <c r="O96" s="32">
        <v>180</v>
      </c>
      <c r="P96" s="471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339"/>
      <c r="R96" s="339"/>
      <c r="S96" s="339"/>
      <c r="T96" s="340"/>
      <c r="U96" s="34"/>
      <c r="V96" s="34"/>
      <c r="W96" s="35" t="s">
        <v>70</v>
      </c>
      <c r="X96" s="334">
        <v>42</v>
      </c>
      <c r="Y96" s="335">
        <f t="shared" si="6"/>
        <v>42</v>
      </c>
      <c r="Z96" s="36">
        <f t="shared" si="7"/>
        <v>0.75095999999999996</v>
      </c>
      <c r="AA96" s="56"/>
      <c r="AB96" s="57"/>
      <c r="AC96" s="130" t="s">
        <v>169</v>
      </c>
      <c r="AG96" s="67"/>
      <c r="AJ96" s="71" t="s">
        <v>115</v>
      </c>
      <c r="AK96" s="71">
        <v>70</v>
      </c>
      <c r="BB96" s="131" t="s">
        <v>83</v>
      </c>
      <c r="BM96" s="67">
        <f t="shared" si="8"/>
        <v>180.75120000000001</v>
      </c>
      <c r="BN96" s="67">
        <f t="shared" si="9"/>
        <v>180.75120000000001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185</v>
      </c>
      <c r="B97" s="54" t="s">
        <v>186</v>
      </c>
      <c r="C97" s="31">
        <v>4301135575</v>
      </c>
      <c r="D97" s="343">
        <v>4607111035141</v>
      </c>
      <c r="E97" s="344"/>
      <c r="F97" s="333">
        <v>0.3</v>
      </c>
      <c r="G97" s="32">
        <v>12</v>
      </c>
      <c r="H97" s="333">
        <v>3.6</v>
      </c>
      <c r="I97" s="33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00" t="s">
        <v>187</v>
      </c>
      <c r="Q97" s="339"/>
      <c r="R97" s="339"/>
      <c r="S97" s="339"/>
      <c r="T97" s="340"/>
      <c r="U97" s="34"/>
      <c r="V97" s="34"/>
      <c r="W97" s="35" t="s">
        <v>70</v>
      </c>
      <c r="X97" s="334">
        <v>0</v>
      </c>
      <c r="Y97" s="335">
        <f t="shared" si="6"/>
        <v>0</v>
      </c>
      <c r="Z97" s="36">
        <f t="shared" si="7"/>
        <v>0</v>
      </c>
      <c r="AA97" s="56"/>
      <c r="AB97" s="57"/>
      <c r="AC97" s="132" t="s">
        <v>188</v>
      </c>
      <c r="AG97" s="67"/>
      <c r="AJ97" s="71" t="s">
        <v>72</v>
      </c>
      <c r="AK97" s="71">
        <v>1</v>
      </c>
      <c r="BB97" s="133" t="s">
        <v>83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189</v>
      </c>
      <c r="B98" s="54" t="s">
        <v>190</v>
      </c>
      <c r="C98" s="31">
        <v>4301135578</v>
      </c>
      <c r="D98" s="343">
        <v>4607111033444</v>
      </c>
      <c r="E98" s="344"/>
      <c r="F98" s="333">
        <v>0.3</v>
      </c>
      <c r="G98" s="32">
        <v>12</v>
      </c>
      <c r="H98" s="333">
        <v>3.6</v>
      </c>
      <c r="I98" s="333">
        <v>4.3036000000000003</v>
      </c>
      <c r="J98" s="32">
        <v>70</v>
      </c>
      <c r="K98" s="32" t="s">
        <v>80</v>
      </c>
      <c r="L98" s="32" t="s">
        <v>114</v>
      </c>
      <c r="M98" s="33" t="s">
        <v>69</v>
      </c>
      <c r="N98" s="33"/>
      <c r="O98" s="32">
        <v>180</v>
      </c>
      <c r="P98" s="497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339"/>
      <c r="R98" s="339"/>
      <c r="S98" s="339"/>
      <c r="T98" s="340"/>
      <c r="U98" s="34"/>
      <c r="V98" s="34"/>
      <c r="W98" s="35" t="s">
        <v>70</v>
      </c>
      <c r="X98" s="334">
        <v>56</v>
      </c>
      <c r="Y98" s="335">
        <f t="shared" si="6"/>
        <v>56</v>
      </c>
      <c r="Z98" s="36">
        <f t="shared" si="7"/>
        <v>1.0012799999999999</v>
      </c>
      <c r="AA98" s="56"/>
      <c r="AB98" s="57"/>
      <c r="AC98" s="134" t="s">
        <v>169</v>
      </c>
      <c r="AG98" s="67"/>
      <c r="AJ98" s="71" t="s">
        <v>115</v>
      </c>
      <c r="AK98" s="71">
        <v>70</v>
      </c>
      <c r="BB98" s="135" t="s">
        <v>83</v>
      </c>
      <c r="BM98" s="67">
        <f t="shared" si="8"/>
        <v>241.00160000000002</v>
      </c>
      <c r="BN98" s="67">
        <f t="shared" si="9"/>
        <v>241.00160000000002</v>
      </c>
      <c r="BO98" s="67">
        <f t="shared" si="10"/>
        <v>0.8</v>
      </c>
      <c r="BP98" s="67">
        <f t="shared" si="11"/>
        <v>0.8</v>
      </c>
    </row>
    <row r="99" spans="1:68" ht="27" customHeight="1" x14ac:dyDescent="0.25">
      <c r="A99" s="54" t="s">
        <v>191</v>
      </c>
      <c r="B99" s="54" t="s">
        <v>192</v>
      </c>
      <c r="C99" s="31">
        <v>4301135290</v>
      </c>
      <c r="D99" s="343">
        <v>4607111035028</v>
      </c>
      <c r="E99" s="344"/>
      <c r="F99" s="333">
        <v>0.48</v>
      </c>
      <c r="G99" s="32">
        <v>8</v>
      </c>
      <c r="H99" s="333">
        <v>3.84</v>
      </c>
      <c r="I99" s="333">
        <v>4.4488000000000003</v>
      </c>
      <c r="J99" s="32">
        <v>70</v>
      </c>
      <c r="K99" s="32" t="s">
        <v>80</v>
      </c>
      <c r="L99" s="32" t="s">
        <v>68</v>
      </c>
      <c r="M99" s="33" t="s">
        <v>69</v>
      </c>
      <c r="N99" s="33"/>
      <c r="O99" s="32">
        <v>180</v>
      </c>
      <c r="P99" s="372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339"/>
      <c r="R99" s="339"/>
      <c r="S99" s="339"/>
      <c r="T99" s="340"/>
      <c r="U99" s="34"/>
      <c r="V99" s="34"/>
      <c r="W99" s="35" t="s">
        <v>70</v>
      </c>
      <c r="X99" s="334">
        <v>0</v>
      </c>
      <c r="Y99" s="335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72</v>
      </c>
      <c r="AK99" s="71">
        <v>1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4301135285</v>
      </c>
      <c r="D100" s="343">
        <v>4607111036407</v>
      </c>
      <c r="E100" s="344"/>
      <c r="F100" s="333">
        <v>0.3</v>
      </c>
      <c r="G100" s="32">
        <v>14</v>
      </c>
      <c r="H100" s="333">
        <v>4.2</v>
      </c>
      <c r="I100" s="333">
        <v>4.5292000000000003</v>
      </c>
      <c r="J100" s="32">
        <v>70</v>
      </c>
      <c r="K100" s="32" t="s">
        <v>80</v>
      </c>
      <c r="L100" s="32" t="s">
        <v>109</v>
      </c>
      <c r="M100" s="33" t="s">
        <v>69</v>
      </c>
      <c r="N100" s="33"/>
      <c r="O100" s="32">
        <v>180</v>
      </c>
      <c r="P100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39"/>
      <c r="R100" s="339"/>
      <c r="S100" s="339"/>
      <c r="T100" s="340"/>
      <c r="U100" s="34"/>
      <c r="V100" s="34"/>
      <c r="W100" s="35" t="s">
        <v>70</v>
      </c>
      <c r="X100" s="334">
        <v>0</v>
      </c>
      <c r="Y100" s="335">
        <f t="shared" si="6"/>
        <v>0</v>
      </c>
      <c r="Z100" s="36">
        <f t="shared" si="7"/>
        <v>0</v>
      </c>
      <c r="AA100" s="56"/>
      <c r="AB100" s="57"/>
      <c r="AC100" s="138" t="s">
        <v>195</v>
      </c>
      <c r="AG100" s="67"/>
      <c r="AJ100" s="71" t="s">
        <v>111</v>
      </c>
      <c r="AK100" s="71">
        <v>14</v>
      </c>
      <c r="BB100" s="139" t="s">
        <v>83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x14ac:dyDescent="0.2">
      <c r="A101" s="364"/>
      <c r="B101" s="348"/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65"/>
      <c r="P101" s="352" t="s">
        <v>73</v>
      </c>
      <c r="Q101" s="353"/>
      <c r="R101" s="353"/>
      <c r="S101" s="353"/>
      <c r="T101" s="353"/>
      <c r="U101" s="353"/>
      <c r="V101" s="354"/>
      <c r="W101" s="37" t="s">
        <v>70</v>
      </c>
      <c r="X101" s="336">
        <f>IFERROR(SUM(X95:X100),"0")</f>
        <v>112</v>
      </c>
      <c r="Y101" s="336">
        <f>IFERROR(SUM(Y95:Y100),"0")</f>
        <v>112</v>
      </c>
      <c r="Z101" s="336">
        <f>IFERROR(IF(Z95="",0,Z95),"0")+IFERROR(IF(Z96="",0,Z96),"0")+IFERROR(IF(Z97="",0,Z97),"0")+IFERROR(IF(Z98="",0,Z98),"0")+IFERROR(IF(Z99="",0,Z99),"0")+IFERROR(IF(Z100="",0,Z100),"0")</f>
        <v>2.0025599999999999</v>
      </c>
      <c r="AA101" s="337"/>
      <c r="AB101" s="337"/>
      <c r="AC101" s="337"/>
    </row>
    <row r="102" spans="1:68" x14ac:dyDescent="0.2">
      <c r="A102" s="348"/>
      <c r="B102" s="348"/>
      <c r="C102" s="348"/>
      <c r="D102" s="348"/>
      <c r="E102" s="348"/>
      <c r="F102" s="348"/>
      <c r="G102" s="348"/>
      <c r="H102" s="348"/>
      <c r="I102" s="348"/>
      <c r="J102" s="348"/>
      <c r="K102" s="348"/>
      <c r="L102" s="348"/>
      <c r="M102" s="348"/>
      <c r="N102" s="348"/>
      <c r="O102" s="365"/>
      <c r="P102" s="352" t="s">
        <v>73</v>
      </c>
      <c r="Q102" s="353"/>
      <c r="R102" s="353"/>
      <c r="S102" s="353"/>
      <c r="T102" s="353"/>
      <c r="U102" s="353"/>
      <c r="V102" s="354"/>
      <c r="W102" s="37" t="s">
        <v>74</v>
      </c>
      <c r="X102" s="336">
        <f>IFERROR(SUMPRODUCT(X95:X100*H95:H100),"0")</f>
        <v>403.20000000000005</v>
      </c>
      <c r="Y102" s="336">
        <f>IFERROR(SUMPRODUCT(Y95:Y100*H95:H100),"0")</f>
        <v>403.20000000000005</v>
      </c>
      <c r="Z102" s="37"/>
      <c r="AA102" s="337"/>
      <c r="AB102" s="337"/>
      <c r="AC102" s="337"/>
    </row>
    <row r="103" spans="1:68" ht="16.5" customHeight="1" x14ac:dyDescent="0.25">
      <c r="A103" s="349" t="s">
        <v>196</v>
      </c>
      <c r="B103" s="348"/>
      <c r="C103" s="348"/>
      <c r="D103" s="348"/>
      <c r="E103" s="348"/>
      <c r="F103" s="348"/>
      <c r="G103" s="348"/>
      <c r="H103" s="348"/>
      <c r="I103" s="348"/>
      <c r="J103" s="348"/>
      <c r="K103" s="348"/>
      <c r="L103" s="348"/>
      <c r="M103" s="348"/>
      <c r="N103" s="348"/>
      <c r="O103" s="348"/>
      <c r="P103" s="348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29"/>
      <c r="AB103" s="329"/>
      <c r="AC103" s="329"/>
    </row>
    <row r="104" spans="1:68" ht="14.25" customHeight="1" x14ac:dyDescent="0.25">
      <c r="A104" s="347" t="s">
        <v>143</v>
      </c>
      <c r="B104" s="348"/>
      <c r="C104" s="348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30"/>
      <c r="AB104" s="330"/>
      <c r="AC104" s="330"/>
    </row>
    <row r="105" spans="1:68" ht="27" customHeight="1" x14ac:dyDescent="0.25">
      <c r="A105" s="54" t="s">
        <v>197</v>
      </c>
      <c r="B105" s="54" t="s">
        <v>198</v>
      </c>
      <c r="C105" s="31">
        <v>4301136042</v>
      </c>
      <c r="D105" s="343">
        <v>4607025784012</v>
      </c>
      <c r="E105" s="344"/>
      <c r="F105" s="333">
        <v>0.09</v>
      </c>
      <c r="G105" s="32">
        <v>24</v>
      </c>
      <c r="H105" s="333">
        <v>2.16</v>
      </c>
      <c r="I105" s="333">
        <v>2.4912000000000001</v>
      </c>
      <c r="J105" s="32">
        <v>126</v>
      </c>
      <c r="K105" s="32" t="s">
        <v>80</v>
      </c>
      <c r="L105" s="32" t="s">
        <v>109</v>
      </c>
      <c r="M105" s="33" t="s">
        <v>69</v>
      </c>
      <c r="N105" s="33"/>
      <c r="O105" s="32">
        <v>180</v>
      </c>
      <c r="P105" s="51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39"/>
      <c r="R105" s="339"/>
      <c r="S105" s="339"/>
      <c r="T105" s="340"/>
      <c r="U105" s="34"/>
      <c r="V105" s="34"/>
      <c r="W105" s="35" t="s">
        <v>70</v>
      </c>
      <c r="X105" s="334">
        <v>14</v>
      </c>
      <c r="Y105" s="335">
        <f>IFERROR(IF(X105="","",X105),"")</f>
        <v>14</v>
      </c>
      <c r="Z105" s="36">
        <f>IFERROR(IF(X105="","",X105*0.00936),"")</f>
        <v>0.13103999999999999</v>
      </c>
      <c r="AA105" s="56"/>
      <c r="AB105" s="57"/>
      <c r="AC105" s="140" t="s">
        <v>199</v>
      </c>
      <c r="AG105" s="67"/>
      <c r="AJ105" s="71" t="s">
        <v>111</v>
      </c>
      <c r="AK105" s="71">
        <v>14</v>
      </c>
      <c r="BB105" s="141" t="s">
        <v>83</v>
      </c>
      <c r="BM105" s="67">
        <f>IFERROR(X105*I105,"0")</f>
        <v>34.876800000000003</v>
      </c>
      <c r="BN105" s="67">
        <f>IFERROR(Y105*I105,"0")</f>
        <v>34.876800000000003</v>
      </c>
      <c r="BO105" s="67">
        <f>IFERROR(X105/J105,"0")</f>
        <v>0.1111111111111111</v>
      </c>
      <c r="BP105" s="67">
        <f>IFERROR(Y105/J105,"0")</f>
        <v>0.1111111111111111</v>
      </c>
    </row>
    <row r="106" spans="1:68" ht="27" customHeight="1" x14ac:dyDescent="0.25">
      <c r="A106" s="54" t="s">
        <v>200</v>
      </c>
      <c r="B106" s="54" t="s">
        <v>201</v>
      </c>
      <c r="C106" s="31">
        <v>4301136077</v>
      </c>
      <c r="D106" s="343">
        <v>4607025784319</v>
      </c>
      <c r="E106" s="344"/>
      <c r="F106" s="333">
        <v>0.36</v>
      </c>
      <c r="G106" s="32">
        <v>10</v>
      </c>
      <c r="H106" s="333">
        <v>3.6</v>
      </c>
      <c r="I106" s="333">
        <v>4.2439999999999998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01" t="s">
        <v>202</v>
      </c>
      <c r="Q106" s="339"/>
      <c r="R106" s="339"/>
      <c r="S106" s="339"/>
      <c r="T106" s="340"/>
      <c r="U106" s="34"/>
      <c r="V106" s="34"/>
      <c r="W106" s="35" t="s">
        <v>70</v>
      </c>
      <c r="X106" s="334">
        <v>0</v>
      </c>
      <c r="Y106" s="335">
        <f>IFERROR(IF(X106="","",X106),"")</f>
        <v>0</v>
      </c>
      <c r="Z106" s="36">
        <f>IFERROR(IF(X106="","",X106*0.01788),"")</f>
        <v>0</v>
      </c>
      <c r="AA106" s="56"/>
      <c r="AB106" s="57"/>
      <c r="AC106" s="142" t="s">
        <v>169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4301136039</v>
      </c>
      <c r="D107" s="343">
        <v>4607111035370</v>
      </c>
      <c r="E107" s="344"/>
      <c r="F107" s="333">
        <v>0.14000000000000001</v>
      </c>
      <c r="G107" s="32">
        <v>22</v>
      </c>
      <c r="H107" s="333">
        <v>3.08</v>
      </c>
      <c r="I107" s="333">
        <v>3.464</v>
      </c>
      <c r="J107" s="32">
        <v>84</v>
      </c>
      <c r="K107" s="32" t="s">
        <v>67</v>
      </c>
      <c r="L107" s="32" t="s">
        <v>68</v>
      </c>
      <c r="M107" s="33" t="s">
        <v>69</v>
      </c>
      <c r="N107" s="33"/>
      <c r="O107" s="32">
        <v>180</v>
      </c>
      <c r="P107" s="52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339"/>
      <c r="R107" s="339"/>
      <c r="S107" s="339"/>
      <c r="T107" s="340"/>
      <c r="U107" s="34"/>
      <c r="V107" s="34"/>
      <c r="W107" s="35" t="s">
        <v>70</v>
      </c>
      <c r="X107" s="334">
        <v>0</v>
      </c>
      <c r="Y107" s="335">
        <f>IFERROR(IF(X107="","",X107),"")</f>
        <v>0</v>
      </c>
      <c r="Z107" s="36">
        <f>IFERROR(IF(X107="","",X107*0.0155),"")</f>
        <v>0</v>
      </c>
      <c r="AA107" s="56"/>
      <c r="AB107" s="57"/>
      <c r="AC107" s="144" t="s">
        <v>205</v>
      </c>
      <c r="AG107" s="67"/>
      <c r="AJ107" s="71" t="s">
        <v>72</v>
      </c>
      <c r="AK107" s="71">
        <v>1</v>
      </c>
      <c r="BB107" s="145" t="s">
        <v>83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x14ac:dyDescent="0.2">
      <c r="A108" s="364"/>
      <c r="B108" s="348"/>
      <c r="C108" s="348"/>
      <c r="D108" s="348"/>
      <c r="E108" s="348"/>
      <c r="F108" s="348"/>
      <c r="G108" s="348"/>
      <c r="H108" s="348"/>
      <c r="I108" s="348"/>
      <c r="J108" s="348"/>
      <c r="K108" s="348"/>
      <c r="L108" s="348"/>
      <c r="M108" s="348"/>
      <c r="N108" s="348"/>
      <c r="O108" s="365"/>
      <c r="P108" s="352" t="s">
        <v>73</v>
      </c>
      <c r="Q108" s="353"/>
      <c r="R108" s="353"/>
      <c r="S108" s="353"/>
      <c r="T108" s="353"/>
      <c r="U108" s="353"/>
      <c r="V108" s="354"/>
      <c r="W108" s="37" t="s">
        <v>70</v>
      </c>
      <c r="X108" s="336">
        <f>IFERROR(SUM(X105:X107),"0")</f>
        <v>14</v>
      </c>
      <c r="Y108" s="336">
        <f>IFERROR(SUM(Y105:Y107),"0")</f>
        <v>14</v>
      </c>
      <c r="Z108" s="336">
        <f>IFERROR(IF(Z105="",0,Z105),"0")+IFERROR(IF(Z106="",0,Z106),"0")+IFERROR(IF(Z107="",0,Z107),"0")</f>
        <v>0.13103999999999999</v>
      </c>
      <c r="AA108" s="337"/>
      <c r="AB108" s="337"/>
      <c r="AC108" s="337"/>
    </row>
    <row r="109" spans="1:68" x14ac:dyDescent="0.2">
      <c r="A109" s="348"/>
      <c r="B109" s="348"/>
      <c r="C109" s="348"/>
      <c r="D109" s="348"/>
      <c r="E109" s="348"/>
      <c r="F109" s="348"/>
      <c r="G109" s="348"/>
      <c r="H109" s="348"/>
      <c r="I109" s="348"/>
      <c r="J109" s="348"/>
      <c r="K109" s="348"/>
      <c r="L109" s="348"/>
      <c r="M109" s="348"/>
      <c r="N109" s="348"/>
      <c r="O109" s="365"/>
      <c r="P109" s="352" t="s">
        <v>73</v>
      </c>
      <c r="Q109" s="353"/>
      <c r="R109" s="353"/>
      <c r="S109" s="353"/>
      <c r="T109" s="353"/>
      <c r="U109" s="353"/>
      <c r="V109" s="354"/>
      <c r="W109" s="37" t="s">
        <v>74</v>
      </c>
      <c r="X109" s="336">
        <f>IFERROR(SUMPRODUCT(X105:X107*H105:H107),"0")</f>
        <v>30.240000000000002</v>
      </c>
      <c r="Y109" s="336">
        <f>IFERROR(SUMPRODUCT(Y105:Y107*H105:H107),"0")</f>
        <v>30.240000000000002</v>
      </c>
      <c r="Z109" s="37"/>
      <c r="AA109" s="337"/>
      <c r="AB109" s="337"/>
      <c r="AC109" s="337"/>
    </row>
    <row r="110" spans="1:68" ht="16.5" customHeight="1" x14ac:dyDescent="0.25">
      <c r="A110" s="349" t="s">
        <v>206</v>
      </c>
      <c r="B110" s="348"/>
      <c r="C110" s="348"/>
      <c r="D110" s="348"/>
      <c r="E110" s="348"/>
      <c r="F110" s="348"/>
      <c r="G110" s="348"/>
      <c r="H110" s="348"/>
      <c r="I110" s="348"/>
      <c r="J110" s="348"/>
      <c r="K110" s="348"/>
      <c r="L110" s="348"/>
      <c r="M110" s="348"/>
      <c r="N110" s="348"/>
      <c r="O110" s="348"/>
      <c r="P110" s="348"/>
      <c r="Q110" s="348"/>
      <c r="R110" s="348"/>
      <c r="S110" s="348"/>
      <c r="T110" s="348"/>
      <c r="U110" s="348"/>
      <c r="V110" s="348"/>
      <c r="W110" s="348"/>
      <c r="X110" s="348"/>
      <c r="Y110" s="348"/>
      <c r="Z110" s="348"/>
      <c r="AA110" s="329"/>
      <c r="AB110" s="329"/>
      <c r="AC110" s="329"/>
    </row>
    <row r="111" spans="1:68" ht="14.25" customHeight="1" x14ac:dyDescent="0.25">
      <c r="A111" s="347" t="s">
        <v>64</v>
      </c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330"/>
      <c r="AB111" s="330"/>
      <c r="AC111" s="330"/>
    </row>
    <row r="112" spans="1:68" ht="27" customHeight="1" x14ac:dyDescent="0.25">
      <c r="A112" s="54" t="s">
        <v>207</v>
      </c>
      <c r="B112" s="54" t="s">
        <v>208</v>
      </c>
      <c r="C112" s="31">
        <v>4301071074</v>
      </c>
      <c r="D112" s="343">
        <v>4620207491157</v>
      </c>
      <c r="E112" s="344"/>
      <c r="F112" s="333">
        <v>0.7</v>
      </c>
      <c r="G112" s="32">
        <v>10</v>
      </c>
      <c r="H112" s="333">
        <v>7</v>
      </c>
      <c r="I112" s="333">
        <v>7.28</v>
      </c>
      <c r="J112" s="32">
        <v>84</v>
      </c>
      <c r="K112" s="32" t="s">
        <v>67</v>
      </c>
      <c r="L112" s="32" t="s">
        <v>68</v>
      </c>
      <c r="M112" s="33" t="s">
        <v>69</v>
      </c>
      <c r="N112" s="33"/>
      <c r="O112" s="32">
        <v>180</v>
      </c>
      <c r="P112" s="507" t="s">
        <v>209</v>
      </c>
      <c r="Q112" s="339"/>
      <c r="R112" s="339"/>
      <c r="S112" s="339"/>
      <c r="T112" s="340"/>
      <c r="U112" s="34"/>
      <c r="V112" s="34"/>
      <c r="W112" s="35" t="s">
        <v>70</v>
      </c>
      <c r="X112" s="334">
        <v>0</v>
      </c>
      <c r="Y112" s="335">
        <f t="shared" ref="Y112:Y118" si="12">IFERROR(IF(X112="","",X112),"")</f>
        <v>0</v>
      </c>
      <c r="Z112" s="36">
        <f t="shared" ref="Z112:Z118" si="13">IFERROR(IF(X112="","",X112*0.0155),"")</f>
        <v>0</v>
      </c>
      <c r="AA112" s="56"/>
      <c r="AB112" s="57" t="s">
        <v>210</v>
      </c>
      <c r="AC112" s="146" t="s">
        <v>211</v>
      </c>
      <c r="AG112" s="67"/>
      <c r="AJ112" s="71" t="s">
        <v>72</v>
      </c>
      <c r="AK112" s="71">
        <v>1</v>
      </c>
      <c r="BB112" s="147" t="s">
        <v>1</v>
      </c>
      <c r="BM112" s="67">
        <f t="shared" ref="BM112:BM118" si="14">IFERROR(X112*I112,"0")</f>
        <v>0</v>
      </c>
      <c r="BN112" s="67">
        <f t="shared" ref="BN112:BN118" si="15">IFERROR(Y112*I112,"0")</f>
        <v>0</v>
      </c>
      <c r="BO112" s="67">
        <f t="shared" ref="BO112:BO118" si="16">IFERROR(X112/J112,"0")</f>
        <v>0</v>
      </c>
      <c r="BP112" s="67">
        <f t="shared" ref="BP112:BP118" si="17">IFERROR(Y112/J112,"0")</f>
        <v>0</v>
      </c>
    </row>
    <row r="113" spans="1:68" ht="27" customHeight="1" x14ac:dyDescent="0.25">
      <c r="A113" s="54" t="s">
        <v>212</v>
      </c>
      <c r="B113" s="54" t="s">
        <v>213</v>
      </c>
      <c r="C113" s="31">
        <v>4301071051</v>
      </c>
      <c r="D113" s="343">
        <v>4607111039262</v>
      </c>
      <c r="E113" s="344"/>
      <c r="F113" s="333">
        <v>0.4</v>
      </c>
      <c r="G113" s="32">
        <v>16</v>
      </c>
      <c r="H113" s="333">
        <v>6.4</v>
      </c>
      <c r="I113" s="333">
        <v>6.7195999999999998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39"/>
      <c r="R113" s="339"/>
      <c r="S113" s="339"/>
      <c r="T113" s="340"/>
      <c r="U113" s="34"/>
      <c r="V113" s="34"/>
      <c r="W113" s="35" t="s">
        <v>70</v>
      </c>
      <c r="X113" s="334">
        <v>36</v>
      </c>
      <c r="Y113" s="335">
        <f t="shared" si="12"/>
        <v>36</v>
      </c>
      <c r="Z113" s="36">
        <f t="shared" si="13"/>
        <v>0.55800000000000005</v>
      </c>
      <c r="AA113" s="56"/>
      <c r="AB113" s="57"/>
      <c r="AC113" s="148" t="s">
        <v>162</v>
      </c>
      <c r="AG113" s="67"/>
      <c r="AJ113" s="71" t="s">
        <v>111</v>
      </c>
      <c r="AK113" s="71">
        <v>12</v>
      </c>
      <c r="BB113" s="149" t="s">
        <v>1</v>
      </c>
      <c r="BM113" s="67">
        <f t="shared" si="14"/>
        <v>241.90559999999999</v>
      </c>
      <c r="BN113" s="67">
        <f t="shared" si="15"/>
        <v>241.90559999999999</v>
      </c>
      <c r="BO113" s="67">
        <f t="shared" si="16"/>
        <v>0.42857142857142855</v>
      </c>
      <c r="BP113" s="67">
        <f t="shared" si="17"/>
        <v>0.42857142857142855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3">
        <v>4607111039248</v>
      </c>
      <c r="E114" s="344"/>
      <c r="F114" s="333">
        <v>0.7</v>
      </c>
      <c r="G114" s="32">
        <v>10</v>
      </c>
      <c r="H114" s="333">
        <v>7</v>
      </c>
      <c r="I114" s="333">
        <v>7.3</v>
      </c>
      <c r="J114" s="32">
        <v>84</v>
      </c>
      <c r="K114" s="32" t="s">
        <v>67</v>
      </c>
      <c r="L114" s="32" t="s">
        <v>114</v>
      </c>
      <c r="M114" s="33" t="s">
        <v>69</v>
      </c>
      <c r="N114" s="33"/>
      <c r="O114" s="32">
        <v>180</v>
      </c>
      <c r="P114" s="51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9"/>
      <c r="R114" s="339"/>
      <c r="S114" s="339"/>
      <c r="T114" s="340"/>
      <c r="U114" s="34"/>
      <c r="V114" s="34"/>
      <c r="W114" s="35" t="s">
        <v>70</v>
      </c>
      <c r="X114" s="334">
        <v>48</v>
      </c>
      <c r="Y114" s="335">
        <f t="shared" si="12"/>
        <v>48</v>
      </c>
      <c r="Z114" s="36">
        <f t="shared" si="13"/>
        <v>0.74399999999999999</v>
      </c>
      <c r="AA114" s="56"/>
      <c r="AB114" s="57"/>
      <c r="AC114" s="150" t="s">
        <v>162</v>
      </c>
      <c r="AG114" s="67"/>
      <c r="AJ114" s="71" t="s">
        <v>115</v>
      </c>
      <c r="AK114" s="71">
        <v>84</v>
      </c>
      <c r="BB114" s="151" t="s">
        <v>1</v>
      </c>
      <c r="BM114" s="67">
        <f t="shared" si="14"/>
        <v>350.4</v>
      </c>
      <c r="BN114" s="67">
        <f t="shared" si="15"/>
        <v>350.4</v>
      </c>
      <c r="BO114" s="67">
        <f t="shared" si="16"/>
        <v>0.5714285714285714</v>
      </c>
      <c r="BP114" s="67">
        <f t="shared" si="17"/>
        <v>0.5714285714285714</v>
      </c>
    </row>
    <row r="115" spans="1:68" ht="27" customHeight="1" x14ac:dyDescent="0.25">
      <c r="A115" s="54" t="s">
        <v>216</v>
      </c>
      <c r="B115" s="54" t="s">
        <v>217</v>
      </c>
      <c r="C115" s="31">
        <v>4301070976</v>
      </c>
      <c r="D115" s="343">
        <v>4607111034144</v>
      </c>
      <c r="E115" s="344"/>
      <c r="F115" s="333">
        <v>0.9</v>
      </c>
      <c r="G115" s="32">
        <v>8</v>
      </c>
      <c r="H115" s="333">
        <v>7.2</v>
      </c>
      <c r="I115" s="333">
        <v>7.4859999999999998</v>
      </c>
      <c r="J115" s="32">
        <v>84</v>
      </c>
      <c r="K115" s="32" t="s">
        <v>67</v>
      </c>
      <c r="L115" s="32" t="s">
        <v>114</v>
      </c>
      <c r="M115" s="33" t="s">
        <v>69</v>
      </c>
      <c r="N115" s="33"/>
      <c r="O115" s="32">
        <v>180</v>
      </c>
      <c r="P115" s="460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339"/>
      <c r="R115" s="339"/>
      <c r="S115" s="339"/>
      <c r="T115" s="340"/>
      <c r="U115" s="34"/>
      <c r="V115" s="34"/>
      <c r="W115" s="35" t="s">
        <v>70</v>
      </c>
      <c r="X115" s="334">
        <v>0</v>
      </c>
      <c r="Y115" s="335">
        <f t="shared" si="12"/>
        <v>0</v>
      </c>
      <c r="Z115" s="36">
        <f t="shared" si="13"/>
        <v>0</v>
      </c>
      <c r="AA115" s="56"/>
      <c r="AB115" s="57"/>
      <c r="AC115" s="152" t="s">
        <v>162</v>
      </c>
      <c r="AG115" s="67"/>
      <c r="AJ115" s="71" t="s">
        <v>115</v>
      </c>
      <c r="AK115" s="71">
        <v>84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4301071049</v>
      </c>
      <c r="D116" s="343">
        <v>4607111039293</v>
      </c>
      <c r="E116" s="344"/>
      <c r="F116" s="333">
        <v>0.4</v>
      </c>
      <c r="G116" s="32">
        <v>16</v>
      </c>
      <c r="H116" s="333">
        <v>6.4</v>
      </c>
      <c r="I116" s="333">
        <v>6.7195999999999998</v>
      </c>
      <c r="J116" s="32">
        <v>84</v>
      </c>
      <c r="K116" s="32" t="s">
        <v>67</v>
      </c>
      <c r="L116" s="32" t="s">
        <v>109</v>
      </c>
      <c r="M116" s="33" t="s">
        <v>69</v>
      </c>
      <c r="N116" s="33"/>
      <c r="O116" s="32">
        <v>180</v>
      </c>
      <c r="P116" s="39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39"/>
      <c r="R116" s="339"/>
      <c r="S116" s="339"/>
      <c r="T116" s="340"/>
      <c r="U116" s="34"/>
      <c r="V116" s="34"/>
      <c r="W116" s="35" t="s">
        <v>70</v>
      </c>
      <c r="X116" s="334">
        <v>24</v>
      </c>
      <c r="Y116" s="335">
        <f t="shared" si="12"/>
        <v>24</v>
      </c>
      <c r="Z116" s="36">
        <f t="shared" si="13"/>
        <v>0.372</v>
      </c>
      <c r="AA116" s="56"/>
      <c r="AB116" s="57"/>
      <c r="AC116" s="154" t="s">
        <v>162</v>
      </c>
      <c r="AG116" s="67"/>
      <c r="AJ116" s="71" t="s">
        <v>111</v>
      </c>
      <c r="AK116" s="71">
        <v>12</v>
      </c>
      <c r="BB116" s="155" t="s">
        <v>1</v>
      </c>
      <c r="BM116" s="67">
        <f t="shared" si="14"/>
        <v>161.2704</v>
      </c>
      <c r="BN116" s="67">
        <f t="shared" si="15"/>
        <v>161.2704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220</v>
      </c>
      <c r="B117" s="54" t="s">
        <v>221</v>
      </c>
      <c r="C117" s="31">
        <v>4301071039</v>
      </c>
      <c r="D117" s="343">
        <v>4607111039279</v>
      </c>
      <c r="E117" s="344"/>
      <c r="F117" s="333">
        <v>0.7</v>
      </c>
      <c r="G117" s="32">
        <v>10</v>
      </c>
      <c r="H117" s="333">
        <v>7</v>
      </c>
      <c r="I117" s="333">
        <v>7.3</v>
      </c>
      <c r="J117" s="32">
        <v>84</v>
      </c>
      <c r="K117" s="32" t="s">
        <v>67</v>
      </c>
      <c r="L117" s="32" t="s">
        <v>114</v>
      </c>
      <c r="M117" s="33" t="s">
        <v>69</v>
      </c>
      <c r="N117" s="33"/>
      <c r="O117" s="32">
        <v>180</v>
      </c>
      <c r="P117" s="42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39"/>
      <c r="R117" s="339"/>
      <c r="S117" s="339"/>
      <c r="T117" s="340"/>
      <c r="U117" s="34"/>
      <c r="V117" s="34"/>
      <c r="W117" s="35" t="s">
        <v>70</v>
      </c>
      <c r="X117" s="334">
        <v>96</v>
      </c>
      <c r="Y117" s="335">
        <f t="shared" si="12"/>
        <v>96</v>
      </c>
      <c r="Z117" s="36">
        <f t="shared" si="13"/>
        <v>1.488</v>
      </c>
      <c r="AA117" s="56"/>
      <c r="AB117" s="57"/>
      <c r="AC117" s="156" t="s">
        <v>162</v>
      </c>
      <c r="AG117" s="67"/>
      <c r="AJ117" s="71" t="s">
        <v>115</v>
      </c>
      <c r="AK117" s="71">
        <v>84</v>
      </c>
      <c r="BB117" s="157" t="s">
        <v>1</v>
      </c>
      <c r="BM117" s="67">
        <f t="shared" si="14"/>
        <v>700.8</v>
      </c>
      <c r="BN117" s="67">
        <f t="shared" si="15"/>
        <v>700.8</v>
      </c>
      <c r="BO117" s="67">
        <f t="shared" si="16"/>
        <v>1.1428571428571428</v>
      </c>
      <c r="BP117" s="67">
        <f t="shared" si="17"/>
        <v>1.1428571428571428</v>
      </c>
    </row>
    <row r="118" spans="1:68" ht="27" customHeight="1" x14ac:dyDescent="0.25">
      <c r="A118" s="54" t="s">
        <v>222</v>
      </c>
      <c r="B118" s="54" t="s">
        <v>223</v>
      </c>
      <c r="C118" s="31">
        <v>4301070958</v>
      </c>
      <c r="D118" s="343">
        <v>4607111038098</v>
      </c>
      <c r="E118" s="344"/>
      <c r="F118" s="333">
        <v>0.8</v>
      </c>
      <c r="G118" s="32">
        <v>8</v>
      </c>
      <c r="H118" s="333">
        <v>6.4</v>
      </c>
      <c r="I118" s="333">
        <v>6.6859999999999999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424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339"/>
      <c r="R118" s="339"/>
      <c r="S118" s="339"/>
      <c r="T118" s="340"/>
      <c r="U118" s="34"/>
      <c r="V118" s="34"/>
      <c r="W118" s="35" t="s">
        <v>70</v>
      </c>
      <c r="X118" s="334">
        <v>36</v>
      </c>
      <c r="Y118" s="335">
        <f t="shared" si="12"/>
        <v>36</v>
      </c>
      <c r="Z118" s="36">
        <f t="shared" si="13"/>
        <v>0.55800000000000005</v>
      </c>
      <c r="AA118" s="56"/>
      <c r="AB118" s="57"/>
      <c r="AC118" s="158" t="s">
        <v>224</v>
      </c>
      <c r="AG118" s="67"/>
      <c r="AJ118" s="71" t="s">
        <v>111</v>
      </c>
      <c r="AK118" s="71">
        <v>12</v>
      </c>
      <c r="BB118" s="159" t="s">
        <v>1</v>
      </c>
      <c r="BM118" s="67">
        <f t="shared" si="14"/>
        <v>240.696</v>
      </c>
      <c r="BN118" s="67">
        <f t="shared" si="15"/>
        <v>240.696</v>
      </c>
      <c r="BO118" s="67">
        <f t="shared" si="16"/>
        <v>0.42857142857142855</v>
      </c>
      <c r="BP118" s="67">
        <f t="shared" si="17"/>
        <v>0.42857142857142855</v>
      </c>
    </row>
    <row r="119" spans="1:68" x14ac:dyDescent="0.2">
      <c r="A119" s="364"/>
      <c r="B119" s="348"/>
      <c r="C119" s="348"/>
      <c r="D119" s="348"/>
      <c r="E119" s="348"/>
      <c r="F119" s="348"/>
      <c r="G119" s="348"/>
      <c r="H119" s="348"/>
      <c r="I119" s="348"/>
      <c r="J119" s="348"/>
      <c r="K119" s="348"/>
      <c r="L119" s="348"/>
      <c r="M119" s="348"/>
      <c r="N119" s="348"/>
      <c r="O119" s="365"/>
      <c r="P119" s="352" t="s">
        <v>73</v>
      </c>
      <c r="Q119" s="353"/>
      <c r="R119" s="353"/>
      <c r="S119" s="353"/>
      <c r="T119" s="353"/>
      <c r="U119" s="353"/>
      <c r="V119" s="354"/>
      <c r="W119" s="37" t="s">
        <v>70</v>
      </c>
      <c r="X119" s="336">
        <f>IFERROR(SUM(X112:X118),"0")</f>
        <v>240</v>
      </c>
      <c r="Y119" s="336">
        <f>IFERROR(SUM(Y112:Y118),"0")</f>
        <v>240</v>
      </c>
      <c r="Z119" s="336">
        <f>IFERROR(IF(Z112="",0,Z112),"0")+IFERROR(IF(Z113="",0,Z113),"0")+IFERROR(IF(Z114="",0,Z114),"0")+IFERROR(IF(Z115="",0,Z115),"0")+IFERROR(IF(Z116="",0,Z116),"0")+IFERROR(IF(Z117="",0,Z117),"0")+IFERROR(IF(Z118="",0,Z118),"0")</f>
        <v>3.7199999999999998</v>
      </c>
      <c r="AA119" s="337"/>
      <c r="AB119" s="337"/>
      <c r="AC119" s="337"/>
    </row>
    <row r="120" spans="1:68" x14ac:dyDescent="0.2">
      <c r="A120" s="348"/>
      <c r="B120" s="348"/>
      <c r="C120" s="348"/>
      <c r="D120" s="348"/>
      <c r="E120" s="348"/>
      <c r="F120" s="348"/>
      <c r="G120" s="348"/>
      <c r="H120" s="348"/>
      <c r="I120" s="348"/>
      <c r="J120" s="348"/>
      <c r="K120" s="348"/>
      <c r="L120" s="348"/>
      <c r="M120" s="348"/>
      <c r="N120" s="348"/>
      <c r="O120" s="365"/>
      <c r="P120" s="352" t="s">
        <v>73</v>
      </c>
      <c r="Q120" s="353"/>
      <c r="R120" s="353"/>
      <c r="S120" s="353"/>
      <c r="T120" s="353"/>
      <c r="U120" s="353"/>
      <c r="V120" s="354"/>
      <c r="W120" s="37" t="s">
        <v>74</v>
      </c>
      <c r="X120" s="336">
        <f>IFERROR(SUMPRODUCT(X112:X118*H112:H118),"0")</f>
        <v>1622.4</v>
      </c>
      <c r="Y120" s="336">
        <f>IFERROR(SUMPRODUCT(Y112:Y118*H112:H118),"0")</f>
        <v>1622.4</v>
      </c>
      <c r="Z120" s="37"/>
      <c r="AA120" s="337"/>
      <c r="AB120" s="337"/>
      <c r="AC120" s="337"/>
    </row>
    <row r="121" spans="1:68" ht="14.25" customHeight="1" x14ac:dyDescent="0.25">
      <c r="A121" s="347" t="s">
        <v>147</v>
      </c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  <c r="M121" s="348"/>
      <c r="N121" s="348"/>
      <c r="O121" s="348"/>
      <c r="P121" s="348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30"/>
      <c r="AB121" s="330"/>
      <c r="AC121" s="330"/>
    </row>
    <row r="122" spans="1:68" ht="27" customHeight="1" x14ac:dyDescent="0.25">
      <c r="A122" s="54" t="s">
        <v>225</v>
      </c>
      <c r="B122" s="54" t="s">
        <v>226</v>
      </c>
      <c r="C122" s="31">
        <v>4301135670</v>
      </c>
      <c r="D122" s="343">
        <v>4620207490983</v>
      </c>
      <c r="E122" s="344"/>
      <c r="F122" s="333">
        <v>0.22</v>
      </c>
      <c r="G122" s="32">
        <v>12</v>
      </c>
      <c r="H122" s="333">
        <v>2.64</v>
      </c>
      <c r="I122" s="333">
        <v>3.3435999999999999</v>
      </c>
      <c r="J122" s="32">
        <v>70</v>
      </c>
      <c r="K122" s="32" t="s">
        <v>80</v>
      </c>
      <c r="L122" s="32" t="s">
        <v>68</v>
      </c>
      <c r="M122" s="33" t="s">
        <v>69</v>
      </c>
      <c r="N122" s="33"/>
      <c r="O122" s="32">
        <v>180</v>
      </c>
      <c r="P122" s="443" t="s">
        <v>227</v>
      </c>
      <c r="Q122" s="339"/>
      <c r="R122" s="339"/>
      <c r="S122" s="339"/>
      <c r="T122" s="340"/>
      <c r="U122" s="34"/>
      <c r="V122" s="34"/>
      <c r="W122" s="35" t="s">
        <v>70</v>
      </c>
      <c r="X122" s="334">
        <v>0</v>
      </c>
      <c r="Y122" s="335">
        <f>IFERROR(IF(X122="","",X122),"")</f>
        <v>0</v>
      </c>
      <c r="Z122" s="36">
        <f>IFERROR(IF(X122="","",X122*0.01788),"")</f>
        <v>0</v>
      </c>
      <c r="AA122" s="56"/>
      <c r="AB122" s="57" t="s">
        <v>210</v>
      </c>
      <c r="AC122" s="160" t="s">
        <v>228</v>
      </c>
      <c r="AG122" s="67"/>
      <c r="AJ122" s="71" t="s">
        <v>72</v>
      </c>
      <c r="AK122" s="71">
        <v>1</v>
      </c>
      <c r="BB122" s="161" t="s">
        <v>83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x14ac:dyDescent="0.2">
      <c r="A123" s="364"/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65"/>
      <c r="P123" s="352" t="s">
        <v>73</v>
      </c>
      <c r="Q123" s="353"/>
      <c r="R123" s="353"/>
      <c r="S123" s="353"/>
      <c r="T123" s="353"/>
      <c r="U123" s="353"/>
      <c r="V123" s="354"/>
      <c r="W123" s="37" t="s">
        <v>70</v>
      </c>
      <c r="X123" s="336">
        <f>IFERROR(SUM(X122:X122),"0")</f>
        <v>0</v>
      </c>
      <c r="Y123" s="336">
        <f>IFERROR(SUM(Y122:Y122),"0")</f>
        <v>0</v>
      </c>
      <c r="Z123" s="336">
        <f>IFERROR(IF(Z122="",0,Z122),"0")</f>
        <v>0</v>
      </c>
      <c r="AA123" s="337"/>
      <c r="AB123" s="337"/>
      <c r="AC123" s="337"/>
    </row>
    <row r="124" spans="1:68" x14ac:dyDescent="0.2">
      <c r="A124" s="348"/>
      <c r="B124" s="348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8"/>
      <c r="O124" s="365"/>
      <c r="P124" s="352" t="s">
        <v>73</v>
      </c>
      <c r="Q124" s="353"/>
      <c r="R124" s="353"/>
      <c r="S124" s="353"/>
      <c r="T124" s="353"/>
      <c r="U124" s="353"/>
      <c r="V124" s="354"/>
      <c r="W124" s="37" t="s">
        <v>74</v>
      </c>
      <c r="X124" s="336">
        <f>IFERROR(SUMPRODUCT(X122:X122*H122:H122),"0")</f>
        <v>0</v>
      </c>
      <c r="Y124" s="336">
        <f>IFERROR(SUMPRODUCT(Y122:Y122*H122:H122),"0")</f>
        <v>0</v>
      </c>
      <c r="Z124" s="37"/>
      <c r="AA124" s="337"/>
      <c r="AB124" s="337"/>
      <c r="AC124" s="337"/>
    </row>
    <row r="125" spans="1:68" ht="16.5" customHeight="1" x14ac:dyDescent="0.25">
      <c r="A125" s="349" t="s">
        <v>229</v>
      </c>
      <c r="B125" s="348"/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  <c r="M125" s="348"/>
      <c r="N125" s="348"/>
      <c r="O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29"/>
      <c r="AB125" s="329"/>
      <c r="AC125" s="329"/>
    </row>
    <row r="126" spans="1:68" ht="14.25" customHeight="1" x14ac:dyDescent="0.25">
      <c r="A126" s="347" t="s">
        <v>147</v>
      </c>
      <c r="B126" s="348"/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348"/>
      <c r="N126" s="348"/>
      <c r="O126" s="348"/>
      <c r="P126" s="348"/>
      <c r="Q126" s="348"/>
      <c r="R126" s="348"/>
      <c r="S126" s="348"/>
      <c r="T126" s="348"/>
      <c r="U126" s="348"/>
      <c r="V126" s="348"/>
      <c r="W126" s="348"/>
      <c r="X126" s="348"/>
      <c r="Y126" s="348"/>
      <c r="Z126" s="348"/>
      <c r="AA126" s="330"/>
      <c r="AB126" s="330"/>
      <c r="AC126" s="330"/>
    </row>
    <row r="127" spans="1:68" ht="27" customHeight="1" x14ac:dyDescent="0.25">
      <c r="A127" s="54" t="s">
        <v>230</v>
      </c>
      <c r="B127" s="54" t="s">
        <v>231</v>
      </c>
      <c r="C127" s="31">
        <v>4301135533</v>
      </c>
      <c r="D127" s="343">
        <v>4607111034014</v>
      </c>
      <c r="E127" s="344"/>
      <c r="F127" s="333">
        <v>0.25</v>
      </c>
      <c r="G127" s="32">
        <v>12</v>
      </c>
      <c r="H127" s="333">
        <v>3</v>
      </c>
      <c r="I127" s="333">
        <v>3.7035999999999998</v>
      </c>
      <c r="J127" s="32">
        <v>70</v>
      </c>
      <c r="K127" s="32" t="s">
        <v>80</v>
      </c>
      <c r="L127" s="32" t="s">
        <v>114</v>
      </c>
      <c r="M127" s="33" t="s">
        <v>69</v>
      </c>
      <c r="N127" s="33"/>
      <c r="O127" s="32">
        <v>180</v>
      </c>
      <c r="P127" s="5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339"/>
      <c r="R127" s="339"/>
      <c r="S127" s="339"/>
      <c r="T127" s="340"/>
      <c r="U127" s="34"/>
      <c r="V127" s="34"/>
      <c r="W127" s="35" t="s">
        <v>70</v>
      </c>
      <c r="X127" s="334">
        <v>42</v>
      </c>
      <c r="Y127" s="335">
        <f>IFERROR(IF(X127="","",X127),"")</f>
        <v>42</v>
      </c>
      <c r="Z127" s="36">
        <f>IFERROR(IF(X127="","",X127*0.01788),"")</f>
        <v>0.75095999999999996</v>
      </c>
      <c r="AA127" s="56"/>
      <c r="AB127" s="57"/>
      <c r="AC127" s="162" t="s">
        <v>232</v>
      </c>
      <c r="AG127" s="67"/>
      <c r="AJ127" s="71" t="s">
        <v>115</v>
      </c>
      <c r="AK127" s="71">
        <v>70</v>
      </c>
      <c r="BB127" s="163" t="s">
        <v>83</v>
      </c>
      <c r="BM127" s="67">
        <f>IFERROR(X127*I127,"0")</f>
        <v>155.55119999999999</v>
      </c>
      <c r="BN127" s="67">
        <f>IFERROR(Y127*I127,"0")</f>
        <v>155.55119999999999</v>
      </c>
      <c r="BO127" s="67">
        <f>IFERROR(X127/J127,"0")</f>
        <v>0.6</v>
      </c>
      <c r="BP127" s="67">
        <f>IFERROR(Y127/J127,"0")</f>
        <v>0.6</v>
      </c>
    </row>
    <row r="128" spans="1:68" ht="27" customHeight="1" x14ac:dyDescent="0.25">
      <c r="A128" s="54" t="s">
        <v>233</v>
      </c>
      <c r="B128" s="54" t="s">
        <v>234</v>
      </c>
      <c r="C128" s="31">
        <v>4301135532</v>
      </c>
      <c r="D128" s="343">
        <v>4607111033994</v>
      </c>
      <c r="E128" s="344"/>
      <c r="F128" s="333">
        <v>0.25</v>
      </c>
      <c r="G128" s="32">
        <v>12</v>
      </c>
      <c r="H128" s="333">
        <v>3</v>
      </c>
      <c r="I128" s="333">
        <v>3.7035999999999998</v>
      </c>
      <c r="J128" s="32">
        <v>70</v>
      </c>
      <c r="K128" s="32" t="s">
        <v>80</v>
      </c>
      <c r="L128" s="32" t="s">
        <v>114</v>
      </c>
      <c r="M128" s="33" t="s">
        <v>69</v>
      </c>
      <c r="N128" s="33"/>
      <c r="O128" s="32">
        <v>180</v>
      </c>
      <c r="P128" s="5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339"/>
      <c r="R128" s="339"/>
      <c r="S128" s="339"/>
      <c r="T128" s="340"/>
      <c r="U128" s="34"/>
      <c r="V128" s="34"/>
      <c r="W128" s="35" t="s">
        <v>70</v>
      </c>
      <c r="X128" s="334">
        <v>56</v>
      </c>
      <c r="Y128" s="335">
        <f>IFERROR(IF(X128="","",X128),"")</f>
        <v>56</v>
      </c>
      <c r="Z128" s="36">
        <f>IFERROR(IF(X128="","",X128*0.01788),"")</f>
        <v>1.0012799999999999</v>
      </c>
      <c r="AA128" s="56"/>
      <c r="AB128" s="57"/>
      <c r="AC128" s="164" t="s">
        <v>169</v>
      </c>
      <c r="AG128" s="67"/>
      <c r="AJ128" s="71" t="s">
        <v>115</v>
      </c>
      <c r="AK128" s="71">
        <v>70</v>
      </c>
      <c r="BB128" s="165" t="s">
        <v>83</v>
      </c>
      <c r="BM128" s="67">
        <f>IFERROR(X128*I128,"0")</f>
        <v>207.40159999999997</v>
      </c>
      <c r="BN128" s="67">
        <f>IFERROR(Y128*I128,"0")</f>
        <v>207.40159999999997</v>
      </c>
      <c r="BO128" s="67">
        <f>IFERROR(X128/J128,"0")</f>
        <v>0.8</v>
      </c>
      <c r="BP128" s="67">
        <f>IFERROR(Y128/J128,"0")</f>
        <v>0.8</v>
      </c>
    </row>
    <row r="129" spans="1:68" x14ac:dyDescent="0.2">
      <c r="A129" s="364"/>
      <c r="B129" s="348"/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8"/>
      <c r="O129" s="365"/>
      <c r="P129" s="352" t="s">
        <v>73</v>
      </c>
      <c r="Q129" s="353"/>
      <c r="R129" s="353"/>
      <c r="S129" s="353"/>
      <c r="T129" s="353"/>
      <c r="U129" s="353"/>
      <c r="V129" s="354"/>
      <c r="W129" s="37" t="s">
        <v>70</v>
      </c>
      <c r="X129" s="336">
        <f>IFERROR(SUM(X127:X128),"0")</f>
        <v>98</v>
      </c>
      <c r="Y129" s="336">
        <f>IFERROR(SUM(Y127:Y128),"0")</f>
        <v>98</v>
      </c>
      <c r="Z129" s="336">
        <f>IFERROR(IF(Z127="",0,Z127),"0")+IFERROR(IF(Z128="",0,Z128),"0")</f>
        <v>1.75224</v>
      </c>
      <c r="AA129" s="337"/>
      <c r="AB129" s="337"/>
      <c r="AC129" s="337"/>
    </row>
    <row r="130" spans="1:68" x14ac:dyDescent="0.2">
      <c r="A130" s="348"/>
      <c r="B130" s="348"/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348"/>
      <c r="N130" s="348"/>
      <c r="O130" s="365"/>
      <c r="P130" s="352" t="s">
        <v>73</v>
      </c>
      <c r="Q130" s="353"/>
      <c r="R130" s="353"/>
      <c r="S130" s="353"/>
      <c r="T130" s="353"/>
      <c r="U130" s="353"/>
      <c r="V130" s="354"/>
      <c r="W130" s="37" t="s">
        <v>74</v>
      </c>
      <c r="X130" s="336">
        <f>IFERROR(SUMPRODUCT(X127:X128*H127:H128),"0")</f>
        <v>294</v>
      </c>
      <c r="Y130" s="336">
        <f>IFERROR(SUMPRODUCT(Y127:Y128*H127:H128),"0")</f>
        <v>294</v>
      </c>
      <c r="Z130" s="37"/>
      <c r="AA130" s="337"/>
      <c r="AB130" s="337"/>
      <c r="AC130" s="337"/>
    </row>
    <row r="131" spans="1:68" ht="16.5" customHeight="1" x14ac:dyDescent="0.25">
      <c r="A131" s="349" t="s">
        <v>235</v>
      </c>
      <c r="B131" s="348"/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348"/>
      <c r="O131" s="348"/>
      <c r="P131" s="348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29"/>
      <c r="AB131" s="329"/>
      <c r="AC131" s="329"/>
    </row>
    <row r="132" spans="1:68" ht="14.25" customHeight="1" x14ac:dyDescent="0.25">
      <c r="A132" s="347" t="s">
        <v>147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30"/>
      <c r="AB132" s="330"/>
      <c r="AC132" s="330"/>
    </row>
    <row r="133" spans="1:68" ht="27" customHeight="1" x14ac:dyDescent="0.25">
      <c r="A133" s="54" t="s">
        <v>236</v>
      </c>
      <c r="B133" s="54" t="s">
        <v>237</v>
      </c>
      <c r="C133" s="31">
        <v>4301135311</v>
      </c>
      <c r="D133" s="343">
        <v>4607111039095</v>
      </c>
      <c r="E133" s="344"/>
      <c r="F133" s="333">
        <v>0.25</v>
      </c>
      <c r="G133" s="32">
        <v>12</v>
      </c>
      <c r="H133" s="333">
        <v>3</v>
      </c>
      <c r="I133" s="333">
        <v>3.7480000000000002</v>
      </c>
      <c r="J133" s="32">
        <v>70</v>
      </c>
      <c r="K133" s="32" t="s">
        <v>80</v>
      </c>
      <c r="L133" s="32" t="s">
        <v>109</v>
      </c>
      <c r="M133" s="33" t="s">
        <v>69</v>
      </c>
      <c r="N133" s="33"/>
      <c r="O133" s="32">
        <v>180</v>
      </c>
      <c r="P133" s="52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339"/>
      <c r="R133" s="339"/>
      <c r="S133" s="339"/>
      <c r="T133" s="340"/>
      <c r="U133" s="34"/>
      <c r="V133" s="34"/>
      <c r="W133" s="35" t="s">
        <v>70</v>
      </c>
      <c r="X133" s="334">
        <v>14</v>
      </c>
      <c r="Y133" s="335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66" t="s">
        <v>238</v>
      </c>
      <c r="AG133" s="67"/>
      <c r="AJ133" s="71" t="s">
        <v>111</v>
      </c>
      <c r="AK133" s="71">
        <v>14</v>
      </c>
      <c r="BB133" s="167" t="s">
        <v>83</v>
      </c>
      <c r="BM133" s="67">
        <f>IFERROR(X133*I133,"0")</f>
        <v>52.472000000000001</v>
      </c>
      <c r="BN133" s="67">
        <f>IFERROR(Y133*I133,"0")</f>
        <v>52.472000000000001</v>
      </c>
      <c r="BO133" s="67">
        <f>IFERROR(X133/J133,"0")</f>
        <v>0.2</v>
      </c>
      <c r="BP133" s="67">
        <f>IFERROR(Y133/J133,"0")</f>
        <v>0.2</v>
      </c>
    </row>
    <row r="134" spans="1:68" ht="16.5" customHeight="1" x14ac:dyDescent="0.25">
      <c r="A134" s="54" t="s">
        <v>239</v>
      </c>
      <c r="B134" s="54" t="s">
        <v>240</v>
      </c>
      <c r="C134" s="31">
        <v>4301135534</v>
      </c>
      <c r="D134" s="343">
        <v>4607111034199</v>
      </c>
      <c r="E134" s="344"/>
      <c r="F134" s="333">
        <v>0.25</v>
      </c>
      <c r="G134" s="32">
        <v>12</v>
      </c>
      <c r="H134" s="333">
        <v>3</v>
      </c>
      <c r="I134" s="333">
        <v>3.7035999999999998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54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339"/>
      <c r="R134" s="339"/>
      <c r="S134" s="339"/>
      <c r="T134" s="340"/>
      <c r="U134" s="34"/>
      <c r="V134" s="34"/>
      <c r="W134" s="35" t="s">
        <v>70</v>
      </c>
      <c r="X134" s="334">
        <v>56</v>
      </c>
      <c r="Y134" s="335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241</v>
      </c>
      <c r="AG134" s="67"/>
      <c r="AJ134" s="71" t="s">
        <v>72</v>
      </c>
      <c r="AK134" s="71">
        <v>1</v>
      </c>
      <c r="BB134" s="169" t="s">
        <v>83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364"/>
      <c r="B135" s="348"/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8"/>
      <c r="N135" s="348"/>
      <c r="O135" s="365"/>
      <c r="P135" s="352" t="s">
        <v>73</v>
      </c>
      <c r="Q135" s="353"/>
      <c r="R135" s="353"/>
      <c r="S135" s="353"/>
      <c r="T135" s="353"/>
      <c r="U135" s="353"/>
      <c r="V135" s="354"/>
      <c r="W135" s="37" t="s">
        <v>70</v>
      </c>
      <c r="X135" s="336">
        <f>IFERROR(SUM(X133:X134),"0")</f>
        <v>70</v>
      </c>
      <c r="Y135" s="336">
        <f>IFERROR(SUM(Y133:Y134),"0")</f>
        <v>70</v>
      </c>
      <c r="Z135" s="336">
        <f>IFERROR(IF(Z133="",0,Z133),"0")+IFERROR(IF(Z134="",0,Z134),"0")</f>
        <v>1.2515999999999998</v>
      </c>
      <c r="AA135" s="337"/>
      <c r="AB135" s="337"/>
      <c r="AC135" s="337"/>
    </row>
    <row r="136" spans="1:68" x14ac:dyDescent="0.2">
      <c r="A136" s="348"/>
      <c r="B136" s="348"/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8"/>
      <c r="O136" s="365"/>
      <c r="P136" s="352" t="s">
        <v>73</v>
      </c>
      <c r="Q136" s="353"/>
      <c r="R136" s="353"/>
      <c r="S136" s="353"/>
      <c r="T136" s="353"/>
      <c r="U136" s="353"/>
      <c r="V136" s="354"/>
      <c r="W136" s="37" t="s">
        <v>74</v>
      </c>
      <c r="X136" s="336">
        <f>IFERROR(SUMPRODUCT(X133:X134*H133:H134),"0")</f>
        <v>210</v>
      </c>
      <c r="Y136" s="336">
        <f>IFERROR(SUMPRODUCT(Y133:Y134*H133:H134),"0")</f>
        <v>210</v>
      </c>
      <c r="Z136" s="37"/>
      <c r="AA136" s="337"/>
      <c r="AB136" s="337"/>
      <c r="AC136" s="337"/>
    </row>
    <row r="137" spans="1:68" ht="16.5" customHeight="1" x14ac:dyDescent="0.25">
      <c r="A137" s="349" t="s">
        <v>242</v>
      </c>
      <c r="B137" s="348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8"/>
      <c r="P137" s="348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29"/>
      <c r="AB137" s="329"/>
      <c r="AC137" s="329"/>
    </row>
    <row r="138" spans="1:68" ht="14.25" customHeight="1" x14ac:dyDescent="0.25">
      <c r="A138" s="347" t="s">
        <v>147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330"/>
      <c r="AB138" s="330"/>
      <c r="AC138" s="330"/>
    </row>
    <row r="139" spans="1:68" ht="27" customHeight="1" x14ac:dyDescent="0.25">
      <c r="A139" s="54" t="s">
        <v>243</v>
      </c>
      <c r="B139" s="54" t="s">
        <v>244</v>
      </c>
      <c r="C139" s="31">
        <v>4301135275</v>
      </c>
      <c r="D139" s="343">
        <v>4607111034380</v>
      </c>
      <c r="E139" s="344"/>
      <c r="F139" s="333">
        <v>0.25</v>
      </c>
      <c r="G139" s="32">
        <v>12</v>
      </c>
      <c r="H139" s="333">
        <v>3</v>
      </c>
      <c r="I139" s="333">
        <v>3.28</v>
      </c>
      <c r="J139" s="32">
        <v>70</v>
      </c>
      <c r="K139" s="32" t="s">
        <v>80</v>
      </c>
      <c r="L139" s="32" t="s">
        <v>109</v>
      </c>
      <c r="M139" s="33" t="s">
        <v>69</v>
      </c>
      <c r="N139" s="33"/>
      <c r="O139" s="32">
        <v>180</v>
      </c>
      <c r="P139" s="511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339"/>
      <c r="R139" s="339"/>
      <c r="S139" s="339"/>
      <c r="T139" s="340"/>
      <c r="U139" s="34"/>
      <c r="V139" s="34"/>
      <c r="W139" s="35" t="s">
        <v>70</v>
      </c>
      <c r="X139" s="334">
        <v>14</v>
      </c>
      <c r="Y139" s="335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245</v>
      </c>
      <c r="AG139" s="67"/>
      <c r="AJ139" s="71" t="s">
        <v>111</v>
      </c>
      <c r="AK139" s="71">
        <v>14</v>
      </c>
      <c r="BB139" s="171" t="s">
        <v>83</v>
      </c>
      <c r="BM139" s="67">
        <f>IFERROR(X139*I139,"0")</f>
        <v>45.919999999999995</v>
      </c>
      <c r="BN139" s="67">
        <f>IFERROR(Y139*I139,"0")</f>
        <v>45.919999999999995</v>
      </c>
      <c r="BO139" s="67">
        <f>IFERROR(X139/J139,"0")</f>
        <v>0.2</v>
      </c>
      <c r="BP139" s="67">
        <f>IFERROR(Y139/J139,"0")</f>
        <v>0.2</v>
      </c>
    </row>
    <row r="140" spans="1:68" ht="27" customHeight="1" x14ac:dyDescent="0.25">
      <c r="A140" s="54" t="s">
        <v>246</v>
      </c>
      <c r="B140" s="54" t="s">
        <v>247</v>
      </c>
      <c r="C140" s="31">
        <v>4301135277</v>
      </c>
      <c r="D140" s="343">
        <v>4607111034397</v>
      </c>
      <c r="E140" s="344"/>
      <c r="F140" s="333">
        <v>0.25</v>
      </c>
      <c r="G140" s="32">
        <v>12</v>
      </c>
      <c r="H140" s="333">
        <v>3</v>
      </c>
      <c r="I140" s="333">
        <v>3.28</v>
      </c>
      <c r="J140" s="32">
        <v>70</v>
      </c>
      <c r="K140" s="32" t="s">
        <v>80</v>
      </c>
      <c r="L140" s="32" t="s">
        <v>114</v>
      </c>
      <c r="M140" s="33" t="s">
        <v>69</v>
      </c>
      <c r="N140" s="33"/>
      <c r="O140" s="32">
        <v>180</v>
      </c>
      <c r="P140" s="45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339"/>
      <c r="R140" s="339"/>
      <c r="S140" s="339"/>
      <c r="T140" s="340"/>
      <c r="U140" s="34"/>
      <c r="V140" s="34"/>
      <c r="W140" s="35" t="s">
        <v>70</v>
      </c>
      <c r="X140" s="334">
        <v>56</v>
      </c>
      <c r="Y140" s="335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232</v>
      </c>
      <c r="AG140" s="67"/>
      <c r="AJ140" s="71" t="s">
        <v>115</v>
      </c>
      <c r="AK140" s="71">
        <v>70</v>
      </c>
      <c r="BB140" s="173" t="s">
        <v>83</v>
      </c>
      <c r="BM140" s="67">
        <f>IFERROR(X140*I140,"0")</f>
        <v>183.67999999999998</v>
      </c>
      <c r="BN140" s="67">
        <f>IFERROR(Y140*I140,"0")</f>
        <v>183.67999999999998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364"/>
      <c r="B141" s="348"/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348"/>
      <c r="O141" s="365"/>
      <c r="P141" s="352" t="s">
        <v>73</v>
      </c>
      <c r="Q141" s="353"/>
      <c r="R141" s="353"/>
      <c r="S141" s="353"/>
      <c r="T141" s="353"/>
      <c r="U141" s="353"/>
      <c r="V141" s="354"/>
      <c r="W141" s="37" t="s">
        <v>70</v>
      </c>
      <c r="X141" s="336">
        <f>IFERROR(SUM(X139:X140),"0")</f>
        <v>70</v>
      </c>
      <c r="Y141" s="336">
        <f>IFERROR(SUM(Y139:Y140),"0")</f>
        <v>70</v>
      </c>
      <c r="Z141" s="336">
        <f>IFERROR(IF(Z139="",0,Z139),"0")+IFERROR(IF(Z140="",0,Z140),"0")</f>
        <v>1.2515999999999998</v>
      </c>
      <c r="AA141" s="337"/>
      <c r="AB141" s="337"/>
      <c r="AC141" s="337"/>
    </row>
    <row r="142" spans="1:68" x14ac:dyDescent="0.2">
      <c r="A142" s="348"/>
      <c r="B142" s="348"/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8"/>
      <c r="O142" s="365"/>
      <c r="P142" s="352" t="s">
        <v>73</v>
      </c>
      <c r="Q142" s="353"/>
      <c r="R142" s="353"/>
      <c r="S142" s="353"/>
      <c r="T142" s="353"/>
      <c r="U142" s="353"/>
      <c r="V142" s="354"/>
      <c r="W142" s="37" t="s">
        <v>74</v>
      </c>
      <c r="X142" s="336">
        <f>IFERROR(SUMPRODUCT(X139:X140*H139:H140),"0")</f>
        <v>210</v>
      </c>
      <c r="Y142" s="336">
        <f>IFERROR(SUMPRODUCT(Y139:Y140*H139:H140),"0")</f>
        <v>210</v>
      </c>
      <c r="Z142" s="37"/>
      <c r="AA142" s="337"/>
      <c r="AB142" s="337"/>
      <c r="AC142" s="337"/>
    </row>
    <row r="143" spans="1:68" ht="16.5" customHeight="1" x14ac:dyDescent="0.25">
      <c r="A143" s="349" t="s">
        <v>248</v>
      </c>
      <c r="B143" s="348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8"/>
      <c r="O143" s="348"/>
      <c r="P143" s="348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29"/>
      <c r="AB143" s="329"/>
      <c r="AC143" s="329"/>
    </row>
    <row r="144" spans="1:68" ht="14.25" customHeight="1" x14ac:dyDescent="0.25">
      <c r="A144" s="347" t="s">
        <v>147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330"/>
      <c r="AB144" s="330"/>
      <c r="AC144" s="330"/>
    </row>
    <row r="145" spans="1:68" ht="27" customHeight="1" x14ac:dyDescent="0.25">
      <c r="A145" s="54" t="s">
        <v>249</v>
      </c>
      <c r="B145" s="54" t="s">
        <v>250</v>
      </c>
      <c r="C145" s="31">
        <v>4301135570</v>
      </c>
      <c r="D145" s="343">
        <v>4607111035806</v>
      </c>
      <c r="E145" s="344"/>
      <c r="F145" s="333">
        <v>0.25</v>
      </c>
      <c r="G145" s="32">
        <v>12</v>
      </c>
      <c r="H145" s="333">
        <v>3</v>
      </c>
      <c r="I145" s="333">
        <v>3.7035999999999998</v>
      </c>
      <c r="J145" s="32">
        <v>70</v>
      </c>
      <c r="K145" s="32" t="s">
        <v>80</v>
      </c>
      <c r="L145" s="32" t="s">
        <v>68</v>
      </c>
      <c r="M145" s="33" t="s">
        <v>69</v>
      </c>
      <c r="N145" s="33"/>
      <c r="O145" s="32">
        <v>180</v>
      </c>
      <c r="P145" s="374" t="s">
        <v>251</v>
      </c>
      <c r="Q145" s="339"/>
      <c r="R145" s="339"/>
      <c r="S145" s="339"/>
      <c r="T145" s="340"/>
      <c r="U145" s="34"/>
      <c r="V145" s="34"/>
      <c r="W145" s="35" t="s">
        <v>70</v>
      </c>
      <c r="X145" s="334">
        <v>14</v>
      </c>
      <c r="Y145" s="335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252</v>
      </c>
      <c r="AG145" s="67"/>
      <c r="AJ145" s="71" t="s">
        <v>72</v>
      </c>
      <c r="AK145" s="71">
        <v>1</v>
      </c>
      <c r="BB145" s="175" t="s">
        <v>83</v>
      </c>
      <c r="BM145" s="67">
        <f>IFERROR(X145*I145,"0")</f>
        <v>51.850399999999993</v>
      </c>
      <c r="BN145" s="67">
        <f>IFERROR(Y145*I145,"0")</f>
        <v>51.850399999999993</v>
      </c>
      <c r="BO145" s="67">
        <f>IFERROR(X145/J145,"0")</f>
        <v>0.2</v>
      </c>
      <c r="BP145" s="67">
        <f>IFERROR(Y145/J145,"0")</f>
        <v>0.2</v>
      </c>
    </row>
    <row r="146" spans="1:68" x14ac:dyDescent="0.2">
      <c r="A146" s="364"/>
      <c r="B146" s="348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65"/>
      <c r="P146" s="352" t="s">
        <v>73</v>
      </c>
      <c r="Q146" s="353"/>
      <c r="R146" s="353"/>
      <c r="S146" s="353"/>
      <c r="T146" s="353"/>
      <c r="U146" s="353"/>
      <c r="V146" s="354"/>
      <c r="W146" s="37" t="s">
        <v>70</v>
      </c>
      <c r="X146" s="336">
        <f>IFERROR(SUM(X145:X145),"0")</f>
        <v>14</v>
      </c>
      <c r="Y146" s="336">
        <f>IFERROR(SUM(Y145:Y145),"0")</f>
        <v>14</v>
      </c>
      <c r="Z146" s="336">
        <f>IFERROR(IF(Z145="",0,Z145),"0")</f>
        <v>0.25031999999999999</v>
      </c>
      <c r="AA146" s="337"/>
      <c r="AB146" s="337"/>
      <c r="AC146" s="337"/>
    </row>
    <row r="147" spans="1:68" x14ac:dyDescent="0.2">
      <c r="A147" s="348"/>
      <c r="B147" s="348"/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65"/>
      <c r="P147" s="352" t="s">
        <v>73</v>
      </c>
      <c r="Q147" s="353"/>
      <c r="R147" s="353"/>
      <c r="S147" s="353"/>
      <c r="T147" s="353"/>
      <c r="U147" s="353"/>
      <c r="V147" s="354"/>
      <c r="W147" s="37" t="s">
        <v>74</v>
      </c>
      <c r="X147" s="336">
        <f>IFERROR(SUMPRODUCT(X145:X145*H145:H145),"0")</f>
        <v>42</v>
      </c>
      <c r="Y147" s="336">
        <f>IFERROR(SUMPRODUCT(Y145:Y145*H145:H145),"0")</f>
        <v>42</v>
      </c>
      <c r="Z147" s="37"/>
      <c r="AA147" s="337"/>
      <c r="AB147" s="337"/>
      <c r="AC147" s="337"/>
    </row>
    <row r="148" spans="1:68" ht="16.5" customHeight="1" x14ac:dyDescent="0.25">
      <c r="A148" s="349" t="s">
        <v>253</v>
      </c>
      <c r="B148" s="348"/>
      <c r="C148" s="348"/>
      <c r="D148" s="348"/>
      <c r="E148" s="348"/>
      <c r="F148" s="348"/>
      <c r="G148" s="348"/>
      <c r="H148" s="348"/>
      <c r="I148" s="348"/>
      <c r="J148" s="348"/>
      <c r="K148" s="348"/>
      <c r="L148" s="348"/>
      <c r="M148" s="348"/>
      <c r="N148" s="348"/>
      <c r="O148" s="348"/>
      <c r="P148" s="348"/>
      <c r="Q148" s="348"/>
      <c r="R148" s="348"/>
      <c r="S148" s="348"/>
      <c r="T148" s="348"/>
      <c r="U148" s="348"/>
      <c r="V148" s="348"/>
      <c r="W148" s="348"/>
      <c r="X148" s="348"/>
      <c r="Y148" s="348"/>
      <c r="Z148" s="348"/>
      <c r="AA148" s="329"/>
      <c r="AB148" s="329"/>
      <c r="AC148" s="329"/>
    </row>
    <row r="149" spans="1:68" ht="14.25" customHeight="1" x14ac:dyDescent="0.25">
      <c r="A149" s="347" t="s">
        <v>147</v>
      </c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330"/>
      <c r="AB149" s="330"/>
      <c r="AC149" s="330"/>
    </row>
    <row r="150" spans="1:68" ht="16.5" customHeight="1" x14ac:dyDescent="0.25">
      <c r="A150" s="54" t="s">
        <v>254</v>
      </c>
      <c r="B150" s="54" t="s">
        <v>255</v>
      </c>
      <c r="C150" s="31">
        <v>4301135596</v>
      </c>
      <c r="D150" s="343">
        <v>4607111039613</v>
      </c>
      <c r="E150" s="344"/>
      <c r="F150" s="333">
        <v>0.09</v>
      </c>
      <c r="G150" s="32">
        <v>30</v>
      </c>
      <c r="H150" s="333">
        <v>2.7</v>
      </c>
      <c r="I150" s="333">
        <v>3.09</v>
      </c>
      <c r="J150" s="32">
        <v>126</v>
      </c>
      <c r="K150" s="32" t="s">
        <v>80</v>
      </c>
      <c r="L150" s="32" t="s">
        <v>68</v>
      </c>
      <c r="M150" s="33" t="s">
        <v>69</v>
      </c>
      <c r="N150" s="33"/>
      <c r="O150" s="32">
        <v>180</v>
      </c>
      <c r="P150" s="36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339"/>
      <c r="R150" s="339"/>
      <c r="S150" s="339"/>
      <c r="T150" s="340"/>
      <c r="U150" s="34"/>
      <c r="V150" s="34"/>
      <c r="W150" s="35" t="s">
        <v>70</v>
      </c>
      <c r="X150" s="334">
        <v>14</v>
      </c>
      <c r="Y150" s="335">
        <f>IFERROR(IF(X150="","",X150),"")</f>
        <v>14</v>
      </c>
      <c r="Z150" s="36">
        <f>IFERROR(IF(X150="","",X150*0.00936),"")</f>
        <v>0.13103999999999999</v>
      </c>
      <c r="AA150" s="56"/>
      <c r="AB150" s="57"/>
      <c r="AC150" s="176" t="s">
        <v>238</v>
      </c>
      <c r="AG150" s="67"/>
      <c r="AJ150" s="71" t="s">
        <v>72</v>
      </c>
      <c r="AK150" s="71">
        <v>1</v>
      </c>
      <c r="BB150" s="177" t="s">
        <v>83</v>
      </c>
      <c r="BM150" s="67">
        <f>IFERROR(X150*I150,"0")</f>
        <v>43.26</v>
      </c>
      <c r="BN150" s="67">
        <f>IFERROR(Y150*I150,"0")</f>
        <v>43.26</v>
      </c>
      <c r="BO150" s="67">
        <f>IFERROR(X150/J150,"0")</f>
        <v>0.1111111111111111</v>
      </c>
      <c r="BP150" s="67">
        <f>IFERROR(Y150/J150,"0")</f>
        <v>0.1111111111111111</v>
      </c>
    </row>
    <row r="151" spans="1:68" x14ac:dyDescent="0.2">
      <c r="A151" s="364"/>
      <c r="B151" s="348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8"/>
      <c r="O151" s="365"/>
      <c r="P151" s="352" t="s">
        <v>73</v>
      </c>
      <c r="Q151" s="353"/>
      <c r="R151" s="353"/>
      <c r="S151" s="353"/>
      <c r="T151" s="353"/>
      <c r="U151" s="353"/>
      <c r="V151" s="354"/>
      <c r="W151" s="37" t="s">
        <v>70</v>
      </c>
      <c r="X151" s="336">
        <f>IFERROR(SUM(X150:X150),"0")</f>
        <v>14</v>
      </c>
      <c r="Y151" s="336">
        <f>IFERROR(SUM(Y150:Y150),"0")</f>
        <v>14</v>
      </c>
      <c r="Z151" s="336">
        <f>IFERROR(IF(Z150="",0,Z150),"0")</f>
        <v>0.13103999999999999</v>
      </c>
      <c r="AA151" s="337"/>
      <c r="AB151" s="337"/>
      <c r="AC151" s="337"/>
    </row>
    <row r="152" spans="1:68" x14ac:dyDescent="0.2">
      <c r="A152" s="348"/>
      <c r="B152" s="348"/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8"/>
      <c r="O152" s="365"/>
      <c r="P152" s="352" t="s">
        <v>73</v>
      </c>
      <c r="Q152" s="353"/>
      <c r="R152" s="353"/>
      <c r="S152" s="353"/>
      <c r="T152" s="353"/>
      <c r="U152" s="353"/>
      <c r="V152" s="354"/>
      <c r="W152" s="37" t="s">
        <v>74</v>
      </c>
      <c r="X152" s="336">
        <f>IFERROR(SUMPRODUCT(X150:X150*H150:H150),"0")</f>
        <v>37.800000000000004</v>
      </c>
      <c r="Y152" s="336">
        <f>IFERROR(SUMPRODUCT(Y150:Y150*H150:H150),"0")</f>
        <v>37.800000000000004</v>
      </c>
      <c r="Z152" s="37"/>
      <c r="AA152" s="337"/>
      <c r="AB152" s="337"/>
      <c r="AC152" s="337"/>
    </row>
    <row r="153" spans="1:68" ht="16.5" customHeight="1" x14ac:dyDescent="0.25">
      <c r="A153" s="349" t="s">
        <v>256</v>
      </c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  <c r="AA153" s="329"/>
      <c r="AB153" s="329"/>
      <c r="AC153" s="329"/>
    </row>
    <row r="154" spans="1:68" ht="14.25" customHeight="1" x14ac:dyDescent="0.25">
      <c r="A154" s="347" t="s">
        <v>257</v>
      </c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330"/>
      <c r="AB154" s="330"/>
      <c r="AC154" s="330"/>
    </row>
    <row r="155" spans="1:68" ht="27" customHeight="1" x14ac:dyDescent="0.25">
      <c r="A155" s="54" t="s">
        <v>258</v>
      </c>
      <c r="B155" s="54" t="s">
        <v>259</v>
      </c>
      <c r="C155" s="31">
        <v>4301071054</v>
      </c>
      <c r="D155" s="343">
        <v>4607111035639</v>
      </c>
      <c r="E155" s="344"/>
      <c r="F155" s="333">
        <v>0.2</v>
      </c>
      <c r="G155" s="32">
        <v>8</v>
      </c>
      <c r="H155" s="333">
        <v>1.6</v>
      </c>
      <c r="I155" s="333">
        <v>2.12</v>
      </c>
      <c r="J155" s="32">
        <v>72</v>
      </c>
      <c r="K155" s="32" t="s">
        <v>260</v>
      </c>
      <c r="L155" s="32" t="s">
        <v>68</v>
      </c>
      <c r="M155" s="33" t="s">
        <v>69</v>
      </c>
      <c r="N155" s="33"/>
      <c r="O155" s="32">
        <v>180</v>
      </c>
      <c r="P155" s="35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339"/>
      <c r="R155" s="339"/>
      <c r="S155" s="339"/>
      <c r="T155" s="340"/>
      <c r="U155" s="34"/>
      <c r="V155" s="34"/>
      <c r="W155" s="35" t="s">
        <v>70</v>
      </c>
      <c r="X155" s="334">
        <v>0</v>
      </c>
      <c r="Y155" s="335">
        <f>IFERROR(IF(X155="","",X155),"")</f>
        <v>0</v>
      </c>
      <c r="Z155" s="36">
        <f>IFERROR(IF(X155="","",X155*0.01157),"")</f>
        <v>0</v>
      </c>
      <c r="AA155" s="56"/>
      <c r="AB155" s="57"/>
      <c r="AC155" s="178" t="s">
        <v>261</v>
      </c>
      <c r="AG155" s="67"/>
      <c r="AJ155" s="71" t="s">
        <v>72</v>
      </c>
      <c r="AK155" s="71">
        <v>1</v>
      </c>
      <c r="BB155" s="179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262</v>
      </c>
      <c r="B156" s="54" t="s">
        <v>263</v>
      </c>
      <c r="C156" s="31">
        <v>4301135540</v>
      </c>
      <c r="D156" s="343">
        <v>4607111035646</v>
      </c>
      <c r="E156" s="344"/>
      <c r="F156" s="333">
        <v>0.2</v>
      </c>
      <c r="G156" s="32">
        <v>8</v>
      </c>
      <c r="H156" s="333">
        <v>1.6</v>
      </c>
      <c r="I156" s="333">
        <v>2.12</v>
      </c>
      <c r="J156" s="32">
        <v>72</v>
      </c>
      <c r="K156" s="32" t="s">
        <v>260</v>
      </c>
      <c r="L156" s="32" t="s">
        <v>68</v>
      </c>
      <c r="M156" s="33" t="s">
        <v>69</v>
      </c>
      <c r="N156" s="33"/>
      <c r="O156" s="32">
        <v>180</v>
      </c>
      <c r="P156" s="47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339"/>
      <c r="R156" s="339"/>
      <c r="S156" s="339"/>
      <c r="T156" s="340"/>
      <c r="U156" s="34"/>
      <c r="V156" s="34"/>
      <c r="W156" s="35" t="s">
        <v>70</v>
      </c>
      <c r="X156" s="334">
        <v>0</v>
      </c>
      <c r="Y156" s="335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261</v>
      </c>
      <c r="AG156" s="67"/>
      <c r="AJ156" s="71" t="s">
        <v>72</v>
      </c>
      <c r="AK156" s="71">
        <v>1</v>
      </c>
      <c r="BB156" s="181" t="s">
        <v>83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364"/>
      <c r="B157" s="348"/>
      <c r="C157" s="348"/>
      <c r="D157" s="348"/>
      <c r="E157" s="348"/>
      <c r="F157" s="348"/>
      <c r="G157" s="348"/>
      <c r="H157" s="348"/>
      <c r="I157" s="348"/>
      <c r="J157" s="348"/>
      <c r="K157" s="348"/>
      <c r="L157" s="348"/>
      <c r="M157" s="348"/>
      <c r="N157" s="348"/>
      <c r="O157" s="365"/>
      <c r="P157" s="352" t="s">
        <v>73</v>
      </c>
      <c r="Q157" s="353"/>
      <c r="R157" s="353"/>
      <c r="S157" s="353"/>
      <c r="T157" s="353"/>
      <c r="U157" s="353"/>
      <c r="V157" s="354"/>
      <c r="W157" s="37" t="s">
        <v>70</v>
      </c>
      <c r="X157" s="336">
        <f>IFERROR(SUM(X155:X156),"0")</f>
        <v>0</v>
      </c>
      <c r="Y157" s="336">
        <f>IFERROR(SUM(Y155:Y156),"0")</f>
        <v>0</v>
      </c>
      <c r="Z157" s="336">
        <f>IFERROR(IF(Z155="",0,Z155),"0")+IFERROR(IF(Z156="",0,Z156),"0")</f>
        <v>0</v>
      </c>
      <c r="AA157" s="337"/>
      <c r="AB157" s="337"/>
      <c r="AC157" s="337"/>
    </row>
    <row r="158" spans="1:68" x14ac:dyDescent="0.2">
      <c r="A158" s="348"/>
      <c r="B158" s="348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8"/>
      <c r="O158" s="365"/>
      <c r="P158" s="352" t="s">
        <v>73</v>
      </c>
      <c r="Q158" s="353"/>
      <c r="R158" s="353"/>
      <c r="S158" s="353"/>
      <c r="T158" s="353"/>
      <c r="U158" s="353"/>
      <c r="V158" s="354"/>
      <c r="W158" s="37" t="s">
        <v>74</v>
      </c>
      <c r="X158" s="336">
        <f>IFERROR(SUMPRODUCT(X155:X156*H155:H156),"0")</f>
        <v>0</v>
      </c>
      <c r="Y158" s="336">
        <f>IFERROR(SUMPRODUCT(Y155:Y156*H155:H156),"0")</f>
        <v>0</v>
      </c>
      <c r="Z158" s="37"/>
      <c r="AA158" s="337"/>
      <c r="AB158" s="337"/>
      <c r="AC158" s="337"/>
    </row>
    <row r="159" spans="1:68" ht="16.5" customHeight="1" x14ac:dyDescent="0.25">
      <c r="A159" s="349" t="s">
        <v>264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329"/>
      <c r="AB159" s="329"/>
      <c r="AC159" s="329"/>
    </row>
    <row r="160" spans="1:68" ht="14.25" customHeight="1" x14ac:dyDescent="0.25">
      <c r="A160" s="347" t="s">
        <v>147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330"/>
      <c r="AB160" s="330"/>
      <c r="AC160" s="330"/>
    </row>
    <row r="161" spans="1:68" ht="27" customHeight="1" x14ac:dyDescent="0.25">
      <c r="A161" s="54" t="s">
        <v>265</v>
      </c>
      <c r="B161" s="54" t="s">
        <v>266</v>
      </c>
      <c r="C161" s="31">
        <v>4301135281</v>
      </c>
      <c r="D161" s="343">
        <v>4607111036568</v>
      </c>
      <c r="E161" s="344"/>
      <c r="F161" s="333">
        <v>0.28000000000000003</v>
      </c>
      <c r="G161" s="32">
        <v>6</v>
      </c>
      <c r="H161" s="333">
        <v>1.68</v>
      </c>
      <c r="I161" s="333">
        <v>2.1017999999999999</v>
      </c>
      <c r="J161" s="32">
        <v>140</v>
      </c>
      <c r="K161" s="32" t="s">
        <v>80</v>
      </c>
      <c r="L161" s="32" t="s">
        <v>68</v>
      </c>
      <c r="M161" s="33" t="s">
        <v>69</v>
      </c>
      <c r="N161" s="33"/>
      <c r="O161" s="32">
        <v>180</v>
      </c>
      <c r="P161" s="473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339"/>
      <c r="R161" s="339"/>
      <c r="S161" s="339"/>
      <c r="T161" s="340"/>
      <c r="U161" s="34"/>
      <c r="V161" s="34"/>
      <c r="W161" s="35" t="s">
        <v>70</v>
      </c>
      <c r="X161" s="334">
        <v>0</v>
      </c>
      <c r="Y161" s="335">
        <f>IFERROR(IF(X161="","",X161),"")</f>
        <v>0</v>
      </c>
      <c r="Z161" s="36">
        <f>IFERROR(IF(X161="","",X161*0.00941),"")</f>
        <v>0</v>
      </c>
      <c r="AA161" s="56"/>
      <c r="AB161" s="57"/>
      <c r="AC161" s="182" t="s">
        <v>267</v>
      </c>
      <c r="AG161" s="67"/>
      <c r="AJ161" s="71" t="s">
        <v>72</v>
      </c>
      <c r="AK161" s="71">
        <v>1</v>
      </c>
      <c r="BB161" s="183" t="s">
        <v>83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364"/>
      <c r="B162" s="348"/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8"/>
      <c r="O162" s="365"/>
      <c r="P162" s="352" t="s">
        <v>73</v>
      </c>
      <c r="Q162" s="353"/>
      <c r="R162" s="353"/>
      <c r="S162" s="353"/>
      <c r="T162" s="353"/>
      <c r="U162" s="353"/>
      <c r="V162" s="354"/>
      <c r="W162" s="37" t="s">
        <v>70</v>
      </c>
      <c r="X162" s="336">
        <f>IFERROR(SUM(X161:X161),"0")</f>
        <v>0</v>
      </c>
      <c r="Y162" s="336">
        <f>IFERROR(SUM(Y161:Y161),"0")</f>
        <v>0</v>
      </c>
      <c r="Z162" s="336">
        <f>IFERROR(IF(Z161="",0,Z161),"0")</f>
        <v>0</v>
      </c>
      <c r="AA162" s="337"/>
      <c r="AB162" s="337"/>
      <c r="AC162" s="337"/>
    </row>
    <row r="163" spans="1:68" x14ac:dyDescent="0.2">
      <c r="A163" s="348"/>
      <c r="B163" s="348"/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8"/>
      <c r="O163" s="365"/>
      <c r="P163" s="352" t="s">
        <v>73</v>
      </c>
      <c r="Q163" s="353"/>
      <c r="R163" s="353"/>
      <c r="S163" s="353"/>
      <c r="T163" s="353"/>
      <c r="U163" s="353"/>
      <c r="V163" s="354"/>
      <c r="W163" s="37" t="s">
        <v>74</v>
      </c>
      <c r="X163" s="336">
        <f>IFERROR(SUMPRODUCT(X161:X161*H161:H161),"0")</f>
        <v>0</v>
      </c>
      <c r="Y163" s="336">
        <f>IFERROR(SUMPRODUCT(Y161:Y161*H161:H161),"0")</f>
        <v>0</v>
      </c>
      <c r="Z163" s="37"/>
      <c r="AA163" s="337"/>
      <c r="AB163" s="337"/>
      <c r="AC163" s="337"/>
    </row>
    <row r="164" spans="1:68" ht="27.75" customHeight="1" x14ac:dyDescent="0.2">
      <c r="A164" s="438" t="s">
        <v>268</v>
      </c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  <c r="AA164" s="48"/>
      <c r="AB164" s="48"/>
      <c r="AC164" s="48"/>
    </row>
    <row r="165" spans="1:68" ht="16.5" customHeight="1" x14ac:dyDescent="0.25">
      <c r="A165" s="349" t="s">
        <v>269</v>
      </c>
      <c r="B165" s="348"/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  <c r="AA165" s="329"/>
      <c r="AB165" s="329"/>
      <c r="AC165" s="329"/>
    </row>
    <row r="166" spans="1:68" ht="14.25" customHeight="1" x14ac:dyDescent="0.25">
      <c r="A166" s="347" t="s">
        <v>147</v>
      </c>
      <c r="B166" s="348"/>
      <c r="C166" s="348"/>
      <c r="D166" s="348"/>
      <c r="E166" s="348"/>
      <c r="F166" s="348"/>
      <c r="G166" s="348"/>
      <c r="H166" s="348"/>
      <c r="I166" s="348"/>
      <c r="J166" s="348"/>
      <c r="K166" s="348"/>
      <c r="L166" s="348"/>
      <c r="M166" s="348"/>
      <c r="N166" s="348"/>
      <c r="O166" s="348"/>
      <c r="P166" s="348"/>
      <c r="Q166" s="348"/>
      <c r="R166" s="348"/>
      <c r="S166" s="348"/>
      <c r="T166" s="348"/>
      <c r="U166" s="348"/>
      <c r="V166" s="348"/>
      <c r="W166" s="348"/>
      <c r="X166" s="348"/>
      <c r="Y166" s="348"/>
      <c r="Z166" s="348"/>
      <c r="AA166" s="330"/>
      <c r="AB166" s="330"/>
      <c r="AC166" s="330"/>
    </row>
    <row r="167" spans="1:68" ht="27" customHeight="1" x14ac:dyDescent="0.25">
      <c r="A167" s="54" t="s">
        <v>270</v>
      </c>
      <c r="B167" s="54" t="s">
        <v>271</v>
      </c>
      <c r="C167" s="31">
        <v>4301135317</v>
      </c>
      <c r="D167" s="343">
        <v>4607111039057</v>
      </c>
      <c r="E167" s="344"/>
      <c r="F167" s="333">
        <v>1.8</v>
      </c>
      <c r="G167" s="32">
        <v>1</v>
      </c>
      <c r="H167" s="333">
        <v>1.8</v>
      </c>
      <c r="I167" s="333">
        <v>1.9</v>
      </c>
      <c r="J167" s="32">
        <v>234</v>
      </c>
      <c r="K167" s="32" t="s">
        <v>161</v>
      </c>
      <c r="L167" s="32" t="s">
        <v>109</v>
      </c>
      <c r="M167" s="33" t="s">
        <v>69</v>
      </c>
      <c r="N167" s="33"/>
      <c r="O167" s="32">
        <v>180</v>
      </c>
      <c r="P167" s="425" t="s">
        <v>272</v>
      </c>
      <c r="Q167" s="339"/>
      <c r="R167" s="339"/>
      <c r="S167" s="339"/>
      <c r="T167" s="340"/>
      <c r="U167" s="34"/>
      <c r="V167" s="34"/>
      <c r="W167" s="35" t="s">
        <v>70</v>
      </c>
      <c r="X167" s="334">
        <v>0</v>
      </c>
      <c r="Y167" s="335">
        <f>IFERROR(IF(X167="","",X167),"")</f>
        <v>0</v>
      </c>
      <c r="Z167" s="36">
        <f>IFERROR(IF(X167="","",X167*0.00502),"")</f>
        <v>0</v>
      </c>
      <c r="AA167" s="56"/>
      <c r="AB167" s="57"/>
      <c r="AC167" s="184" t="s">
        <v>238</v>
      </c>
      <c r="AG167" s="67"/>
      <c r="AJ167" s="71" t="s">
        <v>111</v>
      </c>
      <c r="AK167" s="71">
        <v>18</v>
      </c>
      <c r="BB167" s="18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364"/>
      <c r="B168" s="348"/>
      <c r="C168" s="348"/>
      <c r="D168" s="348"/>
      <c r="E168" s="348"/>
      <c r="F168" s="348"/>
      <c r="G168" s="348"/>
      <c r="H168" s="348"/>
      <c r="I168" s="348"/>
      <c r="J168" s="348"/>
      <c r="K168" s="348"/>
      <c r="L168" s="348"/>
      <c r="M168" s="348"/>
      <c r="N168" s="348"/>
      <c r="O168" s="365"/>
      <c r="P168" s="352" t="s">
        <v>73</v>
      </c>
      <c r="Q168" s="353"/>
      <c r="R168" s="353"/>
      <c r="S168" s="353"/>
      <c r="T168" s="353"/>
      <c r="U168" s="353"/>
      <c r="V168" s="354"/>
      <c r="W168" s="37" t="s">
        <v>70</v>
      </c>
      <c r="X168" s="336">
        <f>IFERROR(SUM(X167:X167),"0")</f>
        <v>0</v>
      </c>
      <c r="Y168" s="336">
        <f>IFERROR(SUM(Y167:Y167),"0")</f>
        <v>0</v>
      </c>
      <c r="Z168" s="336">
        <f>IFERROR(IF(Z167="",0,Z167),"0")</f>
        <v>0</v>
      </c>
      <c r="AA168" s="337"/>
      <c r="AB168" s="337"/>
      <c r="AC168" s="337"/>
    </row>
    <row r="169" spans="1:68" x14ac:dyDescent="0.2">
      <c r="A169" s="348"/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65"/>
      <c r="P169" s="352" t="s">
        <v>73</v>
      </c>
      <c r="Q169" s="353"/>
      <c r="R169" s="353"/>
      <c r="S169" s="353"/>
      <c r="T169" s="353"/>
      <c r="U169" s="353"/>
      <c r="V169" s="354"/>
      <c r="W169" s="37" t="s">
        <v>74</v>
      </c>
      <c r="X169" s="336">
        <f>IFERROR(SUMPRODUCT(X167:X167*H167:H167),"0")</f>
        <v>0</v>
      </c>
      <c r="Y169" s="336">
        <f>IFERROR(SUMPRODUCT(Y167:Y167*H167:H167),"0")</f>
        <v>0</v>
      </c>
      <c r="Z169" s="37"/>
      <c r="AA169" s="337"/>
      <c r="AB169" s="337"/>
      <c r="AC169" s="337"/>
    </row>
    <row r="170" spans="1:68" ht="16.5" customHeight="1" x14ac:dyDescent="0.25">
      <c r="A170" s="349" t="s">
        <v>273</v>
      </c>
      <c r="B170" s="348"/>
      <c r="C170" s="348"/>
      <c r="D170" s="348"/>
      <c r="E170" s="348"/>
      <c r="F170" s="348"/>
      <c r="G170" s="348"/>
      <c r="H170" s="348"/>
      <c r="I170" s="348"/>
      <c r="J170" s="348"/>
      <c r="K170" s="348"/>
      <c r="L170" s="348"/>
      <c r="M170" s="348"/>
      <c r="N170" s="348"/>
      <c r="O170" s="348"/>
      <c r="P170" s="348"/>
      <c r="Q170" s="348"/>
      <c r="R170" s="348"/>
      <c r="S170" s="348"/>
      <c r="T170" s="348"/>
      <c r="U170" s="348"/>
      <c r="V170" s="348"/>
      <c r="W170" s="348"/>
      <c r="X170" s="348"/>
      <c r="Y170" s="348"/>
      <c r="Z170" s="348"/>
      <c r="AA170" s="329"/>
      <c r="AB170" s="329"/>
      <c r="AC170" s="329"/>
    </row>
    <row r="171" spans="1:68" ht="14.25" customHeight="1" x14ac:dyDescent="0.25">
      <c r="A171" s="347" t="s">
        <v>64</v>
      </c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330"/>
      <c r="AB171" s="330"/>
      <c r="AC171" s="330"/>
    </row>
    <row r="172" spans="1:68" ht="16.5" customHeight="1" x14ac:dyDescent="0.25">
      <c r="A172" s="54" t="s">
        <v>274</v>
      </c>
      <c r="B172" s="54" t="s">
        <v>275</v>
      </c>
      <c r="C172" s="31">
        <v>4301071062</v>
      </c>
      <c r="D172" s="343">
        <v>4607111036384</v>
      </c>
      <c r="E172" s="344"/>
      <c r="F172" s="333">
        <v>5</v>
      </c>
      <c r="G172" s="32">
        <v>1</v>
      </c>
      <c r="H172" s="333">
        <v>5</v>
      </c>
      <c r="I172" s="333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359" t="s">
        <v>276</v>
      </c>
      <c r="Q172" s="339"/>
      <c r="R172" s="339"/>
      <c r="S172" s="339"/>
      <c r="T172" s="340"/>
      <c r="U172" s="34"/>
      <c r="V172" s="34"/>
      <c r="W172" s="35" t="s">
        <v>70</v>
      </c>
      <c r="X172" s="334">
        <v>0</v>
      </c>
      <c r="Y172" s="33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277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16.5" customHeight="1" x14ac:dyDescent="0.25">
      <c r="A173" s="54" t="s">
        <v>278</v>
      </c>
      <c r="B173" s="54" t="s">
        <v>279</v>
      </c>
      <c r="C173" s="31">
        <v>4301071056</v>
      </c>
      <c r="D173" s="343">
        <v>4640242180250</v>
      </c>
      <c r="E173" s="344"/>
      <c r="F173" s="333">
        <v>5</v>
      </c>
      <c r="G173" s="32">
        <v>1</v>
      </c>
      <c r="H173" s="333">
        <v>5</v>
      </c>
      <c r="I173" s="333">
        <v>5.2131999999999996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2" t="s">
        <v>280</v>
      </c>
      <c r="Q173" s="339"/>
      <c r="R173" s="339"/>
      <c r="S173" s="339"/>
      <c r="T173" s="340"/>
      <c r="U173" s="34"/>
      <c r="V173" s="34"/>
      <c r="W173" s="35" t="s">
        <v>70</v>
      </c>
      <c r="X173" s="334">
        <v>0</v>
      </c>
      <c r="Y173" s="335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281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282</v>
      </c>
      <c r="B174" s="54" t="s">
        <v>283</v>
      </c>
      <c r="C174" s="31">
        <v>4301071050</v>
      </c>
      <c r="D174" s="343">
        <v>4607111036216</v>
      </c>
      <c r="E174" s="344"/>
      <c r="F174" s="333">
        <v>5</v>
      </c>
      <c r="G174" s="32">
        <v>1</v>
      </c>
      <c r="H174" s="333">
        <v>5</v>
      </c>
      <c r="I174" s="333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54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39"/>
      <c r="R174" s="339"/>
      <c r="S174" s="339"/>
      <c r="T174" s="340"/>
      <c r="U174" s="34"/>
      <c r="V174" s="34"/>
      <c r="W174" s="35" t="s">
        <v>70</v>
      </c>
      <c r="X174" s="334">
        <v>36</v>
      </c>
      <c r="Y174" s="335">
        <f>IFERROR(IF(X174="","",X174),"")</f>
        <v>36</v>
      </c>
      <c r="Z174" s="36">
        <f>IFERROR(IF(X174="","",X174*0.00866),"")</f>
        <v>0.31175999999999998</v>
      </c>
      <c r="AA174" s="56"/>
      <c r="AB174" s="57"/>
      <c r="AC174" s="190" t="s">
        <v>284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187.67519999999999</v>
      </c>
      <c r="BN174" s="67">
        <f>IFERROR(Y174*I174,"0")</f>
        <v>187.67519999999999</v>
      </c>
      <c r="BO174" s="67">
        <f>IFERROR(X174/J174,"0")</f>
        <v>0.25</v>
      </c>
      <c r="BP174" s="67">
        <f>IFERROR(Y174/J174,"0")</f>
        <v>0.25</v>
      </c>
    </row>
    <row r="175" spans="1:68" ht="27" customHeight="1" x14ac:dyDescent="0.25">
      <c r="A175" s="54" t="s">
        <v>285</v>
      </c>
      <c r="B175" s="54" t="s">
        <v>286</v>
      </c>
      <c r="C175" s="31">
        <v>4301071061</v>
      </c>
      <c r="D175" s="343">
        <v>4607111036278</v>
      </c>
      <c r="E175" s="344"/>
      <c r="F175" s="333">
        <v>5</v>
      </c>
      <c r="G175" s="32">
        <v>1</v>
      </c>
      <c r="H175" s="333">
        <v>5</v>
      </c>
      <c r="I175" s="333">
        <v>5.2405999999999997</v>
      </c>
      <c r="J175" s="32">
        <v>84</v>
      </c>
      <c r="K175" s="32" t="s">
        <v>67</v>
      </c>
      <c r="L175" s="32" t="s">
        <v>68</v>
      </c>
      <c r="M175" s="33" t="s">
        <v>69</v>
      </c>
      <c r="N175" s="33"/>
      <c r="O175" s="32">
        <v>180</v>
      </c>
      <c r="P175" s="500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339"/>
      <c r="R175" s="339"/>
      <c r="S175" s="339"/>
      <c r="T175" s="340"/>
      <c r="U175" s="34"/>
      <c r="V175" s="34"/>
      <c r="W175" s="35" t="s">
        <v>70</v>
      </c>
      <c r="X175" s="334">
        <v>0</v>
      </c>
      <c r="Y175" s="335">
        <f>IFERROR(IF(X175="","",X175),"")</f>
        <v>0</v>
      </c>
      <c r="Z175" s="36">
        <f>IFERROR(IF(X175="","",X175*0.0155),"")</f>
        <v>0</v>
      </c>
      <c r="AA175" s="56"/>
      <c r="AB175" s="57"/>
      <c r="AC175" s="192" t="s">
        <v>287</v>
      </c>
      <c r="AG175" s="67"/>
      <c r="AJ175" s="71" t="s">
        <v>72</v>
      </c>
      <c r="AK175" s="71">
        <v>1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64"/>
      <c r="B176" s="348"/>
      <c r="C176" s="348"/>
      <c r="D176" s="348"/>
      <c r="E176" s="348"/>
      <c r="F176" s="348"/>
      <c r="G176" s="348"/>
      <c r="H176" s="348"/>
      <c r="I176" s="348"/>
      <c r="J176" s="348"/>
      <c r="K176" s="348"/>
      <c r="L176" s="348"/>
      <c r="M176" s="348"/>
      <c r="N176" s="348"/>
      <c r="O176" s="365"/>
      <c r="P176" s="352" t="s">
        <v>73</v>
      </c>
      <c r="Q176" s="353"/>
      <c r="R176" s="353"/>
      <c r="S176" s="353"/>
      <c r="T176" s="353"/>
      <c r="U176" s="353"/>
      <c r="V176" s="354"/>
      <c r="W176" s="37" t="s">
        <v>70</v>
      </c>
      <c r="X176" s="336">
        <f>IFERROR(SUM(X172:X175),"0")</f>
        <v>36</v>
      </c>
      <c r="Y176" s="336">
        <f>IFERROR(SUM(Y172:Y175),"0")</f>
        <v>36</v>
      </c>
      <c r="Z176" s="336">
        <f>IFERROR(IF(Z172="",0,Z172),"0")+IFERROR(IF(Z173="",0,Z173),"0")+IFERROR(IF(Z174="",0,Z174),"0")+IFERROR(IF(Z175="",0,Z175),"0")</f>
        <v>0.31175999999999998</v>
      </c>
      <c r="AA176" s="337"/>
      <c r="AB176" s="337"/>
      <c r="AC176" s="337"/>
    </row>
    <row r="177" spans="1:68" x14ac:dyDescent="0.2">
      <c r="A177" s="348"/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65"/>
      <c r="P177" s="352" t="s">
        <v>73</v>
      </c>
      <c r="Q177" s="353"/>
      <c r="R177" s="353"/>
      <c r="S177" s="353"/>
      <c r="T177" s="353"/>
      <c r="U177" s="353"/>
      <c r="V177" s="354"/>
      <c r="W177" s="37" t="s">
        <v>74</v>
      </c>
      <c r="X177" s="336">
        <f>IFERROR(SUMPRODUCT(X172:X175*H172:H175),"0")</f>
        <v>180</v>
      </c>
      <c r="Y177" s="336">
        <f>IFERROR(SUMPRODUCT(Y172:Y175*H172:H175),"0")</f>
        <v>180</v>
      </c>
      <c r="Z177" s="37"/>
      <c r="AA177" s="337"/>
      <c r="AB177" s="337"/>
      <c r="AC177" s="337"/>
    </row>
    <row r="178" spans="1:68" ht="14.25" customHeight="1" x14ac:dyDescent="0.25">
      <c r="A178" s="347" t="s">
        <v>288</v>
      </c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330"/>
      <c r="AB178" s="330"/>
      <c r="AC178" s="330"/>
    </row>
    <row r="179" spans="1:68" ht="27" customHeight="1" x14ac:dyDescent="0.25">
      <c r="A179" s="54" t="s">
        <v>289</v>
      </c>
      <c r="B179" s="54" t="s">
        <v>290</v>
      </c>
      <c r="C179" s="31">
        <v>4301080153</v>
      </c>
      <c r="D179" s="343">
        <v>4607111036827</v>
      </c>
      <c r="E179" s="344"/>
      <c r="F179" s="333">
        <v>1</v>
      </c>
      <c r="G179" s="32">
        <v>5</v>
      </c>
      <c r="H179" s="333">
        <v>5</v>
      </c>
      <c r="I179" s="33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6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39"/>
      <c r="R179" s="339"/>
      <c r="S179" s="339"/>
      <c r="T179" s="340"/>
      <c r="U179" s="34"/>
      <c r="V179" s="34"/>
      <c r="W179" s="35" t="s">
        <v>70</v>
      </c>
      <c r="X179" s="334">
        <v>0</v>
      </c>
      <c r="Y179" s="33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291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292</v>
      </c>
      <c r="B180" s="54" t="s">
        <v>293</v>
      </c>
      <c r="C180" s="31">
        <v>4301080154</v>
      </c>
      <c r="D180" s="343">
        <v>4607111036834</v>
      </c>
      <c r="E180" s="344"/>
      <c r="F180" s="333">
        <v>1</v>
      </c>
      <c r="G180" s="32">
        <v>5</v>
      </c>
      <c r="H180" s="333">
        <v>5</v>
      </c>
      <c r="I180" s="33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42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39"/>
      <c r="R180" s="339"/>
      <c r="S180" s="339"/>
      <c r="T180" s="340"/>
      <c r="U180" s="34"/>
      <c r="V180" s="34"/>
      <c r="W180" s="35" t="s">
        <v>70</v>
      </c>
      <c r="X180" s="334">
        <v>0</v>
      </c>
      <c r="Y180" s="33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291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364"/>
      <c r="B181" s="348"/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8"/>
      <c r="N181" s="348"/>
      <c r="O181" s="365"/>
      <c r="P181" s="352" t="s">
        <v>73</v>
      </c>
      <c r="Q181" s="353"/>
      <c r="R181" s="353"/>
      <c r="S181" s="353"/>
      <c r="T181" s="353"/>
      <c r="U181" s="353"/>
      <c r="V181" s="354"/>
      <c r="W181" s="37" t="s">
        <v>70</v>
      </c>
      <c r="X181" s="336">
        <f>IFERROR(SUM(X179:X180),"0")</f>
        <v>0</v>
      </c>
      <c r="Y181" s="336">
        <f>IFERROR(SUM(Y179:Y180),"0")</f>
        <v>0</v>
      </c>
      <c r="Z181" s="336">
        <f>IFERROR(IF(Z179="",0,Z179),"0")+IFERROR(IF(Z180="",0,Z180),"0")</f>
        <v>0</v>
      </c>
      <c r="AA181" s="337"/>
      <c r="AB181" s="337"/>
      <c r="AC181" s="337"/>
    </row>
    <row r="182" spans="1:68" x14ac:dyDescent="0.2">
      <c r="A182" s="348"/>
      <c r="B182" s="348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8"/>
      <c r="O182" s="365"/>
      <c r="P182" s="352" t="s">
        <v>73</v>
      </c>
      <c r="Q182" s="353"/>
      <c r="R182" s="353"/>
      <c r="S182" s="353"/>
      <c r="T182" s="353"/>
      <c r="U182" s="353"/>
      <c r="V182" s="354"/>
      <c r="W182" s="37" t="s">
        <v>74</v>
      </c>
      <c r="X182" s="336">
        <f>IFERROR(SUMPRODUCT(X179:X180*H179:H180),"0")</f>
        <v>0</v>
      </c>
      <c r="Y182" s="336">
        <f>IFERROR(SUMPRODUCT(Y179:Y180*H179:H180),"0")</f>
        <v>0</v>
      </c>
      <c r="Z182" s="37"/>
      <c r="AA182" s="337"/>
      <c r="AB182" s="337"/>
      <c r="AC182" s="337"/>
    </row>
    <row r="183" spans="1:68" ht="27.75" customHeight="1" x14ac:dyDescent="0.2">
      <c r="A183" s="438" t="s">
        <v>294</v>
      </c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  <c r="AA183" s="48"/>
      <c r="AB183" s="48"/>
      <c r="AC183" s="48"/>
    </row>
    <row r="184" spans="1:68" ht="16.5" customHeight="1" x14ac:dyDescent="0.25">
      <c r="A184" s="349" t="s">
        <v>295</v>
      </c>
      <c r="B184" s="348"/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8"/>
      <c r="O184" s="348"/>
      <c r="P184" s="348"/>
      <c r="Q184" s="348"/>
      <c r="R184" s="348"/>
      <c r="S184" s="348"/>
      <c r="T184" s="348"/>
      <c r="U184" s="348"/>
      <c r="V184" s="348"/>
      <c r="W184" s="348"/>
      <c r="X184" s="348"/>
      <c r="Y184" s="348"/>
      <c r="Z184" s="348"/>
      <c r="AA184" s="329"/>
      <c r="AB184" s="329"/>
      <c r="AC184" s="329"/>
    </row>
    <row r="185" spans="1:68" ht="14.25" customHeight="1" x14ac:dyDescent="0.25">
      <c r="A185" s="347" t="s">
        <v>77</v>
      </c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330"/>
      <c r="AB185" s="330"/>
      <c r="AC185" s="330"/>
    </row>
    <row r="186" spans="1:68" ht="27" customHeight="1" x14ac:dyDescent="0.25">
      <c r="A186" s="54" t="s">
        <v>296</v>
      </c>
      <c r="B186" s="54" t="s">
        <v>297</v>
      </c>
      <c r="C186" s="31">
        <v>4301132182</v>
      </c>
      <c r="D186" s="343">
        <v>4607111035721</v>
      </c>
      <c r="E186" s="344"/>
      <c r="F186" s="333">
        <v>0.25</v>
      </c>
      <c r="G186" s="32">
        <v>12</v>
      </c>
      <c r="H186" s="333">
        <v>3</v>
      </c>
      <c r="I186" s="333">
        <v>3.3879999999999999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365</v>
      </c>
      <c r="P186" s="5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39"/>
      <c r="R186" s="339"/>
      <c r="S186" s="339"/>
      <c r="T186" s="340"/>
      <c r="U186" s="34"/>
      <c r="V186" s="34"/>
      <c r="W186" s="35" t="s">
        <v>70</v>
      </c>
      <c r="X186" s="334">
        <v>70</v>
      </c>
      <c r="Y186" s="335">
        <f>IFERROR(IF(X186="","",X186),"")</f>
        <v>70</v>
      </c>
      <c r="Z186" s="36">
        <f>IFERROR(IF(X186="","",X186*0.01788),"")</f>
        <v>1.2516</v>
      </c>
      <c r="AA186" s="56"/>
      <c r="AB186" s="57"/>
      <c r="AC186" s="198" t="s">
        <v>298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237.16</v>
      </c>
      <c r="BN186" s="67">
        <f>IFERROR(Y186*I186,"0")</f>
        <v>237.16</v>
      </c>
      <c r="BO186" s="67">
        <f>IFERROR(X186/J186,"0")</f>
        <v>1</v>
      </c>
      <c r="BP186" s="67">
        <f>IFERROR(Y186/J186,"0")</f>
        <v>1</v>
      </c>
    </row>
    <row r="187" spans="1:68" ht="27" customHeight="1" x14ac:dyDescent="0.25">
      <c r="A187" s="54" t="s">
        <v>299</v>
      </c>
      <c r="B187" s="54" t="s">
        <v>300</v>
      </c>
      <c r="C187" s="31">
        <v>4301132179</v>
      </c>
      <c r="D187" s="343">
        <v>4607111035691</v>
      </c>
      <c r="E187" s="344"/>
      <c r="F187" s="333">
        <v>0.25</v>
      </c>
      <c r="G187" s="32">
        <v>12</v>
      </c>
      <c r="H187" s="333">
        <v>3</v>
      </c>
      <c r="I187" s="333">
        <v>3.3879999999999999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365</v>
      </c>
      <c r="P187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339"/>
      <c r="R187" s="339"/>
      <c r="S187" s="339"/>
      <c r="T187" s="340"/>
      <c r="U187" s="34"/>
      <c r="V187" s="34"/>
      <c r="W187" s="35" t="s">
        <v>70</v>
      </c>
      <c r="X187" s="334">
        <v>70</v>
      </c>
      <c r="Y187" s="335">
        <f>IFERROR(IF(X187="","",X187),"")</f>
        <v>70</v>
      </c>
      <c r="Z187" s="36">
        <f>IFERROR(IF(X187="","",X187*0.01788),"")</f>
        <v>1.2516</v>
      </c>
      <c r="AA187" s="56"/>
      <c r="AB187" s="57"/>
      <c r="AC187" s="200" t="s">
        <v>301</v>
      </c>
      <c r="AG187" s="67"/>
      <c r="AJ187" s="71" t="s">
        <v>72</v>
      </c>
      <c r="AK187" s="71">
        <v>1</v>
      </c>
      <c r="BB187" s="201" t="s">
        <v>83</v>
      </c>
      <c r="BM187" s="67">
        <f>IFERROR(X187*I187,"0")</f>
        <v>237.16</v>
      </c>
      <c r="BN187" s="67">
        <f>IFERROR(Y187*I187,"0")</f>
        <v>237.16</v>
      </c>
      <c r="BO187" s="67">
        <f>IFERROR(X187/J187,"0")</f>
        <v>1</v>
      </c>
      <c r="BP187" s="67">
        <f>IFERROR(Y187/J187,"0")</f>
        <v>1</v>
      </c>
    </row>
    <row r="188" spans="1:68" ht="27" customHeight="1" x14ac:dyDescent="0.25">
      <c r="A188" s="54" t="s">
        <v>302</v>
      </c>
      <c r="B188" s="54" t="s">
        <v>303</v>
      </c>
      <c r="C188" s="31">
        <v>4301132170</v>
      </c>
      <c r="D188" s="343">
        <v>4607111038487</v>
      </c>
      <c r="E188" s="344"/>
      <c r="F188" s="333">
        <v>0.25</v>
      </c>
      <c r="G188" s="32">
        <v>12</v>
      </c>
      <c r="H188" s="333">
        <v>3</v>
      </c>
      <c r="I188" s="333">
        <v>3.7360000000000002</v>
      </c>
      <c r="J188" s="32">
        <v>70</v>
      </c>
      <c r="K188" s="32" t="s">
        <v>80</v>
      </c>
      <c r="L188" s="32" t="s">
        <v>68</v>
      </c>
      <c r="M188" s="33" t="s">
        <v>69</v>
      </c>
      <c r="N188" s="33"/>
      <c r="O188" s="32">
        <v>180</v>
      </c>
      <c r="P188" s="50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39"/>
      <c r="R188" s="339"/>
      <c r="S188" s="339"/>
      <c r="T188" s="340"/>
      <c r="U188" s="34"/>
      <c r="V188" s="34"/>
      <c r="W188" s="35" t="s">
        <v>70</v>
      </c>
      <c r="X188" s="334">
        <v>42</v>
      </c>
      <c r="Y188" s="335">
        <f>IFERROR(IF(X188="","",X188),"")</f>
        <v>42</v>
      </c>
      <c r="Z188" s="36">
        <f>IFERROR(IF(X188="","",X188*0.01788),"")</f>
        <v>0.75095999999999996</v>
      </c>
      <c r="AA188" s="56"/>
      <c r="AB188" s="57"/>
      <c r="AC188" s="202" t="s">
        <v>304</v>
      </c>
      <c r="AG188" s="67"/>
      <c r="AJ188" s="71" t="s">
        <v>72</v>
      </c>
      <c r="AK188" s="71">
        <v>1</v>
      </c>
      <c r="BB188" s="203" t="s">
        <v>83</v>
      </c>
      <c r="BM188" s="67">
        <f>IFERROR(X188*I188,"0")</f>
        <v>156.91200000000001</v>
      </c>
      <c r="BN188" s="67">
        <f>IFERROR(Y188*I188,"0")</f>
        <v>156.91200000000001</v>
      </c>
      <c r="BO188" s="67">
        <f>IFERROR(X188/J188,"0")</f>
        <v>0.6</v>
      </c>
      <c r="BP188" s="67">
        <f>IFERROR(Y188/J188,"0")</f>
        <v>0.6</v>
      </c>
    </row>
    <row r="189" spans="1:68" x14ac:dyDescent="0.2">
      <c r="A189" s="364"/>
      <c r="B189" s="348"/>
      <c r="C189" s="348"/>
      <c r="D189" s="348"/>
      <c r="E189" s="348"/>
      <c r="F189" s="348"/>
      <c r="G189" s="348"/>
      <c r="H189" s="348"/>
      <c r="I189" s="348"/>
      <c r="J189" s="348"/>
      <c r="K189" s="348"/>
      <c r="L189" s="348"/>
      <c r="M189" s="348"/>
      <c r="N189" s="348"/>
      <c r="O189" s="365"/>
      <c r="P189" s="352" t="s">
        <v>73</v>
      </c>
      <c r="Q189" s="353"/>
      <c r="R189" s="353"/>
      <c r="S189" s="353"/>
      <c r="T189" s="353"/>
      <c r="U189" s="353"/>
      <c r="V189" s="354"/>
      <c r="W189" s="37" t="s">
        <v>70</v>
      </c>
      <c r="X189" s="336">
        <f>IFERROR(SUM(X186:X188),"0")</f>
        <v>182</v>
      </c>
      <c r="Y189" s="336">
        <f>IFERROR(SUM(Y186:Y188),"0")</f>
        <v>182</v>
      </c>
      <c r="Z189" s="336">
        <f>IFERROR(IF(Z186="",0,Z186),"0")+IFERROR(IF(Z187="",0,Z187),"0")+IFERROR(IF(Z188="",0,Z188),"0")</f>
        <v>3.2541600000000002</v>
      </c>
      <c r="AA189" s="337"/>
      <c r="AB189" s="337"/>
      <c r="AC189" s="337"/>
    </row>
    <row r="190" spans="1:68" x14ac:dyDescent="0.2">
      <c r="A190" s="348"/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65"/>
      <c r="P190" s="352" t="s">
        <v>73</v>
      </c>
      <c r="Q190" s="353"/>
      <c r="R190" s="353"/>
      <c r="S190" s="353"/>
      <c r="T190" s="353"/>
      <c r="U190" s="353"/>
      <c r="V190" s="354"/>
      <c r="W190" s="37" t="s">
        <v>74</v>
      </c>
      <c r="X190" s="336">
        <f>IFERROR(SUMPRODUCT(X186:X188*H186:H188),"0")</f>
        <v>546</v>
      </c>
      <c r="Y190" s="336">
        <f>IFERROR(SUMPRODUCT(Y186:Y188*H186:H188),"0")</f>
        <v>546</v>
      </c>
      <c r="Z190" s="37"/>
      <c r="AA190" s="337"/>
      <c r="AB190" s="337"/>
      <c r="AC190" s="337"/>
    </row>
    <row r="191" spans="1:68" ht="14.25" customHeight="1" x14ac:dyDescent="0.25">
      <c r="A191" s="347" t="s">
        <v>305</v>
      </c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330"/>
      <c r="AB191" s="330"/>
      <c r="AC191" s="330"/>
    </row>
    <row r="192" spans="1:68" ht="27" customHeight="1" x14ac:dyDescent="0.25">
      <c r="A192" s="54" t="s">
        <v>306</v>
      </c>
      <c r="B192" s="54" t="s">
        <v>307</v>
      </c>
      <c r="C192" s="31">
        <v>4301051855</v>
      </c>
      <c r="D192" s="343">
        <v>4680115885875</v>
      </c>
      <c r="E192" s="344"/>
      <c r="F192" s="333">
        <v>1</v>
      </c>
      <c r="G192" s="32">
        <v>9</v>
      </c>
      <c r="H192" s="333">
        <v>9</v>
      </c>
      <c r="I192" s="333">
        <v>9.4350000000000005</v>
      </c>
      <c r="J192" s="32">
        <v>64</v>
      </c>
      <c r="K192" s="32" t="s">
        <v>308</v>
      </c>
      <c r="L192" s="32" t="s">
        <v>68</v>
      </c>
      <c r="M192" s="33" t="s">
        <v>309</v>
      </c>
      <c r="N192" s="33"/>
      <c r="O192" s="32">
        <v>365</v>
      </c>
      <c r="P192" s="402" t="s">
        <v>310</v>
      </c>
      <c r="Q192" s="339"/>
      <c r="R192" s="339"/>
      <c r="S192" s="339"/>
      <c r="T192" s="340"/>
      <c r="U192" s="34"/>
      <c r="V192" s="34"/>
      <c r="W192" s="35" t="s">
        <v>70</v>
      </c>
      <c r="X192" s="334">
        <v>0</v>
      </c>
      <c r="Y192" s="335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311</v>
      </c>
      <c r="AG192" s="67"/>
      <c r="AJ192" s="71" t="s">
        <v>72</v>
      </c>
      <c r="AK192" s="71">
        <v>1</v>
      </c>
      <c r="BB192" s="205" t="s">
        <v>312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364"/>
      <c r="B193" s="348"/>
      <c r="C193" s="348"/>
      <c r="D193" s="348"/>
      <c r="E193" s="348"/>
      <c r="F193" s="348"/>
      <c r="G193" s="348"/>
      <c r="H193" s="348"/>
      <c r="I193" s="348"/>
      <c r="J193" s="348"/>
      <c r="K193" s="348"/>
      <c r="L193" s="348"/>
      <c r="M193" s="348"/>
      <c r="N193" s="348"/>
      <c r="O193" s="365"/>
      <c r="P193" s="352" t="s">
        <v>73</v>
      </c>
      <c r="Q193" s="353"/>
      <c r="R193" s="353"/>
      <c r="S193" s="353"/>
      <c r="T193" s="353"/>
      <c r="U193" s="353"/>
      <c r="V193" s="354"/>
      <c r="W193" s="37" t="s">
        <v>70</v>
      </c>
      <c r="X193" s="336">
        <f>IFERROR(SUM(X192:X192),"0")</f>
        <v>0</v>
      </c>
      <c r="Y193" s="336">
        <f>IFERROR(SUM(Y192:Y192),"0")</f>
        <v>0</v>
      </c>
      <c r="Z193" s="336">
        <f>IFERROR(IF(Z192="",0,Z192),"0")</f>
        <v>0</v>
      </c>
      <c r="AA193" s="337"/>
      <c r="AB193" s="337"/>
      <c r="AC193" s="337"/>
    </row>
    <row r="194" spans="1:68" x14ac:dyDescent="0.2">
      <c r="A194" s="348"/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65"/>
      <c r="P194" s="352" t="s">
        <v>73</v>
      </c>
      <c r="Q194" s="353"/>
      <c r="R194" s="353"/>
      <c r="S194" s="353"/>
      <c r="T194" s="353"/>
      <c r="U194" s="353"/>
      <c r="V194" s="354"/>
      <c r="W194" s="37" t="s">
        <v>74</v>
      </c>
      <c r="X194" s="336">
        <f>IFERROR(SUMPRODUCT(X192:X192*H192:H192),"0")</f>
        <v>0</v>
      </c>
      <c r="Y194" s="336">
        <f>IFERROR(SUMPRODUCT(Y192:Y192*H192:H192),"0")</f>
        <v>0</v>
      </c>
      <c r="Z194" s="37"/>
      <c r="AA194" s="337"/>
      <c r="AB194" s="337"/>
      <c r="AC194" s="337"/>
    </row>
    <row r="195" spans="1:68" ht="27.75" customHeight="1" x14ac:dyDescent="0.2">
      <c r="A195" s="438" t="s">
        <v>313</v>
      </c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  <c r="AA195" s="48"/>
      <c r="AB195" s="48"/>
      <c r="AC195" s="48"/>
    </row>
    <row r="196" spans="1:68" ht="16.5" customHeight="1" x14ac:dyDescent="0.25">
      <c r="A196" s="349" t="s">
        <v>314</v>
      </c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329"/>
      <c r="AB196" s="329"/>
      <c r="AC196" s="329"/>
    </row>
    <row r="197" spans="1:68" ht="14.25" customHeight="1" x14ac:dyDescent="0.25">
      <c r="A197" s="347" t="s">
        <v>147</v>
      </c>
      <c r="B197" s="348"/>
      <c r="C197" s="348"/>
      <c r="D197" s="348"/>
      <c r="E197" s="348"/>
      <c r="F197" s="348"/>
      <c r="G197" s="348"/>
      <c r="H197" s="348"/>
      <c r="I197" s="348"/>
      <c r="J197" s="348"/>
      <c r="K197" s="348"/>
      <c r="L197" s="348"/>
      <c r="M197" s="348"/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  <c r="AA197" s="330"/>
      <c r="AB197" s="330"/>
      <c r="AC197" s="330"/>
    </row>
    <row r="198" spans="1:68" ht="27" customHeight="1" x14ac:dyDescent="0.25">
      <c r="A198" s="54" t="s">
        <v>315</v>
      </c>
      <c r="B198" s="54" t="s">
        <v>316</v>
      </c>
      <c r="C198" s="31">
        <v>4301135707</v>
      </c>
      <c r="D198" s="343">
        <v>4620207490198</v>
      </c>
      <c r="E198" s="344"/>
      <c r="F198" s="333">
        <v>0.2</v>
      </c>
      <c r="G198" s="32">
        <v>12</v>
      </c>
      <c r="H198" s="333">
        <v>2.4</v>
      </c>
      <c r="I198" s="333">
        <v>3.1036000000000001</v>
      </c>
      <c r="J198" s="32">
        <v>70</v>
      </c>
      <c r="K198" s="32" t="s">
        <v>80</v>
      </c>
      <c r="L198" s="32" t="s">
        <v>109</v>
      </c>
      <c r="M198" s="33" t="s">
        <v>69</v>
      </c>
      <c r="N198" s="33"/>
      <c r="O198" s="32">
        <v>180</v>
      </c>
      <c r="P198" s="5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39"/>
      <c r="R198" s="339"/>
      <c r="S198" s="339"/>
      <c r="T198" s="340"/>
      <c r="U198" s="34"/>
      <c r="V198" s="34"/>
      <c r="W198" s="35" t="s">
        <v>70</v>
      </c>
      <c r="X198" s="334">
        <v>14</v>
      </c>
      <c r="Y198" s="335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317</v>
      </c>
      <c r="AG198" s="67"/>
      <c r="AJ198" s="71" t="s">
        <v>111</v>
      </c>
      <c r="AK198" s="71">
        <v>14</v>
      </c>
      <c r="BB198" s="207" t="s">
        <v>83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318</v>
      </c>
      <c r="B199" s="54" t="s">
        <v>319</v>
      </c>
      <c r="C199" s="31">
        <v>4301135719</v>
      </c>
      <c r="D199" s="343">
        <v>4620207490235</v>
      </c>
      <c r="E199" s="344"/>
      <c r="F199" s="333">
        <v>0.2</v>
      </c>
      <c r="G199" s="32">
        <v>12</v>
      </c>
      <c r="H199" s="333">
        <v>2.4</v>
      </c>
      <c r="I199" s="333">
        <v>3.1036000000000001</v>
      </c>
      <c r="J199" s="32">
        <v>70</v>
      </c>
      <c r="K199" s="32" t="s">
        <v>80</v>
      </c>
      <c r="L199" s="32" t="s">
        <v>109</v>
      </c>
      <c r="M199" s="33" t="s">
        <v>69</v>
      </c>
      <c r="N199" s="33"/>
      <c r="O199" s="32">
        <v>180</v>
      </c>
      <c r="P199" s="5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339"/>
      <c r="R199" s="339"/>
      <c r="S199" s="339"/>
      <c r="T199" s="340"/>
      <c r="U199" s="34"/>
      <c r="V199" s="34"/>
      <c r="W199" s="35" t="s">
        <v>70</v>
      </c>
      <c r="X199" s="334">
        <v>14</v>
      </c>
      <c r="Y199" s="335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320</v>
      </c>
      <c r="AG199" s="67"/>
      <c r="AJ199" s="71" t="s">
        <v>111</v>
      </c>
      <c r="AK199" s="71">
        <v>14</v>
      </c>
      <c r="BB199" s="209" t="s">
        <v>83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customHeight="1" x14ac:dyDescent="0.25">
      <c r="A200" s="54" t="s">
        <v>321</v>
      </c>
      <c r="B200" s="54" t="s">
        <v>322</v>
      </c>
      <c r="C200" s="31">
        <v>4301135697</v>
      </c>
      <c r="D200" s="343">
        <v>4620207490259</v>
      </c>
      <c r="E200" s="344"/>
      <c r="F200" s="333">
        <v>0.2</v>
      </c>
      <c r="G200" s="32">
        <v>12</v>
      </c>
      <c r="H200" s="333">
        <v>2.4</v>
      </c>
      <c r="I200" s="333">
        <v>3.1036000000000001</v>
      </c>
      <c r="J200" s="32">
        <v>70</v>
      </c>
      <c r="K200" s="32" t="s">
        <v>80</v>
      </c>
      <c r="L200" s="32" t="s">
        <v>109</v>
      </c>
      <c r="M200" s="33" t="s">
        <v>69</v>
      </c>
      <c r="N200" s="33"/>
      <c r="O200" s="32">
        <v>180</v>
      </c>
      <c r="P200" s="5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39"/>
      <c r="R200" s="339"/>
      <c r="S200" s="339"/>
      <c r="T200" s="340"/>
      <c r="U200" s="34"/>
      <c r="V200" s="34"/>
      <c r="W200" s="35" t="s">
        <v>70</v>
      </c>
      <c r="X200" s="334">
        <v>0</v>
      </c>
      <c r="Y200" s="335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317</v>
      </c>
      <c r="AG200" s="67"/>
      <c r="AJ200" s="71" t="s">
        <v>111</v>
      </c>
      <c r="AK200" s="71">
        <v>14</v>
      </c>
      <c r="BB200" s="211" t="s">
        <v>83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4301135681</v>
      </c>
      <c r="D201" s="343">
        <v>4620207490143</v>
      </c>
      <c r="E201" s="344"/>
      <c r="F201" s="333">
        <v>0.22</v>
      </c>
      <c r="G201" s="32">
        <v>12</v>
      </c>
      <c r="H201" s="333">
        <v>2.64</v>
      </c>
      <c r="I201" s="333">
        <v>3.3435999999999999</v>
      </c>
      <c r="J201" s="32">
        <v>70</v>
      </c>
      <c r="K201" s="32" t="s">
        <v>80</v>
      </c>
      <c r="L201" s="32" t="s">
        <v>68</v>
      </c>
      <c r="M201" s="33" t="s">
        <v>69</v>
      </c>
      <c r="N201" s="33"/>
      <c r="O201" s="32">
        <v>180</v>
      </c>
      <c r="P201" s="51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39"/>
      <c r="R201" s="339"/>
      <c r="S201" s="339"/>
      <c r="T201" s="340"/>
      <c r="U201" s="34"/>
      <c r="V201" s="34"/>
      <c r="W201" s="35" t="s">
        <v>70</v>
      </c>
      <c r="X201" s="334">
        <v>0</v>
      </c>
      <c r="Y201" s="335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325</v>
      </c>
      <c r="AG201" s="67"/>
      <c r="AJ201" s="71" t="s">
        <v>72</v>
      </c>
      <c r="AK201" s="71">
        <v>1</v>
      </c>
      <c r="BB201" s="213" t="s">
        <v>83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364"/>
      <c r="B202" s="348"/>
      <c r="C202" s="348"/>
      <c r="D202" s="348"/>
      <c r="E202" s="348"/>
      <c r="F202" s="348"/>
      <c r="G202" s="348"/>
      <c r="H202" s="348"/>
      <c r="I202" s="348"/>
      <c r="J202" s="348"/>
      <c r="K202" s="348"/>
      <c r="L202" s="348"/>
      <c r="M202" s="348"/>
      <c r="N202" s="348"/>
      <c r="O202" s="365"/>
      <c r="P202" s="352" t="s">
        <v>73</v>
      </c>
      <c r="Q202" s="353"/>
      <c r="R202" s="353"/>
      <c r="S202" s="353"/>
      <c r="T202" s="353"/>
      <c r="U202" s="353"/>
      <c r="V202" s="354"/>
      <c r="W202" s="37" t="s">
        <v>70</v>
      </c>
      <c r="X202" s="336">
        <f>IFERROR(SUM(X198:X201),"0")</f>
        <v>28</v>
      </c>
      <c r="Y202" s="336">
        <f>IFERROR(SUM(Y198:Y201),"0")</f>
        <v>28</v>
      </c>
      <c r="Z202" s="336">
        <f>IFERROR(IF(Z198="",0,Z198),"0")+IFERROR(IF(Z199="",0,Z199),"0")+IFERROR(IF(Z200="",0,Z200),"0")+IFERROR(IF(Z201="",0,Z201),"0")</f>
        <v>0.50063999999999997</v>
      </c>
      <c r="AA202" s="337"/>
      <c r="AB202" s="337"/>
      <c r="AC202" s="337"/>
    </row>
    <row r="203" spans="1:68" x14ac:dyDescent="0.2">
      <c r="A203" s="348"/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65"/>
      <c r="P203" s="352" t="s">
        <v>73</v>
      </c>
      <c r="Q203" s="353"/>
      <c r="R203" s="353"/>
      <c r="S203" s="353"/>
      <c r="T203" s="353"/>
      <c r="U203" s="353"/>
      <c r="V203" s="354"/>
      <c r="W203" s="37" t="s">
        <v>74</v>
      </c>
      <c r="X203" s="336">
        <f>IFERROR(SUMPRODUCT(X198:X201*H198:H201),"0")</f>
        <v>67.2</v>
      </c>
      <c r="Y203" s="336">
        <f>IFERROR(SUMPRODUCT(Y198:Y201*H198:H201),"0")</f>
        <v>67.2</v>
      </c>
      <c r="Z203" s="37"/>
      <c r="AA203" s="337"/>
      <c r="AB203" s="337"/>
      <c r="AC203" s="337"/>
    </row>
    <row r="204" spans="1:68" ht="16.5" customHeight="1" x14ac:dyDescent="0.25">
      <c r="A204" s="349" t="s">
        <v>326</v>
      </c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329"/>
      <c r="AB204" s="329"/>
      <c r="AC204" s="329"/>
    </row>
    <row r="205" spans="1:68" ht="14.25" customHeight="1" x14ac:dyDescent="0.25">
      <c r="A205" s="347" t="s">
        <v>64</v>
      </c>
      <c r="B205" s="348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8"/>
      <c r="O205" s="348"/>
      <c r="P205" s="348"/>
      <c r="Q205" s="348"/>
      <c r="R205" s="348"/>
      <c r="S205" s="348"/>
      <c r="T205" s="348"/>
      <c r="U205" s="348"/>
      <c r="V205" s="348"/>
      <c r="W205" s="348"/>
      <c r="X205" s="348"/>
      <c r="Y205" s="348"/>
      <c r="Z205" s="348"/>
      <c r="AA205" s="330"/>
      <c r="AB205" s="330"/>
      <c r="AC205" s="330"/>
    </row>
    <row r="206" spans="1:68" ht="16.5" customHeight="1" x14ac:dyDescent="0.25">
      <c r="A206" s="54" t="s">
        <v>327</v>
      </c>
      <c r="B206" s="54" t="s">
        <v>328</v>
      </c>
      <c r="C206" s="31">
        <v>4301070948</v>
      </c>
      <c r="D206" s="343">
        <v>4607111037022</v>
      </c>
      <c r="E206" s="344"/>
      <c r="F206" s="333">
        <v>0.7</v>
      </c>
      <c r="G206" s="32">
        <v>8</v>
      </c>
      <c r="H206" s="333">
        <v>5.6</v>
      </c>
      <c r="I206" s="333">
        <v>5.87</v>
      </c>
      <c r="J206" s="32">
        <v>84</v>
      </c>
      <c r="K206" s="32" t="s">
        <v>67</v>
      </c>
      <c r="L206" s="32" t="s">
        <v>114</v>
      </c>
      <c r="M206" s="33" t="s">
        <v>69</v>
      </c>
      <c r="N206" s="33"/>
      <c r="O206" s="32">
        <v>180</v>
      </c>
      <c r="P206" s="463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339"/>
      <c r="R206" s="339"/>
      <c r="S206" s="339"/>
      <c r="T206" s="340"/>
      <c r="U206" s="34"/>
      <c r="V206" s="34"/>
      <c r="W206" s="35" t="s">
        <v>70</v>
      </c>
      <c r="X206" s="334">
        <v>60</v>
      </c>
      <c r="Y206" s="335">
        <f>IFERROR(IF(X206="","",X206),"")</f>
        <v>60</v>
      </c>
      <c r="Z206" s="36">
        <f>IFERROR(IF(X206="","",X206*0.0155),"")</f>
        <v>0.92999999999999994</v>
      </c>
      <c r="AA206" s="56"/>
      <c r="AB206" s="57"/>
      <c r="AC206" s="214" t="s">
        <v>329</v>
      </c>
      <c r="AG206" s="67"/>
      <c r="AJ206" s="71" t="s">
        <v>115</v>
      </c>
      <c r="AK206" s="71">
        <v>84</v>
      </c>
      <c r="BB206" s="215" t="s">
        <v>1</v>
      </c>
      <c r="BM206" s="67">
        <f>IFERROR(X206*I206,"0")</f>
        <v>352.2</v>
      </c>
      <c r="BN206" s="67">
        <f>IFERROR(Y206*I206,"0")</f>
        <v>352.2</v>
      </c>
      <c r="BO206" s="67">
        <f>IFERROR(X206/J206,"0")</f>
        <v>0.7142857142857143</v>
      </c>
      <c r="BP206" s="67">
        <f>IFERROR(Y206/J206,"0")</f>
        <v>0.7142857142857143</v>
      </c>
    </row>
    <row r="207" spans="1:68" ht="27" customHeight="1" x14ac:dyDescent="0.25">
      <c r="A207" s="54" t="s">
        <v>330</v>
      </c>
      <c r="B207" s="54" t="s">
        <v>331</v>
      </c>
      <c r="C207" s="31">
        <v>4301070990</v>
      </c>
      <c r="D207" s="343">
        <v>4607111038494</v>
      </c>
      <c r="E207" s="344"/>
      <c r="F207" s="333">
        <v>0.7</v>
      </c>
      <c r="G207" s="32">
        <v>8</v>
      </c>
      <c r="H207" s="333">
        <v>5.6</v>
      </c>
      <c r="I207" s="333">
        <v>5.87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469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339"/>
      <c r="R207" s="339"/>
      <c r="S207" s="339"/>
      <c r="T207" s="340"/>
      <c r="U207" s="34"/>
      <c r="V207" s="34"/>
      <c r="W207" s="35" t="s">
        <v>70</v>
      </c>
      <c r="X207" s="334">
        <v>0</v>
      </c>
      <c r="Y207" s="335">
        <f>IFERROR(IF(X207="","",X207),"")</f>
        <v>0</v>
      </c>
      <c r="Z207" s="36">
        <f>IFERROR(IF(X207="","",X207*0.0155),"")</f>
        <v>0</v>
      </c>
      <c r="AA207" s="56"/>
      <c r="AB207" s="57"/>
      <c r="AC207" s="216" t="s">
        <v>332</v>
      </c>
      <c r="AG207" s="67"/>
      <c r="AJ207" s="71" t="s">
        <v>72</v>
      </c>
      <c r="AK207" s="71">
        <v>1</v>
      </c>
      <c r="BB207" s="217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4301070966</v>
      </c>
      <c r="D208" s="343">
        <v>4607111038135</v>
      </c>
      <c r="E208" s="344"/>
      <c r="F208" s="333">
        <v>0.7</v>
      </c>
      <c r="G208" s="32">
        <v>8</v>
      </c>
      <c r="H208" s="333">
        <v>5.6</v>
      </c>
      <c r="I208" s="333">
        <v>5.87</v>
      </c>
      <c r="J208" s="32">
        <v>84</v>
      </c>
      <c r="K208" s="32" t="s">
        <v>67</v>
      </c>
      <c r="L208" s="32" t="s">
        <v>109</v>
      </c>
      <c r="M208" s="33" t="s">
        <v>69</v>
      </c>
      <c r="N208" s="33"/>
      <c r="O208" s="32">
        <v>180</v>
      </c>
      <c r="P208" s="435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339"/>
      <c r="R208" s="339"/>
      <c r="S208" s="339"/>
      <c r="T208" s="340"/>
      <c r="U208" s="34"/>
      <c r="V208" s="34"/>
      <c r="W208" s="35" t="s">
        <v>70</v>
      </c>
      <c r="X208" s="334">
        <v>12</v>
      </c>
      <c r="Y208" s="335">
        <f>IFERROR(IF(X208="","",X208),"")</f>
        <v>12</v>
      </c>
      <c r="Z208" s="36">
        <f>IFERROR(IF(X208="","",X208*0.0155),"")</f>
        <v>0.186</v>
      </c>
      <c r="AA208" s="56"/>
      <c r="AB208" s="57"/>
      <c r="AC208" s="218" t="s">
        <v>335</v>
      </c>
      <c r="AG208" s="67"/>
      <c r="AJ208" s="71" t="s">
        <v>111</v>
      </c>
      <c r="AK208" s="71">
        <v>12</v>
      </c>
      <c r="BB208" s="219" t="s">
        <v>1</v>
      </c>
      <c r="BM208" s="67">
        <f>IFERROR(X208*I208,"0")</f>
        <v>70.44</v>
      </c>
      <c r="BN208" s="67">
        <f>IFERROR(Y208*I208,"0")</f>
        <v>70.44</v>
      </c>
      <c r="BO208" s="67">
        <f>IFERROR(X208/J208,"0")</f>
        <v>0.14285714285714285</v>
      </c>
      <c r="BP208" s="67">
        <f>IFERROR(Y208/J208,"0")</f>
        <v>0.14285714285714285</v>
      </c>
    </row>
    <row r="209" spans="1:68" x14ac:dyDescent="0.2">
      <c r="A209" s="364"/>
      <c r="B209" s="348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8"/>
      <c r="O209" s="365"/>
      <c r="P209" s="352" t="s">
        <v>73</v>
      </c>
      <c r="Q209" s="353"/>
      <c r="R209" s="353"/>
      <c r="S209" s="353"/>
      <c r="T209" s="353"/>
      <c r="U209" s="353"/>
      <c r="V209" s="354"/>
      <c r="W209" s="37" t="s">
        <v>70</v>
      </c>
      <c r="X209" s="336">
        <f>IFERROR(SUM(X206:X208),"0")</f>
        <v>72</v>
      </c>
      <c r="Y209" s="336">
        <f>IFERROR(SUM(Y206:Y208),"0")</f>
        <v>72</v>
      </c>
      <c r="Z209" s="336">
        <f>IFERROR(IF(Z206="",0,Z206),"0")+IFERROR(IF(Z207="",0,Z207),"0")+IFERROR(IF(Z208="",0,Z208),"0")</f>
        <v>1.1159999999999999</v>
      </c>
      <c r="AA209" s="337"/>
      <c r="AB209" s="337"/>
      <c r="AC209" s="337"/>
    </row>
    <row r="210" spans="1:68" x14ac:dyDescent="0.2">
      <c r="A210" s="348"/>
      <c r="B210" s="348"/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65"/>
      <c r="P210" s="352" t="s">
        <v>73</v>
      </c>
      <c r="Q210" s="353"/>
      <c r="R210" s="353"/>
      <c r="S210" s="353"/>
      <c r="T210" s="353"/>
      <c r="U210" s="353"/>
      <c r="V210" s="354"/>
      <c r="W210" s="37" t="s">
        <v>74</v>
      </c>
      <c r="X210" s="336">
        <f>IFERROR(SUMPRODUCT(X206:X208*H206:H208),"0")</f>
        <v>403.2</v>
      </c>
      <c r="Y210" s="336">
        <f>IFERROR(SUMPRODUCT(Y206:Y208*H206:H208),"0")</f>
        <v>403.2</v>
      </c>
      <c r="Z210" s="37"/>
      <c r="AA210" s="337"/>
      <c r="AB210" s="337"/>
      <c r="AC210" s="337"/>
    </row>
    <row r="211" spans="1:68" ht="16.5" customHeight="1" x14ac:dyDescent="0.25">
      <c r="A211" s="349" t="s">
        <v>336</v>
      </c>
      <c r="B211" s="348"/>
      <c r="C211" s="348"/>
      <c r="D211" s="348"/>
      <c r="E211" s="348"/>
      <c r="F211" s="348"/>
      <c r="G211" s="348"/>
      <c r="H211" s="348"/>
      <c r="I211" s="348"/>
      <c r="J211" s="348"/>
      <c r="K211" s="348"/>
      <c r="L211" s="348"/>
      <c r="M211" s="348"/>
      <c r="N211" s="348"/>
      <c r="O211" s="348"/>
      <c r="P211" s="348"/>
      <c r="Q211" s="348"/>
      <c r="R211" s="348"/>
      <c r="S211" s="348"/>
      <c r="T211" s="348"/>
      <c r="U211" s="348"/>
      <c r="V211" s="348"/>
      <c r="W211" s="348"/>
      <c r="X211" s="348"/>
      <c r="Y211" s="348"/>
      <c r="Z211" s="348"/>
      <c r="AA211" s="329"/>
      <c r="AB211" s="329"/>
      <c r="AC211" s="329"/>
    </row>
    <row r="212" spans="1:68" ht="14.25" customHeight="1" x14ac:dyDescent="0.25">
      <c r="A212" s="347" t="s">
        <v>64</v>
      </c>
      <c r="B212" s="348"/>
      <c r="C212" s="348"/>
      <c r="D212" s="348"/>
      <c r="E212" s="348"/>
      <c r="F212" s="348"/>
      <c r="G212" s="348"/>
      <c r="H212" s="348"/>
      <c r="I212" s="348"/>
      <c r="J212" s="348"/>
      <c r="K212" s="348"/>
      <c r="L212" s="348"/>
      <c r="M212" s="348"/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48"/>
      <c r="Y212" s="348"/>
      <c r="Z212" s="348"/>
      <c r="AA212" s="330"/>
      <c r="AB212" s="330"/>
      <c r="AC212" s="330"/>
    </row>
    <row r="213" spans="1:68" ht="27" customHeight="1" x14ac:dyDescent="0.25">
      <c r="A213" s="54" t="s">
        <v>337</v>
      </c>
      <c r="B213" s="54" t="s">
        <v>338</v>
      </c>
      <c r="C213" s="31">
        <v>4301070996</v>
      </c>
      <c r="D213" s="343">
        <v>4607111038654</v>
      </c>
      <c r="E213" s="344"/>
      <c r="F213" s="333">
        <v>0.4</v>
      </c>
      <c r="G213" s="32">
        <v>16</v>
      </c>
      <c r="H213" s="333">
        <v>6.4</v>
      </c>
      <c r="I213" s="333">
        <v>6.63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339"/>
      <c r="R213" s="339"/>
      <c r="S213" s="339"/>
      <c r="T213" s="340"/>
      <c r="U213" s="34"/>
      <c r="V213" s="34"/>
      <c r="W213" s="35" t="s">
        <v>70</v>
      </c>
      <c r="X213" s="334">
        <v>0</v>
      </c>
      <c r="Y213" s="335">
        <f t="shared" ref="Y213:Y218" si="18">IFERROR(IF(X213="","",X213),"")</f>
        <v>0</v>
      </c>
      <c r="Z213" s="36">
        <f t="shared" ref="Z213:Z218" si="19">IFERROR(IF(X213="","",X213*0.0155),"")</f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ref="BM213:BM218" si="20">IFERROR(X213*I213,"0")</f>
        <v>0</v>
      </c>
      <c r="BN213" s="67">
        <f t="shared" ref="BN213:BN218" si="21">IFERROR(Y213*I213,"0")</f>
        <v>0</v>
      </c>
      <c r="BO213" s="67">
        <f t="shared" ref="BO213:BO218" si="22">IFERROR(X213/J213,"0")</f>
        <v>0</v>
      </c>
      <c r="BP213" s="67">
        <f t="shared" ref="BP213:BP218" si="23">IFERROR(Y213/J213,"0")</f>
        <v>0</v>
      </c>
    </row>
    <row r="214" spans="1:68" ht="27" customHeight="1" x14ac:dyDescent="0.25">
      <c r="A214" s="54" t="s">
        <v>340</v>
      </c>
      <c r="B214" s="54" t="s">
        <v>341</v>
      </c>
      <c r="C214" s="31">
        <v>4301070997</v>
      </c>
      <c r="D214" s="343">
        <v>4607111038586</v>
      </c>
      <c r="E214" s="344"/>
      <c r="F214" s="333">
        <v>0.7</v>
      </c>
      <c r="G214" s="32">
        <v>8</v>
      </c>
      <c r="H214" s="333">
        <v>5.6</v>
      </c>
      <c r="I214" s="333">
        <v>5.83</v>
      </c>
      <c r="J214" s="32">
        <v>84</v>
      </c>
      <c r="K214" s="32" t="s">
        <v>67</v>
      </c>
      <c r="L214" s="32" t="s">
        <v>109</v>
      </c>
      <c r="M214" s="33" t="s">
        <v>69</v>
      </c>
      <c r="N214" s="33"/>
      <c r="O214" s="32">
        <v>180</v>
      </c>
      <c r="P214" s="51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339"/>
      <c r="R214" s="339"/>
      <c r="S214" s="339"/>
      <c r="T214" s="340"/>
      <c r="U214" s="34"/>
      <c r="V214" s="34"/>
      <c r="W214" s="35" t="s">
        <v>70</v>
      </c>
      <c r="X214" s="334">
        <v>0</v>
      </c>
      <c r="Y214" s="335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111</v>
      </c>
      <c r="AK214" s="71">
        <v>12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342</v>
      </c>
      <c r="B215" s="54" t="s">
        <v>343</v>
      </c>
      <c r="C215" s="31">
        <v>4301070962</v>
      </c>
      <c r="D215" s="343">
        <v>4607111038609</v>
      </c>
      <c r="E215" s="344"/>
      <c r="F215" s="333">
        <v>0.4</v>
      </c>
      <c r="G215" s="32">
        <v>16</v>
      </c>
      <c r="H215" s="333">
        <v>6.4</v>
      </c>
      <c r="I215" s="333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6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339"/>
      <c r="R215" s="339"/>
      <c r="S215" s="339"/>
      <c r="T215" s="340"/>
      <c r="U215" s="34"/>
      <c r="V215" s="34"/>
      <c r="W215" s="35" t="s">
        <v>70</v>
      </c>
      <c r="X215" s="334">
        <v>0</v>
      </c>
      <c r="Y215" s="335">
        <f t="shared" si="18"/>
        <v>0</v>
      </c>
      <c r="Z215" s="36">
        <f t="shared" si="19"/>
        <v>0</v>
      </c>
      <c r="AA215" s="56"/>
      <c r="AB215" s="57"/>
      <c r="AC215" s="224" t="s">
        <v>344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345</v>
      </c>
      <c r="B216" s="54" t="s">
        <v>346</v>
      </c>
      <c r="C216" s="31">
        <v>4301070963</v>
      </c>
      <c r="D216" s="343">
        <v>4607111038630</v>
      </c>
      <c r="E216" s="344"/>
      <c r="F216" s="333">
        <v>0.7</v>
      </c>
      <c r="G216" s="32">
        <v>8</v>
      </c>
      <c r="H216" s="333">
        <v>5.6</v>
      </c>
      <c r="I216" s="33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55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339"/>
      <c r="R216" s="339"/>
      <c r="S216" s="339"/>
      <c r="T216" s="340"/>
      <c r="U216" s="34"/>
      <c r="V216" s="34"/>
      <c r="W216" s="35" t="s">
        <v>70</v>
      </c>
      <c r="X216" s="334">
        <v>0</v>
      </c>
      <c r="Y216" s="335">
        <f t="shared" si="18"/>
        <v>0</v>
      </c>
      <c r="Z216" s="36">
        <f t="shared" si="19"/>
        <v>0</v>
      </c>
      <c r="AA216" s="56"/>
      <c r="AB216" s="57"/>
      <c r="AC216" s="226" t="s">
        <v>344</v>
      </c>
      <c r="AG216" s="67"/>
      <c r="AJ216" s="71" t="s">
        <v>72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customHeight="1" x14ac:dyDescent="0.25">
      <c r="A217" s="54" t="s">
        <v>347</v>
      </c>
      <c r="B217" s="54" t="s">
        <v>348</v>
      </c>
      <c r="C217" s="31">
        <v>4301070959</v>
      </c>
      <c r="D217" s="343">
        <v>4607111038616</v>
      </c>
      <c r="E217" s="344"/>
      <c r="F217" s="333">
        <v>0.4</v>
      </c>
      <c r="G217" s="32">
        <v>16</v>
      </c>
      <c r="H217" s="333">
        <v>6.4</v>
      </c>
      <c r="I217" s="333">
        <v>6.71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7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339"/>
      <c r="R217" s="339"/>
      <c r="S217" s="339"/>
      <c r="T217" s="340"/>
      <c r="U217" s="34"/>
      <c r="V217" s="34"/>
      <c r="W217" s="35" t="s">
        <v>70</v>
      </c>
      <c r="X217" s="334">
        <v>0</v>
      </c>
      <c r="Y217" s="335">
        <f t="shared" si="18"/>
        <v>0</v>
      </c>
      <c r="Z217" s="36">
        <f t="shared" si="19"/>
        <v>0</v>
      </c>
      <c r="AA217" s="56"/>
      <c r="AB217" s="57"/>
      <c r="AC217" s="228" t="s">
        <v>339</v>
      </c>
      <c r="AG217" s="67"/>
      <c r="AJ217" s="71" t="s">
        <v>72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customHeight="1" x14ac:dyDescent="0.25">
      <c r="A218" s="54" t="s">
        <v>349</v>
      </c>
      <c r="B218" s="54" t="s">
        <v>350</v>
      </c>
      <c r="C218" s="31">
        <v>4301070960</v>
      </c>
      <c r="D218" s="343">
        <v>4607111038623</v>
      </c>
      <c r="E218" s="344"/>
      <c r="F218" s="333">
        <v>0.7</v>
      </c>
      <c r="G218" s="32">
        <v>8</v>
      </c>
      <c r="H218" s="333">
        <v>5.6</v>
      </c>
      <c r="I218" s="333">
        <v>5.87</v>
      </c>
      <c r="J218" s="32">
        <v>84</v>
      </c>
      <c r="K218" s="32" t="s">
        <v>67</v>
      </c>
      <c r="L218" s="32" t="s">
        <v>109</v>
      </c>
      <c r="M218" s="33" t="s">
        <v>69</v>
      </c>
      <c r="N218" s="33"/>
      <c r="O218" s="32">
        <v>180</v>
      </c>
      <c r="P218" s="5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339"/>
      <c r="R218" s="339"/>
      <c r="S218" s="339"/>
      <c r="T218" s="340"/>
      <c r="U218" s="34"/>
      <c r="V218" s="34"/>
      <c r="W218" s="35" t="s">
        <v>70</v>
      </c>
      <c r="X218" s="334">
        <v>0</v>
      </c>
      <c r="Y218" s="335">
        <f t="shared" si="18"/>
        <v>0</v>
      </c>
      <c r="Z218" s="36">
        <f t="shared" si="19"/>
        <v>0</v>
      </c>
      <c r="AA218" s="56"/>
      <c r="AB218" s="57"/>
      <c r="AC218" s="230" t="s">
        <v>339</v>
      </c>
      <c r="AG218" s="67"/>
      <c r="AJ218" s="71" t="s">
        <v>111</v>
      </c>
      <c r="AK218" s="71">
        <v>12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x14ac:dyDescent="0.2">
      <c r="A219" s="364"/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65"/>
      <c r="P219" s="352" t="s">
        <v>73</v>
      </c>
      <c r="Q219" s="353"/>
      <c r="R219" s="353"/>
      <c r="S219" s="353"/>
      <c r="T219" s="353"/>
      <c r="U219" s="353"/>
      <c r="V219" s="354"/>
      <c r="W219" s="37" t="s">
        <v>70</v>
      </c>
      <c r="X219" s="336">
        <f>IFERROR(SUM(X213:X218),"0")</f>
        <v>0</v>
      </c>
      <c r="Y219" s="336">
        <f>IFERROR(SUM(Y213:Y218),"0")</f>
        <v>0</v>
      </c>
      <c r="Z219" s="336">
        <f>IFERROR(IF(Z213="",0,Z213),"0")+IFERROR(IF(Z214="",0,Z214),"0")+IFERROR(IF(Z215="",0,Z215),"0")+IFERROR(IF(Z216="",0,Z216),"0")+IFERROR(IF(Z217="",0,Z217),"0")+IFERROR(IF(Z218="",0,Z218),"0")</f>
        <v>0</v>
      </c>
      <c r="AA219" s="337"/>
      <c r="AB219" s="337"/>
      <c r="AC219" s="337"/>
    </row>
    <row r="220" spans="1:68" x14ac:dyDescent="0.2">
      <c r="A220" s="348"/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65"/>
      <c r="P220" s="352" t="s">
        <v>73</v>
      </c>
      <c r="Q220" s="353"/>
      <c r="R220" s="353"/>
      <c r="S220" s="353"/>
      <c r="T220" s="353"/>
      <c r="U220" s="353"/>
      <c r="V220" s="354"/>
      <c r="W220" s="37" t="s">
        <v>74</v>
      </c>
      <c r="X220" s="336">
        <f>IFERROR(SUMPRODUCT(X213:X218*H213:H218),"0")</f>
        <v>0</v>
      </c>
      <c r="Y220" s="336">
        <f>IFERROR(SUMPRODUCT(Y213:Y218*H213:H218),"0")</f>
        <v>0</v>
      </c>
      <c r="Z220" s="37"/>
      <c r="AA220" s="337"/>
      <c r="AB220" s="337"/>
      <c r="AC220" s="337"/>
    </row>
    <row r="221" spans="1:68" ht="16.5" customHeight="1" x14ac:dyDescent="0.25">
      <c r="A221" s="349" t="s">
        <v>351</v>
      </c>
      <c r="B221" s="348"/>
      <c r="C221" s="348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8"/>
      <c r="O221" s="348"/>
      <c r="P221" s="348"/>
      <c r="Q221" s="348"/>
      <c r="R221" s="348"/>
      <c r="S221" s="348"/>
      <c r="T221" s="348"/>
      <c r="U221" s="348"/>
      <c r="V221" s="348"/>
      <c r="W221" s="348"/>
      <c r="X221" s="348"/>
      <c r="Y221" s="348"/>
      <c r="Z221" s="348"/>
      <c r="AA221" s="329"/>
      <c r="AB221" s="329"/>
      <c r="AC221" s="329"/>
    </row>
    <row r="222" spans="1:68" ht="14.25" customHeight="1" x14ac:dyDescent="0.25">
      <c r="A222" s="347" t="s">
        <v>64</v>
      </c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330"/>
      <c r="AB222" s="330"/>
      <c r="AC222" s="330"/>
    </row>
    <row r="223" spans="1:68" ht="27" customHeight="1" x14ac:dyDescent="0.25">
      <c r="A223" s="54" t="s">
        <v>352</v>
      </c>
      <c r="B223" s="54" t="s">
        <v>353</v>
      </c>
      <c r="C223" s="31">
        <v>4301070917</v>
      </c>
      <c r="D223" s="343">
        <v>4607111035912</v>
      </c>
      <c r="E223" s="344"/>
      <c r="F223" s="333">
        <v>0.43</v>
      </c>
      <c r="G223" s="32">
        <v>16</v>
      </c>
      <c r="H223" s="333">
        <v>6.88</v>
      </c>
      <c r="I223" s="333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339"/>
      <c r="R223" s="339"/>
      <c r="S223" s="339"/>
      <c r="T223" s="340"/>
      <c r="U223" s="34"/>
      <c r="V223" s="34"/>
      <c r="W223" s="35" t="s">
        <v>70</v>
      </c>
      <c r="X223" s="334">
        <v>0</v>
      </c>
      <c r="Y223" s="335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4301070920</v>
      </c>
      <c r="D224" s="343">
        <v>4607111035929</v>
      </c>
      <c r="E224" s="344"/>
      <c r="F224" s="333">
        <v>0.9</v>
      </c>
      <c r="G224" s="32">
        <v>8</v>
      </c>
      <c r="H224" s="333">
        <v>7.2</v>
      </c>
      <c r="I224" s="333">
        <v>7.47</v>
      </c>
      <c r="J224" s="32">
        <v>84</v>
      </c>
      <c r="K224" s="32" t="s">
        <v>67</v>
      </c>
      <c r="L224" s="32" t="s">
        <v>109</v>
      </c>
      <c r="M224" s="33" t="s">
        <v>69</v>
      </c>
      <c r="N224" s="33"/>
      <c r="O224" s="32">
        <v>180</v>
      </c>
      <c r="P224" s="456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339"/>
      <c r="R224" s="339"/>
      <c r="S224" s="339"/>
      <c r="T224" s="340"/>
      <c r="U224" s="34"/>
      <c r="V224" s="34"/>
      <c r="W224" s="35" t="s">
        <v>70</v>
      </c>
      <c r="X224" s="334">
        <v>12</v>
      </c>
      <c r="Y224" s="335">
        <f>IFERROR(IF(X224="","",X224),"")</f>
        <v>12</v>
      </c>
      <c r="Z224" s="36">
        <f>IFERROR(IF(X224="","",X224*0.0155),"")</f>
        <v>0.186</v>
      </c>
      <c r="AA224" s="56"/>
      <c r="AB224" s="57"/>
      <c r="AC224" s="234" t="s">
        <v>354</v>
      </c>
      <c r="AG224" s="67"/>
      <c r="AJ224" s="71" t="s">
        <v>111</v>
      </c>
      <c r="AK224" s="71">
        <v>12</v>
      </c>
      <c r="BB224" s="235" t="s">
        <v>1</v>
      </c>
      <c r="BM224" s="67">
        <f>IFERROR(X224*I224,"0")</f>
        <v>89.64</v>
      </c>
      <c r="BN224" s="67">
        <f>IFERROR(Y224*I224,"0")</f>
        <v>89.64</v>
      </c>
      <c r="BO224" s="67">
        <f>IFERROR(X224/J224,"0")</f>
        <v>0.14285714285714285</v>
      </c>
      <c r="BP224" s="67">
        <f>IFERROR(Y224/J224,"0")</f>
        <v>0.14285714285714285</v>
      </c>
    </row>
    <row r="225" spans="1:68" ht="27" customHeight="1" x14ac:dyDescent="0.25">
      <c r="A225" s="54" t="s">
        <v>357</v>
      </c>
      <c r="B225" s="54" t="s">
        <v>358</v>
      </c>
      <c r="C225" s="31">
        <v>4301070915</v>
      </c>
      <c r="D225" s="343">
        <v>4607111035882</v>
      </c>
      <c r="E225" s="344"/>
      <c r="F225" s="333">
        <v>0.43</v>
      </c>
      <c r="G225" s="32">
        <v>16</v>
      </c>
      <c r="H225" s="333">
        <v>6.88</v>
      </c>
      <c r="I225" s="333">
        <v>7.19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496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339"/>
      <c r="R225" s="339"/>
      <c r="S225" s="339"/>
      <c r="T225" s="340"/>
      <c r="U225" s="34"/>
      <c r="V225" s="34"/>
      <c r="W225" s="35" t="s">
        <v>70</v>
      </c>
      <c r="X225" s="334">
        <v>0</v>
      </c>
      <c r="Y225" s="335">
        <f>IFERROR(IF(X225="","",X225),"")</f>
        <v>0</v>
      </c>
      <c r="Z225" s="36">
        <f>IFERROR(IF(X225="","",X225*0.0155),"")</f>
        <v>0</v>
      </c>
      <c r="AA225" s="56"/>
      <c r="AB225" s="57"/>
      <c r="AC225" s="236" t="s">
        <v>359</v>
      </c>
      <c r="AG225" s="67"/>
      <c r="AJ225" s="71" t="s">
        <v>72</v>
      </c>
      <c r="AK225" s="71">
        <v>1</v>
      </c>
      <c r="BB225" s="237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t="27" customHeight="1" x14ac:dyDescent="0.25">
      <c r="A226" s="54" t="s">
        <v>360</v>
      </c>
      <c r="B226" s="54" t="s">
        <v>361</v>
      </c>
      <c r="C226" s="31">
        <v>4301070921</v>
      </c>
      <c r="D226" s="343">
        <v>4607111035905</v>
      </c>
      <c r="E226" s="344"/>
      <c r="F226" s="333">
        <v>0.9</v>
      </c>
      <c r="G226" s="32">
        <v>8</v>
      </c>
      <c r="H226" s="333">
        <v>7.2</v>
      </c>
      <c r="I226" s="333">
        <v>7.47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339"/>
      <c r="R226" s="339"/>
      <c r="S226" s="339"/>
      <c r="T226" s="340"/>
      <c r="U226" s="34"/>
      <c r="V226" s="34"/>
      <c r="W226" s="35" t="s">
        <v>70</v>
      </c>
      <c r="X226" s="334">
        <v>0</v>
      </c>
      <c r="Y226" s="335">
        <f>IFERROR(IF(X226="","",X226),"")</f>
        <v>0</v>
      </c>
      <c r="Z226" s="36">
        <f>IFERROR(IF(X226="","",X226*0.0155),"")</f>
        <v>0</v>
      </c>
      <c r="AA226" s="56"/>
      <c r="AB226" s="57"/>
      <c r="AC226" s="238" t="s">
        <v>359</v>
      </c>
      <c r="AG226" s="67"/>
      <c r="AJ226" s="71" t="s">
        <v>72</v>
      </c>
      <c r="AK226" s="71">
        <v>1</v>
      </c>
      <c r="BB226" s="239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364"/>
      <c r="B227" s="348"/>
      <c r="C227" s="348"/>
      <c r="D227" s="348"/>
      <c r="E227" s="348"/>
      <c r="F227" s="348"/>
      <c r="G227" s="348"/>
      <c r="H227" s="348"/>
      <c r="I227" s="348"/>
      <c r="J227" s="348"/>
      <c r="K227" s="348"/>
      <c r="L227" s="348"/>
      <c r="M227" s="348"/>
      <c r="N227" s="348"/>
      <c r="O227" s="365"/>
      <c r="P227" s="352" t="s">
        <v>73</v>
      </c>
      <c r="Q227" s="353"/>
      <c r="R227" s="353"/>
      <c r="S227" s="353"/>
      <c r="T227" s="353"/>
      <c r="U227" s="353"/>
      <c r="V227" s="354"/>
      <c r="W227" s="37" t="s">
        <v>70</v>
      </c>
      <c r="X227" s="336">
        <f>IFERROR(SUM(X223:X226),"0")</f>
        <v>12</v>
      </c>
      <c r="Y227" s="336">
        <f>IFERROR(SUM(Y223:Y226),"0")</f>
        <v>12</v>
      </c>
      <c r="Z227" s="336">
        <f>IFERROR(IF(Z223="",0,Z223),"0")+IFERROR(IF(Z224="",0,Z224),"0")+IFERROR(IF(Z225="",0,Z225),"0")+IFERROR(IF(Z226="",0,Z226),"0")</f>
        <v>0.186</v>
      </c>
      <c r="AA227" s="337"/>
      <c r="AB227" s="337"/>
      <c r="AC227" s="337"/>
    </row>
    <row r="228" spans="1:68" x14ac:dyDescent="0.2">
      <c r="A228" s="348"/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65"/>
      <c r="P228" s="352" t="s">
        <v>73</v>
      </c>
      <c r="Q228" s="353"/>
      <c r="R228" s="353"/>
      <c r="S228" s="353"/>
      <c r="T228" s="353"/>
      <c r="U228" s="353"/>
      <c r="V228" s="354"/>
      <c r="W228" s="37" t="s">
        <v>74</v>
      </c>
      <c r="X228" s="336">
        <f>IFERROR(SUMPRODUCT(X223:X226*H223:H226),"0")</f>
        <v>86.4</v>
      </c>
      <c r="Y228" s="336">
        <f>IFERROR(SUMPRODUCT(Y223:Y226*H223:H226),"0")</f>
        <v>86.4</v>
      </c>
      <c r="Z228" s="37"/>
      <c r="AA228" s="337"/>
      <c r="AB228" s="337"/>
      <c r="AC228" s="337"/>
    </row>
    <row r="229" spans="1:68" ht="16.5" customHeight="1" x14ac:dyDescent="0.25">
      <c r="A229" s="349" t="s">
        <v>362</v>
      </c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329"/>
      <c r="AB229" s="329"/>
      <c r="AC229" s="329"/>
    </row>
    <row r="230" spans="1:68" ht="14.25" customHeight="1" x14ac:dyDescent="0.25">
      <c r="A230" s="347" t="s">
        <v>64</v>
      </c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330"/>
      <c r="AB230" s="330"/>
      <c r="AC230" s="330"/>
    </row>
    <row r="231" spans="1:68" ht="27" customHeight="1" x14ac:dyDescent="0.25">
      <c r="A231" s="54" t="s">
        <v>363</v>
      </c>
      <c r="B231" s="54" t="s">
        <v>364</v>
      </c>
      <c r="C231" s="31">
        <v>4301071093</v>
      </c>
      <c r="D231" s="343">
        <v>4620207490709</v>
      </c>
      <c r="E231" s="344"/>
      <c r="F231" s="333">
        <v>0.65</v>
      </c>
      <c r="G231" s="32">
        <v>8</v>
      </c>
      <c r="H231" s="333">
        <v>5.2</v>
      </c>
      <c r="I231" s="333">
        <v>5.47</v>
      </c>
      <c r="J231" s="32">
        <v>84</v>
      </c>
      <c r="K231" s="32" t="s">
        <v>67</v>
      </c>
      <c r="L231" s="32" t="s">
        <v>68</v>
      </c>
      <c r="M231" s="33" t="s">
        <v>69</v>
      </c>
      <c r="N231" s="33"/>
      <c r="O231" s="32">
        <v>180</v>
      </c>
      <c r="P231" s="345" t="s">
        <v>365</v>
      </c>
      <c r="Q231" s="339"/>
      <c r="R231" s="339"/>
      <c r="S231" s="339"/>
      <c r="T231" s="340"/>
      <c r="U231" s="34"/>
      <c r="V231" s="34"/>
      <c r="W231" s="35" t="s">
        <v>70</v>
      </c>
      <c r="X231" s="334">
        <v>0</v>
      </c>
      <c r="Y231" s="335">
        <f>IFERROR(IF(X231="","",X231),"")</f>
        <v>0</v>
      </c>
      <c r="Z231" s="36">
        <f>IFERROR(IF(X231="","",X231*0.0155),"")</f>
        <v>0</v>
      </c>
      <c r="AA231" s="56"/>
      <c r="AB231" s="57"/>
      <c r="AC231" s="240" t="s">
        <v>366</v>
      </c>
      <c r="AG231" s="67"/>
      <c r="AJ231" s="71" t="s">
        <v>72</v>
      </c>
      <c r="AK231" s="71">
        <v>1</v>
      </c>
      <c r="BB231" s="24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364"/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65"/>
      <c r="P232" s="352" t="s">
        <v>73</v>
      </c>
      <c r="Q232" s="353"/>
      <c r="R232" s="353"/>
      <c r="S232" s="353"/>
      <c r="T232" s="353"/>
      <c r="U232" s="353"/>
      <c r="V232" s="354"/>
      <c r="W232" s="37" t="s">
        <v>70</v>
      </c>
      <c r="X232" s="336">
        <f>IFERROR(SUM(X231:X231),"0")</f>
        <v>0</v>
      </c>
      <c r="Y232" s="336">
        <f>IFERROR(SUM(Y231:Y231),"0")</f>
        <v>0</v>
      </c>
      <c r="Z232" s="336">
        <f>IFERROR(IF(Z231="",0,Z231),"0")</f>
        <v>0</v>
      </c>
      <c r="AA232" s="337"/>
      <c r="AB232" s="337"/>
      <c r="AC232" s="337"/>
    </row>
    <row r="233" spans="1:68" x14ac:dyDescent="0.2">
      <c r="A233" s="348"/>
      <c r="B233" s="348"/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8"/>
      <c r="O233" s="365"/>
      <c r="P233" s="352" t="s">
        <v>73</v>
      </c>
      <c r="Q233" s="353"/>
      <c r="R233" s="353"/>
      <c r="S233" s="353"/>
      <c r="T233" s="353"/>
      <c r="U233" s="353"/>
      <c r="V233" s="354"/>
      <c r="W233" s="37" t="s">
        <v>74</v>
      </c>
      <c r="X233" s="336">
        <f>IFERROR(SUMPRODUCT(X231:X231*H231:H231),"0")</f>
        <v>0</v>
      </c>
      <c r="Y233" s="336">
        <f>IFERROR(SUMPRODUCT(Y231:Y231*H231:H231),"0")</f>
        <v>0</v>
      </c>
      <c r="Z233" s="37"/>
      <c r="AA233" s="337"/>
      <c r="AB233" s="337"/>
      <c r="AC233" s="337"/>
    </row>
    <row r="234" spans="1:68" ht="14.25" customHeight="1" x14ac:dyDescent="0.25">
      <c r="A234" s="347" t="s">
        <v>147</v>
      </c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  <c r="AA234" s="330"/>
      <c r="AB234" s="330"/>
      <c r="AC234" s="330"/>
    </row>
    <row r="235" spans="1:68" ht="27" customHeight="1" x14ac:dyDescent="0.25">
      <c r="A235" s="54" t="s">
        <v>367</v>
      </c>
      <c r="B235" s="54" t="s">
        <v>368</v>
      </c>
      <c r="C235" s="31">
        <v>4301135692</v>
      </c>
      <c r="D235" s="343">
        <v>4620207490570</v>
      </c>
      <c r="E235" s="344"/>
      <c r="F235" s="333">
        <v>0.2</v>
      </c>
      <c r="G235" s="32">
        <v>12</v>
      </c>
      <c r="H235" s="333">
        <v>2.4</v>
      </c>
      <c r="I235" s="333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67" t="s">
        <v>369</v>
      </c>
      <c r="Q235" s="339"/>
      <c r="R235" s="339"/>
      <c r="S235" s="339"/>
      <c r="T235" s="340"/>
      <c r="U235" s="34"/>
      <c r="V235" s="34"/>
      <c r="W235" s="35" t="s">
        <v>70</v>
      </c>
      <c r="X235" s="334">
        <v>0</v>
      </c>
      <c r="Y235" s="335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370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371</v>
      </c>
      <c r="B236" s="54" t="s">
        <v>372</v>
      </c>
      <c r="C236" s="31">
        <v>4301135691</v>
      </c>
      <c r="D236" s="343">
        <v>4620207490549</v>
      </c>
      <c r="E236" s="344"/>
      <c r="F236" s="333">
        <v>0.2</v>
      </c>
      <c r="G236" s="32">
        <v>12</v>
      </c>
      <c r="H236" s="333">
        <v>2.4</v>
      </c>
      <c r="I236" s="333">
        <v>3.1036000000000001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81" t="s">
        <v>373</v>
      </c>
      <c r="Q236" s="339"/>
      <c r="R236" s="339"/>
      <c r="S236" s="339"/>
      <c r="T236" s="340"/>
      <c r="U236" s="34"/>
      <c r="V236" s="34"/>
      <c r="W236" s="35" t="s">
        <v>70</v>
      </c>
      <c r="X236" s="334">
        <v>0</v>
      </c>
      <c r="Y236" s="335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370</v>
      </c>
      <c r="AG236" s="67"/>
      <c r="AJ236" s="71" t="s">
        <v>72</v>
      </c>
      <c r="AK236" s="71">
        <v>1</v>
      </c>
      <c r="BB236" s="245" t="s">
        <v>83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customHeight="1" x14ac:dyDescent="0.25">
      <c r="A237" s="54" t="s">
        <v>374</v>
      </c>
      <c r="B237" s="54" t="s">
        <v>375</v>
      </c>
      <c r="C237" s="31">
        <v>4301135694</v>
      </c>
      <c r="D237" s="343">
        <v>4620207490501</v>
      </c>
      <c r="E237" s="344"/>
      <c r="F237" s="333">
        <v>0.2</v>
      </c>
      <c r="G237" s="32">
        <v>12</v>
      </c>
      <c r="H237" s="333">
        <v>2.4</v>
      </c>
      <c r="I237" s="333">
        <v>3.1036000000000001</v>
      </c>
      <c r="J237" s="32">
        <v>70</v>
      </c>
      <c r="K237" s="32" t="s">
        <v>80</v>
      </c>
      <c r="L237" s="32" t="s">
        <v>68</v>
      </c>
      <c r="M237" s="33" t="s">
        <v>69</v>
      </c>
      <c r="N237" s="33"/>
      <c r="O237" s="32">
        <v>180</v>
      </c>
      <c r="P237" s="390" t="s">
        <v>376</v>
      </c>
      <c r="Q237" s="339"/>
      <c r="R237" s="339"/>
      <c r="S237" s="339"/>
      <c r="T237" s="340"/>
      <c r="U237" s="34"/>
      <c r="V237" s="34"/>
      <c r="W237" s="35" t="s">
        <v>70</v>
      </c>
      <c r="X237" s="334">
        <v>0</v>
      </c>
      <c r="Y237" s="335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370</v>
      </c>
      <c r="AG237" s="67"/>
      <c r="AJ237" s="71" t="s">
        <v>72</v>
      </c>
      <c r="AK237" s="71">
        <v>1</v>
      </c>
      <c r="BB237" s="247" t="s">
        <v>83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364"/>
      <c r="B238" s="348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65"/>
      <c r="P238" s="352" t="s">
        <v>73</v>
      </c>
      <c r="Q238" s="353"/>
      <c r="R238" s="353"/>
      <c r="S238" s="353"/>
      <c r="T238" s="353"/>
      <c r="U238" s="353"/>
      <c r="V238" s="354"/>
      <c r="W238" s="37" t="s">
        <v>70</v>
      </c>
      <c r="X238" s="336">
        <f>IFERROR(SUM(X235:X237),"0")</f>
        <v>0</v>
      </c>
      <c r="Y238" s="336">
        <f>IFERROR(SUM(Y235:Y237),"0")</f>
        <v>0</v>
      </c>
      <c r="Z238" s="336">
        <f>IFERROR(IF(Z235="",0,Z235),"0")+IFERROR(IF(Z236="",0,Z236),"0")+IFERROR(IF(Z237="",0,Z237),"0")</f>
        <v>0</v>
      </c>
      <c r="AA238" s="337"/>
      <c r="AB238" s="337"/>
      <c r="AC238" s="337"/>
    </row>
    <row r="239" spans="1:68" x14ac:dyDescent="0.2">
      <c r="A239" s="348"/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65"/>
      <c r="P239" s="352" t="s">
        <v>73</v>
      </c>
      <c r="Q239" s="353"/>
      <c r="R239" s="353"/>
      <c r="S239" s="353"/>
      <c r="T239" s="353"/>
      <c r="U239" s="353"/>
      <c r="V239" s="354"/>
      <c r="W239" s="37" t="s">
        <v>74</v>
      </c>
      <c r="X239" s="336">
        <f>IFERROR(SUMPRODUCT(X235:X237*H235:H237),"0")</f>
        <v>0</v>
      </c>
      <c r="Y239" s="336">
        <f>IFERROR(SUMPRODUCT(Y235:Y237*H235:H237),"0")</f>
        <v>0</v>
      </c>
      <c r="Z239" s="37"/>
      <c r="AA239" s="337"/>
      <c r="AB239" s="337"/>
      <c r="AC239" s="337"/>
    </row>
    <row r="240" spans="1:68" ht="16.5" customHeight="1" x14ac:dyDescent="0.25">
      <c r="A240" s="349" t="s">
        <v>377</v>
      </c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  <c r="AA240" s="329"/>
      <c r="AB240" s="329"/>
      <c r="AC240" s="329"/>
    </row>
    <row r="241" spans="1:68" ht="14.25" customHeight="1" x14ac:dyDescent="0.25">
      <c r="A241" s="347" t="s">
        <v>305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330"/>
      <c r="AB241" s="330"/>
      <c r="AC241" s="330"/>
    </row>
    <row r="242" spans="1:68" ht="27" customHeight="1" x14ac:dyDescent="0.25">
      <c r="A242" s="54" t="s">
        <v>378</v>
      </c>
      <c r="B242" s="54" t="s">
        <v>379</v>
      </c>
      <c r="C242" s="31">
        <v>4301051320</v>
      </c>
      <c r="D242" s="343">
        <v>4680115881334</v>
      </c>
      <c r="E242" s="344"/>
      <c r="F242" s="333">
        <v>0.33</v>
      </c>
      <c r="G242" s="32">
        <v>6</v>
      </c>
      <c r="H242" s="333">
        <v>1.98</v>
      </c>
      <c r="I242" s="333">
        <v>2.25</v>
      </c>
      <c r="J242" s="32">
        <v>182</v>
      </c>
      <c r="K242" s="32" t="s">
        <v>80</v>
      </c>
      <c r="L242" s="32" t="s">
        <v>68</v>
      </c>
      <c r="M242" s="33" t="s">
        <v>309</v>
      </c>
      <c r="N242" s="33"/>
      <c r="O242" s="32">
        <v>365</v>
      </c>
      <c r="P242" s="394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339"/>
      <c r="R242" s="339"/>
      <c r="S242" s="339"/>
      <c r="T242" s="340"/>
      <c r="U242" s="34"/>
      <c r="V242" s="34"/>
      <c r="W242" s="35" t="s">
        <v>70</v>
      </c>
      <c r="X242" s="334">
        <v>0</v>
      </c>
      <c r="Y242" s="335">
        <f>IFERROR(IF(X242="","",X242),"")</f>
        <v>0</v>
      </c>
      <c r="Z242" s="36">
        <f>IFERROR(IF(X242="","",X242*0.00651),"")</f>
        <v>0</v>
      </c>
      <c r="AA242" s="56"/>
      <c r="AB242" s="57"/>
      <c r="AC242" s="248" t="s">
        <v>380</v>
      </c>
      <c r="AG242" s="67"/>
      <c r="AJ242" s="71" t="s">
        <v>72</v>
      </c>
      <c r="AK242" s="71">
        <v>1</v>
      </c>
      <c r="BB242" s="249" t="s">
        <v>312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364"/>
      <c r="B243" s="348"/>
      <c r="C243" s="348"/>
      <c r="D243" s="348"/>
      <c r="E243" s="348"/>
      <c r="F243" s="348"/>
      <c r="G243" s="348"/>
      <c r="H243" s="348"/>
      <c r="I243" s="348"/>
      <c r="J243" s="348"/>
      <c r="K243" s="348"/>
      <c r="L243" s="348"/>
      <c r="M243" s="348"/>
      <c r="N243" s="348"/>
      <c r="O243" s="365"/>
      <c r="P243" s="352" t="s">
        <v>73</v>
      </c>
      <c r="Q243" s="353"/>
      <c r="R243" s="353"/>
      <c r="S243" s="353"/>
      <c r="T243" s="353"/>
      <c r="U243" s="353"/>
      <c r="V243" s="354"/>
      <c r="W243" s="37" t="s">
        <v>70</v>
      </c>
      <c r="X243" s="336">
        <f>IFERROR(SUM(X242:X242),"0")</f>
        <v>0</v>
      </c>
      <c r="Y243" s="336">
        <f>IFERROR(SUM(Y242:Y242),"0")</f>
        <v>0</v>
      </c>
      <c r="Z243" s="336">
        <f>IFERROR(IF(Z242="",0,Z242),"0")</f>
        <v>0</v>
      </c>
      <c r="AA243" s="337"/>
      <c r="AB243" s="337"/>
      <c r="AC243" s="337"/>
    </row>
    <row r="244" spans="1:68" x14ac:dyDescent="0.2">
      <c r="A244" s="348"/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65"/>
      <c r="P244" s="352" t="s">
        <v>73</v>
      </c>
      <c r="Q244" s="353"/>
      <c r="R244" s="353"/>
      <c r="S244" s="353"/>
      <c r="T244" s="353"/>
      <c r="U244" s="353"/>
      <c r="V244" s="354"/>
      <c r="W244" s="37" t="s">
        <v>74</v>
      </c>
      <c r="X244" s="336">
        <f>IFERROR(SUMPRODUCT(X242:X242*H242:H242),"0")</f>
        <v>0</v>
      </c>
      <c r="Y244" s="336">
        <f>IFERROR(SUMPRODUCT(Y242:Y242*H242:H242),"0")</f>
        <v>0</v>
      </c>
      <c r="Z244" s="37"/>
      <c r="AA244" s="337"/>
      <c r="AB244" s="337"/>
      <c r="AC244" s="337"/>
    </row>
    <row r="245" spans="1:68" ht="16.5" customHeight="1" x14ac:dyDescent="0.25">
      <c r="A245" s="349" t="s">
        <v>381</v>
      </c>
      <c r="B245" s="348"/>
      <c r="C245" s="348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8"/>
      <c r="O245" s="348"/>
      <c r="P245" s="348"/>
      <c r="Q245" s="348"/>
      <c r="R245" s="348"/>
      <c r="S245" s="348"/>
      <c r="T245" s="348"/>
      <c r="U245" s="348"/>
      <c r="V245" s="348"/>
      <c r="W245" s="348"/>
      <c r="X245" s="348"/>
      <c r="Y245" s="348"/>
      <c r="Z245" s="348"/>
      <c r="AA245" s="329"/>
      <c r="AB245" s="329"/>
      <c r="AC245" s="329"/>
    </row>
    <row r="246" spans="1:68" ht="14.25" customHeight="1" x14ac:dyDescent="0.25">
      <c r="A246" s="347" t="s">
        <v>64</v>
      </c>
      <c r="B246" s="348"/>
      <c r="C246" s="348"/>
      <c r="D246" s="348"/>
      <c r="E246" s="348"/>
      <c r="F246" s="348"/>
      <c r="G246" s="348"/>
      <c r="H246" s="348"/>
      <c r="I246" s="348"/>
      <c r="J246" s="348"/>
      <c r="K246" s="348"/>
      <c r="L246" s="348"/>
      <c r="M246" s="348"/>
      <c r="N246" s="348"/>
      <c r="O246" s="348"/>
      <c r="P246" s="348"/>
      <c r="Q246" s="348"/>
      <c r="R246" s="348"/>
      <c r="S246" s="348"/>
      <c r="T246" s="348"/>
      <c r="U246" s="348"/>
      <c r="V246" s="348"/>
      <c r="W246" s="348"/>
      <c r="X246" s="348"/>
      <c r="Y246" s="348"/>
      <c r="Z246" s="348"/>
      <c r="AA246" s="330"/>
      <c r="AB246" s="330"/>
      <c r="AC246" s="330"/>
    </row>
    <row r="247" spans="1:68" ht="16.5" customHeight="1" x14ac:dyDescent="0.25">
      <c r="A247" s="54" t="s">
        <v>382</v>
      </c>
      <c r="B247" s="54" t="s">
        <v>383</v>
      </c>
      <c r="C247" s="31">
        <v>4301071063</v>
      </c>
      <c r="D247" s="343">
        <v>4607111039019</v>
      </c>
      <c r="E247" s="344"/>
      <c r="F247" s="333">
        <v>0.43</v>
      </c>
      <c r="G247" s="32">
        <v>16</v>
      </c>
      <c r="H247" s="333">
        <v>6.88</v>
      </c>
      <c r="I247" s="333">
        <v>7.2060000000000004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512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339"/>
      <c r="R247" s="339"/>
      <c r="S247" s="339"/>
      <c r="T247" s="340"/>
      <c r="U247" s="34"/>
      <c r="V247" s="34"/>
      <c r="W247" s="35" t="s">
        <v>70</v>
      </c>
      <c r="X247" s="334">
        <v>0</v>
      </c>
      <c r="Y247" s="335">
        <f>IFERROR(IF(X247="","",X247),"")</f>
        <v>0</v>
      </c>
      <c r="Z247" s="36">
        <f>IFERROR(IF(X247="","",X247*0.0155),"")</f>
        <v>0</v>
      </c>
      <c r="AA247" s="56"/>
      <c r="AB247" s="57"/>
      <c r="AC247" s="250" t="s">
        <v>384</v>
      </c>
      <c r="AG247" s="67"/>
      <c r="AJ247" s="71" t="s">
        <v>72</v>
      </c>
      <c r="AK247" s="71">
        <v>1</v>
      </c>
      <c r="BB247" s="251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16.5" customHeight="1" x14ac:dyDescent="0.25">
      <c r="A248" s="54" t="s">
        <v>385</v>
      </c>
      <c r="B248" s="54" t="s">
        <v>386</v>
      </c>
      <c r="C248" s="31">
        <v>4301071000</v>
      </c>
      <c r="D248" s="343">
        <v>4607111038708</v>
      </c>
      <c r="E248" s="344"/>
      <c r="F248" s="333">
        <v>0.8</v>
      </c>
      <c r="G248" s="32">
        <v>8</v>
      </c>
      <c r="H248" s="333">
        <v>6.4</v>
      </c>
      <c r="I248" s="333">
        <v>6.67</v>
      </c>
      <c r="J248" s="32">
        <v>84</v>
      </c>
      <c r="K248" s="32" t="s">
        <v>67</v>
      </c>
      <c r="L248" s="32" t="s">
        <v>109</v>
      </c>
      <c r="M248" s="33" t="s">
        <v>69</v>
      </c>
      <c r="N248" s="33"/>
      <c r="O248" s="32">
        <v>180</v>
      </c>
      <c r="P248" s="46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339"/>
      <c r="R248" s="339"/>
      <c r="S248" s="339"/>
      <c r="T248" s="340"/>
      <c r="U248" s="34"/>
      <c r="V248" s="34"/>
      <c r="W248" s="35" t="s">
        <v>70</v>
      </c>
      <c r="X248" s="334">
        <v>0</v>
      </c>
      <c r="Y248" s="335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384</v>
      </c>
      <c r="AG248" s="67"/>
      <c r="AJ248" s="71" t="s">
        <v>111</v>
      </c>
      <c r="AK248" s="71">
        <v>12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64"/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65"/>
      <c r="P249" s="352" t="s">
        <v>73</v>
      </c>
      <c r="Q249" s="353"/>
      <c r="R249" s="353"/>
      <c r="S249" s="353"/>
      <c r="T249" s="353"/>
      <c r="U249" s="353"/>
      <c r="V249" s="354"/>
      <c r="W249" s="37" t="s">
        <v>70</v>
      </c>
      <c r="X249" s="336">
        <f>IFERROR(SUM(X247:X248),"0")</f>
        <v>0</v>
      </c>
      <c r="Y249" s="336">
        <f>IFERROR(SUM(Y247:Y248),"0")</f>
        <v>0</v>
      </c>
      <c r="Z249" s="336">
        <f>IFERROR(IF(Z247="",0,Z247),"0")+IFERROR(IF(Z248="",0,Z248),"0")</f>
        <v>0</v>
      </c>
      <c r="AA249" s="337"/>
      <c r="AB249" s="337"/>
      <c r="AC249" s="337"/>
    </row>
    <row r="250" spans="1:68" x14ac:dyDescent="0.2">
      <c r="A250" s="348"/>
      <c r="B250" s="348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65"/>
      <c r="P250" s="352" t="s">
        <v>73</v>
      </c>
      <c r="Q250" s="353"/>
      <c r="R250" s="353"/>
      <c r="S250" s="353"/>
      <c r="T250" s="353"/>
      <c r="U250" s="353"/>
      <c r="V250" s="354"/>
      <c r="W250" s="37" t="s">
        <v>74</v>
      </c>
      <c r="X250" s="336">
        <f>IFERROR(SUMPRODUCT(X247:X248*H247:H248),"0")</f>
        <v>0</v>
      </c>
      <c r="Y250" s="336">
        <f>IFERROR(SUMPRODUCT(Y247:Y248*H247:H248),"0")</f>
        <v>0</v>
      </c>
      <c r="Z250" s="37"/>
      <c r="AA250" s="337"/>
      <c r="AB250" s="337"/>
      <c r="AC250" s="337"/>
    </row>
    <row r="251" spans="1:68" ht="27.75" customHeight="1" x14ac:dyDescent="0.2">
      <c r="A251" s="438" t="s">
        <v>387</v>
      </c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  <c r="AA251" s="48"/>
      <c r="AB251" s="48"/>
      <c r="AC251" s="48"/>
    </row>
    <row r="252" spans="1:68" ht="16.5" customHeight="1" x14ac:dyDescent="0.25">
      <c r="A252" s="349" t="s">
        <v>388</v>
      </c>
      <c r="B252" s="348"/>
      <c r="C252" s="348"/>
      <c r="D252" s="348"/>
      <c r="E252" s="348"/>
      <c r="F252" s="348"/>
      <c r="G252" s="348"/>
      <c r="H252" s="348"/>
      <c r="I252" s="348"/>
      <c r="J252" s="348"/>
      <c r="K252" s="348"/>
      <c r="L252" s="348"/>
      <c r="M252" s="348"/>
      <c r="N252" s="348"/>
      <c r="O252" s="348"/>
      <c r="P252" s="348"/>
      <c r="Q252" s="348"/>
      <c r="R252" s="348"/>
      <c r="S252" s="348"/>
      <c r="T252" s="348"/>
      <c r="U252" s="348"/>
      <c r="V252" s="348"/>
      <c r="W252" s="348"/>
      <c r="X252" s="348"/>
      <c r="Y252" s="348"/>
      <c r="Z252" s="348"/>
      <c r="AA252" s="329"/>
      <c r="AB252" s="329"/>
      <c r="AC252" s="329"/>
    </row>
    <row r="253" spans="1:68" ht="14.25" customHeight="1" x14ac:dyDescent="0.25">
      <c r="A253" s="347" t="s">
        <v>64</v>
      </c>
      <c r="B253" s="348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8"/>
      <c r="O253" s="348"/>
      <c r="P253" s="348"/>
      <c r="Q253" s="348"/>
      <c r="R253" s="348"/>
      <c r="S253" s="348"/>
      <c r="T253" s="348"/>
      <c r="U253" s="348"/>
      <c r="V253" s="348"/>
      <c r="W253" s="348"/>
      <c r="X253" s="348"/>
      <c r="Y253" s="348"/>
      <c r="Z253" s="348"/>
      <c r="AA253" s="330"/>
      <c r="AB253" s="330"/>
      <c r="AC253" s="330"/>
    </row>
    <row r="254" spans="1:68" ht="27" customHeight="1" x14ac:dyDescent="0.25">
      <c r="A254" s="54" t="s">
        <v>389</v>
      </c>
      <c r="B254" s="54" t="s">
        <v>390</v>
      </c>
      <c r="C254" s="31">
        <v>4301071036</v>
      </c>
      <c r="D254" s="343">
        <v>4607111036162</v>
      </c>
      <c r="E254" s="344"/>
      <c r="F254" s="333">
        <v>0.8</v>
      </c>
      <c r="G254" s="32">
        <v>8</v>
      </c>
      <c r="H254" s="333">
        <v>6.4</v>
      </c>
      <c r="I254" s="333">
        <v>6.6811999999999996</v>
      </c>
      <c r="J254" s="32">
        <v>84</v>
      </c>
      <c r="K254" s="32" t="s">
        <v>67</v>
      </c>
      <c r="L254" s="32" t="s">
        <v>68</v>
      </c>
      <c r="M254" s="33" t="s">
        <v>69</v>
      </c>
      <c r="N254" s="33"/>
      <c r="O254" s="32">
        <v>90</v>
      </c>
      <c r="P254" s="4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339"/>
      <c r="R254" s="339"/>
      <c r="S254" s="339"/>
      <c r="T254" s="340"/>
      <c r="U254" s="34"/>
      <c r="V254" s="34"/>
      <c r="W254" s="35" t="s">
        <v>70</v>
      </c>
      <c r="X254" s="334">
        <v>0</v>
      </c>
      <c r="Y254" s="335">
        <f>IFERROR(IF(X254="","",X254),"")</f>
        <v>0</v>
      </c>
      <c r="Z254" s="36">
        <f>IFERROR(IF(X254="","",X254*0.0155),"")</f>
        <v>0</v>
      </c>
      <c r="AA254" s="56"/>
      <c r="AB254" s="57"/>
      <c r="AC254" s="254" t="s">
        <v>391</v>
      </c>
      <c r="AG254" s="67"/>
      <c r="AJ254" s="71" t="s">
        <v>72</v>
      </c>
      <c r="AK254" s="71">
        <v>1</v>
      </c>
      <c r="BB254" s="255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364"/>
      <c r="B255" s="348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65"/>
      <c r="P255" s="352" t="s">
        <v>73</v>
      </c>
      <c r="Q255" s="353"/>
      <c r="R255" s="353"/>
      <c r="S255" s="353"/>
      <c r="T255" s="353"/>
      <c r="U255" s="353"/>
      <c r="V255" s="354"/>
      <c r="W255" s="37" t="s">
        <v>70</v>
      </c>
      <c r="X255" s="336">
        <f>IFERROR(SUM(X254:X254),"0")</f>
        <v>0</v>
      </c>
      <c r="Y255" s="336">
        <f>IFERROR(SUM(Y254:Y254),"0")</f>
        <v>0</v>
      </c>
      <c r="Z255" s="336">
        <f>IFERROR(IF(Z254="",0,Z254),"0")</f>
        <v>0</v>
      </c>
      <c r="AA255" s="337"/>
      <c r="AB255" s="337"/>
      <c r="AC255" s="337"/>
    </row>
    <row r="256" spans="1:68" x14ac:dyDescent="0.2">
      <c r="A256" s="348"/>
      <c r="B256" s="348"/>
      <c r="C256" s="348"/>
      <c r="D256" s="348"/>
      <c r="E256" s="348"/>
      <c r="F256" s="348"/>
      <c r="G256" s="348"/>
      <c r="H256" s="348"/>
      <c r="I256" s="348"/>
      <c r="J256" s="348"/>
      <c r="K256" s="348"/>
      <c r="L256" s="348"/>
      <c r="M256" s="348"/>
      <c r="N256" s="348"/>
      <c r="O256" s="365"/>
      <c r="P256" s="352" t="s">
        <v>73</v>
      </c>
      <c r="Q256" s="353"/>
      <c r="R256" s="353"/>
      <c r="S256" s="353"/>
      <c r="T256" s="353"/>
      <c r="U256" s="353"/>
      <c r="V256" s="354"/>
      <c r="W256" s="37" t="s">
        <v>74</v>
      </c>
      <c r="X256" s="336">
        <f>IFERROR(SUMPRODUCT(X254:X254*H254:H254),"0")</f>
        <v>0</v>
      </c>
      <c r="Y256" s="336">
        <f>IFERROR(SUMPRODUCT(Y254:Y254*H254:H254),"0")</f>
        <v>0</v>
      </c>
      <c r="Z256" s="37"/>
      <c r="AA256" s="337"/>
      <c r="AB256" s="337"/>
      <c r="AC256" s="337"/>
    </row>
    <row r="257" spans="1:68" ht="27.75" customHeight="1" x14ac:dyDescent="0.2">
      <c r="A257" s="438" t="s">
        <v>392</v>
      </c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  <c r="AA257" s="48"/>
      <c r="AB257" s="48"/>
      <c r="AC257" s="48"/>
    </row>
    <row r="258" spans="1:68" ht="16.5" customHeight="1" x14ac:dyDescent="0.25">
      <c r="A258" s="349" t="s">
        <v>393</v>
      </c>
      <c r="B258" s="348"/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8"/>
      <c r="O258" s="348"/>
      <c r="P258" s="348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  <c r="AA258" s="329"/>
      <c r="AB258" s="329"/>
      <c r="AC258" s="329"/>
    </row>
    <row r="259" spans="1:68" ht="14.25" customHeight="1" x14ac:dyDescent="0.25">
      <c r="A259" s="347" t="s">
        <v>64</v>
      </c>
      <c r="B259" s="348"/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/>
      <c r="O259" s="348"/>
      <c r="P259" s="348"/>
      <c r="Q259" s="348"/>
      <c r="R259" s="348"/>
      <c r="S259" s="348"/>
      <c r="T259" s="348"/>
      <c r="U259" s="348"/>
      <c r="V259" s="348"/>
      <c r="W259" s="348"/>
      <c r="X259" s="348"/>
      <c r="Y259" s="348"/>
      <c r="Z259" s="348"/>
      <c r="AA259" s="330"/>
      <c r="AB259" s="330"/>
      <c r="AC259" s="330"/>
    </row>
    <row r="260" spans="1:68" ht="27" customHeight="1" x14ac:dyDescent="0.25">
      <c r="A260" s="54" t="s">
        <v>394</v>
      </c>
      <c r="B260" s="54" t="s">
        <v>395</v>
      </c>
      <c r="C260" s="31">
        <v>4301071029</v>
      </c>
      <c r="D260" s="343">
        <v>4607111035899</v>
      </c>
      <c r="E260" s="344"/>
      <c r="F260" s="333">
        <v>1</v>
      </c>
      <c r="G260" s="32">
        <v>5</v>
      </c>
      <c r="H260" s="333">
        <v>5</v>
      </c>
      <c r="I260" s="333">
        <v>5.2619999999999996</v>
      </c>
      <c r="J260" s="32">
        <v>84</v>
      </c>
      <c r="K260" s="32" t="s">
        <v>67</v>
      </c>
      <c r="L260" s="32" t="s">
        <v>114</v>
      </c>
      <c r="M260" s="33" t="s">
        <v>69</v>
      </c>
      <c r="N260" s="33"/>
      <c r="O260" s="32">
        <v>180</v>
      </c>
      <c r="P260" s="45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339"/>
      <c r="R260" s="339"/>
      <c r="S260" s="339"/>
      <c r="T260" s="340"/>
      <c r="U260" s="34"/>
      <c r="V260" s="34"/>
      <c r="W260" s="35" t="s">
        <v>70</v>
      </c>
      <c r="X260" s="334">
        <v>96</v>
      </c>
      <c r="Y260" s="335">
        <f>IFERROR(IF(X260="","",X260),"")</f>
        <v>96</v>
      </c>
      <c r="Z260" s="36">
        <f>IFERROR(IF(X260="","",X260*0.0155),"")</f>
        <v>1.488</v>
      </c>
      <c r="AA260" s="56"/>
      <c r="AB260" s="57"/>
      <c r="AC260" s="256" t="s">
        <v>284</v>
      </c>
      <c r="AG260" s="67"/>
      <c r="AJ260" s="71" t="s">
        <v>115</v>
      </c>
      <c r="AK260" s="71">
        <v>84</v>
      </c>
      <c r="BB260" s="257" t="s">
        <v>1</v>
      </c>
      <c r="BM260" s="67">
        <f>IFERROR(X260*I260,"0")</f>
        <v>505.15199999999993</v>
      </c>
      <c r="BN260" s="67">
        <f>IFERROR(Y260*I260,"0")</f>
        <v>505.15199999999993</v>
      </c>
      <c r="BO260" s="67">
        <f>IFERROR(X260/J260,"0")</f>
        <v>1.1428571428571428</v>
      </c>
      <c r="BP260" s="67">
        <f>IFERROR(Y260/J260,"0")</f>
        <v>1.1428571428571428</v>
      </c>
    </row>
    <row r="261" spans="1:68" ht="27" customHeight="1" x14ac:dyDescent="0.25">
      <c r="A261" s="54" t="s">
        <v>396</v>
      </c>
      <c r="B261" s="54" t="s">
        <v>397</v>
      </c>
      <c r="C261" s="31">
        <v>4301070991</v>
      </c>
      <c r="D261" s="343">
        <v>4607111038180</v>
      </c>
      <c r="E261" s="344"/>
      <c r="F261" s="333">
        <v>0.4</v>
      </c>
      <c r="G261" s="32">
        <v>16</v>
      </c>
      <c r="H261" s="333">
        <v>6.4</v>
      </c>
      <c r="I261" s="333">
        <v>6.71</v>
      </c>
      <c r="J261" s="32">
        <v>84</v>
      </c>
      <c r="K261" s="32" t="s">
        <v>67</v>
      </c>
      <c r="L261" s="32" t="s">
        <v>109</v>
      </c>
      <c r="M261" s="33" t="s">
        <v>69</v>
      </c>
      <c r="N261" s="33"/>
      <c r="O261" s="32">
        <v>180</v>
      </c>
      <c r="P261" s="47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339"/>
      <c r="R261" s="339"/>
      <c r="S261" s="339"/>
      <c r="T261" s="340"/>
      <c r="U261" s="34"/>
      <c r="V261" s="34"/>
      <c r="W261" s="35" t="s">
        <v>70</v>
      </c>
      <c r="X261" s="334">
        <v>0</v>
      </c>
      <c r="Y261" s="335">
        <f>IFERROR(IF(X261="","",X261),"")</f>
        <v>0</v>
      </c>
      <c r="Z261" s="36">
        <f>IFERROR(IF(X261="","",X261*0.0155),"")</f>
        <v>0</v>
      </c>
      <c r="AA261" s="56"/>
      <c r="AB261" s="57"/>
      <c r="AC261" s="258" t="s">
        <v>398</v>
      </c>
      <c r="AG261" s="67"/>
      <c r="AJ261" s="71" t="s">
        <v>111</v>
      </c>
      <c r="AK261" s="71">
        <v>12</v>
      </c>
      <c r="BB261" s="259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364"/>
      <c r="B262" s="348"/>
      <c r="C262" s="348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348"/>
      <c r="O262" s="365"/>
      <c r="P262" s="352" t="s">
        <v>73</v>
      </c>
      <c r="Q262" s="353"/>
      <c r="R262" s="353"/>
      <c r="S262" s="353"/>
      <c r="T262" s="353"/>
      <c r="U262" s="353"/>
      <c r="V262" s="354"/>
      <c r="W262" s="37" t="s">
        <v>70</v>
      </c>
      <c r="X262" s="336">
        <f>IFERROR(SUM(X260:X261),"0")</f>
        <v>96</v>
      </c>
      <c r="Y262" s="336">
        <f>IFERROR(SUM(Y260:Y261),"0")</f>
        <v>96</v>
      </c>
      <c r="Z262" s="336">
        <f>IFERROR(IF(Z260="",0,Z260),"0")+IFERROR(IF(Z261="",0,Z261),"0")</f>
        <v>1.488</v>
      </c>
      <c r="AA262" s="337"/>
      <c r="AB262" s="337"/>
      <c r="AC262" s="337"/>
    </row>
    <row r="263" spans="1:68" x14ac:dyDescent="0.2">
      <c r="A263" s="348"/>
      <c r="B263" s="348"/>
      <c r="C263" s="348"/>
      <c r="D263" s="348"/>
      <c r="E263" s="348"/>
      <c r="F263" s="348"/>
      <c r="G263" s="348"/>
      <c r="H263" s="348"/>
      <c r="I263" s="348"/>
      <c r="J263" s="348"/>
      <c r="K263" s="348"/>
      <c r="L263" s="348"/>
      <c r="M263" s="348"/>
      <c r="N263" s="348"/>
      <c r="O263" s="365"/>
      <c r="P263" s="352" t="s">
        <v>73</v>
      </c>
      <c r="Q263" s="353"/>
      <c r="R263" s="353"/>
      <c r="S263" s="353"/>
      <c r="T263" s="353"/>
      <c r="U263" s="353"/>
      <c r="V263" s="354"/>
      <c r="W263" s="37" t="s">
        <v>74</v>
      </c>
      <c r="X263" s="336">
        <f>IFERROR(SUMPRODUCT(X260:X261*H260:H261),"0")</f>
        <v>480</v>
      </c>
      <c r="Y263" s="336">
        <f>IFERROR(SUMPRODUCT(Y260:Y261*H260:H261),"0")</f>
        <v>480</v>
      </c>
      <c r="Z263" s="37"/>
      <c r="AA263" s="337"/>
      <c r="AB263" s="337"/>
      <c r="AC263" s="337"/>
    </row>
    <row r="264" spans="1:68" ht="27.75" customHeight="1" x14ac:dyDescent="0.2">
      <c r="A264" s="438" t="s">
        <v>399</v>
      </c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  <c r="AA264" s="48"/>
      <c r="AB264" s="48"/>
      <c r="AC264" s="48"/>
    </row>
    <row r="265" spans="1:68" ht="16.5" customHeight="1" x14ac:dyDescent="0.25">
      <c r="A265" s="349" t="s">
        <v>400</v>
      </c>
      <c r="B265" s="348"/>
      <c r="C265" s="348"/>
      <c r="D265" s="348"/>
      <c r="E265" s="348"/>
      <c r="F265" s="348"/>
      <c r="G265" s="348"/>
      <c r="H265" s="348"/>
      <c r="I265" s="348"/>
      <c r="J265" s="348"/>
      <c r="K265" s="348"/>
      <c r="L265" s="348"/>
      <c r="M265" s="348"/>
      <c r="N265" s="348"/>
      <c r="O265" s="348"/>
      <c r="P265" s="348"/>
      <c r="Q265" s="348"/>
      <c r="R265" s="348"/>
      <c r="S265" s="348"/>
      <c r="T265" s="348"/>
      <c r="U265" s="348"/>
      <c r="V265" s="348"/>
      <c r="W265" s="348"/>
      <c r="X265" s="348"/>
      <c r="Y265" s="348"/>
      <c r="Z265" s="348"/>
      <c r="AA265" s="329"/>
      <c r="AB265" s="329"/>
      <c r="AC265" s="329"/>
    </row>
    <row r="266" spans="1:68" ht="14.25" customHeight="1" x14ac:dyDescent="0.25">
      <c r="A266" s="347" t="s">
        <v>401</v>
      </c>
      <c r="B266" s="348"/>
      <c r="C266" s="348"/>
      <c r="D266" s="348"/>
      <c r="E266" s="348"/>
      <c r="F266" s="348"/>
      <c r="G266" s="348"/>
      <c r="H266" s="348"/>
      <c r="I266" s="348"/>
      <c r="J266" s="348"/>
      <c r="K266" s="348"/>
      <c r="L266" s="348"/>
      <c r="M266" s="348"/>
      <c r="N266" s="348"/>
      <c r="O266" s="348"/>
      <c r="P266" s="348"/>
      <c r="Q266" s="348"/>
      <c r="R266" s="348"/>
      <c r="S266" s="348"/>
      <c r="T266" s="348"/>
      <c r="U266" s="348"/>
      <c r="V266" s="348"/>
      <c r="W266" s="348"/>
      <c r="X266" s="348"/>
      <c r="Y266" s="348"/>
      <c r="Z266" s="348"/>
      <c r="AA266" s="330"/>
      <c r="AB266" s="330"/>
      <c r="AC266" s="330"/>
    </row>
    <row r="267" spans="1:68" ht="27" customHeight="1" x14ac:dyDescent="0.25">
      <c r="A267" s="54" t="s">
        <v>402</v>
      </c>
      <c r="B267" s="54" t="s">
        <v>403</v>
      </c>
      <c r="C267" s="31">
        <v>4301133004</v>
      </c>
      <c r="D267" s="343">
        <v>4607111039774</v>
      </c>
      <c r="E267" s="344"/>
      <c r="F267" s="333">
        <v>0.25</v>
      </c>
      <c r="G267" s="32">
        <v>12</v>
      </c>
      <c r="H267" s="333">
        <v>3</v>
      </c>
      <c r="I267" s="333">
        <v>3.22</v>
      </c>
      <c r="J267" s="32">
        <v>70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51" t="s">
        <v>404</v>
      </c>
      <c r="Q267" s="339"/>
      <c r="R267" s="339"/>
      <c r="S267" s="339"/>
      <c r="T267" s="340"/>
      <c r="U267" s="34"/>
      <c r="V267" s="34"/>
      <c r="W267" s="35" t="s">
        <v>70</v>
      </c>
      <c r="X267" s="334">
        <v>0</v>
      </c>
      <c r="Y267" s="335">
        <f>IFERROR(IF(X267="","",X267),"")</f>
        <v>0</v>
      </c>
      <c r="Z267" s="36">
        <f>IFERROR(IF(X267="","",X267*0.01788),"")</f>
        <v>0</v>
      </c>
      <c r="AA267" s="56"/>
      <c r="AB267" s="57"/>
      <c r="AC267" s="260" t="s">
        <v>405</v>
      </c>
      <c r="AG267" s="67"/>
      <c r="AJ267" s="71" t="s">
        <v>72</v>
      </c>
      <c r="AK267" s="71">
        <v>1</v>
      </c>
      <c r="BB267" s="261" t="s">
        <v>83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364"/>
      <c r="B268" s="348"/>
      <c r="C268" s="348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348"/>
      <c r="O268" s="365"/>
      <c r="P268" s="352" t="s">
        <v>73</v>
      </c>
      <c r="Q268" s="353"/>
      <c r="R268" s="353"/>
      <c r="S268" s="353"/>
      <c r="T268" s="353"/>
      <c r="U268" s="353"/>
      <c r="V268" s="354"/>
      <c r="W268" s="37" t="s">
        <v>70</v>
      </c>
      <c r="X268" s="336">
        <f>IFERROR(SUM(X267:X267),"0")</f>
        <v>0</v>
      </c>
      <c r="Y268" s="336">
        <f>IFERROR(SUM(Y267:Y267),"0")</f>
        <v>0</v>
      </c>
      <c r="Z268" s="336">
        <f>IFERROR(IF(Z267="",0,Z267),"0")</f>
        <v>0</v>
      </c>
      <c r="AA268" s="337"/>
      <c r="AB268" s="337"/>
      <c r="AC268" s="337"/>
    </row>
    <row r="269" spans="1:68" x14ac:dyDescent="0.2">
      <c r="A269" s="348"/>
      <c r="B269" s="348"/>
      <c r="C269" s="348"/>
      <c r="D269" s="348"/>
      <c r="E269" s="348"/>
      <c r="F269" s="348"/>
      <c r="G269" s="348"/>
      <c r="H269" s="348"/>
      <c r="I269" s="348"/>
      <c r="J269" s="348"/>
      <c r="K269" s="348"/>
      <c r="L269" s="348"/>
      <c r="M269" s="348"/>
      <c r="N269" s="348"/>
      <c r="O269" s="365"/>
      <c r="P269" s="352" t="s">
        <v>73</v>
      </c>
      <c r="Q269" s="353"/>
      <c r="R269" s="353"/>
      <c r="S269" s="353"/>
      <c r="T269" s="353"/>
      <c r="U269" s="353"/>
      <c r="V269" s="354"/>
      <c r="W269" s="37" t="s">
        <v>74</v>
      </c>
      <c r="X269" s="336">
        <f>IFERROR(SUMPRODUCT(X267:X267*H267:H267),"0")</f>
        <v>0</v>
      </c>
      <c r="Y269" s="336">
        <f>IFERROR(SUMPRODUCT(Y267:Y267*H267:H267),"0")</f>
        <v>0</v>
      </c>
      <c r="Z269" s="37"/>
      <c r="AA269" s="337"/>
      <c r="AB269" s="337"/>
      <c r="AC269" s="337"/>
    </row>
    <row r="270" spans="1:68" ht="14.25" customHeight="1" x14ac:dyDescent="0.25">
      <c r="A270" s="347" t="s">
        <v>147</v>
      </c>
      <c r="B270" s="348"/>
      <c r="C270" s="348"/>
      <c r="D270" s="348"/>
      <c r="E270" s="348"/>
      <c r="F270" s="348"/>
      <c r="G270" s="348"/>
      <c r="H270" s="348"/>
      <c r="I270" s="348"/>
      <c r="J270" s="348"/>
      <c r="K270" s="348"/>
      <c r="L270" s="348"/>
      <c r="M270" s="348"/>
      <c r="N270" s="348"/>
      <c r="O270" s="348"/>
      <c r="P270" s="348"/>
      <c r="Q270" s="348"/>
      <c r="R270" s="348"/>
      <c r="S270" s="348"/>
      <c r="T270" s="348"/>
      <c r="U270" s="348"/>
      <c r="V270" s="348"/>
      <c r="W270" s="348"/>
      <c r="X270" s="348"/>
      <c r="Y270" s="348"/>
      <c r="Z270" s="348"/>
      <c r="AA270" s="330"/>
      <c r="AB270" s="330"/>
      <c r="AC270" s="330"/>
    </row>
    <row r="271" spans="1:68" ht="37.5" customHeight="1" x14ac:dyDescent="0.25">
      <c r="A271" s="54" t="s">
        <v>406</v>
      </c>
      <c r="B271" s="54" t="s">
        <v>407</v>
      </c>
      <c r="C271" s="31">
        <v>4301135400</v>
      </c>
      <c r="D271" s="343">
        <v>4607111039361</v>
      </c>
      <c r="E271" s="344"/>
      <c r="F271" s="333">
        <v>0.25</v>
      </c>
      <c r="G271" s="32">
        <v>12</v>
      </c>
      <c r="H271" s="333">
        <v>3</v>
      </c>
      <c r="I271" s="333">
        <v>3.7035999999999998</v>
      </c>
      <c r="J271" s="32">
        <v>70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339"/>
      <c r="R271" s="339"/>
      <c r="S271" s="339"/>
      <c r="T271" s="340"/>
      <c r="U271" s="34"/>
      <c r="V271" s="34"/>
      <c r="W271" s="35" t="s">
        <v>70</v>
      </c>
      <c r="X271" s="334">
        <v>0</v>
      </c>
      <c r="Y271" s="335">
        <f>IFERROR(IF(X271="","",X271),"")</f>
        <v>0</v>
      </c>
      <c r="Z271" s="36">
        <f>IFERROR(IF(X271="","",X271*0.01788),"")</f>
        <v>0</v>
      </c>
      <c r="AA271" s="56"/>
      <c r="AB271" s="57"/>
      <c r="AC271" s="262" t="s">
        <v>405</v>
      </c>
      <c r="AG271" s="67"/>
      <c r="AJ271" s="71" t="s">
        <v>72</v>
      </c>
      <c r="AK271" s="71">
        <v>1</v>
      </c>
      <c r="BB271" s="263" t="s">
        <v>83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64"/>
      <c r="B272" s="348"/>
      <c r="C272" s="348"/>
      <c r="D272" s="348"/>
      <c r="E272" s="348"/>
      <c r="F272" s="348"/>
      <c r="G272" s="348"/>
      <c r="H272" s="348"/>
      <c r="I272" s="348"/>
      <c r="J272" s="348"/>
      <c r="K272" s="348"/>
      <c r="L272" s="348"/>
      <c r="M272" s="348"/>
      <c r="N272" s="348"/>
      <c r="O272" s="365"/>
      <c r="P272" s="352" t="s">
        <v>73</v>
      </c>
      <c r="Q272" s="353"/>
      <c r="R272" s="353"/>
      <c r="S272" s="353"/>
      <c r="T272" s="353"/>
      <c r="U272" s="353"/>
      <c r="V272" s="354"/>
      <c r="W272" s="37" t="s">
        <v>70</v>
      </c>
      <c r="X272" s="336">
        <f>IFERROR(SUM(X271:X271),"0")</f>
        <v>0</v>
      </c>
      <c r="Y272" s="336">
        <f>IFERROR(SUM(Y271:Y271),"0")</f>
        <v>0</v>
      </c>
      <c r="Z272" s="336">
        <f>IFERROR(IF(Z271="",0,Z271),"0")</f>
        <v>0</v>
      </c>
      <c r="AA272" s="337"/>
      <c r="AB272" s="337"/>
      <c r="AC272" s="337"/>
    </row>
    <row r="273" spans="1:68" x14ac:dyDescent="0.2">
      <c r="A273" s="348"/>
      <c r="B273" s="348"/>
      <c r="C273" s="348"/>
      <c r="D273" s="348"/>
      <c r="E273" s="348"/>
      <c r="F273" s="348"/>
      <c r="G273" s="348"/>
      <c r="H273" s="348"/>
      <c r="I273" s="348"/>
      <c r="J273" s="348"/>
      <c r="K273" s="348"/>
      <c r="L273" s="348"/>
      <c r="M273" s="348"/>
      <c r="N273" s="348"/>
      <c r="O273" s="365"/>
      <c r="P273" s="352" t="s">
        <v>73</v>
      </c>
      <c r="Q273" s="353"/>
      <c r="R273" s="353"/>
      <c r="S273" s="353"/>
      <c r="T273" s="353"/>
      <c r="U273" s="353"/>
      <c r="V273" s="354"/>
      <c r="W273" s="37" t="s">
        <v>74</v>
      </c>
      <c r="X273" s="336">
        <f>IFERROR(SUMPRODUCT(X271:X271*H271:H271),"0")</f>
        <v>0</v>
      </c>
      <c r="Y273" s="336">
        <f>IFERROR(SUMPRODUCT(Y271:Y271*H271:H271),"0")</f>
        <v>0</v>
      </c>
      <c r="Z273" s="37"/>
      <c r="AA273" s="337"/>
      <c r="AB273" s="337"/>
      <c r="AC273" s="337"/>
    </row>
    <row r="274" spans="1:68" ht="27.75" customHeight="1" x14ac:dyDescent="0.2">
      <c r="A274" s="438" t="s">
        <v>269</v>
      </c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  <c r="AA274" s="48"/>
      <c r="AB274" s="48"/>
      <c r="AC274" s="48"/>
    </row>
    <row r="275" spans="1:68" ht="16.5" customHeight="1" x14ac:dyDescent="0.25">
      <c r="A275" s="349" t="s">
        <v>269</v>
      </c>
      <c r="B275" s="348"/>
      <c r="C275" s="348"/>
      <c r="D275" s="348"/>
      <c r="E275" s="348"/>
      <c r="F275" s="348"/>
      <c r="G275" s="348"/>
      <c r="H275" s="348"/>
      <c r="I275" s="348"/>
      <c r="J275" s="348"/>
      <c r="K275" s="348"/>
      <c r="L275" s="348"/>
      <c r="M275" s="348"/>
      <c r="N275" s="348"/>
      <c r="O275" s="348"/>
      <c r="P275" s="348"/>
      <c r="Q275" s="348"/>
      <c r="R275" s="348"/>
      <c r="S275" s="348"/>
      <c r="T275" s="348"/>
      <c r="U275" s="348"/>
      <c r="V275" s="348"/>
      <c r="W275" s="348"/>
      <c r="X275" s="348"/>
      <c r="Y275" s="348"/>
      <c r="Z275" s="348"/>
      <c r="AA275" s="329"/>
      <c r="AB275" s="329"/>
      <c r="AC275" s="329"/>
    </row>
    <row r="276" spans="1:68" ht="14.25" customHeight="1" x14ac:dyDescent="0.25">
      <c r="A276" s="347" t="s">
        <v>64</v>
      </c>
      <c r="B276" s="348"/>
      <c r="C276" s="348"/>
      <c r="D276" s="348"/>
      <c r="E276" s="348"/>
      <c r="F276" s="348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30"/>
      <c r="AB276" s="330"/>
      <c r="AC276" s="330"/>
    </row>
    <row r="277" spans="1:68" ht="27" customHeight="1" x14ac:dyDescent="0.25">
      <c r="A277" s="54" t="s">
        <v>408</v>
      </c>
      <c r="B277" s="54" t="s">
        <v>409</v>
      </c>
      <c r="C277" s="31">
        <v>4301071014</v>
      </c>
      <c r="D277" s="343">
        <v>4640242181264</v>
      </c>
      <c r="E277" s="344"/>
      <c r="F277" s="333">
        <v>0.7</v>
      </c>
      <c r="G277" s="32">
        <v>10</v>
      </c>
      <c r="H277" s="333">
        <v>7</v>
      </c>
      <c r="I277" s="333">
        <v>7.28</v>
      </c>
      <c r="J277" s="32">
        <v>84</v>
      </c>
      <c r="K277" s="32" t="s">
        <v>67</v>
      </c>
      <c r="L277" s="32" t="s">
        <v>109</v>
      </c>
      <c r="M277" s="33" t="s">
        <v>69</v>
      </c>
      <c r="N277" s="33"/>
      <c r="O277" s="32">
        <v>180</v>
      </c>
      <c r="P277" s="442" t="s">
        <v>410</v>
      </c>
      <c r="Q277" s="339"/>
      <c r="R277" s="339"/>
      <c r="S277" s="339"/>
      <c r="T277" s="340"/>
      <c r="U277" s="34"/>
      <c r="V277" s="34"/>
      <c r="W277" s="35" t="s">
        <v>70</v>
      </c>
      <c r="X277" s="334">
        <v>0</v>
      </c>
      <c r="Y277" s="335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411</v>
      </c>
      <c r="AG277" s="67"/>
      <c r="AJ277" s="71" t="s">
        <v>111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t="27" customHeight="1" x14ac:dyDescent="0.25">
      <c r="A278" s="54" t="s">
        <v>412</v>
      </c>
      <c r="B278" s="54" t="s">
        <v>413</v>
      </c>
      <c r="C278" s="31">
        <v>4301071021</v>
      </c>
      <c r="D278" s="343">
        <v>4640242181325</v>
      </c>
      <c r="E278" s="344"/>
      <c r="F278" s="333">
        <v>0.7</v>
      </c>
      <c r="G278" s="32">
        <v>10</v>
      </c>
      <c r="H278" s="333">
        <v>7</v>
      </c>
      <c r="I278" s="333">
        <v>7.28</v>
      </c>
      <c r="J278" s="32">
        <v>84</v>
      </c>
      <c r="K278" s="32" t="s">
        <v>67</v>
      </c>
      <c r="L278" s="32" t="s">
        <v>109</v>
      </c>
      <c r="M278" s="33" t="s">
        <v>69</v>
      </c>
      <c r="N278" s="33"/>
      <c r="O278" s="32">
        <v>180</v>
      </c>
      <c r="P278" s="519" t="s">
        <v>414</v>
      </c>
      <c r="Q278" s="339"/>
      <c r="R278" s="339"/>
      <c r="S278" s="339"/>
      <c r="T278" s="340"/>
      <c r="U278" s="34"/>
      <c r="V278" s="34"/>
      <c r="W278" s="35" t="s">
        <v>70</v>
      </c>
      <c r="X278" s="334">
        <v>0</v>
      </c>
      <c r="Y278" s="335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411</v>
      </c>
      <c r="AG278" s="67"/>
      <c r="AJ278" s="71" t="s">
        <v>111</v>
      </c>
      <c r="AK278" s="71">
        <v>12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customHeight="1" x14ac:dyDescent="0.25">
      <c r="A279" s="54" t="s">
        <v>415</v>
      </c>
      <c r="B279" s="54" t="s">
        <v>416</v>
      </c>
      <c r="C279" s="31">
        <v>4301070993</v>
      </c>
      <c r="D279" s="343">
        <v>4640242180670</v>
      </c>
      <c r="E279" s="344"/>
      <c r="F279" s="333">
        <v>1</v>
      </c>
      <c r="G279" s="32">
        <v>6</v>
      </c>
      <c r="H279" s="333">
        <v>6</v>
      </c>
      <c r="I279" s="333">
        <v>6.23</v>
      </c>
      <c r="J279" s="32">
        <v>84</v>
      </c>
      <c r="K279" s="32" t="s">
        <v>67</v>
      </c>
      <c r="L279" s="32" t="s">
        <v>109</v>
      </c>
      <c r="M279" s="33" t="s">
        <v>69</v>
      </c>
      <c r="N279" s="33"/>
      <c r="O279" s="32">
        <v>180</v>
      </c>
      <c r="P279" s="480" t="s">
        <v>417</v>
      </c>
      <c r="Q279" s="339"/>
      <c r="R279" s="339"/>
      <c r="S279" s="339"/>
      <c r="T279" s="340"/>
      <c r="U279" s="34"/>
      <c r="V279" s="34"/>
      <c r="W279" s="35" t="s">
        <v>70</v>
      </c>
      <c r="X279" s="334">
        <v>0</v>
      </c>
      <c r="Y279" s="335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418</v>
      </c>
      <c r="AG279" s="67"/>
      <c r="AJ279" s="71" t="s">
        <v>111</v>
      </c>
      <c r="AK279" s="71">
        <v>12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x14ac:dyDescent="0.2">
      <c r="A280" s="364"/>
      <c r="B280" s="348"/>
      <c r="C280" s="348"/>
      <c r="D280" s="348"/>
      <c r="E280" s="348"/>
      <c r="F280" s="348"/>
      <c r="G280" s="348"/>
      <c r="H280" s="348"/>
      <c r="I280" s="348"/>
      <c r="J280" s="348"/>
      <c r="K280" s="348"/>
      <c r="L280" s="348"/>
      <c r="M280" s="348"/>
      <c r="N280" s="348"/>
      <c r="O280" s="365"/>
      <c r="P280" s="352" t="s">
        <v>73</v>
      </c>
      <c r="Q280" s="353"/>
      <c r="R280" s="353"/>
      <c r="S280" s="353"/>
      <c r="T280" s="353"/>
      <c r="U280" s="353"/>
      <c r="V280" s="354"/>
      <c r="W280" s="37" t="s">
        <v>70</v>
      </c>
      <c r="X280" s="336">
        <f>IFERROR(SUM(X277:X279),"0")</f>
        <v>0</v>
      </c>
      <c r="Y280" s="336">
        <f>IFERROR(SUM(Y277:Y279),"0")</f>
        <v>0</v>
      </c>
      <c r="Z280" s="336">
        <f>IFERROR(IF(Z277="",0,Z277),"0")+IFERROR(IF(Z278="",0,Z278),"0")+IFERROR(IF(Z279="",0,Z279),"0")</f>
        <v>0</v>
      </c>
      <c r="AA280" s="337"/>
      <c r="AB280" s="337"/>
      <c r="AC280" s="337"/>
    </row>
    <row r="281" spans="1:68" x14ac:dyDescent="0.2">
      <c r="A281" s="348"/>
      <c r="B281" s="348"/>
      <c r="C281" s="348"/>
      <c r="D281" s="348"/>
      <c r="E281" s="348"/>
      <c r="F281" s="348"/>
      <c r="G281" s="348"/>
      <c r="H281" s="348"/>
      <c r="I281" s="348"/>
      <c r="J281" s="348"/>
      <c r="K281" s="348"/>
      <c r="L281" s="348"/>
      <c r="M281" s="348"/>
      <c r="N281" s="348"/>
      <c r="O281" s="365"/>
      <c r="P281" s="352" t="s">
        <v>73</v>
      </c>
      <c r="Q281" s="353"/>
      <c r="R281" s="353"/>
      <c r="S281" s="353"/>
      <c r="T281" s="353"/>
      <c r="U281" s="353"/>
      <c r="V281" s="354"/>
      <c r="W281" s="37" t="s">
        <v>74</v>
      </c>
      <c r="X281" s="336">
        <f>IFERROR(SUMPRODUCT(X277:X279*H277:H279),"0")</f>
        <v>0</v>
      </c>
      <c r="Y281" s="336">
        <f>IFERROR(SUMPRODUCT(Y277:Y279*H277:H279),"0")</f>
        <v>0</v>
      </c>
      <c r="Z281" s="37"/>
      <c r="AA281" s="337"/>
      <c r="AB281" s="337"/>
      <c r="AC281" s="337"/>
    </row>
    <row r="282" spans="1:68" ht="14.25" customHeight="1" x14ac:dyDescent="0.25">
      <c r="A282" s="347" t="s">
        <v>171</v>
      </c>
      <c r="B282" s="348"/>
      <c r="C282" s="348"/>
      <c r="D282" s="348"/>
      <c r="E282" s="348"/>
      <c r="F282" s="348"/>
      <c r="G282" s="348"/>
      <c r="H282" s="348"/>
      <c r="I282" s="348"/>
      <c r="J282" s="348"/>
      <c r="K282" s="348"/>
      <c r="L282" s="348"/>
      <c r="M282" s="348"/>
      <c r="N282" s="348"/>
      <c r="O282" s="348"/>
      <c r="P282" s="348"/>
      <c r="Q282" s="348"/>
      <c r="R282" s="348"/>
      <c r="S282" s="348"/>
      <c r="T282" s="348"/>
      <c r="U282" s="348"/>
      <c r="V282" s="348"/>
      <c r="W282" s="348"/>
      <c r="X282" s="348"/>
      <c r="Y282" s="348"/>
      <c r="Z282" s="348"/>
      <c r="AA282" s="330"/>
      <c r="AB282" s="330"/>
      <c r="AC282" s="330"/>
    </row>
    <row r="283" spans="1:68" ht="27" customHeight="1" x14ac:dyDescent="0.25">
      <c r="A283" s="54" t="s">
        <v>419</v>
      </c>
      <c r="B283" s="54" t="s">
        <v>420</v>
      </c>
      <c r="C283" s="31">
        <v>4301131019</v>
      </c>
      <c r="D283" s="343">
        <v>4640242180427</v>
      </c>
      <c r="E283" s="344"/>
      <c r="F283" s="333">
        <v>1.8</v>
      </c>
      <c r="G283" s="32">
        <v>1</v>
      </c>
      <c r="H283" s="333">
        <v>1.8</v>
      </c>
      <c r="I283" s="333">
        <v>1.915</v>
      </c>
      <c r="J283" s="32">
        <v>234</v>
      </c>
      <c r="K283" s="32" t="s">
        <v>161</v>
      </c>
      <c r="L283" s="32" t="s">
        <v>109</v>
      </c>
      <c r="M283" s="33" t="s">
        <v>69</v>
      </c>
      <c r="N283" s="33"/>
      <c r="O283" s="32">
        <v>180</v>
      </c>
      <c r="P283" s="44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339"/>
      <c r="R283" s="339"/>
      <c r="S283" s="339"/>
      <c r="T283" s="340"/>
      <c r="U283" s="34"/>
      <c r="V283" s="34"/>
      <c r="W283" s="35" t="s">
        <v>70</v>
      </c>
      <c r="X283" s="334">
        <v>0</v>
      </c>
      <c r="Y283" s="335">
        <f>IFERROR(IF(X283="","",X283),"")</f>
        <v>0</v>
      </c>
      <c r="Z283" s="36">
        <f>IFERROR(IF(X283="","",X283*0.00502),"")</f>
        <v>0</v>
      </c>
      <c r="AA283" s="56"/>
      <c r="AB283" s="57"/>
      <c r="AC283" s="270" t="s">
        <v>421</v>
      </c>
      <c r="AG283" s="67"/>
      <c r="AJ283" s="71" t="s">
        <v>111</v>
      </c>
      <c r="AK283" s="71">
        <v>18</v>
      </c>
      <c r="BB283" s="271" t="s">
        <v>83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x14ac:dyDescent="0.2">
      <c r="A284" s="364"/>
      <c r="B284" s="348"/>
      <c r="C284" s="348"/>
      <c r="D284" s="348"/>
      <c r="E284" s="348"/>
      <c r="F284" s="348"/>
      <c r="G284" s="348"/>
      <c r="H284" s="348"/>
      <c r="I284" s="348"/>
      <c r="J284" s="348"/>
      <c r="K284" s="348"/>
      <c r="L284" s="348"/>
      <c r="M284" s="348"/>
      <c r="N284" s="348"/>
      <c r="O284" s="365"/>
      <c r="P284" s="352" t="s">
        <v>73</v>
      </c>
      <c r="Q284" s="353"/>
      <c r="R284" s="353"/>
      <c r="S284" s="353"/>
      <c r="T284" s="353"/>
      <c r="U284" s="353"/>
      <c r="V284" s="354"/>
      <c r="W284" s="37" t="s">
        <v>70</v>
      </c>
      <c r="X284" s="336">
        <f>IFERROR(SUM(X283:X283),"0")</f>
        <v>0</v>
      </c>
      <c r="Y284" s="336">
        <f>IFERROR(SUM(Y283:Y283),"0")</f>
        <v>0</v>
      </c>
      <c r="Z284" s="336">
        <f>IFERROR(IF(Z283="",0,Z283),"0")</f>
        <v>0</v>
      </c>
      <c r="AA284" s="337"/>
      <c r="AB284" s="337"/>
      <c r="AC284" s="337"/>
    </row>
    <row r="285" spans="1:68" x14ac:dyDescent="0.2">
      <c r="A285" s="348"/>
      <c r="B285" s="348"/>
      <c r="C285" s="348"/>
      <c r="D285" s="348"/>
      <c r="E285" s="348"/>
      <c r="F285" s="348"/>
      <c r="G285" s="348"/>
      <c r="H285" s="348"/>
      <c r="I285" s="348"/>
      <c r="J285" s="348"/>
      <c r="K285" s="348"/>
      <c r="L285" s="348"/>
      <c r="M285" s="348"/>
      <c r="N285" s="348"/>
      <c r="O285" s="365"/>
      <c r="P285" s="352" t="s">
        <v>73</v>
      </c>
      <c r="Q285" s="353"/>
      <c r="R285" s="353"/>
      <c r="S285" s="353"/>
      <c r="T285" s="353"/>
      <c r="U285" s="353"/>
      <c r="V285" s="354"/>
      <c r="W285" s="37" t="s">
        <v>74</v>
      </c>
      <c r="X285" s="336">
        <f>IFERROR(SUMPRODUCT(X283:X283*H283:H283),"0")</f>
        <v>0</v>
      </c>
      <c r="Y285" s="336">
        <f>IFERROR(SUMPRODUCT(Y283:Y283*H283:H283),"0")</f>
        <v>0</v>
      </c>
      <c r="Z285" s="37"/>
      <c r="AA285" s="337"/>
      <c r="AB285" s="337"/>
      <c r="AC285" s="337"/>
    </row>
    <row r="286" spans="1:68" ht="14.25" customHeight="1" x14ac:dyDescent="0.25">
      <c r="A286" s="347" t="s">
        <v>77</v>
      </c>
      <c r="B286" s="348"/>
      <c r="C286" s="348"/>
      <c r="D286" s="348"/>
      <c r="E286" s="348"/>
      <c r="F286" s="348"/>
      <c r="G286" s="348"/>
      <c r="H286" s="348"/>
      <c r="I286" s="348"/>
      <c r="J286" s="348"/>
      <c r="K286" s="348"/>
      <c r="L286" s="348"/>
      <c r="M286" s="348"/>
      <c r="N286" s="348"/>
      <c r="O286" s="348"/>
      <c r="P286" s="348"/>
      <c r="Q286" s="348"/>
      <c r="R286" s="348"/>
      <c r="S286" s="348"/>
      <c r="T286" s="348"/>
      <c r="U286" s="348"/>
      <c r="V286" s="348"/>
      <c r="W286" s="348"/>
      <c r="X286" s="348"/>
      <c r="Y286" s="348"/>
      <c r="Z286" s="348"/>
      <c r="AA286" s="330"/>
      <c r="AB286" s="330"/>
      <c r="AC286" s="330"/>
    </row>
    <row r="287" spans="1:68" ht="27" customHeight="1" x14ac:dyDescent="0.25">
      <c r="A287" s="54" t="s">
        <v>422</v>
      </c>
      <c r="B287" s="54" t="s">
        <v>423</v>
      </c>
      <c r="C287" s="31">
        <v>4301132080</v>
      </c>
      <c r="D287" s="343">
        <v>4640242180397</v>
      </c>
      <c r="E287" s="344"/>
      <c r="F287" s="333">
        <v>1</v>
      </c>
      <c r="G287" s="32">
        <v>6</v>
      </c>
      <c r="H287" s="333">
        <v>6</v>
      </c>
      <c r="I287" s="333">
        <v>6.26</v>
      </c>
      <c r="J287" s="32">
        <v>84</v>
      </c>
      <c r="K287" s="32" t="s">
        <v>67</v>
      </c>
      <c r="L287" s="32" t="s">
        <v>114</v>
      </c>
      <c r="M287" s="33" t="s">
        <v>69</v>
      </c>
      <c r="N287" s="33"/>
      <c r="O287" s="32">
        <v>180</v>
      </c>
      <c r="P287" s="4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339"/>
      <c r="R287" s="339"/>
      <c r="S287" s="339"/>
      <c r="T287" s="340"/>
      <c r="U287" s="34"/>
      <c r="V287" s="34"/>
      <c r="W287" s="35" t="s">
        <v>70</v>
      </c>
      <c r="X287" s="334">
        <v>96</v>
      </c>
      <c r="Y287" s="335">
        <f>IFERROR(IF(X287="","",X287),"")</f>
        <v>96</v>
      </c>
      <c r="Z287" s="36">
        <f>IFERROR(IF(X287="","",X287*0.0155),"")</f>
        <v>1.488</v>
      </c>
      <c r="AA287" s="56"/>
      <c r="AB287" s="57"/>
      <c r="AC287" s="272" t="s">
        <v>424</v>
      </c>
      <c r="AG287" s="67"/>
      <c r="AJ287" s="71" t="s">
        <v>115</v>
      </c>
      <c r="AK287" s="71">
        <v>84</v>
      </c>
      <c r="BB287" s="273" t="s">
        <v>83</v>
      </c>
      <c r="BM287" s="67">
        <f>IFERROR(X287*I287,"0")</f>
        <v>600.96</v>
      </c>
      <c r="BN287" s="67">
        <f>IFERROR(Y287*I287,"0")</f>
        <v>600.96</v>
      </c>
      <c r="BO287" s="67">
        <f>IFERROR(X287/J287,"0")</f>
        <v>1.1428571428571428</v>
      </c>
      <c r="BP287" s="67">
        <f>IFERROR(Y287/J287,"0")</f>
        <v>1.1428571428571428</v>
      </c>
    </row>
    <row r="288" spans="1:68" ht="27" customHeight="1" x14ac:dyDescent="0.25">
      <c r="A288" s="54" t="s">
        <v>425</v>
      </c>
      <c r="B288" s="54" t="s">
        <v>426</v>
      </c>
      <c r="C288" s="31">
        <v>4301132104</v>
      </c>
      <c r="D288" s="343">
        <v>4640242181219</v>
      </c>
      <c r="E288" s="344"/>
      <c r="F288" s="333">
        <v>0.3</v>
      </c>
      <c r="G288" s="32">
        <v>9</v>
      </c>
      <c r="H288" s="333">
        <v>2.7</v>
      </c>
      <c r="I288" s="333">
        <v>2.8450000000000002</v>
      </c>
      <c r="J288" s="32">
        <v>234</v>
      </c>
      <c r="K288" s="32" t="s">
        <v>161</v>
      </c>
      <c r="L288" s="32" t="s">
        <v>109</v>
      </c>
      <c r="M288" s="33" t="s">
        <v>69</v>
      </c>
      <c r="N288" s="33"/>
      <c r="O288" s="32">
        <v>180</v>
      </c>
      <c r="P288" s="541" t="s">
        <v>427</v>
      </c>
      <c r="Q288" s="339"/>
      <c r="R288" s="339"/>
      <c r="S288" s="339"/>
      <c r="T288" s="340"/>
      <c r="U288" s="34"/>
      <c r="V288" s="34"/>
      <c r="W288" s="35" t="s">
        <v>70</v>
      </c>
      <c r="X288" s="334">
        <v>0</v>
      </c>
      <c r="Y288" s="335">
        <f>IFERROR(IF(X288="","",X288),"")</f>
        <v>0</v>
      </c>
      <c r="Z288" s="36">
        <f>IFERROR(IF(X288="","",X288*0.00502),"")</f>
        <v>0</v>
      </c>
      <c r="AA288" s="56"/>
      <c r="AB288" s="57"/>
      <c r="AC288" s="274" t="s">
        <v>424</v>
      </c>
      <c r="AG288" s="67"/>
      <c r="AJ288" s="71" t="s">
        <v>111</v>
      </c>
      <c r="AK288" s="71">
        <v>18</v>
      </c>
      <c r="BB288" s="275" t="s">
        <v>83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x14ac:dyDescent="0.2">
      <c r="A289" s="364"/>
      <c r="B289" s="348"/>
      <c r="C289" s="348"/>
      <c r="D289" s="348"/>
      <c r="E289" s="348"/>
      <c r="F289" s="348"/>
      <c r="G289" s="348"/>
      <c r="H289" s="348"/>
      <c r="I289" s="348"/>
      <c r="J289" s="348"/>
      <c r="K289" s="348"/>
      <c r="L289" s="348"/>
      <c r="M289" s="348"/>
      <c r="N289" s="348"/>
      <c r="O289" s="365"/>
      <c r="P289" s="352" t="s">
        <v>73</v>
      </c>
      <c r="Q289" s="353"/>
      <c r="R289" s="353"/>
      <c r="S289" s="353"/>
      <c r="T289" s="353"/>
      <c r="U289" s="353"/>
      <c r="V289" s="354"/>
      <c r="W289" s="37" t="s">
        <v>70</v>
      </c>
      <c r="X289" s="336">
        <f>IFERROR(SUM(X287:X288),"0")</f>
        <v>96</v>
      </c>
      <c r="Y289" s="336">
        <f>IFERROR(SUM(Y287:Y288),"0")</f>
        <v>96</v>
      </c>
      <c r="Z289" s="336">
        <f>IFERROR(IF(Z287="",0,Z287),"0")+IFERROR(IF(Z288="",0,Z288),"0")</f>
        <v>1.488</v>
      </c>
      <c r="AA289" s="337"/>
      <c r="AB289" s="337"/>
      <c r="AC289" s="337"/>
    </row>
    <row r="290" spans="1:68" x14ac:dyDescent="0.2">
      <c r="A290" s="348"/>
      <c r="B290" s="348"/>
      <c r="C290" s="348"/>
      <c r="D290" s="348"/>
      <c r="E290" s="348"/>
      <c r="F290" s="348"/>
      <c r="G290" s="348"/>
      <c r="H290" s="348"/>
      <c r="I290" s="348"/>
      <c r="J290" s="348"/>
      <c r="K290" s="348"/>
      <c r="L290" s="348"/>
      <c r="M290" s="348"/>
      <c r="N290" s="348"/>
      <c r="O290" s="365"/>
      <c r="P290" s="352" t="s">
        <v>73</v>
      </c>
      <c r="Q290" s="353"/>
      <c r="R290" s="353"/>
      <c r="S290" s="353"/>
      <c r="T290" s="353"/>
      <c r="U290" s="353"/>
      <c r="V290" s="354"/>
      <c r="W290" s="37" t="s">
        <v>74</v>
      </c>
      <c r="X290" s="336">
        <f>IFERROR(SUMPRODUCT(X287:X288*H287:H288),"0")</f>
        <v>576</v>
      </c>
      <c r="Y290" s="336">
        <f>IFERROR(SUMPRODUCT(Y287:Y288*H287:H288),"0")</f>
        <v>576</v>
      </c>
      <c r="Z290" s="37"/>
      <c r="AA290" s="337"/>
      <c r="AB290" s="337"/>
      <c r="AC290" s="337"/>
    </row>
    <row r="291" spans="1:68" ht="14.25" customHeight="1" x14ac:dyDescent="0.25">
      <c r="A291" s="347" t="s">
        <v>143</v>
      </c>
      <c r="B291" s="348"/>
      <c r="C291" s="348"/>
      <c r="D291" s="348"/>
      <c r="E291" s="348"/>
      <c r="F291" s="348"/>
      <c r="G291" s="348"/>
      <c r="H291" s="348"/>
      <c r="I291" s="348"/>
      <c r="J291" s="348"/>
      <c r="K291" s="348"/>
      <c r="L291" s="348"/>
      <c r="M291" s="348"/>
      <c r="N291" s="348"/>
      <c r="O291" s="348"/>
      <c r="P291" s="348"/>
      <c r="Q291" s="348"/>
      <c r="R291" s="348"/>
      <c r="S291" s="348"/>
      <c r="T291" s="348"/>
      <c r="U291" s="348"/>
      <c r="V291" s="348"/>
      <c r="W291" s="348"/>
      <c r="X291" s="348"/>
      <c r="Y291" s="348"/>
      <c r="Z291" s="348"/>
      <c r="AA291" s="330"/>
      <c r="AB291" s="330"/>
      <c r="AC291" s="330"/>
    </row>
    <row r="292" spans="1:68" ht="27" customHeight="1" x14ac:dyDescent="0.25">
      <c r="A292" s="54" t="s">
        <v>428</v>
      </c>
      <c r="B292" s="54" t="s">
        <v>429</v>
      </c>
      <c r="C292" s="31">
        <v>4301136028</v>
      </c>
      <c r="D292" s="343">
        <v>4640242180304</v>
      </c>
      <c r="E292" s="344"/>
      <c r="F292" s="333">
        <v>2.7</v>
      </c>
      <c r="G292" s="32">
        <v>1</v>
      </c>
      <c r="H292" s="333">
        <v>2.7</v>
      </c>
      <c r="I292" s="333">
        <v>2.8906000000000001</v>
      </c>
      <c r="J292" s="32">
        <v>126</v>
      </c>
      <c r="K292" s="32" t="s">
        <v>80</v>
      </c>
      <c r="L292" s="32" t="s">
        <v>109</v>
      </c>
      <c r="M292" s="33" t="s">
        <v>69</v>
      </c>
      <c r="N292" s="33"/>
      <c r="O292" s="32">
        <v>180</v>
      </c>
      <c r="P292" s="546" t="s">
        <v>430</v>
      </c>
      <c r="Q292" s="339"/>
      <c r="R292" s="339"/>
      <c r="S292" s="339"/>
      <c r="T292" s="340"/>
      <c r="U292" s="34"/>
      <c r="V292" s="34"/>
      <c r="W292" s="35" t="s">
        <v>70</v>
      </c>
      <c r="X292" s="334">
        <v>0</v>
      </c>
      <c r="Y292" s="335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431</v>
      </c>
      <c r="AG292" s="67"/>
      <c r="AJ292" s="71" t="s">
        <v>111</v>
      </c>
      <c r="AK292" s="71">
        <v>14</v>
      </c>
      <c r="BB292" s="277" t="s">
        <v>83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t="27" customHeight="1" x14ac:dyDescent="0.25">
      <c r="A293" s="54" t="s">
        <v>432</v>
      </c>
      <c r="B293" s="54" t="s">
        <v>433</v>
      </c>
      <c r="C293" s="31">
        <v>4301136026</v>
      </c>
      <c r="D293" s="343">
        <v>4640242180236</v>
      </c>
      <c r="E293" s="344"/>
      <c r="F293" s="333">
        <v>5</v>
      </c>
      <c r="G293" s="32">
        <v>1</v>
      </c>
      <c r="H293" s="333">
        <v>5</v>
      </c>
      <c r="I293" s="333">
        <v>5.2350000000000003</v>
      </c>
      <c r="J293" s="32">
        <v>84</v>
      </c>
      <c r="K293" s="32" t="s">
        <v>67</v>
      </c>
      <c r="L293" s="32" t="s">
        <v>114</v>
      </c>
      <c r="M293" s="33" t="s">
        <v>69</v>
      </c>
      <c r="N293" s="33"/>
      <c r="O293" s="32">
        <v>180</v>
      </c>
      <c r="P293" s="5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339"/>
      <c r="R293" s="339"/>
      <c r="S293" s="339"/>
      <c r="T293" s="340"/>
      <c r="U293" s="34"/>
      <c r="V293" s="34"/>
      <c r="W293" s="35" t="s">
        <v>70</v>
      </c>
      <c r="X293" s="334">
        <v>96</v>
      </c>
      <c r="Y293" s="335">
        <f>IFERROR(IF(X293="","",X293),"")</f>
        <v>96</v>
      </c>
      <c r="Z293" s="36">
        <f>IFERROR(IF(X293="","",X293*0.0155),"")</f>
        <v>1.488</v>
      </c>
      <c r="AA293" s="56"/>
      <c r="AB293" s="57"/>
      <c r="AC293" s="278" t="s">
        <v>431</v>
      </c>
      <c r="AG293" s="67"/>
      <c r="AJ293" s="71" t="s">
        <v>115</v>
      </c>
      <c r="AK293" s="71">
        <v>84</v>
      </c>
      <c r="BB293" s="279" t="s">
        <v>83</v>
      </c>
      <c r="BM293" s="67">
        <f>IFERROR(X293*I293,"0")</f>
        <v>502.56000000000006</v>
      </c>
      <c r="BN293" s="67">
        <f>IFERROR(Y293*I293,"0")</f>
        <v>502.56000000000006</v>
      </c>
      <c r="BO293" s="67">
        <f>IFERROR(X293/J293,"0")</f>
        <v>1.1428571428571428</v>
      </c>
      <c r="BP293" s="67">
        <f>IFERROR(Y293/J293,"0")</f>
        <v>1.1428571428571428</v>
      </c>
    </row>
    <row r="294" spans="1:68" ht="27" customHeight="1" x14ac:dyDescent="0.25">
      <c r="A294" s="54" t="s">
        <v>434</v>
      </c>
      <c r="B294" s="54" t="s">
        <v>435</v>
      </c>
      <c r="C294" s="31">
        <v>4301136029</v>
      </c>
      <c r="D294" s="343">
        <v>4640242180410</v>
      </c>
      <c r="E294" s="344"/>
      <c r="F294" s="333">
        <v>2.2400000000000002</v>
      </c>
      <c r="G294" s="32">
        <v>1</v>
      </c>
      <c r="H294" s="333">
        <v>2.2400000000000002</v>
      </c>
      <c r="I294" s="333">
        <v>2.4319999999999999</v>
      </c>
      <c r="J294" s="32">
        <v>126</v>
      </c>
      <c r="K294" s="32" t="s">
        <v>80</v>
      </c>
      <c r="L294" s="32" t="s">
        <v>109</v>
      </c>
      <c r="M294" s="33" t="s">
        <v>69</v>
      </c>
      <c r="N294" s="33"/>
      <c r="O294" s="32">
        <v>180</v>
      </c>
      <c r="P294" s="54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339"/>
      <c r="R294" s="339"/>
      <c r="S294" s="339"/>
      <c r="T294" s="340"/>
      <c r="U294" s="34"/>
      <c r="V294" s="34"/>
      <c r="W294" s="35" t="s">
        <v>70</v>
      </c>
      <c r="X294" s="334">
        <v>42</v>
      </c>
      <c r="Y294" s="335">
        <f>IFERROR(IF(X294="","",X294),"")</f>
        <v>42</v>
      </c>
      <c r="Z294" s="36">
        <f>IFERROR(IF(X294="","",X294*0.00936),"")</f>
        <v>0.39312000000000002</v>
      </c>
      <c r="AA294" s="56"/>
      <c r="AB294" s="57"/>
      <c r="AC294" s="280" t="s">
        <v>431</v>
      </c>
      <c r="AG294" s="67"/>
      <c r="AJ294" s="71" t="s">
        <v>111</v>
      </c>
      <c r="AK294" s="71">
        <v>14</v>
      </c>
      <c r="BB294" s="281" t="s">
        <v>83</v>
      </c>
      <c r="BM294" s="67">
        <f>IFERROR(X294*I294,"0")</f>
        <v>102.14399999999999</v>
      </c>
      <c r="BN294" s="67">
        <f>IFERROR(Y294*I294,"0")</f>
        <v>102.14399999999999</v>
      </c>
      <c r="BO294" s="67">
        <f>IFERROR(X294/J294,"0")</f>
        <v>0.33333333333333331</v>
      </c>
      <c r="BP294" s="67">
        <f>IFERROR(Y294/J294,"0")</f>
        <v>0.33333333333333331</v>
      </c>
    </row>
    <row r="295" spans="1:68" x14ac:dyDescent="0.2">
      <c r="A295" s="364"/>
      <c r="B295" s="348"/>
      <c r="C295" s="348"/>
      <c r="D295" s="348"/>
      <c r="E295" s="348"/>
      <c r="F295" s="348"/>
      <c r="G295" s="348"/>
      <c r="H295" s="348"/>
      <c r="I295" s="348"/>
      <c r="J295" s="348"/>
      <c r="K295" s="348"/>
      <c r="L295" s="348"/>
      <c r="M295" s="348"/>
      <c r="N295" s="348"/>
      <c r="O295" s="365"/>
      <c r="P295" s="352" t="s">
        <v>73</v>
      </c>
      <c r="Q295" s="353"/>
      <c r="R295" s="353"/>
      <c r="S295" s="353"/>
      <c r="T295" s="353"/>
      <c r="U295" s="353"/>
      <c r="V295" s="354"/>
      <c r="W295" s="37" t="s">
        <v>70</v>
      </c>
      <c r="X295" s="336">
        <f>IFERROR(SUM(X292:X294),"0")</f>
        <v>138</v>
      </c>
      <c r="Y295" s="336">
        <f>IFERROR(SUM(Y292:Y294),"0")</f>
        <v>138</v>
      </c>
      <c r="Z295" s="336">
        <f>IFERROR(IF(Z292="",0,Z292),"0")+IFERROR(IF(Z293="",0,Z293),"0")+IFERROR(IF(Z294="",0,Z294),"0")</f>
        <v>1.8811200000000001</v>
      </c>
      <c r="AA295" s="337"/>
      <c r="AB295" s="337"/>
      <c r="AC295" s="337"/>
    </row>
    <row r="296" spans="1:68" x14ac:dyDescent="0.2">
      <c r="A296" s="348"/>
      <c r="B296" s="348"/>
      <c r="C296" s="348"/>
      <c r="D296" s="348"/>
      <c r="E296" s="348"/>
      <c r="F296" s="348"/>
      <c r="G296" s="348"/>
      <c r="H296" s="348"/>
      <c r="I296" s="348"/>
      <c r="J296" s="348"/>
      <c r="K296" s="348"/>
      <c r="L296" s="348"/>
      <c r="M296" s="348"/>
      <c r="N296" s="348"/>
      <c r="O296" s="365"/>
      <c r="P296" s="352" t="s">
        <v>73</v>
      </c>
      <c r="Q296" s="353"/>
      <c r="R296" s="353"/>
      <c r="S296" s="353"/>
      <c r="T296" s="353"/>
      <c r="U296" s="353"/>
      <c r="V296" s="354"/>
      <c r="W296" s="37" t="s">
        <v>74</v>
      </c>
      <c r="X296" s="336">
        <f>IFERROR(SUMPRODUCT(X292:X294*H292:H294),"0")</f>
        <v>574.08000000000004</v>
      </c>
      <c r="Y296" s="336">
        <f>IFERROR(SUMPRODUCT(Y292:Y294*H292:H294),"0")</f>
        <v>574.08000000000004</v>
      </c>
      <c r="Z296" s="37"/>
      <c r="AA296" s="337"/>
      <c r="AB296" s="337"/>
      <c r="AC296" s="337"/>
    </row>
    <row r="297" spans="1:68" ht="14.25" customHeight="1" x14ac:dyDescent="0.25">
      <c r="A297" s="347" t="s">
        <v>147</v>
      </c>
      <c r="B297" s="348"/>
      <c r="C297" s="348"/>
      <c r="D297" s="348"/>
      <c r="E297" s="348"/>
      <c r="F297" s="348"/>
      <c r="G297" s="348"/>
      <c r="H297" s="348"/>
      <c r="I297" s="348"/>
      <c r="J297" s="348"/>
      <c r="K297" s="348"/>
      <c r="L297" s="348"/>
      <c r="M297" s="348"/>
      <c r="N297" s="348"/>
      <c r="O297" s="348"/>
      <c r="P297" s="348"/>
      <c r="Q297" s="348"/>
      <c r="R297" s="348"/>
      <c r="S297" s="348"/>
      <c r="T297" s="348"/>
      <c r="U297" s="348"/>
      <c r="V297" s="348"/>
      <c r="W297" s="348"/>
      <c r="X297" s="348"/>
      <c r="Y297" s="348"/>
      <c r="Z297" s="348"/>
      <c r="AA297" s="330"/>
      <c r="AB297" s="330"/>
      <c r="AC297" s="330"/>
    </row>
    <row r="298" spans="1:68" ht="37.5" customHeight="1" x14ac:dyDescent="0.25">
      <c r="A298" s="54" t="s">
        <v>436</v>
      </c>
      <c r="B298" s="54" t="s">
        <v>437</v>
      </c>
      <c r="C298" s="31">
        <v>4301135504</v>
      </c>
      <c r="D298" s="343">
        <v>4640242181554</v>
      </c>
      <c r="E298" s="344"/>
      <c r="F298" s="333">
        <v>3</v>
      </c>
      <c r="G298" s="32">
        <v>1</v>
      </c>
      <c r="H298" s="333">
        <v>3</v>
      </c>
      <c r="I298" s="333">
        <v>3.1920000000000002</v>
      </c>
      <c r="J298" s="32">
        <v>126</v>
      </c>
      <c r="K298" s="32" t="s">
        <v>80</v>
      </c>
      <c r="L298" s="32" t="s">
        <v>68</v>
      </c>
      <c r="M298" s="33" t="s">
        <v>69</v>
      </c>
      <c r="N298" s="33"/>
      <c r="O298" s="32">
        <v>180</v>
      </c>
      <c r="P298" s="523" t="s">
        <v>438</v>
      </c>
      <c r="Q298" s="339"/>
      <c r="R298" s="339"/>
      <c r="S298" s="339"/>
      <c r="T298" s="340"/>
      <c r="U298" s="34"/>
      <c r="V298" s="34"/>
      <c r="W298" s="35" t="s">
        <v>70</v>
      </c>
      <c r="X298" s="334">
        <v>0</v>
      </c>
      <c r="Y298" s="335">
        <f t="shared" ref="Y298:Y318" si="24">IFERROR(IF(X298="","",X298),"")</f>
        <v>0</v>
      </c>
      <c r="Z298" s="36">
        <f>IFERROR(IF(X298="","",X298*0.00936),"")</f>
        <v>0</v>
      </c>
      <c r="AA298" s="56"/>
      <c r="AB298" s="57"/>
      <c r="AC298" s="282" t="s">
        <v>439</v>
      </c>
      <c r="AG298" s="67"/>
      <c r="AJ298" s="71" t="s">
        <v>72</v>
      </c>
      <c r="AK298" s="71">
        <v>1</v>
      </c>
      <c r="BB298" s="283" t="s">
        <v>83</v>
      </c>
      <c r="BM298" s="67">
        <f t="shared" ref="BM298:BM318" si="25">IFERROR(X298*I298,"0")</f>
        <v>0</v>
      </c>
      <c r="BN298" s="67">
        <f t="shared" ref="BN298:BN318" si="26">IFERROR(Y298*I298,"0")</f>
        <v>0</v>
      </c>
      <c r="BO298" s="67">
        <f t="shared" ref="BO298:BO318" si="27">IFERROR(X298/J298,"0")</f>
        <v>0</v>
      </c>
      <c r="BP298" s="67">
        <f t="shared" ref="BP298:BP318" si="28">IFERROR(Y298/J298,"0")</f>
        <v>0</v>
      </c>
    </row>
    <row r="299" spans="1:68" ht="27" customHeight="1" x14ac:dyDescent="0.25">
      <c r="A299" s="54" t="s">
        <v>440</v>
      </c>
      <c r="B299" s="54" t="s">
        <v>441</v>
      </c>
      <c r="C299" s="31">
        <v>4301135394</v>
      </c>
      <c r="D299" s="343">
        <v>4640242181561</v>
      </c>
      <c r="E299" s="344"/>
      <c r="F299" s="333">
        <v>3.7</v>
      </c>
      <c r="G299" s="32">
        <v>1</v>
      </c>
      <c r="H299" s="333">
        <v>3.7</v>
      </c>
      <c r="I299" s="333">
        <v>3.8919999999999999</v>
      </c>
      <c r="J299" s="32">
        <v>126</v>
      </c>
      <c r="K299" s="32" t="s">
        <v>80</v>
      </c>
      <c r="L299" s="32" t="s">
        <v>109</v>
      </c>
      <c r="M299" s="33" t="s">
        <v>69</v>
      </c>
      <c r="N299" s="33"/>
      <c r="O299" s="32">
        <v>180</v>
      </c>
      <c r="P299" s="470" t="s">
        <v>442</v>
      </c>
      <c r="Q299" s="339"/>
      <c r="R299" s="339"/>
      <c r="S299" s="339"/>
      <c r="T299" s="340"/>
      <c r="U299" s="34"/>
      <c r="V299" s="34"/>
      <c r="W299" s="35" t="s">
        <v>70</v>
      </c>
      <c r="X299" s="334">
        <v>42</v>
      </c>
      <c r="Y299" s="335">
        <f t="shared" si="24"/>
        <v>42</v>
      </c>
      <c r="Z299" s="36">
        <f>IFERROR(IF(X299="","",X299*0.00936),"")</f>
        <v>0.39312000000000002</v>
      </c>
      <c r="AA299" s="56"/>
      <c r="AB299" s="57"/>
      <c r="AC299" s="284" t="s">
        <v>443</v>
      </c>
      <c r="AG299" s="67"/>
      <c r="AJ299" s="71" t="s">
        <v>111</v>
      </c>
      <c r="AK299" s="71">
        <v>14</v>
      </c>
      <c r="BB299" s="285" t="s">
        <v>83</v>
      </c>
      <c r="BM299" s="67">
        <f t="shared" si="25"/>
        <v>163.464</v>
      </c>
      <c r="BN299" s="67">
        <f t="shared" si="26"/>
        <v>163.464</v>
      </c>
      <c r="BO299" s="67">
        <f t="shared" si="27"/>
        <v>0.33333333333333331</v>
      </c>
      <c r="BP299" s="67">
        <f t="shared" si="28"/>
        <v>0.33333333333333331</v>
      </c>
    </row>
    <row r="300" spans="1:68" ht="27" customHeight="1" x14ac:dyDescent="0.25">
      <c r="A300" s="54" t="s">
        <v>444</v>
      </c>
      <c r="B300" s="54" t="s">
        <v>445</v>
      </c>
      <c r="C300" s="31">
        <v>4301135374</v>
      </c>
      <c r="D300" s="343">
        <v>4640242181424</v>
      </c>
      <c r="E300" s="344"/>
      <c r="F300" s="333">
        <v>5.5</v>
      </c>
      <c r="G300" s="32">
        <v>1</v>
      </c>
      <c r="H300" s="333">
        <v>5.5</v>
      </c>
      <c r="I300" s="333">
        <v>5.7350000000000003</v>
      </c>
      <c r="J300" s="32">
        <v>84</v>
      </c>
      <c r="K300" s="32" t="s">
        <v>67</v>
      </c>
      <c r="L300" s="32" t="s">
        <v>109</v>
      </c>
      <c r="M300" s="33" t="s">
        <v>69</v>
      </c>
      <c r="N300" s="33"/>
      <c r="O300" s="32">
        <v>180</v>
      </c>
      <c r="P300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339"/>
      <c r="R300" s="339"/>
      <c r="S300" s="339"/>
      <c r="T300" s="340"/>
      <c r="U300" s="34"/>
      <c r="V300" s="34"/>
      <c r="W300" s="35" t="s">
        <v>70</v>
      </c>
      <c r="X300" s="334">
        <v>24</v>
      </c>
      <c r="Y300" s="335">
        <f t="shared" si="24"/>
        <v>24</v>
      </c>
      <c r="Z300" s="36">
        <f>IFERROR(IF(X300="","",X300*0.0155),"")</f>
        <v>0.372</v>
      </c>
      <c r="AA300" s="56"/>
      <c r="AB300" s="57"/>
      <c r="AC300" s="286" t="s">
        <v>439</v>
      </c>
      <c r="AG300" s="67"/>
      <c r="AJ300" s="71" t="s">
        <v>111</v>
      </c>
      <c r="AK300" s="71">
        <v>12</v>
      </c>
      <c r="BB300" s="287" t="s">
        <v>83</v>
      </c>
      <c r="BM300" s="67">
        <f t="shared" si="25"/>
        <v>137.64000000000001</v>
      </c>
      <c r="BN300" s="67">
        <f t="shared" si="26"/>
        <v>137.64000000000001</v>
      </c>
      <c r="BO300" s="67">
        <f t="shared" si="27"/>
        <v>0.2857142857142857</v>
      </c>
      <c r="BP300" s="67">
        <f t="shared" si="28"/>
        <v>0.2857142857142857</v>
      </c>
    </row>
    <row r="301" spans="1:68" ht="27" customHeight="1" x14ac:dyDescent="0.25">
      <c r="A301" s="54" t="s">
        <v>446</v>
      </c>
      <c r="B301" s="54" t="s">
        <v>447</v>
      </c>
      <c r="C301" s="31">
        <v>4301135320</v>
      </c>
      <c r="D301" s="343">
        <v>4640242181592</v>
      </c>
      <c r="E301" s="344"/>
      <c r="F301" s="333">
        <v>3.5</v>
      </c>
      <c r="G301" s="32">
        <v>1</v>
      </c>
      <c r="H301" s="333">
        <v>3.5</v>
      </c>
      <c r="I301" s="333">
        <v>3.6850000000000001</v>
      </c>
      <c r="J301" s="32">
        <v>126</v>
      </c>
      <c r="K301" s="32" t="s">
        <v>80</v>
      </c>
      <c r="L301" s="32" t="s">
        <v>68</v>
      </c>
      <c r="M301" s="33" t="s">
        <v>69</v>
      </c>
      <c r="N301" s="33"/>
      <c r="O301" s="32">
        <v>180</v>
      </c>
      <c r="P301" s="514" t="s">
        <v>448</v>
      </c>
      <c r="Q301" s="339"/>
      <c r="R301" s="339"/>
      <c r="S301" s="339"/>
      <c r="T301" s="340"/>
      <c r="U301" s="34"/>
      <c r="V301" s="34"/>
      <c r="W301" s="35" t="s">
        <v>70</v>
      </c>
      <c r="X301" s="334">
        <v>0</v>
      </c>
      <c r="Y301" s="335">
        <f t="shared" si="24"/>
        <v>0</v>
      </c>
      <c r="Z301" s="36">
        <f t="shared" ref="Z301:Z309" si="29">IFERROR(IF(X301="","",X301*0.00936),"")</f>
        <v>0</v>
      </c>
      <c r="AA301" s="56"/>
      <c r="AB301" s="57"/>
      <c r="AC301" s="288" t="s">
        <v>449</v>
      </c>
      <c r="AG301" s="67"/>
      <c r="AJ301" s="71" t="s">
        <v>72</v>
      </c>
      <c r="AK301" s="71">
        <v>1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450</v>
      </c>
      <c r="B302" s="54" t="s">
        <v>451</v>
      </c>
      <c r="C302" s="31">
        <v>4301135552</v>
      </c>
      <c r="D302" s="343">
        <v>4640242181431</v>
      </c>
      <c r="E302" s="344"/>
      <c r="F302" s="333">
        <v>3.5</v>
      </c>
      <c r="G302" s="32">
        <v>1</v>
      </c>
      <c r="H302" s="333">
        <v>3.5</v>
      </c>
      <c r="I302" s="333">
        <v>3.6920000000000002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46" t="s">
        <v>452</v>
      </c>
      <c r="Q302" s="339"/>
      <c r="R302" s="339"/>
      <c r="S302" s="339"/>
      <c r="T302" s="340"/>
      <c r="U302" s="34"/>
      <c r="V302" s="34"/>
      <c r="W302" s="35" t="s">
        <v>70</v>
      </c>
      <c r="X302" s="334">
        <v>0</v>
      </c>
      <c r="Y302" s="335">
        <f t="shared" si="24"/>
        <v>0</v>
      </c>
      <c r="Z302" s="36">
        <f t="shared" si="29"/>
        <v>0</v>
      </c>
      <c r="AA302" s="56"/>
      <c r="AB302" s="57"/>
      <c r="AC302" s="290" t="s">
        <v>453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4301135405</v>
      </c>
      <c r="D303" s="343">
        <v>4640242181523</v>
      </c>
      <c r="E303" s="344"/>
      <c r="F303" s="333">
        <v>3</v>
      </c>
      <c r="G303" s="32">
        <v>1</v>
      </c>
      <c r="H303" s="333">
        <v>3</v>
      </c>
      <c r="I303" s="333">
        <v>3.1920000000000002</v>
      </c>
      <c r="J303" s="32">
        <v>126</v>
      </c>
      <c r="K303" s="32" t="s">
        <v>80</v>
      </c>
      <c r="L303" s="32" t="s">
        <v>109</v>
      </c>
      <c r="M303" s="33" t="s">
        <v>69</v>
      </c>
      <c r="N303" s="33"/>
      <c r="O303" s="32">
        <v>180</v>
      </c>
      <c r="P303" s="43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339"/>
      <c r="R303" s="339"/>
      <c r="S303" s="339"/>
      <c r="T303" s="340"/>
      <c r="U303" s="34"/>
      <c r="V303" s="34"/>
      <c r="W303" s="35" t="s">
        <v>70</v>
      </c>
      <c r="X303" s="334">
        <v>56</v>
      </c>
      <c r="Y303" s="335">
        <f t="shared" si="24"/>
        <v>56</v>
      </c>
      <c r="Z303" s="36">
        <f t="shared" si="29"/>
        <v>0.52415999999999996</v>
      </c>
      <c r="AA303" s="56"/>
      <c r="AB303" s="57"/>
      <c r="AC303" s="292" t="s">
        <v>443</v>
      </c>
      <c r="AG303" s="67"/>
      <c r="AJ303" s="71" t="s">
        <v>111</v>
      </c>
      <c r="AK303" s="71">
        <v>14</v>
      </c>
      <c r="BB303" s="293" t="s">
        <v>83</v>
      </c>
      <c r="BM303" s="67">
        <f t="shared" si="25"/>
        <v>178.75200000000001</v>
      </c>
      <c r="BN303" s="67">
        <f t="shared" si="26"/>
        <v>178.75200000000001</v>
      </c>
      <c r="BO303" s="67">
        <f t="shared" si="27"/>
        <v>0.44444444444444442</v>
      </c>
      <c r="BP303" s="67">
        <f t="shared" si="28"/>
        <v>0.44444444444444442</v>
      </c>
    </row>
    <row r="304" spans="1:68" ht="37.5" customHeight="1" x14ac:dyDescent="0.25">
      <c r="A304" s="54" t="s">
        <v>456</v>
      </c>
      <c r="B304" s="54" t="s">
        <v>457</v>
      </c>
      <c r="C304" s="31">
        <v>4301135404</v>
      </c>
      <c r="D304" s="343">
        <v>4640242181516</v>
      </c>
      <c r="E304" s="344"/>
      <c r="F304" s="333">
        <v>3.7</v>
      </c>
      <c r="G304" s="32">
        <v>1</v>
      </c>
      <c r="H304" s="333">
        <v>3.7</v>
      </c>
      <c r="I304" s="333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65" t="s">
        <v>458</v>
      </c>
      <c r="Q304" s="339"/>
      <c r="R304" s="339"/>
      <c r="S304" s="339"/>
      <c r="T304" s="340"/>
      <c r="U304" s="34"/>
      <c r="V304" s="34"/>
      <c r="W304" s="35" t="s">
        <v>70</v>
      </c>
      <c r="X304" s="334">
        <v>0</v>
      </c>
      <c r="Y304" s="335">
        <f t="shared" si="24"/>
        <v>0</v>
      </c>
      <c r="Z304" s="36">
        <f t="shared" si="29"/>
        <v>0</v>
      </c>
      <c r="AA304" s="56"/>
      <c r="AB304" s="57"/>
      <c r="AC304" s="294" t="s">
        <v>453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27" customHeight="1" x14ac:dyDescent="0.25">
      <c r="A305" s="54" t="s">
        <v>459</v>
      </c>
      <c r="B305" s="54" t="s">
        <v>460</v>
      </c>
      <c r="C305" s="31">
        <v>4301135375</v>
      </c>
      <c r="D305" s="343">
        <v>4640242181486</v>
      </c>
      <c r="E305" s="344"/>
      <c r="F305" s="333">
        <v>3.7</v>
      </c>
      <c r="G305" s="32">
        <v>1</v>
      </c>
      <c r="H305" s="333">
        <v>3.7</v>
      </c>
      <c r="I305" s="333">
        <v>3.8919999999999999</v>
      </c>
      <c r="J305" s="32">
        <v>126</v>
      </c>
      <c r="K305" s="32" t="s">
        <v>80</v>
      </c>
      <c r="L305" s="32" t="s">
        <v>109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339"/>
      <c r="R305" s="339"/>
      <c r="S305" s="339"/>
      <c r="T305" s="340"/>
      <c r="U305" s="34"/>
      <c r="V305" s="34"/>
      <c r="W305" s="35" t="s">
        <v>70</v>
      </c>
      <c r="X305" s="334">
        <v>14</v>
      </c>
      <c r="Y305" s="335">
        <f t="shared" si="24"/>
        <v>14</v>
      </c>
      <c r="Z305" s="36">
        <f t="shared" si="29"/>
        <v>0.13103999999999999</v>
      </c>
      <c r="AA305" s="56"/>
      <c r="AB305" s="57"/>
      <c r="AC305" s="296" t="s">
        <v>439</v>
      </c>
      <c r="AG305" s="67"/>
      <c r="AJ305" s="71" t="s">
        <v>111</v>
      </c>
      <c r="AK305" s="71">
        <v>14</v>
      </c>
      <c r="BB305" s="297" t="s">
        <v>83</v>
      </c>
      <c r="BM305" s="67">
        <f t="shared" si="25"/>
        <v>54.488</v>
      </c>
      <c r="BN305" s="67">
        <f t="shared" si="26"/>
        <v>54.488</v>
      </c>
      <c r="BO305" s="67">
        <f t="shared" si="27"/>
        <v>0.1111111111111111</v>
      </c>
      <c r="BP305" s="67">
        <f t="shared" si="28"/>
        <v>0.1111111111111111</v>
      </c>
    </row>
    <row r="306" spans="1:68" ht="37.5" customHeight="1" x14ac:dyDescent="0.25">
      <c r="A306" s="54" t="s">
        <v>461</v>
      </c>
      <c r="B306" s="54" t="s">
        <v>462</v>
      </c>
      <c r="C306" s="31">
        <v>4301135402</v>
      </c>
      <c r="D306" s="343">
        <v>4640242181493</v>
      </c>
      <c r="E306" s="344"/>
      <c r="F306" s="333">
        <v>3.7</v>
      </c>
      <c r="G306" s="32">
        <v>1</v>
      </c>
      <c r="H306" s="333">
        <v>3.7</v>
      </c>
      <c r="I306" s="333">
        <v>3.8919999999999999</v>
      </c>
      <c r="J306" s="32">
        <v>126</v>
      </c>
      <c r="K306" s="32" t="s">
        <v>80</v>
      </c>
      <c r="L306" s="32" t="s">
        <v>68</v>
      </c>
      <c r="M306" s="33" t="s">
        <v>69</v>
      </c>
      <c r="N306" s="33"/>
      <c r="O306" s="32">
        <v>180</v>
      </c>
      <c r="P306" s="468" t="s">
        <v>463</v>
      </c>
      <c r="Q306" s="339"/>
      <c r="R306" s="339"/>
      <c r="S306" s="339"/>
      <c r="T306" s="340"/>
      <c r="U306" s="34"/>
      <c r="V306" s="34"/>
      <c r="W306" s="35" t="s">
        <v>70</v>
      </c>
      <c r="X306" s="334">
        <v>0</v>
      </c>
      <c r="Y306" s="335">
        <f t="shared" si="24"/>
        <v>0</v>
      </c>
      <c r="Z306" s="36">
        <f t="shared" si="29"/>
        <v>0</v>
      </c>
      <c r="AA306" s="56"/>
      <c r="AB306" s="57"/>
      <c r="AC306" s="298" t="s">
        <v>439</v>
      </c>
      <c r="AG306" s="67"/>
      <c r="AJ306" s="71" t="s">
        <v>72</v>
      </c>
      <c r="AK306" s="71">
        <v>1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37.5" customHeight="1" x14ac:dyDescent="0.25">
      <c r="A307" s="54" t="s">
        <v>464</v>
      </c>
      <c r="B307" s="54" t="s">
        <v>465</v>
      </c>
      <c r="C307" s="31">
        <v>4301135403</v>
      </c>
      <c r="D307" s="343">
        <v>4640242181509</v>
      </c>
      <c r="E307" s="344"/>
      <c r="F307" s="333">
        <v>3.7</v>
      </c>
      <c r="G307" s="32">
        <v>1</v>
      </c>
      <c r="H307" s="333">
        <v>3.7</v>
      </c>
      <c r="I307" s="333">
        <v>3.8919999999999999</v>
      </c>
      <c r="J307" s="32">
        <v>126</v>
      </c>
      <c r="K307" s="32" t="s">
        <v>80</v>
      </c>
      <c r="L307" s="32" t="s">
        <v>109</v>
      </c>
      <c r="M307" s="33" t="s">
        <v>69</v>
      </c>
      <c r="N307" s="33"/>
      <c r="O307" s="32">
        <v>180</v>
      </c>
      <c r="P30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339"/>
      <c r="R307" s="339"/>
      <c r="S307" s="339"/>
      <c r="T307" s="340"/>
      <c r="U307" s="34"/>
      <c r="V307" s="34"/>
      <c r="W307" s="35" t="s">
        <v>70</v>
      </c>
      <c r="X307" s="334">
        <v>0</v>
      </c>
      <c r="Y307" s="335">
        <f t="shared" si="24"/>
        <v>0</v>
      </c>
      <c r="Z307" s="36">
        <f t="shared" si="29"/>
        <v>0</v>
      </c>
      <c r="AA307" s="56"/>
      <c r="AB307" s="57"/>
      <c r="AC307" s="300" t="s">
        <v>439</v>
      </c>
      <c r="AG307" s="67"/>
      <c r="AJ307" s="71" t="s">
        <v>111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466</v>
      </c>
      <c r="B308" s="54" t="s">
        <v>467</v>
      </c>
      <c r="C308" s="31">
        <v>4301135304</v>
      </c>
      <c r="D308" s="343">
        <v>4640242181240</v>
      </c>
      <c r="E308" s="344"/>
      <c r="F308" s="333">
        <v>0.3</v>
      </c>
      <c r="G308" s="32">
        <v>9</v>
      </c>
      <c r="H308" s="333">
        <v>2.7</v>
      </c>
      <c r="I308" s="333">
        <v>2.88</v>
      </c>
      <c r="J308" s="32">
        <v>126</v>
      </c>
      <c r="K308" s="32" t="s">
        <v>80</v>
      </c>
      <c r="L308" s="32" t="s">
        <v>109</v>
      </c>
      <c r="M308" s="33" t="s">
        <v>69</v>
      </c>
      <c r="N308" s="33"/>
      <c r="O308" s="32">
        <v>180</v>
      </c>
      <c r="P308" s="440" t="s">
        <v>468</v>
      </c>
      <c r="Q308" s="339"/>
      <c r="R308" s="339"/>
      <c r="S308" s="339"/>
      <c r="T308" s="340"/>
      <c r="U308" s="34"/>
      <c r="V308" s="34"/>
      <c r="W308" s="35" t="s">
        <v>70</v>
      </c>
      <c r="X308" s="334">
        <v>0</v>
      </c>
      <c r="Y308" s="335">
        <f t="shared" si="24"/>
        <v>0</v>
      </c>
      <c r="Z308" s="36">
        <f t="shared" si="29"/>
        <v>0</v>
      </c>
      <c r="AA308" s="56"/>
      <c r="AB308" s="57"/>
      <c r="AC308" s="302" t="s">
        <v>439</v>
      </c>
      <c r="AG308" s="67"/>
      <c r="AJ308" s="71" t="s">
        <v>111</v>
      </c>
      <c r="AK308" s="71">
        <v>14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469</v>
      </c>
      <c r="B309" s="54" t="s">
        <v>470</v>
      </c>
      <c r="C309" s="31">
        <v>4301135310</v>
      </c>
      <c r="D309" s="343">
        <v>4640242181318</v>
      </c>
      <c r="E309" s="344"/>
      <c r="F309" s="333">
        <v>0.3</v>
      </c>
      <c r="G309" s="32">
        <v>9</v>
      </c>
      <c r="H309" s="333">
        <v>2.7</v>
      </c>
      <c r="I309" s="333">
        <v>2.988</v>
      </c>
      <c r="J309" s="32">
        <v>126</v>
      </c>
      <c r="K309" s="32" t="s">
        <v>80</v>
      </c>
      <c r="L309" s="32" t="s">
        <v>109</v>
      </c>
      <c r="M309" s="33" t="s">
        <v>69</v>
      </c>
      <c r="N309" s="33"/>
      <c r="O309" s="32">
        <v>180</v>
      </c>
      <c r="P309" s="459" t="s">
        <v>471</v>
      </c>
      <c r="Q309" s="339"/>
      <c r="R309" s="339"/>
      <c r="S309" s="339"/>
      <c r="T309" s="340"/>
      <c r="U309" s="34"/>
      <c r="V309" s="34"/>
      <c r="W309" s="35" t="s">
        <v>70</v>
      </c>
      <c r="X309" s="334">
        <v>0</v>
      </c>
      <c r="Y309" s="335">
        <f t="shared" si="24"/>
        <v>0</v>
      </c>
      <c r="Z309" s="36">
        <f t="shared" si="29"/>
        <v>0</v>
      </c>
      <c r="AA309" s="56"/>
      <c r="AB309" s="57"/>
      <c r="AC309" s="304" t="s">
        <v>443</v>
      </c>
      <c r="AG309" s="67"/>
      <c r="AJ309" s="71" t="s">
        <v>111</v>
      </c>
      <c r="AK309" s="71">
        <v>14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472</v>
      </c>
      <c r="B310" s="54" t="s">
        <v>473</v>
      </c>
      <c r="C310" s="31">
        <v>4301135306</v>
      </c>
      <c r="D310" s="343">
        <v>4640242181387</v>
      </c>
      <c r="E310" s="344"/>
      <c r="F310" s="333">
        <v>0.3</v>
      </c>
      <c r="G310" s="32">
        <v>9</v>
      </c>
      <c r="H310" s="333">
        <v>2.7</v>
      </c>
      <c r="I310" s="333">
        <v>2.8450000000000002</v>
      </c>
      <c r="J310" s="32">
        <v>234</v>
      </c>
      <c r="K310" s="32" t="s">
        <v>161</v>
      </c>
      <c r="L310" s="32" t="s">
        <v>109</v>
      </c>
      <c r="M310" s="33" t="s">
        <v>69</v>
      </c>
      <c r="N310" s="33"/>
      <c r="O310" s="32">
        <v>180</v>
      </c>
      <c r="P310" s="446" t="s">
        <v>474</v>
      </c>
      <c r="Q310" s="339"/>
      <c r="R310" s="339"/>
      <c r="S310" s="339"/>
      <c r="T310" s="340"/>
      <c r="U310" s="34"/>
      <c r="V310" s="34"/>
      <c r="W310" s="35" t="s">
        <v>70</v>
      </c>
      <c r="X310" s="334">
        <v>0</v>
      </c>
      <c r="Y310" s="335">
        <f t="shared" si="24"/>
        <v>0</v>
      </c>
      <c r="Z310" s="36">
        <f>IFERROR(IF(X310="","",X310*0.00502),"")</f>
        <v>0</v>
      </c>
      <c r="AA310" s="56"/>
      <c r="AB310" s="57"/>
      <c r="AC310" s="306" t="s">
        <v>439</v>
      </c>
      <c r="AG310" s="67"/>
      <c r="AJ310" s="71" t="s">
        <v>111</v>
      </c>
      <c r="AK310" s="71">
        <v>18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475</v>
      </c>
      <c r="B311" s="54" t="s">
        <v>476</v>
      </c>
      <c r="C311" s="31">
        <v>4301135305</v>
      </c>
      <c r="D311" s="343">
        <v>4640242181394</v>
      </c>
      <c r="E311" s="344"/>
      <c r="F311" s="333">
        <v>0.3</v>
      </c>
      <c r="G311" s="32">
        <v>9</v>
      </c>
      <c r="H311" s="333">
        <v>2.7</v>
      </c>
      <c r="I311" s="333">
        <v>2.8450000000000002</v>
      </c>
      <c r="J311" s="32">
        <v>234</v>
      </c>
      <c r="K311" s="32" t="s">
        <v>161</v>
      </c>
      <c r="L311" s="32" t="s">
        <v>109</v>
      </c>
      <c r="M311" s="33" t="s">
        <v>69</v>
      </c>
      <c r="N311" s="33"/>
      <c r="O311" s="32">
        <v>180</v>
      </c>
      <c r="P311" s="449" t="s">
        <v>477</v>
      </c>
      <c r="Q311" s="339"/>
      <c r="R311" s="339"/>
      <c r="S311" s="339"/>
      <c r="T311" s="340"/>
      <c r="U311" s="34"/>
      <c r="V311" s="34"/>
      <c r="W311" s="35" t="s">
        <v>70</v>
      </c>
      <c r="X311" s="334">
        <v>0</v>
      </c>
      <c r="Y311" s="335">
        <f t="shared" si="24"/>
        <v>0</v>
      </c>
      <c r="Z311" s="36">
        <f>IFERROR(IF(X311="","",X311*0.00502),"")</f>
        <v>0</v>
      </c>
      <c r="AA311" s="56"/>
      <c r="AB311" s="57"/>
      <c r="AC311" s="308" t="s">
        <v>439</v>
      </c>
      <c r="AG311" s="67"/>
      <c r="AJ311" s="71" t="s">
        <v>111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478</v>
      </c>
      <c r="B312" s="54" t="s">
        <v>479</v>
      </c>
      <c r="C312" s="31">
        <v>4301135309</v>
      </c>
      <c r="D312" s="343">
        <v>4640242181332</v>
      </c>
      <c r="E312" s="344"/>
      <c r="F312" s="333">
        <v>0.3</v>
      </c>
      <c r="G312" s="32">
        <v>9</v>
      </c>
      <c r="H312" s="333">
        <v>2.7</v>
      </c>
      <c r="I312" s="333">
        <v>2.9079999999999999</v>
      </c>
      <c r="J312" s="32">
        <v>234</v>
      </c>
      <c r="K312" s="32" t="s">
        <v>161</v>
      </c>
      <c r="L312" s="32" t="s">
        <v>68</v>
      </c>
      <c r="M312" s="33" t="s">
        <v>69</v>
      </c>
      <c r="N312" s="33"/>
      <c r="O312" s="32">
        <v>180</v>
      </c>
      <c r="P312" s="416" t="s">
        <v>480</v>
      </c>
      <c r="Q312" s="339"/>
      <c r="R312" s="339"/>
      <c r="S312" s="339"/>
      <c r="T312" s="340"/>
      <c r="U312" s="34"/>
      <c r="V312" s="34"/>
      <c r="W312" s="35" t="s">
        <v>70</v>
      </c>
      <c r="X312" s="334">
        <v>0</v>
      </c>
      <c r="Y312" s="335">
        <f t="shared" si="24"/>
        <v>0</v>
      </c>
      <c r="Z312" s="36">
        <f>IFERROR(IF(X312="","",X312*0.00502),"")</f>
        <v>0</v>
      </c>
      <c r="AA312" s="56"/>
      <c r="AB312" s="57"/>
      <c r="AC312" s="310" t="s">
        <v>439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481</v>
      </c>
      <c r="B313" s="54" t="s">
        <v>482</v>
      </c>
      <c r="C313" s="31">
        <v>4301135308</v>
      </c>
      <c r="D313" s="343">
        <v>4640242181349</v>
      </c>
      <c r="E313" s="344"/>
      <c r="F313" s="333">
        <v>0.3</v>
      </c>
      <c r="G313" s="32">
        <v>9</v>
      </c>
      <c r="H313" s="333">
        <v>2.7</v>
      </c>
      <c r="I313" s="333">
        <v>2.9079999999999999</v>
      </c>
      <c r="J313" s="32">
        <v>234</v>
      </c>
      <c r="K313" s="32" t="s">
        <v>161</v>
      </c>
      <c r="L313" s="32" t="s">
        <v>109</v>
      </c>
      <c r="M313" s="33" t="s">
        <v>69</v>
      </c>
      <c r="N313" s="33"/>
      <c r="O313" s="32">
        <v>180</v>
      </c>
      <c r="P313" s="555" t="s">
        <v>483</v>
      </c>
      <c r="Q313" s="339"/>
      <c r="R313" s="339"/>
      <c r="S313" s="339"/>
      <c r="T313" s="340"/>
      <c r="U313" s="34"/>
      <c r="V313" s="34"/>
      <c r="W313" s="35" t="s">
        <v>70</v>
      </c>
      <c r="X313" s="334">
        <v>0</v>
      </c>
      <c r="Y313" s="335">
        <f t="shared" si="24"/>
        <v>0</v>
      </c>
      <c r="Z313" s="36">
        <f>IFERROR(IF(X313="","",X313*0.00502),"")</f>
        <v>0</v>
      </c>
      <c r="AA313" s="56"/>
      <c r="AB313" s="57"/>
      <c r="AC313" s="312" t="s">
        <v>439</v>
      </c>
      <c r="AG313" s="67"/>
      <c r="AJ313" s="71" t="s">
        <v>111</v>
      </c>
      <c r="AK313" s="71">
        <v>18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484</v>
      </c>
      <c r="B314" s="54" t="s">
        <v>485</v>
      </c>
      <c r="C314" s="31">
        <v>4301135307</v>
      </c>
      <c r="D314" s="343">
        <v>4640242181370</v>
      </c>
      <c r="E314" s="344"/>
      <c r="F314" s="333">
        <v>0.3</v>
      </c>
      <c r="G314" s="32">
        <v>9</v>
      </c>
      <c r="H314" s="333">
        <v>2.7</v>
      </c>
      <c r="I314" s="333">
        <v>2.9079999999999999</v>
      </c>
      <c r="J314" s="32">
        <v>234</v>
      </c>
      <c r="K314" s="32" t="s">
        <v>161</v>
      </c>
      <c r="L314" s="32" t="s">
        <v>68</v>
      </c>
      <c r="M314" s="33" t="s">
        <v>69</v>
      </c>
      <c r="N314" s="33"/>
      <c r="O314" s="32">
        <v>180</v>
      </c>
      <c r="P314" s="492" t="s">
        <v>486</v>
      </c>
      <c r="Q314" s="339"/>
      <c r="R314" s="339"/>
      <c r="S314" s="339"/>
      <c r="T314" s="340"/>
      <c r="U314" s="34"/>
      <c r="V314" s="34"/>
      <c r="W314" s="35" t="s">
        <v>70</v>
      </c>
      <c r="X314" s="334">
        <v>0</v>
      </c>
      <c r="Y314" s="335">
        <f t="shared" si="24"/>
        <v>0</v>
      </c>
      <c r="Z314" s="36">
        <f>IFERROR(IF(X314="","",X314*0.00502),"")</f>
        <v>0</v>
      </c>
      <c r="AA314" s="56"/>
      <c r="AB314" s="57"/>
      <c r="AC314" s="314" t="s">
        <v>487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488</v>
      </c>
      <c r="B315" s="54" t="s">
        <v>489</v>
      </c>
      <c r="C315" s="31">
        <v>4301135318</v>
      </c>
      <c r="D315" s="343">
        <v>4607111037480</v>
      </c>
      <c r="E315" s="344"/>
      <c r="F315" s="333">
        <v>1</v>
      </c>
      <c r="G315" s="32">
        <v>4</v>
      </c>
      <c r="H315" s="333">
        <v>4</v>
      </c>
      <c r="I315" s="333">
        <v>4.2724000000000002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42" t="s">
        <v>490</v>
      </c>
      <c r="Q315" s="339"/>
      <c r="R315" s="339"/>
      <c r="S315" s="339"/>
      <c r="T315" s="340"/>
      <c r="U315" s="34"/>
      <c r="V315" s="34"/>
      <c r="W315" s="35" t="s">
        <v>70</v>
      </c>
      <c r="X315" s="334">
        <v>0</v>
      </c>
      <c r="Y315" s="335">
        <f t="shared" si="24"/>
        <v>0</v>
      </c>
      <c r="Z315" s="36">
        <f>IFERROR(IF(X315="","",X315*0.0155),"")</f>
        <v>0</v>
      </c>
      <c r="AA315" s="56"/>
      <c r="AB315" s="57"/>
      <c r="AC315" s="316" t="s">
        <v>491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492</v>
      </c>
      <c r="B316" s="54" t="s">
        <v>493</v>
      </c>
      <c r="C316" s="31">
        <v>4301135319</v>
      </c>
      <c r="D316" s="343">
        <v>4607111037473</v>
      </c>
      <c r="E316" s="344"/>
      <c r="F316" s="333">
        <v>1</v>
      </c>
      <c r="G316" s="32">
        <v>4</v>
      </c>
      <c r="H316" s="333">
        <v>4</v>
      </c>
      <c r="I316" s="333">
        <v>4.2300000000000004</v>
      </c>
      <c r="J316" s="32">
        <v>84</v>
      </c>
      <c r="K316" s="32" t="s">
        <v>67</v>
      </c>
      <c r="L316" s="32" t="s">
        <v>68</v>
      </c>
      <c r="M316" s="33" t="s">
        <v>69</v>
      </c>
      <c r="N316" s="33"/>
      <c r="O316" s="32">
        <v>180</v>
      </c>
      <c r="P316" s="373" t="s">
        <v>494</v>
      </c>
      <c r="Q316" s="339"/>
      <c r="R316" s="339"/>
      <c r="S316" s="339"/>
      <c r="T316" s="340"/>
      <c r="U316" s="34"/>
      <c r="V316" s="34"/>
      <c r="W316" s="35" t="s">
        <v>70</v>
      </c>
      <c r="X316" s="334">
        <v>0</v>
      </c>
      <c r="Y316" s="335">
        <f t="shared" si="24"/>
        <v>0</v>
      </c>
      <c r="Z316" s="36">
        <f>IFERROR(IF(X316="","",X316*0.0155),"")</f>
        <v>0</v>
      </c>
      <c r="AA316" s="56"/>
      <c r="AB316" s="57"/>
      <c r="AC316" s="318" t="s">
        <v>495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customHeight="1" x14ac:dyDescent="0.25">
      <c r="A317" s="54" t="s">
        <v>496</v>
      </c>
      <c r="B317" s="54" t="s">
        <v>497</v>
      </c>
      <c r="C317" s="31">
        <v>4301135198</v>
      </c>
      <c r="D317" s="343">
        <v>4640242180663</v>
      </c>
      <c r="E317" s="344"/>
      <c r="F317" s="333">
        <v>0.9</v>
      </c>
      <c r="G317" s="32">
        <v>4</v>
      </c>
      <c r="H317" s="333">
        <v>3.6</v>
      </c>
      <c r="I317" s="333">
        <v>3.83</v>
      </c>
      <c r="J317" s="32">
        <v>84</v>
      </c>
      <c r="K317" s="32" t="s">
        <v>67</v>
      </c>
      <c r="L317" s="32" t="s">
        <v>68</v>
      </c>
      <c r="M317" s="33" t="s">
        <v>69</v>
      </c>
      <c r="N317" s="33"/>
      <c r="O317" s="32">
        <v>180</v>
      </c>
      <c r="P317" s="535" t="s">
        <v>498</v>
      </c>
      <c r="Q317" s="339"/>
      <c r="R317" s="339"/>
      <c r="S317" s="339"/>
      <c r="T317" s="340"/>
      <c r="U317" s="34"/>
      <c r="V317" s="34"/>
      <c r="W317" s="35" t="s">
        <v>70</v>
      </c>
      <c r="X317" s="334">
        <v>0</v>
      </c>
      <c r="Y317" s="335">
        <f t="shared" si="24"/>
        <v>0</v>
      </c>
      <c r="Z317" s="36">
        <f>IFERROR(IF(X317="","",X317*0.0155),"")</f>
        <v>0</v>
      </c>
      <c r="AA317" s="56"/>
      <c r="AB317" s="57"/>
      <c r="AC317" s="320" t="s">
        <v>499</v>
      </c>
      <c r="AG317" s="67"/>
      <c r="AJ317" s="71" t="s">
        <v>72</v>
      </c>
      <c r="AK317" s="71">
        <v>1</v>
      </c>
      <c r="BB317" s="321" t="s">
        <v>83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customHeight="1" x14ac:dyDescent="0.25">
      <c r="A318" s="54" t="s">
        <v>500</v>
      </c>
      <c r="B318" s="54" t="s">
        <v>501</v>
      </c>
      <c r="C318" s="31">
        <v>4301135723</v>
      </c>
      <c r="D318" s="343">
        <v>4640242181783</v>
      </c>
      <c r="E318" s="344"/>
      <c r="F318" s="333">
        <v>0.3</v>
      </c>
      <c r="G318" s="32">
        <v>9</v>
      </c>
      <c r="H318" s="333">
        <v>2.7</v>
      </c>
      <c r="I318" s="333">
        <v>2.988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83" t="s">
        <v>502</v>
      </c>
      <c r="Q318" s="339"/>
      <c r="R318" s="339"/>
      <c r="S318" s="339"/>
      <c r="T318" s="340"/>
      <c r="U318" s="34"/>
      <c r="V318" s="34"/>
      <c r="W318" s="35" t="s">
        <v>70</v>
      </c>
      <c r="X318" s="334">
        <v>0</v>
      </c>
      <c r="Y318" s="335">
        <f t="shared" si="24"/>
        <v>0</v>
      </c>
      <c r="Z318" s="36">
        <f>IFERROR(IF(X318="","",X318*0.00936),"")</f>
        <v>0</v>
      </c>
      <c r="AA318" s="56"/>
      <c r="AB318" s="57"/>
      <c r="AC318" s="322" t="s">
        <v>503</v>
      </c>
      <c r="AG318" s="67"/>
      <c r="AJ318" s="71" t="s">
        <v>72</v>
      </c>
      <c r="AK318" s="71">
        <v>1</v>
      </c>
      <c r="BB318" s="323" t="s">
        <v>83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x14ac:dyDescent="0.2">
      <c r="A319" s="364"/>
      <c r="B319" s="348"/>
      <c r="C319" s="348"/>
      <c r="D319" s="348"/>
      <c r="E319" s="348"/>
      <c r="F319" s="348"/>
      <c r="G319" s="348"/>
      <c r="H319" s="348"/>
      <c r="I319" s="348"/>
      <c r="J319" s="348"/>
      <c r="K319" s="348"/>
      <c r="L319" s="348"/>
      <c r="M319" s="348"/>
      <c r="N319" s="348"/>
      <c r="O319" s="365"/>
      <c r="P319" s="352" t="s">
        <v>73</v>
      </c>
      <c r="Q319" s="353"/>
      <c r="R319" s="353"/>
      <c r="S319" s="353"/>
      <c r="T319" s="353"/>
      <c r="U319" s="353"/>
      <c r="V319" s="354"/>
      <c r="W319" s="37" t="s">
        <v>70</v>
      </c>
      <c r="X319" s="336">
        <f>IFERROR(SUM(X298:X318),"0")</f>
        <v>136</v>
      </c>
      <c r="Y319" s="336">
        <f>IFERROR(SUM(Y298:Y318),"0")</f>
        <v>136</v>
      </c>
      <c r="Z319" s="336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1.42032</v>
      </c>
      <c r="AA319" s="337"/>
      <c r="AB319" s="337"/>
      <c r="AC319" s="337"/>
    </row>
    <row r="320" spans="1:68" x14ac:dyDescent="0.2">
      <c r="A320" s="348"/>
      <c r="B320" s="348"/>
      <c r="C320" s="348"/>
      <c r="D320" s="348"/>
      <c r="E320" s="348"/>
      <c r="F320" s="348"/>
      <c r="G320" s="348"/>
      <c r="H320" s="348"/>
      <c r="I320" s="348"/>
      <c r="J320" s="348"/>
      <c r="K320" s="348"/>
      <c r="L320" s="348"/>
      <c r="M320" s="348"/>
      <c r="N320" s="348"/>
      <c r="O320" s="365"/>
      <c r="P320" s="352" t="s">
        <v>73</v>
      </c>
      <c r="Q320" s="353"/>
      <c r="R320" s="353"/>
      <c r="S320" s="353"/>
      <c r="T320" s="353"/>
      <c r="U320" s="353"/>
      <c r="V320" s="354"/>
      <c r="W320" s="37" t="s">
        <v>74</v>
      </c>
      <c r="X320" s="336">
        <f>IFERROR(SUMPRODUCT(X298:X318*H298:H318),"0")</f>
        <v>507.2</v>
      </c>
      <c r="Y320" s="336">
        <f>IFERROR(SUMPRODUCT(Y298:Y318*H298:H318),"0")</f>
        <v>507.2</v>
      </c>
      <c r="Z320" s="37"/>
      <c r="AA320" s="337"/>
      <c r="AB320" s="337"/>
      <c r="AC320" s="337"/>
    </row>
    <row r="321" spans="1:68" ht="16.5" customHeight="1" x14ac:dyDescent="0.25">
      <c r="A321" s="349" t="s">
        <v>504</v>
      </c>
      <c r="B321" s="348"/>
      <c r="C321" s="348"/>
      <c r="D321" s="348"/>
      <c r="E321" s="348"/>
      <c r="F321" s="348"/>
      <c r="G321" s="348"/>
      <c r="H321" s="348"/>
      <c r="I321" s="348"/>
      <c r="J321" s="348"/>
      <c r="K321" s="348"/>
      <c r="L321" s="348"/>
      <c r="M321" s="348"/>
      <c r="N321" s="348"/>
      <c r="O321" s="348"/>
      <c r="P321" s="348"/>
      <c r="Q321" s="348"/>
      <c r="R321" s="348"/>
      <c r="S321" s="348"/>
      <c r="T321" s="348"/>
      <c r="U321" s="348"/>
      <c r="V321" s="348"/>
      <c r="W321" s="348"/>
      <c r="X321" s="348"/>
      <c r="Y321" s="348"/>
      <c r="Z321" s="348"/>
      <c r="AA321" s="329"/>
      <c r="AB321" s="329"/>
      <c r="AC321" s="329"/>
    </row>
    <row r="322" spans="1:68" ht="14.25" customHeight="1" x14ac:dyDescent="0.25">
      <c r="A322" s="347" t="s">
        <v>147</v>
      </c>
      <c r="B322" s="348"/>
      <c r="C322" s="348"/>
      <c r="D322" s="348"/>
      <c r="E322" s="348"/>
      <c r="F322" s="348"/>
      <c r="G322" s="348"/>
      <c r="H322" s="348"/>
      <c r="I322" s="348"/>
      <c r="J322" s="348"/>
      <c r="K322" s="348"/>
      <c r="L322" s="348"/>
      <c r="M322" s="348"/>
      <c r="N322" s="348"/>
      <c r="O322" s="348"/>
      <c r="P322" s="348"/>
      <c r="Q322" s="348"/>
      <c r="R322" s="348"/>
      <c r="S322" s="348"/>
      <c r="T322" s="348"/>
      <c r="U322" s="348"/>
      <c r="V322" s="348"/>
      <c r="W322" s="348"/>
      <c r="X322" s="348"/>
      <c r="Y322" s="348"/>
      <c r="Z322" s="348"/>
      <c r="AA322" s="330"/>
      <c r="AB322" s="330"/>
      <c r="AC322" s="330"/>
    </row>
    <row r="323" spans="1:68" ht="27" customHeight="1" x14ac:dyDescent="0.25">
      <c r="A323" s="54" t="s">
        <v>505</v>
      </c>
      <c r="B323" s="54" t="s">
        <v>506</v>
      </c>
      <c r="C323" s="31">
        <v>4301135268</v>
      </c>
      <c r="D323" s="343">
        <v>4640242181134</v>
      </c>
      <c r="E323" s="344"/>
      <c r="F323" s="333">
        <v>0.8</v>
      </c>
      <c r="G323" s="32">
        <v>5</v>
      </c>
      <c r="H323" s="333">
        <v>4</v>
      </c>
      <c r="I323" s="333">
        <v>4.2830000000000004</v>
      </c>
      <c r="J323" s="32">
        <v>84</v>
      </c>
      <c r="K323" s="32" t="s">
        <v>67</v>
      </c>
      <c r="L323" s="32" t="s">
        <v>68</v>
      </c>
      <c r="M323" s="33" t="s">
        <v>69</v>
      </c>
      <c r="N323" s="33"/>
      <c r="O323" s="32">
        <v>180</v>
      </c>
      <c r="P323" s="508" t="s">
        <v>507</v>
      </c>
      <c r="Q323" s="339"/>
      <c r="R323" s="339"/>
      <c r="S323" s="339"/>
      <c r="T323" s="340"/>
      <c r="U323" s="34"/>
      <c r="V323" s="34"/>
      <c r="W323" s="35" t="s">
        <v>70</v>
      </c>
      <c r="X323" s="334">
        <v>0</v>
      </c>
      <c r="Y323" s="335">
        <f>IFERROR(IF(X323="","",X323),"")</f>
        <v>0</v>
      </c>
      <c r="Z323" s="36">
        <f>IFERROR(IF(X323="","",X323*0.0155),"")</f>
        <v>0</v>
      </c>
      <c r="AA323" s="56"/>
      <c r="AB323" s="57"/>
      <c r="AC323" s="324" t="s">
        <v>508</v>
      </c>
      <c r="AG323" s="67"/>
      <c r="AJ323" s="71" t="s">
        <v>72</v>
      </c>
      <c r="AK323" s="71">
        <v>1</v>
      </c>
      <c r="BB323" s="325" t="s">
        <v>83</v>
      </c>
      <c r="BM323" s="67">
        <f>IFERROR(X323*I323,"0")</f>
        <v>0</v>
      </c>
      <c r="BN323" s="67">
        <f>IFERROR(Y323*I323,"0")</f>
        <v>0</v>
      </c>
      <c r="BO323" s="67">
        <f>IFERROR(X323/J323,"0")</f>
        <v>0</v>
      </c>
      <c r="BP323" s="67">
        <f>IFERROR(Y323/J323,"0")</f>
        <v>0</v>
      </c>
    </row>
    <row r="324" spans="1:68" x14ac:dyDescent="0.2">
      <c r="A324" s="364"/>
      <c r="B324" s="348"/>
      <c r="C324" s="348"/>
      <c r="D324" s="348"/>
      <c r="E324" s="348"/>
      <c r="F324" s="348"/>
      <c r="G324" s="348"/>
      <c r="H324" s="348"/>
      <c r="I324" s="348"/>
      <c r="J324" s="348"/>
      <c r="K324" s="348"/>
      <c r="L324" s="348"/>
      <c r="M324" s="348"/>
      <c r="N324" s="348"/>
      <c r="O324" s="365"/>
      <c r="P324" s="352" t="s">
        <v>73</v>
      </c>
      <c r="Q324" s="353"/>
      <c r="R324" s="353"/>
      <c r="S324" s="353"/>
      <c r="T324" s="353"/>
      <c r="U324" s="353"/>
      <c r="V324" s="354"/>
      <c r="W324" s="37" t="s">
        <v>70</v>
      </c>
      <c r="X324" s="336">
        <f>IFERROR(SUM(X323:X323),"0")</f>
        <v>0</v>
      </c>
      <c r="Y324" s="336">
        <f>IFERROR(SUM(Y323:Y323),"0")</f>
        <v>0</v>
      </c>
      <c r="Z324" s="336">
        <f>IFERROR(IF(Z323="",0,Z323),"0")</f>
        <v>0</v>
      </c>
      <c r="AA324" s="337"/>
      <c r="AB324" s="337"/>
      <c r="AC324" s="337"/>
    </row>
    <row r="325" spans="1:68" x14ac:dyDescent="0.2">
      <c r="A325" s="348"/>
      <c r="B325" s="348"/>
      <c r="C325" s="348"/>
      <c r="D325" s="348"/>
      <c r="E325" s="348"/>
      <c r="F325" s="348"/>
      <c r="G325" s="348"/>
      <c r="H325" s="348"/>
      <c r="I325" s="348"/>
      <c r="J325" s="348"/>
      <c r="K325" s="348"/>
      <c r="L325" s="348"/>
      <c r="M325" s="348"/>
      <c r="N325" s="348"/>
      <c r="O325" s="365"/>
      <c r="P325" s="352" t="s">
        <v>73</v>
      </c>
      <c r="Q325" s="353"/>
      <c r="R325" s="353"/>
      <c r="S325" s="353"/>
      <c r="T325" s="353"/>
      <c r="U325" s="353"/>
      <c r="V325" s="354"/>
      <c r="W325" s="37" t="s">
        <v>74</v>
      </c>
      <c r="X325" s="336">
        <f>IFERROR(SUMPRODUCT(X323:X323*H323:H323),"0")</f>
        <v>0</v>
      </c>
      <c r="Y325" s="336">
        <f>IFERROR(SUMPRODUCT(Y323:Y323*H323:H323),"0")</f>
        <v>0</v>
      </c>
      <c r="Z325" s="37"/>
      <c r="AA325" s="337"/>
      <c r="AB325" s="337"/>
      <c r="AC325" s="337"/>
    </row>
    <row r="326" spans="1:68" ht="15" customHeight="1" x14ac:dyDescent="0.2">
      <c r="A326" s="421"/>
      <c r="B326" s="348"/>
      <c r="C326" s="348"/>
      <c r="D326" s="348"/>
      <c r="E326" s="348"/>
      <c r="F326" s="348"/>
      <c r="G326" s="348"/>
      <c r="H326" s="348"/>
      <c r="I326" s="348"/>
      <c r="J326" s="348"/>
      <c r="K326" s="348"/>
      <c r="L326" s="348"/>
      <c r="M326" s="348"/>
      <c r="N326" s="348"/>
      <c r="O326" s="422"/>
      <c r="P326" s="375" t="s">
        <v>509</v>
      </c>
      <c r="Q326" s="376"/>
      <c r="R326" s="376"/>
      <c r="S326" s="376"/>
      <c r="T326" s="376"/>
      <c r="U326" s="376"/>
      <c r="V326" s="377"/>
      <c r="W326" s="37" t="s">
        <v>74</v>
      </c>
      <c r="X326" s="336">
        <f>IFERROR(X24+X33+X40+X52+X57+X61+X65+X69+X75+X81+X86+X92+X102+X109+X120+X124+X130+X136+X142+X147+X152+X158+X163+X169+X177+X182+X190+X194+X203+X210+X220+X228+X233+X239+X244+X250+X256+X263+X269+X273+X281+X285+X290+X296+X320+X325,"0")</f>
        <v>8001.32</v>
      </c>
      <c r="Y326" s="336">
        <f>IFERROR(Y24+Y33+Y40+Y52+Y57+Y61+Y65+Y69+Y75+Y81+Y86+Y92+Y102+Y109+Y120+Y124+Y130+Y136+Y142+Y147+Y152+Y158+Y163+Y169+Y177+Y182+Y190+Y194+Y203+Y210+Y220+Y228+Y233+Y239+Y244+Y250+Y256+Y263+Y269+Y273+Y281+Y285+Y290+Y296+Y320+Y325,"0")</f>
        <v>8001.32</v>
      </c>
      <c r="Z326" s="37"/>
      <c r="AA326" s="337"/>
      <c r="AB326" s="337"/>
      <c r="AC326" s="337"/>
    </row>
    <row r="327" spans="1:68" x14ac:dyDescent="0.2">
      <c r="A327" s="348"/>
      <c r="B327" s="348"/>
      <c r="C327" s="348"/>
      <c r="D327" s="348"/>
      <c r="E327" s="348"/>
      <c r="F327" s="348"/>
      <c r="G327" s="348"/>
      <c r="H327" s="348"/>
      <c r="I327" s="348"/>
      <c r="J327" s="348"/>
      <c r="K327" s="348"/>
      <c r="L327" s="348"/>
      <c r="M327" s="348"/>
      <c r="N327" s="348"/>
      <c r="O327" s="422"/>
      <c r="P327" s="375" t="s">
        <v>510</v>
      </c>
      <c r="Q327" s="376"/>
      <c r="R327" s="376"/>
      <c r="S327" s="376"/>
      <c r="T327" s="376"/>
      <c r="U327" s="376"/>
      <c r="V327" s="377"/>
      <c r="W327" s="37" t="s">
        <v>74</v>
      </c>
      <c r="X327" s="336">
        <f>IFERROR(SUM(BM22:BM323),"0")</f>
        <v>8695.1299999999992</v>
      </c>
      <c r="Y327" s="336">
        <f>IFERROR(SUM(BN22:BN323),"0")</f>
        <v>8695.1299999999992</v>
      </c>
      <c r="Z327" s="37"/>
      <c r="AA327" s="337"/>
      <c r="AB327" s="337"/>
      <c r="AC327" s="337"/>
    </row>
    <row r="328" spans="1:68" x14ac:dyDescent="0.2">
      <c r="A328" s="348"/>
      <c r="B328" s="348"/>
      <c r="C328" s="348"/>
      <c r="D328" s="348"/>
      <c r="E328" s="348"/>
      <c r="F328" s="348"/>
      <c r="G328" s="348"/>
      <c r="H328" s="348"/>
      <c r="I328" s="348"/>
      <c r="J328" s="348"/>
      <c r="K328" s="348"/>
      <c r="L328" s="348"/>
      <c r="M328" s="348"/>
      <c r="N328" s="348"/>
      <c r="O328" s="422"/>
      <c r="P328" s="375" t="s">
        <v>511</v>
      </c>
      <c r="Q328" s="376"/>
      <c r="R328" s="376"/>
      <c r="S328" s="376"/>
      <c r="T328" s="376"/>
      <c r="U328" s="376"/>
      <c r="V328" s="377"/>
      <c r="W328" s="37" t="s">
        <v>512</v>
      </c>
      <c r="X328" s="38">
        <f>ROUNDUP(SUM(BO22:BO323),0)</f>
        <v>22</v>
      </c>
      <c r="Y328" s="38">
        <f>ROUNDUP(SUM(BP22:BP323),0)</f>
        <v>22</v>
      </c>
      <c r="Z328" s="37"/>
      <c r="AA328" s="337"/>
      <c r="AB328" s="337"/>
      <c r="AC328" s="337"/>
    </row>
    <row r="329" spans="1:68" x14ac:dyDescent="0.2">
      <c r="A329" s="348"/>
      <c r="B329" s="348"/>
      <c r="C329" s="348"/>
      <c r="D329" s="348"/>
      <c r="E329" s="348"/>
      <c r="F329" s="348"/>
      <c r="G329" s="348"/>
      <c r="H329" s="348"/>
      <c r="I329" s="348"/>
      <c r="J329" s="348"/>
      <c r="K329" s="348"/>
      <c r="L329" s="348"/>
      <c r="M329" s="348"/>
      <c r="N329" s="348"/>
      <c r="O329" s="422"/>
      <c r="P329" s="375" t="s">
        <v>513</v>
      </c>
      <c r="Q329" s="376"/>
      <c r="R329" s="376"/>
      <c r="S329" s="376"/>
      <c r="T329" s="376"/>
      <c r="U329" s="376"/>
      <c r="V329" s="377"/>
      <c r="W329" s="37" t="s">
        <v>74</v>
      </c>
      <c r="X329" s="336">
        <f>GrossWeightTotal+PalletQtyTotal*25</f>
        <v>9245.1299999999992</v>
      </c>
      <c r="Y329" s="336">
        <f>GrossWeightTotalR+PalletQtyTotalR*25</f>
        <v>9245.1299999999992</v>
      </c>
      <c r="Z329" s="37"/>
      <c r="AA329" s="337"/>
      <c r="AB329" s="337"/>
      <c r="AC329" s="337"/>
    </row>
    <row r="330" spans="1:68" x14ac:dyDescent="0.2">
      <c r="A330" s="348"/>
      <c r="B330" s="348"/>
      <c r="C330" s="348"/>
      <c r="D330" s="348"/>
      <c r="E330" s="348"/>
      <c r="F330" s="348"/>
      <c r="G330" s="348"/>
      <c r="H330" s="348"/>
      <c r="I330" s="348"/>
      <c r="J330" s="348"/>
      <c r="K330" s="348"/>
      <c r="L330" s="348"/>
      <c r="M330" s="348"/>
      <c r="N330" s="348"/>
      <c r="O330" s="422"/>
      <c r="P330" s="375" t="s">
        <v>514</v>
      </c>
      <c r="Q330" s="376"/>
      <c r="R330" s="376"/>
      <c r="S330" s="376"/>
      <c r="T330" s="376"/>
      <c r="U330" s="376"/>
      <c r="V330" s="377"/>
      <c r="W330" s="37" t="s">
        <v>512</v>
      </c>
      <c r="X330" s="336">
        <f>IFERROR(X23+X32+X39+X51+X56+X60+X64+X68+X74+X80+X85+X91+X101+X108+X119+X123+X129+X135+X141+X146+X151+X157+X162+X168+X176+X181+X189+X193+X202+X209+X219+X227+X232+X238+X243+X249+X255+X262+X268+X272+X280+X284+X289+X295+X319+X324,"0")</f>
        <v>1828</v>
      </c>
      <c r="Y330" s="336">
        <f>IFERROR(Y23+Y32+Y39+Y51+Y56+Y60+Y64+Y68+Y74+Y80+Y85+Y91+Y101+Y108+Y119+Y123+Y129+Y135+Y141+Y146+Y151+Y157+Y162+Y168+Y176+Y181+Y189+Y193+Y202+Y209+Y219+Y227+Y232+Y238+Y243+Y249+Y255+Y262+Y268+Y272+Y280+Y284+Y289+Y295+Y319+Y324,"0")</f>
        <v>1828</v>
      </c>
      <c r="Z330" s="37"/>
      <c r="AA330" s="337"/>
      <c r="AB330" s="337"/>
      <c r="AC330" s="337"/>
    </row>
    <row r="331" spans="1:68" ht="14.25" customHeight="1" x14ac:dyDescent="0.2">
      <c r="A331" s="348"/>
      <c r="B331" s="348"/>
      <c r="C331" s="348"/>
      <c r="D331" s="348"/>
      <c r="E331" s="348"/>
      <c r="F331" s="348"/>
      <c r="G331" s="348"/>
      <c r="H331" s="348"/>
      <c r="I331" s="348"/>
      <c r="J331" s="348"/>
      <c r="K331" s="348"/>
      <c r="L331" s="348"/>
      <c r="M331" s="348"/>
      <c r="N331" s="348"/>
      <c r="O331" s="422"/>
      <c r="P331" s="375" t="s">
        <v>515</v>
      </c>
      <c r="Q331" s="376"/>
      <c r="R331" s="376"/>
      <c r="S331" s="376"/>
      <c r="T331" s="376"/>
      <c r="U331" s="376"/>
      <c r="V331" s="377"/>
      <c r="W331" s="39" t="s">
        <v>516</v>
      </c>
      <c r="X331" s="37"/>
      <c r="Y331" s="37"/>
      <c r="Z331" s="37">
        <f>IFERROR(Z23+Z32+Z39+Z51+Z56+Z60+Z64+Z68+Z74+Z80+Z85+Z91+Z101+Z108+Z119+Z123+Z129+Z135+Z141+Z146+Z151+Z157+Z162+Z168+Z176+Z181+Z189+Z193+Z202+Z209+Z219+Z227+Z232+Z238+Z243+Z249+Z255+Z262+Z268+Z272+Z280+Z284+Z289+Z295+Z319+Z324,"0")</f>
        <v>26.863419999999998</v>
      </c>
      <c r="AA331" s="337"/>
      <c r="AB331" s="337"/>
      <c r="AC331" s="337"/>
    </row>
    <row r="332" spans="1:68" ht="13.5" customHeight="1" thickBot="1" x14ac:dyDescent="0.25"/>
    <row r="333" spans="1:68" ht="27" customHeight="1" thickTop="1" thickBot="1" x14ac:dyDescent="0.25">
      <c r="A333" s="40" t="s">
        <v>517</v>
      </c>
      <c r="B333" s="331" t="s">
        <v>63</v>
      </c>
      <c r="C333" s="357" t="s">
        <v>75</v>
      </c>
      <c r="D333" s="397"/>
      <c r="E333" s="397"/>
      <c r="F333" s="397"/>
      <c r="G333" s="397"/>
      <c r="H333" s="397"/>
      <c r="I333" s="397"/>
      <c r="J333" s="397"/>
      <c r="K333" s="397"/>
      <c r="L333" s="397"/>
      <c r="M333" s="397"/>
      <c r="N333" s="397"/>
      <c r="O333" s="397"/>
      <c r="P333" s="397"/>
      <c r="Q333" s="397"/>
      <c r="R333" s="397"/>
      <c r="S333" s="397"/>
      <c r="T333" s="398"/>
      <c r="U333" s="357" t="s">
        <v>268</v>
      </c>
      <c r="V333" s="398"/>
      <c r="W333" s="331" t="s">
        <v>294</v>
      </c>
      <c r="X333" s="357" t="s">
        <v>313</v>
      </c>
      <c r="Y333" s="397"/>
      <c r="Z333" s="397"/>
      <c r="AA333" s="397"/>
      <c r="AB333" s="397"/>
      <c r="AC333" s="397"/>
      <c r="AD333" s="398"/>
      <c r="AE333" s="331" t="s">
        <v>387</v>
      </c>
      <c r="AF333" s="331" t="s">
        <v>392</v>
      </c>
      <c r="AG333" s="331" t="s">
        <v>399</v>
      </c>
      <c r="AH333" s="357" t="s">
        <v>269</v>
      </c>
      <c r="AI333" s="398"/>
    </row>
    <row r="334" spans="1:68" ht="14.25" customHeight="1" thickTop="1" x14ac:dyDescent="0.2">
      <c r="A334" s="536" t="s">
        <v>518</v>
      </c>
      <c r="B334" s="357" t="s">
        <v>63</v>
      </c>
      <c r="C334" s="357" t="s">
        <v>76</v>
      </c>
      <c r="D334" s="357" t="s">
        <v>93</v>
      </c>
      <c r="E334" s="357" t="s">
        <v>106</v>
      </c>
      <c r="F334" s="357" t="s">
        <v>129</v>
      </c>
      <c r="G334" s="357" t="s">
        <v>158</v>
      </c>
      <c r="H334" s="357" t="s">
        <v>165</v>
      </c>
      <c r="I334" s="357" t="s">
        <v>170</v>
      </c>
      <c r="J334" s="357" t="s">
        <v>179</v>
      </c>
      <c r="K334" s="357" t="s">
        <v>196</v>
      </c>
      <c r="L334" s="357" t="s">
        <v>206</v>
      </c>
      <c r="M334" s="357" t="s">
        <v>229</v>
      </c>
      <c r="N334" s="332"/>
      <c r="O334" s="357" t="s">
        <v>235</v>
      </c>
      <c r="P334" s="357" t="s">
        <v>242</v>
      </c>
      <c r="Q334" s="357" t="s">
        <v>248</v>
      </c>
      <c r="R334" s="357" t="s">
        <v>253</v>
      </c>
      <c r="S334" s="357" t="s">
        <v>256</v>
      </c>
      <c r="T334" s="357" t="s">
        <v>264</v>
      </c>
      <c r="U334" s="357" t="s">
        <v>269</v>
      </c>
      <c r="V334" s="357" t="s">
        <v>273</v>
      </c>
      <c r="W334" s="357" t="s">
        <v>295</v>
      </c>
      <c r="X334" s="357" t="s">
        <v>314</v>
      </c>
      <c r="Y334" s="357" t="s">
        <v>326</v>
      </c>
      <c r="Z334" s="357" t="s">
        <v>336</v>
      </c>
      <c r="AA334" s="357" t="s">
        <v>351</v>
      </c>
      <c r="AB334" s="357" t="s">
        <v>362</v>
      </c>
      <c r="AC334" s="357" t="s">
        <v>377</v>
      </c>
      <c r="AD334" s="357" t="s">
        <v>381</v>
      </c>
      <c r="AE334" s="357" t="s">
        <v>388</v>
      </c>
      <c r="AF334" s="357" t="s">
        <v>393</v>
      </c>
      <c r="AG334" s="357" t="s">
        <v>400</v>
      </c>
      <c r="AH334" s="357" t="s">
        <v>269</v>
      </c>
      <c r="AI334" s="357" t="s">
        <v>504</v>
      </c>
    </row>
    <row r="335" spans="1:68" ht="13.5" customHeight="1" thickBot="1" x14ac:dyDescent="0.25">
      <c r="A335" s="537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32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  <c r="AD335" s="358"/>
      <c r="AE335" s="358"/>
      <c r="AF335" s="358"/>
      <c r="AG335" s="358"/>
      <c r="AH335" s="358"/>
      <c r="AI335" s="358"/>
    </row>
    <row r="336" spans="1:68" ht="18" customHeight="1" thickTop="1" thickBot="1" x14ac:dyDescent="0.25">
      <c r="A336" s="40" t="s">
        <v>519</v>
      </c>
      <c r="B336" s="46">
        <f>IFERROR(X22*H22,"0")</f>
        <v>0</v>
      </c>
      <c r="C336" s="46">
        <f>IFERROR(X28*H28,"0")+IFERROR(X29*H29,"0")+IFERROR(X30*H30,"0")+IFERROR(X31*H31,"0")</f>
        <v>147</v>
      </c>
      <c r="D336" s="46">
        <f>IFERROR(X36*H36,"0")+IFERROR(X37*H37,"0")+IFERROR(X38*H38,"0")</f>
        <v>0</v>
      </c>
      <c r="E336" s="46">
        <f>IFERROR(X43*H43,"0")+IFERROR(X44*H44,"0")+IFERROR(X45*H45,"0")+IFERROR(X46*H46,"0")+IFERROR(X47*H47,"0")+IFERROR(X48*H48,"0")+IFERROR(X49*H49,"0")+IFERROR(X50*H50,"0")</f>
        <v>734.40000000000009</v>
      </c>
      <c r="F336" s="46">
        <f>IFERROR(X55*H55,"0")+IFERROR(X59*H59,"0")+IFERROR(X63*H63,"0")+IFERROR(X67*H67,"0")+IFERROR(X71*H71,"0")+IFERROR(X72*H72,"0")+IFERROR(X73*H73,"0")</f>
        <v>0</v>
      </c>
      <c r="G336" s="46">
        <f>IFERROR(X78*H78,"0")+IFERROR(X79*H79,"0")</f>
        <v>648.6</v>
      </c>
      <c r="H336" s="46">
        <f>IFERROR(X84*H84,"0")</f>
        <v>50.4</v>
      </c>
      <c r="I336" s="46">
        <f>IFERROR(X89*H89,"0")+IFERROR(X90*H90,"0")</f>
        <v>151.19999999999999</v>
      </c>
      <c r="J336" s="46">
        <f>IFERROR(X95*H95,"0")+IFERROR(X96*H96,"0")+IFERROR(X97*H97,"0")+IFERROR(X98*H98,"0")+IFERROR(X99*H99,"0")+IFERROR(X100*H100,"0")</f>
        <v>403.20000000000005</v>
      </c>
      <c r="K336" s="46">
        <f>IFERROR(X105*H105,"0")+IFERROR(X106*H106,"0")+IFERROR(X107*H107,"0")</f>
        <v>30.240000000000002</v>
      </c>
      <c r="L336" s="46">
        <f>IFERROR(X112*H112,"0")+IFERROR(X113*H113,"0")+IFERROR(X114*H114,"0")+IFERROR(X115*H115,"0")+IFERROR(X116*H116,"0")+IFERROR(X117*H117,"0")+IFERROR(X118*H118,"0")+IFERROR(X122*H122,"0")</f>
        <v>1622.4</v>
      </c>
      <c r="M336" s="46">
        <f>IFERROR(X127*H127,"0")+IFERROR(X128*H128,"0")</f>
        <v>294</v>
      </c>
      <c r="N336" s="332"/>
      <c r="O336" s="46">
        <f>IFERROR(X133*H133,"0")+IFERROR(X134*H134,"0")</f>
        <v>210</v>
      </c>
      <c r="P336" s="46">
        <f>IFERROR(X139*H139,"0")+IFERROR(X140*H140,"0")</f>
        <v>210</v>
      </c>
      <c r="Q336" s="46">
        <f>IFERROR(X145*H145,"0")</f>
        <v>42</v>
      </c>
      <c r="R336" s="46">
        <f>IFERROR(X150*H150,"0")</f>
        <v>37.800000000000004</v>
      </c>
      <c r="S336" s="46">
        <f>IFERROR(X155*H155,"0")+IFERROR(X156*H156,"0")</f>
        <v>0</v>
      </c>
      <c r="T336" s="46">
        <f>IFERROR(X161*H161,"0")</f>
        <v>0</v>
      </c>
      <c r="U336" s="46">
        <f>IFERROR(X167*H167,"0")</f>
        <v>0</v>
      </c>
      <c r="V336" s="46">
        <f>IFERROR(X172*H172,"0")+IFERROR(X173*H173,"0")+IFERROR(X174*H174,"0")+IFERROR(X175*H175,"0")+IFERROR(X179*H179,"0")+IFERROR(X180*H180,"0")</f>
        <v>180</v>
      </c>
      <c r="W336" s="46">
        <f>IFERROR(X186*H186,"0")+IFERROR(X187*H187,"0")+IFERROR(X188*H188,"0")+IFERROR(X192*H192,"0")</f>
        <v>546</v>
      </c>
      <c r="X336" s="46">
        <f>IFERROR(X198*H198,"0")+IFERROR(X199*H199,"0")+IFERROR(X200*H200,"0")+IFERROR(X201*H201,"0")</f>
        <v>67.2</v>
      </c>
      <c r="Y336" s="46">
        <f>IFERROR(X206*H206,"0")+IFERROR(X207*H207,"0")+IFERROR(X208*H208,"0")</f>
        <v>403.2</v>
      </c>
      <c r="Z336" s="46">
        <f>IFERROR(X213*H213,"0")+IFERROR(X214*H214,"0")+IFERROR(X215*H215,"0")+IFERROR(X216*H216,"0")+IFERROR(X217*H217,"0")+IFERROR(X218*H218,"0")</f>
        <v>0</v>
      </c>
      <c r="AA336" s="46">
        <f>IFERROR(X223*H223,"0")+IFERROR(X224*H224,"0")+IFERROR(X225*H225,"0")+IFERROR(X226*H226,"0")</f>
        <v>86.4</v>
      </c>
      <c r="AB336" s="46">
        <f>IFERROR(X231*H231,"0")+IFERROR(X235*H235,"0")+IFERROR(X236*H236,"0")+IFERROR(X237*H237,"0")</f>
        <v>0</v>
      </c>
      <c r="AC336" s="46">
        <f>IFERROR(X242*H242,"0")</f>
        <v>0</v>
      </c>
      <c r="AD336" s="46">
        <f>IFERROR(X247*H247,"0")+IFERROR(X248*H248,"0")</f>
        <v>0</v>
      </c>
      <c r="AE336" s="46">
        <f>IFERROR(X254*H254,"0")</f>
        <v>0</v>
      </c>
      <c r="AF336" s="46">
        <f>IFERROR(X260*H260,"0")+IFERROR(X261*H261,"0")</f>
        <v>480</v>
      </c>
      <c r="AG336" s="46">
        <f>IFERROR(X267*H267,"0")+IFERROR(X271*H271,"0")</f>
        <v>0</v>
      </c>
      <c r="AH336" s="46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1657.28</v>
      </c>
      <c r="AI336" s="46">
        <f>IFERROR(X323*H323,"0")</f>
        <v>0</v>
      </c>
    </row>
    <row r="337" spans="1:3" ht="13.5" customHeight="1" thickTop="1" x14ac:dyDescent="0.2">
      <c r="C337" s="332"/>
    </row>
    <row r="338" spans="1:3" ht="19.5" customHeight="1" x14ac:dyDescent="0.2">
      <c r="A338" s="58" t="s">
        <v>520</v>
      </c>
      <c r="B338" s="58" t="s">
        <v>521</v>
      </c>
      <c r="C338" s="58" t="s">
        <v>522</v>
      </c>
    </row>
    <row r="339" spans="1:3" x14ac:dyDescent="0.2">
      <c r="A339" s="59">
        <f>SUMPRODUCT(--(BB:BB="ЗПФ"),--(W:W="кор"),H:H,Y:Y)+SUMPRODUCT(--(BB:BB="ЗПФ"),--(W:W="кг"),Y:Y)</f>
        <v>4155</v>
      </c>
      <c r="B339" s="60">
        <f>SUMPRODUCT(--(BB:BB="ПГП"),--(W:W="кор"),H:H,Y:Y)+SUMPRODUCT(--(BB:BB="ПГП"),--(W:W="кг"),Y:Y)</f>
        <v>3846.32</v>
      </c>
      <c r="C339" s="60">
        <f>SUMPRODUCT(--(BB:BB="КИЗ"),--(W:W="кор"),H:H,Y:Y)+SUMPRODUCT(--(BB:BB="КИЗ"),--(W:W="кг"),Y:Y)</f>
        <v>0</v>
      </c>
    </row>
  </sheetData>
  <sheetProtection algorithmName="SHA-512" hashValue="/dY6rzths82t8jT4qbJp1jDcWdT8QzW3qolk16gBiSLohvPYu3B0y9ZssHxMxZhBCYzB/VPIvHMt4GtBk+kBfQ==" saltValue="Z92EJN9OxllQ8H8EVpvS3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91">
    <mergeCell ref="Q334:Q335"/>
    <mergeCell ref="D192:E192"/>
    <mergeCell ref="P296:V296"/>
    <mergeCell ref="D173:E173"/>
    <mergeCell ref="D17:E18"/>
    <mergeCell ref="A151:O152"/>
    <mergeCell ref="P71:T71"/>
    <mergeCell ref="A131:Z131"/>
    <mergeCell ref="P313:T313"/>
    <mergeCell ref="X17:X18"/>
    <mergeCell ref="P307:T307"/>
    <mergeCell ref="D50:E50"/>
    <mergeCell ref="D44:E44"/>
    <mergeCell ref="T334:T335"/>
    <mergeCell ref="P210:V210"/>
    <mergeCell ref="A35:Z35"/>
    <mergeCell ref="A62:Z62"/>
    <mergeCell ref="D271:E271"/>
    <mergeCell ref="V12:W12"/>
    <mergeCell ref="I334:I335"/>
    <mergeCell ref="K334:K335"/>
    <mergeCell ref="A245:Z245"/>
    <mergeCell ref="D237:E237"/>
    <mergeCell ref="P285:V285"/>
    <mergeCell ref="A202:O203"/>
    <mergeCell ref="A103:Z103"/>
    <mergeCell ref="P174:T174"/>
    <mergeCell ref="D95:E95"/>
    <mergeCell ref="P74:V74"/>
    <mergeCell ref="U17:V17"/>
    <mergeCell ref="Y17:Y18"/>
    <mergeCell ref="D293:E293"/>
    <mergeCell ref="P163:V163"/>
    <mergeCell ref="A153:Z153"/>
    <mergeCell ref="D97:E97"/>
    <mergeCell ref="A268:O269"/>
    <mergeCell ref="P218:T218"/>
    <mergeCell ref="P293:T293"/>
    <mergeCell ref="Q6:R6"/>
    <mergeCell ref="P200:T200"/>
    <mergeCell ref="P134:T134"/>
    <mergeCell ref="P292:T292"/>
    <mergeCell ref="A189:O190"/>
    <mergeCell ref="P81:V81"/>
    <mergeCell ref="A204:Z204"/>
    <mergeCell ref="P294:T294"/>
    <mergeCell ref="P219:V219"/>
    <mergeCell ref="P23:V23"/>
    <mergeCell ref="P272:V272"/>
    <mergeCell ref="D133:E133"/>
    <mergeCell ref="A8:C8"/>
    <mergeCell ref="A10:C10"/>
    <mergeCell ref="P69:V69"/>
    <mergeCell ref="A21:Z21"/>
    <mergeCell ref="D242:E242"/>
    <mergeCell ref="P199:T199"/>
    <mergeCell ref="P290:V290"/>
    <mergeCell ref="F17:F18"/>
    <mergeCell ref="Q5:R5"/>
    <mergeCell ref="D278:E278"/>
    <mergeCell ref="D107:E107"/>
    <mergeCell ref="P288:T288"/>
    <mergeCell ref="A60:O61"/>
    <mergeCell ref="V11:W11"/>
    <mergeCell ref="P317:T317"/>
    <mergeCell ref="D323:E323"/>
    <mergeCell ref="D223:E223"/>
    <mergeCell ref="D279:E279"/>
    <mergeCell ref="AG334:AG335"/>
    <mergeCell ref="D29:E29"/>
    <mergeCell ref="D216:E216"/>
    <mergeCell ref="A20:Z20"/>
    <mergeCell ref="A125:Z125"/>
    <mergeCell ref="D218:E218"/>
    <mergeCell ref="D247:E247"/>
    <mergeCell ref="P289:V289"/>
    <mergeCell ref="A334:A335"/>
    <mergeCell ref="P239:V239"/>
    <mergeCell ref="P68:V68"/>
    <mergeCell ref="A257:Z257"/>
    <mergeCell ref="A191:Z191"/>
    <mergeCell ref="A101:O102"/>
    <mergeCell ref="D105:E105"/>
    <mergeCell ref="A178:Z178"/>
    <mergeCell ref="P72:T72"/>
    <mergeCell ref="D49:E49"/>
    <mergeCell ref="N17:N18"/>
    <mergeCell ref="P2:W3"/>
    <mergeCell ref="P133:T133"/>
    <mergeCell ref="P298:T298"/>
    <mergeCell ref="AE334:AE335"/>
    <mergeCell ref="P198:T198"/>
    <mergeCell ref="P127:T127"/>
    <mergeCell ref="A170:Z170"/>
    <mergeCell ref="A23:O24"/>
    <mergeCell ref="D10:E10"/>
    <mergeCell ref="F10:G10"/>
    <mergeCell ref="D305:E305"/>
    <mergeCell ref="A181:O182"/>
    <mergeCell ref="D99:E99"/>
    <mergeCell ref="P128:T128"/>
    <mergeCell ref="D310:E310"/>
    <mergeCell ref="AD17:AF18"/>
    <mergeCell ref="A39:O40"/>
    <mergeCell ref="P142:V142"/>
    <mergeCell ref="A132:Z132"/>
    <mergeCell ref="L334:L335"/>
    <mergeCell ref="F5:G5"/>
    <mergeCell ref="P169:V169"/>
    <mergeCell ref="A221:Z221"/>
    <mergeCell ref="A25:Z25"/>
    <mergeCell ref="A9:C9"/>
    <mergeCell ref="P112:T112"/>
    <mergeCell ref="D294:E294"/>
    <mergeCell ref="P273:V273"/>
    <mergeCell ref="P323:T323"/>
    <mergeCell ref="D231:E231"/>
    <mergeCell ref="P39:V39"/>
    <mergeCell ref="A219:O220"/>
    <mergeCell ref="P32:V32"/>
    <mergeCell ref="Q13:R13"/>
    <mergeCell ref="P268:V268"/>
    <mergeCell ref="A93:Z93"/>
    <mergeCell ref="D318:E318"/>
    <mergeCell ref="P201:T201"/>
    <mergeCell ref="P139:T139"/>
    <mergeCell ref="P247:T247"/>
    <mergeCell ref="P114:T114"/>
    <mergeCell ref="D84:E84"/>
    <mergeCell ref="D155:E155"/>
    <mergeCell ref="D22:E22"/>
    <mergeCell ref="A222:Z222"/>
    <mergeCell ref="P301:T301"/>
    <mergeCell ref="P255:V255"/>
    <mergeCell ref="P105:T105"/>
    <mergeCell ref="W334:W335"/>
    <mergeCell ref="X333:AD333"/>
    <mergeCell ref="A289:O290"/>
    <mergeCell ref="AF334:AF335"/>
    <mergeCell ref="P188:T188"/>
    <mergeCell ref="D288:E288"/>
    <mergeCell ref="P123:V123"/>
    <mergeCell ref="P59:T59"/>
    <mergeCell ref="A176:O177"/>
    <mergeCell ref="D225:E225"/>
    <mergeCell ref="D200:E200"/>
    <mergeCell ref="D292:E292"/>
    <mergeCell ref="A243:O244"/>
    <mergeCell ref="P262:V262"/>
    <mergeCell ref="P214:T214"/>
    <mergeCell ref="D213:E213"/>
    <mergeCell ref="A64:O65"/>
    <mergeCell ref="P284:V284"/>
    <mergeCell ref="J334:J335"/>
    <mergeCell ref="P278:T278"/>
    <mergeCell ref="D150:E150"/>
    <mergeCell ref="P129:V129"/>
    <mergeCell ref="P107:T107"/>
    <mergeCell ref="D215:E215"/>
    <mergeCell ref="P331:V331"/>
    <mergeCell ref="P106:T106"/>
    <mergeCell ref="P226:T226"/>
    <mergeCell ref="D207:E207"/>
    <mergeCell ref="P120:V120"/>
    <mergeCell ref="D299:E299"/>
    <mergeCell ref="A230:Z230"/>
    <mergeCell ref="P57:V57"/>
    <mergeCell ref="G17:G18"/>
    <mergeCell ref="D314:E314"/>
    <mergeCell ref="A143:Z143"/>
    <mergeCell ref="P46:T46"/>
    <mergeCell ref="A51:O52"/>
    <mergeCell ref="P48:T48"/>
    <mergeCell ref="P49:T49"/>
    <mergeCell ref="P36:T36"/>
    <mergeCell ref="A255:O256"/>
    <mergeCell ref="P250:V250"/>
    <mergeCell ref="A246:Z246"/>
    <mergeCell ref="P194:V194"/>
    <mergeCell ref="A168:O169"/>
    <mergeCell ref="M17:M18"/>
    <mergeCell ref="O17:O18"/>
    <mergeCell ref="P52:V52"/>
    <mergeCell ref="AA17:AA18"/>
    <mergeCell ref="H10:M10"/>
    <mergeCell ref="AC17:AC18"/>
    <mergeCell ref="P101:V101"/>
    <mergeCell ref="P279:T279"/>
    <mergeCell ref="D89:E89"/>
    <mergeCell ref="P209:V209"/>
    <mergeCell ref="P254:T254"/>
    <mergeCell ref="P147:V147"/>
    <mergeCell ref="P45:T45"/>
    <mergeCell ref="D128:E128"/>
    <mergeCell ref="D199:E199"/>
    <mergeCell ref="P38:T38"/>
    <mergeCell ref="D186:E186"/>
    <mergeCell ref="D217:E217"/>
    <mergeCell ref="P84:T84"/>
    <mergeCell ref="P22:T22"/>
    <mergeCell ref="P92:V92"/>
    <mergeCell ref="A88:Z88"/>
    <mergeCell ref="Z17:Z18"/>
    <mergeCell ref="A54:Z54"/>
    <mergeCell ref="AB17:AB18"/>
    <mergeCell ref="A212:Z212"/>
    <mergeCell ref="A41:Z41"/>
    <mergeCell ref="AD334:AD335"/>
    <mergeCell ref="P161:T161"/>
    <mergeCell ref="P217:T217"/>
    <mergeCell ref="P90:T90"/>
    <mergeCell ref="D198:E198"/>
    <mergeCell ref="X334:X335"/>
    <mergeCell ref="A252:Z252"/>
    <mergeCell ref="A157:O158"/>
    <mergeCell ref="A284:O285"/>
    <mergeCell ref="D206:E206"/>
    <mergeCell ref="D298:E298"/>
    <mergeCell ref="P156:T156"/>
    <mergeCell ref="A160:Z160"/>
    <mergeCell ref="C334:C335"/>
    <mergeCell ref="P318:T318"/>
    <mergeCell ref="U334:U335"/>
    <mergeCell ref="P314:T314"/>
    <mergeCell ref="B334:B335"/>
    <mergeCell ref="P329:V329"/>
    <mergeCell ref="A154:Z154"/>
    <mergeCell ref="D334:D335"/>
    <mergeCell ref="D317:E317"/>
    <mergeCell ref="P225:T225"/>
    <mergeCell ref="P158:V158"/>
    <mergeCell ref="AH333:AI333"/>
    <mergeCell ref="A94:Z94"/>
    <mergeCell ref="P244:V244"/>
    <mergeCell ref="A196:Z196"/>
    <mergeCell ref="P115:T115"/>
    <mergeCell ref="D254:E254"/>
    <mergeCell ref="A15:M15"/>
    <mergeCell ref="A232:O233"/>
    <mergeCell ref="A183:Z183"/>
    <mergeCell ref="D48:E48"/>
    <mergeCell ref="A264:Z264"/>
    <mergeCell ref="P179:T179"/>
    <mergeCell ref="D283:E283"/>
    <mergeCell ref="D112:E112"/>
    <mergeCell ref="P206:T206"/>
    <mergeCell ref="D127:E127"/>
    <mergeCell ref="P37:T37"/>
    <mergeCell ref="P304:T304"/>
    <mergeCell ref="A56:O57"/>
    <mergeCell ref="D114:E114"/>
    <mergeCell ref="P220:V220"/>
    <mergeCell ref="P248:T248"/>
    <mergeCell ref="A129:O130"/>
    <mergeCell ref="P235:T235"/>
    <mergeCell ref="P334:P335"/>
    <mergeCell ref="D188:E188"/>
    <mergeCell ref="P224:T224"/>
    <mergeCell ref="A141:O142"/>
    <mergeCell ref="P89:T89"/>
    <mergeCell ref="P260:T260"/>
    <mergeCell ref="D59:E59"/>
    <mergeCell ref="P309:T309"/>
    <mergeCell ref="D172:E172"/>
    <mergeCell ref="P227:V227"/>
    <mergeCell ref="A138:Z138"/>
    <mergeCell ref="P202:V202"/>
    <mergeCell ref="V334:V335"/>
    <mergeCell ref="P306:T306"/>
    <mergeCell ref="P86:V86"/>
    <mergeCell ref="P328:V328"/>
    <mergeCell ref="P157:V157"/>
    <mergeCell ref="A274:Z274"/>
    <mergeCell ref="P249:V249"/>
    <mergeCell ref="P207:T207"/>
    <mergeCell ref="P299:T299"/>
    <mergeCell ref="P326:V326"/>
    <mergeCell ref="A211:Z211"/>
    <mergeCell ref="P152:V152"/>
    <mergeCell ref="P319:V319"/>
    <mergeCell ref="Q10:R10"/>
    <mergeCell ref="D277:E277"/>
    <mergeCell ref="P256:V256"/>
    <mergeCell ref="P85:V85"/>
    <mergeCell ref="A137:Z137"/>
    <mergeCell ref="P60:V60"/>
    <mergeCell ref="D43:E43"/>
    <mergeCell ref="P320:V320"/>
    <mergeCell ref="P216:T216"/>
    <mergeCell ref="P124:V124"/>
    <mergeCell ref="P80:V80"/>
    <mergeCell ref="P151:V151"/>
    <mergeCell ref="D201:E201"/>
    <mergeCell ref="D36:E36"/>
    <mergeCell ref="A13:M13"/>
    <mergeCell ref="A82:Z82"/>
    <mergeCell ref="A275:Z275"/>
    <mergeCell ref="D140:E140"/>
    <mergeCell ref="D267:E267"/>
    <mergeCell ref="P96:T96"/>
    <mergeCell ref="H17:H18"/>
    <mergeCell ref="P261:T261"/>
    <mergeCell ref="A66:Z66"/>
    <mergeCell ref="A19:Z19"/>
    <mergeCell ref="P310:T310"/>
    <mergeCell ref="A14:M14"/>
    <mergeCell ref="A111:Z111"/>
    <mergeCell ref="A280:O281"/>
    <mergeCell ref="T5:U5"/>
    <mergeCell ref="V5:W5"/>
    <mergeCell ref="D46:E46"/>
    <mergeCell ref="A295:O296"/>
    <mergeCell ref="Q8:R8"/>
    <mergeCell ref="P140:T140"/>
    <mergeCell ref="P267:T267"/>
    <mergeCell ref="D248:E248"/>
    <mergeCell ref="T6:U9"/>
    <mergeCell ref="J9:M9"/>
    <mergeCell ref="P56:V56"/>
    <mergeCell ref="A80:O81"/>
    <mergeCell ref="V6:W9"/>
    <mergeCell ref="H5:M5"/>
    <mergeCell ref="A27:Z27"/>
    <mergeCell ref="P98:T98"/>
    <mergeCell ref="D6:M6"/>
    <mergeCell ref="D304:E304"/>
    <mergeCell ref="P175:T175"/>
    <mergeCell ref="AH334:AH335"/>
    <mergeCell ref="D118:E118"/>
    <mergeCell ref="D9:E9"/>
    <mergeCell ref="F9:G9"/>
    <mergeCell ref="D167:E167"/>
    <mergeCell ref="D161:E161"/>
    <mergeCell ref="A272:O273"/>
    <mergeCell ref="P238:V238"/>
    <mergeCell ref="D38:E38"/>
    <mergeCell ref="A262:O263"/>
    <mergeCell ref="P303:T303"/>
    <mergeCell ref="A265:Z265"/>
    <mergeCell ref="A121:Z121"/>
    <mergeCell ref="A249:O250"/>
    <mergeCell ref="P75:V75"/>
    <mergeCell ref="P146:V146"/>
    <mergeCell ref="O334:O335"/>
    <mergeCell ref="D63:E63"/>
    <mergeCell ref="P181:V181"/>
    <mergeCell ref="P305:T305"/>
    <mergeCell ref="D96:E96"/>
    <mergeCell ref="P208:T208"/>
    <mergeCell ref="P15:T16"/>
    <mergeCell ref="D116:E116"/>
    <mergeCell ref="F334:F335"/>
    <mergeCell ref="A68:O69"/>
    <mergeCell ref="M334:M335"/>
    <mergeCell ref="A5:C5"/>
    <mergeCell ref="A110:Z110"/>
    <mergeCell ref="P64:V64"/>
    <mergeCell ref="P135:V135"/>
    <mergeCell ref="P51:V51"/>
    <mergeCell ref="D179:E179"/>
    <mergeCell ref="A17:A18"/>
    <mergeCell ref="P300:T300"/>
    <mergeCell ref="K17:K18"/>
    <mergeCell ref="C17:C18"/>
    <mergeCell ref="Y334:Y335"/>
    <mergeCell ref="D37:E37"/>
    <mergeCell ref="D180:E180"/>
    <mergeCell ref="A164:Z164"/>
    <mergeCell ref="D156:E156"/>
    <mergeCell ref="P308:T308"/>
    <mergeCell ref="D106:E106"/>
    <mergeCell ref="A146:O147"/>
    <mergeCell ref="P283:T283"/>
    <mergeCell ref="P277:T277"/>
    <mergeCell ref="A195:Z195"/>
    <mergeCell ref="A6:C6"/>
    <mergeCell ref="D309:E309"/>
    <mergeCell ref="A326:O331"/>
    <mergeCell ref="D113:E113"/>
    <mergeCell ref="P180:T180"/>
    <mergeCell ref="P118:T118"/>
    <mergeCell ref="P167:T167"/>
    <mergeCell ref="P117:T117"/>
    <mergeCell ref="A324:O325"/>
    <mergeCell ref="D311:E311"/>
    <mergeCell ref="D115:E115"/>
    <mergeCell ref="P55:T55"/>
    <mergeCell ref="P102:V102"/>
    <mergeCell ref="Q12:R12"/>
    <mergeCell ref="D261:E261"/>
    <mergeCell ref="D90:E90"/>
    <mergeCell ref="A251:Z251"/>
    <mergeCell ref="A322:Z322"/>
    <mergeCell ref="P122:T122"/>
    <mergeCell ref="A42:Z42"/>
    <mergeCell ref="P43:T43"/>
    <mergeCell ref="P65:V65"/>
    <mergeCell ref="P136:V136"/>
    <mergeCell ref="A135:O136"/>
    <mergeCell ref="AB334:AB335"/>
    <mergeCell ref="A171:Z171"/>
    <mergeCell ref="A165:Z165"/>
    <mergeCell ref="P192:T192"/>
    <mergeCell ref="D100:E100"/>
    <mergeCell ref="P113:T113"/>
    <mergeCell ref="A229:Z229"/>
    <mergeCell ref="P17:T18"/>
    <mergeCell ref="A77:Z77"/>
    <mergeCell ref="A148:Z148"/>
    <mergeCell ref="P63:T63"/>
    <mergeCell ref="P50:T50"/>
    <mergeCell ref="A166:Z166"/>
    <mergeCell ref="D31:E31"/>
    <mergeCell ref="P187:T187"/>
    <mergeCell ref="P223:T223"/>
    <mergeCell ref="I17:I18"/>
    <mergeCell ref="A319:O320"/>
    <mergeCell ref="D306:E306"/>
    <mergeCell ref="P176:V176"/>
    <mergeCell ref="A119:O120"/>
    <mergeCell ref="P287:T287"/>
    <mergeCell ref="G334:G335"/>
    <mergeCell ref="P203:V203"/>
    <mergeCell ref="E334:E335"/>
    <mergeCell ref="D224:E224"/>
    <mergeCell ref="A26:Z26"/>
    <mergeCell ref="A227:O228"/>
    <mergeCell ref="P97:T97"/>
    <mergeCell ref="P130:V130"/>
    <mergeCell ref="P190:V190"/>
    <mergeCell ref="D1:F1"/>
    <mergeCell ref="P47:T47"/>
    <mergeCell ref="A234:Z234"/>
    <mergeCell ref="J17:J18"/>
    <mergeCell ref="A91:O92"/>
    <mergeCell ref="P61:V61"/>
    <mergeCell ref="A85:O86"/>
    <mergeCell ref="L17:L18"/>
    <mergeCell ref="A184:Z184"/>
    <mergeCell ref="D72:E72"/>
    <mergeCell ref="P295:V295"/>
    <mergeCell ref="D235:E235"/>
    <mergeCell ref="Q9:R9"/>
    <mergeCell ref="P312:T312"/>
    <mergeCell ref="A159:Z159"/>
    <mergeCell ref="P78:T78"/>
    <mergeCell ref="Q11:R11"/>
    <mergeCell ref="H1:Q1"/>
    <mergeCell ref="P280:V280"/>
    <mergeCell ref="P109:V109"/>
    <mergeCell ref="D214:E214"/>
    <mergeCell ref="A286:Z286"/>
    <mergeCell ref="P193:V193"/>
    <mergeCell ref="P40:V40"/>
    <mergeCell ref="D28:E28"/>
    <mergeCell ref="D313:E313"/>
    <mergeCell ref="A76:Z76"/>
    <mergeCell ref="A108:O109"/>
    <mergeCell ref="D236:E236"/>
    <mergeCell ref="D117:E117"/>
    <mergeCell ref="D55:E55"/>
    <mergeCell ref="P242:T242"/>
    <mergeCell ref="D30:E30"/>
    <mergeCell ref="D67:E67"/>
    <mergeCell ref="D5:E5"/>
    <mergeCell ref="D303:E303"/>
    <mergeCell ref="A238:O239"/>
    <mergeCell ref="A32:O33"/>
    <mergeCell ref="P162:V162"/>
    <mergeCell ref="P177:V177"/>
    <mergeCell ref="P33:V33"/>
    <mergeCell ref="AI334:AI335"/>
    <mergeCell ref="D208:E208"/>
    <mergeCell ref="D8:M8"/>
    <mergeCell ref="D300:E300"/>
    <mergeCell ref="P44:T44"/>
    <mergeCell ref="P237:T237"/>
    <mergeCell ref="P108:V108"/>
    <mergeCell ref="P31:T31"/>
    <mergeCell ref="A291:Z291"/>
    <mergeCell ref="D139:E139"/>
    <mergeCell ref="R334:R335"/>
    <mergeCell ref="A241:Z241"/>
    <mergeCell ref="A70:Z70"/>
    <mergeCell ref="P95:T95"/>
    <mergeCell ref="AA334:AA335"/>
    <mergeCell ref="P182:V182"/>
    <mergeCell ref="H334:H335"/>
    <mergeCell ref="C333:T333"/>
    <mergeCell ref="U333:V333"/>
    <mergeCell ref="Z334:Z335"/>
    <mergeCell ref="P269:V269"/>
    <mergeCell ref="AC334:AC335"/>
    <mergeCell ref="A87:Z87"/>
    <mergeCell ref="D316:E316"/>
    <mergeCell ref="P330:V330"/>
    <mergeCell ref="A149:Z149"/>
    <mergeCell ref="A193:O194"/>
    <mergeCell ref="W17:W18"/>
    <mergeCell ref="P325:V325"/>
    <mergeCell ref="A321:Z321"/>
    <mergeCell ref="A144:Z144"/>
    <mergeCell ref="D7:M7"/>
    <mergeCell ref="P91:V91"/>
    <mergeCell ref="P236:T236"/>
    <mergeCell ref="D79:E79"/>
    <mergeCell ref="P327:V327"/>
    <mergeCell ref="D315:E315"/>
    <mergeCell ref="A209:O210"/>
    <mergeCell ref="D302:E302"/>
    <mergeCell ref="P173:T173"/>
    <mergeCell ref="P29:T29"/>
    <mergeCell ref="P271:T271"/>
    <mergeCell ref="P100:T100"/>
    <mergeCell ref="D145:E145"/>
    <mergeCell ref="A123:O124"/>
    <mergeCell ref="D308:E308"/>
    <mergeCell ref="A282:Z282"/>
    <mergeCell ref="D301:E301"/>
    <mergeCell ref="S334:S335"/>
    <mergeCell ref="P172:T172"/>
    <mergeCell ref="R1:T1"/>
    <mergeCell ref="P150:T150"/>
    <mergeCell ref="D71:E71"/>
    <mergeCell ref="P28:T28"/>
    <mergeCell ref="A74:O75"/>
    <mergeCell ref="D307:E307"/>
    <mergeCell ref="P215:T215"/>
    <mergeCell ref="D98:E98"/>
    <mergeCell ref="D73:E73"/>
    <mergeCell ref="P30:T30"/>
    <mergeCell ref="P141:V141"/>
    <mergeCell ref="A258:Z258"/>
    <mergeCell ref="P233:V233"/>
    <mergeCell ref="A58:Z58"/>
    <mergeCell ref="P168:V168"/>
    <mergeCell ref="B17:B18"/>
    <mergeCell ref="A266:Z266"/>
    <mergeCell ref="A197:Z197"/>
    <mergeCell ref="V10:W10"/>
    <mergeCell ref="P99:T99"/>
    <mergeCell ref="D287:E287"/>
    <mergeCell ref="P316:T316"/>
    <mergeCell ref="H9:I9"/>
    <mergeCell ref="D45:E45"/>
    <mergeCell ref="P24:V24"/>
    <mergeCell ref="P155:T155"/>
    <mergeCell ref="P324:V324"/>
    <mergeCell ref="A205:Z205"/>
    <mergeCell ref="D312:E312"/>
    <mergeCell ref="D78:E78"/>
    <mergeCell ref="P213:T213"/>
    <mergeCell ref="D134:E134"/>
    <mergeCell ref="P145:T145"/>
    <mergeCell ref="P232:V232"/>
    <mergeCell ref="D47:E47"/>
    <mergeCell ref="P116:T116"/>
    <mergeCell ref="D122:E122"/>
    <mergeCell ref="A162:O163"/>
    <mergeCell ref="D260:E260"/>
    <mergeCell ref="P263:V263"/>
    <mergeCell ref="A259:Z259"/>
    <mergeCell ref="A126:Z126"/>
    <mergeCell ref="A253:Z253"/>
    <mergeCell ref="P228:V228"/>
    <mergeCell ref="A53:Z53"/>
    <mergeCell ref="A12:M12"/>
    <mergeCell ref="P79:T79"/>
    <mergeCell ref="P73:T73"/>
    <mergeCell ref="P315:T315"/>
    <mergeCell ref="D187:E187"/>
    <mergeCell ref="P231:T231"/>
    <mergeCell ref="P302:T302"/>
    <mergeCell ref="D174:E174"/>
    <mergeCell ref="A83:Z83"/>
    <mergeCell ref="A34:Z34"/>
    <mergeCell ref="A276:Z276"/>
    <mergeCell ref="A270:Z270"/>
    <mergeCell ref="A240:Z240"/>
    <mergeCell ref="P243:V243"/>
    <mergeCell ref="P311:T311"/>
    <mergeCell ref="A104:Z104"/>
    <mergeCell ref="A297:Z297"/>
    <mergeCell ref="P189:V189"/>
    <mergeCell ref="A185:Z185"/>
    <mergeCell ref="P281:V281"/>
    <mergeCell ref="D226:E226"/>
    <mergeCell ref="P67:T67"/>
    <mergeCell ref="P119:V119"/>
    <mergeCell ref="D175:E175"/>
    <mergeCell ref="P186:T18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55 X59 X63 X67 X71:X73 X84 X89 X97 X99 X106:X107 X112 X122 X134 X145 X150 X155:X156 X161 X172 X175 X179:X180 X186:X188 X192 X201 X207 X213 X215:X217 X223 X225:X226 X231 X235:X237 X242 X247 X254 X267 X271 X298 X301:X302 X304 X306 X312 X314:X318 X32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46:X50 X78 X90 X95 X100 X105 X113 X116 X118 X133 X139 X167 X173:X174 X198:X200 X208 X214 X218 X224 X248 X261 X277:X279 X283 X288 X292 X294 X299:X300 X303 X305 X307:X311 X313" xr:uid="{00000000-0002-0000-0000-000012000000}">
      <formula1>IF(AK43&gt;0,OR(X43=0,AND(IF(X43-AK43&gt;=0,TRUE,FALSE),X43&gt;0,IF(X43/K43=ROUND(X43/K43,0),TRUE,FALSE))),FALSE)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:X45 X79 X96 X98 X114:X115 X117 X127:X128 X140 X206 X260 X287 X293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523</v>
      </c>
      <c r="H1" s="52"/>
    </row>
    <row r="3" spans="2:8" x14ac:dyDescent="0.2">
      <c r="B3" s="47" t="s">
        <v>524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525</v>
      </c>
      <c r="D6" s="47" t="s">
        <v>526</v>
      </c>
      <c r="E6" s="47"/>
    </row>
    <row r="8" spans="2:8" x14ac:dyDescent="0.2">
      <c r="B8" s="47" t="s">
        <v>19</v>
      </c>
      <c r="C8" s="47" t="s">
        <v>525</v>
      </c>
      <c r="D8" s="47"/>
      <c r="E8" s="47"/>
    </row>
    <row r="10" spans="2:8" x14ac:dyDescent="0.2">
      <c r="B10" s="47" t="s">
        <v>527</v>
      </c>
      <c r="C10" s="47"/>
      <c r="D10" s="47"/>
      <c r="E10" s="47"/>
    </row>
    <row r="11" spans="2:8" x14ac:dyDescent="0.2">
      <c r="B11" s="47" t="s">
        <v>528</v>
      </c>
      <c r="C11" s="47"/>
      <c r="D11" s="47"/>
      <c r="E11" s="47"/>
    </row>
    <row r="12" spans="2:8" x14ac:dyDescent="0.2">
      <c r="B12" s="47" t="s">
        <v>529</v>
      </c>
      <c r="C12" s="47"/>
      <c r="D12" s="47"/>
      <c r="E12" s="47"/>
    </row>
    <row r="13" spans="2:8" x14ac:dyDescent="0.2">
      <c r="B13" s="47" t="s">
        <v>530</v>
      </c>
      <c r="C13" s="47"/>
      <c r="D13" s="47"/>
      <c r="E13" s="47"/>
    </row>
    <row r="14" spans="2:8" x14ac:dyDescent="0.2">
      <c r="B14" s="47" t="s">
        <v>531</v>
      </c>
      <c r="C14" s="47"/>
      <c r="D14" s="47"/>
      <c r="E14" s="47"/>
    </row>
    <row r="15" spans="2:8" x14ac:dyDescent="0.2">
      <c r="B15" s="47" t="s">
        <v>532</v>
      </c>
      <c r="C15" s="47"/>
      <c r="D15" s="47"/>
      <c r="E15" s="47"/>
    </row>
    <row r="16" spans="2:8" x14ac:dyDescent="0.2">
      <c r="B16" s="47" t="s">
        <v>533</v>
      </c>
      <c r="C16" s="47"/>
      <c r="D16" s="47"/>
      <c r="E16" s="47"/>
    </row>
    <row r="17" spans="2:5" x14ac:dyDescent="0.2">
      <c r="B17" s="47" t="s">
        <v>534</v>
      </c>
      <c r="C17" s="47"/>
      <c r="D17" s="47"/>
      <c r="E17" s="47"/>
    </row>
    <row r="18" spans="2:5" x14ac:dyDescent="0.2">
      <c r="B18" s="47" t="s">
        <v>535</v>
      </c>
      <c r="C18" s="47"/>
      <c r="D18" s="47"/>
      <c r="E18" s="47"/>
    </row>
    <row r="19" spans="2:5" x14ac:dyDescent="0.2">
      <c r="B19" s="47" t="s">
        <v>536</v>
      </c>
      <c r="C19" s="47"/>
      <c r="D19" s="47"/>
      <c r="E19" s="47"/>
    </row>
    <row r="20" spans="2:5" x14ac:dyDescent="0.2">
      <c r="B20" s="47" t="s">
        <v>537</v>
      </c>
      <c r="C20" s="47"/>
      <c r="D20" s="47"/>
      <c r="E20" s="47"/>
    </row>
  </sheetData>
  <sheetProtection algorithmName="SHA-512" hashValue="VrXQxCuvfzqlKVrYjSUfTetnKGEEFuTJo5qA/MLN7walVWZuYZHB576fgV6rUkM/sVB244xeCSaRmmCodaPZig==" saltValue="KIo9jNd0qP5MNPmW4ERtX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2025-04-10T10:16:29Z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