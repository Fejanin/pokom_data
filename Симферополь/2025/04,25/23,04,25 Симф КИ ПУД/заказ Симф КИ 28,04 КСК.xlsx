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BEAAE5C0-5615-4107-AE62-63BC7F1EB4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Y583" i="1" s="1"/>
  <c r="X579" i="1"/>
  <c r="Y578" i="1"/>
  <c r="X578" i="1"/>
  <c r="BP577" i="1"/>
  <c r="BO577" i="1"/>
  <c r="BN577" i="1"/>
  <c r="BM577" i="1"/>
  <c r="Z577" i="1"/>
  <c r="Z578" i="1" s="1"/>
  <c r="Y577" i="1"/>
  <c r="AE602" i="1" s="1"/>
  <c r="X574" i="1"/>
  <c r="X573" i="1"/>
  <c r="BO572" i="1"/>
  <c r="BM572" i="1"/>
  <c r="Y572" i="1"/>
  <c r="BP572" i="1" s="1"/>
  <c r="BO571" i="1"/>
  <c r="BM571" i="1"/>
  <c r="Y571" i="1"/>
  <c r="BP571" i="1" s="1"/>
  <c r="BO570" i="1"/>
  <c r="BM570" i="1"/>
  <c r="Y570" i="1"/>
  <c r="BP570" i="1" s="1"/>
  <c r="BO569" i="1"/>
  <c r="BM569" i="1"/>
  <c r="Y569" i="1"/>
  <c r="Y574" i="1" s="1"/>
  <c r="X567" i="1"/>
  <c r="X566" i="1"/>
  <c r="BP565" i="1"/>
  <c r="BO565" i="1"/>
  <c r="BN565" i="1"/>
  <c r="BM565" i="1"/>
  <c r="Z565" i="1"/>
  <c r="Y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Z566" i="1" s="1"/>
  <c r="Y561" i="1"/>
  <c r="Y566" i="1" s="1"/>
  <c r="X559" i="1"/>
  <c r="X558" i="1"/>
  <c r="BO557" i="1"/>
  <c r="BM557" i="1"/>
  <c r="Y557" i="1"/>
  <c r="BP557" i="1" s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P552" i="1" s="1"/>
  <c r="BO551" i="1"/>
  <c r="BM551" i="1"/>
  <c r="Y551" i="1"/>
  <c r="X549" i="1"/>
  <c r="Y548" i="1"/>
  <c r="X548" i="1"/>
  <c r="BP547" i="1"/>
  <c r="BO547" i="1"/>
  <c r="BN547" i="1"/>
  <c r="BM547" i="1"/>
  <c r="Z547" i="1"/>
  <c r="Y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Z548" i="1" s="1"/>
  <c r="Y543" i="1"/>
  <c r="Y549" i="1" s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P535" i="1" s="1"/>
  <c r="BO534" i="1"/>
  <c r="BM534" i="1"/>
  <c r="Y534" i="1"/>
  <c r="BP534" i="1" s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Z529" i="1" s="1"/>
  <c r="Y527" i="1"/>
  <c r="Y530" i="1" s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Y524" i="1" s="1"/>
  <c r="P522" i="1"/>
  <c r="BP521" i="1"/>
  <c r="BO521" i="1"/>
  <c r="BN521" i="1"/>
  <c r="BM521" i="1"/>
  <c r="Z521" i="1"/>
  <c r="Y521" i="1"/>
  <c r="Y525" i="1" s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Y518" i="1" s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Y504" i="1" s="1"/>
  <c r="P499" i="1"/>
  <c r="X497" i="1"/>
  <c r="X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Y460" i="1" s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Y454" i="1" s="1"/>
  <c r="P452" i="1"/>
  <c r="BP451" i="1"/>
  <c r="BO451" i="1"/>
  <c r="BN451" i="1"/>
  <c r="BM451" i="1"/>
  <c r="Z451" i="1"/>
  <c r="Y451" i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2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X602" i="1" s="1"/>
  <c r="P403" i="1"/>
  <c r="X400" i="1"/>
  <c r="X399" i="1"/>
  <c r="BO398" i="1"/>
  <c r="BM398" i="1"/>
  <c r="Y398" i="1"/>
  <c r="Y400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85" i="1" s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Y326" i="1" s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Y262" i="1" s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4" i="1" s="1"/>
  <c r="P174" i="1"/>
  <c r="X172" i="1"/>
  <c r="X171" i="1"/>
  <c r="BO170" i="1"/>
  <c r="BM170" i="1"/>
  <c r="Y170" i="1"/>
  <c r="I602" i="1" s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2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6" i="1"/>
  <c r="Y29" i="1"/>
  <c r="C602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2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7" i="1"/>
  <c r="Y129" i="1"/>
  <c r="BP119" i="1"/>
  <c r="BN119" i="1"/>
  <c r="Z119" i="1"/>
  <c r="BP122" i="1"/>
  <c r="BN122" i="1"/>
  <c r="Z122" i="1"/>
  <c r="BP126" i="1"/>
  <c r="BN126" i="1"/>
  <c r="Z126" i="1"/>
  <c r="Y133" i="1"/>
  <c r="H9" i="1"/>
  <c r="Y28" i="1"/>
  <c r="Y55" i="1"/>
  <c r="BP120" i="1"/>
  <c r="BN120" i="1"/>
  <c r="Z120" i="1"/>
  <c r="BP123" i="1"/>
  <c r="BN123" i="1"/>
  <c r="Z123" i="1"/>
  <c r="Y128" i="1"/>
  <c r="BP132" i="1"/>
  <c r="BN132" i="1"/>
  <c r="Z132" i="1"/>
  <c r="Z133" i="1" s="1"/>
  <c r="Y134" i="1"/>
  <c r="G602" i="1"/>
  <c r="Y140" i="1"/>
  <c r="BP137" i="1"/>
  <c r="BN137" i="1"/>
  <c r="Z137" i="1"/>
  <c r="Z139" i="1" s="1"/>
  <c r="Y139" i="1"/>
  <c r="Y145" i="1"/>
  <c r="Y149" i="1"/>
  <c r="Y162" i="1"/>
  <c r="Y166" i="1"/>
  <c r="Y172" i="1"/>
  <c r="Y183" i="1"/>
  <c r="Y188" i="1"/>
  <c r="Y193" i="1"/>
  <c r="Y199" i="1"/>
  <c r="Y209" i="1"/>
  <c r="Y221" i="1"/>
  <c r="Y227" i="1"/>
  <c r="Y238" i="1"/>
  <c r="Y243" i="1"/>
  <c r="Y248" i="1"/>
  <c r="Y267" i="1"/>
  <c r="Y274" i="1"/>
  <c r="P602" i="1"/>
  <c r="Y282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Z143" i="1"/>
  <c r="Z144" i="1" s="1"/>
  <c r="BN143" i="1"/>
  <c r="Z147" i="1"/>
  <c r="Z149" i="1" s="1"/>
  <c r="BN147" i="1"/>
  <c r="BP147" i="1"/>
  <c r="H602" i="1"/>
  <c r="Y155" i="1"/>
  <c r="Z158" i="1"/>
  <c r="Z161" i="1" s="1"/>
  <c r="BN158" i="1"/>
  <c r="Z160" i="1"/>
  <c r="BN160" i="1"/>
  <c r="Z164" i="1"/>
  <c r="Z165" i="1" s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2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Y306" i="1"/>
  <c r="Y310" i="1"/>
  <c r="Y332" i="1"/>
  <c r="Y340" i="1"/>
  <c r="Y346" i="1"/>
  <c r="Y354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Z304" i="1"/>
  <c r="Z305" i="1" s="1"/>
  <c r="BN304" i="1"/>
  <c r="BP304" i="1"/>
  <c r="Y305" i="1"/>
  <c r="Z308" i="1"/>
  <c r="Z310" i="1" s="1"/>
  <c r="BN308" i="1"/>
  <c r="BP308" i="1"/>
  <c r="Y316" i="1"/>
  <c r="U602" i="1"/>
  <c r="Z320" i="1"/>
  <c r="Z325" i="1" s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Z340" i="1" s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Z398" i="1"/>
  <c r="Z399" i="1" s="1"/>
  <c r="BN398" i="1"/>
  <c r="BP398" i="1"/>
  <c r="Y399" i="1"/>
  <c r="Z403" i="1"/>
  <c r="Z408" i="1" s="1"/>
  <c r="BN403" i="1"/>
  <c r="BP403" i="1"/>
  <c r="Z405" i="1"/>
  <c r="BN405" i="1"/>
  <c r="Z407" i="1"/>
  <c r="BN407" i="1"/>
  <c r="Y408" i="1"/>
  <c r="Z411" i="1"/>
  <c r="Z413" i="1" s="1"/>
  <c r="BN411" i="1"/>
  <c r="BP411" i="1"/>
  <c r="Y414" i="1"/>
  <c r="Z418" i="1"/>
  <c r="Z421" i="1" s="1"/>
  <c r="BN418" i="1"/>
  <c r="BP418" i="1"/>
  <c r="Z420" i="1"/>
  <c r="BN420" i="1"/>
  <c r="Z430" i="1"/>
  <c r="BN430" i="1"/>
  <c r="BP430" i="1"/>
  <c r="Z431" i="1"/>
  <c r="BN431" i="1"/>
  <c r="Z432" i="1"/>
  <c r="BN432" i="1"/>
  <c r="Z433" i="1"/>
  <c r="BN433" i="1"/>
  <c r="Z434" i="1"/>
  <c r="BN434" i="1"/>
  <c r="Z436" i="1"/>
  <c r="BN436" i="1"/>
  <c r="Z439" i="1"/>
  <c r="BN439" i="1"/>
  <c r="Z441" i="1"/>
  <c r="BN441" i="1"/>
  <c r="Y442" i="1"/>
  <c r="Z445" i="1"/>
  <c r="Z447" i="1" s="1"/>
  <c r="BN445" i="1"/>
  <c r="BP445" i="1"/>
  <c r="Y448" i="1"/>
  <c r="Z602" i="1"/>
  <c r="Z452" i="1"/>
  <c r="Z453" i="1" s="1"/>
  <c r="BN452" i="1"/>
  <c r="BP452" i="1"/>
  <c r="Y453" i="1"/>
  <c r="Z457" i="1"/>
  <c r="Z460" i="1" s="1"/>
  <c r="BN457" i="1"/>
  <c r="BP457" i="1"/>
  <c r="Z458" i="1"/>
  <c r="BN458" i="1"/>
  <c r="Y467" i="1"/>
  <c r="Y472" i="1"/>
  <c r="AC602" i="1"/>
  <c r="Z481" i="1"/>
  <c r="Z496" i="1" s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Y503" i="1"/>
  <c r="Z512" i="1"/>
  <c r="Z518" i="1" s="1"/>
  <c r="BN512" i="1"/>
  <c r="Z515" i="1"/>
  <c r="BN515" i="1"/>
  <c r="Z516" i="1"/>
  <c r="BN516" i="1"/>
  <c r="Y519" i="1"/>
  <c r="Z522" i="1"/>
  <c r="Z524" i="1" s="1"/>
  <c r="BN522" i="1"/>
  <c r="BP522" i="1"/>
  <c r="Z534" i="1"/>
  <c r="BN534" i="1"/>
  <c r="Z535" i="1"/>
  <c r="BN535" i="1"/>
  <c r="BP536" i="1"/>
  <c r="BN536" i="1"/>
  <c r="Z536" i="1"/>
  <c r="BP538" i="1"/>
  <c r="BN538" i="1"/>
  <c r="Z538" i="1"/>
  <c r="Y409" i="1"/>
  <c r="Y443" i="1"/>
  <c r="Y497" i="1"/>
  <c r="AD602" i="1"/>
  <c r="Y540" i="1"/>
  <c r="BP537" i="1"/>
  <c r="BN537" i="1"/>
  <c r="Z537" i="1"/>
  <c r="BP539" i="1"/>
  <c r="BN539" i="1"/>
  <c r="Z539" i="1"/>
  <c r="Y541" i="1"/>
  <c r="Y559" i="1"/>
  <c r="Y558" i="1"/>
  <c r="BP551" i="1"/>
  <c r="BN551" i="1"/>
  <c r="Z551" i="1"/>
  <c r="Z552" i="1"/>
  <c r="BN552" i="1"/>
  <c r="Z553" i="1"/>
  <c r="BN553" i="1"/>
  <c r="Z554" i="1"/>
  <c r="BN554" i="1"/>
  <c r="Z555" i="1"/>
  <c r="BN555" i="1"/>
  <c r="Z556" i="1"/>
  <c r="BN556" i="1"/>
  <c r="Z557" i="1"/>
  <c r="BN557" i="1"/>
  <c r="Y567" i="1"/>
  <c r="Z569" i="1"/>
  <c r="BN569" i="1"/>
  <c r="BP569" i="1"/>
  <c r="Z570" i="1"/>
  <c r="BN570" i="1"/>
  <c r="Z571" i="1"/>
  <c r="BN571" i="1"/>
  <c r="Z572" i="1"/>
  <c r="BN572" i="1"/>
  <c r="Y573" i="1"/>
  <c r="Y579" i="1"/>
  <c r="Z581" i="1"/>
  <c r="Z582" i="1" s="1"/>
  <c r="BN581" i="1"/>
  <c r="BP581" i="1"/>
  <c r="Y582" i="1"/>
  <c r="Z589" i="1"/>
  <c r="Z590" i="1" s="1"/>
  <c r="BN589" i="1"/>
  <c r="BP589" i="1"/>
  <c r="Y590" i="1"/>
  <c r="Z370" i="1" l="1"/>
  <c r="Y596" i="1"/>
  <c r="Y593" i="1"/>
  <c r="Z573" i="1"/>
  <c r="Z558" i="1"/>
  <c r="Z540" i="1"/>
  <c r="Z503" i="1"/>
  <c r="Z442" i="1"/>
  <c r="Z385" i="1"/>
  <c r="Z353" i="1"/>
  <c r="Z209" i="1"/>
  <c r="Z183" i="1"/>
  <c r="Z128" i="1"/>
  <c r="Z55" i="1"/>
  <c r="Y592" i="1"/>
  <c r="Y594" i="1"/>
  <c r="Z28" i="1"/>
  <c r="Z597" i="1" s="1"/>
  <c r="Y595" i="1" l="1"/>
</calcChain>
</file>

<file path=xl/sharedStrings.xml><?xml version="1.0" encoding="utf-8"?>
<sst xmlns="http://schemas.openxmlformats.org/spreadsheetml/2006/main" count="2735" uniqueCount="969">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</sst>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0.375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230</v>
      </c>
      <c r="Y37" s="666">
        <f>IFERROR(IF(X37="",0,CEILING((X37/$H37),1)*$H37),"")</f>
        <v>237.60000000000002</v>
      </c>
      <c r="Z37" s="36">
        <f>IFERROR(IF(Y37=0,"",ROUNDUP(Y37/H37,0)*0.01898),"")</f>
        <v>0.41755999999999999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239.26388888888886</v>
      </c>
      <c r="BN37" s="64">
        <f>IFERROR(Y37*I37/H37,"0")</f>
        <v>247.17</v>
      </c>
      <c r="BO37" s="64">
        <f>IFERROR(1/J37*(X37/H37),"0")</f>
        <v>0.33275462962962959</v>
      </c>
      <c r="BP37" s="64">
        <f>IFERROR(1/J37*(Y37/H37),"0")</f>
        <v>0.34375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400</v>
      </c>
      <c r="Y38" s="666">
        <f>IFERROR(IF(X38="",0,CEILING((X38/$H38),1)*$H38),"")</f>
        <v>400</v>
      </c>
      <c r="Z38" s="36">
        <f>IFERROR(IF(Y38=0,"",ROUNDUP(Y38/H38,0)*0.00902),"")</f>
        <v>0.90200000000000002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421</v>
      </c>
      <c r="BN38" s="64">
        <f>IFERROR(Y38*I38/H38,"0")</f>
        <v>421</v>
      </c>
      <c r="BO38" s="64">
        <f>IFERROR(1/J38*(X38/H38),"0")</f>
        <v>0.75757575757575757</v>
      </c>
      <c r="BP38" s="64">
        <f>IFERROR(1/J38*(Y38/H38),"0")</f>
        <v>0.75757575757575757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121.29629629629629</v>
      </c>
      <c r="Y41" s="667">
        <f>IFERROR(Y37/H37,"0")+IFERROR(Y38/H38,"0")+IFERROR(Y39/H39,"0")+IFERROR(Y40/H40,"0")</f>
        <v>122</v>
      </c>
      <c r="Z41" s="667">
        <f>IFERROR(IF(Z37="",0,Z37),"0")+IFERROR(IF(Z38="",0,Z38),"0")+IFERROR(IF(Z39="",0,Z39),"0")+IFERROR(IF(Z40="",0,Z40),"0")</f>
        <v>1.3195600000000001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630</v>
      </c>
      <c r="Y42" s="667">
        <f>IFERROR(SUM(Y37:Y40),"0")</f>
        <v>637.6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400</v>
      </c>
      <c r="Y50" s="666">
        <f t="shared" si="6"/>
        <v>410.40000000000003</v>
      </c>
      <c r="Z50" s="36">
        <f>IFERROR(IF(Y50=0,"",ROUNDUP(Y50/H50,0)*0.01898),"")</f>
        <v>0.72123999999999999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416.11111111111109</v>
      </c>
      <c r="BN50" s="64">
        <f t="shared" si="8"/>
        <v>426.92999999999995</v>
      </c>
      <c r="BO50" s="64">
        <f t="shared" si="9"/>
        <v>0.57870370370370372</v>
      </c>
      <c r="BP50" s="64">
        <f t="shared" si="10"/>
        <v>0.59375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765</v>
      </c>
      <c r="Y54" s="666">
        <f t="shared" si="6"/>
        <v>765</v>
      </c>
      <c r="Z54" s="36">
        <f>IFERROR(IF(Y54=0,"",ROUNDUP(Y54/H54,0)*0.00902),"")</f>
        <v>1.5334000000000001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800.7</v>
      </c>
      <c r="BN54" s="64">
        <f t="shared" si="8"/>
        <v>800.7</v>
      </c>
      <c r="BO54" s="64">
        <f t="shared" si="9"/>
        <v>1.2878787878787878</v>
      </c>
      <c r="BP54" s="64">
        <f t="shared" si="10"/>
        <v>1.2878787878787878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207.03703703703704</v>
      </c>
      <c r="Y55" s="667">
        <f>IFERROR(Y49/H49,"0")+IFERROR(Y50/H50,"0")+IFERROR(Y51/H51,"0")+IFERROR(Y52/H52,"0")+IFERROR(Y53/H53,"0")+IFERROR(Y54/H54,"0")</f>
        <v>208</v>
      </c>
      <c r="Z55" s="667">
        <f>IFERROR(IF(Z49="",0,Z49),"0")+IFERROR(IF(Z50="",0,Z50),"0")+IFERROR(IF(Z51="",0,Z51),"0")+IFERROR(IF(Z52="",0,Z52),"0")+IFERROR(IF(Z53="",0,Z53),"0")+IFERROR(IF(Z54="",0,Z54),"0")</f>
        <v>2.2546400000000002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1165</v>
      </c>
      <c r="Y56" s="667">
        <f>IFERROR(SUM(Y49:Y54),"0")</f>
        <v>1175.4000000000001</v>
      </c>
      <c r="Z56" s="37"/>
      <c r="AA56" s="668"/>
      <c r="AB56" s="668"/>
      <c r="AC56" s="668"/>
    </row>
    <row r="57" spans="1:68" ht="14.25" customHeight="1" x14ac:dyDescent="0.25">
      <c r="A57" s="683" t="s">
        <v>136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20</v>
      </c>
      <c r="Y58" s="666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45</v>
      </c>
      <c r="Y61" s="666">
        <f>IFERROR(IF(X61="",0,CEILING((X61/$H61),1)*$H61),"")</f>
        <v>45.900000000000006</v>
      </c>
      <c r="Z61" s="36">
        <f>IFERROR(IF(Y61=0,"",ROUNDUP(Y61/H61,0)*0.00651),"")</f>
        <v>0.11067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47.999999999999993</v>
      </c>
      <c r="BN61" s="64">
        <f>IFERROR(Y61*I61/H61,"0")</f>
        <v>48.96</v>
      </c>
      <c r="BO61" s="64">
        <f>IFERROR(1/J61*(X61/H61),"0")</f>
        <v>9.1575091575091569E-2</v>
      </c>
      <c r="BP61" s="64">
        <f>IFERROR(1/J61*(Y61/H61),"0")</f>
        <v>9.3406593406593408E-2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18.518518518518515</v>
      </c>
      <c r="Y62" s="667">
        <f>IFERROR(Y58/H58,"0")+IFERROR(Y59/H59,"0")+IFERROR(Y60/H60,"0")+IFERROR(Y61/H61,"0")</f>
        <v>19</v>
      </c>
      <c r="Z62" s="667">
        <f>IFERROR(IF(Z58="",0,Z58),"0")+IFERROR(IF(Z59="",0,Z59),"0")+IFERROR(IF(Z60="",0,Z60),"0")+IFERROR(IF(Z61="",0,Z61),"0")</f>
        <v>0.14863000000000001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65</v>
      </c>
      <c r="Y63" s="667">
        <f>IFERROR(SUM(Y58:Y61),"0")</f>
        <v>67.5</v>
      </c>
      <c r="Z63" s="37"/>
      <c r="AA63" s="668"/>
      <c r="AB63" s="668"/>
      <c r="AC63" s="668"/>
    </row>
    <row r="64" spans="1:68" ht="14.25" customHeight="1" x14ac:dyDescent="0.25">
      <c r="A64" s="683" t="s">
        <v>147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173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9">
        <v>4680115881532</v>
      </c>
      <c r="E80" s="670"/>
      <c r="F80" s="664">
        <v>1.3</v>
      </c>
      <c r="G80" s="32">
        <v>6</v>
      </c>
      <c r="H80" s="664">
        <v>7.8</v>
      </c>
      <c r="I80" s="664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9">
        <v>4680115881532</v>
      </c>
      <c r="E81" s="670"/>
      <c r="F81" s="664">
        <v>1.4</v>
      </c>
      <c r="G81" s="32">
        <v>6</v>
      </c>
      <c r="H81" s="664">
        <v>8.4</v>
      </c>
      <c r="I81" s="664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50</v>
      </c>
      <c r="Y81" s="666">
        <f>IFERROR(IF(X81="",0,CEILING((X81/$H81),1)*$H81),"")</f>
        <v>50.400000000000006</v>
      </c>
      <c r="Z81" s="36">
        <f>IFERROR(IF(Y81=0,"",ROUNDUP(Y81/H81,0)*0.01898),"")</f>
        <v>0.11388000000000001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53.089285714285715</v>
      </c>
      <c r="BN81" s="64">
        <f>IFERROR(Y81*I81/H81,"0")</f>
        <v>53.514000000000003</v>
      </c>
      <c r="BO81" s="64">
        <f>IFERROR(1/J81*(X81/H81),"0")</f>
        <v>9.3005952380952384E-2</v>
      </c>
      <c r="BP81" s="64">
        <f>IFERROR(1/J81*(Y81/H81),"0")</f>
        <v>9.375E-2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5.9523809523809526</v>
      </c>
      <c r="Y83" s="667">
        <f>IFERROR(Y80/H80,"0")+IFERROR(Y81/H81,"0")+IFERROR(Y82/H82,"0")</f>
        <v>6</v>
      </c>
      <c r="Z83" s="667">
        <f>IFERROR(IF(Z80="",0,Z80),"0")+IFERROR(IF(Z81="",0,Z81),"0")+IFERROR(IF(Z82="",0,Z82),"0")</f>
        <v>0.11388000000000001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50</v>
      </c>
      <c r="Y84" s="667">
        <f>IFERROR(SUM(Y80:Y82),"0")</f>
        <v>50.400000000000006</v>
      </c>
      <c r="Z84" s="37"/>
      <c r="AA84" s="668"/>
      <c r="AB84" s="668"/>
      <c r="AC84" s="668"/>
    </row>
    <row r="85" spans="1:68" ht="16.5" customHeight="1" x14ac:dyDescent="0.25">
      <c r="A85" s="718" t="s">
        <v>181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250</v>
      </c>
      <c r="Y87" s="666">
        <f>IFERROR(IF(X87="",0,CEILING((X87/$H87),1)*$H87),"")</f>
        <v>259.20000000000005</v>
      </c>
      <c r="Z87" s="36">
        <f>IFERROR(IF(Y87=0,"",ROUNDUP(Y87/H87,0)*0.01898),"")</f>
        <v>0.45552000000000004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260.0694444444444</v>
      </c>
      <c r="BN87" s="64">
        <f>IFERROR(Y87*I87/H87,"0")</f>
        <v>269.64000000000004</v>
      </c>
      <c r="BO87" s="64">
        <f>IFERROR(1/J87*(X87/H87),"0")</f>
        <v>0.36168981481481477</v>
      </c>
      <c r="BP87" s="64">
        <f>IFERROR(1/J87*(Y87/H87),"0")</f>
        <v>0.37500000000000006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23.148148148148145</v>
      </c>
      <c r="Y90" s="667">
        <f>IFERROR(Y87/H87,"0")+IFERROR(Y88/H88,"0")+IFERROR(Y89/H89,"0")</f>
        <v>24.000000000000004</v>
      </c>
      <c r="Z90" s="667">
        <f>IFERROR(IF(Z87="",0,Z87),"0")+IFERROR(IF(Z88="",0,Z88),"0")+IFERROR(IF(Z89="",0,Z89),"0")</f>
        <v>0.45552000000000004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250</v>
      </c>
      <c r="Y91" s="667">
        <f>IFERROR(SUM(Y87:Y89),"0")</f>
        <v>259.20000000000005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60</v>
      </c>
      <c r="Y93" s="666">
        <f t="shared" ref="Y93:Y101" si="16">IFERROR(IF(X93="",0,CEILING((X93/$H93),1)*$H93),"")</f>
        <v>67.2</v>
      </c>
      <c r="Z93" s="36">
        <f>IFERROR(IF(Y93=0,"",ROUNDUP(Y93/H93,0)*0.01898),"")</f>
        <v>0.15184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63.707142857142856</v>
      </c>
      <c r="BN93" s="64">
        <f t="shared" ref="BN93:BN101" si="18">IFERROR(Y93*I93/H93,"0")</f>
        <v>71.352000000000004</v>
      </c>
      <c r="BO93" s="64">
        <f t="shared" ref="BO93:BO101" si="19">IFERROR(1/J93*(X93/H93),"0")</f>
        <v>0.11160714285714285</v>
      </c>
      <c r="BP93" s="64">
        <f t="shared" ref="BP93:BP101" si="20">IFERROR(1/J93*(Y93/H93),"0")</f>
        <v>0.125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3" t="s">
        <v>195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199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201</v>
      </c>
      <c r="B97" s="54" t="s">
        <v>202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72" t="s">
        <v>203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205</v>
      </c>
      <c r="Q98" s="672"/>
      <c r="R98" s="672"/>
      <c r="S98" s="672"/>
      <c r="T98" s="673"/>
      <c r="U98" s="34"/>
      <c r="V98" s="34"/>
      <c r="W98" s="35" t="s">
        <v>69</v>
      </c>
      <c r="X98" s="665">
        <v>135</v>
      </c>
      <c r="Y98" s="666">
        <f t="shared" si="16"/>
        <v>135</v>
      </c>
      <c r="Z98" s="36">
        <f>IFERROR(IF(Y98=0,"",ROUNDUP(Y98/H98,0)*0.00651),"")</f>
        <v>0.32550000000000001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147.6</v>
      </c>
      <c r="BN98" s="64">
        <f t="shared" si="18"/>
        <v>147.6</v>
      </c>
      <c r="BO98" s="64">
        <f t="shared" si="19"/>
        <v>0.27472527472527475</v>
      </c>
      <c r="BP98" s="64">
        <f t="shared" si="20"/>
        <v>0.27472527472527475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57.142857142857139</v>
      </c>
      <c r="Y102" s="667">
        <f>IFERROR(Y93/H93,"0")+IFERROR(Y94/H94,"0")+IFERROR(Y95/H95,"0")+IFERROR(Y96/H96,"0")+IFERROR(Y97/H97,"0")+IFERROR(Y98/H98,"0")+IFERROR(Y99/H99,"0")+IFERROR(Y100/H100,"0")+IFERROR(Y101/H101,"0")</f>
        <v>58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0.47733999999999999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195</v>
      </c>
      <c r="Y103" s="667">
        <f>IFERROR(SUM(Y93:Y101),"0")</f>
        <v>202.2</v>
      </c>
      <c r="Z103" s="37"/>
      <c r="AA103" s="668"/>
      <c r="AB103" s="668"/>
      <c r="AC103" s="668"/>
    </row>
    <row r="104" spans="1:68" ht="16.5" customHeight="1" x14ac:dyDescent="0.25">
      <c r="A104" s="718" t="s">
        <v>212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90</v>
      </c>
      <c r="Y106" s="666">
        <f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93.624999999999986</v>
      </c>
      <c r="BN106" s="64">
        <f>IFERROR(Y106*I106/H106,"0")</f>
        <v>101.11499999999998</v>
      </c>
      <c r="BO106" s="64">
        <f>IFERROR(1/J106*(X106/H106),"0")</f>
        <v>0.13020833333333331</v>
      </c>
      <c r="BP106" s="64">
        <f>IFERROR(1/J106*(Y106/H106),"0")</f>
        <v>0.140625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135</v>
      </c>
      <c r="Y108" s="666">
        <f>IFERROR(IF(X108="",0,CEILING((X108/$H108),1)*$H108),"")</f>
        <v>135</v>
      </c>
      <c r="Z108" s="36">
        <f>IFERROR(IF(Y108=0,"",ROUNDUP(Y108/H108,0)*0.00902),"")</f>
        <v>0.27060000000000001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141.30000000000001</v>
      </c>
      <c r="BN108" s="64">
        <f>IFERROR(Y108*I108/H108,"0")</f>
        <v>141.30000000000001</v>
      </c>
      <c r="BO108" s="64">
        <f>IFERROR(1/J108*(X108/H108),"0")</f>
        <v>0.22727272727272729</v>
      </c>
      <c r="BP108" s="64">
        <f>IFERROR(1/J108*(Y108/H108),"0")</f>
        <v>0.22727272727272729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38.333333333333329</v>
      </c>
      <c r="Y110" s="667">
        <f>IFERROR(Y106/H106,"0")+IFERROR(Y107/H107,"0")+IFERROR(Y108/H108,"0")+IFERROR(Y109/H109,"0")</f>
        <v>39</v>
      </c>
      <c r="Z110" s="667">
        <f>IFERROR(IF(Z106="",0,Z106),"0")+IFERROR(IF(Z107="",0,Z107),"0")+IFERROR(IF(Z108="",0,Z108),"0")+IFERROR(IF(Z109="",0,Z109),"0")</f>
        <v>0.44142000000000003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225</v>
      </c>
      <c r="Y111" s="667">
        <f>IFERROR(SUM(Y106:Y109),"0")</f>
        <v>232.2</v>
      </c>
      <c r="Z111" s="37"/>
      <c r="AA111" s="668"/>
      <c r="AB111" s="668"/>
      <c r="AC111" s="668"/>
    </row>
    <row r="112" spans="1:68" ht="14.25" customHeight="1" x14ac:dyDescent="0.25">
      <c r="A112" s="683" t="s">
        <v>136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9" t="s">
        <v>233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200</v>
      </c>
      <c r="Y121" s="666">
        <f t="shared" si="21"/>
        <v>201.60000000000002</v>
      </c>
      <c r="Z121" s="36">
        <f>IFERROR(IF(Y121=0,"",ROUNDUP(Y121/H121,0)*0.01898),"")</f>
        <v>0.45552000000000004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212.21428571428572</v>
      </c>
      <c r="BN121" s="64">
        <f t="shared" si="23"/>
        <v>213.91200000000001</v>
      </c>
      <c r="BO121" s="64">
        <f t="shared" si="24"/>
        <v>0.37202380952380953</v>
      </c>
      <c r="BP121" s="64">
        <f t="shared" si="25"/>
        <v>0.375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7" t="s">
        <v>240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90</v>
      </c>
      <c r="Y124" s="666">
        <f t="shared" si="21"/>
        <v>91.800000000000011</v>
      </c>
      <c r="Z124" s="36">
        <f t="shared" si="26"/>
        <v>0.22134000000000001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98.399999999999991</v>
      </c>
      <c r="BN124" s="64">
        <f t="shared" si="23"/>
        <v>100.36799999999999</v>
      </c>
      <c r="BO124" s="64">
        <f t="shared" si="24"/>
        <v>0.18315018315018314</v>
      </c>
      <c r="BP124" s="64">
        <f t="shared" si="25"/>
        <v>0.18681318681318682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9</v>
      </c>
      <c r="Y126" s="666">
        <f t="shared" si="21"/>
        <v>9</v>
      </c>
      <c r="Z126" s="36">
        <f t="shared" si="26"/>
        <v>3.2550000000000003E-2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9.9</v>
      </c>
      <c r="BN126" s="64">
        <f t="shared" si="23"/>
        <v>9.9</v>
      </c>
      <c r="BO126" s="64">
        <f t="shared" si="24"/>
        <v>2.7472527472527476E-2</v>
      </c>
      <c r="BP126" s="64">
        <f t="shared" si="25"/>
        <v>2.7472527472527476E-2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62.142857142857139</v>
      </c>
      <c r="Y128" s="667">
        <f>IFERROR(Y119/H119,"0")+IFERROR(Y120/H120,"0")+IFERROR(Y121/H121,"0")+IFERROR(Y122/H122,"0")+IFERROR(Y123/H123,"0")+IFERROR(Y124/H124,"0")+IFERROR(Y125/H125,"0")+IFERROR(Y126/H126,"0")+IFERROR(Y127/H127,"0")</f>
        <v>63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0.70940999999999999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299</v>
      </c>
      <c r="Y129" s="667">
        <f>IFERROR(SUM(Y119:Y127),"0")</f>
        <v>302.40000000000003</v>
      </c>
      <c r="Z129" s="37"/>
      <c r="AA129" s="668"/>
      <c r="AB129" s="668"/>
      <c r="AC129" s="668"/>
    </row>
    <row r="130" spans="1:68" ht="14.25" customHeight="1" x14ac:dyDescent="0.25">
      <c r="A130" s="683" t="s">
        <v>173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257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24</v>
      </c>
      <c r="Y138" s="666">
        <f>IFERROR(IF(X138="",0,CEILING((X138/$H138),1)*$H138),"")</f>
        <v>25.6</v>
      </c>
      <c r="Z138" s="36">
        <f>IFERROR(IF(Y138=0,"",ROUNDUP(Y138/H138,0)*0.00651),"")</f>
        <v>5.2080000000000001E-2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25.35</v>
      </c>
      <c r="BN138" s="64">
        <f>IFERROR(Y138*I138/H138,"0")</f>
        <v>27.04</v>
      </c>
      <c r="BO138" s="64">
        <f>IFERROR(1/J138*(X138/H138),"0")</f>
        <v>4.1208791208791215E-2</v>
      </c>
      <c r="BP138" s="64">
        <f>IFERROR(1/J138*(Y138/H138),"0")</f>
        <v>4.3956043956043959E-2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7.5</v>
      </c>
      <c r="Y139" s="667">
        <f>IFERROR(Y137/H137,"0")+IFERROR(Y138/H138,"0")</f>
        <v>8</v>
      </c>
      <c r="Z139" s="667">
        <f>IFERROR(IF(Z137="",0,Z137),"0")+IFERROR(IF(Z138="",0,Z138),"0")</f>
        <v>5.2080000000000001E-2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24</v>
      </c>
      <c r="Y140" s="667">
        <f>IFERROR(SUM(Y137:Y138),"0")</f>
        <v>25.6</v>
      </c>
      <c r="Z140" s="37"/>
      <c r="AA140" s="668"/>
      <c r="AB140" s="668"/>
      <c r="AC140" s="668"/>
    </row>
    <row r="141" spans="1:68" ht="14.25" customHeight="1" x14ac:dyDescent="0.25">
      <c r="A141" s="683" t="s">
        <v>147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42</v>
      </c>
      <c r="Y142" s="666">
        <f>IFERROR(IF(X142="",0,CEILING((X142/$H142),1)*$H142),"")</f>
        <v>42</v>
      </c>
      <c r="Z142" s="36">
        <f>IFERROR(IF(Y142=0,"",ROUNDUP(Y142/H142,0)*0.00651),"")</f>
        <v>9.7650000000000001E-2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46.02</v>
      </c>
      <c r="BN142" s="64">
        <f>IFERROR(Y142*I142/H142,"0")</f>
        <v>46.02</v>
      </c>
      <c r="BO142" s="64">
        <f>IFERROR(1/J142*(X142/H142),"0")</f>
        <v>8.241758241758243E-2</v>
      </c>
      <c r="BP142" s="64">
        <f>IFERROR(1/J142*(Y142/H142),"0")</f>
        <v>8.241758241758243E-2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15.000000000000002</v>
      </c>
      <c r="Y144" s="667">
        <f>IFERROR(Y142/H142,"0")+IFERROR(Y143/H143,"0")</f>
        <v>15.000000000000002</v>
      </c>
      <c r="Z144" s="667">
        <f>IFERROR(IF(Z142="",0,Z142),"0")+IFERROR(IF(Z143="",0,Z143),"0")</f>
        <v>9.7650000000000001E-2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42</v>
      </c>
      <c r="Y145" s="667">
        <f>IFERROR(SUM(Y142:Y143),"0")</f>
        <v>42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115.5</v>
      </c>
      <c r="Y148" s="666">
        <f>IFERROR(IF(X148="",0,CEILING((X148/$H148),1)*$H148),"")</f>
        <v>116.16000000000001</v>
      </c>
      <c r="Z148" s="36">
        <f>IFERROR(IF(Y148=0,"",ROUNDUP(Y148/H148,0)*0.00651),"")</f>
        <v>0.28644000000000003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127.22499999999998</v>
      </c>
      <c r="BN148" s="64">
        <f>IFERROR(Y148*I148/H148,"0")</f>
        <v>127.95200000000001</v>
      </c>
      <c r="BO148" s="64">
        <f>IFERROR(1/J148*(X148/H148),"0")</f>
        <v>0.24038461538461539</v>
      </c>
      <c r="BP148" s="64">
        <f>IFERROR(1/J148*(Y148/H148),"0")</f>
        <v>0.24175824175824179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43.75</v>
      </c>
      <c r="Y149" s="667">
        <f>IFERROR(Y147/H147,"0")+IFERROR(Y148/H148,"0")</f>
        <v>44</v>
      </c>
      <c r="Z149" s="667">
        <f>IFERROR(IF(Z147="",0,Z147),"0")+IFERROR(IF(Z148="",0,Z148),"0")</f>
        <v>0.28644000000000003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115.5</v>
      </c>
      <c r="Y150" s="667">
        <f>IFERROR(SUM(Y147:Y148),"0")</f>
        <v>116.16000000000001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147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286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287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136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147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20</v>
      </c>
      <c r="Y175" s="666">
        <f t="shared" si="27"/>
        <v>21</v>
      </c>
      <c r="Z175" s="36">
        <f>IFERROR(IF(Y175=0,"",ROUNDUP(Y175/H175,0)*0.00902),"")</f>
        <v>4.5100000000000001E-2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21.285714285714281</v>
      </c>
      <c r="BN175" s="64">
        <f t="shared" si="29"/>
        <v>22.349999999999998</v>
      </c>
      <c r="BO175" s="64">
        <f t="shared" si="30"/>
        <v>3.6075036075036072E-2</v>
      </c>
      <c r="BP175" s="64">
        <f t="shared" si="31"/>
        <v>3.787878787878788E-2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90</v>
      </c>
      <c r="Y176" s="666">
        <f t="shared" si="27"/>
        <v>92.4</v>
      </c>
      <c r="Z176" s="36">
        <f>IFERROR(IF(Y176=0,"",ROUNDUP(Y176/H176,0)*0.00902),"")</f>
        <v>0.19844000000000001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94.5</v>
      </c>
      <c r="BN176" s="64">
        <f t="shared" si="29"/>
        <v>97.02000000000001</v>
      </c>
      <c r="BO176" s="64">
        <f t="shared" si="30"/>
        <v>0.16233766233766234</v>
      </c>
      <c r="BP176" s="64">
        <f t="shared" si="31"/>
        <v>0.16666666666666669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210</v>
      </c>
      <c r="Y177" s="666">
        <f t="shared" si="27"/>
        <v>210</v>
      </c>
      <c r="Z177" s="36">
        <f>IFERROR(IF(Y177=0,"",ROUNDUP(Y177/H177,0)*0.00502),"")</f>
        <v>0.502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223</v>
      </c>
      <c r="BN177" s="64">
        <f t="shared" si="29"/>
        <v>223</v>
      </c>
      <c r="BO177" s="64">
        <f t="shared" si="30"/>
        <v>0.42735042735042739</v>
      </c>
      <c r="BP177" s="64">
        <f t="shared" si="31"/>
        <v>0.42735042735042739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49</v>
      </c>
      <c r="Y178" s="666">
        <f t="shared" si="27"/>
        <v>50.400000000000006</v>
      </c>
      <c r="Z178" s="36">
        <f>IFERROR(IF(Y178=0,"",ROUNDUP(Y178/H178,0)*0.00502),"")</f>
        <v>0.12048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52.033333333333331</v>
      </c>
      <c r="BN178" s="64">
        <f t="shared" si="29"/>
        <v>53.52</v>
      </c>
      <c r="BO178" s="64">
        <f t="shared" si="30"/>
        <v>9.9715099715099717E-2</v>
      </c>
      <c r="BP178" s="64">
        <f t="shared" si="31"/>
        <v>0.10256410256410257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7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105</v>
      </c>
      <c r="Y180" s="666">
        <f t="shared" si="27"/>
        <v>105</v>
      </c>
      <c r="Z180" s="36">
        <f>IFERROR(IF(Y180=0,"",ROUNDUP(Y180/H180,0)*0.00502),"")</f>
        <v>0.251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110.00000000000001</v>
      </c>
      <c r="BN180" s="64">
        <f t="shared" si="29"/>
        <v>110.00000000000001</v>
      </c>
      <c r="BO180" s="64">
        <f t="shared" si="30"/>
        <v>0.21367521367521369</v>
      </c>
      <c r="BP180" s="64">
        <f t="shared" si="31"/>
        <v>0.21367521367521369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199.52380952380952</v>
      </c>
      <c r="Y183" s="667">
        <f>IFERROR(Y174/H174,"0")+IFERROR(Y175/H175,"0")+IFERROR(Y176/H176,"0")+IFERROR(Y177/H177,"0")+IFERROR(Y178/H178,"0")+IFERROR(Y179/H179,"0")+IFERROR(Y180/H180,"0")+IFERROR(Y181/H181,"0")+IFERROR(Y182/H182,"0")</f>
        <v>201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1.1170200000000001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474</v>
      </c>
      <c r="Y184" s="667">
        <f>IFERROR(SUM(Y174:Y182),"0")</f>
        <v>478.79999999999995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7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320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321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322</v>
      </c>
      <c r="B191" s="54" t="s">
        <v>323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324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136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327</v>
      </c>
      <c r="B196" s="54" t="s">
        <v>328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329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329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147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334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337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340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343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105</v>
      </c>
      <c r="Y205" s="666">
        <f t="shared" si="32"/>
        <v>106.2</v>
      </c>
      <c r="Z205" s="36">
        <f>IFERROR(IF(Y205=0,"",ROUNDUP(Y205/H205,0)*0.00502),"")</f>
        <v>0.29618</v>
      </c>
      <c r="AA205" s="56"/>
      <c r="AB205" s="57"/>
      <c r="AC205" s="259" t="s">
        <v>334</v>
      </c>
      <c r="AG205" s="64"/>
      <c r="AJ205" s="68"/>
      <c r="AK205" s="68">
        <v>0</v>
      </c>
      <c r="BB205" s="260" t="s">
        <v>1</v>
      </c>
      <c r="BM205" s="64">
        <f t="shared" si="33"/>
        <v>112.58333333333333</v>
      </c>
      <c r="BN205" s="64">
        <f t="shared" si="34"/>
        <v>113.87</v>
      </c>
      <c r="BO205" s="64">
        <f t="shared" si="35"/>
        <v>0.2492877492877493</v>
      </c>
      <c r="BP205" s="64">
        <f t="shared" si="36"/>
        <v>0.25213675213675218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78</v>
      </c>
      <c r="Y206" s="666">
        <f t="shared" si="32"/>
        <v>79.2</v>
      </c>
      <c r="Z206" s="36">
        <f>IFERROR(IF(Y206=0,"",ROUNDUP(Y206/H206,0)*0.00502),"")</f>
        <v>0.22088000000000002</v>
      </c>
      <c r="AA206" s="56"/>
      <c r="AB206" s="57"/>
      <c r="AC206" s="261" t="s">
        <v>337</v>
      </c>
      <c r="AG206" s="64"/>
      <c r="AJ206" s="68"/>
      <c r="AK206" s="68">
        <v>0</v>
      </c>
      <c r="BB206" s="262" t="s">
        <v>1</v>
      </c>
      <c r="BM206" s="64">
        <f t="shared" si="33"/>
        <v>82.333333333333329</v>
      </c>
      <c r="BN206" s="64">
        <f t="shared" si="34"/>
        <v>83.6</v>
      </c>
      <c r="BO206" s="64">
        <f t="shared" si="35"/>
        <v>0.1851851851851852</v>
      </c>
      <c r="BP206" s="64">
        <f t="shared" si="36"/>
        <v>0.18803418803418806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111</v>
      </c>
      <c r="Y207" s="666">
        <f t="shared" si="32"/>
        <v>111.60000000000001</v>
      </c>
      <c r="Z207" s="36">
        <f>IFERROR(IF(Y207=0,"",ROUNDUP(Y207/H207,0)*0.00502),"")</f>
        <v>0.31124000000000002</v>
      </c>
      <c r="AA207" s="56"/>
      <c r="AB207" s="57"/>
      <c r="AC207" s="263" t="s">
        <v>340</v>
      </c>
      <c r="AG207" s="64"/>
      <c r="AJ207" s="68"/>
      <c r="AK207" s="68">
        <v>0</v>
      </c>
      <c r="BB207" s="264" t="s">
        <v>1</v>
      </c>
      <c r="BM207" s="64">
        <f t="shared" si="33"/>
        <v>117.16666666666666</v>
      </c>
      <c r="BN207" s="64">
        <f t="shared" si="34"/>
        <v>117.80000000000001</v>
      </c>
      <c r="BO207" s="64">
        <f t="shared" si="35"/>
        <v>0.26353276353276356</v>
      </c>
      <c r="BP207" s="64">
        <f t="shared" si="36"/>
        <v>0.26495726495726496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108</v>
      </c>
      <c r="Y208" s="666">
        <f t="shared" si="32"/>
        <v>108</v>
      </c>
      <c r="Z208" s="36">
        <f>IFERROR(IF(Y208=0,"",ROUNDUP(Y208/H208,0)*0.00502),"")</f>
        <v>0.30120000000000002</v>
      </c>
      <c r="AA208" s="56"/>
      <c r="AB208" s="57"/>
      <c r="AC208" s="265" t="s">
        <v>343</v>
      </c>
      <c r="AG208" s="64"/>
      <c r="AJ208" s="68"/>
      <c r="AK208" s="68">
        <v>0</v>
      </c>
      <c r="BB208" s="266" t="s">
        <v>1</v>
      </c>
      <c r="BM208" s="64">
        <f t="shared" si="33"/>
        <v>113.99999999999999</v>
      </c>
      <c r="BN208" s="64">
        <f t="shared" si="34"/>
        <v>113.99999999999999</v>
      </c>
      <c r="BO208" s="64">
        <f t="shared" si="35"/>
        <v>0.25641025641025644</v>
      </c>
      <c r="BP208" s="64">
        <f t="shared" si="36"/>
        <v>0.25641025641025644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223.33333333333331</v>
      </c>
      <c r="Y209" s="667">
        <f>IFERROR(Y201/H201,"0")+IFERROR(Y202/H202,"0")+IFERROR(Y203/H203,"0")+IFERROR(Y204/H204,"0")+IFERROR(Y205/H205,"0")+IFERROR(Y206/H206,"0")+IFERROR(Y207/H207,"0")+IFERROR(Y208/H208,"0")</f>
        <v>225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1.1295000000000002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402</v>
      </c>
      <c r="Y210" s="667">
        <f>IFERROR(SUM(Y201:Y208),"0")</f>
        <v>405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354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357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358</v>
      </c>
      <c r="B214" s="54" t="s">
        <v>359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120</v>
      </c>
      <c r="Y214" s="666">
        <f t="shared" si="37"/>
        <v>121.79999999999998</v>
      </c>
      <c r="Z214" s="36">
        <f>IFERROR(IF(Y214=0,"",ROUNDUP(Y214/H214,0)*0.01898),"")</f>
        <v>0.26572000000000001</v>
      </c>
      <c r="AA214" s="56"/>
      <c r="AB214" s="57"/>
      <c r="AC214" s="271" t="s">
        <v>360</v>
      </c>
      <c r="AG214" s="64"/>
      <c r="AJ214" s="68"/>
      <c r="AK214" s="68">
        <v>0</v>
      </c>
      <c r="BB214" s="272" t="s">
        <v>1</v>
      </c>
      <c r="BM214" s="64">
        <f t="shared" si="38"/>
        <v>127.15862068965518</v>
      </c>
      <c r="BN214" s="64">
        <f t="shared" si="39"/>
        <v>129.06599999999997</v>
      </c>
      <c r="BO214" s="64">
        <f t="shared" si="40"/>
        <v>0.21551724137931036</v>
      </c>
      <c r="BP214" s="64">
        <f t="shared" si="41"/>
        <v>0.21875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44</v>
      </c>
      <c r="Y215" s="666">
        <f t="shared" si="37"/>
        <v>45.6</v>
      </c>
      <c r="Z215" s="36">
        <f t="shared" ref="Z215:Z220" si="42">IFERROR(IF(Y215=0,"",ROUNDUP(Y215/H215,0)*0.00651),"")</f>
        <v>0.12369000000000001</v>
      </c>
      <c r="AA215" s="56"/>
      <c r="AB215" s="57"/>
      <c r="AC215" s="273" t="s">
        <v>354</v>
      </c>
      <c r="AG215" s="64"/>
      <c r="AJ215" s="68"/>
      <c r="AK215" s="68">
        <v>0</v>
      </c>
      <c r="BB215" s="274" t="s">
        <v>1</v>
      </c>
      <c r="BM215" s="64">
        <f t="shared" si="38"/>
        <v>48.949999999999996</v>
      </c>
      <c r="BN215" s="64">
        <f t="shared" si="39"/>
        <v>50.73</v>
      </c>
      <c r="BO215" s="64">
        <f t="shared" si="40"/>
        <v>0.10073260073260075</v>
      </c>
      <c r="BP215" s="64">
        <f t="shared" si="41"/>
        <v>0.1043956043956044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365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368</v>
      </c>
      <c r="B218" s="54" t="s">
        <v>369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360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100</v>
      </c>
      <c r="Y219" s="666">
        <f t="shared" si="37"/>
        <v>100.8</v>
      </c>
      <c r="Z219" s="36">
        <f t="shared" si="42"/>
        <v>0.27342</v>
      </c>
      <c r="AA219" s="56"/>
      <c r="AB219" s="57"/>
      <c r="AC219" s="281" t="s">
        <v>372</v>
      </c>
      <c r="AG219" s="64"/>
      <c r="AJ219" s="68"/>
      <c r="AK219" s="68">
        <v>0</v>
      </c>
      <c r="BB219" s="282" t="s">
        <v>1</v>
      </c>
      <c r="BM219" s="64">
        <f t="shared" si="38"/>
        <v>110.5</v>
      </c>
      <c r="BN219" s="64">
        <f t="shared" si="39"/>
        <v>111.384</v>
      </c>
      <c r="BO219" s="64">
        <f t="shared" si="40"/>
        <v>0.22893772893772898</v>
      </c>
      <c r="BP219" s="64">
        <f t="shared" si="41"/>
        <v>0.23076923076923078</v>
      </c>
    </row>
    <row r="220" spans="1:68" ht="27" customHeight="1" x14ac:dyDescent="0.25">
      <c r="A220" s="54" t="s">
        <v>373</v>
      </c>
      <c r="B220" s="54" t="s">
        <v>374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440</v>
      </c>
      <c r="Y220" s="666">
        <f t="shared" si="37"/>
        <v>441.59999999999997</v>
      </c>
      <c r="Z220" s="36">
        <f t="shared" si="42"/>
        <v>1.19784</v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38"/>
        <v>487.3</v>
      </c>
      <c r="BN220" s="64">
        <f t="shared" si="39"/>
        <v>489.072</v>
      </c>
      <c r="BO220" s="64">
        <f t="shared" si="40"/>
        <v>1.0073260073260075</v>
      </c>
      <c r="BP220" s="64">
        <f t="shared" si="41"/>
        <v>1.0109890109890112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257.12643678160919</v>
      </c>
      <c r="Y221" s="667">
        <f>IFERROR(Y212/H212,"0")+IFERROR(Y213/H213,"0")+IFERROR(Y214/H214,"0")+IFERROR(Y215/H215,"0")+IFERROR(Y216/H216,"0")+IFERROR(Y217/H217,"0")+IFERROR(Y218/H218,"0")+IFERROR(Y219/H219,"0")+IFERROR(Y220/H220,"0")</f>
        <v>259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1.86067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704</v>
      </c>
      <c r="Y222" s="667">
        <f>IFERROR(SUM(Y212:Y220),"0")</f>
        <v>709.8</v>
      </c>
      <c r="Z222" s="37"/>
      <c r="AA222" s="668"/>
      <c r="AB222" s="668"/>
      <c r="AC222" s="668"/>
    </row>
    <row r="223" spans="1:68" ht="14.25" customHeight="1" x14ac:dyDescent="0.25">
      <c r="A223" s="683" t="s">
        <v>173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376</v>
      </c>
      <c r="B224" s="54" t="s">
        <v>377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88</v>
      </c>
      <c r="Y224" s="666">
        <f>IFERROR(IF(X224="",0,CEILING((X224/$H224),1)*$H224),"")</f>
        <v>88.8</v>
      </c>
      <c r="Z224" s="36">
        <f>IFERROR(IF(Y224=0,"",ROUNDUP(Y224/H224,0)*0.00651),"")</f>
        <v>0.24087</v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>IFERROR(X224*I224/H224,"0")</f>
        <v>97.240000000000009</v>
      </c>
      <c r="BN224" s="64">
        <f>IFERROR(Y224*I224/H224,"0")</f>
        <v>98.124000000000009</v>
      </c>
      <c r="BO224" s="64">
        <f>IFERROR(1/J224*(X224/H224),"0")</f>
        <v>0.2014652014652015</v>
      </c>
      <c r="BP224" s="64">
        <f>IFERROR(1/J224*(Y224/H224),"0")</f>
        <v>0.20329670329670332</v>
      </c>
    </row>
    <row r="225" spans="1:68" ht="27" customHeight="1" x14ac:dyDescent="0.25">
      <c r="A225" s="54" t="s">
        <v>379</v>
      </c>
      <c r="B225" s="54" t="s">
        <v>380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16</v>
      </c>
      <c r="Y225" s="666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87" t="s">
        <v>381</v>
      </c>
      <c r="AG225" s="64"/>
      <c r="AJ225" s="68"/>
      <c r="AK225" s="68">
        <v>0</v>
      </c>
      <c r="BB225" s="288" t="s">
        <v>1</v>
      </c>
      <c r="BM225" s="64">
        <f>IFERROR(X225*I225/H225,"0")</f>
        <v>17.680000000000003</v>
      </c>
      <c r="BN225" s="64">
        <f>IFERROR(Y225*I225/H225,"0")</f>
        <v>18.564000000000004</v>
      </c>
      <c r="BO225" s="64">
        <f>IFERROR(1/J225*(X225/H225),"0")</f>
        <v>3.6630036630036632E-2</v>
      </c>
      <c r="BP225" s="64">
        <f>IFERROR(1/J225*(Y225/H225),"0")</f>
        <v>3.8461538461538471E-2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43.333333333333336</v>
      </c>
      <c r="Y226" s="667">
        <f>IFERROR(Y224/H224,"0")+IFERROR(Y225/H225,"0")</f>
        <v>44</v>
      </c>
      <c r="Z226" s="667">
        <f>IFERROR(IF(Z224="",0,Z224),"0")+IFERROR(IF(Z225="",0,Z225),"0")</f>
        <v>0.28644000000000003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104</v>
      </c>
      <c r="Y227" s="667">
        <f>IFERROR(SUM(Y224:Y225),"0")</f>
        <v>105.6</v>
      </c>
      <c r="Z227" s="37"/>
      <c r="AA227" s="668"/>
      <c r="AB227" s="668"/>
      <c r="AC227" s="668"/>
    </row>
    <row r="228" spans="1:68" ht="16.5" customHeight="1" x14ac:dyDescent="0.25">
      <c r="A228" s="718" t="s">
        <v>382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383</v>
      </c>
      <c r="B230" s="54" t="s">
        <v>384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40</v>
      </c>
      <c r="Y230" s="666">
        <f t="shared" ref="Y230:Y237" si="43">IFERROR(IF(X230="",0,CEILING((X230/$H230),1)*$H230),"")</f>
        <v>46.4</v>
      </c>
      <c r="Z230" s="36">
        <f>IFERROR(IF(Y230=0,"",ROUNDUP(Y230/H230,0)*0.01898),"")</f>
        <v>7.5920000000000001E-2</v>
      </c>
      <c r="AA230" s="56"/>
      <c r="AB230" s="57"/>
      <c r="AC230" s="289" t="s">
        <v>385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41.5</v>
      </c>
      <c r="BN230" s="64">
        <f t="shared" ref="BN230:BN237" si="45">IFERROR(Y230*I230/H230,"0")</f>
        <v>48.14</v>
      </c>
      <c r="BO230" s="64">
        <f t="shared" ref="BO230:BO237" si="46">IFERROR(1/J230*(X230/H230),"0")</f>
        <v>5.387931034482759E-2</v>
      </c>
      <c r="BP230" s="64">
        <f t="shared" ref="BP230:BP237" si="47">IFERROR(1/J230*(Y230/H230),"0")</f>
        <v>6.25E-2</v>
      </c>
    </row>
    <row r="231" spans="1:68" ht="27" customHeight="1" x14ac:dyDescent="0.25">
      <c r="A231" s="54" t="s">
        <v>383</v>
      </c>
      <c r="B231" s="54" t="s">
        <v>386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387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388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389</v>
      </c>
      <c r="B232" s="54" t="s">
        <v>390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391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392</v>
      </c>
      <c r="B233" s="54" t="s">
        <v>393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394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392</v>
      </c>
      <c r="B234" s="54" t="s">
        <v>395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387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388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12</v>
      </c>
      <c r="Y235" s="666">
        <f t="shared" si="43"/>
        <v>12</v>
      </c>
      <c r="Z235" s="36">
        <f>IFERROR(IF(Y235=0,"",ROUNDUP(Y235/H235,0)*0.00902),"")</f>
        <v>2.7060000000000001E-2</v>
      </c>
      <c r="AA235" s="56"/>
      <c r="AB235" s="57"/>
      <c r="AC235" s="299" t="s">
        <v>385</v>
      </c>
      <c r="AG235" s="64"/>
      <c r="AJ235" s="68"/>
      <c r="AK235" s="68">
        <v>0</v>
      </c>
      <c r="BB235" s="300" t="s">
        <v>1</v>
      </c>
      <c r="BM235" s="64">
        <f t="shared" si="44"/>
        <v>12.629999999999999</v>
      </c>
      <c r="BN235" s="64">
        <f t="shared" si="45"/>
        <v>12.629999999999999</v>
      </c>
      <c r="BO235" s="64">
        <f t="shared" si="46"/>
        <v>2.2727272727272728E-2</v>
      </c>
      <c r="BP235" s="64">
        <f t="shared" si="47"/>
        <v>2.2727272727272728E-2</v>
      </c>
    </row>
    <row r="236" spans="1:68" ht="27" customHeight="1" x14ac:dyDescent="0.25">
      <c r="A236" s="54" t="s">
        <v>398</v>
      </c>
      <c r="B236" s="54" t="s">
        <v>399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391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400</v>
      </c>
      <c r="B237" s="54" t="s">
        <v>401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32</v>
      </c>
      <c r="Y237" s="666">
        <f t="shared" si="43"/>
        <v>32</v>
      </c>
      <c r="Z237" s="36">
        <f>IFERROR(IF(Y237=0,"",ROUNDUP(Y237/H237,0)*0.00902),"")</f>
        <v>7.2160000000000002E-2</v>
      </c>
      <c r="AA237" s="56"/>
      <c r="AB237" s="57"/>
      <c r="AC237" s="303" t="s">
        <v>394</v>
      </c>
      <c r="AG237" s="64"/>
      <c r="AJ237" s="68"/>
      <c r="AK237" s="68">
        <v>0</v>
      </c>
      <c r="BB237" s="304" t="s">
        <v>1</v>
      </c>
      <c r="BM237" s="64">
        <f t="shared" si="44"/>
        <v>33.68</v>
      </c>
      <c r="BN237" s="64">
        <f t="shared" si="45"/>
        <v>33.68</v>
      </c>
      <c r="BO237" s="64">
        <f t="shared" si="46"/>
        <v>6.0606060606060608E-2</v>
      </c>
      <c r="BP237" s="64">
        <f t="shared" si="47"/>
        <v>6.0606060606060608E-2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14.448275862068966</v>
      </c>
      <c r="Y238" s="667">
        <f>IFERROR(Y230/H230,"0")+IFERROR(Y231/H231,"0")+IFERROR(Y232/H232,"0")+IFERROR(Y233/H233,"0")+IFERROR(Y234/H234,"0")+IFERROR(Y235/H235,"0")+IFERROR(Y236/H236,"0")+IFERROR(Y237/H237,"0")</f>
        <v>15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0.17514000000000002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84</v>
      </c>
      <c r="Y239" s="667">
        <f>IFERROR(SUM(Y230:Y237),"0")</f>
        <v>90.4</v>
      </c>
      <c r="Z239" s="37"/>
      <c r="AA239" s="668"/>
      <c r="AB239" s="668"/>
      <c r="AC239" s="668"/>
    </row>
    <row r="240" spans="1:68" ht="14.25" customHeight="1" x14ac:dyDescent="0.25">
      <c r="A240" s="683" t="s">
        <v>136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402</v>
      </c>
      <c r="B241" s="54" t="s">
        <v>403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">
        <v>404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402</v>
      </c>
      <c r="B242" s="54" t="s">
        <v>406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407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408</v>
      </c>
      <c r="B246" s="54" t="s">
        <v>409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7" t="s">
        <v>410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19.2</v>
      </c>
      <c r="Y246" s="666">
        <f>IFERROR(IF(X246="",0,CEILING((X246/$H246),1)*$H246),"")</f>
        <v>19.440000000000001</v>
      </c>
      <c r="Z246" s="36">
        <f>IFERROR(IF(Y246=0,"",ROUNDUP(Y246/H246,0)*0.0059),"")</f>
        <v>5.3100000000000001E-2</v>
      </c>
      <c r="AA246" s="56"/>
      <c r="AB246" s="57"/>
      <c r="AC246" s="309" t="s">
        <v>411</v>
      </c>
      <c r="AG246" s="64"/>
      <c r="AJ246" s="68"/>
      <c r="AK246" s="68">
        <v>0</v>
      </c>
      <c r="BB246" s="310" t="s">
        <v>1</v>
      </c>
      <c r="BM246" s="64">
        <f>IFERROR(X246*I246/H246,"0")</f>
        <v>20.888888888888886</v>
      </c>
      <c r="BN246" s="64">
        <f>IFERROR(Y246*I246/H246,"0")</f>
        <v>21.150000000000002</v>
      </c>
      <c r="BO246" s="64">
        <f>IFERROR(1/J246*(X246/H246),"0")</f>
        <v>4.115226337448559E-2</v>
      </c>
      <c r="BP246" s="64">
        <f>IFERROR(1/J246*(Y246/H246),"0")</f>
        <v>4.1666666666666664E-2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8.8888888888888875</v>
      </c>
      <c r="Y247" s="667">
        <f>IFERROR(Y246/H246,"0")</f>
        <v>9</v>
      </c>
      <c r="Z247" s="667">
        <f>IFERROR(IF(Z246="",0,Z246),"0")</f>
        <v>5.3100000000000001E-2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19.2</v>
      </c>
      <c r="Y248" s="667">
        <f>IFERROR(SUM(Y246:Y246),"0")</f>
        <v>19.440000000000001</v>
      </c>
      <c r="Z248" s="37"/>
      <c r="AA248" s="668"/>
      <c r="AB248" s="668"/>
      <c r="AC248" s="668"/>
    </row>
    <row r="249" spans="1:68" ht="14.25" customHeight="1" x14ac:dyDescent="0.25">
      <c r="A249" s="683" t="s">
        <v>412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413</v>
      </c>
      <c r="B250" s="54" t="s">
        <v>414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1" t="s">
        <v>415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416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417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418</v>
      </c>
      <c r="B255" s="54" t="s">
        <v>419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420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423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421</v>
      </c>
      <c r="B257" s="54" t="s">
        <v>424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387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425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426</v>
      </c>
      <c r="B258" s="54" t="s">
        <v>427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428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429</v>
      </c>
      <c r="B259" s="54" t="s">
        <v>430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431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432</v>
      </c>
      <c r="B260" s="54" t="s">
        <v>433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434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435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436</v>
      </c>
      <c r="B265" s="54" t="s">
        <v>437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438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439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444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447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448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449</v>
      </c>
      <c r="B277" s="54" t="s">
        <v>450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451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452</v>
      </c>
      <c r="B278" s="54" t="s">
        <v>453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454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455</v>
      </c>
      <c r="B279" s="54" t="s">
        <v>456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32</v>
      </c>
      <c r="Y279" s="666">
        <f>IFERROR(IF(X279="",0,CEILING((X279/$H279),1)*$H279),"")</f>
        <v>33.6</v>
      </c>
      <c r="Z279" s="36">
        <f>IFERROR(IF(Y279=0,"",ROUNDUP(Y279/H279,0)*0.00651),"")</f>
        <v>9.1139999999999999E-2</v>
      </c>
      <c r="AA279" s="56"/>
      <c r="AB279" s="57"/>
      <c r="AC279" s="337" t="s">
        <v>451</v>
      </c>
      <c r="AG279" s="64"/>
      <c r="AJ279" s="68"/>
      <c r="AK279" s="68">
        <v>0</v>
      </c>
      <c r="BB279" s="338" t="s">
        <v>1</v>
      </c>
      <c r="BM279" s="64">
        <f>IFERROR(X279*I279/H279,"0")</f>
        <v>35.360000000000007</v>
      </c>
      <c r="BN279" s="64">
        <f>IFERROR(Y279*I279/H279,"0")</f>
        <v>37.128000000000007</v>
      </c>
      <c r="BO279" s="64">
        <f>IFERROR(1/J279*(X279/H279),"0")</f>
        <v>7.3260073260073263E-2</v>
      </c>
      <c r="BP279" s="64">
        <f>IFERROR(1/J279*(Y279/H279),"0")</f>
        <v>7.6923076923076941E-2</v>
      </c>
    </row>
    <row r="280" spans="1:68" ht="37.5" customHeight="1" x14ac:dyDescent="0.25">
      <c r="A280" s="54" t="s">
        <v>457</v>
      </c>
      <c r="B280" s="54" t="s">
        <v>458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32</v>
      </c>
      <c r="Y280" s="666">
        <f>IFERROR(IF(X280="",0,CEILING((X280/$H280),1)*$H280),"")</f>
        <v>33.6</v>
      </c>
      <c r="Z280" s="36">
        <f>IFERROR(IF(Y280=0,"",ROUNDUP(Y280/H280,0)*0.00651),"")</f>
        <v>9.1139999999999999E-2</v>
      </c>
      <c r="AA280" s="56"/>
      <c r="AB280" s="57"/>
      <c r="AC280" s="339" t="s">
        <v>459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34.400000000000006</v>
      </c>
      <c r="BN280" s="64">
        <f>IFERROR(Y280*I280/H280,"0")</f>
        <v>36.120000000000005</v>
      </c>
      <c r="BO280" s="64">
        <f>IFERROR(1/J280*(X280/H280),"0")</f>
        <v>7.3260073260073263E-2</v>
      </c>
      <c r="BP280" s="64">
        <f>IFERROR(1/J280*(Y280/H280),"0")</f>
        <v>7.6923076923076941E-2</v>
      </c>
    </row>
    <row r="281" spans="1:68" ht="27" customHeight="1" x14ac:dyDescent="0.25">
      <c r="A281" s="54" t="s">
        <v>460</v>
      </c>
      <c r="B281" s="54" t="s">
        <v>461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454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26.666666666666668</v>
      </c>
      <c r="Y282" s="667">
        <f>IFERROR(Y277/H277,"0")+IFERROR(Y278/H278,"0")+IFERROR(Y279/H279,"0")+IFERROR(Y280/H280,"0")+IFERROR(Y281/H281,"0")</f>
        <v>28.000000000000004</v>
      </c>
      <c r="Z282" s="667">
        <f>IFERROR(IF(Z277="",0,Z277),"0")+IFERROR(IF(Z278="",0,Z278),"0")+IFERROR(IF(Z279="",0,Z279),"0")+IFERROR(IF(Z280="",0,Z280),"0")+IFERROR(IF(Z281="",0,Z281),"0")</f>
        <v>0.18228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64</v>
      </c>
      <c r="Y283" s="667">
        <f>IFERROR(SUM(Y277:Y281),"0")</f>
        <v>67.2</v>
      </c>
      <c r="Z283" s="37"/>
      <c r="AA283" s="668"/>
      <c r="AB283" s="668"/>
      <c r="AC283" s="668"/>
    </row>
    <row r="284" spans="1:68" ht="16.5" customHeight="1" x14ac:dyDescent="0.25">
      <c r="A284" s="718" t="s">
        <v>462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463</v>
      </c>
      <c r="B286" s="54" t="s">
        <v>464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465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147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466</v>
      </c>
      <c r="B290" s="54" t="s">
        <v>467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468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469</v>
      </c>
      <c r="B294" s="54" t="s">
        <v>470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471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472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473</v>
      </c>
      <c r="B299" s="54" t="s">
        <v>474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475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476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477</v>
      </c>
      <c r="B304" s="54" t="s">
        <v>478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438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147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479</v>
      </c>
      <c r="B308" s="54" t="s">
        <v>480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77</v>
      </c>
      <c r="Y308" s="666">
        <f>IFERROR(IF(X308="",0,CEILING((X308/$H308),1)*$H308),"")</f>
        <v>77.7</v>
      </c>
      <c r="Z308" s="36">
        <f>IFERROR(IF(Y308=0,"",ROUNDUP(Y308/H308,0)*0.00502),"")</f>
        <v>0.18574000000000002</v>
      </c>
      <c r="AA308" s="56"/>
      <c r="AB308" s="57"/>
      <c r="AC308" s="353" t="s">
        <v>481</v>
      </c>
      <c r="AG308" s="64"/>
      <c r="AJ308" s="68"/>
      <c r="AK308" s="68">
        <v>0</v>
      </c>
      <c r="BB308" s="354" t="s">
        <v>1</v>
      </c>
      <c r="BM308" s="64">
        <f>IFERROR(X308*I308/H308,"0")</f>
        <v>80.666666666666671</v>
      </c>
      <c r="BN308" s="64">
        <f>IFERROR(Y308*I308/H308,"0")</f>
        <v>81.400000000000006</v>
      </c>
      <c r="BO308" s="64">
        <f>IFERROR(1/J308*(X308/H308),"0")</f>
        <v>0.15669515669515671</v>
      </c>
      <c r="BP308" s="64">
        <f>IFERROR(1/J308*(Y308/H308),"0")</f>
        <v>0.15811965811965814</v>
      </c>
    </row>
    <row r="309" spans="1:68" ht="27" customHeight="1" x14ac:dyDescent="0.25">
      <c r="A309" s="54" t="s">
        <v>482</v>
      </c>
      <c r="B309" s="54" t="s">
        <v>483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481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36.666666666666664</v>
      </c>
      <c r="Y310" s="667">
        <f>IFERROR(Y308/H308,"0")+IFERROR(Y309/H309,"0")</f>
        <v>37</v>
      </c>
      <c r="Z310" s="667">
        <f>IFERROR(IF(Z308="",0,Z308),"0")+IFERROR(IF(Z309="",0,Z309),"0")</f>
        <v>0.18574000000000002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77</v>
      </c>
      <c r="Y311" s="667">
        <f>IFERROR(SUM(Y308:Y309),"0")</f>
        <v>77.7</v>
      </c>
      <c r="Z311" s="37"/>
      <c r="AA311" s="668"/>
      <c r="AB311" s="668"/>
      <c r="AC311" s="668"/>
    </row>
    <row r="312" spans="1:68" ht="16.5" customHeight="1" x14ac:dyDescent="0.25">
      <c r="A312" s="718" t="s">
        <v>484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485</v>
      </c>
      <c r="B314" s="54" t="s">
        <v>486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487</v>
      </c>
      <c r="AB314" s="57"/>
      <c r="AC314" s="357" t="s">
        <v>488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489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490</v>
      </c>
      <c r="B319" s="54" t="s">
        <v>491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492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493</v>
      </c>
      <c r="B320" s="54" t="s">
        <v>494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495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496</v>
      </c>
      <c r="AG320" s="64"/>
      <c r="AJ320" s="68" t="s">
        <v>497</v>
      </c>
      <c r="AK320" s="68">
        <v>86.4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493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387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496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147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80</v>
      </c>
      <c r="Y343" s="666">
        <f>IFERROR(IF(X343="",0,CEILING((X343/$H343),1)*$H343),"")</f>
        <v>84</v>
      </c>
      <c r="Z343" s="36">
        <f>IFERROR(IF(Y343=0,"",ROUNDUP(Y343/H343,0)*0.01898),"")</f>
        <v>0.1898</v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84.942857142857136</v>
      </c>
      <c r="BN343" s="64">
        <f>IFERROR(Y343*I343/H343,"0")</f>
        <v>89.19</v>
      </c>
      <c r="BO343" s="64">
        <f>IFERROR(1/J343*(X343/H343),"0")</f>
        <v>0.14880952380952381</v>
      </c>
      <c r="BP343" s="64">
        <f>IFERROR(1/J343*(Y343/H343),"0")</f>
        <v>0.15625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150</v>
      </c>
      <c r="Y344" s="666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28.754578754578752</v>
      </c>
      <c r="Y346" s="667">
        <f>IFERROR(Y343/H343,"0")+IFERROR(Y344/H344,"0")+IFERROR(Y345/H345,"0")</f>
        <v>30</v>
      </c>
      <c r="Z346" s="667">
        <f>IFERROR(IF(Z343="",0,Z343),"0")+IFERROR(IF(Z344="",0,Z344),"0")+IFERROR(IF(Z345="",0,Z345),"0")</f>
        <v>0.56940000000000002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230</v>
      </c>
      <c r="Y347" s="667">
        <f>IFERROR(SUM(Y343:Y345),"0")</f>
        <v>240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147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27</v>
      </c>
      <c r="Y363" s="666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15</v>
      </c>
      <c r="Y364" s="667">
        <f>IFERROR(Y363/H363,"0")</f>
        <v>15</v>
      </c>
      <c r="Z364" s="667">
        <f>IFERROR(IF(Z363="",0,Z363),"0")</f>
        <v>9.7650000000000001E-2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27</v>
      </c>
      <c r="Y365" s="667">
        <f>IFERROR(SUM(Y363:Y363),"0")</f>
        <v>27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140</v>
      </c>
      <c r="Y368" s="666">
        <f>IFERROR(IF(X368="",0,CEILING((X368/$H368),1)*$H368),"")</f>
        <v>140.70000000000002</v>
      </c>
      <c r="Z368" s="36">
        <f>IFERROR(IF(Y368=0,"",ROUNDUP(Y368/H368,0)*0.00651),"")</f>
        <v>0.43617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156.79999999999998</v>
      </c>
      <c r="BN368" s="64">
        <f>IFERROR(Y368*I368/H368,"0")</f>
        <v>157.584</v>
      </c>
      <c r="BO368" s="64">
        <f>IFERROR(1/J368*(X368/H368),"0")</f>
        <v>0.36630036630036628</v>
      </c>
      <c r="BP368" s="64">
        <f>IFERROR(1/J368*(Y368/H368),"0")</f>
        <v>0.36813186813186816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595</v>
      </c>
      <c r="Y369" s="666">
        <f>IFERROR(IF(X369="",0,CEILING((X369/$H369),1)*$H369),"")</f>
        <v>596.4</v>
      </c>
      <c r="Z369" s="36">
        <f>IFERROR(IF(Y369=0,"",ROUNDUP(Y369/H369,0)*0.00651),"")</f>
        <v>1.84884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663</v>
      </c>
      <c r="BN369" s="64">
        <f>IFERROR(Y369*I369/H369,"0")</f>
        <v>664.55999999999983</v>
      </c>
      <c r="BO369" s="64">
        <f>IFERROR(1/J369*(X369/H369),"0")</f>
        <v>1.5567765567765568</v>
      </c>
      <c r="BP369" s="64">
        <f>IFERROR(1/J369*(Y369/H369),"0")</f>
        <v>1.5604395604395607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350</v>
      </c>
      <c r="Y370" s="667">
        <f>IFERROR(Y367/H367,"0")+IFERROR(Y368/H368,"0")+IFERROR(Y369/H369,"0")</f>
        <v>351</v>
      </c>
      <c r="Z370" s="667">
        <f>IFERROR(IF(Z367="",0,Z367),"0")+IFERROR(IF(Z368="",0,Z368),"0")+IFERROR(IF(Z369="",0,Z369),"0")</f>
        <v>2.2850100000000002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735</v>
      </c>
      <c r="Y371" s="667">
        <f>IFERROR(SUM(Y367:Y369),"0")</f>
        <v>737.1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107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2500</v>
      </c>
      <c r="Y375" s="666">
        <f t="shared" ref="Y375:Y384" si="58">IFERROR(IF(X375="",0,CEILING((X375/$H375),1)*$H375),"")</f>
        <v>2505</v>
      </c>
      <c r="Z375" s="36">
        <f>IFERROR(IF(Y375=0,"",ROUNDUP(Y375/H375,0)*0.02175),"")</f>
        <v>3.6322499999999995</v>
      </c>
      <c r="AA375" s="56"/>
      <c r="AB375" s="57"/>
      <c r="AC375" s="417" t="s">
        <v>582</v>
      </c>
      <c r="AG375" s="64"/>
      <c r="AJ375" s="68" t="s">
        <v>109</v>
      </c>
      <c r="AK375" s="68">
        <v>720</v>
      </c>
      <c r="BB375" s="418" t="s">
        <v>1</v>
      </c>
      <c r="BM375" s="64">
        <f t="shared" ref="BM375:BM384" si="59">IFERROR(X375*I375/H375,"0")</f>
        <v>2580</v>
      </c>
      <c r="BN375" s="64">
        <f t="shared" ref="BN375:BN384" si="60">IFERROR(Y375*I375/H375,"0")</f>
        <v>2585.1600000000003</v>
      </c>
      <c r="BO375" s="64">
        <f t="shared" ref="BO375:BO384" si="61">IFERROR(1/J375*(X375/H375),"0")</f>
        <v>3.4722222222222219</v>
      </c>
      <c r="BP375" s="64">
        <f t="shared" ref="BP375:BP384" si="62">IFERROR(1/J375*(Y375/H375),"0")</f>
        <v>3.4791666666666665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387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107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700</v>
      </c>
      <c r="Y377" s="666">
        <f t="shared" si="58"/>
        <v>705</v>
      </c>
      <c r="Z377" s="36">
        <f>IFERROR(IF(Y377=0,"",ROUNDUP(Y377/H377,0)*0.02175),"")</f>
        <v>1.0222499999999999</v>
      </c>
      <c r="AA377" s="56"/>
      <c r="AB377" s="57"/>
      <c r="AC377" s="421" t="s">
        <v>587</v>
      </c>
      <c r="AG377" s="64"/>
      <c r="AJ377" s="68" t="s">
        <v>109</v>
      </c>
      <c r="AK377" s="68">
        <v>720</v>
      </c>
      <c r="BB377" s="422" t="s">
        <v>1</v>
      </c>
      <c r="BM377" s="64">
        <f t="shared" si="59"/>
        <v>722.4</v>
      </c>
      <c r="BN377" s="64">
        <f t="shared" si="60"/>
        <v>727.56</v>
      </c>
      <c r="BO377" s="64">
        <f t="shared" si="61"/>
        <v>0.9722222222222221</v>
      </c>
      <c r="BP377" s="64">
        <f t="shared" si="62"/>
        <v>0.97916666666666663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387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132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107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2800</v>
      </c>
      <c r="Y380" s="666">
        <f t="shared" si="58"/>
        <v>2805</v>
      </c>
      <c r="Z380" s="36">
        <f>IFERROR(IF(Y380=0,"",ROUNDUP(Y380/H380,0)*0.02175),"")</f>
        <v>4.0672499999999996</v>
      </c>
      <c r="AA380" s="56"/>
      <c r="AB380" s="57"/>
      <c r="AC380" s="427" t="s">
        <v>594</v>
      </c>
      <c r="AG380" s="64"/>
      <c r="AJ380" s="68" t="s">
        <v>109</v>
      </c>
      <c r="AK380" s="68">
        <v>720</v>
      </c>
      <c r="BB380" s="428" t="s">
        <v>1</v>
      </c>
      <c r="BM380" s="64">
        <f t="shared" si="59"/>
        <v>2889.6</v>
      </c>
      <c r="BN380" s="64">
        <f t="shared" si="60"/>
        <v>2894.76</v>
      </c>
      <c r="BO380" s="64">
        <f t="shared" si="61"/>
        <v>3.8888888888888884</v>
      </c>
      <c r="BP380" s="64">
        <f t="shared" si="62"/>
        <v>3.895833333333333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387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30</v>
      </c>
      <c r="Y384" s="666">
        <f t="shared" si="58"/>
        <v>30</v>
      </c>
      <c r="Z384" s="36">
        <f>IFERROR(IF(Y384=0,"",ROUNDUP(Y384/H384,0)*0.00902),"")</f>
        <v>5.4120000000000001E-2</v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31.26</v>
      </c>
      <c r="BN384" s="64">
        <f t="shared" si="60"/>
        <v>31.26</v>
      </c>
      <c r="BO384" s="64">
        <f t="shared" si="61"/>
        <v>4.5454545454545456E-2</v>
      </c>
      <c r="BP384" s="64">
        <f t="shared" si="62"/>
        <v>4.5454545454545456E-2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406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407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8.7758699999999994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6030</v>
      </c>
      <c r="Y386" s="667">
        <f>IFERROR(SUM(Y375:Y384),"0")</f>
        <v>6045</v>
      </c>
      <c r="Z386" s="37"/>
      <c r="AA386" s="668"/>
      <c r="AB386" s="668"/>
      <c r="AC386" s="668"/>
    </row>
    <row r="387" spans="1:68" ht="14.25" customHeight="1" x14ac:dyDescent="0.25">
      <c r="A387" s="683" t="s">
        <v>136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30</v>
      </c>
      <c r="Y394" s="666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3.3333333333333335</v>
      </c>
      <c r="Y395" s="667">
        <f>IFERROR(Y393/H393,"0")+IFERROR(Y394/H394,"0")</f>
        <v>4</v>
      </c>
      <c r="Z395" s="667">
        <f>IFERROR(IF(Z393="",0,Z393),"0")+IFERROR(IF(Z394="",0,Z394),"0")</f>
        <v>7.5920000000000001E-2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30</v>
      </c>
      <c r="Y396" s="667">
        <f>IFERROR(SUM(Y393:Y394),"0")</f>
        <v>36</v>
      </c>
      <c r="Z396" s="37"/>
      <c r="AA396" s="668"/>
      <c r="AB396" s="668"/>
      <c r="AC396" s="668"/>
    </row>
    <row r="397" spans="1:68" ht="14.25" customHeight="1" x14ac:dyDescent="0.25">
      <c r="A397" s="683" t="s">
        <v>173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40</v>
      </c>
      <c r="Y416" s="666">
        <f>IFERROR(IF(X416="",0,CEILING((X416/$H416),1)*$H416),"")</f>
        <v>45</v>
      </c>
      <c r="Z416" s="36">
        <f>IFERROR(IF(Y416=0,"",ROUNDUP(Y416/H416,0)*0.01898),"")</f>
        <v>9.4899999999999998E-2</v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42.306666666666665</v>
      </c>
      <c r="BN416" s="64">
        <f>IFERROR(Y416*I416/H416,"0")</f>
        <v>47.594999999999999</v>
      </c>
      <c r="BO416" s="64">
        <f>IFERROR(1/J416*(X416/H416),"0")</f>
        <v>6.9444444444444448E-2</v>
      </c>
      <c r="BP416" s="64">
        <f>IFERROR(1/J416*(Y416/H416),"0")</f>
        <v>7.8125E-2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4.4444444444444446</v>
      </c>
      <c r="Y421" s="667">
        <f>IFERROR(Y416/H416,"0")+IFERROR(Y417/H417,"0")+IFERROR(Y418/H418,"0")+IFERROR(Y419/H419,"0")+IFERROR(Y420/H420,"0")</f>
        <v>5</v>
      </c>
      <c r="Z421" s="667">
        <f>IFERROR(IF(Z416="",0,Z416),"0")+IFERROR(IF(Z417="",0,Z417),"0")+IFERROR(IF(Z418="",0,Z418),"0")+IFERROR(IF(Z419="",0,Z419),"0")+IFERROR(IF(Z420="",0,Z420),"0")</f>
        <v>9.4899999999999998E-2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40</v>
      </c>
      <c r="Y422" s="667">
        <f>IFERROR(SUM(Y416:Y420),"0")</f>
        <v>45</v>
      </c>
      <c r="Z422" s="37"/>
      <c r="AA422" s="668"/>
      <c r="AB422" s="668"/>
      <c r="AC422" s="668"/>
    </row>
    <row r="423" spans="1:68" ht="14.25" customHeight="1" x14ac:dyDescent="0.25">
      <c r="A423" s="683" t="s">
        <v>173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147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30</v>
      </c>
      <c r="Y430" s="666">
        <f t="shared" ref="Y430:Y441" si="63">IFERROR(IF(X430="",0,CEILING((X430/$H430),1)*$H430),"")</f>
        <v>32.400000000000006</v>
      </c>
      <c r="Z430" s="36">
        <f>IFERROR(IF(Y430=0,"",ROUNDUP(Y430/H430,0)*0.00902),"")</f>
        <v>5.4120000000000001E-2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31.166666666666668</v>
      </c>
      <c r="BN430" s="64">
        <f t="shared" ref="BN430:BN441" si="65">IFERROR(Y430*I430/H430,"0")</f>
        <v>33.660000000000004</v>
      </c>
      <c r="BO430" s="64">
        <f t="shared" ref="BO430:BO441" si="66">IFERROR(1/J430*(X430/H430),"0")</f>
        <v>4.208754208754209E-2</v>
      </c>
      <c r="BP430" s="64">
        <f t="shared" ref="BP430:BP441" si="67">IFERROR(1/J430*(Y430/H430),"0")</f>
        <v>4.5454545454545463E-2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7" t="s">
        <v>673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70</v>
      </c>
      <c r="Y436" s="666">
        <f t="shared" si="63"/>
        <v>71.400000000000006</v>
      </c>
      <c r="Z436" s="36">
        <f t="shared" si="68"/>
        <v>0.17068</v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74.333333333333329</v>
      </c>
      <c r="BN436" s="64">
        <f t="shared" si="65"/>
        <v>75.820000000000007</v>
      </c>
      <c r="BO436" s="64">
        <f t="shared" si="66"/>
        <v>0.14245014245014245</v>
      </c>
      <c r="BP436" s="64">
        <f t="shared" si="67"/>
        <v>0.14529914529914531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5" t="s">
        <v>682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684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17.5</v>
      </c>
      <c r="Y440" s="666">
        <f t="shared" si="63"/>
        <v>18.900000000000002</v>
      </c>
      <c r="Z440" s="36">
        <f t="shared" si="68"/>
        <v>4.5179999999999998E-2</v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18.583333333333332</v>
      </c>
      <c r="BN440" s="64">
        <f t="shared" si="65"/>
        <v>20.07</v>
      </c>
      <c r="BO440" s="64">
        <f t="shared" si="66"/>
        <v>3.5612535612535613E-2</v>
      </c>
      <c r="BP440" s="64">
        <f t="shared" si="67"/>
        <v>3.8461538461538464E-2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47.222222222222214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49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0.26998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117.5</v>
      </c>
      <c r="Y443" s="667">
        <f>IFERROR(SUM(Y430:Y441),"0")</f>
        <v>122.70000000000002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136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147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20</v>
      </c>
      <c r="Y456" s="666">
        <f>IFERROR(IF(X456="",0,CEILING((X456/$H456),1)*$H456),"")</f>
        <v>21.6</v>
      </c>
      <c r="Z456" s="36">
        <f>IFERROR(IF(Y456=0,"",ROUNDUP(Y456/H456,0)*0.00902),"")</f>
        <v>3.6080000000000001E-2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20.777777777777779</v>
      </c>
      <c r="BN456" s="64">
        <f>IFERROR(Y456*I456/H456,"0")</f>
        <v>22.44</v>
      </c>
      <c r="BO456" s="64">
        <f>IFERROR(1/J456*(X456/H456),"0")</f>
        <v>2.8058361391694722E-2</v>
      </c>
      <c r="BP456" s="64">
        <f>IFERROR(1/J456*(Y456/H456),"0")</f>
        <v>3.0303030303030304E-2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7</v>
      </c>
      <c r="Y459" s="666">
        <f>IFERROR(IF(X459="",0,CEILING((X459/$H459),1)*$H459),"")</f>
        <v>8.4</v>
      </c>
      <c r="Z459" s="36">
        <f>IFERROR(IF(Y459=0,"",ROUNDUP(Y459/H459,0)*0.00502),"")</f>
        <v>2.0080000000000001E-2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7.4333333333333327</v>
      </c>
      <c r="BN459" s="64">
        <f>IFERROR(Y459*I459/H459,"0")</f>
        <v>8.92</v>
      </c>
      <c r="BO459" s="64">
        <f>IFERROR(1/J459*(X459/H459),"0")</f>
        <v>1.4245014245014245E-2</v>
      </c>
      <c r="BP459" s="64">
        <f>IFERROR(1/J459*(Y459/H459),"0")</f>
        <v>1.7094017094017096E-2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7.0370370370370363</v>
      </c>
      <c r="Y460" s="667">
        <f>IFERROR(Y456/H456,"0")+IFERROR(Y457/H457,"0")+IFERROR(Y458/H458,"0")+IFERROR(Y459/H459,"0")</f>
        <v>8</v>
      </c>
      <c r="Z460" s="667">
        <f>IFERROR(IF(Z456="",0,Z456),"0")+IFERROR(IF(Z457="",0,Z457),"0")+IFERROR(IF(Z458="",0,Z458),"0")+IFERROR(IF(Z459="",0,Z459),"0")</f>
        <v>5.6160000000000002E-2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27</v>
      </c>
      <c r="Y461" s="667">
        <f>IFERROR(SUM(Y456:Y459),"0")</f>
        <v>30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147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30</v>
      </c>
      <c r="Y465" s="666">
        <f>IFERROR(IF(X465="",0,CEILING((X465/$H465),1)*$H465),"")</f>
        <v>30</v>
      </c>
      <c r="Z465" s="36">
        <f>IFERROR(IF(Y465=0,"",ROUNDUP(Y465/H465,0)*0.00651),"")</f>
        <v>0.16275000000000001</v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52.5</v>
      </c>
      <c r="BN465" s="64">
        <f>IFERROR(Y465*I465/H465,"0")</f>
        <v>52.5</v>
      </c>
      <c r="BO465" s="64">
        <f>IFERROR(1/J465*(X465/H465),"0")</f>
        <v>0.13736263736263737</v>
      </c>
      <c r="BP465" s="64">
        <f>IFERROR(1/J465*(Y465/H465),"0")</f>
        <v>0.13736263736263737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25</v>
      </c>
      <c r="Y466" s="667">
        <f>IFERROR(Y464/H464,"0")+IFERROR(Y465/H465,"0")</f>
        <v>25</v>
      </c>
      <c r="Z466" s="667">
        <f>IFERROR(IF(Z464="",0,Z464),"0")+IFERROR(IF(Z465="",0,Z465),"0")</f>
        <v>0.16275000000000001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30</v>
      </c>
      <c r="Y467" s="667">
        <f>IFERROR(SUM(Y464:Y465),"0")</f>
        <v>30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147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173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50</v>
      </c>
      <c r="Y480" s="666">
        <f t="shared" ref="Y480:Y495" si="69">IFERROR(IF(X480="",0,CEILING((X480/$H480),1)*$H480),"")</f>
        <v>52.800000000000004</v>
      </c>
      <c r="Z480" s="36">
        <f t="shared" ref="Z480:Z485" si="70">IFERROR(IF(Y480=0,"",ROUNDUP(Y480/H480,0)*0.01196),"")</f>
        <v>0.1196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53.409090909090907</v>
      </c>
      <c r="BN480" s="64">
        <f t="shared" ref="BN480:BN495" si="72">IFERROR(Y480*I480/H480,"0")</f>
        <v>56.400000000000006</v>
      </c>
      <c r="BO480" s="64">
        <f t="shared" ref="BO480:BO495" si="73">IFERROR(1/J480*(X480/H480),"0")</f>
        <v>9.1054778554778545E-2</v>
      </c>
      <c r="BP480" s="64">
        <f t="shared" ref="BP480:BP495" si="74">IFERROR(1/J480*(Y480/H480),"0")</f>
        <v>9.6153846153846159E-2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190</v>
      </c>
      <c r="Y482" s="666">
        <f t="shared" si="69"/>
        <v>190.08</v>
      </c>
      <c r="Z482" s="36">
        <f t="shared" si="70"/>
        <v>0.43056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202.95454545454544</v>
      </c>
      <c r="BN482" s="64">
        <f t="shared" si="72"/>
        <v>203.04000000000002</v>
      </c>
      <c r="BO482" s="64">
        <f t="shared" si="73"/>
        <v>0.34600815850815853</v>
      </c>
      <c r="BP482" s="64">
        <f t="shared" si="74"/>
        <v>0.34615384615384615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66</v>
      </c>
      <c r="Y487" s="666">
        <f t="shared" si="69"/>
        <v>68.400000000000006</v>
      </c>
      <c r="Z487" s="36">
        <f>IFERROR(IF(Y487=0,"",ROUNDUP(Y487/H487,0)*0.00902),"")</f>
        <v>0.17138</v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69.849999999999994</v>
      </c>
      <c r="BN487" s="64">
        <f t="shared" si="72"/>
        <v>72.390000000000015</v>
      </c>
      <c r="BO487" s="64">
        <f t="shared" si="73"/>
        <v>0.1388888888888889</v>
      </c>
      <c r="BP487" s="64">
        <f t="shared" si="74"/>
        <v>0.14393939393939395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24</v>
      </c>
      <c r="Y493" s="666">
        <f t="shared" si="69"/>
        <v>25.2</v>
      </c>
      <c r="Z493" s="36">
        <f>IFERROR(IF(Y493=0,"",ROUNDUP(Y493/H493,0)*0.00902),"")</f>
        <v>6.3140000000000002E-2</v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25.4</v>
      </c>
      <c r="BN493" s="64">
        <f t="shared" si="72"/>
        <v>26.669999999999998</v>
      </c>
      <c r="BO493" s="64">
        <f t="shared" si="73"/>
        <v>5.0505050505050504E-2</v>
      </c>
      <c r="BP493" s="64">
        <f t="shared" si="74"/>
        <v>5.3030303030303032E-2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70.454545454545453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72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0.78467999999999993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330</v>
      </c>
      <c r="Y497" s="667">
        <f>IFERROR(SUM(Y480:Y495),"0")</f>
        <v>336.48</v>
      </c>
      <c r="Z497" s="37"/>
      <c r="AA497" s="668"/>
      <c r="AB497" s="668"/>
      <c r="AC497" s="668"/>
    </row>
    <row r="498" spans="1:68" ht="14.25" customHeight="1" x14ac:dyDescent="0.25">
      <c r="A498" s="683" t="s">
        <v>136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3" t="s">
        <v>147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80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106</v>
      </c>
      <c r="L512" s="32"/>
      <c r="M512" s="33" t="s">
        <v>102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806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222</v>
      </c>
      <c r="Y515" s="666">
        <f t="shared" si="75"/>
        <v>223.20000000000002</v>
      </c>
      <c r="Z515" s="36">
        <f>IFERROR(IF(Y515=0,"",ROUNDUP(Y515/H515,0)*0.00902),"")</f>
        <v>0.55923999999999996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234.95000000000002</v>
      </c>
      <c r="BN515" s="64">
        <f t="shared" si="77"/>
        <v>236.22</v>
      </c>
      <c r="BO515" s="64">
        <f t="shared" si="78"/>
        <v>0.46717171717171718</v>
      </c>
      <c r="BP515" s="64">
        <f t="shared" si="79"/>
        <v>0.46969696969696972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61.666666666666664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62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0.55923999999999996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222</v>
      </c>
      <c r="Y519" s="667">
        <f>IFERROR(SUM(Y506:Y517),"0")</f>
        <v>223.20000000000002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173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136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147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150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450</v>
      </c>
      <c r="Y561" s="666">
        <f>IFERROR(IF(X561="",0,CEILING((X561/$H561),1)*$H561),"")</f>
        <v>450</v>
      </c>
      <c r="Z561" s="36">
        <f>IFERROR(IF(Y561=0,"",ROUNDUP(Y561/H561,0)*0.01898),"")</f>
        <v>0.94900000000000007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475.95000000000005</v>
      </c>
      <c r="BN561" s="64">
        <f>IFERROR(Y561*I561/H561,"0")</f>
        <v>475.95000000000005</v>
      </c>
      <c r="BO561" s="64">
        <f>IFERROR(1/J561*(X561/H561),"0")</f>
        <v>0.78125</v>
      </c>
      <c r="BP561" s="64">
        <f>IFERROR(1/J561*(Y561/H561),"0")</f>
        <v>0.78125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132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50</v>
      </c>
      <c r="Y566" s="667">
        <f>IFERROR(Y561/H561,"0")+IFERROR(Y562/H562,"0")+IFERROR(Y563/H563,"0")+IFERROR(Y564/H564,"0")+IFERROR(Y565/H565,"0")</f>
        <v>50</v>
      </c>
      <c r="Z566" s="667">
        <f>IFERROR(IF(Z561="",0,Z561),"0")+IFERROR(IF(Z562="",0,Z562),"0")+IFERROR(IF(Z563="",0,Z563),"0")+IFERROR(IF(Z564="",0,Z564),"0")+IFERROR(IF(Z565="",0,Z565),"0")</f>
        <v>0.94900000000000007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450</v>
      </c>
      <c r="Y567" s="667">
        <f>IFERROR(SUM(Y561:Y565),"0")</f>
        <v>450</v>
      </c>
      <c r="Z567" s="37"/>
      <c r="AA567" s="668"/>
      <c r="AB567" s="668"/>
      <c r="AC567" s="668"/>
    </row>
    <row r="568" spans="1:68" ht="14.25" customHeight="1" x14ac:dyDescent="0.25">
      <c r="A568" s="683" t="s">
        <v>173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136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147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132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13257.2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13387.080000000002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13958.985645331681</v>
      </c>
      <c r="Y593" s="667">
        <f>IFERROR(SUM(BN22:BN589),"0")</f>
        <v>14095.915999999996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23</v>
      </c>
      <c r="Y594" s="38">
        <f>ROUNDUP(SUM(BP22:BP589),0)</f>
        <v>23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14533.985645331681</v>
      </c>
      <c r="Y595" s="667">
        <f>GrossWeightTotalR+PalletQtyTotalR*25</f>
        <v>14670.915999999996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2478.721667540633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2502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26.02702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181</v>
      </c>
      <c r="F600" s="675" t="s">
        <v>212</v>
      </c>
      <c r="G600" s="675" t="s">
        <v>257</v>
      </c>
      <c r="H600" s="675" t="s">
        <v>96</v>
      </c>
      <c r="I600" s="675" t="s">
        <v>287</v>
      </c>
      <c r="J600" s="675" t="s">
        <v>321</v>
      </c>
      <c r="K600" s="675" t="s">
        <v>382</v>
      </c>
      <c r="L600" s="675" t="s">
        <v>417</v>
      </c>
      <c r="M600" s="675" t="s">
        <v>435</v>
      </c>
      <c r="N600" s="663"/>
      <c r="O600" s="675" t="s">
        <v>439</v>
      </c>
      <c r="P600" s="675" t="s">
        <v>448</v>
      </c>
      <c r="Q600" s="675" t="s">
        <v>462</v>
      </c>
      <c r="R600" s="675" t="s">
        <v>472</v>
      </c>
      <c r="S600" s="675" t="s">
        <v>476</v>
      </c>
      <c r="T600" s="675" t="s">
        <v>484</v>
      </c>
      <c r="U600" s="675" t="s">
        <v>489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637.6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1293.3000000000002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461.40000000000003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534.6</v>
      </c>
      <c r="G602" s="46">
        <f>IFERROR(Y137*1,"0")+IFERROR(Y138*1,"0")+IFERROR(Y142*1,"0")+IFERROR(Y143*1,"0")+IFERROR(Y147*1,"0")+IFERROR(Y148*1,"0")</f>
        <v>183.76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478.79999999999995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1220.3999999999999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109.84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67.2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77.7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240</v>
      </c>
      <c r="V602" s="46">
        <f>IFERROR(Y363*1,"0")+IFERROR(Y367*1,"0")+IFERROR(Y368*1,"0")+IFERROR(Y369*1,"0")</f>
        <v>764.1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6081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45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122.70000000000002</v>
      </c>
      <c r="Z602" s="46">
        <f>IFERROR(Y451*1,"0")+IFERROR(Y452*1,"0")+IFERROR(Y456*1,"0")+IFERROR(Y457*1,"0")+IFERROR(Y458*1,"0")+IFERROR(Y459*1,"0")</f>
        <v>30</v>
      </c>
      <c r="AA602" s="46">
        <f>IFERROR(Y464*1,"0")+IFERROR(Y465*1,"0")</f>
        <v>30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559.68000000000006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450</v>
      </c>
      <c r="AE602" s="46">
        <f>IFERROR(Y577*1,"0")+IFERROR(Y581*1,"0")+IFERROR(Y585*1,"0")+IFERROR(Y589*1,"0")</f>
        <v>0</v>
      </c>
      <c r="AF602" s="663"/>
    </row>
  </sheetData>
  <sheetProtection algorithmName="SHA-512" hashValue="//lcoeythO185ykdiVw3BikNy6aTFNnPpAKsTRVi2+/1OnGZu3jIQQ6hWPlAbG9elJGBHYlotKl6WB8kZ6jUpg==" saltValue="+Hzl7AjmKqeUYCNL4pfEE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5 X377 X380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MACWv9sxb7VA9LM202W/6iq8mvOIJssp4mU52UzcluJl9gfB3DjcYTSQCqCZqU4oLkVZVOAKpkA89FF2Ow2/cg==" saltValue="kbwwD4Wu0Cp680t3WuKOR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2025-04-23T08:44:31Z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