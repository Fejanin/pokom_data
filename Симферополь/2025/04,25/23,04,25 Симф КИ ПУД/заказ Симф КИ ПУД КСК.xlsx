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4921ADAE-6A70-4869-9021-AA6D54FF65F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P500" i="1"/>
  <c r="BO499" i="1"/>
  <c r="BM499" i="1"/>
  <c r="Y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P439" i="1"/>
  <c r="BO438" i="1"/>
  <c r="BM438" i="1"/>
  <c r="Y438" i="1"/>
  <c r="BP438" i="1" s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P435" i="1"/>
  <c r="BP434" i="1"/>
  <c r="BO434" i="1"/>
  <c r="BN434" i="1"/>
  <c r="BM434" i="1"/>
  <c r="Z434" i="1"/>
  <c r="Y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Y426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BO417" i="1"/>
  <c r="BM417" i="1"/>
  <c r="Y417" i="1"/>
  <c r="BP417" i="1" s="1"/>
  <c r="BO416" i="1"/>
  <c r="BM416" i="1"/>
  <c r="Y416" i="1"/>
  <c r="Y421" i="1" s="1"/>
  <c r="P416" i="1"/>
  <c r="X414" i="1"/>
  <c r="X413" i="1"/>
  <c r="BO412" i="1"/>
  <c r="BM412" i="1"/>
  <c r="Y412" i="1"/>
  <c r="Y414" i="1" s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P405" i="1"/>
  <c r="BO405" i="1"/>
  <c r="BN405" i="1"/>
  <c r="BM405" i="1"/>
  <c r="Z405" i="1"/>
  <c r="Y405" i="1"/>
  <c r="P405" i="1"/>
  <c r="BO404" i="1"/>
  <c r="BM404" i="1"/>
  <c r="Y404" i="1"/>
  <c r="Y408" i="1" s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P394" i="1" s="1"/>
  <c r="BO393" i="1"/>
  <c r="BM393" i="1"/>
  <c r="Y393" i="1"/>
  <c r="Y396" i="1" s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BP378" i="1" s="1"/>
  <c r="P378" i="1"/>
  <c r="BP377" i="1"/>
  <c r="BO377" i="1"/>
  <c r="BN377" i="1"/>
  <c r="BM377" i="1"/>
  <c r="Z377" i="1"/>
  <c r="Y377" i="1"/>
  <c r="P377" i="1"/>
  <c r="BO376" i="1"/>
  <c r="BM376" i="1"/>
  <c r="Y376" i="1"/>
  <c r="BP376" i="1" s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Y370" i="1" s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Y353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1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2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A10" i="1" s="1"/>
  <c r="D7" i="1"/>
  <c r="Q6" i="1"/>
  <c r="P2" i="1"/>
  <c r="Z226" i="1" l="1"/>
  <c r="F9" i="1"/>
  <c r="J9" i="1"/>
  <c r="F10" i="1"/>
  <c r="Z22" i="1"/>
  <c r="BN22" i="1"/>
  <c r="BP22" i="1"/>
  <c r="Z26" i="1"/>
  <c r="BN26" i="1"/>
  <c r="X596" i="1"/>
  <c r="Y29" i="1"/>
  <c r="C602" i="1"/>
  <c r="Z38" i="1"/>
  <c r="BN38" i="1"/>
  <c r="BP38" i="1"/>
  <c r="Z40" i="1"/>
  <c r="Z41" i="1" s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2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8" i="1" s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BP213" i="1"/>
  <c r="Z215" i="1"/>
  <c r="BN215" i="1"/>
  <c r="Z217" i="1"/>
  <c r="BN217" i="1"/>
  <c r="Z219" i="1"/>
  <c r="BN219" i="1"/>
  <c r="Z225" i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BN256" i="1"/>
  <c r="BP256" i="1"/>
  <c r="Z258" i="1"/>
  <c r="Z261" i="1" s="1"/>
  <c r="BN258" i="1"/>
  <c r="Z260" i="1"/>
  <c r="BN260" i="1"/>
  <c r="Y261" i="1"/>
  <c r="Z265" i="1"/>
  <c r="Z266" i="1" s="1"/>
  <c r="BN265" i="1"/>
  <c r="BP265" i="1"/>
  <c r="Y266" i="1"/>
  <c r="BP271" i="1"/>
  <c r="BN271" i="1"/>
  <c r="Z271" i="1"/>
  <c r="Z273" i="1" s="1"/>
  <c r="BP280" i="1"/>
  <c r="BN280" i="1"/>
  <c r="Z280" i="1"/>
  <c r="Y310" i="1"/>
  <c r="BP321" i="1"/>
  <c r="BN321" i="1"/>
  <c r="Z321" i="1"/>
  <c r="H9" i="1"/>
  <c r="Y28" i="1"/>
  <c r="Y55" i="1"/>
  <c r="Y139" i="1"/>
  <c r="Y172" i="1"/>
  <c r="Y193" i="1"/>
  <c r="Y238" i="1"/>
  <c r="Y267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5" i="1"/>
  <c r="Y326" i="1"/>
  <c r="BP319" i="1"/>
  <c r="BN319" i="1"/>
  <c r="Z319" i="1"/>
  <c r="BP323" i="1"/>
  <c r="BN323" i="1"/>
  <c r="Z323" i="1"/>
  <c r="Z353" i="1"/>
  <c r="O602" i="1"/>
  <c r="Y274" i="1"/>
  <c r="P602" i="1"/>
  <c r="Y283" i="1"/>
  <c r="Y288" i="1"/>
  <c r="Y301" i="1"/>
  <c r="S602" i="1"/>
  <c r="Y306" i="1"/>
  <c r="Z329" i="1"/>
  <c r="Z332" i="1" s="1"/>
  <c r="BN329" i="1"/>
  <c r="BP329" i="1"/>
  <c r="Z331" i="1"/>
  <c r="BN331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BN351" i="1"/>
  <c r="BP351" i="1"/>
  <c r="Z357" i="1"/>
  <c r="Z359" i="1" s="1"/>
  <c r="BN357" i="1"/>
  <c r="BP357" i="1"/>
  <c r="Y365" i="1"/>
  <c r="Z368" i="1"/>
  <c r="Z370" i="1" s="1"/>
  <c r="BN368" i="1"/>
  <c r="BP368" i="1"/>
  <c r="W602" i="1"/>
  <c r="Z376" i="1"/>
  <c r="Z385" i="1" s="1"/>
  <c r="BN376" i="1"/>
  <c r="Z378" i="1"/>
  <c r="BN378" i="1"/>
  <c r="Z380" i="1"/>
  <c r="BN380" i="1"/>
  <c r="Z382" i="1"/>
  <c r="BN382" i="1"/>
  <c r="Z384" i="1"/>
  <c r="BN384" i="1"/>
  <c r="Y385" i="1"/>
  <c r="Z388" i="1"/>
  <c r="Z390" i="1" s="1"/>
  <c r="BN388" i="1"/>
  <c r="BP388" i="1"/>
  <c r="Y391" i="1"/>
  <c r="Z393" i="1"/>
  <c r="BN393" i="1"/>
  <c r="BP393" i="1"/>
  <c r="Z394" i="1"/>
  <c r="BN394" i="1"/>
  <c r="Y395" i="1"/>
  <c r="X602" i="1"/>
  <c r="Z404" i="1"/>
  <c r="Z408" i="1" s="1"/>
  <c r="BN404" i="1"/>
  <c r="BP404" i="1"/>
  <c r="Z406" i="1"/>
  <c r="BN406" i="1"/>
  <c r="Y409" i="1"/>
  <c r="Z412" i="1"/>
  <c r="Z413" i="1" s="1"/>
  <c r="BN412" i="1"/>
  <c r="BP412" i="1"/>
  <c r="Z416" i="1"/>
  <c r="BN416" i="1"/>
  <c r="BP416" i="1"/>
  <c r="Z417" i="1"/>
  <c r="BN417" i="1"/>
  <c r="Z419" i="1"/>
  <c r="BN419" i="1"/>
  <c r="Y422" i="1"/>
  <c r="Z424" i="1"/>
  <c r="Z425" i="1" s="1"/>
  <c r="BN424" i="1"/>
  <c r="BP424" i="1"/>
  <c r="Y425" i="1"/>
  <c r="Y602" i="1"/>
  <c r="Z435" i="1"/>
  <c r="Z442" i="1" s="1"/>
  <c r="BN435" i="1"/>
  <c r="Z437" i="1"/>
  <c r="BN437" i="1"/>
  <c r="Z438" i="1"/>
  <c r="BN438" i="1"/>
  <c r="Y443" i="1"/>
  <c r="Y447" i="1"/>
  <c r="Y454" i="1"/>
  <c r="Y46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Y386" i="1"/>
  <c r="Z439" i="1"/>
  <c r="BN439" i="1"/>
  <c r="Z441" i="1"/>
  <c r="BN441" i="1"/>
  <c r="Y442" i="1"/>
  <c r="Z445" i="1"/>
  <c r="Z447" i="1" s="1"/>
  <c r="BN445" i="1"/>
  <c r="BP445" i="1"/>
  <c r="Z452" i="1"/>
  <c r="Z453" i="1" s="1"/>
  <c r="BN452" i="1"/>
  <c r="Z457" i="1"/>
  <c r="Z460" i="1" s="1"/>
  <c r="BN457" i="1"/>
  <c r="Z458" i="1"/>
  <c r="BN458" i="1"/>
  <c r="Y467" i="1"/>
  <c r="Y472" i="1"/>
  <c r="AC602" i="1"/>
  <c r="Y497" i="1"/>
  <c r="BP480" i="1"/>
  <c r="BN480" i="1"/>
  <c r="BP482" i="1"/>
  <c r="BN482" i="1"/>
  <c r="Z482" i="1"/>
  <c r="Z496" i="1" s="1"/>
  <c r="BP487" i="1"/>
  <c r="BN487" i="1"/>
  <c r="Z487" i="1"/>
  <c r="BP490" i="1"/>
  <c r="BN490" i="1"/>
  <c r="Z490" i="1"/>
  <c r="BP492" i="1"/>
  <c r="BN492" i="1"/>
  <c r="Z492" i="1"/>
  <c r="Y496" i="1"/>
  <c r="Y504" i="1"/>
  <c r="BP499" i="1"/>
  <c r="BN499" i="1"/>
  <c r="Z499" i="1"/>
  <c r="Z503" i="1" s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Z529" i="1" s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66" i="1" l="1"/>
  <c r="Y596" i="1"/>
  <c r="Y593" i="1"/>
  <c r="Y595" i="1" s="1"/>
  <c r="Z548" i="1"/>
  <c r="Z518" i="1"/>
  <c r="Z421" i="1"/>
  <c r="Z395" i="1"/>
  <c r="Z346" i="1"/>
  <c r="Z340" i="1"/>
  <c r="Z325" i="1"/>
  <c r="Z183" i="1"/>
  <c r="Z55" i="1"/>
  <c r="Y592" i="1"/>
  <c r="Y594" i="1"/>
  <c r="Z28" i="1"/>
  <c r="Z597" i="1" s="1"/>
</calcChain>
</file>

<file path=xl/sharedStrings.xml><?xml version="1.0" encoding="utf-8"?>
<sst xmlns="http://schemas.openxmlformats.org/spreadsheetml/2006/main" count="2733" uniqueCount="969">
  <si>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</si>
  <si>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</si>
  <si>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</si>
  <si>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</si>
  <si>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</si>
  <si>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</si>
  <si>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</si>
  <si>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</si>
  <si>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</si>
  <si>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</si>
  <si>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</si>
  <si>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</si>
  <si>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</si>
  <si>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</si>
  <si>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</si>
  <si>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</si>
  <si>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</si>
  <si>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</si>
  <si>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</si>
  <si>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</si>
  <si>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</si>
  <si>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</si>
  <si>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</si>
  <si>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</si>
  <si>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</si>
  <si>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</si>
  <si>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</si>
  <si>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</si>
  <si>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</si>
  <si>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</si>
  <si>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</si>
  <si>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</si>
  <si>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</si>
  <si>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</si>
  <si>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</si>
  <si>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</si>
  <si>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</si>
  <si>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</si>
  <si>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</si>
  <si>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</si>
  <si>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</si>
  <si>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</si>
  <si>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</si>
  <si>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</si>
  <si>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</si>
  <si>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</si>
  <si>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</si>
  <si>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</si>
  <si>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</si>
  <si>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</si>
  <si>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</si>
  <si>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</si>
  <si>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</si>
  <si>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</si>
  <si>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</si>
  <si>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</si>
  <si>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</si>
  <si>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</si>
  <si>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</si>
  <si>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</si>
  <si>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</si>
  <si>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</si>
  <si>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</si>
  <si>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</si>
  <si>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</si>
  <si>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</si>
  <si>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</si>
  <si>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</si>
  <si>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</si>
  <si>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</si>
  <si>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</si>
  <si>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</si>
  <si>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</si>
  <si>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</si>
  <si>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</si>
  <si>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</si>
  <si>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</si>
  <si>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</si>
  <si>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</si>
  <si>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</si>
  <si>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</si>
  <si>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</si>
  <si>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</si>
  <si>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</si>
  <si>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</si>
  <si>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</si>
  <si>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</si>
  <si>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</si>
  <si>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</si>
  <si>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</si>
  <si>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</si>
  <si>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</si>
  <si>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</si>
  <si>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</si>
  <si>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</si>
  <si>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</si>
  <si>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</si>
  <si>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</si>
  <si>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</si>
  <si>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</si>
  <si>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</si>
  <si>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</si>
  <si>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</si>
  <si>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</si>
  <si>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</si>
  <si>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</si>
  <si>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</si>
  <si>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</si>
  <si>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</si>
  <si>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</si>
  <si>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</si>
  <si>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</si>
  <si>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</si>
  <si>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</si>
  <si>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</si>
  <si>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</si>
  <si>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</si>
  <si>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</si>
  <si>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</si>
  <si>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</si>
  <si>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</si>
  <si>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</si>
  <si>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</si>
  <si>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</si>
  <si>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</si>
  <si>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</si>
  <si>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</si>
  <si>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</si>
  <si>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</si>
  <si>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</si>
  <si>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</si>
  <si>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</si>
  <si>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</si>
  <si>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</si>
  <si>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</si>
  <si>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</si>
  <si>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</si>
  <si>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</si>
  <si>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</si>
  <si>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</si>
  <si>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</si>
  <si>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</si>
  <si>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</si>
  <si>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</si>
  <si>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</si>
  <si>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</si>
  <si>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</si>
  <si>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</si>
  <si>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</si>
  <si>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</si>
  <si>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</si>
  <si>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</si>
  <si>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</si>
  <si>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</si>
  <si>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</si>
  <si>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</si>
  <si>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</si>
  <si>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</si>
  <si>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</si>
  <si>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</si>
  <si>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</si>
  <si>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</si>
  <si>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</si>
  <si>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</si>
  <si>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</si>
  <si>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</si>
  <si>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</si>
  <si>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</si>
  <si>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</si>
  <si>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</si>
  <si>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</si>
  <si>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</si>
  <si>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</si>
  <si>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</si>
  <si>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</si>
  <si>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</si>
  <si>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</si>
  <si>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</si>
  <si>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</si>
  <si>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</si>
  <si>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</si>
  <si>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</si>
  <si>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</si>
  <si>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</si>
  <si>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</si>
  <si>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</si>
  <si>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</si>
  <si>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</si>
  <si>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</si>
  <si>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</si>
  <si>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</si>
  <si>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</si>
  <si>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</si>
  <si>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</si>
  <si>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</si>
  <si>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</si>
  <si>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</si>
  <si>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</si>
  <si>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</si>
  <si>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</si>
  <si>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</si>
  <si>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</si>
  <si>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</si>
  <si>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</si>
  <si>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</si>
  <si>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</si>
  <si>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</si>
  <si>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</si>
  <si>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</si>
  <si>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</si>
  <si>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</si>
  <si>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</si>
  <si>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</si>
  <si>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</si>
  <si>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</si>
  <si>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</si>
  <si>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</si>
  <si>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</si>
  <si>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</si>
  <si>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</si>
  <si>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</si>
  <si>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</si>
  <si>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</si>
  <si>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</si>
  <si>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</si>
  <si>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</si>
  <si>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</si>
  <si>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</si>
  <si>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</si>
  <si>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</si>
  <si>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</si>
  <si>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</si>
  <si>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</si>
  <si>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</si>
  <si>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</si>
  <si>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</si>
  <si>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</si>
  <si>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</si>
  <si>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</si>
  <si>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</si>
  <si>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</si>
  <si>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</si>
  <si>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</si>
  <si>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</si>
  <si>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</si>
  <si>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</si>
  <si>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</si>
  <si>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</si>
  <si>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</si>
  <si>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</si>
  <si>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</si>
  <si>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</si>
  <si>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</si>
  <si>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</si>
  <si>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</si>
  <si>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</si>
  <si>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</si>
  <si>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</si>
  <si>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</si>
  <si>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</si>
  <si>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</si>
  <si>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</si>
  <si>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</si>
  <si>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</si>
  <si>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</si>
  <si>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</si>
  <si>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</si>
  <si>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</si>
  <si>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</si>
  <si>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</si>
  <si>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</si>
  <si>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</si>
  <si>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</si>
  <si>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</si>
  <si>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</si>
  <si>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</si>
  <si>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</si>
  <si>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</si>
  <si>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</si>
  <si>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</si>
  <si>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</si>
  <si>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</si>
  <si>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</si>
  <si>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</si>
  <si>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</si>
  <si>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</si>
  <si>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</si>
  <si>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</si>
  <si>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</si>
  <si>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</si>
  <si>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</si>
  <si>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</si>
  <si>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</si>
  <si>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</si>
  <si>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</si>
  <si>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</si>
  <si>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</si>
  <si>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</si>
  <si>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</si>
  <si>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</si>
  <si>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</si>
  <si>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</si>
  <si>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</si>
  <si>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</si>
  <si>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</si>
  <si>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</si>
  <si>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</si>
  <si>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</si>
  <si>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</si>
  <si>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</si>
  <si>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</si>
  <si>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</si>
  <si>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</si>
  <si>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</si>
  <si>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</si>
  <si>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</si>
  <si>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</si>
  <si>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</si>
  <si>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</si>
  <si>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</si>
  <si>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</si>
  <si>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</si>
  <si>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</si>
  <si>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</si>
  <si>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</si>
  <si>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</si>
  <si>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</si>
  <si>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</si>
  <si>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</si>
  <si>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</si>
  <si>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</si>
  <si>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</si>
  <si>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</si>
  <si>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</si>
  <si>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</si>
  <si>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</si>
  <si>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</si>
  <si>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</si>
  <si>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</si>
  <si>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</si>
  <si>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</si>
  <si>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</si>
  <si>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</si>
  <si>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</si>
  <si>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</si>
  <si>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</si>
  <si>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</si>
  <si>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</si>
  <si>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</si>
  <si>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</si>
  <si>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</si>
  <si>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</si>
  <si>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</si>
  <si>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</si>
  <si>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</si>
  <si>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</si>
  <si>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</si>
  <si>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</si>
  <si>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</si>
  <si>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</si>
  <si>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</si>
  <si>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</si>
  <si>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</si>
  <si>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</si>
  <si>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</si>
  <si>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</si>
  <si>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</si>
  <si>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</si>
  <si>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</si>
  <si>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</si>
  <si>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</si>
  <si>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</si>
  <si>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</si>
  <si>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</si>
  <si>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</si>
  <si>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</si>
  <si>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</si>
  <si>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</si>
  <si>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</si>
  <si>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</si>
  <si>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</si>
  <si>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</si>
  <si>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</si>
  <si>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</si>
  <si>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</si>
  <si>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</si>
  <si>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</si>
  <si>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</si>
  <si>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</si>
  <si>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</si>
  <si>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</si>
  <si>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</si>
  <si>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</si>
  <si>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</si>
  <si>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</si>
  <si>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</si>
  <si>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</si>
  <si>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</si>
  <si>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</si>
  <si>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</si>
  <si>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</si>
  <si>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</si>
  <si>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</si>
  <si>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</si>
  <si>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</si>
  <si>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</si>
  <si>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</si>
  <si>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</si>
  <si>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</si>
  <si>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</si>
  <si>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</si>
  <si>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</si>
  <si>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</si>
  <si>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</si>
  <si>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</si>
  <si>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</si>
  <si>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</si>
  <si>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</si>
  <si>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</si>
  <si>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</si>
  <si>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</si>
  <si>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</si>
  <si>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</si>
  <si>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</si>
  <si>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</si>
  <si>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</si>
  <si>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</si>
  <si>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</si>
  <si>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</si>
  <si>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</si>
  <si>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</si>
  <si>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</si>
  <si>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</si>
  <si>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</si>
  <si>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</si>
  <si>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</si>
  <si>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</si>
  <si>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</si>
  <si>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</si>
  <si>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</si>
  <si>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</si>
  <si>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</si>
  <si>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</si>
  <si>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</si>
  <si>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</si>
  <si>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</si>
  <si>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</si>
  <si>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</si>
  <si>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</si>
  <si>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</si>
  <si>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</si>
  <si>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</si>
  <si>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</si>
  <si>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</si>
  <si>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</si>
  <si>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</si>
  <si>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</si>
  <si>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</si>
  <si>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</si>
  <si>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</si>
  <si>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</si>
  <si>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</si>
  <si>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</si>
  <si>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</si>
  <si>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</si>
  <si>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</si>
  <si>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</si>
  <si>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</si>
  <si>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</si>
  <si>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</si>
  <si>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</si>
  <si>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</si>
  <si>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</si>
  <si>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</si>
  <si>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</si>
  <si>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</si>
  <si>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</si>
  <si>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</si>
  <si>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</si>
  <si>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</si>
  <si>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</si>
  <si>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</si>
  <si>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</si>
  <si>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</si>
  <si>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</si>
  <si>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</si>
  <si>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</si>
  <si>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</si>
  <si>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</si>
  <si>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</si>
  <si>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</si>
  <si>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</si>
  <si>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</si>
  <si>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</si>
  <si>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</si>
  <si>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</si>
  <si>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</si>
  <si>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</si>
  <si>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</si>
  <si>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</si>
  <si>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</si>
  <si>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</si>
  <si>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</si>
  <si>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</si>
  <si>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</si>
  <si>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</si>
  <si>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</si>
  <si>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</si>
  <si>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</si>
  <si>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</si>
  <si>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</si>
  <si>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</si>
  <si>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</si>
  <si>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</si>
  <si>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</si>
  <si>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</si>
  <si>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</si>
  <si>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</si>
  <si>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</si>
  <si>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</si>
  <si>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</si>
  <si>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</si>
  <si>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</si>
  <si>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</si>
  <si>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</si>
  <si>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</si>
  <si>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</si>
  <si>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</si>
  <si>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</si>
  <si>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</si>
  <si>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</si>
  <si>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</si>
  <si>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</si>
  <si>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</si>
  <si>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</si>
  <si>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</si>
  <si>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</si>
  <si>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</si>
  <si>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</si>
  <si>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</si>
  <si>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</si>
  <si>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</si>
  <si>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</si>
  <si>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</si>
  <si>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</si>
  <si>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</si>
  <si>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</si>
  <si>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</si>
  <si>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</si>
  <si>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</si>
  <si>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</si>
  <si>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</si>
  <si>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</si>
  <si>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</si>
  <si>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</si>
  <si>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</si>
  <si>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</si>
  <si>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</si>
  <si>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</si>
  <si>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</si>
  <si>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</si>
  <si>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</si>
  <si>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</si>
  <si>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</si>
  <si>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</si>
  <si>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</si>
  <si>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</si>
  <si>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</si>
  <si>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</si>
  <si>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</si>
  <si>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</si>
  <si>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</si>
  <si>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</si>
  <si>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</si>
  <si>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</si>
  <si>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</si>
  <si>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</si>
  <si>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</si>
  <si>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</si>
  <si>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</si>
  <si>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</si>
  <si>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</si>
  <si>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</si>
  <si>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</si>
  <si>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</si>
  <si>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</si>
  <si>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</si>
  <si>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</si>
  <si>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</si>
  <si>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</si>
  <si>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</si>
  <si>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</si>
  <si>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</si>
  <si>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</si>
  <si>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</si>
  <si>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</si>
  <si>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</si>
  <si>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</si>
  <si>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</si>
  <si>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</si>
  <si>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</si>
  <si>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</si>
  <si>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</si>
  <si>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</si>
  <si>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</si>
  <si>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</si>
  <si>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</si>
  <si>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</si>
  <si>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</si>
  <si>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</si>
  <si>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</si>
  <si>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</si>
  <si>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</si>
  <si>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</si>
  <si>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</si>
  <si>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</si>
  <si>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</si>
  <si>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</si>
  <si>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</si>
  <si>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</si>
  <si>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</si>
  <si>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</si>
  <si>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</si>
  <si>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</si>
  <si>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P003323</t>
  </si>
  <si>
    <t>ЕАЭС N RU Д-RU.РА03.В.86680/22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</si>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</sst>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8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45772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Пятница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0.375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308</v>
      </c>
      <c r="Y38" s="666">
        <f>IFERROR(IF(X38="",0,CEILING((X38/$H38),1)*$H38),"")</f>
        <v>308</v>
      </c>
      <c r="Z38" s="36">
        <f>IFERROR(IF(Y38=0,"",ROUNDUP(Y38/H38,0)*0.00902),"")</f>
        <v>0.69454000000000005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324.17</v>
      </c>
      <c r="BN38" s="64">
        <f>IFERROR(Y38*I38/H38,"0")</f>
        <v>324.17</v>
      </c>
      <c r="BO38" s="64">
        <f>IFERROR(1/J38*(X38/H38),"0")</f>
        <v>0.58333333333333337</v>
      </c>
      <c r="BP38" s="64">
        <f>IFERROR(1/J38*(Y38/H38),"0")</f>
        <v>0.58333333333333337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77</v>
      </c>
      <c r="Y41" s="667">
        <f>IFERROR(Y37/H37,"0")+IFERROR(Y38/H38,"0")+IFERROR(Y39/H39,"0")+IFERROR(Y40/H40,"0")</f>
        <v>77</v>
      </c>
      <c r="Z41" s="667">
        <f>IFERROR(IF(Z37="",0,Z37),"0")+IFERROR(IF(Z38="",0,Z38),"0")+IFERROR(IF(Z39="",0,Z39),"0")+IFERROR(IF(Z40="",0,Z40),"0")</f>
        <v>0.69454000000000005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308</v>
      </c>
      <c r="Y42" s="667">
        <f>IFERROR(SUM(Y37:Y40),"0")</f>
        <v>308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86.4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850.5</v>
      </c>
      <c r="Y54" s="666">
        <f t="shared" si="6"/>
        <v>850.5</v>
      </c>
      <c r="Z54" s="36">
        <f>IFERROR(IF(Y54=0,"",ROUNDUP(Y54/H54,0)*0.00902),"")</f>
        <v>1.70478</v>
      </c>
      <c r="AA54" s="56"/>
      <c r="AB54" s="57"/>
      <c r="AC54" s="103" t="s">
        <v>125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890.19</v>
      </c>
      <c r="BN54" s="64">
        <f t="shared" si="8"/>
        <v>890.19</v>
      </c>
      <c r="BO54" s="64">
        <f t="shared" si="9"/>
        <v>1.4318181818181819</v>
      </c>
      <c r="BP54" s="64">
        <f t="shared" si="10"/>
        <v>1.4318181818181819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189</v>
      </c>
      <c r="Y55" s="667">
        <f>IFERROR(Y49/H49,"0")+IFERROR(Y50/H50,"0")+IFERROR(Y51/H51,"0")+IFERROR(Y52/H52,"0")+IFERROR(Y53/H53,"0")+IFERROR(Y54/H54,"0")</f>
        <v>189</v>
      </c>
      <c r="Z55" s="667">
        <f>IFERROR(IF(Z49="",0,Z49),"0")+IFERROR(IF(Z50="",0,Z50),"0")+IFERROR(IF(Z51="",0,Z51),"0")+IFERROR(IF(Z52="",0,Z52),"0")+IFERROR(IF(Z53="",0,Z53),"0")+IFERROR(IF(Z54="",0,Z54),"0")</f>
        <v>1.70478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850.5</v>
      </c>
      <c r="Y56" s="667">
        <f>IFERROR(SUM(Y49:Y54),"0")</f>
        <v>850.5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37.799999999999997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9">
        <v>4680115881532</v>
      </c>
      <c r="E80" s="670"/>
      <c r="F80" s="664">
        <v>1.3</v>
      </c>
      <c r="G80" s="32">
        <v>6</v>
      </c>
      <c r="H80" s="664">
        <v>7.8</v>
      </c>
      <c r="I80" s="664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9">
        <v>4680115881532</v>
      </c>
      <c r="E81" s="670"/>
      <c r="F81" s="664">
        <v>1.4</v>
      </c>
      <c r="G81" s="32">
        <v>6</v>
      </c>
      <c r="H81" s="664">
        <v>8.4</v>
      </c>
      <c r="I81" s="664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162</v>
      </c>
      <c r="Y89" s="666">
        <f>IFERROR(IF(X89="",0,CEILING((X89/$H89),1)*$H89),"")</f>
        <v>162</v>
      </c>
      <c r="Z89" s="36">
        <f>IFERROR(IF(Y89=0,"",ROUNDUP(Y89/H89,0)*0.00902),"")</f>
        <v>0.32472000000000001</v>
      </c>
      <c r="AA89" s="56"/>
      <c r="AB89" s="57"/>
      <c r="AC89" s="141" t="s">
        <v>191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169.56</v>
      </c>
      <c r="BN89" s="64">
        <f>IFERROR(Y89*I89/H89,"0")</f>
        <v>169.56</v>
      </c>
      <c r="BO89" s="64">
        <f>IFERROR(1/J89*(X89/H89),"0")</f>
        <v>0.27272727272727271</v>
      </c>
      <c r="BP89" s="64">
        <f>IFERROR(1/J89*(Y89/H89),"0")</f>
        <v>0.27272727272727271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36</v>
      </c>
      <c r="Y90" s="667">
        <f>IFERROR(Y87/H87,"0")+IFERROR(Y88/H88,"0")+IFERROR(Y89/H89,"0")</f>
        <v>36</v>
      </c>
      <c r="Z90" s="667">
        <f>IFERROR(IF(Z87="",0,Z87),"0")+IFERROR(IF(Z88="",0,Z88),"0")+IFERROR(IF(Z89="",0,Z89),"0")</f>
        <v>0.32472000000000001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162</v>
      </c>
      <c r="Y91" s="667">
        <f>IFERROR(SUM(Y87:Y89),"0")</f>
        <v>162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299.7</v>
      </c>
      <c r="Y97" s="666">
        <f t="shared" si="16"/>
        <v>299.70000000000005</v>
      </c>
      <c r="Z97" s="36">
        <f>IFERROR(IF(Y97=0,"",ROUNDUP(Y97/H97,0)*0.00651),"")</f>
        <v>0.72260999999999997</v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327.67199999999997</v>
      </c>
      <c r="BN97" s="64">
        <f t="shared" si="18"/>
        <v>327.67200000000003</v>
      </c>
      <c r="BO97" s="64">
        <f t="shared" si="19"/>
        <v>0.60989010989010983</v>
      </c>
      <c r="BP97" s="64">
        <f t="shared" si="20"/>
        <v>0.60989010989011005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110.99999999999999</v>
      </c>
      <c r="Y102" s="667">
        <f>IFERROR(Y93/H93,"0")+IFERROR(Y94/H94,"0")+IFERROR(Y95/H95,"0")+IFERROR(Y96/H96,"0")+IFERROR(Y97/H97,"0")+IFERROR(Y98/H98,"0")+IFERROR(Y99/H99,"0")+IFERROR(Y100/H100,"0")+IFERROR(Y101/H101,"0")</f>
        <v>111.00000000000001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0.72260999999999997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299.7</v>
      </c>
      <c r="Y103" s="667">
        <f>IFERROR(SUM(Y93:Y101),"0")</f>
        <v>299.70000000000005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558</v>
      </c>
      <c r="Y108" s="666">
        <f>IFERROR(IF(X108="",0,CEILING((X108/$H108),1)*$H108),"")</f>
        <v>558</v>
      </c>
      <c r="Z108" s="36">
        <f>IFERROR(IF(Y108=0,"",ROUNDUP(Y108/H108,0)*0.00902),"")</f>
        <v>1.1184799999999999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584.04</v>
      </c>
      <c r="BN108" s="64">
        <f>IFERROR(Y108*I108/H108,"0")</f>
        <v>584.04</v>
      </c>
      <c r="BO108" s="64">
        <f>IFERROR(1/J108*(X108/H108),"0")</f>
        <v>0.93939393939393945</v>
      </c>
      <c r="BP108" s="64">
        <f>IFERROR(1/J108*(Y108/H108),"0")</f>
        <v>0.93939393939393945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124</v>
      </c>
      <c r="Y110" s="667">
        <f>IFERROR(Y106/H106,"0")+IFERROR(Y107/H107,"0")+IFERROR(Y108/H108,"0")+IFERROR(Y109/H109,"0")</f>
        <v>124</v>
      </c>
      <c r="Z110" s="667">
        <f>IFERROR(IF(Z106="",0,Z106),"0")+IFERROR(IF(Z107="",0,Z107),"0")+IFERROR(IF(Z108="",0,Z108),"0")+IFERROR(IF(Z109="",0,Z109),"0")</f>
        <v>1.1184799999999999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558</v>
      </c>
      <c r="Y111" s="667">
        <f>IFERROR(SUM(Y106:Y109),"0")</f>
        <v>558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688.5</v>
      </c>
      <c r="Y124" s="666">
        <f t="shared" si="21"/>
        <v>688.5</v>
      </c>
      <c r="Z124" s="36">
        <f t="shared" si="26"/>
        <v>1.66005</v>
      </c>
      <c r="AA124" s="56"/>
      <c r="AB124" s="57"/>
      <c r="AC124" s="185" t="s">
        <v>233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752.76</v>
      </c>
      <c r="BN124" s="64">
        <f t="shared" si="23"/>
        <v>752.76</v>
      </c>
      <c r="BO124" s="64">
        <f t="shared" si="24"/>
        <v>1.401098901098901</v>
      </c>
      <c r="BP124" s="64">
        <f t="shared" si="25"/>
        <v>1.401098901098901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254.99999999999997</v>
      </c>
      <c r="Y128" s="667">
        <f>IFERROR(Y119/H119,"0")+IFERROR(Y120/H120,"0")+IFERROR(Y121/H121,"0")+IFERROR(Y122/H122,"0")+IFERROR(Y123/H123,"0")+IFERROR(Y124/H124,"0")+IFERROR(Y125/H125,"0")+IFERROR(Y126/H126,"0")+IFERROR(Y127/H127,"0")</f>
        <v>254.99999999999997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1.66005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688.5</v>
      </c>
      <c r="Y129" s="667">
        <f>IFERROR(SUM(Y119:Y127),"0")</f>
        <v>688.5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230.4</v>
      </c>
      <c r="Y215" s="666">
        <f t="shared" si="37"/>
        <v>230.39999999999998</v>
      </c>
      <c r="Z215" s="36">
        <f t="shared" ref="Z215:Z220" si="42">IFERROR(IF(Y215=0,"",ROUNDUP(Y215/H215,0)*0.00651),"")</f>
        <v>0.62495999999999996</v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256.32</v>
      </c>
      <c r="BN215" s="64">
        <f t="shared" si="39"/>
        <v>256.31999999999994</v>
      </c>
      <c r="BO215" s="64">
        <f t="shared" si="40"/>
        <v>0.52747252747252749</v>
      </c>
      <c r="BP215" s="64">
        <f t="shared" si="41"/>
        <v>0.52747252747252749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295.2</v>
      </c>
      <c r="Y217" s="666">
        <f t="shared" si="37"/>
        <v>295.2</v>
      </c>
      <c r="Z217" s="36">
        <f t="shared" si="42"/>
        <v>0.80073000000000005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326.19600000000003</v>
      </c>
      <c r="BN217" s="64">
        <f t="shared" si="39"/>
        <v>326.19600000000003</v>
      </c>
      <c r="BO217" s="64">
        <f t="shared" si="40"/>
        <v>0.67582417582417587</v>
      </c>
      <c r="BP217" s="64">
        <f t="shared" si="41"/>
        <v>0.67582417582417587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219</v>
      </c>
      <c r="Y221" s="667">
        <f>IFERROR(Y212/H212,"0")+IFERROR(Y213/H213,"0")+IFERROR(Y214/H214,"0")+IFERROR(Y215/H215,"0")+IFERROR(Y216/H216,"0")+IFERROR(Y217/H217,"0")+IFERROR(Y218/H218,"0")+IFERROR(Y219/H219,"0")+IFERROR(Y220/H220,"0")</f>
        <v>219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1.4256899999999999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525.6</v>
      </c>
      <c r="Y222" s="667">
        <f>IFERROR(SUM(Y212:Y220),"0")</f>
        <v>525.59999999999991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101</v>
      </c>
      <c r="L230" s="32"/>
      <c r="M230" s="33" t="s">
        <v>387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389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101</v>
      </c>
      <c r="L233" s="32"/>
      <c r="M233" s="33" t="s">
        <v>387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388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396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IFERROR(IF(Y234=0,"",ROUNDUP(Y234/H234,0)*0.01898),"")</f>
        <v/>
      </c>
      <c r="AA234" s="56"/>
      <c r="AB234" s="57"/>
      <c r="AC234" s="297" t="s">
        <v>397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390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406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407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">
        <v>408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406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101</v>
      </c>
      <c r="L256" s="32"/>
      <c r="M256" s="33" t="s">
        <v>387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423</v>
      </c>
      <c r="B257" s="54" t="s">
        <v>426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124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126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495</v>
      </c>
      <c r="B320" s="54" t="s">
        <v>496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101</v>
      </c>
      <c r="L320" s="32"/>
      <c r="M320" s="33" t="s">
        <v>387</v>
      </c>
      <c r="N320" s="33"/>
      <c r="O320" s="32">
        <v>55</v>
      </c>
      <c r="P320" s="93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497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495</v>
      </c>
      <c r="B321" s="54" t="s">
        <v>498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101</v>
      </c>
      <c r="L321" s="32"/>
      <c r="M321" s="33" t="s">
        <v>108</v>
      </c>
      <c r="N321" s="33"/>
      <c r="O321" s="32">
        <v>55</v>
      </c>
      <c r="P321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279.3</v>
      </c>
      <c r="Y368" s="666">
        <f>IFERROR(IF(X368="",0,CEILING((X368/$H368),1)*$H368),"")</f>
        <v>279.3</v>
      </c>
      <c r="Z368" s="36">
        <f>IFERROR(IF(Y368=0,"",ROUNDUP(Y368/H368,0)*0.00651),"")</f>
        <v>0.86582999999999999</v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312.81599999999997</v>
      </c>
      <c r="BN368" s="64">
        <f>IFERROR(Y368*I368/H368,"0")</f>
        <v>312.81599999999997</v>
      </c>
      <c r="BO368" s="64">
        <f>IFERROR(1/J368*(X368/H368),"0")</f>
        <v>0.73076923076923084</v>
      </c>
      <c r="BP368" s="64">
        <f>IFERROR(1/J368*(Y368/H368),"0")</f>
        <v>0.73076923076923084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390.6</v>
      </c>
      <c r="Y369" s="666">
        <f>IFERROR(IF(X369="",0,CEILING((X369/$H369),1)*$H369),"")</f>
        <v>390.6</v>
      </c>
      <c r="Z369" s="36">
        <f>IFERROR(IF(Y369=0,"",ROUNDUP(Y369/H369,0)*0.00651),"")</f>
        <v>1.21086</v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435.24</v>
      </c>
      <c r="BN369" s="64">
        <f>IFERROR(Y369*I369/H369,"0")</f>
        <v>435.24</v>
      </c>
      <c r="BO369" s="64">
        <f>IFERROR(1/J369*(X369/H369),"0")</f>
        <v>1.0219780219780221</v>
      </c>
      <c r="BP369" s="64">
        <f>IFERROR(1/J369*(Y369/H369),"0")</f>
        <v>1.0219780219780221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319</v>
      </c>
      <c r="Y370" s="667">
        <f>IFERROR(Y367/H367,"0")+IFERROR(Y368/H368,"0")+IFERROR(Y369/H369,"0")</f>
        <v>319</v>
      </c>
      <c r="Z370" s="667">
        <f>IFERROR(IF(Z367="",0,Z367),"0")+IFERROR(IF(Z368="",0,Z368),"0")+IFERROR(IF(Z369="",0,Z369),"0")</f>
        <v>2.0766900000000001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669.90000000000009</v>
      </c>
      <c r="Y371" s="667">
        <f>IFERROR(SUM(Y367:Y369),"0")</f>
        <v>669.90000000000009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27" customHeight="1" x14ac:dyDescent="0.25">
      <c r="A375" s="54" t="s">
        <v>580</v>
      </c>
      <c r="B375" s="54" t="s">
        <v>581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/>
      <c r="M375" s="33" t="s">
        <v>387</v>
      </c>
      <c r="N375" s="33"/>
      <c r="O375" s="32">
        <v>60</v>
      </c>
      <c r="P375" s="88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582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580</v>
      </c>
      <c r="B376" s="54" t="s">
        <v>583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IFERROR(IF(Y376=0,"",ROUNDUP(Y376/H376,0)*0.02175),"")</f>
        <v/>
      </c>
      <c r="AA376" s="56"/>
      <c r="AB376" s="57"/>
      <c r="AC376" s="419" t="s">
        <v>584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/>
      <c r="M377" s="33" t="s">
        <v>387</v>
      </c>
      <c r="N377" s="33"/>
      <c r="O377" s="32">
        <v>60</v>
      </c>
      <c r="P377" s="89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585</v>
      </c>
      <c r="B378" s="54" t="s">
        <v>587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IFERROR(IF(Y378=0,"",ROUNDUP(Y378/H378,0)*0.02175),"")</f>
        <v/>
      </c>
      <c r="AA378" s="56"/>
      <c r="AB378" s="57"/>
      <c r="AC378" s="423" t="s">
        <v>588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4301011943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387</v>
      </c>
      <c r="N379" s="33"/>
      <c r="O379" s="32">
        <v>60</v>
      </c>
      <c r="P379" s="710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/>
      <c r="M380" s="33" t="s">
        <v>134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593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37.5" customHeight="1" x14ac:dyDescent="0.25">
      <c r="A381" s="54" t="s">
        <v>589</v>
      </c>
      <c r="B381" s="54" t="s">
        <v>594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IFERROR(IF(Y381=0,"",ROUNDUP(Y381/H381,0)*0.02175),"")</f>
        <v/>
      </c>
      <c r="AA381" s="56"/>
      <c r="AB381" s="57"/>
      <c r="AC381" s="429" t="s">
        <v>595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0</v>
      </c>
      <c r="Y386" s="667">
        <f>IFERROR(SUM(Y375:Y384),"0")</f>
        <v>0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605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37.5" customHeight="1" x14ac:dyDescent="0.25">
      <c r="A403" s="54" t="s">
        <v>621</v>
      </c>
      <c r="B403" s="54" t="s">
        <v>622</v>
      </c>
      <c r="C403" s="31">
        <v>4301011873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621</v>
      </c>
      <c r="B404" s="54" t="s">
        <v>624</v>
      </c>
      <c r="C404" s="31">
        <v>4301011483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4301031382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">
        <v>673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">
        <v>682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684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42</v>
      </c>
      <c r="Y459" s="666">
        <f>IFERROR(IF(X459="",0,CEILING((X459/$H459),1)*$H459),"")</f>
        <v>42</v>
      </c>
      <c r="Z459" s="36">
        <f>IFERROR(IF(Y459=0,"",ROUNDUP(Y459/H459,0)*0.00502),"")</f>
        <v>0.1004</v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44.599999999999994</v>
      </c>
      <c r="BN459" s="64">
        <f>IFERROR(Y459*I459/H459,"0")</f>
        <v>44.599999999999994</v>
      </c>
      <c r="BO459" s="64">
        <f>IFERROR(1/J459*(X459/H459),"0")</f>
        <v>8.5470085470085472E-2</v>
      </c>
      <c r="BP459" s="64">
        <f>IFERROR(1/J459*(Y459/H459),"0")</f>
        <v>8.5470085470085472E-2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20</v>
      </c>
      <c r="Y460" s="667">
        <f>IFERROR(Y456/H456,"0")+IFERROR(Y457/H457,"0")+IFERROR(Y458/H458,"0")+IFERROR(Y459/H459,"0")</f>
        <v>20</v>
      </c>
      <c r="Z460" s="667">
        <f>IFERROR(IF(Z456="",0,Z456),"0")+IFERROR(IF(Z457="",0,Z457),"0")+IFERROR(IF(Z458="",0,Z458),"0")+IFERROR(IF(Z459="",0,Z459),"0")</f>
        <v>0.1004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42</v>
      </c>
      <c r="Y461" s="667">
        <f>IFERROR(SUM(Y456:Y459),"0")</f>
        <v>42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4301020334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8" t="s">
        <v>775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777</v>
      </c>
      <c r="C500" s="31">
        <v>4301020222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102</v>
      </c>
      <c r="N500" s="33"/>
      <c r="O500" s="32">
        <v>55</v>
      </c>
      <c r="P500" s="91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776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4301031384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IFERROR(IF(Y515=0,"",ROUNDUP(Y515/H515,0)*0.00937),"")</f>
        <v/>
      </c>
      <c r="AA515" s="56"/>
      <c r="AB515" s="57"/>
      <c r="AC515" s="579" t="s">
        <v>796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814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815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106</v>
      </c>
      <c r="L517" s="32"/>
      <c r="M517" s="33" t="s">
        <v>68</v>
      </c>
      <c r="N517" s="33"/>
      <c r="O517" s="32">
        <v>70</v>
      </c>
      <c r="P517" s="906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101</v>
      </c>
      <c r="L561" s="32"/>
      <c r="M561" s="33" t="s">
        <v>134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101</v>
      </c>
      <c r="L572" s="32"/>
      <c r="M572" s="33" t="s">
        <v>134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4104.2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4104.2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4423.5640000000003</v>
      </c>
      <c r="Y593" s="667">
        <f>IFERROR(SUM(BN22:BN589),"0")</f>
        <v>4423.5639999999994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9</v>
      </c>
      <c r="Y594" s="38">
        <f>ROUNDUP(SUM(BP22:BP589),0)</f>
        <v>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4648.5640000000003</v>
      </c>
      <c r="Y595" s="667">
        <f>GrossWeightTotalR+PalletQtyTotalR*25</f>
        <v>4648.5639999999994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1350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1350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9.8279600000000009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308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850.5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461.70000000000005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1246.5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525.59999999999991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669.90000000000009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42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JRU8ARGUzfuWxFpNBWkr7dLeH0TrkMC3j8owNRU/xAvKemvt/9gEEGPpq4L3DRKvYpccCTZLt51/oQXjj+6fOA==" saltValue="2QUXHzRHq6a0I5YumsJB+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4 X89 X124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61 X280" xr:uid="{00000000-0002-0000-0000-000012000000}">
      <formula1>IF(AK50&gt;0,OR(X50=0,AND(IF(X50-AK50&gt;=0,TRUE,FALSE),X50&gt;0,IF(X50/(H50*K50)=ROUND(X50/(H50*K50),0),TRUE,FALSE))),FALSE)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OQwlY8RdzuQyoVeCstRNBrE7FI0s3ahrhNyD6bvWSE9dhtOkKVGRoymmNtvp9if1eZ5oF6zkTmhWBC5A4zQyhw==" saltValue="ekBQ8QundHv4wHDUxdoB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2025-04-23T08:26:28Z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