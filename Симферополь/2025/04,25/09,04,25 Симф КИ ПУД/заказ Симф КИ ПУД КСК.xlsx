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Simf\"/>
    </mc:Choice>
  </mc:AlternateContent>
  <xr:revisionPtr revIDLastSave="0" documentId="13_ncr:1_{E22CE7C6-D22A-4377-81E5-D9DA353257D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P517" i="1"/>
  <c r="BO517" i="1"/>
  <c r="BN517" i="1"/>
  <c r="BM517" i="1"/>
  <c r="Z517" i="1"/>
  <c r="Y517" i="1"/>
  <c r="P517" i="1"/>
  <c r="BO516" i="1"/>
  <c r="BM516" i="1"/>
  <c r="Y516" i="1"/>
  <c r="BP516" i="1" s="1"/>
  <c r="BO515" i="1"/>
  <c r="BM515" i="1"/>
  <c r="Y515" i="1"/>
  <c r="BP515" i="1" s="1"/>
  <c r="P515" i="1"/>
  <c r="BP514" i="1"/>
  <c r="BO514" i="1"/>
  <c r="BN514" i="1"/>
  <c r="BM514" i="1"/>
  <c r="Z514" i="1"/>
  <c r="Y514" i="1"/>
  <c r="P514" i="1"/>
  <c r="BO513" i="1"/>
  <c r="BM513" i="1"/>
  <c r="Y513" i="1"/>
  <c r="BP513" i="1" s="1"/>
  <c r="BO512" i="1"/>
  <c r="BM512" i="1"/>
  <c r="Y512" i="1"/>
  <c r="BP512" i="1" s="1"/>
  <c r="BO511" i="1"/>
  <c r="BM511" i="1"/>
  <c r="Y511" i="1"/>
  <c r="BP511" i="1" s="1"/>
  <c r="P511" i="1"/>
  <c r="BP510" i="1"/>
  <c r="BO510" i="1"/>
  <c r="BN510" i="1"/>
  <c r="BM510" i="1"/>
  <c r="Z510" i="1"/>
  <c r="Y510" i="1"/>
  <c r="BP509" i="1"/>
  <c r="BO509" i="1"/>
  <c r="BN509" i="1"/>
  <c r="BM509" i="1"/>
  <c r="Z509" i="1"/>
  <c r="Y509" i="1"/>
  <c r="BP508" i="1"/>
  <c r="BO508" i="1"/>
  <c r="BN508" i="1"/>
  <c r="BM508" i="1"/>
  <c r="Z508" i="1"/>
  <c r="Y508" i="1"/>
  <c r="BP507" i="1"/>
  <c r="BO507" i="1"/>
  <c r="BN507" i="1"/>
  <c r="BM507" i="1"/>
  <c r="Z507" i="1"/>
  <c r="Y507" i="1"/>
  <c r="BP506" i="1"/>
  <c r="BO506" i="1"/>
  <c r="BN506" i="1"/>
  <c r="BM506" i="1"/>
  <c r="Z506" i="1"/>
  <c r="Y506" i="1"/>
  <c r="X504" i="1"/>
  <c r="X503" i="1"/>
  <c r="BO502" i="1"/>
  <c r="BM502" i="1"/>
  <c r="Y502" i="1"/>
  <c r="BP502" i="1" s="1"/>
  <c r="BO501" i="1"/>
  <c r="BM501" i="1"/>
  <c r="Y501" i="1"/>
  <c r="BP501" i="1" s="1"/>
  <c r="BO500" i="1"/>
  <c r="BM500" i="1"/>
  <c r="Y500" i="1"/>
  <c r="BP500" i="1" s="1"/>
  <c r="P500" i="1"/>
  <c r="BP499" i="1"/>
  <c r="BO499" i="1"/>
  <c r="BN499" i="1"/>
  <c r="BM499" i="1"/>
  <c r="Z499" i="1"/>
  <c r="Y499" i="1"/>
  <c r="Y503" i="1" s="1"/>
  <c r="X497" i="1"/>
  <c r="X496" i="1"/>
  <c r="BO495" i="1"/>
  <c r="BM495" i="1"/>
  <c r="Y495" i="1"/>
  <c r="BP495" i="1" s="1"/>
  <c r="P495" i="1"/>
  <c r="BP494" i="1"/>
  <c r="BO494" i="1"/>
  <c r="BN494" i="1"/>
  <c r="BM494" i="1"/>
  <c r="Z494" i="1"/>
  <c r="Y494" i="1"/>
  <c r="P494" i="1"/>
  <c r="BO493" i="1"/>
  <c r="BM493" i="1"/>
  <c r="Y493" i="1"/>
  <c r="BP493" i="1" s="1"/>
  <c r="P493" i="1"/>
  <c r="BP492" i="1"/>
  <c r="BO492" i="1"/>
  <c r="BN492" i="1"/>
  <c r="BM492" i="1"/>
  <c r="Z492" i="1"/>
  <c r="Y492" i="1"/>
  <c r="BP491" i="1"/>
  <c r="BO491" i="1"/>
  <c r="BN491" i="1"/>
  <c r="BM491" i="1"/>
  <c r="Z491" i="1"/>
  <c r="Y491" i="1"/>
  <c r="BP490" i="1"/>
  <c r="BO490" i="1"/>
  <c r="BN490" i="1"/>
  <c r="BM490" i="1"/>
  <c r="Z490" i="1"/>
  <c r="Y490" i="1"/>
  <c r="BP489" i="1"/>
  <c r="BO489" i="1"/>
  <c r="BN489" i="1"/>
  <c r="BM489" i="1"/>
  <c r="Z489" i="1"/>
  <c r="Y489" i="1"/>
  <c r="P489" i="1"/>
  <c r="BO488" i="1"/>
  <c r="BM488" i="1"/>
  <c r="Y488" i="1"/>
  <c r="BP488" i="1" s="1"/>
  <c r="P488" i="1"/>
  <c r="BP487" i="1"/>
  <c r="BO487" i="1"/>
  <c r="BN487" i="1"/>
  <c r="BM487" i="1"/>
  <c r="Z487" i="1"/>
  <c r="Y487" i="1"/>
  <c r="P487" i="1"/>
  <c r="BO486" i="1"/>
  <c r="BM486" i="1"/>
  <c r="Y486" i="1"/>
  <c r="BP486" i="1" s="1"/>
  <c r="BO485" i="1"/>
  <c r="BM485" i="1"/>
  <c r="Y485" i="1"/>
  <c r="BP485" i="1" s="1"/>
  <c r="P485" i="1"/>
  <c r="BP484" i="1"/>
  <c r="BO484" i="1"/>
  <c r="BN484" i="1"/>
  <c r="BM484" i="1"/>
  <c r="Z484" i="1"/>
  <c r="Y484" i="1"/>
  <c r="P484" i="1"/>
  <c r="BO483" i="1"/>
  <c r="BM483" i="1"/>
  <c r="Y483" i="1"/>
  <c r="BP483" i="1" s="1"/>
  <c r="P483" i="1"/>
  <c r="BP482" i="1"/>
  <c r="BO482" i="1"/>
  <c r="BN482" i="1"/>
  <c r="BM482" i="1"/>
  <c r="Z482" i="1"/>
  <c r="Y482" i="1"/>
  <c r="P482" i="1"/>
  <c r="BO481" i="1"/>
  <c r="BM481" i="1"/>
  <c r="Y481" i="1"/>
  <c r="AC602" i="1" s="1"/>
  <c r="P481" i="1"/>
  <c r="X477" i="1"/>
  <c r="X476" i="1"/>
  <c r="BO475" i="1"/>
  <c r="BM475" i="1"/>
  <c r="Y475" i="1"/>
  <c r="Y476" i="1" s="1"/>
  <c r="P475" i="1"/>
  <c r="X473" i="1"/>
  <c r="X472" i="1"/>
  <c r="BO471" i="1"/>
  <c r="BM471" i="1"/>
  <c r="Y471" i="1"/>
  <c r="Y472" i="1" s="1"/>
  <c r="P471" i="1"/>
  <c r="X468" i="1"/>
  <c r="X467" i="1"/>
  <c r="BO466" i="1"/>
  <c r="BM466" i="1"/>
  <c r="Y466" i="1"/>
  <c r="BP466" i="1" s="1"/>
  <c r="BO465" i="1"/>
  <c r="BM465" i="1"/>
  <c r="Y465" i="1"/>
  <c r="AA602" i="1" s="1"/>
  <c r="P465" i="1"/>
  <c r="X462" i="1"/>
  <c r="X461" i="1"/>
  <c r="BO460" i="1"/>
  <c r="BM460" i="1"/>
  <c r="Y460" i="1"/>
  <c r="BP460" i="1" s="1"/>
  <c r="P460" i="1"/>
  <c r="BP459" i="1"/>
  <c r="BO459" i="1"/>
  <c r="BN459" i="1"/>
  <c r="BM459" i="1"/>
  <c r="Z459" i="1"/>
  <c r="Y459" i="1"/>
  <c r="BP458" i="1"/>
  <c r="BO458" i="1"/>
  <c r="BN458" i="1"/>
  <c r="BM458" i="1"/>
  <c r="Z458" i="1"/>
  <c r="Y458" i="1"/>
  <c r="P458" i="1"/>
  <c r="BO457" i="1"/>
  <c r="BM457" i="1"/>
  <c r="Y457" i="1"/>
  <c r="Y461" i="1" s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Z602" i="1" s="1"/>
  <c r="P452" i="1"/>
  <c r="X449" i="1"/>
  <c r="X448" i="1"/>
  <c r="BO447" i="1"/>
  <c r="BM447" i="1"/>
  <c r="Y447" i="1"/>
  <c r="BP447" i="1" s="1"/>
  <c r="P447" i="1"/>
  <c r="BP446" i="1"/>
  <c r="BO446" i="1"/>
  <c r="BN446" i="1"/>
  <c r="BM446" i="1"/>
  <c r="Z446" i="1"/>
  <c r="Y446" i="1"/>
  <c r="Y448" i="1" s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BP441" i="1" s="1"/>
  <c r="P441" i="1"/>
  <c r="BP440" i="1"/>
  <c r="BO440" i="1"/>
  <c r="BN440" i="1"/>
  <c r="BM440" i="1"/>
  <c r="Z440" i="1"/>
  <c r="Y440" i="1"/>
  <c r="BP439" i="1"/>
  <c r="BO439" i="1"/>
  <c r="BN439" i="1"/>
  <c r="BM439" i="1"/>
  <c r="Z439" i="1"/>
  <c r="Y439" i="1"/>
  <c r="P439" i="1"/>
  <c r="BO438" i="1"/>
  <c r="BM438" i="1"/>
  <c r="Y438" i="1"/>
  <c r="BP438" i="1" s="1"/>
  <c r="P438" i="1"/>
  <c r="BP437" i="1"/>
  <c r="BO437" i="1"/>
  <c r="BN437" i="1"/>
  <c r="BM437" i="1"/>
  <c r="Z437" i="1"/>
  <c r="Y437" i="1"/>
  <c r="P437" i="1"/>
  <c r="BO436" i="1"/>
  <c r="BM436" i="1"/>
  <c r="Y436" i="1"/>
  <c r="BP436" i="1" s="1"/>
  <c r="BO435" i="1"/>
  <c r="BM435" i="1"/>
  <c r="Y435" i="1"/>
  <c r="BP435" i="1" s="1"/>
  <c r="P435" i="1"/>
  <c r="BP434" i="1"/>
  <c r="BO434" i="1"/>
  <c r="BN434" i="1"/>
  <c r="BM434" i="1"/>
  <c r="Z434" i="1"/>
  <c r="Y434" i="1"/>
  <c r="BP433" i="1"/>
  <c r="BO433" i="1"/>
  <c r="BN433" i="1"/>
  <c r="BM433" i="1"/>
  <c r="Z433" i="1"/>
  <c r="Y433" i="1"/>
  <c r="BP432" i="1"/>
  <c r="BO432" i="1"/>
  <c r="BN432" i="1"/>
  <c r="BM432" i="1"/>
  <c r="Z432" i="1"/>
  <c r="Y432" i="1"/>
  <c r="BP431" i="1"/>
  <c r="BO431" i="1"/>
  <c r="BN431" i="1"/>
  <c r="BM431" i="1"/>
  <c r="Z431" i="1"/>
  <c r="Y431" i="1"/>
  <c r="X427" i="1"/>
  <c r="X426" i="1"/>
  <c r="BO425" i="1"/>
  <c r="BM425" i="1"/>
  <c r="Y425" i="1"/>
  <c r="Y426" i="1" s="1"/>
  <c r="X423" i="1"/>
  <c r="X422" i="1"/>
  <c r="BP421" i="1"/>
  <c r="BO421" i="1"/>
  <c r="BN421" i="1"/>
  <c r="BM421" i="1"/>
  <c r="Z421" i="1"/>
  <c r="Y421" i="1"/>
  <c r="P421" i="1"/>
  <c r="BO420" i="1"/>
  <c r="BM420" i="1"/>
  <c r="Y420" i="1"/>
  <c r="BP420" i="1" s="1"/>
  <c r="P420" i="1"/>
  <c r="BP419" i="1"/>
  <c r="BO419" i="1"/>
  <c r="BN419" i="1"/>
  <c r="BM419" i="1"/>
  <c r="Z419" i="1"/>
  <c r="Y419" i="1"/>
  <c r="P419" i="1"/>
  <c r="BO418" i="1"/>
  <c r="BM418" i="1"/>
  <c r="Y418" i="1"/>
  <c r="BP418" i="1" s="1"/>
  <c r="BO417" i="1"/>
  <c r="BM417" i="1"/>
  <c r="Y417" i="1"/>
  <c r="Y423" i="1" s="1"/>
  <c r="P417" i="1"/>
  <c r="X415" i="1"/>
  <c r="X414" i="1"/>
  <c r="BO413" i="1"/>
  <c r="BM413" i="1"/>
  <c r="Y413" i="1"/>
  <c r="BP413" i="1" s="1"/>
  <c r="P413" i="1"/>
  <c r="BP412" i="1"/>
  <c r="BO412" i="1"/>
  <c r="BN412" i="1"/>
  <c r="BM412" i="1"/>
  <c r="Z412" i="1"/>
  <c r="Y412" i="1"/>
  <c r="Y414" i="1" s="1"/>
  <c r="P412" i="1"/>
  <c r="X410" i="1"/>
  <c r="X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BO403" i="1"/>
  <c r="BM403" i="1"/>
  <c r="Y403" i="1"/>
  <c r="Y410" i="1" s="1"/>
  <c r="P403" i="1"/>
  <c r="X400" i="1"/>
  <c r="X399" i="1"/>
  <c r="BO398" i="1"/>
  <c r="BM398" i="1"/>
  <c r="Y398" i="1"/>
  <c r="Y399" i="1" s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BP389" i="1" s="1"/>
  <c r="P389" i="1"/>
  <c r="BP388" i="1"/>
  <c r="BO388" i="1"/>
  <c r="BN388" i="1"/>
  <c r="BM388" i="1"/>
  <c r="Z388" i="1"/>
  <c r="Y388" i="1"/>
  <c r="Y390" i="1" s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Y385" i="1" s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V602" i="1" s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Y359" i="1" s="1"/>
  <c r="P357" i="1"/>
  <c r="BP356" i="1"/>
  <c r="BO356" i="1"/>
  <c r="BN356" i="1"/>
  <c r="BM356" i="1"/>
  <c r="Z356" i="1"/>
  <c r="Y356" i="1"/>
  <c r="Y360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BP351" i="1" s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Y353" i="1" s="1"/>
  <c r="X347" i="1"/>
  <c r="X346" i="1"/>
  <c r="BO345" i="1"/>
  <c r="BM345" i="1"/>
  <c r="Y345" i="1"/>
  <c r="BP345" i="1" s="1"/>
  <c r="P345" i="1"/>
  <c r="BP344" i="1"/>
  <c r="BO344" i="1"/>
  <c r="BN344" i="1"/>
  <c r="BM344" i="1"/>
  <c r="Z344" i="1"/>
  <c r="Y344" i="1"/>
  <c r="P344" i="1"/>
  <c r="BO343" i="1"/>
  <c r="BM343" i="1"/>
  <c r="Y343" i="1"/>
  <c r="Y347" i="1" s="1"/>
  <c r="P343" i="1"/>
  <c r="X341" i="1"/>
  <c r="X340" i="1"/>
  <c r="BO339" i="1"/>
  <c r="BM339" i="1"/>
  <c r="Y339" i="1"/>
  <c r="BP339" i="1" s="1"/>
  <c r="P339" i="1"/>
  <c r="BP338" i="1"/>
  <c r="BO338" i="1"/>
  <c r="BN338" i="1"/>
  <c r="BM338" i="1"/>
  <c r="Z338" i="1"/>
  <c r="Y338" i="1"/>
  <c r="P338" i="1"/>
  <c r="BO337" i="1"/>
  <c r="BM337" i="1"/>
  <c r="Y337" i="1"/>
  <c r="BP337" i="1" s="1"/>
  <c r="P337" i="1"/>
  <c r="BP336" i="1"/>
  <c r="BO336" i="1"/>
  <c r="BN336" i="1"/>
  <c r="BM336" i="1"/>
  <c r="Z336" i="1"/>
  <c r="Y336" i="1"/>
  <c r="P336" i="1"/>
  <c r="BO335" i="1"/>
  <c r="BM335" i="1"/>
  <c r="Y335" i="1"/>
  <c r="Y341" i="1" s="1"/>
  <c r="P335" i="1"/>
  <c r="X333" i="1"/>
  <c r="X332" i="1"/>
  <c r="BO331" i="1"/>
  <c r="BM331" i="1"/>
  <c r="Y331" i="1"/>
  <c r="BP331" i="1" s="1"/>
  <c r="P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3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P321" i="1"/>
  <c r="BP320" i="1"/>
  <c r="BO320" i="1"/>
  <c r="BN320" i="1"/>
  <c r="BM320" i="1"/>
  <c r="Z320" i="1"/>
  <c r="Y320" i="1"/>
  <c r="P320" i="1"/>
  <c r="BO319" i="1"/>
  <c r="BM319" i="1"/>
  <c r="Y319" i="1"/>
  <c r="U602" i="1" s="1"/>
  <c r="P319" i="1"/>
  <c r="X316" i="1"/>
  <c r="X315" i="1"/>
  <c r="BO314" i="1"/>
  <c r="BM314" i="1"/>
  <c r="Y314" i="1"/>
  <c r="T602" i="1" s="1"/>
  <c r="P314" i="1"/>
  <c r="X311" i="1"/>
  <c r="X310" i="1"/>
  <c r="BO309" i="1"/>
  <c r="BM309" i="1"/>
  <c r="Y309" i="1"/>
  <c r="Y311" i="1" s="1"/>
  <c r="P309" i="1"/>
  <c r="BP308" i="1"/>
  <c r="BO308" i="1"/>
  <c r="BN308" i="1"/>
  <c r="BM308" i="1"/>
  <c r="Z308" i="1"/>
  <c r="Y308" i="1"/>
  <c r="Y310" i="1" s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2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2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BP280" i="1" s="1"/>
  <c r="P280" i="1"/>
  <c r="BP279" i="1"/>
  <c r="BO279" i="1"/>
  <c r="BN279" i="1"/>
  <c r="BM279" i="1"/>
  <c r="Z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M602" i="1" s="1"/>
  <c r="P265" i="1"/>
  <c r="X262" i="1"/>
  <c r="X261" i="1"/>
  <c r="BO260" i="1"/>
  <c r="BM260" i="1"/>
  <c r="Y260" i="1"/>
  <c r="BP260" i="1" s="1"/>
  <c r="P260" i="1"/>
  <c r="BP259" i="1"/>
  <c r="BO259" i="1"/>
  <c r="BN259" i="1"/>
  <c r="BM259" i="1"/>
  <c r="Z259" i="1"/>
  <c r="Y259" i="1"/>
  <c r="P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Y248" i="1" s="1"/>
  <c r="X244" i="1"/>
  <c r="Y243" i="1"/>
  <c r="X243" i="1"/>
  <c r="BP242" i="1"/>
  <c r="BO242" i="1"/>
  <c r="BN242" i="1"/>
  <c r="BM242" i="1"/>
  <c r="Z242" i="1"/>
  <c r="Y242" i="1"/>
  <c r="BP241" i="1"/>
  <c r="BO241" i="1"/>
  <c r="BN241" i="1"/>
  <c r="BM241" i="1"/>
  <c r="Z241" i="1"/>
  <c r="Z243" i="1" s="1"/>
  <c r="Y241" i="1"/>
  <c r="Y244" i="1" s="1"/>
  <c r="P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K602" i="1" s="1"/>
  <c r="P230" i="1"/>
  <c r="X227" i="1"/>
  <c r="X226" i="1"/>
  <c r="BO225" i="1"/>
  <c r="BM225" i="1"/>
  <c r="Y225" i="1"/>
  <c r="Y227" i="1" s="1"/>
  <c r="P225" i="1"/>
  <c r="BP224" i="1"/>
  <c r="BO224" i="1"/>
  <c r="BN224" i="1"/>
  <c r="BM224" i="1"/>
  <c r="Z224" i="1"/>
  <c r="Y224" i="1"/>
  <c r="Y226" i="1" s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P218" i="1"/>
  <c r="BO218" i="1"/>
  <c r="BN218" i="1"/>
  <c r="BM218" i="1"/>
  <c r="Z218" i="1"/>
  <c r="Y218" i="1"/>
  <c r="P218" i="1"/>
  <c r="BO217" i="1"/>
  <c r="BM217" i="1"/>
  <c r="Y217" i="1"/>
  <c r="BP217" i="1" s="1"/>
  <c r="P217" i="1"/>
  <c r="BP216" i="1"/>
  <c r="BO216" i="1"/>
  <c r="BN216" i="1"/>
  <c r="BM216" i="1"/>
  <c r="Z216" i="1"/>
  <c r="Y216" i="1"/>
  <c r="P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Y221" i="1" s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Y209" i="1" s="1"/>
  <c r="P201" i="1"/>
  <c r="X199" i="1"/>
  <c r="X198" i="1"/>
  <c r="BO197" i="1"/>
  <c r="BM197" i="1"/>
  <c r="Y197" i="1"/>
  <c r="BP197" i="1" s="1"/>
  <c r="P197" i="1"/>
  <c r="BP196" i="1"/>
  <c r="BO196" i="1"/>
  <c r="BN196" i="1"/>
  <c r="BM196" i="1"/>
  <c r="Z196" i="1"/>
  <c r="Y196" i="1"/>
  <c r="Y199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602" i="1" s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Y164" i="1"/>
  <c r="P164" i="1"/>
  <c r="BP163" i="1"/>
  <c r="BO163" i="1"/>
  <c r="BN163" i="1"/>
  <c r="BM163" i="1"/>
  <c r="Z163" i="1"/>
  <c r="Y163" i="1"/>
  <c r="Y165" i="1" s="1"/>
  <c r="P163" i="1"/>
  <c r="X161" i="1"/>
  <c r="X160" i="1"/>
  <c r="BP159" i="1"/>
  <c r="BO159" i="1"/>
  <c r="BN159" i="1"/>
  <c r="BM159" i="1"/>
  <c r="Z159" i="1"/>
  <c r="Y159" i="1"/>
  <c r="P159" i="1"/>
  <c r="BO158" i="1"/>
  <c r="BM158" i="1"/>
  <c r="Y158" i="1"/>
  <c r="P158" i="1"/>
  <c r="BP157" i="1"/>
  <c r="BO157" i="1"/>
  <c r="BN157" i="1"/>
  <c r="BM157" i="1"/>
  <c r="Z157" i="1"/>
  <c r="Y157" i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Y148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P136" i="1"/>
  <c r="BO136" i="1"/>
  <c r="BN136" i="1"/>
  <c r="BM136" i="1"/>
  <c r="Z136" i="1"/>
  <c r="Y136" i="1"/>
  <c r="P136" i="1"/>
  <c r="X133" i="1"/>
  <c r="Y132" i="1"/>
  <c r="X132" i="1"/>
  <c r="BP131" i="1"/>
  <c r="BO131" i="1"/>
  <c r="BN131" i="1"/>
  <c r="BM131" i="1"/>
  <c r="Z131" i="1"/>
  <c r="Y131" i="1"/>
  <c r="P131" i="1"/>
  <c r="BO130" i="1"/>
  <c r="BM130" i="1"/>
  <c r="Y130" i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BO124" i="1"/>
  <c r="BM124" i="1"/>
  <c r="Y124" i="1"/>
  <c r="P124" i="1"/>
  <c r="BP123" i="1"/>
  <c r="BO123" i="1"/>
  <c r="BN123" i="1"/>
  <c r="BM123" i="1"/>
  <c r="Z123" i="1"/>
  <c r="Y123" i="1"/>
  <c r="BP122" i="1"/>
  <c r="BO122" i="1"/>
  <c r="BN122" i="1"/>
  <c r="BM122" i="1"/>
  <c r="Z122" i="1"/>
  <c r="Y122" i="1"/>
  <c r="P122" i="1"/>
  <c r="BO121" i="1"/>
  <c r="BM121" i="1"/>
  <c r="Y121" i="1"/>
  <c r="BO120" i="1"/>
  <c r="BM120" i="1"/>
  <c r="Y120" i="1"/>
  <c r="P120" i="1"/>
  <c r="BP119" i="1"/>
  <c r="BO119" i="1"/>
  <c r="BN119" i="1"/>
  <c r="BM119" i="1"/>
  <c r="Z119" i="1"/>
  <c r="Y119" i="1"/>
  <c r="P119" i="1"/>
  <c r="BO118" i="1"/>
  <c r="BM118" i="1"/>
  <c r="Y118" i="1"/>
  <c r="X116" i="1"/>
  <c r="X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P112" i="1"/>
  <c r="X110" i="1"/>
  <c r="X109" i="1"/>
  <c r="BP108" i="1"/>
  <c r="BO108" i="1"/>
  <c r="BN108" i="1"/>
  <c r="BM108" i="1"/>
  <c r="Z108" i="1"/>
  <c r="Y108" i="1"/>
  <c r="P108" i="1"/>
  <c r="BO107" i="1"/>
  <c r="BN107" i="1"/>
  <c r="BM107" i="1"/>
  <c r="Z107" i="1"/>
  <c r="Y107" i="1"/>
  <c r="BP107" i="1" s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X102" i="1"/>
  <c r="X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102" i="1" s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BP80" i="1" s="1"/>
  <c r="P80" i="1"/>
  <c r="BP79" i="1"/>
  <c r="BO79" i="1"/>
  <c r="BN79" i="1"/>
  <c r="BM79" i="1"/>
  <c r="Z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7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Y61" i="1" s="1"/>
  <c r="P57" i="1"/>
  <c r="X55" i="1"/>
  <c r="X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4" i="1"/>
  <c r="Y43" i="1"/>
  <c r="X43" i="1"/>
  <c r="BP42" i="1"/>
  <c r="BO42" i="1"/>
  <c r="BN42" i="1"/>
  <c r="BM42" i="1"/>
  <c r="Z42" i="1"/>
  <c r="Z43" i="1" s="1"/>
  <c r="Y42" i="1"/>
  <c r="Y44" i="1" s="1"/>
  <c r="P42" i="1"/>
  <c r="X40" i="1"/>
  <c r="X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X596" i="1" s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7" i="1"/>
  <c r="Y31" i="1"/>
  <c r="Y39" i="1"/>
  <c r="Y54" i="1"/>
  <c r="Y62" i="1"/>
  <c r="Y68" i="1"/>
  <c r="Y76" i="1"/>
  <c r="Y82" i="1"/>
  <c r="Y89" i="1"/>
  <c r="Y101" i="1"/>
  <c r="Y109" i="1"/>
  <c r="BP113" i="1"/>
  <c r="BN113" i="1"/>
  <c r="Z113" i="1"/>
  <c r="Z115" i="1" s="1"/>
  <c r="BP120" i="1"/>
  <c r="BN120" i="1"/>
  <c r="Z120" i="1"/>
  <c r="BP124" i="1"/>
  <c r="BN124" i="1"/>
  <c r="Z124" i="1"/>
  <c r="BP137" i="1"/>
  <c r="BN137" i="1"/>
  <c r="Z137" i="1"/>
  <c r="Z138" i="1" s="1"/>
  <c r="Y139" i="1"/>
  <c r="Y144" i="1"/>
  <c r="BP141" i="1"/>
  <c r="BN141" i="1"/>
  <c r="Z141" i="1"/>
  <c r="Z143" i="1" s="1"/>
  <c r="BP158" i="1"/>
  <c r="BN158" i="1"/>
  <c r="Z158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H9" i="1"/>
  <c r="B602" i="1"/>
  <c r="X593" i="1"/>
  <c r="X595" i="1" s="1"/>
  <c r="X594" i="1"/>
  <c r="Z23" i="1"/>
  <c r="Z26" i="1" s="1"/>
  <c r="BN23" i="1"/>
  <c r="Y593" i="1" s="1"/>
  <c r="Z25" i="1"/>
  <c r="BN25" i="1"/>
  <c r="Y26" i="1"/>
  <c r="X592" i="1"/>
  <c r="Z29" i="1"/>
  <c r="Z30" i="1" s="1"/>
  <c r="BN29" i="1"/>
  <c r="BP29" i="1"/>
  <c r="Y594" i="1" s="1"/>
  <c r="Z35" i="1"/>
  <c r="BN35" i="1"/>
  <c r="BP35" i="1"/>
  <c r="Z37" i="1"/>
  <c r="BN37" i="1"/>
  <c r="Y40" i="1"/>
  <c r="D602" i="1"/>
  <c r="Z48" i="1"/>
  <c r="Z54" i="1" s="1"/>
  <c r="BN48" i="1"/>
  <c r="Z50" i="1"/>
  <c r="BN50" i="1"/>
  <c r="Z52" i="1"/>
  <c r="BN52" i="1"/>
  <c r="Y55" i="1"/>
  <c r="Z58" i="1"/>
  <c r="Z61" i="1" s="1"/>
  <c r="BN58" i="1"/>
  <c r="Z60" i="1"/>
  <c r="BN60" i="1"/>
  <c r="Z64" i="1"/>
  <c r="Z67" i="1" s="1"/>
  <c r="BN64" i="1"/>
  <c r="BP64" i="1"/>
  <c r="Z66" i="1"/>
  <c r="BN66" i="1"/>
  <c r="Z70" i="1"/>
  <c r="BN70" i="1"/>
  <c r="BP70" i="1"/>
  <c r="Z72" i="1"/>
  <c r="BN72" i="1"/>
  <c r="Z74" i="1"/>
  <c r="BN74" i="1"/>
  <c r="Z80" i="1"/>
  <c r="Z82" i="1" s="1"/>
  <c r="BN80" i="1"/>
  <c r="E602" i="1"/>
  <c r="Z87" i="1"/>
  <c r="Z89" i="1" s="1"/>
  <c r="BN87" i="1"/>
  <c r="Y90" i="1"/>
  <c r="Z92" i="1"/>
  <c r="Z101" i="1" s="1"/>
  <c r="BN92" i="1"/>
  <c r="BP92" i="1"/>
  <c r="Z94" i="1"/>
  <c r="BN94" i="1"/>
  <c r="Z95" i="1"/>
  <c r="BN95" i="1"/>
  <c r="Z96" i="1"/>
  <c r="BN96" i="1"/>
  <c r="Z97" i="1"/>
  <c r="BN97" i="1"/>
  <c r="Z99" i="1"/>
  <c r="BN99" i="1"/>
  <c r="F602" i="1"/>
  <c r="Y110" i="1"/>
  <c r="Z106" i="1"/>
  <c r="Z109" i="1" s="1"/>
  <c r="BN106" i="1"/>
  <c r="Y116" i="1"/>
  <c r="Y115" i="1"/>
  <c r="Y127" i="1"/>
  <c r="BP118" i="1"/>
  <c r="BN118" i="1"/>
  <c r="Z118" i="1"/>
  <c r="BP121" i="1"/>
  <c r="BN121" i="1"/>
  <c r="Z121" i="1"/>
  <c r="BP126" i="1"/>
  <c r="BN126" i="1"/>
  <c r="Z126" i="1"/>
  <c r="Y128" i="1"/>
  <c r="Y133" i="1"/>
  <c r="BP130" i="1"/>
  <c r="BN130" i="1"/>
  <c r="Z130" i="1"/>
  <c r="Z132" i="1" s="1"/>
  <c r="Y143" i="1"/>
  <c r="BP147" i="1"/>
  <c r="BN147" i="1"/>
  <c r="Z147" i="1"/>
  <c r="Z148" i="1" s="1"/>
  <c r="Y149" i="1"/>
  <c r="H602" i="1"/>
  <c r="Y153" i="1"/>
  <c r="BP152" i="1"/>
  <c r="BN152" i="1"/>
  <c r="Z152" i="1"/>
  <c r="Z153" i="1" s="1"/>
  <c r="Y154" i="1"/>
  <c r="Y161" i="1"/>
  <c r="BP156" i="1"/>
  <c r="BN156" i="1"/>
  <c r="Z156" i="1"/>
  <c r="Z160" i="1" s="1"/>
  <c r="Y160" i="1"/>
  <c r="BP164" i="1"/>
  <c r="BN164" i="1"/>
  <c r="Z164" i="1"/>
  <c r="Z165" i="1" s="1"/>
  <c r="Y166" i="1"/>
  <c r="I602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G602" i="1"/>
  <c r="Y138" i="1"/>
  <c r="Z191" i="1"/>
  <c r="Z193" i="1" s="1"/>
  <c r="BN191" i="1"/>
  <c r="BP191" i="1"/>
  <c r="Y194" i="1"/>
  <c r="Z197" i="1"/>
  <c r="Z198" i="1" s="1"/>
  <c r="BN197" i="1"/>
  <c r="Y198" i="1"/>
  <c r="Z201" i="1"/>
  <c r="BN201" i="1"/>
  <c r="BP201" i="1"/>
  <c r="Z203" i="1"/>
  <c r="BN203" i="1"/>
  <c r="Z205" i="1"/>
  <c r="BN205" i="1"/>
  <c r="Z207" i="1"/>
  <c r="BN207" i="1"/>
  <c r="Y210" i="1"/>
  <c r="Z213" i="1"/>
  <c r="Z221" i="1" s="1"/>
  <c r="BN213" i="1"/>
  <c r="Z215" i="1"/>
  <c r="BN215" i="1"/>
  <c r="Z217" i="1"/>
  <c r="BN217" i="1"/>
  <c r="Z219" i="1"/>
  <c r="BN219" i="1"/>
  <c r="Y222" i="1"/>
  <c r="Z225" i="1"/>
  <c r="Z226" i="1" s="1"/>
  <c r="BN225" i="1"/>
  <c r="BP225" i="1"/>
  <c r="Z230" i="1"/>
  <c r="BN230" i="1"/>
  <c r="BP230" i="1"/>
  <c r="Z232" i="1"/>
  <c r="BN232" i="1"/>
  <c r="Z234" i="1"/>
  <c r="BN234" i="1"/>
  <c r="Z236" i="1"/>
  <c r="BN236" i="1"/>
  <c r="Y239" i="1"/>
  <c r="Z246" i="1"/>
  <c r="Z247" i="1" s="1"/>
  <c r="BN246" i="1"/>
  <c r="BP246" i="1"/>
  <c r="Y247" i="1"/>
  <c r="L602" i="1"/>
  <c r="Z256" i="1"/>
  <c r="Z261" i="1" s="1"/>
  <c r="BN256" i="1"/>
  <c r="Z258" i="1"/>
  <c r="BN258" i="1"/>
  <c r="Z260" i="1"/>
  <c r="BN260" i="1"/>
  <c r="Y261" i="1"/>
  <c r="Z265" i="1"/>
  <c r="Z266" i="1" s="1"/>
  <c r="BN265" i="1"/>
  <c r="BP265" i="1"/>
  <c r="Y266" i="1"/>
  <c r="Z270" i="1"/>
  <c r="BN270" i="1"/>
  <c r="BP271" i="1"/>
  <c r="BN271" i="1"/>
  <c r="Z271" i="1"/>
  <c r="Y193" i="1"/>
  <c r="Y238" i="1"/>
  <c r="Y262" i="1"/>
  <c r="Y267" i="1"/>
  <c r="O602" i="1"/>
  <c r="Y274" i="1"/>
  <c r="Y273" i="1"/>
  <c r="P602" i="1"/>
  <c r="Z278" i="1"/>
  <c r="Z282" i="1" s="1"/>
  <c r="BN278" i="1"/>
  <c r="Z280" i="1"/>
  <c r="BN280" i="1"/>
  <c r="Y283" i="1"/>
  <c r="Y288" i="1"/>
  <c r="Y301" i="1"/>
  <c r="S602" i="1"/>
  <c r="Y306" i="1"/>
  <c r="Z309" i="1"/>
  <c r="Z310" i="1" s="1"/>
  <c r="BN309" i="1"/>
  <c r="BP309" i="1"/>
  <c r="Z314" i="1"/>
  <c r="Z315" i="1" s="1"/>
  <c r="BN314" i="1"/>
  <c r="BP314" i="1"/>
  <c r="Y315" i="1"/>
  <c r="Z319" i="1"/>
  <c r="Z325" i="1" s="1"/>
  <c r="BN319" i="1"/>
  <c r="BP319" i="1"/>
  <c r="Z321" i="1"/>
  <c r="BN321" i="1"/>
  <c r="Z323" i="1"/>
  <c r="BN323" i="1"/>
  <c r="Y326" i="1"/>
  <c r="Z329" i="1"/>
  <c r="Z332" i="1" s="1"/>
  <c r="BN329" i="1"/>
  <c r="Z331" i="1"/>
  <c r="BN331" i="1"/>
  <c r="Y332" i="1"/>
  <c r="Z335" i="1"/>
  <c r="BN335" i="1"/>
  <c r="BP335" i="1"/>
  <c r="Z337" i="1"/>
  <c r="BN337" i="1"/>
  <c r="Z339" i="1"/>
  <c r="BN339" i="1"/>
  <c r="Y340" i="1"/>
  <c r="Z343" i="1"/>
  <c r="BN343" i="1"/>
  <c r="BP343" i="1"/>
  <c r="Z345" i="1"/>
  <c r="BN345" i="1"/>
  <c r="Y346" i="1"/>
  <c r="Z351" i="1"/>
  <c r="Z353" i="1" s="1"/>
  <c r="BN351" i="1"/>
  <c r="Y354" i="1"/>
  <c r="Z357" i="1"/>
  <c r="Z359" i="1" s="1"/>
  <c r="BN357" i="1"/>
  <c r="BP357" i="1"/>
  <c r="Y365" i="1"/>
  <c r="Y370" i="1"/>
  <c r="BP367" i="1"/>
  <c r="BP377" i="1"/>
  <c r="BN377" i="1"/>
  <c r="Z377" i="1"/>
  <c r="BP381" i="1"/>
  <c r="BN381" i="1"/>
  <c r="Z381" i="1"/>
  <c r="Y282" i="1"/>
  <c r="Y316" i="1"/>
  <c r="Y325" i="1"/>
  <c r="BP369" i="1"/>
  <c r="BN369" i="1"/>
  <c r="Z369" i="1"/>
  <c r="Z370" i="1" s="1"/>
  <c r="Y371" i="1"/>
  <c r="W602" i="1"/>
  <c r="Y386" i="1"/>
  <c r="BP375" i="1"/>
  <c r="BN375" i="1"/>
  <c r="Z375" i="1"/>
  <c r="BP379" i="1"/>
  <c r="BN379" i="1"/>
  <c r="Z379" i="1"/>
  <c r="BP383" i="1"/>
  <c r="BN383" i="1"/>
  <c r="Z383" i="1"/>
  <c r="Y391" i="1"/>
  <c r="Y400" i="1"/>
  <c r="Y409" i="1"/>
  <c r="Y415" i="1"/>
  <c r="Y422" i="1"/>
  <c r="Y427" i="1"/>
  <c r="Y443" i="1"/>
  <c r="Y449" i="1"/>
  <c r="Y454" i="1"/>
  <c r="Y462" i="1"/>
  <c r="Y468" i="1"/>
  <c r="Y473" i="1"/>
  <c r="Y477" i="1"/>
  <c r="Y497" i="1"/>
  <c r="Y504" i="1"/>
  <c r="Y519" i="1"/>
  <c r="Y524" i="1"/>
  <c r="BP521" i="1"/>
  <c r="BN521" i="1"/>
  <c r="Z521" i="1"/>
  <c r="BP528" i="1"/>
  <c r="BN528" i="1"/>
  <c r="Z528" i="1"/>
  <c r="Y530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X602" i="1"/>
  <c r="AB602" i="1"/>
  <c r="Z389" i="1"/>
  <c r="Z390" i="1" s="1"/>
  <c r="BN389" i="1"/>
  <c r="Z398" i="1"/>
  <c r="Z399" i="1" s="1"/>
  <c r="BN398" i="1"/>
  <c r="BP398" i="1"/>
  <c r="Z403" i="1"/>
  <c r="Z409" i="1" s="1"/>
  <c r="BN403" i="1"/>
  <c r="BP403" i="1"/>
  <c r="Z405" i="1"/>
  <c r="BN405" i="1"/>
  <c r="Z407" i="1"/>
  <c r="BN407" i="1"/>
  <c r="Z413" i="1"/>
  <c r="Z414" i="1" s="1"/>
  <c r="BN413" i="1"/>
  <c r="Z417" i="1"/>
  <c r="BN417" i="1"/>
  <c r="BP417" i="1"/>
  <c r="Z418" i="1"/>
  <c r="BN418" i="1"/>
  <c r="Z420" i="1"/>
  <c r="BN420" i="1"/>
  <c r="Z425" i="1"/>
  <c r="Z426" i="1" s="1"/>
  <c r="BN425" i="1"/>
  <c r="BP425" i="1"/>
  <c r="Y602" i="1"/>
  <c r="Z435" i="1"/>
  <c r="Z443" i="1" s="1"/>
  <c r="BN435" i="1"/>
  <c r="Z436" i="1"/>
  <c r="BN436" i="1"/>
  <c r="Z438" i="1"/>
  <c r="BN438" i="1"/>
  <c r="Z441" i="1"/>
  <c r="BN441" i="1"/>
  <c r="Y444" i="1"/>
  <c r="Z447" i="1"/>
  <c r="Z448" i="1" s="1"/>
  <c r="BN447" i="1"/>
  <c r="Z452" i="1"/>
  <c r="Z454" i="1" s="1"/>
  <c r="BN452" i="1"/>
  <c r="BP452" i="1"/>
  <c r="Y455" i="1"/>
  <c r="Z457" i="1"/>
  <c r="BN457" i="1"/>
  <c r="BP457" i="1"/>
  <c r="Z460" i="1"/>
  <c r="BN460" i="1"/>
  <c r="Z465" i="1"/>
  <c r="Z467" i="1" s="1"/>
  <c r="BN465" i="1"/>
  <c r="BP465" i="1"/>
  <c r="Z466" i="1"/>
  <c r="BN466" i="1"/>
  <c r="Y467" i="1"/>
  <c r="Z471" i="1"/>
  <c r="Z472" i="1" s="1"/>
  <c r="BN471" i="1"/>
  <c r="BP471" i="1"/>
  <c r="Z475" i="1"/>
  <c r="Z476" i="1" s="1"/>
  <c r="BN475" i="1"/>
  <c r="BP475" i="1"/>
  <c r="Z481" i="1"/>
  <c r="Z496" i="1" s="1"/>
  <c r="BN481" i="1"/>
  <c r="BP481" i="1"/>
  <c r="Z483" i="1"/>
  <c r="BN483" i="1"/>
  <c r="Z485" i="1"/>
  <c r="BN485" i="1"/>
  <c r="Z486" i="1"/>
  <c r="BN486" i="1"/>
  <c r="Z488" i="1"/>
  <c r="BN488" i="1"/>
  <c r="Z493" i="1"/>
  <c r="BN493" i="1"/>
  <c r="Z495" i="1"/>
  <c r="BN495" i="1"/>
  <c r="Y496" i="1"/>
  <c r="Z500" i="1"/>
  <c r="Z503" i="1" s="1"/>
  <c r="BN500" i="1"/>
  <c r="Z501" i="1"/>
  <c r="BN501" i="1"/>
  <c r="Z502" i="1"/>
  <c r="BN502" i="1"/>
  <c r="Y518" i="1"/>
  <c r="Z511" i="1"/>
  <c r="Z518" i="1" s="1"/>
  <c r="BN511" i="1"/>
  <c r="Z512" i="1"/>
  <c r="BN512" i="1"/>
  <c r="Z513" i="1"/>
  <c r="BN513" i="1"/>
  <c r="Z515" i="1"/>
  <c r="BN515" i="1"/>
  <c r="Z516" i="1"/>
  <c r="BN516" i="1"/>
  <c r="BP523" i="1"/>
  <c r="BN523" i="1"/>
  <c r="Z523" i="1"/>
  <c r="Y525" i="1"/>
  <c r="Y529" i="1"/>
  <c r="BP527" i="1"/>
  <c r="BN527" i="1"/>
  <c r="Z527" i="1"/>
  <c r="Z529" i="1" s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95" i="1" l="1"/>
  <c r="Z566" i="1"/>
  <c r="Z385" i="1"/>
  <c r="Z127" i="1"/>
  <c r="Z39" i="1"/>
  <c r="Z597" i="1" s="1"/>
  <c r="Y592" i="1"/>
  <c r="Z461" i="1"/>
  <c r="Z422" i="1"/>
  <c r="Z548" i="1"/>
  <c r="Z524" i="1"/>
  <c r="Z346" i="1"/>
  <c r="Z340" i="1"/>
  <c r="Z273" i="1"/>
  <c r="Z238" i="1"/>
  <c r="Z209" i="1"/>
  <c r="Z183" i="1"/>
  <c r="Z76" i="1"/>
  <c r="Y596" i="1"/>
</calcChain>
</file>

<file path=xl/sharedStrings.xml><?xml version="1.0" encoding="utf-8"?>
<sst xmlns="http://schemas.openxmlformats.org/spreadsheetml/2006/main" count="2733" uniqueCount="969">
  <si>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</si>
  <si>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</si>
  <si>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</si>
  <si>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</si>
  <si>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</si>
  <si>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</si>
  <si>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</si>
  <si>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</si>
  <si>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</si>
  <si>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</si>
  <si>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</si>
  <si>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</si>
  <si>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</si>
  <si>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</si>
  <si>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</si>
  <si>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</si>
  <si>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</si>
  <si>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</si>
  <si>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</si>
  <si>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</si>
  <si>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</si>
  <si>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</si>
  <si>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</si>
  <si>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</si>
  <si>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</si>
  <si>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</si>
  <si>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</si>
  <si>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</si>
  <si>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</si>
  <si>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</si>
  <si>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</si>
  <si>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</si>
  <si>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</si>
  <si>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</si>
  <si>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</si>
  <si>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</si>
  <si>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</si>
  <si>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</si>
  <si>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</si>
  <si>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</si>
  <si>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</si>
  <si>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</si>
  <si>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</si>
  <si>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</si>
  <si>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</si>
  <si>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</si>
  <si>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</si>
  <si>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</si>
  <si>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</si>
  <si>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</si>
  <si>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</si>
  <si>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</si>
  <si>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</si>
  <si>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</si>
  <si>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</si>
  <si>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</si>
  <si>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</si>
  <si>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</si>
  <si>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</si>
  <si>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</si>
  <si>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</si>
  <si>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</si>
  <si>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</si>
  <si>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</si>
  <si>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</si>
  <si>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</si>
  <si>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</si>
  <si>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</si>
  <si>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</si>
  <si>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</si>
  <si>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</si>
  <si>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</si>
  <si>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</si>
  <si>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</si>
  <si>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</si>
  <si>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</si>
  <si>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</si>
  <si>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</si>
  <si>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</si>
  <si>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</si>
  <si>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</si>
  <si>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</si>
  <si>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</si>
  <si>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</si>
  <si>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</si>
  <si>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</si>
  <si>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</si>
  <si>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</si>
  <si>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</si>
  <si>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</si>
  <si>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</si>
  <si>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</si>
  <si>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</si>
  <si>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</si>
  <si>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</si>
  <si>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</si>
  <si>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</si>
  <si>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</si>
  <si>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</si>
  <si>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</si>
  <si>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</si>
  <si>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</si>
  <si>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</si>
  <si>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</si>
  <si>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</si>
  <si>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</si>
  <si>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</si>
  <si>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</si>
  <si>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</si>
  <si>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</si>
  <si>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</si>
  <si>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</si>
  <si>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</si>
  <si>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</si>
  <si>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</si>
  <si>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</si>
  <si>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Слой, мин. 1</t>
  </si>
  <si>
    <t>ЕАЭС N RU Д-RU.РА01.В.10475/23</t>
  </si>
  <si>
    <t>Слой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</si>
  <si>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</si>
  <si>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</si>
  <si>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</si>
  <si>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</si>
  <si>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</si>
  <si>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</si>
  <si>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</si>
  <si>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</si>
  <si>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</si>
  <si>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</si>
  <si>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</si>
  <si>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</si>
  <si>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</si>
  <si>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</si>
  <si>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</si>
  <si>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</si>
  <si>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</si>
  <si>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</si>
  <si>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</si>
  <si>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</si>
  <si>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</si>
  <si>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</si>
  <si>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</si>
  <si>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</si>
  <si>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</si>
  <si>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</si>
  <si>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</si>
  <si>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</si>
  <si>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</si>
  <si>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</si>
  <si>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</si>
  <si>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</si>
  <si>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</si>
  <si>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</si>
  <si>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</si>
  <si>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</si>
  <si>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</si>
  <si>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</si>
  <si>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</si>
  <si>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</si>
  <si>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</si>
  <si>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</si>
  <si>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</si>
  <si>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</si>
  <si>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</si>
  <si>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</si>
  <si>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</si>
  <si>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</si>
  <si>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</si>
  <si>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</si>
  <si>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</si>
  <si>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</si>
  <si>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</si>
  <si>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</si>
  <si>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</si>
  <si>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</si>
  <si>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</si>
  <si>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</si>
  <si>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</si>
  <si>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</si>
  <si>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</si>
  <si>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</si>
  <si>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</si>
  <si>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</si>
  <si>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</si>
  <si>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</si>
  <si>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</si>
  <si>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</si>
  <si>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</si>
  <si>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</si>
  <si>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</si>
  <si>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</si>
  <si>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P003328</t>
  </si>
  <si>
    <t>ЕАЭС N RU Д-RU.РА01.В.20899/23, ЕАЭС N RU Д-RU.РА03.В.39392/23</t>
  </si>
  <si>
    <t>P003691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</si>
  <si>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</si>
  <si>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</si>
  <si>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</si>
  <si>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</si>
  <si>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</si>
  <si>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</si>
  <si>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</si>
  <si>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</si>
  <si>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</si>
  <si>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</si>
  <si>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</si>
  <si>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</si>
  <si>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</si>
  <si>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</si>
  <si>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</si>
  <si>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</si>
  <si>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</si>
  <si>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</si>
  <si>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</si>
  <si>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</si>
  <si>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</si>
  <si>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</si>
  <si>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</si>
  <si>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</si>
  <si>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</si>
  <si>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</si>
  <si>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</si>
  <si>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</si>
  <si>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</si>
  <si>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</si>
  <si>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</si>
  <si>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</si>
  <si>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</si>
  <si>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</si>
  <si>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</si>
  <si>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</si>
  <si>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</si>
  <si>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</si>
  <si>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</si>
  <si>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</si>
  <si>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</si>
  <si>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</si>
  <si>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</si>
  <si>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</si>
  <si>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</si>
  <si>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</si>
  <si>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</si>
  <si>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</si>
  <si>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</si>
  <si>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</si>
  <si>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</si>
  <si>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</si>
  <si>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</si>
  <si>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</si>
  <si>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</si>
  <si>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</si>
  <si>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</si>
  <si>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</si>
  <si>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</si>
  <si>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</si>
  <si>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</si>
  <si>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</si>
  <si>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</si>
  <si>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</si>
  <si>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</si>
  <si>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</si>
  <si>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</si>
  <si>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</si>
  <si>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</si>
  <si>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</si>
  <si>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</si>
  <si>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</si>
  <si>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</si>
  <si>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</si>
  <si>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</si>
  <si>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</si>
  <si>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</si>
  <si>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</si>
  <si>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</si>
  <si>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</si>
  <si>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</si>
  <si>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</si>
  <si>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</si>
  <si>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</si>
  <si>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</si>
  <si>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</si>
  <si>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</si>
  <si>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</si>
  <si>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</si>
  <si>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</si>
  <si>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</si>
  <si>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</si>
  <si>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</si>
  <si>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</si>
  <si>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</si>
  <si>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</si>
  <si>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</si>
  <si>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</si>
  <si>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</si>
  <si>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</si>
  <si>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</si>
  <si>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</si>
  <si>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</si>
  <si>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</si>
  <si>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</si>
  <si>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</si>
  <si>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</si>
  <si>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</si>
  <si>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</si>
  <si>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</si>
  <si>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</si>
  <si>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</si>
  <si>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</si>
  <si>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</si>
  <si>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</si>
  <si>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</si>
  <si>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</si>
  <si>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</si>
  <si>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</si>
  <si>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</si>
  <si>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</si>
  <si>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</si>
  <si>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</si>
  <si>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</si>
  <si>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</si>
  <si>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</si>
  <si>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</si>
  <si>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</si>
  <si>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</si>
  <si>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</si>
  <si>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</si>
  <si>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</si>
  <si>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</si>
  <si>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</si>
  <si>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</si>
  <si>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</si>
  <si>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</si>
  <si>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</si>
  <si>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</si>
  <si>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</si>
  <si>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</si>
  <si>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</si>
  <si>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</si>
  <si>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</si>
  <si>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</si>
  <si>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</si>
  <si>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</si>
  <si>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</si>
  <si>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</si>
  <si>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</si>
  <si>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</si>
  <si>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</si>
  <si>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</si>
  <si>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</si>
  <si>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</si>
  <si>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</si>
  <si>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</si>
  <si>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</si>
  <si>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</si>
  <si>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</si>
  <si>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</si>
  <si>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</si>
  <si>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</si>
  <si>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</si>
  <si>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</si>
  <si>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</si>
  <si>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</si>
  <si>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</si>
  <si>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</si>
  <si>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</si>
  <si>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</si>
  <si>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</si>
  <si>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</si>
  <si>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</si>
  <si>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</si>
  <si>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</si>
  <si>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</si>
  <si>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</si>
  <si>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</si>
  <si>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</si>
  <si>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</si>
  <si>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</si>
  <si>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</si>
  <si>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</si>
  <si>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</si>
  <si>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</si>
  <si>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</si>
  <si>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</si>
  <si>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</si>
  <si>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</si>
  <si>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</si>
  <si>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</si>
  <si>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</si>
  <si>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ЕАЭС N RU Д-RU.РА03.В.17296/24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</si>
  <si>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</si>
  <si>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</si>
  <si>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</si>
  <si>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</si>
  <si>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</si>
  <si>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</si>
  <si>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</si>
  <si>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</si>
  <si>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</si>
  <si>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</si>
  <si>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</si>
  <si>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</si>
  <si>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</si>
  <si>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</si>
  <si>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</si>
  <si>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</si>
  <si>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</si>
  <si>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</si>
  <si>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</si>
  <si>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</si>
  <si>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</si>
  <si>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</si>
  <si>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</si>
  <si>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</si>
  <si>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</si>
  <si>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</si>
  <si>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</si>
  <si>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</si>
  <si>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</si>
  <si>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</si>
  <si>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</si>
  <si>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</si>
  <si>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</si>
  <si>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</si>
  <si>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</si>
  <si>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</si>
  <si>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</si>
  <si>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</si>
  <si>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</si>
  <si>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</si>
  <si>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</si>
  <si>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</si>
  <si>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</si>
  <si>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</si>
  <si>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</si>
  <si>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</si>
  <si>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</si>
  <si>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</si>
  <si>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</si>
  <si>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</si>
  <si>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</si>
  <si>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</si>
  <si>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</si>
  <si>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</si>
  <si>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</si>
  <si>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</si>
  <si>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</si>
  <si>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</si>
  <si>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</si>
  <si>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</si>
  <si>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</si>
  <si>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</si>
  <si>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</si>
  <si>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</si>
  <si>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</si>
  <si>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</si>
  <si>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</si>
  <si>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</si>
  <si>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</si>
  <si>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</si>
  <si>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</si>
  <si>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</si>
  <si>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</si>
  <si>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</si>
  <si>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</si>
  <si>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</si>
  <si>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</si>
  <si>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</si>
  <si>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</si>
  <si>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</si>
  <si>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</si>
  <si>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</si>
  <si>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</si>
  <si>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</si>
  <si>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</si>
  <si>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</si>
  <si>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</si>
  <si>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</si>
  <si>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</si>
  <si>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</si>
  <si>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</si>
  <si>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</si>
  <si>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</si>
  <si>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</si>
  <si>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</si>
  <si>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</si>
  <si>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</si>
  <si>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</si>
  <si>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</si>
  <si>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</si>
  <si>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</si>
  <si>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</si>
  <si>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</si>
  <si>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</si>
  <si>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</si>
  <si>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</si>
  <si>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</si>
  <si>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</si>
  <si>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</si>
  <si>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</si>
  <si>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</si>
  <si>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</si>
  <si>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</si>
  <si>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</si>
  <si>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</si>
  <si>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</si>
  <si>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</si>
  <si>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</si>
  <si>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</si>
  <si>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</si>
  <si>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</si>
  <si>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</si>
  <si>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</si>
  <si>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</si>
  <si>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</si>
  <si>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</si>
  <si>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</si>
  <si>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</si>
  <si>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</si>
  <si>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</si>
  <si>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</si>
  <si>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</si>
  <si>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</si>
  <si>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</si>
  <si>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</si>
  <si>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</si>
  <si>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</si>
  <si>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</si>
  <si>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</si>
  <si>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</si>
  <si>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</si>
  <si>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</si>
  <si>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</si>
  <si>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</si>
  <si>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</si>
  <si>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</si>
  <si>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</si>
  <si>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</si>
  <si>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</si>
  <si>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</si>
  <si>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</si>
  <si>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</si>
  <si>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</si>
  <si>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</si>
  <si>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</si>
  <si>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</si>
  <si>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</si>
  <si>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</si>
  <si>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</si>
  <si>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</si>
  <si>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</si>
  <si>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</si>
  <si>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</si>
  <si>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</si>
  <si>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</si>
  <si>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</si>
  <si>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</si>
  <si>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</si>
  <si>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</si>
  <si>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</si>
  <si>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</si>
  <si>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</si>
  <si>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</si>
  <si>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</si>
  <si>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</si>
  <si>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</si>
  <si>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</si>
  <si>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</si>
  <si>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</si>
  <si>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</si>
  <si>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</si>
  <si>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</si>
  <si>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</si>
  <si>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</si>
  <si>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</si>
  <si>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</si>
  <si>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</si>
  <si>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</si>
  <si>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</si>
  <si>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</si>
  <si>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</si>
  <si>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</si>
  <si>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</si>
  <si>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</si>
  <si>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</si>
  <si>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</si>
  <si>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</si>
  <si>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</si>
  <si>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</si>
  <si>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</si>
  <si>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SU003420</t>
  </si>
  <si>
    <t>P004293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</si>
  <si>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</si>
  <si>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</si>
  <si>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</si>
  <si>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</si>
  <si>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</si>
  <si>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</si>
  <si>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</si>
  <si>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</si>
  <si>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</si>
  <si>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</si>
  <si>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</si>
  <si>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</si>
  <si>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</si>
  <si>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</si>
  <si>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</si>
  <si>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</si>
  <si>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</si>
  <si>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</si>
  <si>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</si>
  <si>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</si>
  <si>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</si>
  <si>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</si>
  <si>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</si>
  <si>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</si>
  <si>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</si>
  <si>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</si>
  <si>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</si>
  <si>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</si>
  <si>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</si>
  <si>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</si>
  <si>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</si>
  <si>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P004261</t>
  </si>
  <si>
    <t>ЕАЭС N RU Д-RU.РА01.В.47907/24, ЕАЭС N RU Д-RU.РА09.В.95878/24, ЕАЭС N RU Д-RU.РА10.В.10927/24</t>
  </si>
  <si>
    <t>P003323</t>
  </si>
  <si>
    <t>ЕАЭС N RU Д-RU.РА03.В.86680/22</t>
  </si>
  <si>
    <t>SU003424</t>
  </si>
  <si>
    <t>P004259</t>
  </si>
  <si>
    <t>ЕАЭС N RU Д-RU.РА03.В.31251/24, ЕАЭС N RU Д-RU.РА09.В.96881/24, ЕАЭС N RU Д-RU.РА10.В.04488/24</t>
  </si>
  <si>
    <t>SU002187</t>
  </si>
  <si>
    <t>P002559</t>
  </si>
  <si>
    <t>ЕАЭС N RU Д-RU.РА01.В.58959/20, ЕАЭС N RU Д-RU.РА01.В.58970/20, ЕАЭС N RU Д-RU.РА09.В.43414/22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</si>
  <si>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</si>
  <si>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</si>
  <si>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</si>
  <si>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</si>
  <si>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</si>
  <si>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</si>
  <si>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</si>
  <si>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</si>
  <si>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</si>
  <si>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</si>
  <si>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</si>
  <si>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</si>
  <si>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</si>
  <si>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</si>
  <si>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</si>
  <si>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</si>
  <si>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</si>
  <si>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</si>
  <si>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</si>
  <si>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</si>
  <si>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</si>
  <si>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</si>
  <si>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</si>
  <si>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</si>
  <si>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</si>
  <si>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</si>
  <si>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</si>
  <si>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</si>
  <si>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</si>
  <si>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</si>
  <si>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</si>
  <si>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</si>
  <si>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</si>
  <si>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</si>
  <si>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</si>
  <si>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</si>
  <si>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</si>
  <si>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</si>
  <si>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</si>
  <si>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</si>
  <si>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</si>
  <si>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</si>
  <si>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</si>
  <si>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</si>
  <si>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</si>
  <si>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</si>
  <si>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</si>
  <si>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</si>
  <si>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</si>
  <si>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</si>
  <si>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</si>
  <si>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</si>
  <si>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</si>
  <si>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</si>
  <si>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</si>
  <si>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</si>
  <si>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</si>
  <si>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</si>
  <si>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</si>
  <si>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</si>
  <si>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</si>
  <si>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</si>
  <si>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</si>
  <si>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</si>
  <si>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</si>
  <si>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</si>
  <si>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</si>
  <si>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</si>
  <si>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</si>
  <si>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</si>
  <si>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</si>
  <si>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</si>
  <si>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</si>
  <si>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</si>
  <si>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</si>
  <si>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</si>
  <si>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</si>
  <si>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</si>
  <si>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</si>
  <si>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</si>
  <si>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</si>
  <si>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</si>
  <si>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</si>
  <si>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</si>
  <si>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</si>
  <si>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</si>
  <si>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</si>
  <si>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</si>
  <si>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</si>
  <si>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</si>
  <si>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</si>
  <si>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</si>
  <si>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</si>
  <si>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</si>
  <si>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</si>
  <si>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</si>
  <si>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</si>
  <si>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</si>
  <si>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</si>
  <si>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</si>
  <si>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</si>
  <si>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</si>
  <si>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</si>
  <si>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</si>
  <si>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</si>
  <si>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</si>
  <si>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</si>
  <si>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</si>
  <si>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</si>
  <si>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</si>
  <si>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</si>
  <si>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</si>
  <si>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</si>
  <si>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</si>
  <si>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</si>
  <si>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</si>
  <si>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</si>
  <si>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</si>
  <si>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</si>
  <si>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</si>
  <si>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</si>
  <si>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</si>
  <si>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</si>
  <si>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</si>
  <si>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</si>
  <si>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</si>
  <si>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</si>
  <si>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</si>
  <si>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</si>
  <si>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</si>
  <si>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</si>
  <si>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</si>
  <si>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</si>
  <si>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</si>
  <si>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</si>
  <si>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</si>
  <si>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</si>
  <si>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</si>
  <si>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</si>
  <si>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</si>
  <si>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</si>
  <si>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</si>
  <si>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</si>
  <si>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</si>
  <si>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</si>
  <si>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</si>
  <si>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</si>
  <si>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</si>
  <si>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</si>
  <si>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</si>
  <si>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</si>
  <si>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</si>
  <si>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</si>
  <si>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</si>
  <si>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</si>
  <si>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</si>
  <si>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</si>
  <si>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</si>
  <si>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</si>
  <si>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</si>
  <si>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</si>
  <si>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</si>
  <si>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</si>
  <si>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</si>
  <si>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</si>
  <si>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</si>
  <si>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</si>
  <si>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</si>
  <si>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</si>
  <si>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</si>
  <si>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</si>
  <si>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</si>
  <si>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</si>
  <si>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</si>
  <si>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</si>
  <si>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</si>
  <si>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</si>
  <si>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</si>
  <si>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</si>
  <si>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</si>
  <si>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</si>
  <si>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</si>
  <si>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P004693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</si>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</sst>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81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>
        <v>45758</v>
      </c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tr">
        <f>IF(Q5=0," ",CHOOSE(WEEKDAY(Q5,2),"Понедельник","Вторник","Среда","Четверг","Пятница","Суббота","Воскресенье"))</f>
        <v>Пятница</v>
      </c>
      <c r="R6" s="670"/>
      <c r="T6" s="856" t="s">
        <v>16</v>
      </c>
      <c r="U6" s="762"/>
      <c r="V6" s="921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tr">
        <f>IFERROR(VLOOKUP(DeliveryAddress,Table,3,0),1)</f>
        <v>1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6"/>
      <c r="C8" s="687"/>
      <c r="D8" s="734" t="s">
        <v>19</v>
      </c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20</v>
      </c>
      <c r="Q8" s="816">
        <v>0.375</v>
      </c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1"/>
      <c r="E9" s="684"/>
      <c r="F9" s="8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798"/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1"/>
      <c r="E10" s="684"/>
      <c r="F10" s="8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14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57"/>
      <c r="R10" s="858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4"/>
      <c r="R11" s="805"/>
      <c r="U11" s="24" t="s">
        <v>27</v>
      </c>
      <c r="V11" s="964" t="s">
        <v>28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30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32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34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35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22" t="s">
        <v>38</v>
      </c>
      <c r="D17" s="705" t="s">
        <v>39</v>
      </c>
      <c r="E17" s="778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77"/>
      <c r="R17" s="777"/>
      <c r="S17" s="777"/>
      <c r="T17" s="778"/>
      <c r="U17" s="1043" t="s">
        <v>51</v>
      </c>
      <c r="V17" s="810"/>
      <c r="W17" s="705" t="s">
        <v>52</v>
      </c>
      <c r="X17" s="705" t="s">
        <v>53</v>
      </c>
      <c r="Y17" s="1041" t="s">
        <v>54</v>
      </c>
      <c r="Z17" s="934" t="s">
        <v>55</v>
      </c>
      <c r="AA17" s="911" t="s">
        <v>56</v>
      </c>
      <c r="AB17" s="911" t="s">
        <v>57</v>
      </c>
      <c r="AC17" s="911" t="s">
        <v>58</v>
      </c>
      <c r="AD17" s="911" t="s">
        <v>59</v>
      </c>
      <c r="AE17" s="995"/>
      <c r="AF17" s="996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61</v>
      </c>
      <c r="V18" s="67" t="s">
        <v>62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63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2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customHeight="1" x14ac:dyDescent="0.2">
      <c r="A32" s="800" t="s">
        <v>88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0</v>
      </c>
      <c r="Y35" s="666">
        <f>IFERROR(IF(X35="",0,CEILING((X35/$H35),1)*$H35),"")</f>
        <v>0</v>
      </c>
      <c r="Z35" s="36" t="str">
        <f>IFERROR(IF(Y35=0,"",ROUNDUP(Y35/H35,0)*0.01898),"")</f>
        <v/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240</v>
      </c>
      <c r="Y36" s="666">
        <f>IFERROR(IF(X36="",0,CEILING((X36/$H36),1)*$H36),"")</f>
        <v>240</v>
      </c>
      <c r="Z36" s="36">
        <f>IFERROR(IF(Y36=0,"",ROUNDUP(Y36/H36,0)*0.00902),"")</f>
        <v>0.54120000000000001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252.6</v>
      </c>
      <c r="BN36" s="64">
        <f>IFERROR(Y36*I36/H36,"0")</f>
        <v>252.6</v>
      </c>
      <c r="BO36" s="64">
        <f>IFERROR(1/J36*(X36/H36),"0")</f>
        <v>0.45454545454545459</v>
      </c>
      <c r="BP36" s="64">
        <f>IFERROR(1/J36*(Y36/H36),"0")</f>
        <v>0.45454545454545459</v>
      </c>
    </row>
    <row r="37" spans="1:68" ht="27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2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60</v>
      </c>
      <c r="Y39" s="667">
        <f>IFERROR(Y35/H35,"0")+IFERROR(Y36/H36,"0")+IFERROR(Y37/H37,"0")+IFERROR(Y38/H38,"0")</f>
        <v>60</v>
      </c>
      <c r="Z39" s="667">
        <f>IFERROR(IF(Z35="",0,Z35),"0")+IFERROR(IF(Z36="",0,Z36),"0")+IFERROR(IF(Z37="",0,Z37),"0")+IFERROR(IF(Z38="",0,Z38),"0")</f>
        <v>0.54120000000000001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240</v>
      </c>
      <c r="Y40" s="667">
        <f>IFERROR(SUM(Y35:Y38),"0")</f>
        <v>240</v>
      </c>
      <c r="Z40" s="37"/>
      <c r="AA40" s="668"/>
      <c r="AB40" s="668"/>
      <c r="AC40" s="668"/>
    </row>
    <row r="41" spans="1:68" ht="14.25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customHeight="1" x14ac:dyDescent="0.25">
      <c r="A45" s="716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116</v>
      </c>
      <c r="M48" s="33" t="s">
        <v>94</v>
      </c>
      <c r="N48" s="33"/>
      <c r="O48" s="32">
        <v>50</v>
      </c>
      <c r="P48" s="9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0</v>
      </c>
      <c r="Y48" s="666">
        <f t="shared" si="0"/>
        <v>0</v>
      </c>
      <c r="Z48" s="36" t="str">
        <f>IFERROR(IF(Y48=0,"",ROUNDUP(Y48/H48,0)*0.01898),"")</f>
        <v/>
      </c>
      <c r="AA48" s="56"/>
      <c r="AB48" s="57"/>
      <c r="AC48" s="91" t="s">
        <v>117</v>
      </c>
      <c r="AG48" s="64"/>
      <c r="AJ48" s="68" t="s">
        <v>118</v>
      </c>
      <c r="AK48" s="68">
        <v>86.4</v>
      </c>
      <c r="BB48" s="92" t="s">
        <v>1</v>
      </c>
      <c r="BM48" s="64">
        <f t="shared" si="1"/>
        <v>0</v>
      </c>
      <c r="BN48" s="64">
        <f t="shared" si="2"/>
        <v>0</v>
      </c>
      <c r="BO48" s="64">
        <f t="shared" si="3"/>
        <v>0</v>
      </c>
      <c r="BP48" s="64">
        <f t="shared" si="4"/>
        <v>0</v>
      </c>
    </row>
    <row r="49" spans="1:68" ht="27" customHeight="1" x14ac:dyDescent="0.25">
      <c r="A49" s="54" t="s">
        <v>119</v>
      </c>
      <c r="B49" s="54" t="s">
        <v>120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97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3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124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customHeight="1" x14ac:dyDescent="0.25">
      <c r="A51" s="54" t="s">
        <v>125</v>
      </c>
      <c r="B51" s="54" t="s">
        <v>126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117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customHeight="1" x14ac:dyDescent="0.25">
      <c r="A52" s="54" t="s">
        <v>127</v>
      </c>
      <c r="B52" s="54" t="s">
        <v>128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129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130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131</v>
      </c>
      <c r="B53" s="54" t="s">
        <v>132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1255.5</v>
      </c>
      <c r="Y53" s="666">
        <f t="shared" si="0"/>
        <v>1255.5</v>
      </c>
      <c r="Z53" s="36">
        <f>IFERROR(IF(Y53=0,"",ROUNDUP(Y53/H53,0)*0.00902),"")</f>
        <v>2.5165800000000003</v>
      </c>
      <c r="AA53" s="56"/>
      <c r="AB53" s="57"/>
      <c r="AC53" s="101" t="s">
        <v>117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1314.09</v>
      </c>
      <c r="BN53" s="64">
        <f t="shared" si="2"/>
        <v>1314.09</v>
      </c>
      <c r="BO53" s="64">
        <f t="shared" si="3"/>
        <v>2.1136363636363638</v>
      </c>
      <c r="BP53" s="64">
        <f t="shared" si="4"/>
        <v>2.1136363636363638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279</v>
      </c>
      <c r="Y54" s="667">
        <f>IFERROR(Y47/H47,"0")+IFERROR(Y48/H48,"0")+IFERROR(Y49/H49,"0")+IFERROR(Y50/H50,"0")+IFERROR(Y51/H51,"0")+IFERROR(Y52/H52,"0")+IFERROR(Y53/H53,"0")</f>
        <v>279</v>
      </c>
      <c r="Z54" s="667">
        <f>IFERROR(IF(Z47="",0,Z47),"0")+IFERROR(IF(Z48="",0,Z48),"0")+IFERROR(IF(Z49="",0,Z49),"0")+IFERROR(IF(Z50="",0,Z50),"0")+IFERROR(IF(Z51="",0,Z51),"0")+IFERROR(IF(Z52="",0,Z52),"0")+IFERROR(IF(Z53="",0,Z53),"0")</f>
        <v>2.5165800000000003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1255.5</v>
      </c>
      <c r="Y55" s="667">
        <f>IFERROR(SUM(Y47:Y53),"0")</f>
        <v>1255.5</v>
      </c>
      <c r="Z55" s="37"/>
      <c r="AA55" s="668"/>
      <c r="AB55" s="668"/>
      <c r="AC55" s="668"/>
    </row>
    <row r="56" spans="1:68" ht="14.25" customHeight="1" x14ac:dyDescent="0.25">
      <c r="A56" s="682" t="s">
        <v>133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134</v>
      </c>
      <c r="B57" s="54" t="s">
        <v>135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100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0</v>
      </c>
      <c r="Y57" s="666">
        <f>IFERROR(IF(X57="",0,CEILING((X57/$H57),1)*$H57),"")</f>
        <v>0</v>
      </c>
      <c r="Z57" s="36" t="str">
        <f>IFERROR(IF(Y57=0,"",ROUNDUP(Y57/H57,0)*0.01898),"")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>IFERROR(X57*I57/H57,"0")</f>
        <v>0</v>
      </c>
      <c r="BN57" s="64">
        <f>IFERROR(Y57*I57/H57,"0")</f>
        <v>0</v>
      </c>
      <c r="BO57" s="64">
        <f>IFERROR(1/J57*(X57/H57),"0")</f>
        <v>0</v>
      </c>
      <c r="BP57" s="64">
        <f>IFERROR(1/J57*(Y57/H57),"0")</f>
        <v>0</v>
      </c>
    </row>
    <row r="58" spans="1:68" ht="27" customHeight="1" x14ac:dyDescent="0.25">
      <c r="A58" s="54" t="s">
        <v>137</v>
      </c>
      <c r="B58" s="54" t="s">
        <v>138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54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customHeight="1" x14ac:dyDescent="0.25">
      <c r="A59" s="54" t="s">
        <v>140</v>
      </c>
      <c r="B59" s="54" t="s">
        <v>141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136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142</v>
      </c>
      <c r="B60" s="54" t="s">
        <v>143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116</v>
      </c>
      <c r="M60" s="33" t="s">
        <v>94</v>
      </c>
      <c r="N60" s="33"/>
      <c r="O60" s="32">
        <v>50</v>
      </c>
      <c r="P60" s="10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 t="s">
        <v>118</v>
      </c>
      <c r="AK60" s="68">
        <v>37.799999999999997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0</v>
      </c>
      <c r="Y61" s="667">
        <f>IFERROR(Y57/H57,"0")+IFERROR(Y58/H58,"0")+IFERROR(Y59/H59,"0")+IFERROR(Y60/H60,"0")</f>
        <v>0</v>
      </c>
      <c r="Z61" s="667">
        <f>IFERROR(IF(Z57="",0,Z57),"0")+IFERROR(IF(Z58="",0,Z58),"0")+IFERROR(IF(Z59="",0,Z59),"0")+IFERROR(IF(Z60="",0,Z60),"0")</f>
        <v>0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0</v>
      </c>
      <c r="Y62" s="667">
        <f>IFERROR(SUM(Y57:Y60),"0")</f>
        <v>0</v>
      </c>
      <c r="Z62" s="37"/>
      <c r="AA62" s="668"/>
      <c r="AB62" s="668"/>
      <c r="AC62" s="668"/>
    </row>
    <row r="63" spans="1:68" ht="14.25" customHeight="1" x14ac:dyDescent="0.25">
      <c r="A63" s="682" t="s">
        <v>144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145</v>
      </c>
      <c r="B64" s="54" t="s">
        <v>146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147</v>
      </c>
      <c r="L64" s="32"/>
      <c r="M64" s="33" t="s">
        <v>68</v>
      </c>
      <c r="N64" s="33"/>
      <c r="O64" s="32">
        <v>40</v>
      </c>
      <c r="P64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148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customHeight="1" x14ac:dyDescent="0.25">
      <c r="A65" s="54" t="s">
        <v>149</v>
      </c>
      <c r="B65" s="54" t="s">
        <v>150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68</v>
      </c>
      <c r="N65" s="33"/>
      <c r="O65" s="32">
        <v>40</v>
      </c>
      <c r="P65" s="10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152</v>
      </c>
      <c r="B66" s="54" t="s">
        <v>153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68</v>
      </c>
      <c r="N66" s="33"/>
      <c r="O66" s="32">
        <v>40</v>
      </c>
      <c r="P66" s="82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155</v>
      </c>
      <c r="B70" s="54" t="s">
        <v>156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157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customHeight="1" x14ac:dyDescent="0.25">
      <c r="A71" s="54" t="s">
        <v>158</v>
      </c>
      <c r="B71" s="54" t="s">
        <v>159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customHeight="1" x14ac:dyDescent="0.25">
      <c r="A72" s="54" t="s">
        <v>161</v>
      </c>
      <c r="B72" s="54" t="s">
        <v>162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customHeight="1" x14ac:dyDescent="0.25">
      <c r="A73" s="54" t="s">
        <v>164</v>
      </c>
      <c r="B73" s="54" t="s">
        <v>165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157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customHeight="1" x14ac:dyDescent="0.25">
      <c r="A74" s="54" t="s">
        <v>166</v>
      </c>
      <c r="B74" s="54" t="s">
        <v>167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customHeight="1" x14ac:dyDescent="0.25">
      <c r="A75" s="54" t="s">
        <v>168</v>
      </c>
      <c r="B75" s="54" t="s">
        <v>169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customHeight="1" x14ac:dyDescent="0.25">
      <c r="A78" s="682" t="s">
        <v>170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171</v>
      </c>
      <c r="B79" s="54" t="s">
        <v>172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173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171</v>
      </c>
      <c r="B80" s="54" t="s">
        <v>174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33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0</v>
      </c>
      <c r="Y80" s="66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175</v>
      </c>
      <c r="B81" s="54" t="s">
        <v>176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177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0</v>
      </c>
      <c r="Y82" s="667">
        <f>IFERROR(Y79/H79,"0")+IFERROR(Y80/H80,"0")+IFERROR(Y81/H81,"0")</f>
        <v>0</v>
      </c>
      <c r="Z82" s="667">
        <f>IFERROR(IF(Z79="",0,Z79),"0")+IFERROR(IF(Z80="",0,Z80),"0")+IFERROR(IF(Z81="",0,Z81),"0")</f>
        <v>0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0</v>
      </c>
      <c r="Y83" s="667">
        <f>IFERROR(SUM(Y79:Y81),"0")</f>
        <v>0</v>
      </c>
      <c r="Z83" s="37"/>
      <c r="AA83" s="668"/>
      <c r="AB83" s="668"/>
      <c r="AC83" s="668"/>
    </row>
    <row r="84" spans="1:68" ht="16.5" customHeight="1" x14ac:dyDescent="0.25">
      <c r="A84" s="716" t="s">
        <v>178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179</v>
      </c>
      <c r="B86" s="54" t="s">
        <v>180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129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0</v>
      </c>
      <c r="Y86" s="666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181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182</v>
      </c>
      <c r="B87" s="54" t="s">
        <v>183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184</v>
      </c>
      <c r="B88" s="54" t="s">
        <v>185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129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166.5</v>
      </c>
      <c r="Y88" s="666">
        <f>IFERROR(IF(X88="",0,CEILING((X88/$H88),1)*$H88),"")</f>
        <v>166.5</v>
      </c>
      <c r="Z88" s="36">
        <f>IFERROR(IF(Y88=0,"",ROUNDUP(Y88/H88,0)*0.00902),"")</f>
        <v>0.33374000000000004</v>
      </c>
      <c r="AA88" s="56"/>
      <c r="AB88" s="57"/>
      <c r="AC88" s="139" t="s">
        <v>186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174.27</v>
      </c>
      <c r="BN88" s="64">
        <f>IFERROR(Y88*I88/H88,"0")</f>
        <v>174.27</v>
      </c>
      <c r="BO88" s="64">
        <f>IFERROR(1/J88*(X88/H88),"0")</f>
        <v>0.28030303030303033</v>
      </c>
      <c r="BP88" s="64">
        <f>IFERROR(1/J88*(Y88/H88),"0")</f>
        <v>0.28030303030303033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37</v>
      </c>
      <c r="Y89" s="667">
        <f>IFERROR(Y86/H86,"0")+IFERROR(Y87/H87,"0")+IFERROR(Y88/H88,"0")</f>
        <v>37</v>
      </c>
      <c r="Z89" s="667">
        <f>IFERROR(IF(Z86="",0,Z86),"0")+IFERROR(IF(Z87="",0,Z87),"0")+IFERROR(IF(Z88="",0,Z88),"0")</f>
        <v>0.33374000000000004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166.5</v>
      </c>
      <c r="Y90" s="667">
        <f>IFERROR(SUM(Y86:Y88),"0")</f>
        <v>166.5</v>
      </c>
      <c r="Z90" s="37"/>
      <c r="AA90" s="668"/>
      <c r="AB90" s="668"/>
      <c r="AC90" s="668"/>
    </row>
    <row r="91" spans="1:68" ht="14.25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16.5" customHeight="1" x14ac:dyDescent="0.25">
      <c r="A92" s="54" t="s">
        <v>187</v>
      </c>
      <c r="B92" s="54" t="s">
        <v>188</v>
      </c>
      <c r="C92" s="31">
        <v>4301051712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129</v>
      </c>
      <c r="N92" s="33"/>
      <c r="O92" s="32">
        <v>45</v>
      </c>
      <c r="P92" s="723" t="s">
        <v>189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190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187</v>
      </c>
      <c r="B93" s="54" t="s">
        <v>191</v>
      </c>
      <c r="C93" s="31">
        <v>4301051437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4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0</v>
      </c>
      <c r="Y93" s="666">
        <f t="shared" si="10"/>
        <v>0</v>
      </c>
      <c r="Z93" s="36" t="str">
        <f>IFERROR(IF(Y93=0,"",ROUNDUP(Y93/H93,0)*0.01898),"")</f>
        <v/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si="11"/>
        <v>0</v>
      </c>
      <c r="BN93" s="64">
        <f t="shared" si="12"/>
        <v>0</v>
      </c>
      <c r="BO93" s="64">
        <f t="shared" si="13"/>
        <v>0</v>
      </c>
      <c r="BP93" s="64">
        <f t="shared" si="14"/>
        <v>0</v>
      </c>
    </row>
    <row r="94" spans="1:68" ht="27" customHeight="1" x14ac:dyDescent="0.25">
      <c r="A94" s="54" t="s">
        <v>187</v>
      </c>
      <c r="B94" s="54" t="s">
        <v>193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93</v>
      </c>
      <c r="L94" s="32"/>
      <c r="M94" s="33" t="s">
        <v>100</v>
      </c>
      <c r="N94" s="33"/>
      <c r="O94" s="32">
        <v>45</v>
      </c>
      <c r="P94" s="731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customHeight="1" x14ac:dyDescent="0.25">
      <c r="A95" s="54" t="s">
        <v>194</v>
      </c>
      <c r="B95" s="54" t="s">
        <v>195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42" t="s">
        <v>196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197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customHeight="1" x14ac:dyDescent="0.25">
      <c r="A96" s="54" t="s">
        <v>198</v>
      </c>
      <c r="B96" s="54" t="s">
        <v>199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129</v>
      </c>
      <c r="N96" s="33"/>
      <c r="O96" s="32">
        <v>45</v>
      </c>
      <c r="P96" s="902" t="s">
        <v>200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190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198</v>
      </c>
      <c r="B97" s="54" t="s">
        <v>201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71" t="s">
        <v>202</v>
      </c>
      <c r="Q97" s="672"/>
      <c r="R97" s="672"/>
      <c r="S97" s="672"/>
      <c r="T97" s="673"/>
      <c r="U97" s="34"/>
      <c r="V97" s="34"/>
      <c r="W97" s="35" t="s">
        <v>69</v>
      </c>
      <c r="X97" s="665">
        <v>486</v>
      </c>
      <c r="Y97" s="666">
        <f t="shared" si="10"/>
        <v>486.00000000000006</v>
      </c>
      <c r="Z97" s="36">
        <f>IFERROR(IF(Y97=0,"",ROUNDUP(Y97/H97,0)*0.00651),"")</f>
        <v>1.1718</v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1"/>
        <v>531.36</v>
      </c>
      <c r="BN97" s="64">
        <f t="shared" si="12"/>
        <v>531.36</v>
      </c>
      <c r="BO97" s="64">
        <f t="shared" si="13"/>
        <v>0.98901098901098905</v>
      </c>
      <c r="BP97" s="64">
        <f t="shared" si="14"/>
        <v>0.98901098901098905</v>
      </c>
    </row>
    <row r="98" spans="1:68" ht="16.5" customHeight="1" x14ac:dyDescent="0.25">
      <c r="A98" s="54" t="s">
        <v>203</v>
      </c>
      <c r="B98" s="54" t="s">
        <v>204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3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205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customHeight="1" x14ac:dyDescent="0.25">
      <c r="A99" s="54" t="s">
        <v>206</v>
      </c>
      <c r="B99" s="54" t="s">
        <v>207</v>
      </c>
      <c r="C99" s="31">
        <v>4301051687</v>
      </c>
      <c r="D99" s="669">
        <v>4680115880214</v>
      </c>
      <c r="E99" s="670"/>
      <c r="F99" s="664">
        <v>0.45</v>
      </c>
      <c r="G99" s="32">
        <v>4</v>
      </c>
      <c r="H99" s="664">
        <v>1.8</v>
      </c>
      <c r="I99" s="664">
        <v>2.032</v>
      </c>
      <c r="J99" s="32">
        <v>182</v>
      </c>
      <c r="K99" s="32" t="s">
        <v>67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customHeight="1" x14ac:dyDescent="0.25">
      <c r="A100" s="54" t="s">
        <v>206</v>
      </c>
      <c r="B100" s="54" t="s">
        <v>208</v>
      </c>
      <c r="C100" s="31">
        <v>4301051439</v>
      </c>
      <c r="D100" s="669">
        <v>4680115880214</v>
      </c>
      <c r="E100" s="670"/>
      <c r="F100" s="664">
        <v>0.45</v>
      </c>
      <c r="G100" s="32">
        <v>6</v>
      </c>
      <c r="H100" s="664">
        <v>2.7</v>
      </c>
      <c r="I100" s="664">
        <v>2.988</v>
      </c>
      <c r="J100" s="32">
        <v>132</v>
      </c>
      <c r="K100" s="32" t="s">
        <v>98</v>
      </c>
      <c r="L100" s="32"/>
      <c r="M100" s="33" t="s">
        <v>100</v>
      </c>
      <c r="N100" s="33"/>
      <c r="O100" s="32">
        <v>45</v>
      </c>
      <c r="P100" s="729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IFERROR(IF(Y100=0,"",ROUNDUP(Y100/H100,0)*0.00902),"")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180</v>
      </c>
      <c r="Y101" s="667">
        <f>IFERROR(Y92/H92,"0")+IFERROR(Y93/H93,"0")+IFERROR(Y94/H94,"0")+IFERROR(Y95/H95,"0")+IFERROR(Y96/H96,"0")+IFERROR(Y97/H97,"0")+IFERROR(Y98/H98,"0")+IFERROR(Y99/H99,"0")+IFERROR(Y100/H100,"0")</f>
        <v>180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1.1718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486</v>
      </c>
      <c r="Y102" s="667">
        <f>IFERROR(SUM(Y92:Y100),"0")</f>
        <v>486.00000000000006</v>
      </c>
      <c r="Z102" s="37"/>
      <c r="AA102" s="668"/>
      <c r="AB102" s="668"/>
      <c r="AC102" s="668"/>
    </row>
    <row r="103" spans="1:68" ht="16.5" customHeight="1" x14ac:dyDescent="0.25">
      <c r="A103" s="716" t="s">
        <v>209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210</v>
      </c>
      <c r="B105" s="54" t="s">
        <v>211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97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212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213</v>
      </c>
      <c r="B106" s="54" t="s">
        <v>214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4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215</v>
      </c>
      <c r="B107" s="54" t="s">
        <v>216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9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153</v>
      </c>
      <c r="Y107" s="666">
        <f>IFERROR(IF(X107="",0,CEILING((X107/$H107),1)*$H107),"")</f>
        <v>153</v>
      </c>
      <c r="Z107" s="36">
        <f>IFERROR(IF(Y107=0,"",ROUNDUP(Y107/H107,0)*0.00902),"")</f>
        <v>0.30668000000000001</v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160.13999999999999</v>
      </c>
      <c r="BN107" s="64">
        <f>IFERROR(Y107*I107/H107,"0")</f>
        <v>160.13999999999999</v>
      </c>
      <c r="BO107" s="64">
        <f>IFERROR(1/J107*(X107/H107),"0")</f>
        <v>0.25757575757575757</v>
      </c>
      <c r="BP107" s="64">
        <f>IFERROR(1/J107*(Y107/H107),"0")</f>
        <v>0.25757575757575757</v>
      </c>
    </row>
    <row r="108" spans="1:68" ht="16.5" customHeight="1" x14ac:dyDescent="0.25">
      <c r="A108" s="54" t="s">
        <v>217</v>
      </c>
      <c r="B108" s="54" t="s">
        <v>218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34</v>
      </c>
      <c r="Y109" s="667">
        <f>IFERROR(Y105/H105,"0")+IFERROR(Y106/H106,"0")+IFERROR(Y107/H107,"0")+IFERROR(Y108/H108,"0")</f>
        <v>34</v>
      </c>
      <c r="Z109" s="667">
        <f>IFERROR(IF(Z105="",0,Z105),"0")+IFERROR(IF(Z106="",0,Z106),"0")+IFERROR(IF(Z107="",0,Z107),"0")+IFERROR(IF(Z108="",0,Z108),"0")</f>
        <v>0.30668000000000001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153</v>
      </c>
      <c r="Y110" s="667">
        <f>IFERROR(SUM(Y105:Y108),"0")</f>
        <v>153</v>
      </c>
      <c r="Z110" s="37"/>
      <c r="AA110" s="668"/>
      <c r="AB110" s="668"/>
      <c r="AC110" s="668"/>
    </row>
    <row r="111" spans="1:68" ht="14.25" customHeight="1" x14ac:dyDescent="0.25">
      <c r="A111" s="682" t="s">
        <v>133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219</v>
      </c>
      <c r="B112" s="54" t="s">
        <v>220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221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222</v>
      </c>
      <c r="B113" s="54" t="s">
        <v>223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147</v>
      </c>
      <c r="L113" s="32"/>
      <c r="M113" s="33" t="s">
        <v>94</v>
      </c>
      <c r="N113" s="33"/>
      <c r="O113" s="32">
        <v>55</v>
      </c>
      <c r="P113" s="77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224</v>
      </c>
      <c r="B114" s="54" t="s">
        <v>225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16.5" customHeight="1" x14ac:dyDescent="0.25">
      <c r="A118" s="54" t="s">
        <v>226</v>
      </c>
      <c r="B118" s="54" t="s">
        <v>227</v>
      </c>
      <c r="C118" s="31">
        <v>4301051724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129</v>
      </c>
      <c r="N118" s="33"/>
      <c r="O118" s="32">
        <v>45</v>
      </c>
      <c r="P118" s="807" t="s">
        <v>228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229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27" customHeight="1" x14ac:dyDescent="0.25">
      <c r="A119" s="54" t="s">
        <v>226</v>
      </c>
      <c r="B119" s="54" t="s">
        <v>230</v>
      </c>
      <c r="C119" s="31">
        <v>4301051625</v>
      </c>
      <c r="D119" s="669">
        <v>4607091385168</v>
      </c>
      <c r="E119" s="670"/>
      <c r="F119" s="664">
        <v>1.4</v>
      </c>
      <c r="G119" s="32">
        <v>6</v>
      </c>
      <c r="H119" s="664">
        <v>8.4</v>
      </c>
      <c r="I119" s="664">
        <v>8.9130000000000003</v>
      </c>
      <c r="J119" s="32">
        <v>64</v>
      </c>
      <c r="K119" s="32" t="s">
        <v>93</v>
      </c>
      <c r="L119" s="32"/>
      <c r="M119" s="33" t="s">
        <v>100</v>
      </c>
      <c r="N119" s="33"/>
      <c r="O119" s="32">
        <v>45</v>
      </c>
      <c r="P119" s="818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37.5" customHeight="1" x14ac:dyDescent="0.25">
      <c r="A120" s="54" t="s">
        <v>226</v>
      </c>
      <c r="B120" s="54" t="s">
        <v>232</v>
      </c>
      <c r="C120" s="31">
        <v>4301051360</v>
      </c>
      <c r="D120" s="669">
        <v>4607091385168</v>
      </c>
      <c r="E120" s="670"/>
      <c r="F120" s="664">
        <v>1.35</v>
      </c>
      <c r="G120" s="32">
        <v>6</v>
      </c>
      <c r="H120" s="664">
        <v>8.1</v>
      </c>
      <c r="I120" s="664">
        <v>8.6129999999999995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4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0</v>
      </c>
      <c r="Y120" s="666">
        <f t="shared" si="15"/>
        <v>0</v>
      </c>
      <c r="Z120" s="36" t="str">
        <f>IFERROR(IF(Y120=0,"",ROUNDUP(Y120/H120,0)*0.01898),"")</f>
        <v/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16"/>
        <v>0</v>
      </c>
      <c r="BN120" s="64">
        <f t="shared" si="17"/>
        <v>0</v>
      </c>
      <c r="BO120" s="64">
        <f t="shared" si="18"/>
        <v>0</v>
      </c>
      <c r="BP120" s="64">
        <f t="shared" si="19"/>
        <v>0</v>
      </c>
    </row>
    <row r="121" spans="1:68" ht="27" customHeight="1" x14ac:dyDescent="0.25">
      <c r="A121" s="54" t="s">
        <v>234</v>
      </c>
      <c r="B121" s="54" t="s">
        <v>235</v>
      </c>
      <c r="C121" s="31">
        <v>4301051730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129</v>
      </c>
      <c r="N121" s="33"/>
      <c r="O121" s="32">
        <v>45</v>
      </c>
      <c r="P121" s="1008" t="s">
        <v>236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229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37.5" customHeight="1" x14ac:dyDescent="0.25">
      <c r="A122" s="54" t="s">
        <v>234</v>
      </c>
      <c r="B122" s="54" t="s">
        <v>237</v>
      </c>
      <c r="C122" s="31">
        <v>4301051362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100</v>
      </c>
      <c r="N122" s="33"/>
      <c r="O122" s="32">
        <v>45</v>
      </c>
      <c r="P122" s="846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233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27" customHeight="1" x14ac:dyDescent="0.25">
      <c r="A123" s="54" t="s">
        <v>238</v>
      </c>
      <c r="B123" s="54" t="s">
        <v>239</v>
      </c>
      <c r="C123" s="31">
        <v>4301051721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/>
      <c r="M123" s="33" t="s">
        <v>129</v>
      </c>
      <c r="N123" s="33"/>
      <c r="O123" s="32">
        <v>45</v>
      </c>
      <c r="P123" s="1013" t="s">
        <v>240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0</v>
      </c>
      <c r="Y123" s="666">
        <f t="shared" si="15"/>
        <v>0</v>
      </c>
      <c r="Z123" s="36" t="str">
        <f t="shared" si="20"/>
        <v/>
      </c>
      <c r="AA123" s="56"/>
      <c r="AB123" s="57"/>
      <c r="AC123" s="183" t="s">
        <v>229</v>
      </c>
      <c r="AG123" s="64"/>
      <c r="AJ123" s="68"/>
      <c r="AK123" s="68">
        <v>0</v>
      </c>
      <c r="BB123" s="184" t="s">
        <v>1</v>
      </c>
      <c r="BM123" s="64">
        <f t="shared" si="16"/>
        <v>0</v>
      </c>
      <c r="BN123" s="64">
        <f t="shared" si="17"/>
        <v>0</v>
      </c>
      <c r="BO123" s="64">
        <f t="shared" si="18"/>
        <v>0</v>
      </c>
      <c r="BP123" s="64">
        <f t="shared" si="19"/>
        <v>0</v>
      </c>
    </row>
    <row r="124" spans="1:68" ht="37.5" customHeight="1" x14ac:dyDescent="0.25">
      <c r="A124" s="54" t="s">
        <v>238</v>
      </c>
      <c r="B124" s="54" t="s">
        <v>241</v>
      </c>
      <c r="C124" s="31">
        <v>4301051358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 t="s">
        <v>99</v>
      </c>
      <c r="M124" s="33" t="s">
        <v>100</v>
      </c>
      <c r="N124" s="33"/>
      <c r="O124" s="32">
        <v>45</v>
      </c>
      <c r="P124" s="1040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893.7</v>
      </c>
      <c r="Y124" s="666">
        <f t="shared" si="15"/>
        <v>893.7</v>
      </c>
      <c r="Z124" s="36">
        <f t="shared" si="20"/>
        <v>2.1548099999999999</v>
      </c>
      <c r="AA124" s="56"/>
      <c r="AB124" s="57"/>
      <c r="AC124" s="185" t="s">
        <v>233</v>
      </c>
      <c r="AG124" s="64"/>
      <c r="AJ124" s="68" t="s">
        <v>101</v>
      </c>
      <c r="AK124" s="68">
        <v>491.4</v>
      </c>
      <c r="BB124" s="186" t="s">
        <v>1</v>
      </c>
      <c r="BM124" s="64">
        <f t="shared" si="16"/>
        <v>977.11199999999997</v>
      </c>
      <c r="BN124" s="64">
        <f t="shared" si="17"/>
        <v>977.11199999999997</v>
      </c>
      <c r="BO124" s="64">
        <f t="shared" si="18"/>
        <v>1.8186813186813189</v>
      </c>
      <c r="BP124" s="64">
        <f t="shared" si="19"/>
        <v>1.8186813186813189</v>
      </c>
    </row>
    <row r="125" spans="1:68" ht="27" customHeight="1" x14ac:dyDescent="0.25">
      <c r="A125" s="54" t="s">
        <v>242</v>
      </c>
      <c r="B125" s="54" t="s">
        <v>243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0</v>
      </c>
      <c r="Y125" s="666">
        <f t="shared" si="15"/>
        <v>0</v>
      </c>
      <c r="Z125" s="36" t="str">
        <f t="shared" si="20"/>
        <v/>
      </c>
      <c r="AA125" s="56"/>
      <c r="AB125" s="57"/>
      <c r="AC125" s="187" t="s">
        <v>244</v>
      </c>
      <c r="AG125" s="64"/>
      <c r="AJ125" s="68"/>
      <c r="AK125" s="68">
        <v>0</v>
      </c>
      <c r="BB125" s="188" t="s">
        <v>1</v>
      </c>
      <c r="BM125" s="64">
        <f t="shared" si="16"/>
        <v>0</v>
      </c>
      <c r="BN125" s="64">
        <f t="shared" si="17"/>
        <v>0</v>
      </c>
      <c r="BO125" s="64">
        <f t="shared" si="18"/>
        <v>0</v>
      </c>
      <c r="BP125" s="64">
        <f t="shared" si="19"/>
        <v>0</v>
      </c>
    </row>
    <row r="126" spans="1:68" ht="37.5" customHeight="1" x14ac:dyDescent="0.25">
      <c r="A126" s="54" t="s">
        <v>245</v>
      </c>
      <c r="B126" s="54" t="s">
        <v>246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5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247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331</v>
      </c>
      <c r="Y127" s="667">
        <f>IFERROR(Y118/H118,"0")+IFERROR(Y119/H119,"0")+IFERROR(Y120/H120,"0")+IFERROR(Y121/H121,"0")+IFERROR(Y122/H122,"0")+IFERROR(Y123/H123,"0")+IFERROR(Y124/H124,"0")+IFERROR(Y125/H125,"0")+IFERROR(Y126/H126,"0")</f>
        <v>331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2.1548099999999999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893.7</v>
      </c>
      <c r="Y128" s="667">
        <f>IFERROR(SUM(Y118:Y126),"0")</f>
        <v>893.7</v>
      </c>
      <c r="Z128" s="37"/>
      <c r="AA128" s="668"/>
      <c r="AB128" s="668"/>
      <c r="AC128" s="668"/>
    </row>
    <row r="129" spans="1:68" ht="14.25" customHeight="1" x14ac:dyDescent="0.25">
      <c r="A129" s="682" t="s">
        <v>170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248</v>
      </c>
      <c r="B130" s="54" t="s">
        <v>249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4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250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251</v>
      </c>
      <c r="B131" s="54" t="s">
        <v>252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253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254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255</v>
      </c>
      <c r="B136" s="54" t="s">
        <v>256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257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255</v>
      </c>
      <c r="B137" s="54" t="s">
        <v>258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2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0</v>
      </c>
      <c r="Y138" s="667">
        <f>IFERROR(Y136/H136,"0")+IFERROR(Y137/H137,"0")</f>
        <v>0</v>
      </c>
      <c r="Z138" s="667">
        <f>IFERROR(IF(Z136="",0,Z136),"0")+IFERROR(IF(Z137="",0,Z137),"0")</f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0</v>
      </c>
      <c r="Y139" s="667">
        <f>IFERROR(SUM(Y136:Y137),"0")</f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144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259</v>
      </c>
      <c r="B141" s="54" t="s">
        <v>260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0</v>
      </c>
      <c r="Y141" s="66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261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259</v>
      </c>
      <c r="B142" s="54" t="s">
        <v>262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0</v>
      </c>
      <c r="Y143" s="667">
        <f>IFERROR(Y141/H141,"0")+IFERROR(Y142/H142,"0")</f>
        <v>0</v>
      </c>
      <c r="Z143" s="667">
        <f>IFERROR(IF(Z141="",0,Z141),"0")+IFERROR(IF(Z142="",0,Z142),"0")</f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0</v>
      </c>
      <c r="Y144" s="667">
        <f>IFERROR(SUM(Y141:Y142),"0")</f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263</v>
      </c>
      <c r="B146" s="54" t="s">
        <v>264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257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263</v>
      </c>
      <c r="B147" s="54" t="s">
        <v>265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0</v>
      </c>
      <c r="Y148" s="667">
        <f>IFERROR(Y146/H146,"0")+IFERROR(Y147/H147,"0")</f>
        <v>0</v>
      </c>
      <c r="Z148" s="667">
        <f>IFERROR(IF(Z146="",0,Z146),"0")+IFERROR(IF(Z147="",0,Z147),"0")</f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0</v>
      </c>
      <c r="Y149" s="667">
        <f>IFERROR(SUM(Y146:Y147),"0")</f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266</v>
      </c>
      <c r="B152" s="54" t="s">
        <v>267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268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144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269</v>
      </c>
      <c r="B156" s="54" t="s">
        <v>270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271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272</v>
      </c>
      <c r="B157" s="54" t="s">
        <v>273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274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customHeight="1" x14ac:dyDescent="0.25">
      <c r="A158" s="54" t="s">
        <v>275</v>
      </c>
      <c r="B158" s="54" t="s">
        <v>276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3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277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customHeight="1" x14ac:dyDescent="0.25">
      <c r="A159" s="54" t="s">
        <v>278</v>
      </c>
      <c r="B159" s="54" t="s">
        <v>279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147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274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280</v>
      </c>
      <c r="B163" s="54" t="s">
        <v>281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282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customHeight="1" x14ac:dyDescent="0.25">
      <c r="A164" s="54" t="s">
        <v>283</v>
      </c>
      <c r="B164" s="54" t="s">
        <v>284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50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286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287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133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288</v>
      </c>
      <c r="B170" s="54" t="s">
        <v>289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290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144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291</v>
      </c>
      <c r="B174" s="54" t="s">
        <v>292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0</v>
      </c>
      <c r="Y174" s="666">
        <f t="shared" ref="Y174:Y182" si="21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293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0</v>
      </c>
      <c r="BN174" s="64">
        <f t="shared" ref="BN174:BN182" si="23">IFERROR(Y174*I174/H174,"0")</f>
        <v>0</v>
      </c>
      <c r="BO174" s="64">
        <f t="shared" ref="BO174:BO182" si="24">IFERROR(1/J174*(X174/H174),"0")</f>
        <v>0</v>
      </c>
      <c r="BP174" s="64">
        <f t="shared" ref="BP174:BP182" si="25">IFERROR(1/J174*(Y174/H174),"0")</f>
        <v>0</v>
      </c>
    </row>
    <row r="175" spans="1:68" ht="27" customHeight="1" x14ac:dyDescent="0.25">
      <c r="A175" s="54" t="s">
        <v>294</v>
      </c>
      <c r="B175" s="54" t="s">
        <v>295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0</v>
      </c>
      <c r="Y175" s="666">
        <f t="shared" si="21"/>
        <v>0</v>
      </c>
      <c r="Z175" s="36" t="str">
        <f>IFERROR(IF(Y175=0,"",ROUNDUP(Y175/H175,0)*0.00902),"")</f>
        <v/>
      </c>
      <c r="AA175" s="56"/>
      <c r="AB175" s="57"/>
      <c r="AC175" s="225" t="s">
        <v>296</v>
      </c>
      <c r="AG175" s="64"/>
      <c r="AJ175" s="68"/>
      <c r="AK175" s="68">
        <v>0</v>
      </c>
      <c r="BB175" s="226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0</v>
      </c>
      <c r="Y176" s="666">
        <f t="shared" si="21"/>
        <v>0</v>
      </c>
      <c r="Z176" s="36" t="str">
        <f>IFERROR(IF(Y176=0,"",ROUNDUP(Y176/H176,0)*0.00902),"")</f>
        <v/>
      </c>
      <c r="AA176" s="56"/>
      <c r="AB176" s="57"/>
      <c r="AC176" s="227" t="s">
        <v>299</v>
      </c>
      <c r="AG176" s="64"/>
      <c r="AJ176" s="68"/>
      <c r="AK176" s="68">
        <v>0</v>
      </c>
      <c r="BB176" s="228" t="s">
        <v>1</v>
      </c>
      <c r="BM176" s="64">
        <f t="shared" si="22"/>
        <v>0</v>
      </c>
      <c r="BN176" s="64">
        <f t="shared" si="23"/>
        <v>0</v>
      </c>
      <c r="BO176" s="64">
        <f t="shared" si="24"/>
        <v>0</v>
      </c>
      <c r="BP176" s="64">
        <f t="shared" si="25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68</v>
      </c>
      <c r="N177" s="33"/>
      <c r="O177" s="32">
        <v>40</v>
      </c>
      <c r="P177" s="9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0</v>
      </c>
      <c r="Y177" s="666">
        <f t="shared" si="21"/>
        <v>0</v>
      </c>
      <c r="Z177" s="36" t="str">
        <f>IFERROR(IF(Y177=0,"",ROUNDUP(Y177/H177,0)*0.00502),"")</f>
        <v/>
      </c>
      <c r="AA177" s="56"/>
      <c r="AB177" s="57"/>
      <c r="AC177" s="229" t="s">
        <v>293</v>
      </c>
      <c r="AG177" s="64"/>
      <c r="AJ177" s="68"/>
      <c r="AK177" s="68">
        <v>0</v>
      </c>
      <c r="BB177" s="230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68</v>
      </c>
      <c r="N178" s="33"/>
      <c r="O178" s="32">
        <v>40</v>
      </c>
      <c r="P178" s="97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0</v>
      </c>
      <c r="Y178" s="666">
        <f t="shared" si="21"/>
        <v>0</v>
      </c>
      <c r="Z178" s="36" t="str">
        <f>IFERROR(IF(Y178=0,"",ROUNDUP(Y178/H178,0)*0.00502),"")</f>
        <v/>
      </c>
      <c r="AA178" s="56"/>
      <c r="AB178" s="57"/>
      <c r="AC178" s="231" t="s">
        <v>296</v>
      </c>
      <c r="AG178" s="64"/>
      <c r="AJ178" s="68"/>
      <c r="AK178" s="68">
        <v>0</v>
      </c>
      <c r="BB178" s="232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customHeight="1" x14ac:dyDescent="0.25">
      <c r="A179" s="54" t="s">
        <v>304</v>
      </c>
      <c r="B179" s="54" t="s">
        <v>305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68</v>
      </c>
      <c r="N179" s="33"/>
      <c r="O179" s="32">
        <v>40</v>
      </c>
      <c r="P179" s="882" t="s">
        <v>306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307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308</v>
      </c>
      <c r="B180" s="54" t="s">
        <v>309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68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0</v>
      </c>
      <c r="Y180" s="666">
        <f t="shared" si="21"/>
        <v>0</v>
      </c>
      <c r="Z180" s="36" t="str">
        <f>IFERROR(IF(Y180=0,"",ROUNDUP(Y180/H180,0)*0.00502),"")</f>
        <v/>
      </c>
      <c r="AA180" s="56"/>
      <c r="AB180" s="57"/>
      <c r="AC180" s="235" t="s">
        <v>299</v>
      </c>
      <c r="AG180" s="64"/>
      <c r="AJ180" s="68"/>
      <c r="AK180" s="68">
        <v>0</v>
      </c>
      <c r="BB180" s="236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310</v>
      </c>
      <c r="B181" s="54" t="s">
        <v>311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10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299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312</v>
      </c>
      <c r="B182" s="54" t="s">
        <v>313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68</v>
      </c>
      <c r="N182" s="33"/>
      <c r="O182" s="32">
        <v>40</v>
      </c>
      <c r="P182" s="81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314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0</v>
      </c>
      <c r="Y183" s="667">
        <f>IFERROR(Y174/H174,"0")+IFERROR(Y175/H175,"0")+IFERROR(Y176/H176,"0")+IFERROR(Y177/H177,"0")+IFERROR(Y178/H178,"0")+IFERROR(Y179/H179,"0")+IFERROR(Y180/H180,"0")+IFERROR(Y181/H181,"0")+IFERROR(Y182/H182,"0")</f>
        <v>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0</v>
      </c>
      <c r="Y184" s="667">
        <f>IFERROR(SUM(Y174:Y182),"0")</f>
        <v>0</v>
      </c>
      <c r="Z184" s="37"/>
      <c r="AA184" s="668"/>
      <c r="AB184" s="668"/>
      <c r="AC184" s="668"/>
    </row>
    <row r="185" spans="1:68" ht="14.25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315</v>
      </c>
      <c r="B186" s="54" t="s">
        <v>316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317</v>
      </c>
      <c r="L186" s="32"/>
      <c r="M186" s="33" t="s">
        <v>318</v>
      </c>
      <c r="N186" s="33"/>
      <c r="O186" s="32">
        <v>60</v>
      </c>
      <c r="P186" s="1002" t="s">
        <v>319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320</v>
      </c>
      <c r="AC186" s="241" t="s">
        <v>321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322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323</v>
      </c>
      <c r="B191" s="54" t="s">
        <v>324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325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326</v>
      </c>
      <c r="B192" s="54" t="s">
        <v>327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7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325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133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328</v>
      </c>
      <c r="B196" s="54" t="s">
        <v>329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330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331</v>
      </c>
      <c r="B197" s="54" t="s">
        <v>332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330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144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333</v>
      </c>
      <c r="B201" s="54" t="s">
        <v>334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0</v>
      </c>
      <c r="Y201" s="666">
        <f t="shared" ref="Y201:Y208" si="26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335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0</v>
      </c>
      <c r="BN201" s="64">
        <f t="shared" ref="BN201:BN208" si="28">IFERROR(Y201*I201/H201,"0")</f>
        <v>0</v>
      </c>
      <c r="BO201" s="64">
        <f t="shared" ref="BO201:BO208" si="29">IFERROR(1/J201*(X201/H201),"0")</f>
        <v>0</v>
      </c>
      <c r="BP201" s="64">
        <f t="shared" ref="BP201:BP208" si="30">IFERROR(1/J201*(Y201/H201),"0")</f>
        <v>0</v>
      </c>
    </row>
    <row r="202" spans="1:68" ht="27" customHeight="1" x14ac:dyDescent="0.25">
      <c r="A202" s="54" t="s">
        <v>336</v>
      </c>
      <c r="B202" s="54" t="s">
        <v>337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0</v>
      </c>
      <c r="Y202" s="666">
        <f t="shared" si="26"/>
        <v>0</v>
      </c>
      <c r="Z202" s="36" t="str">
        <f>IFERROR(IF(Y202=0,"",ROUNDUP(Y202/H202,0)*0.00902),"")</f>
        <v/>
      </c>
      <c r="AA202" s="56"/>
      <c r="AB202" s="57"/>
      <c r="AC202" s="253" t="s">
        <v>338</v>
      </c>
      <c r="AG202" s="64"/>
      <c r="AJ202" s="68"/>
      <c r="AK202" s="68">
        <v>0</v>
      </c>
      <c r="BB202" s="254" t="s">
        <v>1</v>
      </c>
      <c r="BM202" s="64">
        <f t="shared" si="27"/>
        <v>0</v>
      </c>
      <c r="BN202" s="64">
        <f t="shared" si="28"/>
        <v>0</v>
      </c>
      <c r="BO202" s="64">
        <f t="shared" si="29"/>
        <v>0</v>
      </c>
      <c r="BP202" s="64">
        <f t="shared" si="30"/>
        <v>0</v>
      </c>
    </row>
    <row r="203" spans="1:68" ht="27" customHeight="1" x14ac:dyDescent="0.25">
      <c r="A203" s="54" t="s">
        <v>339</v>
      </c>
      <c r="B203" s="54" t="s">
        <v>340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0</v>
      </c>
      <c r="Y203" s="666">
        <f t="shared" si="26"/>
        <v>0</v>
      </c>
      <c r="Z203" s="36" t="str">
        <f>IFERROR(IF(Y203=0,"",ROUNDUP(Y203/H203,0)*0.00902),"")</f>
        <v/>
      </c>
      <c r="AA203" s="56"/>
      <c r="AB203" s="57"/>
      <c r="AC203" s="255" t="s">
        <v>341</v>
      </c>
      <c r="AG203" s="64"/>
      <c r="AJ203" s="68"/>
      <c r="AK203" s="68">
        <v>0</v>
      </c>
      <c r="BB203" s="256" t="s">
        <v>1</v>
      </c>
      <c r="BM203" s="64">
        <f t="shared" si="27"/>
        <v>0</v>
      </c>
      <c r="BN203" s="64">
        <f t="shared" si="28"/>
        <v>0</v>
      </c>
      <c r="BO203" s="64">
        <f t="shared" si="29"/>
        <v>0</v>
      </c>
      <c r="BP203" s="64">
        <f t="shared" si="30"/>
        <v>0</v>
      </c>
    </row>
    <row r="204" spans="1:68" ht="27" customHeight="1" x14ac:dyDescent="0.25">
      <c r="A204" s="54" t="s">
        <v>342</v>
      </c>
      <c r="B204" s="54" t="s">
        <v>343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0</v>
      </c>
      <c r="Y204" s="666">
        <f t="shared" si="26"/>
        <v>0</v>
      </c>
      <c r="Z204" s="36" t="str">
        <f>IFERROR(IF(Y204=0,"",ROUNDUP(Y204/H204,0)*0.00902),"")</f>
        <v/>
      </c>
      <c r="AA204" s="56"/>
      <c r="AB204" s="57"/>
      <c r="AC204" s="257" t="s">
        <v>344</v>
      </c>
      <c r="AG204" s="64"/>
      <c r="AJ204" s="68"/>
      <c r="AK204" s="68">
        <v>0</v>
      </c>
      <c r="BB204" s="258" t="s">
        <v>1</v>
      </c>
      <c r="BM204" s="64">
        <f t="shared" si="27"/>
        <v>0</v>
      </c>
      <c r="BN204" s="64">
        <f t="shared" si="28"/>
        <v>0</v>
      </c>
      <c r="BO204" s="64">
        <f t="shared" si="29"/>
        <v>0</v>
      </c>
      <c r="BP204" s="64">
        <f t="shared" si="30"/>
        <v>0</v>
      </c>
    </row>
    <row r="205" spans="1:68" ht="27" customHeight="1" x14ac:dyDescent="0.25">
      <c r="A205" s="54" t="s">
        <v>345</v>
      </c>
      <c r="B205" s="54" t="s">
        <v>346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68</v>
      </c>
      <c r="N205" s="33"/>
      <c r="O205" s="32">
        <v>40</v>
      </c>
      <c r="P205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0</v>
      </c>
      <c r="Y205" s="666">
        <f t="shared" si="26"/>
        <v>0</v>
      </c>
      <c r="Z205" s="36" t="str">
        <f>IFERROR(IF(Y205=0,"",ROUNDUP(Y205/H205,0)*0.00502),"")</f>
        <v/>
      </c>
      <c r="AA205" s="56"/>
      <c r="AB205" s="57"/>
      <c r="AC205" s="259" t="s">
        <v>335</v>
      </c>
      <c r="AG205" s="64"/>
      <c r="AJ205" s="68"/>
      <c r="AK205" s="68">
        <v>0</v>
      </c>
      <c r="BB205" s="260" t="s">
        <v>1</v>
      </c>
      <c r="BM205" s="64">
        <f t="shared" si="27"/>
        <v>0</v>
      </c>
      <c r="BN205" s="64">
        <f t="shared" si="28"/>
        <v>0</v>
      </c>
      <c r="BO205" s="64">
        <f t="shared" si="29"/>
        <v>0</v>
      </c>
      <c r="BP205" s="64">
        <f t="shared" si="30"/>
        <v>0</v>
      </c>
    </row>
    <row r="206" spans="1:68" ht="27" customHeight="1" x14ac:dyDescent="0.25">
      <c r="A206" s="54" t="s">
        <v>347</v>
      </c>
      <c r="B206" s="54" t="s">
        <v>348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68</v>
      </c>
      <c r="N206" s="33"/>
      <c r="O206" s="32">
        <v>40</v>
      </c>
      <c r="P206" s="88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0</v>
      </c>
      <c r="Y206" s="666">
        <f t="shared" si="26"/>
        <v>0</v>
      </c>
      <c r="Z206" s="36" t="str">
        <f>IFERROR(IF(Y206=0,"",ROUNDUP(Y206/H206,0)*0.00502),"")</f>
        <v/>
      </c>
      <c r="AA206" s="56"/>
      <c r="AB206" s="57"/>
      <c r="AC206" s="261" t="s">
        <v>338</v>
      </c>
      <c r="AG206" s="64"/>
      <c r="AJ206" s="68"/>
      <c r="AK206" s="68">
        <v>0</v>
      </c>
      <c r="BB206" s="262" t="s">
        <v>1</v>
      </c>
      <c r="BM206" s="64">
        <f t="shared" si="27"/>
        <v>0</v>
      </c>
      <c r="BN206" s="64">
        <f t="shared" si="28"/>
        <v>0</v>
      </c>
      <c r="BO206" s="64">
        <f t="shared" si="29"/>
        <v>0</v>
      </c>
      <c r="BP206" s="64">
        <f t="shared" si="30"/>
        <v>0</v>
      </c>
    </row>
    <row r="207" spans="1:68" ht="27" customHeight="1" x14ac:dyDescent="0.25">
      <c r="A207" s="54" t="s">
        <v>349</v>
      </c>
      <c r="B207" s="54" t="s">
        <v>350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68</v>
      </c>
      <c r="N207" s="33"/>
      <c r="O207" s="32">
        <v>40</v>
      </c>
      <c r="P207" s="8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0</v>
      </c>
      <c r="Y207" s="666">
        <f t="shared" si="26"/>
        <v>0</v>
      </c>
      <c r="Z207" s="36" t="str">
        <f>IFERROR(IF(Y207=0,"",ROUNDUP(Y207/H207,0)*0.00502),"")</f>
        <v/>
      </c>
      <c r="AA207" s="56"/>
      <c r="AB207" s="57"/>
      <c r="AC207" s="263" t="s">
        <v>341</v>
      </c>
      <c r="AG207" s="64"/>
      <c r="AJ207" s="68"/>
      <c r="AK207" s="68">
        <v>0</v>
      </c>
      <c r="BB207" s="264" t="s">
        <v>1</v>
      </c>
      <c r="BM207" s="64">
        <f t="shared" si="27"/>
        <v>0</v>
      </c>
      <c r="BN207" s="64">
        <f t="shared" si="28"/>
        <v>0</v>
      </c>
      <c r="BO207" s="64">
        <f t="shared" si="29"/>
        <v>0</v>
      </c>
      <c r="BP207" s="64">
        <f t="shared" si="30"/>
        <v>0</v>
      </c>
    </row>
    <row r="208" spans="1:68" ht="27" customHeight="1" x14ac:dyDescent="0.25">
      <c r="A208" s="54" t="s">
        <v>351</v>
      </c>
      <c r="B208" s="54" t="s">
        <v>352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68</v>
      </c>
      <c r="N208" s="33"/>
      <c r="O208" s="32">
        <v>40</v>
      </c>
      <c r="P208" s="83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0</v>
      </c>
      <c r="Y208" s="666">
        <f t="shared" si="26"/>
        <v>0</v>
      </c>
      <c r="Z208" s="36" t="str">
        <f>IFERROR(IF(Y208=0,"",ROUNDUP(Y208/H208,0)*0.00502),"")</f>
        <v/>
      </c>
      <c r="AA208" s="56"/>
      <c r="AB208" s="57"/>
      <c r="AC208" s="265" t="s">
        <v>344</v>
      </c>
      <c r="AG208" s="64"/>
      <c r="AJ208" s="68"/>
      <c r="AK208" s="68">
        <v>0</v>
      </c>
      <c r="BB208" s="266" t="s">
        <v>1</v>
      </c>
      <c r="BM208" s="64">
        <f t="shared" si="27"/>
        <v>0</v>
      </c>
      <c r="BN208" s="64">
        <f t="shared" si="28"/>
        <v>0</v>
      </c>
      <c r="BO208" s="64">
        <f t="shared" si="29"/>
        <v>0</v>
      </c>
      <c r="BP208" s="64">
        <f t="shared" si="30"/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0</v>
      </c>
      <c r="Y209" s="667">
        <f>IFERROR(Y201/H201,"0")+IFERROR(Y202/H202,"0")+IFERROR(Y203/H203,"0")+IFERROR(Y204/H204,"0")+IFERROR(Y205/H205,"0")+IFERROR(Y206/H206,"0")+IFERROR(Y207/H207,"0")+IFERROR(Y208/H208,"0")</f>
        <v>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0</v>
      </c>
      <c r="Y210" s="667">
        <f>IFERROR(SUM(Y201:Y208),"0")</f>
        <v>0</v>
      </c>
      <c r="Z210" s="37"/>
      <c r="AA210" s="668"/>
      <c r="AB210" s="668"/>
      <c r="AC210" s="668"/>
    </row>
    <row r="211" spans="1:68" ht="14.25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353</v>
      </c>
      <c r="B212" s="54" t="s">
        <v>354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355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customHeight="1" x14ac:dyDescent="0.25">
      <c r="A213" s="54" t="s">
        <v>356</v>
      </c>
      <c r="B213" s="54" t="s">
        <v>357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358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359</v>
      </c>
      <c r="B214" s="54" t="s">
        <v>360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0</v>
      </c>
      <c r="Y214" s="666">
        <f t="shared" si="31"/>
        <v>0</v>
      </c>
      <c r="Z214" s="36" t="str">
        <f>IFERROR(IF(Y214=0,"",ROUNDUP(Y214/H214,0)*0.01898),"")</f>
        <v/>
      </c>
      <c r="AA214" s="56"/>
      <c r="AB214" s="57"/>
      <c r="AC214" s="271" t="s">
        <v>361</v>
      </c>
      <c r="AG214" s="64"/>
      <c r="AJ214" s="68"/>
      <c r="AK214" s="68">
        <v>0</v>
      </c>
      <c r="BB214" s="272" t="s">
        <v>1</v>
      </c>
      <c r="BM214" s="64">
        <f t="shared" si="32"/>
        <v>0</v>
      </c>
      <c r="BN214" s="64">
        <f t="shared" si="33"/>
        <v>0</v>
      </c>
      <c r="BO214" s="64">
        <f t="shared" si="34"/>
        <v>0</v>
      </c>
      <c r="BP214" s="64">
        <f t="shared" si="35"/>
        <v>0</v>
      </c>
    </row>
    <row r="215" spans="1:68" ht="27" customHeight="1" x14ac:dyDescent="0.25">
      <c r="A215" s="54" t="s">
        <v>362</v>
      </c>
      <c r="B215" s="54" t="s">
        <v>363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283.2</v>
      </c>
      <c r="Y215" s="666">
        <f t="shared" si="31"/>
        <v>283.2</v>
      </c>
      <c r="Z215" s="36">
        <f t="shared" ref="Z215:Z220" si="36">IFERROR(IF(Y215=0,"",ROUNDUP(Y215/H215,0)*0.00651),"")</f>
        <v>0.76817999999999997</v>
      </c>
      <c r="AA215" s="56"/>
      <c r="AB215" s="57"/>
      <c r="AC215" s="273" t="s">
        <v>355</v>
      </c>
      <c r="AG215" s="64"/>
      <c r="AJ215" s="68"/>
      <c r="AK215" s="68">
        <v>0</v>
      </c>
      <c r="BB215" s="274" t="s">
        <v>1</v>
      </c>
      <c r="BM215" s="64">
        <f t="shared" si="32"/>
        <v>315.06</v>
      </c>
      <c r="BN215" s="64">
        <f t="shared" si="33"/>
        <v>315.06</v>
      </c>
      <c r="BO215" s="64">
        <f t="shared" si="34"/>
        <v>0.64835164835164838</v>
      </c>
      <c r="BP215" s="64">
        <f t="shared" si="35"/>
        <v>0.64835164835164838</v>
      </c>
    </row>
    <row r="216" spans="1:68" ht="27" customHeight="1" x14ac:dyDescent="0.25">
      <c r="A216" s="54" t="s">
        <v>364</v>
      </c>
      <c r="B216" s="54" t="s">
        <v>365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129</v>
      </c>
      <c r="N216" s="33"/>
      <c r="O216" s="32">
        <v>45</v>
      </c>
      <c r="P216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366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367</v>
      </c>
      <c r="B217" s="54" t="s">
        <v>368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331.2</v>
      </c>
      <c r="Y217" s="666">
        <f t="shared" si="31"/>
        <v>331.2</v>
      </c>
      <c r="Z217" s="36">
        <f t="shared" si="36"/>
        <v>0.89838000000000007</v>
      </c>
      <c r="AA217" s="56"/>
      <c r="AB217" s="57"/>
      <c r="AC217" s="277" t="s">
        <v>361</v>
      </c>
      <c r="AG217" s="64"/>
      <c r="AJ217" s="68"/>
      <c r="AK217" s="68">
        <v>0</v>
      </c>
      <c r="BB217" s="278" t="s">
        <v>1</v>
      </c>
      <c r="BM217" s="64">
        <f t="shared" si="32"/>
        <v>365.976</v>
      </c>
      <c r="BN217" s="64">
        <f t="shared" si="33"/>
        <v>365.976</v>
      </c>
      <c r="BO217" s="64">
        <f t="shared" si="34"/>
        <v>0.75824175824175832</v>
      </c>
      <c r="BP217" s="64">
        <f t="shared" si="35"/>
        <v>0.75824175824175832</v>
      </c>
    </row>
    <row r="218" spans="1:68" ht="27" customHeight="1" x14ac:dyDescent="0.25">
      <c r="A218" s="54" t="s">
        <v>369</v>
      </c>
      <c r="B218" s="54" t="s">
        <v>370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361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371</v>
      </c>
      <c r="B219" s="54" t="s">
        <v>372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129</v>
      </c>
      <c r="N219" s="33"/>
      <c r="O219" s="32">
        <v>40</v>
      </c>
      <c r="P219" s="83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0</v>
      </c>
      <c r="Y219" s="666">
        <f t="shared" si="31"/>
        <v>0</v>
      </c>
      <c r="Z219" s="36" t="str">
        <f t="shared" si="36"/>
        <v/>
      </c>
      <c r="AA219" s="56"/>
      <c r="AB219" s="57"/>
      <c r="AC219" s="281" t="s">
        <v>373</v>
      </c>
      <c r="AG219" s="64"/>
      <c r="AJ219" s="68"/>
      <c r="AK219" s="68">
        <v>0</v>
      </c>
      <c r="BB219" s="282" t="s">
        <v>1</v>
      </c>
      <c r="BM219" s="64">
        <f t="shared" si="32"/>
        <v>0</v>
      </c>
      <c r="BN219" s="64">
        <f t="shared" si="33"/>
        <v>0</v>
      </c>
      <c r="BO219" s="64">
        <f t="shared" si="34"/>
        <v>0</v>
      </c>
      <c r="BP219" s="64">
        <f t="shared" si="35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0</v>
      </c>
      <c r="Y220" s="666">
        <f t="shared" si="31"/>
        <v>0</v>
      </c>
      <c r="Z220" s="36" t="str">
        <f t="shared" si="36"/>
        <v/>
      </c>
      <c r="AA220" s="56"/>
      <c r="AB220" s="57"/>
      <c r="AC220" s="283" t="s">
        <v>376</v>
      </c>
      <c r="AG220" s="64"/>
      <c r="AJ220" s="68"/>
      <c r="AK220" s="68">
        <v>0</v>
      </c>
      <c r="BB220" s="284" t="s">
        <v>1</v>
      </c>
      <c r="BM220" s="64">
        <f t="shared" si="32"/>
        <v>0</v>
      </c>
      <c r="BN220" s="64">
        <f t="shared" si="33"/>
        <v>0</v>
      </c>
      <c r="BO220" s="64">
        <f t="shared" si="34"/>
        <v>0</v>
      </c>
      <c r="BP220" s="64">
        <f t="shared" si="35"/>
        <v>0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256</v>
      </c>
      <c r="Y221" s="667">
        <f>IFERROR(Y212/H212,"0")+IFERROR(Y213/H213,"0")+IFERROR(Y214/H214,"0")+IFERROR(Y215/H215,"0")+IFERROR(Y216/H216,"0")+IFERROR(Y217/H217,"0")+IFERROR(Y218/H218,"0")+IFERROR(Y219/H219,"0")+IFERROR(Y220/H220,"0")</f>
        <v>256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1.66656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614.4</v>
      </c>
      <c r="Y222" s="667">
        <f>IFERROR(SUM(Y212:Y220),"0")</f>
        <v>614.4</v>
      </c>
      <c r="Z222" s="37"/>
      <c r="AA222" s="668"/>
      <c r="AB222" s="668"/>
      <c r="AC222" s="668"/>
    </row>
    <row r="223" spans="1:68" ht="14.25" customHeight="1" x14ac:dyDescent="0.25">
      <c r="A223" s="682" t="s">
        <v>170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377</v>
      </c>
      <c r="B224" s="54" t="s">
        <v>378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129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0</v>
      </c>
      <c r="Y224" s="66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27" customHeight="1" x14ac:dyDescent="0.25">
      <c r="A225" s="54" t="s">
        <v>380</v>
      </c>
      <c r="B225" s="54" t="s">
        <v>381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0</v>
      </c>
      <c r="Y225" s="66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382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0</v>
      </c>
      <c r="Y226" s="667">
        <f>IFERROR(Y224/H224,"0")+IFERROR(Y225/H225,"0")</f>
        <v>0</v>
      </c>
      <c r="Z226" s="667">
        <f>IFERROR(IF(Z224="",0,Z224),"0")+IFERROR(IF(Z225="",0,Z225),"0")</f>
        <v>0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0</v>
      </c>
      <c r="Y227" s="667">
        <f>IFERROR(SUM(Y224:Y225),"0")</f>
        <v>0</v>
      </c>
      <c r="Z227" s="37"/>
      <c r="AA227" s="668"/>
      <c r="AB227" s="668"/>
      <c r="AC227" s="668"/>
    </row>
    <row r="228" spans="1:68" ht="16.5" customHeight="1" x14ac:dyDescent="0.25">
      <c r="A228" s="716" t="s">
        <v>383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384</v>
      </c>
      <c r="B230" s="54" t="s">
        <v>385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93</v>
      </c>
      <c r="L230" s="32"/>
      <c r="M230" s="33" t="s">
        <v>386</v>
      </c>
      <c r="N230" s="33"/>
      <c r="O230" s="32">
        <v>55</v>
      </c>
      <c r="P230" s="769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IFERROR(IF(Y230=0,"",ROUNDUP(Y230/H230,0)*0.02039),"")</f>
        <v/>
      </c>
      <c r="AA230" s="56"/>
      <c r="AB230" s="57"/>
      <c r="AC230" s="289" t="s">
        <v>387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customHeight="1" x14ac:dyDescent="0.25">
      <c r="A231" s="54" t="s">
        <v>384</v>
      </c>
      <c r="B231" s="54" t="s">
        <v>388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93</v>
      </c>
      <c r="L231" s="32"/>
      <c r="M231" s="33" t="s">
        <v>94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IFERROR(IF(Y231=0,"",ROUNDUP(Y231/H231,0)*0.01898),"")</f>
        <v/>
      </c>
      <c r="AA231" s="56"/>
      <c r="AB231" s="57"/>
      <c r="AC231" s="291" t="s">
        <v>389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customHeight="1" x14ac:dyDescent="0.25">
      <c r="A232" s="54" t="s">
        <v>390</v>
      </c>
      <c r="B232" s="54" t="s">
        <v>391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392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393</v>
      </c>
      <c r="B233" s="54" t="s">
        <v>394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93</v>
      </c>
      <c r="L233" s="32"/>
      <c r="M233" s="33" t="s">
        <v>386</v>
      </c>
      <c r="N233" s="33"/>
      <c r="O233" s="32">
        <v>55</v>
      </c>
      <c r="P233" s="888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0</v>
      </c>
      <c r="Y233" s="666">
        <f t="shared" si="37"/>
        <v>0</v>
      </c>
      <c r="Z233" s="36" t="str">
        <f>IFERROR(IF(Y233=0,"",ROUNDUP(Y233/H233,0)*0.02039),"")</f>
        <v/>
      </c>
      <c r="AA233" s="56"/>
      <c r="AB233" s="57"/>
      <c r="AC233" s="295" t="s">
        <v>387</v>
      </c>
      <c r="AG233" s="64"/>
      <c r="AJ233" s="68"/>
      <c r="AK233" s="68">
        <v>0</v>
      </c>
      <c r="BB233" s="296" t="s">
        <v>1</v>
      </c>
      <c r="BM233" s="64">
        <f t="shared" si="38"/>
        <v>0</v>
      </c>
      <c r="BN233" s="64">
        <f t="shared" si="39"/>
        <v>0</v>
      </c>
      <c r="BO233" s="64">
        <f t="shared" si="40"/>
        <v>0</v>
      </c>
      <c r="BP233" s="64">
        <f t="shared" si="41"/>
        <v>0</v>
      </c>
    </row>
    <row r="234" spans="1:68" ht="27" customHeight="1" x14ac:dyDescent="0.25">
      <c r="A234" s="54" t="s">
        <v>393</v>
      </c>
      <c r="B234" s="54" t="s">
        <v>395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93</v>
      </c>
      <c r="L234" s="32"/>
      <c r="M234" s="33" t="s">
        <v>94</v>
      </c>
      <c r="N234" s="33"/>
      <c r="O234" s="32">
        <v>55</v>
      </c>
      <c r="P234" s="71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IFERROR(IF(Y234=0,"",ROUNDUP(Y234/H234,0)*0.01898),"")</f>
        <v/>
      </c>
      <c r="AA234" s="56"/>
      <c r="AB234" s="57"/>
      <c r="AC234" s="297" t="s">
        <v>396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0</v>
      </c>
      <c r="Y235" s="666">
        <f t="shared" si="37"/>
        <v>0</v>
      </c>
      <c r="Z235" s="36" t="str">
        <f>IFERROR(IF(Y235=0,"",ROUNDUP(Y235/H235,0)*0.00902),"")</f>
        <v/>
      </c>
      <c r="AA235" s="56"/>
      <c r="AB235" s="57"/>
      <c r="AC235" s="299" t="s">
        <v>389</v>
      </c>
      <c r="AG235" s="64"/>
      <c r="AJ235" s="68"/>
      <c r="AK235" s="68">
        <v>0</v>
      </c>
      <c r="BB235" s="300" t="s">
        <v>1</v>
      </c>
      <c r="BM235" s="64">
        <f t="shared" si="38"/>
        <v>0</v>
      </c>
      <c r="BN235" s="64">
        <f t="shared" si="39"/>
        <v>0</v>
      </c>
      <c r="BO235" s="64">
        <f t="shared" si="40"/>
        <v>0</v>
      </c>
      <c r="BP235" s="64">
        <f t="shared" si="41"/>
        <v>0</v>
      </c>
    </row>
    <row r="236" spans="1:68" ht="27" customHeight="1" x14ac:dyDescent="0.25">
      <c r="A236" s="54" t="s">
        <v>399</v>
      </c>
      <c r="B236" s="54" t="s">
        <v>400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392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401</v>
      </c>
      <c r="B237" s="54" t="s">
        <v>402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0</v>
      </c>
      <c r="Y237" s="666">
        <f t="shared" si="37"/>
        <v>0</v>
      </c>
      <c r="Z237" s="36" t="str">
        <f>IFERROR(IF(Y237=0,"",ROUNDUP(Y237/H237,0)*0.00902),"")</f>
        <v/>
      </c>
      <c r="AA237" s="56"/>
      <c r="AB237" s="57"/>
      <c r="AC237" s="303" t="s">
        <v>396</v>
      </c>
      <c r="AG237" s="64"/>
      <c r="AJ237" s="68"/>
      <c r="AK237" s="68">
        <v>0</v>
      </c>
      <c r="BB237" s="304" t="s">
        <v>1</v>
      </c>
      <c r="BM237" s="64">
        <f t="shared" si="38"/>
        <v>0</v>
      </c>
      <c r="BN237" s="64">
        <f t="shared" si="39"/>
        <v>0</v>
      </c>
      <c r="BO237" s="64">
        <f t="shared" si="40"/>
        <v>0</v>
      </c>
      <c r="BP237" s="64">
        <f t="shared" si="41"/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0</v>
      </c>
      <c r="Y238" s="667">
        <f>IFERROR(Y230/H230,"0")+IFERROR(Y231/H231,"0")+IFERROR(Y232/H232,"0")+IFERROR(Y233/H233,"0")+IFERROR(Y234/H234,"0")+IFERROR(Y235/H235,"0")+IFERROR(Y236/H236,"0")+IFERROR(Y237/H237,"0")</f>
        <v>0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0</v>
      </c>
      <c r="Y239" s="667">
        <f>IFERROR(SUM(Y230:Y237),"0")</f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133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403</v>
      </c>
      <c r="B241" s="54" t="s">
        <v>404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100</v>
      </c>
      <c r="N241" s="33"/>
      <c r="O241" s="32">
        <v>50</v>
      </c>
      <c r="P241" s="968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405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403</v>
      </c>
      <c r="B242" s="54" t="s">
        <v>406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100</v>
      </c>
      <c r="N242" s="33"/>
      <c r="O242" s="32">
        <v>50</v>
      </c>
      <c r="P242" s="751" t="s">
        <v>407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405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408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409</v>
      </c>
      <c r="B246" s="54" t="s">
        <v>410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317</v>
      </c>
      <c r="L246" s="32"/>
      <c r="M246" s="33" t="s">
        <v>318</v>
      </c>
      <c r="N246" s="33"/>
      <c r="O246" s="32">
        <v>45</v>
      </c>
      <c r="P246" s="819" t="s">
        <v>411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320</v>
      </c>
      <c r="AC246" s="309" t="s">
        <v>412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413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414</v>
      </c>
      <c r="B250" s="54" t="s">
        <v>415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317</v>
      </c>
      <c r="L250" s="32"/>
      <c r="M250" s="33" t="s">
        <v>318</v>
      </c>
      <c r="N250" s="33"/>
      <c r="O250" s="32">
        <v>90</v>
      </c>
      <c r="P250" s="782" t="s">
        <v>416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320</v>
      </c>
      <c r="AC250" s="311" t="s">
        <v>417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418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419</v>
      </c>
      <c r="B255" s="54" t="s">
        <v>420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421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93</v>
      </c>
      <c r="L256" s="32"/>
      <c r="M256" s="33" t="s">
        <v>386</v>
      </c>
      <c r="N256" s="33"/>
      <c r="O256" s="32">
        <v>55</v>
      </c>
      <c r="P256" s="92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IFERROR(IF(Y256=0,"",ROUNDUP(Y256/H256,0)*0.02039),"")</f>
        <v/>
      </c>
      <c r="AA256" s="56"/>
      <c r="AB256" s="57"/>
      <c r="AC256" s="315" t="s">
        <v>424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customHeight="1" x14ac:dyDescent="0.25">
      <c r="A257" s="54" t="s">
        <v>422</v>
      </c>
      <c r="B257" s="54" t="s">
        <v>425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93</v>
      </c>
      <c r="L257" s="32"/>
      <c r="M257" s="33" t="s">
        <v>94</v>
      </c>
      <c r="N257" s="33"/>
      <c r="O257" s="32">
        <v>55</v>
      </c>
      <c r="P257" s="93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IFERROR(IF(Y257=0,"",ROUNDUP(Y257/H257,0)*0.01898),"")</f>
        <v/>
      </c>
      <c r="AA257" s="56"/>
      <c r="AB257" s="57"/>
      <c r="AC257" s="317" t="s">
        <v>426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customHeight="1" x14ac:dyDescent="0.25">
      <c r="A258" s="54" t="s">
        <v>427</v>
      </c>
      <c r="B258" s="54" t="s">
        <v>428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8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429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customHeight="1" x14ac:dyDescent="0.25">
      <c r="A259" s="54" t="s">
        <v>430</v>
      </c>
      <c r="B259" s="54" t="s">
        <v>431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432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customHeight="1" x14ac:dyDescent="0.25">
      <c r="A260" s="54" t="s">
        <v>433</v>
      </c>
      <c r="B260" s="54" t="s">
        <v>434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435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436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437</v>
      </c>
      <c r="B265" s="54" t="s">
        <v>438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3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439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440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28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445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448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449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450</v>
      </c>
      <c r="B277" s="54" t="s">
        <v>451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129</v>
      </c>
      <c r="N277" s="33"/>
      <c r="O277" s="32">
        <v>40</v>
      </c>
      <c r="P277" s="84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452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453</v>
      </c>
      <c r="B278" s="54" t="s">
        <v>454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7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455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456</v>
      </c>
      <c r="B279" s="54" t="s">
        <v>457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129</v>
      </c>
      <c r="N279" s="33"/>
      <c r="O279" s="32">
        <v>40</v>
      </c>
      <c r="P279" s="91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0</v>
      </c>
      <c r="Y279" s="66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7" t="s">
        <v>452</v>
      </c>
      <c r="AG279" s="64"/>
      <c r="AJ279" s="68"/>
      <c r="AK279" s="68">
        <v>0</v>
      </c>
      <c r="BB279" s="338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458</v>
      </c>
      <c r="B280" s="54" t="s">
        <v>459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116</v>
      </c>
      <c r="M280" s="33" t="s">
        <v>100</v>
      </c>
      <c r="N280" s="33"/>
      <c r="O280" s="32">
        <v>45</v>
      </c>
      <c r="P280" s="81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0</v>
      </c>
      <c r="Y280" s="66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460</v>
      </c>
      <c r="AG280" s="64"/>
      <c r="AJ280" s="68" t="s">
        <v>118</v>
      </c>
      <c r="AK280" s="68">
        <v>33.6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461</v>
      </c>
      <c r="B281" s="54" t="s">
        <v>462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455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0</v>
      </c>
      <c r="Y282" s="667">
        <f>IFERROR(Y277/H277,"0")+IFERROR(Y278/H278,"0")+IFERROR(Y279/H279,"0")+IFERROR(Y280/H280,"0")+IFERROR(Y281/H281,"0")</f>
        <v>0</v>
      </c>
      <c r="Z282" s="667">
        <f>IFERROR(IF(Z277="",0,Z277),"0")+IFERROR(IF(Z278="",0,Z278),"0")+IFERROR(IF(Z279="",0,Z279),"0")+IFERROR(IF(Z280="",0,Z280),"0")+IFERROR(IF(Z281="",0,Z281),"0")</f>
        <v>0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0</v>
      </c>
      <c r="Y283" s="667">
        <f>IFERROR(SUM(Y277:Y281),"0")</f>
        <v>0</v>
      </c>
      <c r="Z283" s="37"/>
      <c r="AA283" s="668"/>
      <c r="AB283" s="668"/>
      <c r="AC283" s="668"/>
    </row>
    <row r="284" spans="1:68" ht="16.5" customHeight="1" x14ac:dyDescent="0.25">
      <c r="A284" s="716" t="s">
        <v>463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464</v>
      </c>
      <c r="B286" s="54" t="s">
        <v>465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85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466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144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467</v>
      </c>
      <c r="B290" s="54" t="s">
        <v>468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68</v>
      </c>
      <c r="N290" s="33"/>
      <c r="O290" s="32">
        <v>40</v>
      </c>
      <c r="P290" s="70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469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470</v>
      </c>
      <c r="B294" s="54" t="s">
        <v>471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472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473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474</v>
      </c>
      <c r="B299" s="54" t="s">
        <v>475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5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476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477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478</v>
      </c>
      <c r="B304" s="54" t="s">
        <v>479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89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439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144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480</v>
      </c>
      <c r="B308" s="54" t="s">
        <v>481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68</v>
      </c>
      <c r="N308" s="33"/>
      <c r="O308" s="32">
        <v>40</v>
      </c>
      <c r="P308" s="842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482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483</v>
      </c>
      <c r="B309" s="54" t="s">
        <v>484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482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485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486</v>
      </c>
      <c r="B314" s="54" t="s">
        <v>487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1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488</v>
      </c>
      <c r="AB314" s="57"/>
      <c r="AC314" s="357" t="s">
        <v>489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490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491</v>
      </c>
      <c r="B319" s="54" t="s">
        <v>492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493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customHeight="1" x14ac:dyDescent="0.25">
      <c r="A320" s="54" t="s">
        <v>494</v>
      </c>
      <c r="B320" s="54" t="s">
        <v>495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93</v>
      </c>
      <c r="L320" s="32"/>
      <c r="M320" s="33" t="s">
        <v>386</v>
      </c>
      <c r="N320" s="33"/>
      <c r="O320" s="32">
        <v>55</v>
      </c>
      <c r="P320" s="930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IFERROR(IF(Y320=0,"",ROUNDUP(Y320/H320,0)*0.02039),"")</f>
        <v/>
      </c>
      <c r="AA320" s="56"/>
      <c r="AB320" s="57"/>
      <c r="AC320" s="361" t="s">
        <v>496</v>
      </c>
      <c r="AG320" s="64"/>
      <c r="AJ320" s="68"/>
      <c r="AK320" s="68">
        <v>0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customHeight="1" x14ac:dyDescent="0.25">
      <c r="A321" s="54" t="s">
        <v>494</v>
      </c>
      <c r="B321" s="54" t="s">
        <v>497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93</v>
      </c>
      <c r="L321" s="32"/>
      <c r="M321" s="33" t="s">
        <v>100</v>
      </c>
      <c r="N321" s="33"/>
      <c r="O321" s="32">
        <v>55</v>
      </c>
      <c r="P321" s="9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IFERROR(IF(Y321=0,"",ROUNDUP(Y321/H321,0)*0.01898),"")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498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144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68</v>
      </c>
      <c r="N331" s="33"/>
      <c r="O331" s="32">
        <v>40</v>
      </c>
      <c r="P331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4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170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10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129</v>
      </c>
      <c r="N345" s="33"/>
      <c r="O345" s="32">
        <v>30</v>
      </c>
      <c r="P345" s="92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0</v>
      </c>
      <c r="Y345" s="666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0</v>
      </c>
      <c r="Y346" s="667">
        <f>IFERROR(Y343/H343,"0")+IFERROR(Y344/H344,"0")+IFERROR(Y345/H345,"0")</f>
        <v>0</v>
      </c>
      <c r="Z346" s="667">
        <f>IFERROR(IF(Z343="",0,Z343),"0")+IFERROR(IF(Z344="",0,Z344),"0")+IFERROR(IF(Z345="",0,Z345),"0")</f>
        <v>0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0</v>
      </c>
      <c r="Y347" s="667">
        <f>IFERROR(SUM(Y343:Y345),"0")</f>
        <v>0</v>
      </c>
      <c r="Z347" s="37"/>
      <c r="AA347" s="668"/>
      <c r="AB347" s="668"/>
      <c r="AC347" s="668"/>
    </row>
    <row r="348" spans="1:68" ht="14.25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93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0</v>
      </c>
      <c r="Y352" s="666">
        <f>IFERROR(IF(X352="",0,CEILING((X352/$H352),1)*$H352),"")</f>
        <v>0</v>
      </c>
      <c r="Z352" s="36" t="str">
        <f>IFERROR(IF(Y352=0,"",ROUNDUP(Y352/H352,0)*0.00651),"")</f>
        <v/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0</v>
      </c>
      <c r="Y353" s="667">
        <f>IFERROR(Y349/H349,"0")+IFERROR(Y350/H350,"0")+IFERROR(Y351/H351,"0")+IFERROR(Y352/H352,"0")</f>
        <v>0</v>
      </c>
      <c r="Z353" s="667">
        <f>IFERROR(IF(Z349="",0,Z349),"0")+IFERROR(IF(Z350="",0,Z350),"0")+IFERROR(IF(Z351="",0,Z351),"0")+IFERROR(IF(Z352="",0,Z352),"0")</f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0</v>
      </c>
      <c r="Y354" s="667">
        <f>IFERROR(SUM(Y349:Y352),"0")</f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10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144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129</v>
      </c>
      <c r="N367" s="33"/>
      <c r="O367" s="32">
        <v>45</v>
      </c>
      <c r="P367" s="100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191.1</v>
      </c>
      <c r="Y368" s="666">
        <f>IFERROR(IF(X368="",0,CEILING((X368/$H368),1)*$H368),"")</f>
        <v>191.1</v>
      </c>
      <c r="Z368" s="36">
        <f>IFERROR(IF(Y368=0,"",ROUNDUP(Y368/H368,0)*0.00651),"")</f>
        <v>0.59240999999999999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214.03199999999995</v>
      </c>
      <c r="BN368" s="64">
        <f>IFERROR(Y368*I368/H368,"0")</f>
        <v>214.03199999999995</v>
      </c>
      <c r="BO368" s="64">
        <f>IFERROR(1/J368*(X368/H368),"0")</f>
        <v>0.5</v>
      </c>
      <c r="BP368" s="64">
        <f>IFERROR(1/J368*(Y368/H368),"0")</f>
        <v>0.5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129</v>
      </c>
      <c r="N369" s="33"/>
      <c r="O369" s="32">
        <v>40</v>
      </c>
      <c r="P369" s="9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579.59999999999991</v>
      </c>
      <c r="Y369" s="666">
        <f>IFERROR(IF(X369="",0,CEILING((X369/$H369),1)*$H369),"")</f>
        <v>579.6</v>
      </c>
      <c r="Z369" s="36">
        <f>IFERROR(IF(Y369=0,"",ROUNDUP(Y369/H369,0)*0.00651),"")</f>
        <v>1.7967600000000001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645.8399999999998</v>
      </c>
      <c r="BN369" s="64">
        <f>IFERROR(Y369*I369/H369,"0")</f>
        <v>645.83999999999992</v>
      </c>
      <c r="BO369" s="64">
        <f>IFERROR(1/J369*(X369/H369),"0")</f>
        <v>1.5164835164835162</v>
      </c>
      <c r="BP369" s="64">
        <f>IFERROR(1/J369*(Y369/H369),"0")</f>
        <v>1.5164835164835166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366.99999999999994</v>
      </c>
      <c r="Y370" s="667">
        <f>IFERROR(Y367/H367,"0")+IFERROR(Y368/H368,"0")+IFERROR(Y369/H369,"0")</f>
        <v>367</v>
      </c>
      <c r="Z370" s="667">
        <f>IFERROR(IF(Z367="",0,Z367),"0")+IFERROR(IF(Z368="",0,Z368),"0")+IFERROR(IF(Z369="",0,Z369),"0")</f>
        <v>2.38917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770.69999999999993</v>
      </c>
      <c r="Y371" s="667">
        <f>IFERROR(SUM(Y367:Y369),"0")</f>
        <v>770.7</v>
      </c>
      <c r="Z371" s="37"/>
      <c r="AA371" s="668"/>
      <c r="AB371" s="668"/>
      <c r="AC371" s="668"/>
    </row>
    <row r="372" spans="1:68" ht="27.75" customHeight="1" x14ac:dyDescent="0.2">
      <c r="A372" s="800" t="s">
        <v>577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7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0</v>
      </c>
      <c r="Y376" s="666">
        <f t="shared" si="52"/>
        <v>0</v>
      </c>
      <c r="Z376" s="36" t="str">
        <f>IFERROR(IF(Y376=0,"",ROUNDUP(Y376/H376,0)*0.02175),"")</f>
        <v/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0</v>
      </c>
      <c r="BN376" s="64">
        <f t="shared" si="54"/>
        <v>0</v>
      </c>
      <c r="BO376" s="64">
        <f t="shared" si="55"/>
        <v>0</v>
      </c>
      <c r="BP376" s="64">
        <f t="shared" si="56"/>
        <v>0</v>
      </c>
    </row>
    <row r="377" spans="1:68" ht="27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0</v>
      </c>
      <c r="Y378" s="666">
        <f t="shared" si="52"/>
        <v>0</v>
      </c>
      <c r="Z378" s="36" t="str">
        <f>IFERROR(IF(Y378=0,"",ROUNDUP(Y378/H378,0)*0.02175),"")</f>
        <v/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0</v>
      </c>
      <c r="BN378" s="64">
        <f t="shared" si="54"/>
        <v>0</v>
      </c>
      <c r="BO378" s="64">
        <f t="shared" si="55"/>
        <v>0</v>
      </c>
      <c r="BP378" s="64">
        <f t="shared" si="56"/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386</v>
      </c>
      <c r="N379" s="33"/>
      <c r="O379" s="32">
        <v>60</v>
      </c>
      <c r="P379" s="71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0</v>
      </c>
      <c r="Y379" s="666">
        <f t="shared" si="52"/>
        <v>0</v>
      </c>
      <c r="Z379" s="36" t="str">
        <f>IFERROR(IF(Y379=0,"",ROUNDUP(Y379/H379,0)*0.02039),"")</f>
        <v/>
      </c>
      <c r="AA379" s="56"/>
      <c r="AB379" s="57"/>
      <c r="AC379" s="425" t="s">
        <v>581</v>
      </c>
      <c r="AG379" s="64"/>
      <c r="AJ379" s="68"/>
      <c r="AK379" s="68">
        <v>0</v>
      </c>
      <c r="BB379" s="426" t="s">
        <v>1</v>
      </c>
      <c r="BM379" s="64">
        <f t="shared" si="53"/>
        <v>0</v>
      </c>
      <c r="BN379" s="64">
        <f t="shared" si="54"/>
        <v>0</v>
      </c>
      <c r="BO379" s="64">
        <f t="shared" si="55"/>
        <v>0</v>
      </c>
      <c r="BP379" s="64">
        <f t="shared" si="56"/>
        <v>0</v>
      </c>
    </row>
    <row r="380" spans="1:68" ht="37.5" customHeight="1" x14ac:dyDescent="0.25">
      <c r="A380" s="54" t="s">
        <v>588</v>
      </c>
      <c r="B380" s="54" t="s">
        <v>590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0</v>
      </c>
      <c r="Y380" s="666">
        <f t="shared" si="52"/>
        <v>0</v>
      </c>
      <c r="Z380" s="36" t="str">
        <f>IFERROR(IF(Y380=0,"",ROUNDUP(Y380/H380,0)*0.02175),"")</f>
        <v/>
      </c>
      <c r="AA380" s="56"/>
      <c r="AB380" s="57"/>
      <c r="AC380" s="427" t="s">
        <v>591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0</v>
      </c>
      <c r="BN380" s="64">
        <f t="shared" si="54"/>
        <v>0</v>
      </c>
      <c r="BO380" s="64">
        <f t="shared" si="55"/>
        <v>0</v>
      </c>
      <c r="BP380" s="64">
        <f t="shared" si="56"/>
        <v>0</v>
      </c>
    </row>
    <row r="381" spans="1:68" ht="27" customHeight="1" x14ac:dyDescent="0.25">
      <c r="A381" s="54" t="s">
        <v>592</v>
      </c>
      <c r="B381" s="54" t="s">
        <v>593</v>
      </c>
      <c r="C381" s="31">
        <v>4301011832</v>
      </c>
      <c r="D381" s="669">
        <v>4607091383997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129</v>
      </c>
      <c r="N381" s="33"/>
      <c r="O381" s="32">
        <v>60</v>
      </c>
      <c r="P381" s="715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IFERROR(IF(Y381=0,"",ROUNDUP(Y381/H381,0)*0.02175),"")</f>
        <v/>
      </c>
      <c r="AA381" s="56"/>
      <c r="AB381" s="57"/>
      <c r="AC381" s="429" t="s">
        <v>594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0</v>
      </c>
      <c r="Y384" s="666">
        <f t="shared" si="52"/>
        <v>0</v>
      </c>
      <c r="Z384" s="36" t="str">
        <f>IFERROR(IF(Y384=0,"",ROUNDUP(Y384/H384,0)*0.00902),"")</f>
        <v/>
      </c>
      <c r="AA384" s="56"/>
      <c r="AB384" s="57"/>
      <c r="AC384" s="435" t="s">
        <v>591</v>
      </c>
      <c r="AG384" s="64"/>
      <c r="AJ384" s="68"/>
      <c r="AK384" s="68">
        <v>0</v>
      </c>
      <c r="BB384" s="436" t="s">
        <v>1</v>
      </c>
      <c r="BM384" s="64">
        <f t="shared" si="53"/>
        <v>0</v>
      </c>
      <c r="BN384" s="64">
        <f t="shared" si="54"/>
        <v>0</v>
      </c>
      <c r="BO384" s="64">
        <f t="shared" si="55"/>
        <v>0</v>
      </c>
      <c r="BP384" s="64">
        <f t="shared" si="56"/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0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0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0</v>
      </c>
      <c r="Y386" s="667">
        <f>IFERROR(SUM(Y375:Y384),"0")</f>
        <v>0</v>
      </c>
      <c r="Z386" s="37"/>
      <c r="AA386" s="668"/>
      <c r="AB386" s="668"/>
      <c r="AC386" s="668"/>
    </row>
    <row r="387" spans="1:68" ht="14.25" customHeight="1" x14ac:dyDescent="0.25">
      <c r="A387" s="682" t="s">
        <v>133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0</v>
      </c>
      <c r="Y388" s="666">
        <f>IFERROR(IF(X388="",0,CEILING((X388/$H388),1)*$H388),"")</f>
        <v>0</v>
      </c>
      <c r="Z388" s="36" t="str">
        <f>IFERROR(IF(Y388=0,"",ROUNDUP(Y388/H388,0)*0.02175),"")</f>
        <v/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0</v>
      </c>
      <c r="Y390" s="667">
        <f>IFERROR(Y388/H388,"0")+IFERROR(Y389/H389,"0")</f>
        <v>0</v>
      </c>
      <c r="Z390" s="667">
        <f>IFERROR(IF(Z388="",0,Z388),"0")+IFERROR(IF(Z389="",0,Z389),"0")</f>
        <v>0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0</v>
      </c>
      <c r="Y391" s="667">
        <f>IFERROR(SUM(Y388:Y389),"0")</f>
        <v>0</v>
      </c>
      <c r="Z391" s="37"/>
      <c r="AA391" s="668"/>
      <c r="AB391" s="668"/>
      <c r="AC391" s="668"/>
    </row>
    <row r="392" spans="1:68" ht="14.25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24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0</v>
      </c>
      <c r="Y394" s="666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0</v>
      </c>
      <c r="Y395" s="667">
        <f>IFERROR(Y393/H393,"0")+IFERROR(Y394/H394,"0")</f>
        <v>0</v>
      </c>
      <c r="Z395" s="667">
        <f>IFERROR(IF(Z393="",0,Z393),"0")+IFERROR(IF(Z394="",0,Z394),"0")</f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0</v>
      </c>
      <c r="Y396" s="667">
        <f>IFERROR(SUM(Y393:Y394),"0")</f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170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4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6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37.5" customHeight="1" x14ac:dyDescent="0.25">
      <c r="A403" s="54" t="s">
        <v>620</v>
      </c>
      <c r="B403" s="54" t="s">
        <v>621</v>
      </c>
      <c r="C403" s="31">
        <v>4301011873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12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27" customHeight="1" x14ac:dyDescent="0.25">
      <c r="A404" s="54" t="s">
        <v>620</v>
      </c>
      <c r="B404" s="54" t="s">
        <v>623</v>
      </c>
      <c r="C404" s="31">
        <v>4301011483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customHeight="1" x14ac:dyDescent="0.25">
      <c r="A405" s="54" t="s">
        <v>625</v>
      </c>
      <c r="B405" s="54" t="s">
        <v>626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68</v>
      </c>
      <c r="N405" s="33"/>
      <c r="O405" s="32">
        <v>60</v>
      </c>
      <c r="P405" s="749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customHeight="1" x14ac:dyDescent="0.25">
      <c r="A406" s="54" t="s">
        <v>628</v>
      </c>
      <c r="B406" s="54" t="s">
        <v>629</v>
      </c>
      <c r="C406" s="31">
        <v>4301011312</v>
      </c>
      <c r="D406" s="669">
        <v>4607091384192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94</v>
      </c>
      <c r="N406" s="33"/>
      <c r="O406" s="32">
        <v>60</v>
      </c>
      <c r="P406" s="820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0</v>
      </c>
      <c r="Y407" s="666">
        <f t="shared" si="57"/>
        <v>0</v>
      </c>
      <c r="Z407" s="36" t="str">
        <f>IFERROR(IF(Y407=0,"",ROUNDUP(Y407/H407,0)*0.01898),"")</f>
        <v/>
      </c>
      <c r="AA407" s="56"/>
      <c r="AB407" s="57"/>
      <c r="AC407" s="455" t="s">
        <v>627</v>
      </c>
      <c r="AG407" s="64"/>
      <c r="AJ407" s="68"/>
      <c r="AK407" s="68">
        <v>0</v>
      </c>
      <c r="BB407" s="456" t="s">
        <v>1</v>
      </c>
      <c r="BM407" s="64">
        <f t="shared" si="58"/>
        <v>0</v>
      </c>
      <c r="BN407" s="64">
        <f t="shared" si="59"/>
        <v>0</v>
      </c>
      <c r="BO407" s="64">
        <f t="shared" si="60"/>
        <v>0</v>
      </c>
      <c r="BP407" s="64">
        <f t="shared" si="61"/>
        <v>0</v>
      </c>
    </row>
    <row r="408" spans="1:68" ht="37.5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627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0</v>
      </c>
      <c r="Y409" s="667">
        <f>IFERROR(Y403/H403,"0")+IFERROR(Y404/H404,"0")+IFERROR(Y405/H405,"0")+IFERROR(Y406/H406,"0")+IFERROR(Y407/H407,"0")+IFERROR(Y408/H408,"0")</f>
        <v>0</v>
      </c>
      <c r="Z409" s="667">
        <f>IFERROR(IF(Z403="",0,Z403),"0")+IFERROR(IF(Z404="",0,Z404),"0")+IFERROR(IF(Z405="",0,Z405),"0")+IFERROR(IF(Z406="",0,Z406),"0")+IFERROR(IF(Z407="",0,Z407),"0")+IFERROR(IF(Z408="",0,Z408),"0")</f>
        <v>0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0</v>
      </c>
      <c r="Y410" s="667">
        <f>IFERROR(SUM(Y403:Y408),"0")</f>
        <v>0</v>
      </c>
      <c r="Z410" s="37"/>
      <c r="AA410" s="668"/>
      <c r="AB410" s="668"/>
      <c r="AC410" s="668"/>
    </row>
    <row r="411" spans="1:68" ht="14.25" customHeight="1" x14ac:dyDescent="0.25">
      <c r="A411" s="682" t="s">
        <v>144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147</v>
      </c>
      <c r="L413" s="32"/>
      <c r="M413" s="33" t="s">
        <v>68</v>
      </c>
      <c r="N413" s="33"/>
      <c r="O413" s="32">
        <v>35</v>
      </c>
      <c r="P413" s="750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37.5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9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647</v>
      </c>
      <c r="B419" s="54" t="s">
        <v>648</v>
      </c>
      <c r="C419" s="31">
        <v>4301051660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100</v>
      </c>
      <c r="N419" s="33"/>
      <c r="O419" s="32">
        <v>40</v>
      </c>
      <c r="P419" s="8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642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647</v>
      </c>
      <c r="B420" s="54" t="s">
        <v>649</v>
      </c>
      <c r="C420" s="31">
        <v>4301051297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40</v>
      </c>
      <c r="P420" s="99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650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14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0</v>
      </c>
      <c r="Y422" s="667">
        <f>IFERROR(Y417/H417,"0")+IFERROR(Y418/H418,"0")+IFERROR(Y419/H419,"0")+IFERROR(Y420/H420,"0")+IFERROR(Y421/H421,"0")</f>
        <v>0</v>
      </c>
      <c r="Z422" s="667">
        <f>IFERROR(IF(Z417="",0,Z417),"0")+IFERROR(IF(Z418="",0,Z418),"0")+IFERROR(IF(Z419="",0,Z419),"0")+IFERROR(IF(Z420="",0,Z420),"0")+IFERROR(IF(Z421="",0,Z421),"0")</f>
        <v>0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0</v>
      </c>
      <c r="Y423" s="667">
        <f>IFERROR(SUM(Y417:Y421),"0")</f>
        <v>0</v>
      </c>
      <c r="Z423" s="37"/>
      <c r="AA423" s="668"/>
      <c r="AB423" s="668"/>
      <c r="AC423" s="668"/>
    </row>
    <row r="424" spans="1:68" ht="14.25" customHeight="1" x14ac:dyDescent="0.25">
      <c r="A424" s="682" t="s">
        <v>170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5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658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144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23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0</v>
      </c>
      <c r="Y431" s="666">
        <f t="shared" ref="Y431:Y442" si="62">IFERROR(IF(X431="",0,CEILING((X431/$H431),1)*$H431),"")</f>
        <v>0</v>
      </c>
      <c r="Z431" s="36" t="str">
        <f>IFERROR(IF(Y431=0,"",ROUNDUP(Y431/H431,0)*0.00902),"")</f>
        <v/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0</v>
      </c>
      <c r="BN431" s="64">
        <f t="shared" ref="BN431:BN442" si="64">IFERROR(Y431*I431/H431,"0")</f>
        <v>0</v>
      </c>
      <c r="BO431" s="64">
        <f t="shared" ref="BO431:BO442" si="65">IFERROR(1/J431*(X431/H431),"0")</f>
        <v>0</v>
      </c>
      <c r="BP431" s="64">
        <f t="shared" ref="BP431:BP442" si="66">IFERROR(1/J431*(Y431/H431),"0")</f>
        <v>0</v>
      </c>
    </row>
    <row r="432" spans="1:68" ht="27" customHeight="1" x14ac:dyDescent="0.25">
      <c r="A432" s="54" t="s">
        <v>664</v>
      </c>
      <c r="B432" s="54" t="s">
        <v>665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1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customHeight="1" x14ac:dyDescent="0.25">
      <c r="A433" s="54" t="s">
        <v>664</v>
      </c>
      <c r="B433" s="54" t="s">
        <v>668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26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0</v>
      </c>
      <c r="Y434" s="666">
        <f t="shared" si="62"/>
        <v>0</v>
      </c>
      <c r="Z434" s="36" t="str">
        <f>IFERROR(IF(Y434=0,"",ROUNDUP(Y434/H434,0)*0.00902),"")</f>
        <v/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0</v>
      </c>
      <c r="BN434" s="64">
        <f t="shared" si="64"/>
        <v>0</v>
      </c>
      <c r="BO434" s="64">
        <f t="shared" si="65"/>
        <v>0</v>
      </c>
      <c r="BP434" s="64">
        <f t="shared" si="66"/>
        <v>0</v>
      </c>
    </row>
    <row r="435" spans="1:68" ht="27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68</v>
      </c>
      <c r="N435" s="33"/>
      <c r="O435" s="32">
        <v>50</v>
      </c>
      <c r="P435" s="102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147</v>
      </c>
      <c r="L436" s="32"/>
      <c r="M436" s="33" t="s">
        <v>68</v>
      </c>
      <c r="N436" s="33"/>
      <c r="O436" s="32">
        <v>50</v>
      </c>
      <c r="P436" s="1029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0</v>
      </c>
      <c r="Y437" s="666">
        <f t="shared" si="62"/>
        <v>0</v>
      </c>
      <c r="Z437" s="36" t="str">
        <f t="shared" si="67"/>
        <v/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147</v>
      </c>
      <c r="L438" s="32"/>
      <c r="M438" s="33" t="s">
        <v>68</v>
      </c>
      <c r="N438" s="33"/>
      <c r="O438" s="32">
        <v>50</v>
      </c>
      <c r="P438" s="85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0</v>
      </c>
      <c r="Y438" s="666">
        <f t="shared" si="62"/>
        <v>0</v>
      </c>
      <c r="Z438" s="36" t="str">
        <f t="shared" si="67"/>
        <v/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147</v>
      </c>
      <c r="L440" s="32"/>
      <c r="M440" s="33" t="s">
        <v>68</v>
      </c>
      <c r="N440" s="33"/>
      <c r="O440" s="32">
        <v>50</v>
      </c>
      <c r="P440" s="883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68</v>
      </c>
      <c r="N441" s="33"/>
      <c r="O441" s="32">
        <v>50</v>
      </c>
      <c r="P441" s="8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0</v>
      </c>
      <c r="Y441" s="666">
        <f t="shared" si="62"/>
        <v>0</v>
      </c>
      <c r="Z441" s="36" t="str">
        <f t="shared" si="67"/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37.5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147</v>
      </c>
      <c r="L442" s="32"/>
      <c r="M442" s="33" t="s">
        <v>68</v>
      </c>
      <c r="N442" s="33"/>
      <c r="O442" s="32">
        <v>50</v>
      </c>
      <c r="P442" s="81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0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0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0</v>
      </c>
      <c r="Y444" s="667">
        <f>IFERROR(SUM(Y431:Y442),"0")</f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133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7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7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144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0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IFERROR(IF(Y457=0,"",ROUNDUP(Y457/H457,0)*0.00902),"")</f>
        <v/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147</v>
      </c>
      <c r="L458" s="32"/>
      <c r="M458" s="33" t="s">
        <v>68</v>
      </c>
      <c r="N458" s="33"/>
      <c r="O458" s="32">
        <v>50</v>
      </c>
      <c r="P458" s="73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147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147</v>
      </c>
      <c r="L460" s="32"/>
      <c r="M460" s="33" t="s">
        <v>68</v>
      </c>
      <c r="N460" s="33"/>
      <c r="O460" s="32">
        <v>50</v>
      </c>
      <c r="P46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18.899999999999999</v>
      </c>
      <c r="Y460" s="666">
        <f>IFERROR(IF(X460="",0,CEILING((X460/$H460),1)*$H460),"")</f>
        <v>18.900000000000002</v>
      </c>
      <c r="Z460" s="36">
        <f>IFERROR(IF(Y460=0,"",ROUNDUP(Y460/H460,0)*0.00502),"")</f>
        <v>4.5179999999999998E-2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20.069999999999997</v>
      </c>
      <c r="BN460" s="64">
        <f>IFERROR(Y460*I460/H460,"0")</f>
        <v>20.07</v>
      </c>
      <c r="BO460" s="64">
        <f>IFERROR(1/J460*(X460/H460),"0")</f>
        <v>3.8461538461538457E-2</v>
      </c>
      <c r="BP460" s="64">
        <f>IFERROR(1/J460*(Y460/H460),"0")</f>
        <v>3.8461538461538464E-2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8.9999999999999982</v>
      </c>
      <c r="Y461" s="667">
        <f>IFERROR(Y457/H457,"0")+IFERROR(Y458/H458,"0")+IFERROR(Y459/H459,"0")+IFERROR(Y460/H460,"0")</f>
        <v>9</v>
      </c>
      <c r="Z461" s="667">
        <f>IFERROR(IF(Z457="",0,Z457),"0")+IFERROR(IF(Z458="",0,Z458),"0")+IFERROR(IF(Z459="",0,Z459),"0")+IFERROR(IF(Z460="",0,Z460),"0")</f>
        <v>4.5179999999999998E-2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18.899999999999999</v>
      </c>
      <c r="Y462" s="667">
        <f>IFERROR(SUM(Y457:Y460),"0")</f>
        <v>18.900000000000002</v>
      </c>
      <c r="Z462" s="37"/>
      <c r="AA462" s="668"/>
      <c r="AB462" s="668"/>
      <c r="AC462" s="668"/>
    </row>
    <row r="463" spans="1:68" ht="16.5" customHeight="1" x14ac:dyDescent="0.25">
      <c r="A463" s="716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144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147</v>
      </c>
      <c r="L465" s="32"/>
      <c r="M465" s="33" t="s">
        <v>68</v>
      </c>
      <c r="N465" s="33"/>
      <c r="O465" s="32">
        <v>40</v>
      </c>
      <c r="P465" s="981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72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0</v>
      </c>
      <c r="Y466" s="666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0</v>
      </c>
      <c r="Y467" s="667">
        <f>IFERROR(Y465/H465,"0")+IFERROR(Y466/H466,"0")</f>
        <v>0</v>
      </c>
      <c r="Z467" s="667">
        <f>IFERROR(IF(Z465="",0,Z465),"0")+IFERROR(IF(Z466="",0,Z466),"0")</f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0</v>
      </c>
      <c r="Y468" s="667">
        <f>IFERROR(SUM(Y465:Y466),"0")</f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144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59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170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47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733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0</v>
      </c>
      <c r="Y481" s="666">
        <f t="shared" ref="Y481:Y495" si="68">IFERROR(IF(X481="",0,CEILING((X481/$H481),1)*$H481),"")</f>
        <v>0</v>
      </c>
      <c r="Z481" s="36" t="str">
        <f>IFERROR(IF(Y481=0,"",ROUNDUP(Y481/H481,0)*0.01196),"")</f>
        <v/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0</v>
      </c>
      <c r="BN481" s="64">
        <f t="shared" ref="BN481:BN495" si="70">IFERROR(Y481*I481/H481,"0")</f>
        <v>0</v>
      </c>
      <c r="BO481" s="64">
        <f t="shared" ref="BO481:BO495" si="71">IFERROR(1/J481*(X481/H481),"0")</f>
        <v>0</v>
      </c>
      <c r="BP481" s="64">
        <f t="shared" ref="BP481:BP495" si="72">IFERROR(1/J481*(Y481/H481),"0")</f>
        <v>0</v>
      </c>
    </row>
    <row r="482" spans="1:68" ht="27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0</v>
      </c>
      <c r="Y483" s="666">
        <f t="shared" si="68"/>
        <v>0</v>
      </c>
      <c r="Z483" s="36" t="str">
        <f>IFERROR(IF(Y483=0,"",ROUNDUP(Y483/H483,0)*0.01196),"")</f>
        <v/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0</v>
      </c>
      <c r="BN483" s="64">
        <f t="shared" si="70"/>
        <v>0</v>
      </c>
      <c r="BO483" s="64">
        <f t="shared" si="71"/>
        <v>0</v>
      </c>
      <c r="BP483" s="64">
        <f t="shared" si="72"/>
        <v>0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0</v>
      </c>
      <c r="Y484" s="666">
        <f t="shared" si="68"/>
        <v>0</v>
      </c>
      <c r="Z484" s="36" t="str">
        <f>IFERROR(IF(Y484=0,"",ROUNDUP(Y484/H484,0)*0.01196),"")</f>
        <v/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0</v>
      </c>
      <c r="BN484" s="64">
        <f t="shared" si="70"/>
        <v>0</v>
      </c>
      <c r="BO484" s="64">
        <f t="shared" si="71"/>
        <v>0</v>
      </c>
      <c r="BP484" s="64">
        <f t="shared" si="72"/>
        <v>0</v>
      </c>
    </row>
    <row r="485" spans="1:68" ht="16.5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1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1005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18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0</v>
      </c>
      <c r="Y487" s="666">
        <f t="shared" si="68"/>
        <v>0</v>
      </c>
      <c r="Z487" s="36" t="str">
        <f>IFERROR(IF(Y487=0,"",ROUNDUP(Y487/H487,0)*0.00902),"")</f>
        <v/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0</v>
      </c>
      <c r="BN487" s="64">
        <f t="shared" si="70"/>
        <v>0</v>
      </c>
      <c r="BO487" s="64">
        <f t="shared" si="71"/>
        <v>0</v>
      </c>
      <c r="BP487" s="64">
        <f t="shared" si="72"/>
        <v>0</v>
      </c>
    </row>
    <row r="488" spans="1:68" ht="27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7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4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98</v>
      </c>
      <c r="L493" s="32"/>
      <c r="M493" s="33" t="s">
        <v>94</v>
      </c>
      <c r="N493" s="33"/>
      <c r="O493" s="32">
        <v>60</v>
      </c>
      <c r="P493" s="8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0</v>
      </c>
      <c r="Y493" s="666">
        <f t="shared" si="68"/>
        <v>0</v>
      </c>
      <c r="Z493" s="36" t="str">
        <f>IFERROR(IF(Y493=0,"",ROUNDUP(Y493/H493,0)*0.00937),"")</f>
        <v/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768</v>
      </c>
      <c r="B494" s="54" t="s">
        <v>770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98</v>
      </c>
      <c r="L494" s="32"/>
      <c r="M494" s="33" t="s">
        <v>94</v>
      </c>
      <c r="N494" s="33"/>
      <c r="O494" s="32">
        <v>60</v>
      </c>
      <c r="P494" s="78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IFERROR(IF(Y494=0,"",ROUNDUP(Y494/H494,0)*0.00902),"")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28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0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0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0</v>
      </c>
      <c r="Y497" s="667">
        <f>IFERROR(SUM(Y481:Y495),"0")</f>
        <v>0</v>
      </c>
      <c r="Z497" s="37"/>
      <c r="AA497" s="668"/>
      <c r="AB497" s="668"/>
      <c r="AC497" s="668"/>
    </row>
    <row r="498" spans="1:68" ht="14.25" customHeight="1" x14ac:dyDescent="0.25">
      <c r="A498" s="682" t="s">
        <v>133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100</v>
      </c>
      <c r="N499" s="33"/>
      <c r="O499" s="32">
        <v>70</v>
      </c>
      <c r="P499" s="1027" t="s">
        <v>775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776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773</v>
      </c>
      <c r="B500" s="54" t="s">
        <v>777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94</v>
      </c>
      <c r="N500" s="33"/>
      <c r="O500" s="32">
        <v>55</v>
      </c>
      <c r="P500" s="90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847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776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44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776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144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3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0</v>
      </c>
      <c r="Y506" s="666">
        <f t="shared" ref="Y506:Y517" si="73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0</v>
      </c>
      <c r="BN506" s="64">
        <f t="shared" ref="BN506:BN517" si="75">IFERROR(Y506*I506/H506,"0")</f>
        <v>0</v>
      </c>
      <c r="BO506" s="64">
        <f t="shared" ref="BO506:BO517" si="76">IFERROR(1/J506*(X506/H506),"0")</f>
        <v>0</v>
      </c>
      <c r="BP506" s="64">
        <f t="shared" ref="BP506:BP517" si="77">IFERROR(1/J506*(Y506/H506),"0")</f>
        <v>0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47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0</v>
      </c>
      <c r="Y507" s="666">
        <f t="shared" si="73"/>
        <v>0</v>
      </c>
      <c r="Z507" s="36" t="str">
        <f>IFERROR(IF(Y507=0,"",ROUNDUP(Y507/H507,0)*0.01196),"")</f>
        <v/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0</v>
      </c>
      <c r="BN507" s="64">
        <f t="shared" si="75"/>
        <v>0</v>
      </c>
      <c r="BO507" s="64">
        <f t="shared" si="76"/>
        <v>0</v>
      </c>
      <c r="BP507" s="64">
        <f t="shared" si="77"/>
        <v>0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6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0</v>
      </c>
      <c r="Y508" s="666">
        <f t="shared" si="73"/>
        <v>0</v>
      </c>
      <c r="Z508" s="36" t="str">
        <f>IFERROR(IF(Y508=0,"",ROUNDUP(Y508/H508,0)*0.01196),"")</f>
        <v/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0</v>
      </c>
      <c r="BN508" s="64">
        <f t="shared" si="75"/>
        <v>0</v>
      </c>
      <c r="BO508" s="64">
        <f t="shared" si="76"/>
        <v>0</v>
      </c>
      <c r="BP508" s="64">
        <f t="shared" si="77"/>
        <v>0</v>
      </c>
    </row>
    <row r="509" spans="1:68" ht="27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1001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customHeight="1" x14ac:dyDescent="0.25">
      <c r="A510" s="54" t="s">
        <v>800</v>
      </c>
      <c r="B510" s="54" t="s">
        <v>801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98</v>
      </c>
      <c r="L510" s="32"/>
      <c r="M510" s="33" t="s">
        <v>94</v>
      </c>
      <c r="N510" s="33"/>
      <c r="O510" s="32">
        <v>70</v>
      </c>
      <c r="P510" s="1032" t="s">
        <v>802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IFERROR(IF(Y510=0,"",ROUNDUP(Y510/H510,0)*0.00902),"")</f>
        <v/>
      </c>
      <c r="AA510" s="56"/>
      <c r="AB510" s="57"/>
      <c r="AC510" s="569" t="s">
        <v>788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98</v>
      </c>
      <c r="L511" s="32"/>
      <c r="M511" s="33" t="s">
        <v>94</v>
      </c>
      <c r="N511" s="33"/>
      <c r="O511" s="32">
        <v>60</v>
      </c>
      <c r="P511" s="876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0</v>
      </c>
      <c r="Y511" s="666">
        <f t="shared" si="73"/>
        <v>0</v>
      </c>
      <c r="Z511" s="36" t="str">
        <f>IFERROR(IF(Y511=0,"",ROUNDUP(Y511/H511,0)*0.00937),"")</f>
        <v/>
      </c>
      <c r="AA511" s="56"/>
      <c r="AB511" s="57"/>
      <c r="AC511" s="571" t="s">
        <v>804</v>
      </c>
      <c r="AG511" s="64"/>
      <c r="AJ511" s="68"/>
      <c r="AK511" s="68">
        <v>0</v>
      </c>
      <c r="BB511" s="572" t="s">
        <v>1</v>
      </c>
      <c r="BM511" s="64">
        <f t="shared" si="74"/>
        <v>0</v>
      </c>
      <c r="BN511" s="64">
        <f t="shared" si="75"/>
        <v>0</v>
      </c>
      <c r="BO511" s="64">
        <f t="shared" si="76"/>
        <v>0</v>
      </c>
      <c r="BP511" s="64">
        <f t="shared" si="77"/>
        <v>0</v>
      </c>
    </row>
    <row r="512" spans="1:68" ht="27" customHeight="1" x14ac:dyDescent="0.25">
      <c r="A512" s="54" t="s">
        <v>800</v>
      </c>
      <c r="B512" s="54" t="s">
        <v>805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17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70</v>
      </c>
      <c r="P513" s="834" t="s">
        <v>809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0</v>
      </c>
      <c r="Y513" s="666">
        <f t="shared" si="73"/>
        <v>0</v>
      </c>
      <c r="Z513" s="36" t="str">
        <f>IFERROR(IF(Y513=0,"",ROUNDUP(Y513/H513,0)*0.00902),"")</f>
        <v/>
      </c>
      <c r="AA513" s="56"/>
      <c r="AB513" s="57"/>
      <c r="AC513" s="575" t="s">
        <v>792</v>
      </c>
      <c r="AG513" s="64"/>
      <c r="AJ513" s="68"/>
      <c r="AK513" s="68">
        <v>0</v>
      </c>
      <c r="BB513" s="576" t="s">
        <v>1</v>
      </c>
      <c r="BM513" s="64">
        <f t="shared" si="74"/>
        <v>0</v>
      </c>
      <c r="BN513" s="64">
        <f t="shared" si="75"/>
        <v>0</v>
      </c>
      <c r="BO513" s="64">
        <f t="shared" si="76"/>
        <v>0</v>
      </c>
      <c r="BP513" s="64">
        <f t="shared" si="77"/>
        <v>0</v>
      </c>
    </row>
    <row r="514" spans="1:68" ht="27" customHeight="1" x14ac:dyDescent="0.25">
      <c r="A514" s="54" t="s">
        <v>807</v>
      </c>
      <c r="B514" s="54" t="s">
        <v>810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60</v>
      </c>
      <c r="P514" s="86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811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4301031384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120</v>
      </c>
      <c r="K515" s="32" t="s">
        <v>98</v>
      </c>
      <c r="L515" s="32"/>
      <c r="M515" s="33" t="s">
        <v>68</v>
      </c>
      <c r="N515" s="33"/>
      <c r="O515" s="32">
        <v>60</v>
      </c>
      <c r="P515" s="101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0</v>
      </c>
      <c r="Y515" s="666">
        <f t="shared" si="73"/>
        <v>0</v>
      </c>
      <c r="Z515" s="36" t="str">
        <f>IFERROR(IF(Y515=0,"",ROUNDUP(Y515/H515,0)*0.00937),"")</f>
        <v/>
      </c>
      <c r="AA515" s="56"/>
      <c r="AB515" s="57"/>
      <c r="AC515" s="579" t="s">
        <v>796</v>
      </c>
      <c r="AG515" s="64"/>
      <c r="AJ515" s="68"/>
      <c r="AK515" s="68">
        <v>0</v>
      </c>
      <c r="BB515" s="580" t="s">
        <v>1</v>
      </c>
      <c r="BM515" s="64">
        <f t="shared" si="74"/>
        <v>0</v>
      </c>
      <c r="BN515" s="64">
        <f t="shared" si="75"/>
        <v>0</v>
      </c>
      <c r="BO515" s="64">
        <f t="shared" si="76"/>
        <v>0</v>
      </c>
      <c r="BP515" s="64">
        <f t="shared" si="77"/>
        <v>0</v>
      </c>
    </row>
    <row r="516" spans="1:68" ht="27" customHeight="1" x14ac:dyDescent="0.25">
      <c r="A516" s="54" t="s">
        <v>812</v>
      </c>
      <c r="B516" s="54" t="s">
        <v>814</v>
      </c>
      <c r="C516" s="31">
        <v>4301031417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132</v>
      </c>
      <c r="K516" s="32" t="s">
        <v>98</v>
      </c>
      <c r="L516" s="32"/>
      <c r="M516" s="33" t="s">
        <v>68</v>
      </c>
      <c r="N516" s="33"/>
      <c r="O516" s="32">
        <v>70</v>
      </c>
      <c r="P516" s="864" t="s">
        <v>815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IFERROR(IF(Y516=0,"",ROUNDUP(Y516/H516,0)*0.00902),"")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customHeight="1" x14ac:dyDescent="0.25">
      <c r="A517" s="54" t="s">
        <v>812</v>
      </c>
      <c r="B517" s="54" t="s">
        <v>816</v>
      </c>
      <c r="C517" s="31">
        <v>4301031253</v>
      </c>
      <c r="D517" s="669">
        <v>4680115882096</v>
      </c>
      <c r="E517" s="670"/>
      <c r="F517" s="664">
        <v>0.6</v>
      </c>
      <c r="G517" s="32">
        <v>6</v>
      </c>
      <c r="H517" s="664">
        <v>3.6</v>
      </c>
      <c r="I517" s="664">
        <v>3.81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60</v>
      </c>
      <c r="P517" s="901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817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0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0</v>
      </c>
      <c r="Y519" s="667">
        <f>IFERROR(SUM(Y506:Y517),"0")</f>
        <v>0</v>
      </c>
      <c r="Z519" s="37"/>
      <c r="AA519" s="668"/>
      <c r="AB519" s="668"/>
      <c r="AC519" s="668"/>
    </row>
    <row r="520" spans="1:68" ht="14.25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4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170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43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0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833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48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09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52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6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4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47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133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856</v>
      </c>
      <c r="B543" s="54" t="s">
        <v>857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93</v>
      </c>
      <c r="L543" s="32"/>
      <c r="M543" s="33" t="s">
        <v>94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860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93</v>
      </c>
      <c r="L544" s="32"/>
      <c r="M544" s="33" t="s">
        <v>100</v>
      </c>
      <c r="N544" s="33"/>
      <c r="O544" s="32">
        <v>50</v>
      </c>
      <c r="P544" s="84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9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2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144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2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14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5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26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6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68</v>
      </c>
      <c r="N556" s="33"/>
      <c r="O556" s="32">
        <v>40</v>
      </c>
      <c r="P556" s="78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129</v>
      </c>
      <c r="N561" s="33"/>
      <c r="O561" s="32">
        <v>45</v>
      </c>
      <c r="P561" s="906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0</v>
      </c>
      <c r="Y561" s="666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33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129</v>
      </c>
      <c r="N564" s="33"/>
      <c r="O564" s="32">
        <v>45</v>
      </c>
      <c r="P564" s="896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129</v>
      </c>
      <c r="N565" s="33"/>
      <c r="O565" s="32">
        <v>45</v>
      </c>
      <c r="P565" s="741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0</v>
      </c>
      <c r="Y566" s="667">
        <f>IFERROR(Y561/H561,"0")+IFERROR(Y562/H562,"0")+IFERROR(Y563/H563,"0")+IFERROR(Y564/H564,"0")+IFERROR(Y565/H565,"0")</f>
        <v>0</v>
      </c>
      <c r="Z566" s="667">
        <f>IFERROR(IF(Z561="",0,Z561),"0")+IFERROR(IF(Z562="",0,Z562),"0")+IFERROR(IF(Z563="",0,Z563),"0")+IFERROR(IF(Z564="",0,Z564),"0")+IFERROR(IF(Z565="",0,Z565),"0")</f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0</v>
      </c>
      <c r="Y567" s="667">
        <f>IFERROR(SUM(Y561:Y565),"0")</f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170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93</v>
      </c>
      <c r="L569" s="32"/>
      <c r="M569" s="33" t="s">
        <v>100</v>
      </c>
      <c r="N569" s="33"/>
      <c r="O569" s="32">
        <v>40</v>
      </c>
      <c r="P569" s="943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914</v>
      </c>
      <c r="B570" s="54" t="s">
        <v>918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93</v>
      </c>
      <c r="L570" s="32"/>
      <c r="M570" s="33" t="s">
        <v>129</v>
      </c>
      <c r="N570" s="33"/>
      <c r="O570" s="32">
        <v>40</v>
      </c>
      <c r="P570" s="725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920</v>
      </c>
      <c r="B571" s="54" t="s">
        <v>921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93</v>
      </c>
      <c r="L571" s="32"/>
      <c r="M571" s="33" t="s">
        <v>100</v>
      </c>
      <c r="N571" s="33"/>
      <c r="O571" s="32">
        <v>40</v>
      </c>
      <c r="P571" s="76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920</v>
      </c>
      <c r="B572" s="54" t="s">
        <v>924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93</v>
      </c>
      <c r="L572" s="32"/>
      <c r="M572" s="33" t="s">
        <v>129</v>
      </c>
      <c r="N572" s="33"/>
      <c r="O572" s="32">
        <v>40</v>
      </c>
      <c r="P572" s="768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6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133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4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144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129</v>
      </c>
      <c r="N589" s="33"/>
      <c r="O589" s="32">
        <v>45</v>
      </c>
      <c r="P589" s="1022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943</v>
      </c>
      <c r="Q592" s="809"/>
      <c r="R592" s="809"/>
      <c r="S592" s="809"/>
      <c r="T592" s="809"/>
      <c r="U592" s="809"/>
      <c r="V592" s="810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4598.7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4598.7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944</v>
      </c>
      <c r="Q593" s="809"/>
      <c r="R593" s="809"/>
      <c r="S593" s="809"/>
      <c r="T593" s="809"/>
      <c r="U593" s="809"/>
      <c r="V593" s="810"/>
      <c r="W593" s="37" t="s">
        <v>69</v>
      </c>
      <c r="X593" s="667">
        <f>IFERROR(SUM(BM22:BM589),"0")</f>
        <v>4970.5499999999993</v>
      </c>
      <c r="Y593" s="667">
        <f>IFERROR(SUM(BN22:BN589),"0")</f>
        <v>4970.5499999999993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945</v>
      </c>
      <c r="Q594" s="809"/>
      <c r="R594" s="809"/>
      <c r="S594" s="809"/>
      <c r="T594" s="809"/>
      <c r="U594" s="809"/>
      <c r="V594" s="810"/>
      <c r="W594" s="37" t="s">
        <v>946</v>
      </c>
      <c r="X594" s="38">
        <f>ROUNDUP(SUM(BO22:BO589),0)</f>
        <v>10</v>
      </c>
      <c r="Y594" s="38">
        <f>ROUNDUP(SUM(BP22:BP589),0)</f>
        <v>10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947</v>
      </c>
      <c r="Q595" s="809"/>
      <c r="R595" s="809"/>
      <c r="S595" s="809"/>
      <c r="T595" s="809"/>
      <c r="U595" s="809"/>
      <c r="V595" s="810"/>
      <c r="W595" s="37" t="s">
        <v>69</v>
      </c>
      <c r="X595" s="667">
        <f>GrossWeightTotal+PalletQtyTotal*25</f>
        <v>5220.5499999999993</v>
      </c>
      <c r="Y595" s="667">
        <f>GrossWeightTotalR+PalletQtyTotalR*25</f>
        <v>5220.5499999999993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948</v>
      </c>
      <c r="Q596" s="809"/>
      <c r="R596" s="809"/>
      <c r="S596" s="809"/>
      <c r="T596" s="809"/>
      <c r="U596" s="809"/>
      <c r="V596" s="810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1553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1553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949</v>
      </c>
      <c r="Q597" s="809"/>
      <c r="R597" s="809"/>
      <c r="S597" s="809"/>
      <c r="T597" s="809"/>
      <c r="U597" s="809"/>
      <c r="V597" s="810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11.125720000000001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8"/>
      <c r="E599" s="698"/>
      <c r="F599" s="698"/>
      <c r="G599" s="698"/>
      <c r="H599" s="699"/>
      <c r="I599" s="676" t="s">
        <v>286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577</v>
      </c>
      <c r="X599" s="699"/>
      <c r="Y599" s="676" t="s">
        <v>658</v>
      </c>
      <c r="Z599" s="698"/>
      <c r="AA599" s="698"/>
      <c r="AB599" s="699"/>
      <c r="AC599" s="662" t="s">
        <v>733</v>
      </c>
      <c r="AD599" s="676" t="s">
        <v>833</v>
      </c>
      <c r="AE599" s="699"/>
      <c r="AF599" s="663"/>
    </row>
    <row r="600" spans="1:32" ht="14.25" customHeight="1" thickTop="1" x14ac:dyDescent="0.2">
      <c r="A600" s="984" t="s">
        <v>952</v>
      </c>
      <c r="B600" s="676" t="s">
        <v>63</v>
      </c>
      <c r="C600" s="676" t="s">
        <v>89</v>
      </c>
      <c r="D600" s="676" t="s">
        <v>110</v>
      </c>
      <c r="E600" s="676" t="s">
        <v>178</v>
      </c>
      <c r="F600" s="676" t="s">
        <v>209</v>
      </c>
      <c r="G600" s="676" t="s">
        <v>254</v>
      </c>
      <c r="H600" s="676" t="s">
        <v>88</v>
      </c>
      <c r="I600" s="676" t="s">
        <v>287</v>
      </c>
      <c r="J600" s="676" t="s">
        <v>322</v>
      </c>
      <c r="K600" s="676" t="s">
        <v>383</v>
      </c>
      <c r="L600" s="676" t="s">
        <v>418</v>
      </c>
      <c r="M600" s="676" t="s">
        <v>436</v>
      </c>
      <c r="N600" s="663"/>
      <c r="O600" s="676" t="s">
        <v>440</v>
      </c>
      <c r="P600" s="676" t="s">
        <v>449</v>
      </c>
      <c r="Q600" s="676" t="s">
        <v>463</v>
      </c>
      <c r="R600" s="676" t="s">
        <v>473</v>
      </c>
      <c r="S600" s="676" t="s">
        <v>477</v>
      </c>
      <c r="T600" s="676" t="s">
        <v>485</v>
      </c>
      <c r="U600" s="676" t="s">
        <v>490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240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1255.5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652.5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1046.7</v>
      </c>
      <c r="G602" s="46">
        <f>IFERROR(Y136*1,"0")+IFERROR(Y137*1,"0")+IFERROR(Y141*1,"0")+IFERROR(Y142*1,"0")+IFERROR(Y146*1,"0")+IFERROR(Y147*1,"0")</f>
        <v>0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0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614.4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0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0</v>
      </c>
      <c r="V602" s="46">
        <f>IFERROR(Y363*1,"0")+IFERROR(Y367*1,"0")+IFERROR(Y368*1,"0")+IFERROR(Y369*1,"0")</f>
        <v>770.7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0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0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0</v>
      </c>
      <c r="Z602" s="46">
        <f>IFERROR(Y452*1,"0")+IFERROR(Y453*1,"0")+IFERROR(Y457*1,"0")+IFERROR(Y458*1,"0")+IFERROR(Y459*1,"0")+IFERROR(Y460*1,"0")</f>
        <v>18.900000000000002</v>
      </c>
      <c r="AA602" s="46">
        <f>IFERROR(Y465*1,"0")+IFERROR(Y466*1,"0")</f>
        <v>0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0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0</v>
      </c>
      <c r="AE602" s="46">
        <f>IFERROR(Y577*1,"0")+IFERROR(Y581*1,"0")+IFERROR(Y585*1,"0")+IFERROR(Y589*1,"0")</f>
        <v>0</v>
      </c>
      <c r="AF602" s="663"/>
    </row>
  </sheetData>
  <sheetProtection algorithmName="SHA-512" hashValue="DLEt0jCB8GThqWAdQ1OccZx2INGWhgcRm9uV9eVMxOA/e0sbiUlpAlu12P9bxpsXIiF4NKJ6rqSPYoFj+pT50A==" saltValue="z7dRyLiDyyMjno6of41Cg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53 X88 X124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60 X280" xr:uid="{00000000-0002-0000-0000-000012000000}">
      <formula1>IF(AK48&gt;0,OR(X48=0,AND(IF(X48-AK48&gt;=0,TRUE,FALSE),X48&gt;0,IF(X48/(H48*K48)=ROUND(X48/(H48*K48),0),TRUE,FALSE))),FALSE)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slxRxrnj65loJ74AZEQlhhhg+prvwTfGEo1bfsCcTAapn+sBmIRNKrr1164ND6wZjRsyOSJqv/bKEwNrDODVQQ==" saltValue="CxfxxQE5psCQjHHcZ/+8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2025-04-09T08:24:03Z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