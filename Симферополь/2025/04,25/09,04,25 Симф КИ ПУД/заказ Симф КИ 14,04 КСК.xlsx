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72B7F395-8F94-4437-A319-CA250A370A6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AB602" i="1" s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Z164" i="1"/>
  <c r="Y164" i="1"/>
  <c r="P164" i="1"/>
  <c r="BO163" i="1"/>
  <c r="BM163" i="1"/>
  <c r="Y163" i="1"/>
  <c r="Y165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454" i="1"/>
  <c r="Z54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6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Z221" i="1" s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BP308" i="1"/>
  <c r="BN308" i="1"/>
  <c r="Z308" i="1"/>
  <c r="Z310" i="1" s="1"/>
  <c r="BP331" i="1"/>
  <c r="BN331" i="1"/>
  <c r="Z331" i="1"/>
  <c r="Y333" i="1"/>
  <c r="Y340" i="1"/>
  <c r="BP335" i="1"/>
  <c r="BN335" i="1"/>
  <c r="Z335" i="1"/>
  <c r="Z340" i="1" s="1"/>
  <c r="BP339" i="1"/>
  <c r="BN339" i="1"/>
  <c r="Z339" i="1"/>
  <c r="Y341" i="1"/>
  <c r="Y346" i="1"/>
  <c r="BP343" i="1"/>
  <c r="BN343" i="1"/>
  <c r="Z343" i="1"/>
  <c r="Y347" i="1"/>
  <c r="Z359" i="1"/>
  <c r="BP357" i="1"/>
  <c r="BN357" i="1"/>
  <c r="Z357" i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Z26" i="1" s="1"/>
  <c r="BN23" i="1"/>
  <c r="Y593" i="1" s="1"/>
  <c r="Z25" i="1"/>
  <c r="BN25" i="1"/>
  <c r="Y26" i="1"/>
  <c r="X592" i="1"/>
  <c r="Z29" i="1"/>
  <c r="Z30" i="1" s="1"/>
  <c r="BN29" i="1"/>
  <c r="BP29" i="1"/>
  <c r="Y594" i="1" s="1"/>
  <c r="Z35" i="1"/>
  <c r="Z39" i="1" s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Z61" i="1" s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Z146" i="1"/>
  <c r="Z148" i="1" s="1"/>
  <c r="BN146" i="1"/>
  <c r="BP146" i="1"/>
  <c r="H602" i="1"/>
  <c r="Y154" i="1"/>
  <c r="Z157" i="1"/>
  <c r="Z160" i="1" s="1"/>
  <c r="BN157" i="1"/>
  <c r="Z159" i="1"/>
  <c r="BN159" i="1"/>
  <c r="Z163" i="1"/>
  <c r="Z165" i="1" s="1"/>
  <c r="BN163" i="1"/>
  <c r="BP163" i="1"/>
  <c r="BP164" i="1"/>
  <c r="BN164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BP279" i="1"/>
  <c r="BN279" i="1"/>
  <c r="Z27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Y455" i="1"/>
  <c r="BP458" i="1"/>
  <c r="BN458" i="1"/>
  <c r="Z458" i="1"/>
  <c r="Z461" i="1" s="1"/>
  <c r="Y461" i="1"/>
  <c r="BP507" i="1"/>
  <c r="BN507" i="1"/>
  <c r="Z507" i="1"/>
  <c r="BP509" i="1"/>
  <c r="BN509" i="1"/>
  <c r="Z509" i="1"/>
  <c r="BP514" i="1"/>
  <c r="BN514" i="1"/>
  <c r="Z514" i="1"/>
  <c r="BP517" i="1"/>
  <c r="BN517" i="1"/>
  <c r="Z517" i="1"/>
  <c r="Z602" i="1"/>
  <c r="L602" i="1"/>
  <c r="Y261" i="1"/>
  <c r="BP309" i="1"/>
  <c r="BN309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Z353" i="1" s="1"/>
  <c r="Y360" i="1"/>
  <c r="Z37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BP459" i="1"/>
  <c r="BN459" i="1"/>
  <c r="Z459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365" i="1"/>
  <c r="W602" i="1"/>
  <c r="Y385" i="1"/>
  <c r="X602" i="1"/>
  <c r="Y409" i="1"/>
  <c r="Y462" i="1"/>
  <c r="BP482" i="1"/>
  <c r="BN482" i="1"/>
  <c r="Z482" i="1"/>
  <c r="BP487" i="1"/>
  <c r="BN487" i="1"/>
  <c r="Z487" i="1"/>
  <c r="Z496" i="1" s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18" i="1"/>
  <c r="Z443" i="1"/>
  <c r="Z325" i="1"/>
  <c r="Z346" i="1"/>
  <c r="Z282" i="1"/>
  <c r="Z238" i="1"/>
  <c r="Y592" i="1"/>
  <c r="Z566" i="1"/>
  <c r="Z524" i="1"/>
  <c r="Z529" i="1"/>
  <c r="Z422" i="1"/>
  <c r="Z273" i="1"/>
  <c r="Z127" i="1"/>
  <c r="Z76" i="1"/>
  <c r="Z597" i="1" s="1"/>
  <c r="Y596" i="1"/>
  <c r="Z209" i="1"/>
  <c r="Z183" i="1"/>
</calcChain>
</file>

<file path=xl/sharedStrings.xml><?xml version="1.0" encoding="utf-8"?>
<sst xmlns="http://schemas.openxmlformats.org/spreadsheetml/2006/main" count="2735" uniqueCount="969">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</sst>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6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45753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Воскресенье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0.375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110</v>
      </c>
      <c r="Y35" s="666">
        <f>IFERROR(IF(X35="",0,CEILING((X35/$H35),1)*$H35),"")</f>
        <v>118.80000000000001</v>
      </c>
      <c r="Z35" s="36">
        <f>IFERROR(IF(Y35=0,"",ROUNDUP(Y35/H35,0)*0.01898),"")</f>
        <v>0.20877999999999999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114.43055555555554</v>
      </c>
      <c r="BN35" s="64">
        <f>IFERROR(Y35*I35/H35,"0")</f>
        <v>123.58499999999999</v>
      </c>
      <c r="BO35" s="64">
        <f>IFERROR(1/J35*(X35/H35),"0")</f>
        <v>0.15914351851851852</v>
      </c>
      <c r="BP35" s="64">
        <f>IFERROR(1/J35*(Y35/H35),"0")</f>
        <v>0.171875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320</v>
      </c>
      <c r="Y36" s="666">
        <f>IFERROR(IF(X36="",0,CEILING((X36/$H36),1)*$H36),"")</f>
        <v>320</v>
      </c>
      <c r="Z36" s="36">
        <f>IFERROR(IF(Y36=0,"",ROUNDUP(Y36/H36,0)*0.00902),"")</f>
        <v>0.72160000000000002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336.8</v>
      </c>
      <c r="BN36" s="64">
        <f>IFERROR(Y36*I36/H36,"0")</f>
        <v>336.8</v>
      </c>
      <c r="BO36" s="64">
        <f>IFERROR(1/J36*(X36/H36),"0")</f>
        <v>0.60606060606060608</v>
      </c>
      <c r="BP36" s="64">
        <f>IFERROR(1/J36*(Y36/H36),"0")</f>
        <v>0.60606060606060608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90.18518518518519</v>
      </c>
      <c r="Y39" s="667">
        <f>IFERROR(Y35/H35,"0")+IFERROR(Y36/H36,"0")+IFERROR(Y37/H37,"0")+IFERROR(Y38/H38,"0")</f>
        <v>91</v>
      </c>
      <c r="Z39" s="667">
        <f>IFERROR(IF(Z35="",0,Z35),"0")+IFERROR(IF(Z36="",0,Z36),"0")+IFERROR(IF(Z37="",0,Z37),"0")+IFERROR(IF(Z38="",0,Z38),"0")</f>
        <v>0.93037999999999998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430</v>
      </c>
      <c r="Y40" s="667">
        <f>IFERROR(SUM(Y35:Y38),"0")</f>
        <v>438.8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99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500</v>
      </c>
      <c r="Y48" s="666">
        <f t="shared" si="0"/>
        <v>507.6</v>
      </c>
      <c r="Z48" s="36">
        <f>IFERROR(IF(Y48=0,"",ROUNDUP(Y48/H48,0)*0.01898),"")</f>
        <v>0.89205999999999996</v>
      </c>
      <c r="AA48" s="56"/>
      <c r="AB48" s="57"/>
      <c r="AC48" s="91" t="s">
        <v>116</v>
      </c>
      <c r="AG48" s="64"/>
      <c r="AJ48" s="68" t="s">
        <v>101</v>
      </c>
      <c r="AK48" s="68">
        <v>691.2</v>
      </c>
      <c r="BB48" s="92" t="s">
        <v>1</v>
      </c>
      <c r="BM48" s="64">
        <f t="shared" si="1"/>
        <v>520.1388888888888</v>
      </c>
      <c r="BN48" s="64">
        <f t="shared" si="2"/>
        <v>528.04499999999996</v>
      </c>
      <c r="BO48" s="64">
        <f t="shared" si="3"/>
        <v>0.72337962962962954</v>
      </c>
      <c r="BP48" s="64">
        <f t="shared" si="4"/>
        <v>0.734375</v>
      </c>
    </row>
    <row r="49" spans="1:68" ht="27" customHeight="1" x14ac:dyDescent="0.25">
      <c r="A49" s="54" t="s">
        <v>117</v>
      </c>
      <c r="B49" s="54" t="s">
        <v>118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119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120</v>
      </c>
      <c r="B50" s="54" t="s">
        <v>121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122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123</v>
      </c>
      <c r="B51" s="54" t="s">
        <v>124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116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125</v>
      </c>
      <c r="B52" s="54" t="s">
        <v>126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127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128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315</v>
      </c>
      <c r="Y53" s="666">
        <f t="shared" si="0"/>
        <v>315</v>
      </c>
      <c r="Z53" s="36">
        <f>IFERROR(IF(Y53=0,"",ROUNDUP(Y53/H53,0)*0.00902),"")</f>
        <v>0.63139999999999996</v>
      </c>
      <c r="AA53" s="56"/>
      <c r="AB53" s="57"/>
      <c r="AC53" s="101" t="s">
        <v>116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329.70000000000005</v>
      </c>
      <c r="BN53" s="64">
        <f t="shared" si="2"/>
        <v>329.70000000000005</v>
      </c>
      <c r="BO53" s="64">
        <f t="shared" si="3"/>
        <v>0.53030303030303028</v>
      </c>
      <c r="BP53" s="64">
        <f t="shared" si="4"/>
        <v>0.53030303030303028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116.29629629629629</v>
      </c>
      <c r="Y54" s="667">
        <f>IFERROR(Y47/H47,"0")+IFERROR(Y48/H48,"0")+IFERROR(Y49/H49,"0")+IFERROR(Y50/H50,"0")+IFERROR(Y51/H51,"0")+IFERROR(Y52/H52,"0")+IFERROR(Y53/H53,"0")</f>
        <v>117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1.52346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815</v>
      </c>
      <c r="Y55" s="667">
        <f>IFERROR(SUM(Y47:Y53),"0")</f>
        <v>822.6</v>
      </c>
      <c r="Z55" s="37"/>
      <c r="AA55" s="668"/>
      <c r="AB55" s="668"/>
      <c r="AC55" s="668"/>
    </row>
    <row r="56" spans="1:68" ht="14.25" customHeight="1" x14ac:dyDescent="0.25">
      <c r="A56" s="682" t="s">
        <v>131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132</v>
      </c>
      <c r="B57" s="54" t="s">
        <v>133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137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138</v>
      </c>
      <c r="B59" s="54" t="s">
        <v>139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99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157.5</v>
      </c>
      <c r="Y60" s="666">
        <f>IFERROR(IF(X60="",0,CEILING((X60/$H60),1)*$H60),"")</f>
        <v>159.30000000000001</v>
      </c>
      <c r="Z60" s="36">
        <f>IFERROR(IF(Y60=0,"",ROUNDUP(Y60/H60,0)*0.00651),"")</f>
        <v>0.38408999999999999</v>
      </c>
      <c r="AA60" s="56"/>
      <c r="AB60" s="57"/>
      <c r="AC60" s="109" t="s">
        <v>134</v>
      </c>
      <c r="AG60" s="64"/>
      <c r="AJ60" s="68" t="s">
        <v>101</v>
      </c>
      <c r="AK60" s="68">
        <v>491.4</v>
      </c>
      <c r="BB60" s="110" t="s">
        <v>1</v>
      </c>
      <c r="BM60" s="64">
        <f>IFERROR(X60*I60/H60,"0")</f>
        <v>167.99999999999997</v>
      </c>
      <c r="BN60" s="64">
        <f>IFERROR(Y60*I60/H60,"0")</f>
        <v>169.92</v>
      </c>
      <c r="BO60" s="64">
        <f>IFERROR(1/J60*(X60/H60),"0")</f>
        <v>0.32051282051282048</v>
      </c>
      <c r="BP60" s="64">
        <f>IFERROR(1/J60*(Y60/H60),"0")</f>
        <v>0.32417582417582419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58.333333333333329</v>
      </c>
      <c r="Y61" s="667">
        <f>IFERROR(Y57/H57,"0")+IFERROR(Y58/H58,"0")+IFERROR(Y59/H59,"0")+IFERROR(Y60/H60,"0")</f>
        <v>59</v>
      </c>
      <c r="Z61" s="667">
        <f>IFERROR(IF(Z57="",0,Z57),"0")+IFERROR(IF(Z58="",0,Z58),"0")+IFERROR(IF(Z59="",0,Z59),"0")+IFERROR(IF(Z60="",0,Z60),"0")</f>
        <v>0.38408999999999999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157.5</v>
      </c>
      <c r="Y62" s="667">
        <f>IFERROR(SUM(Y57:Y60),"0")</f>
        <v>159.30000000000001</v>
      </c>
      <c r="Z62" s="37"/>
      <c r="AA62" s="668"/>
      <c r="AB62" s="668"/>
      <c r="AC62" s="668"/>
    </row>
    <row r="63" spans="1:68" ht="14.25" customHeight="1" x14ac:dyDescent="0.25">
      <c r="A63" s="682" t="s">
        <v>142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143</v>
      </c>
      <c r="B64" s="54" t="s">
        <v>144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145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146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147</v>
      </c>
      <c r="B65" s="54" t="s">
        <v>148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145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149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150</v>
      </c>
      <c r="B66" s="54" t="s">
        <v>151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145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152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153</v>
      </c>
      <c r="B70" s="54" t="s">
        <v>154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155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156</v>
      </c>
      <c r="B71" s="54" t="s">
        <v>157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158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159</v>
      </c>
      <c r="B72" s="54" t="s">
        <v>160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161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162</v>
      </c>
      <c r="B73" s="54" t="s">
        <v>163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155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164</v>
      </c>
      <c r="B74" s="54" t="s">
        <v>165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158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166</v>
      </c>
      <c r="B75" s="54" t="s">
        <v>167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161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168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169</v>
      </c>
      <c r="B79" s="54" t="s">
        <v>170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171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169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80</v>
      </c>
      <c r="Y80" s="666">
        <f>IFERROR(IF(X80="",0,CEILING((X80/$H80),1)*$H80),"")</f>
        <v>84</v>
      </c>
      <c r="Z80" s="36">
        <f>IFERROR(IF(Y80=0,"",ROUNDUP(Y80/H80,0)*0.01898),"")</f>
        <v>0.1898</v>
      </c>
      <c r="AA80" s="56"/>
      <c r="AB80" s="57"/>
      <c r="AC80" s="131" t="s">
        <v>171</v>
      </c>
      <c r="AG80" s="64"/>
      <c r="AJ80" s="68"/>
      <c r="AK80" s="68">
        <v>0</v>
      </c>
      <c r="BB80" s="132" t="s">
        <v>1</v>
      </c>
      <c r="BM80" s="64">
        <f>IFERROR(X80*I80/H80,"0")</f>
        <v>84.942857142857136</v>
      </c>
      <c r="BN80" s="64">
        <f>IFERROR(Y80*I80/H80,"0")</f>
        <v>89.19</v>
      </c>
      <c r="BO80" s="64">
        <f>IFERROR(1/J80*(X80/H80),"0")</f>
        <v>0.14880952380952381</v>
      </c>
      <c r="BP80" s="64">
        <f>IFERROR(1/J80*(Y80/H80),"0")</f>
        <v>0.15625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9.5238095238095237</v>
      </c>
      <c r="Y82" s="667">
        <f>IFERROR(Y79/H79,"0")+IFERROR(Y80/H80,"0")+IFERROR(Y81/H81,"0")</f>
        <v>10</v>
      </c>
      <c r="Z82" s="667">
        <f>IFERROR(IF(Z79="",0,Z79),"0")+IFERROR(IF(Z80="",0,Z80),"0")+IFERROR(IF(Z81="",0,Z81),"0")</f>
        <v>0.1898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80</v>
      </c>
      <c r="Y83" s="667">
        <f>IFERROR(SUM(Y79:Y81),"0")</f>
        <v>84</v>
      </c>
      <c r="Z83" s="37"/>
      <c r="AA83" s="668"/>
      <c r="AB83" s="668"/>
      <c r="AC83" s="668"/>
    </row>
    <row r="84" spans="1:68" ht="16.5" customHeight="1" x14ac:dyDescent="0.25">
      <c r="A84" s="716" t="s">
        <v>176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127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300</v>
      </c>
      <c r="Y86" s="66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312.08333333333331</v>
      </c>
      <c r="BN86" s="64">
        <f>IFERROR(Y86*I86/H86,"0")</f>
        <v>314.58000000000004</v>
      </c>
      <c r="BO86" s="64">
        <f>IFERROR(1/J86*(X86/H86),"0")</f>
        <v>0.43402777777777773</v>
      </c>
      <c r="BP86" s="64">
        <f>IFERROR(1/J86*(Y86/H86),"0")</f>
        <v>0.4375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127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135</v>
      </c>
      <c r="Y88" s="666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9" t="s">
        <v>184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141.30000000000001</v>
      </c>
      <c r="BN88" s="64">
        <f>IFERROR(Y88*I88/H88,"0")</f>
        <v>141.30000000000001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57.777777777777771</v>
      </c>
      <c r="Y89" s="667">
        <f>IFERROR(Y86/H86,"0")+IFERROR(Y87/H87,"0")+IFERROR(Y88/H88,"0")</f>
        <v>58</v>
      </c>
      <c r="Z89" s="667">
        <f>IFERROR(IF(Z86="",0,Z86),"0")+IFERROR(IF(Z87="",0,Z87),"0")+IFERROR(IF(Z88="",0,Z88),"0")</f>
        <v>0.80204000000000009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435</v>
      </c>
      <c r="Y90" s="667">
        <f>IFERROR(SUM(Y86:Y88),"0")</f>
        <v>437.40000000000003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185</v>
      </c>
      <c r="B92" s="54" t="s">
        <v>186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185</v>
      </c>
      <c r="B93" s="54" t="s">
        <v>188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50</v>
      </c>
      <c r="Y93" s="666">
        <f t="shared" si="10"/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53.089285714285715</v>
      </c>
      <c r="BN93" s="64">
        <f t="shared" si="12"/>
        <v>53.514000000000003</v>
      </c>
      <c r="BO93" s="64">
        <f t="shared" si="13"/>
        <v>9.3005952380952384E-2</v>
      </c>
      <c r="BP93" s="64">
        <f t="shared" si="14"/>
        <v>9.375E-2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127</v>
      </c>
      <c r="N94" s="33"/>
      <c r="O94" s="32">
        <v>45</v>
      </c>
      <c r="P94" s="731" t="s">
        <v>190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194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195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196</v>
      </c>
      <c r="B96" s="54" t="s">
        <v>197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127</v>
      </c>
      <c r="N96" s="33"/>
      <c r="O96" s="32">
        <v>45</v>
      </c>
      <c r="P96" s="902" t="s">
        <v>198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191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196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200</v>
      </c>
      <c r="Q97" s="672"/>
      <c r="R97" s="672"/>
      <c r="S97" s="672"/>
      <c r="T97" s="673"/>
      <c r="U97" s="34"/>
      <c r="V97" s="34"/>
      <c r="W97" s="35" t="s">
        <v>69</v>
      </c>
      <c r="X97" s="665">
        <v>630</v>
      </c>
      <c r="Y97" s="666">
        <f t="shared" si="10"/>
        <v>631.80000000000007</v>
      </c>
      <c r="Z97" s="36">
        <f>IFERROR(IF(Y97=0,"",ROUNDUP(Y97/H97,0)*0.00651),"")</f>
        <v>1.5233400000000001</v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688.8</v>
      </c>
      <c r="BN97" s="64">
        <f t="shared" si="12"/>
        <v>690.76800000000003</v>
      </c>
      <c r="BO97" s="64">
        <f t="shared" si="13"/>
        <v>1.2820512820512819</v>
      </c>
      <c r="BP97" s="64">
        <f t="shared" si="14"/>
        <v>1.2857142857142858</v>
      </c>
    </row>
    <row r="98" spans="1:68" ht="16.5" customHeight="1" x14ac:dyDescent="0.25">
      <c r="A98" s="54" t="s">
        <v>201</v>
      </c>
      <c r="B98" s="54" t="s">
        <v>202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203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204</v>
      </c>
      <c r="B99" s="54" t="s">
        <v>205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203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204</v>
      </c>
      <c r="B100" s="54" t="s">
        <v>206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203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239.28571428571428</v>
      </c>
      <c r="Y101" s="667">
        <f>IFERROR(Y92/H92,"0")+IFERROR(Y93/H93,"0")+IFERROR(Y94/H94,"0")+IFERROR(Y95/H95,"0")+IFERROR(Y96/H96,"0")+IFERROR(Y97/H97,"0")+IFERROR(Y98/H98,"0")+IFERROR(Y99/H99,"0")+IFERROR(Y100/H100,"0")</f>
        <v>240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1.6372200000000001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680</v>
      </c>
      <c r="Y102" s="667">
        <f>IFERROR(SUM(Y92:Y100),"0")</f>
        <v>682.2</v>
      </c>
      <c r="Z102" s="37"/>
      <c r="AA102" s="668"/>
      <c r="AB102" s="668"/>
      <c r="AC102" s="668"/>
    </row>
    <row r="103" spans="1:68" ht="16.5" customHeight="1" x14ac:dyDescent="0.25">
      <c r="A103" s="716" t="s">
        <v>207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208</v>
      </c>
      <c r="B105" s="54" t="s">
        <v>209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210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211</v>
      </c>
      <c r="B106" s="54" t="s">
        <v>212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210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210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210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131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217</v>
      </c>
      <c r="B112" s="54" t="s">
        <v>218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219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220</v>
      </c>
      <c r="B113" s="54" t="s">
        <v>221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145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219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219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224</v>
      </c>
      <c r="B118" s="54" t="s">
        <v>225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226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224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127</v>
      </c>
      <c r="N119" s="33"/>
      <c r="O119" s="32">
        <v>45</v>
      </c>
      <c r="P119" s="818" t="s">
        <v>228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224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800</v>
      </c>
      <c r="Y120" s="666">
        <f t="shared" si="15"/>
        <v>806.40000000000009</v>
      </c>
      <c r="Z120" s="36">
        <f>IFERROR(IF(Y120=0,"",ROUNDUP(Y120/H120,0)*0.01898),"")</f>
        <v>1.8220800000000001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16"/>
        <v>848.85714285714289</v>
      </c>
      <c r="BN120" s="64">
        <f t="shared" si="17"/>
        <v>855.64800000000002</v>
      </c>
      <c r="BO120" s="64">
        <f t="shared" si="18"/>
        <v>1.4880952380952381</v>
      </c>
      <c r="BP120" s="64">
        <f t="shared" si="19"/>
        <v>1.5</v>
      </c>
    </row>
    <row r="121" spans="1:68" ht="37.5" customHeight="1" x14ac:dyDescent="0.25">
      <c r="A121" s="54" t="s">
        <v>232</v>
      </c>
      <c r="B121" s="54" t="s">
        <v>233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226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232</v>
      </c>
      <c r="B122" s="54" t="s">
        <v>234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127</v>
      </c>
      <c r="N122" s="33"/>
      <c r="O122" s="32">
        <v>45</v>
      </c>
      <c r="P122" s="846" t="s">
        <v>235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236</v>
      </c>
      <c r="B123" s="54" t="s">
        <v>237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99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226</v>
      </c>
      <c r="AG123" s="64"/>
      <c r="AJ123" s="68" t="s">
        <v>101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236</v>
      </c>
      <c r="B124" s="54" t="s">
        <v>238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127</v>
      </c>
      <c r="N124" s="33"/>
      <c r="O124" s="32">
        <v>45</v>
      </c>
      <c r="P124" s="1040" t="s">
        <v>239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240</v>
      </c>
      <c r="B125" s="54" t="s">
        <v>241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242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243</v>
      </c>
      <c r="B126" s="54" t="s">
        <v>244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245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95.238095238095241</v>
      </c>
      <c r="Y127" s="667">
        <f>IFERROR(Y118/H118,"0")+IFERROR(Y119/H119,"0")+IFERROR(Y120/H120,"0")+IFERROR(Y121/H121,"0")+IFERROR(Y122/H122,"0")+IFERROR(Y123/H123,"0")+IFERROR(Y124/H124,"0")+IFERROR(Y125/H125,"0")+IFERROR(Y126/H126,"0")</f>
        <v>96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1.8220800000000001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800</v>
      </c>
      <c r="Y128" s="667">
        <f>IFERROR(SUM(Y118:Y126),"0")</f>
        <v>806.40000000000009</v>
      </c>
      <c r="Z128" s="37"/>
      <c r="AA128" s="668"/>
      <c r="AB128" s="668"/>
      <c r="AC128" s="668"/>
    </row>
    <row r="129" spans="1:68" ht="14.25" customHeight="1" x14ac:dyDescent="0.25">
      <c r="A129" s="682" t="s">
        <v>168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246</v>
      </c>
      <c r="B130" s="54" t="s">
        <v>247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248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249</v>
      </c>
      <c r="B131" s="54" t="s">
        <v>250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251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252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253</v>
      </c>
      <c r="B136" s="54" t="s">
        <v>254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64</v>
      </c>
      <c r="Y137" s="666">
        <f>IFERROR(IF(X137="",0,CEILING((X137/$H137),1)*$H137),"")</f>
        <v>64</v>
      </c>
      <c r="Z137" s="36">
        <f>IFERROR(IF(Y137=0,"",ROUNDUP(Y137/H137,0)*0.00651),"")</f>
        <v>0.13020000000000001</v>
      </c>
      <c r="AA137" s="56"/>
      <c r="AB137" s="57"/>
      <c r="AC137" s="197" t="s">
        <v>255</v>
      </c>
      <c r="AG137" s="64"/>
      <c r="AJ137" s="68"/>
      <c r="AK137" s="68">
        <v>0</v>
      </c>
      <c r="BB137" s="198" t="s">
        <v>1</v>
      </c>
      <c r="BM137" s="64">
        <f>IFERROR(X137*I137/H137,"0")</f>
        <v>67.599999999999994</v>
      </c>
      <c r="BN137" s="64">
        <f>IFERROR(Y137*I137/H137,"0")</f>
        <v>67.599999999999994</v>
      </c>
      <c r="BO137" s="64">
        <f>IFERROR(1/J137*(X137/H137),"0")</f>
        <v>0.1098901098901099</v>
      </c>
      <c r="BP137" s="64">
        <f>IFERROR(1/J137*(Y137/H137),"0")</f>
        <v>0.1098901098901099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20</v>
      </c>
      <c r="Y138" s="667">
        <f>IFERROR(Y136/H136,"0")+IFERROR(Y137/H137,"0")</f>
        <v>20</v>
      </c>
      <c r="Z138" s="667">
        <f>IFERROR(IF(Z136="",0,Z136),"0")+IFERROR(IF(Z137="",0,Z137),"0")</f>
        <v>0.13020000000000001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64</v>
      </c>
      <c r="Y139" s="667">
        <f>IFERROR(SUM(Y136:Y137),"0")</f>
        <v>64</v>
      </c>
      <c r="Z139" s="37"/>
      <c r="AA139" s="668"/>
      <c r="AB139" s="668"/>
      <c r="AC139" s="668"/>
    </row>
    <row r="140" spans="1:68" ht="14.25" customHeight="1" x14ac:dyDescent="0.25">
      <c r="A140" s="682" t="s">
        <v>142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42</v>
      </c>
      <c r="Y141" s="666">
        <f>IFERROR(IF(X141="",0,CEILING((X141/$H141),1)*$H141),"")</f>
        <v>42</v>
      </c>
      <c r="Z141" s="36">
        <f>IFERROR(IF(Y141=0,"",ROUNDUP(Y141/H141,0)*0.00651),"")</f>
        <v>9.7650000000000001E-2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46.02</v>
      </c>
      <c r="BN141" s="64">
        <f>IFERROR(Y141*I141/H141,"0")</f>
        <v>46.02</v>
      </c>
      <c r="BO141" s="64">
        <f>IFERROR(1/J141*(X141/H141),"0")</f>
        <v>8.241758241758243E-2</v>
      </c>
      <c r="BP141" s="64">
        <f>IFERROR(1/J141*(Y141/H141),"0")</f>
        <v>8.241758241758243E-2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259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15.000000000000002</v>
      </c>
      <c r="Y143" s="667">
        <f>IFERROR(Y141/H141,"0")+IFERROR(Y142/H142,"0")</f>
        <v>15.000000000000002</v>
      </c>
      <c r="Z143" s="667">
        <f>IFERROR(IF(Z141="",0,Z141),"0")+IFERROR(IF(Z142="",0,Z142),"0")</f>
        <v>9.7650000000000001E-2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42</v>
      </c>
      <c r="Y144" s="667">
        <f>IFERROR(SUM(Y141:Y142),"0")</f>
        <v>42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261</v>
      </c>
      <c r="B146" s="54" t="s">
        <v>262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66</v>
      </c>
      <c r="Y147" s="666">
        <f>IFERROR(IF(X147="",0,CEILING((X147/$H147),1)*$H147),"")</f>
        <v>66</v>
      </c>
      <c r="Z147" s="36">
        <f>IFERROR(IF(Y147=0,"",ROUNDUP(Y147/H147,0)*0.00651),"")</f>
        <v>0.16275000000000001</v>
      </c>
      <c r="AA147" s="56"/>
      <c r="AB147" s="57"/>
      <c r="AC147" s="205" t="s">
        <v>255</v>
      </c>
      <c r="AG147" s="64"/>
      <c r="AJ147" s="68"/>
      <c r="AK147" s="68">
        <v>0</v>
      </c>
      <c r="BB147" s="206" t="s">
        <v>1</v>
      </c>
      <c r="BM147" s="64">
        <f>IFERROR(X147*I147/H147,"0")</f>
        <v>72.699999999999989</v>
      </c>
      <c r="BN147" s="64">
        <f>IFERROR(Y147*I147/H147,"0")</f>
        <v>72.699999999999989</v>
      </c>
      <c r="BO147" s="64">
        <f>IFERROR(1/J147*(X147/H147),"0")</f>
        <v>0.13736263736263737</v>
      </c>
      <c r="BP147" s="64">
        <f>IFERROR(1/J147*(Y147/H147),"0")</f>
        <v>0.13736263736263737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25</v>
      </c>
      <c r="Y148" s="667">
        <f>IFERROR(Y146/H146,"0")+IFERROR(Y147/H147,"0")</f>
        <v>25</v>
      </c>
      <c r="Z148" s="667">
        <f>IFERROR(IF(Z146="",0,Z146),"0")+IFERROR(IF(Z147="",0,Z147),"0")</f>
        <v>0.16275000000000001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66</v>
      </c>
      <c r="Y149" s="667">
        <f>IFERROR(SUM(Y146:Y147),"0")</f>
        <v>66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264</v>
      </c>
      <c r="B152" s="54" t="s">
        <v>265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266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142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267</v>
      </c>
      <c r="B156" s="54" t="s">
        <v>268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269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272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273</v>
      </c>
      <c r="B158" s="54" t="s">
        <v>274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275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276</v>
      </c>
      <c r="B159" s="54" t="s">
        <v>277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145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278</v>
      </c>
      <c r="B163" s="54" t="s">
        <v>279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280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281</v>
      </c>
      <c r="B164" s="54" t="s">
        <v>282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283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284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285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131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286</v>
      </c>
      <c r="B170" s="54" t="s">
        <v>287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145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288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142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289</v>
      </c>
      <c r="B174" s="54" t="s">
        <v>290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50</v>
      </c>
      <c r="Y174" s="666">
        <f t="shared" ref="Y174:Y182" si="21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53.214285714285715</v>
      </c>
      <c r="BN174" s="64">
        <f t="shared" ref="BN174:BN182" si="23">IFERROR(Y174*I174/H174,"0")</f>
        <v>53.64</v>
      </c>
      <c r="BO174" s="64">
        <f t="shared" ref="BO174:BO182" si="24">IFERROR(1/J174*(X174/H174),"0")</f>
        <v>9.0187590187590191E-2</v>
      </c>
      <c r="BP174" s="64">
        <f t="shared" ref="BP174:BP182" si="25">IFERROR(1/J174*(Y174/H174),"0")</f>
        <v>9.0909090909090912E-2</v>
      </c>
    </row>
    <row r="175" spans="1:68" ht="27" customHeight="1" x14ac:dyDescent="0.25">
      <c r="A175" s="54" t="s">
        <v>292</v>
      </c>
      <c r="B175" s="54" t="s">
        <v>293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1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2"/>
        <v>21.285714285714281</v>
      </c>
      <c r="BN175" s="64">
        <f t="shared" si="23"/>
        <v>22.349999999999998</v>
      </c>
      <c r="BO175" s="64">
        <f t="shared" si="24"/>
        <v>3.6075036075036072E-2</v>
      </c>
      <c r="BP175" s="64">
        <f t="shared" si="25"/>
        <v>3.787878787878788E-2</v>
      </c>
    </row>
    <row r="176" spans="1:68" ht="27" customHeight="1" x14ac:dyDescent="0.25">
      <c r="A176" s="54" t="s">
        <v>295</v>
      </c>
      <c r="B176" s="54" t="s">
        <v>296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100</v>
      </c>
      <c r="Y176" s="666">
        <f t="shared" si="21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297</v>
      </c>
      <c r="AG176" s="64"/>
      <c r="AJ176" s="68"/>
      <c r="AK176" s="68">
        <v>0</v>
      </c>
      <c r="BB176" s="228" t="s">
        <v>1</v>
      </c>
      <c r="BM176" s="64">
        <f t="shared" si="22"/>
        <v>105</v>
      </c>
      <c r="BN176" s="64">
        <f t="shared" si="23"/>
        <v>105.84000000000002</v>
      </c>
      <c r="BO176" s="64">
        <f t="shared" si="24"/>
        <v>0.18037518037518038</v>
      </c>
      <c r="BP176" s="64">
        <f t="shared" si="25"/>
        <v>0.18181818181818182</v>
      </c>
    </row>
    <row r="177" spans="1:68" ht="27" customHeight="1" x14ac:dyDescent="0.25">
      <c r="A177" s="54" t="s">
        <v>298</v>
      </c>
      <c r="B177" s="54" t="s">
        <v>299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145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291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300</v>
      </c>
      <c r="B178" s="54" t="s">
        <v>301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145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294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145</v>
      </c>
      <c r="L179" s="32"/>
      <c r="M179" s="33" t="s">
        <v>68</v>
      </c>
      <c r="N179" s="33"/>
      <c r="O179" s="32">
        <v>40</v>
      </c>
      <c r="P179" s="882" t="s">
        <v>304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305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306</v>
      </c>
      <c r="B180" s="54" t="s">
        <v>307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145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297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308</v>
      </c>
      <c r="B181" s="54" t="s">
        <v>309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297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310</v>
      </c>
      <c r="B182" s="54" t="s">
        <v>311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145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312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40.476190476190482</v>
      </c>
      <c r="Y183" s="667">
        <f>IFERROR(Y174/H174,"0")+IFERROR(Y175/H175,"0")+IFERROR(Y176/H176,"0")+IFERROR(Y177/H177,"0")+IFERROR(Y178/H178,"0")+IFERROR(Y179/H179,"0")+IFERROR(Y180/H180,"0")+IFERROR(Y181/H181,"0")+IFERROR(Y182/H182,"0")</f>
        <v>41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0.36982000000000004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170</v>
      </c>
      <c r="Y184" s="667">
        <f>IFERROR(SUM(Y174:Y182),"0")</f>
        <v>172.20000000000002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313</v>
      </c>
      <c r="B186" s="54" t="s">
        <v>314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315</v>
      </c>
      <c r="L186" s="32"/>
      <c r="M186" s="33" t="s">
        <v>316</v>
      </c>
      <c r="N186" s="33"/>
      <c r="O186" s="32">
        <v>60</v>
      </c>
      <c r="P186" s="1002" t="s">
        <v>317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318</v>
      </c>
      <c r="AC186" s="241" t="s">
        <v>319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320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321</v>
      </c>
      <c r="B191" s="54" t="s">
        <v>322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323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324</v>
      </c>
      <c r="B192" s="54" t="s">
        <v>325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131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326</v>
      </c>
      <c r="B196" s="54" t="s">
        <v>327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328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329</v>
      </c>
      <c r="B197" s="54" t="s">
        <v>330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328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142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331</v>
      </c>
      <c r="B201" s="54" t="s">
        <v>332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333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334</v>
      </c>
      <c r="B202" s="54" t="s">
        <v>335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336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337</v>
      </c>
      <c r="B203" s="54" t="s">
        <v>338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339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340</v>
      </c>
      <c r="B204" s="54" t="s">
        <v>341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342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343</v>
      </c>
      <c r="B205" s="54" t="s">
        <v>344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145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26"/>
        <v>90</v>
      </c>
      <c r="Z205" s="36">
        <f>IFERROR(IF(Y205=0,"",ROUNDUP(Y205/H205,0)*0.00502),"")</f>
        <v>0.251</v>
      </c>
      <c r="AA205" s="56"/>
      <c r="AB205" s="57"/>
      <c r="AC205" s="259" t="s">
        <v>333</v>
      </c>
      <c r="AG205" s="64"/>
      <c r="AJ205" s="68"/>
      <c r="AK205" s="68">
        <v>0</v>
      </c>
      <c r="BB205" s="260" t="s">
        <v>1</v>
      </c>
      <c r="BM205" s="64">
        <f t="shared" si="27"/>
        <v>96.499999999999986</v>
      </c>
      <c r="BN205" s="64">
        <f t="shared" si="28"/>
        <v>96.499999999999986</v>
      </c>
      <c r="BO205" s="64">
        <f t="shared" si="29"/>
        <v>0.21367521367521369</v>
      </c>
      <c r="BP205" s="64">
        <f t="shared" si="30"/>
        <v>0.21367521367521369</v>
      </c>
    </row>
    <row r="206" spans="1:68" ht="27" customHeight="1" x14ac:dyDescent="0.25">
      <c r="A206" s="54" t="s">
        <v>345</v>
      </c>
      <c r="B206" s="54" t="s">
        <v>346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145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336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145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30</v>
      </c>
      <c r="Y207" s="666">
        <f t="shared" si="26"/>
        <v>30.6</v>
      </c>
      <c r="Z207" s="36">
        <f>IFERROR(IF(Y207=0,"",ROUNDUP(Y207/H207,0)*0.00502),"")</f>
        <v>8.5339999999999999E-2</v>
      </c>
      <c r="AA207" s="56"/>
      <c r="AB207" s="57"/>
      <c r="AC207" s="263" t="s">
        <v>339</v>
      </c>
      <c r="AG207" s="64"/>
      <c r="AJ207" s="68"/>
      <c r="AK207" s="68">
        <v>0</v>
      </c>
      <c r="BB207" s="264" t="s">
        <v>1</v>
      </c>
      <c r="BM207" s="64">
        <f t="shared" si="27"/>
        <v>31.666666666666664</v>
      </c>
      <c r="BN207" s="64">
        <f t="shared" si="28"/>
        <v>32.299999999999997</v>
      </c>
      <c r="BO207" s="64">
        <f t="shared" si="29"/>
        <v>7.122507122507124E-2</v>
      </c>
      <c r="BP207" s="64">
        <f t="shared" si="30"/>
        <v>7.2649572649572655E-2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145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30</v>
      </c>
      <c r="Y208" s="666">
        <f t="shared" si="26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342</v>
      </c>
      <c r="AG208" s="64"/>
      <c r="AJ208" s="68"/>
      <c r="AK208" s="68">
        <v>0</v>
      </c>
      <c r="BB208" s="266" t="s">
        <v>1</v>
      </c>
      <c r="BM208" s="64">
        <f t="shared" si="27"/>
        <v>31.666666666666664</v>
      </c>
      <c r="BN208" s="64">
        <f t="shared" si="28"/>
        <v>32.299999999999997</v>
      </c>
      <c r="BO208" s="64">
        <f t="shared" si="29"/>
        <v>7.122507122507124E-2</v>
      </c>
      <c r="BP208" s="64">
        <f t="shared" si="30"/>
        <v>7.2649572649572655E-2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83.333333333333343</v>
      </c>
      <c r="Y209" s="667">
        <f>IFERROR(Y201/H201,"0")+IFERROR(Y202/H202,"0")+IFERROR(Y203/H203,"0")+IFERROR(Y204/H204,"0")+IFERROR(Y205/H205,"0")+IFERROR(Y206/H206,"0")+IFERROR(Y207/H207,"0")+IFERROR(Y208/H208,"0")</f>
        <v>84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0.42167999999999994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150</v>
      </c>
      <c r="Y210" s="667">
        <f>IFERROR(SUM(Y201:Y208),"0")</f>
        <v>151.19999999999999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351</v>
      </c>
      <c r="B212" s="54" t="s">
        <v>352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353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354</v>
      </c>
      <c r="B213" s="54" t="s">
        <v>355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356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357</v>
      </c>
      <c r="B214" s="54" t="s">
        <v>358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359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240</v>
      </c>
      <c r="Y215" s="666">
        <f t="shared" si="31"/>
        <v>240</v>
      </c>
      <c r="Z215" s="36">
        <f t="shared" ref="Z215:Z220" si="36">IFERROR(IF(Y215=0,"",ROUNDUP(Y215/H215,0)*0.00651),"")</f>
        <v>0.65100000000000002</v>
      </c>
      <c r="AA215" s="56"/>
      <c r="AB215" s="57"/>
      <c r="AC215" s="273" t="s">
        <v>353</v>
      </c>
      <c r="AG215" s="64"/>
      <c r="AJ215" s="68"/>
      <c r="AK215" s="68">
        <v>0</v>
      </c>
      <c r="BB215" s="274" t="s">
        <v>1</v>
      </c>
      <c r="BM215" s="64">
        <f t="shared" si="32"/>
        <v>267</v>
      </c>
      <c r="BN215" s="64">
        <f t="shared" si="33"/>
        <v>267</v>
      </c>
      <c r="BO215" s="64">
        <f t="shared" si="34"/>
        <v>0.5494505494505495</v>
      </c>
      <c r="BP215" s="64">
        <f t="shared" si="35"/>
        <v>0.5494505494505495</v>
      </c>
    </row>
    <row r="216" spans="1:68" ht="27" customHeight="1" x14ac:dyDescent="0.25">
      <c r="A216" s="54" t="s">
        <v>362</v>
      </c>
      <c r="B216" s="54" t="s">
        <v>363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127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100</v>
      </c>
      <c r="Y217" s="666">
        <f t="shared" si="31"/>
        <v>100.8</v>
      </c>
      <c r="Z217" s="36">
        <f t="shared" si="36"/>
        <v>0.27342</v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 t="shared" si="32"/>
        <v>110.5</v>
      </c>
      <c r="BN217" s="64">
        <f t="shared" si="33"/>
        <v>111.384</v>
      </c>
      <c r="BO217" s="64">
        <f t="shared" si="34"/>
        <v>0.22893772893772898</v>
      </c>
      <c r="BP217" s="64">
        <f t="shared" si="35"/>
        <v>0.23076923076923078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359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127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120</v>
      </c>
      <c r="Y219" s="666">
        <f t="shared" si="31"/>
        <v>120</v>
      </c>
      <c r="Z219" s="36">
        <f t="shared" si="36"/>
        <v>0.32550000000000001</v>
      </c>
      <c r="AA219" s="56"/>
      <c r="AB219" s="57"/>
      <c r="AC219" s="281" t="s">
        <v>371</v>
      </c>
      <c r="AG219" s="64"/>
      <c r="AJ219" s="68"/>
      <c r="AK219" s="68">
        <v>0</v>
      </c>
      <c r="BB219" s="282" t="s">
        <v>1</v>
      </c>
      <c r="BM219" s="64">
        <f t="shared" si="32"/>
        <v>132.60000000000002</v>
      </c>
      <c r="BN219" s="64">
        <f t="shared" si="33"/>
        <v>132.60000000000002</v>
      </c>
      <c r="BO219" s="64">
        <f t="shared" si="34"/>
        <v>0.27472527472527475</v>
      </c>
      <c r="BP219" s="64">
        <f t="shared" si="35"/>
        <v>0.27472527472527475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160</v>
      </c>
      <c r="Y220" s="666">
        <f t="shared" si="31"/>
        <v>160.79999999999998</v>
      </c>
      <c r="Z220" s="36">
        <f t="shared" si="36"/>
        <v>0.43617</v>
      </c>
      <c r="AA220" s="56"/>
      <c r="AB220" s="57"/>
      <c r="AC220" s="283" t="s">
        <v>374</v>
      </c>
      <c r="AG220" s="64"/>
      <c r="AJ220" s="68"/>
      <c r="AK220" s="68">
        <v>0</v>
      </c>
      <c r="BB220" s="284" t="s">
        <v>1</v>
      </c>
      <c r="BM220" s="64">
        <f t="shared" si="32"/>
        <v>177.2</v>
      </c>
      <c r="BN220" s="64">
        <f t="shared" si="33"/>
        <v>178.08599999999998</v>
      </c>
      <c r="BO220" s="64">
        <f t="shared" si="34"/>
        <v>0.36630036630036633</v>
      </c>
      <c r="BP220" s="64">
        <f t="shared" si="35"/>
        <v>0.36813186813186816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258.33333333333337</v>
      </c>
      <c r="Y221" s="667">
        <f>IFERROR(Y212/H212,"0")+IFERROR(Y213/H213,"0")+IFERROR(Y214/H214,"0")+IFERROR(Y215/H215,"0")+IFERROR(Y216/H216,"0")+IFERROR(Y217/H217,"0")+IFERROR(Y218/H218,"0")+IFERROR(Y219/H219,"0")+IFERROR(Y220/H220,"0")</f>
        <v>259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1.6860899999999999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620</v>
      </c>
      <c r="Y222" s="667">
        <f>IFERROR(SUM(Y212:Y220),"0")</f>
        <v>621.6</v>
      </c>
      <c r="Z222" s="37"/>
      <c r="AA222" s="668"/>
      <c r="AB222" s="668"/>
      <c r="AC222" s="668"/>
    </row>
    <row r="223" spans="1:68" ht="14.25" customHeight="1" x14ac:dyDescent="0.25">
      <c r="A223" s="682" t="s">
        <v>168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375</v>
      </c>
      <c r="B224" s="54" t="s">
        <v>376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127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377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378</v>
      </c>
      <c r="B225" s="54" t="s">
        <v>379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381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382</v>
      </c>
      <c r="B230" s="54" t="s">
        <v>383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93</v>
      </c>
      <c r="L230" s="32"/>
      <c r="M230" s="33" t="s">
        <v>94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384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382</v>
      </c>
      <c r="B231" s="54" t="s">
        <v>385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93</v>
      </c>
      <c r="L231" s="32"/>
      <c r="M231" s="33" t="s">
        <v>386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387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388</v>
      </c>
      <c r="B232" s="54" t="s">
        <v>389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390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391</v>
      </c>
      <c r="B233" s="54" t="s">
        <v>392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93</v>
      </c>
      <c r="L233" s="32"/>
      <c r="M233" s="33" t="s">
        <v>94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393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391</v>
      </c>
      <c r="B234" s="54" t="s">
        <v>394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93</v>
      </c>
      <c r="L234" s="32"/>
      <c r="M234" s="33" t="s">
        <v>386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387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395</v>
      </c>
      <c r="B235" s="54" t="s">
        <v>396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384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390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399</v>
      </c>
      <c r="B237" s="54" t="s">
        <v>400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393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131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401</v>
      </c>
      <c r="B241" s="54" t="s">
        <v>402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145</v>
      </c>
      <c r="L241" s="32"/>
      <c r="M241" s="33" t="s">
        <v>100</v>
      </c>
      <c r="N241" s="33"/>
      <c r="O241" s="32">
        <v>50</v>
      </c>
      <c r="P241" s="968" t="s">
        <v>403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404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401</v>
      </c>
      <c r="B242" s="54" t="s">
        <v>405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145</v>
      </c>
      <c r="L242" s="32"/>
      <c r="M242" s="33" t="s">
        <v>100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404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406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407</v>
      </c>
      <c r="B246" s="54" t="s">
        <v>408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315</v>
      </c>
      <c r="L246" s="32"/>
      <c r="M246" s="33" t="s">
        <v>316</v>
      </c>
      <c r="N246" s="33"/>
      <c r="O246" s="32">
        <v>45</v>
      </c>
      <c r="P246" s="819" t="s">
        <v>409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318</v>
      </c>
      <c r="AC246" s="309" t="s">
        <v>410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411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412</v>
      </c>
      <c r="B250" s="54" t="s">
        <v>413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315</v>
      </c>
      <c r="L250" s="32"/>
      <c r="M250" s="33" t="s">
        <v>316</v>
      </c>
      <c r="N250" s="33"/>
      <c r="O250" s="32">
        <v>90</v>
      </c>
      <c r="P250" s="782" t="s">
        <v>414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318</v>
      </c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416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417</v>
      </c>
      <c r="B255" s="54" t="s">
        <v>418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419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420</v>
      </c>
      <c r="B256" s="54" t="s">
        <v>421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93</v>
      </c>
      <c r="L256" s="32"/>
      <c r="M256" s="33" t="s">
        <v>94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422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420</v>
      </c>
      <c r="B257" s="54" t="s">
        <v>423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93</v>
      </c>
      <c r="L257" s="32"/>
      <c r="M257" s="33" t="s">
        <v>386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424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425</v>
      </c>
      <c r="B258" s="54" t="s">
        <v>426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427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428</v>
      </c>
      <c r="B259" s="54" t="s">
        <v>429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430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431</v>
      </c>
      <c r="B260" s="54" t="s">
        <v>432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433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434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435</v>
      </c>
      <c r="B265" s="54" t="s">
        <v>436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437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438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439</v>
      </c>
      <c r="B270" s="54" t="s">
        <v>440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441</v>
      </c>
      <c r="B271" s="54" t="s">
        <v>442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443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446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447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448</v>
      </c>
      <c r="B277" s="54" t="s">
        <v>449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127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450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453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127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40</v>
      </c>
      <c r="Y279" s="666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7" t="s">
        <v>450</v>
      </c>
      <c r="AG279" s="64"/>
      <c r="AJ279" s="68"/>
      <c r="AK279" s="68">
        <v>0</v>
      </c>
      <c r="BB279" s="338" t="s">
        <v>1</v>
      </c>
      <c r="BM279" s="64">
        <f>IFERROR(X279*I279/H279,"0")</f>
        <v>44.20000000000001</v>
      </c>
      <c r="BN279" s="64">
        <f>IFERROR(Y279*I279/H279,"0")</f>
        <v>45.084000000000003</v>
      </c>
      <c r="BO279" s="64">
        <f>IFERROR(1/J279*(X279/H279),"0")</f>
        <v>9.1575091575091583E-2</v>
      </c>
      <c r="BP279" s="64">
        <f>IFERROR(1/J279*(Y279/H279),"0")</f>
        <v>9.3406593406593408E-2</v>
      </c>
    </row>
    <row r="280" spans="1:68" ht="37.5" customHeight="1" x14ac:dyDescent="0.25">
      <c r="A280" s="54" t="s">
        <v>456</v>
      </c>
      <c r="B280" s="54" t="s">
        <v>457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280</v>
      </c>
      <c r="Y280" s="666">
        <f>IFERROR(IF(X280="",0,CEILING((X280/$H280),1)*$H280),"")</f>
        <v>280.8</v>
      </c>
      <c r="Z280" s="36">
        <f>IFERROR(IF(Y280=0,"",ROUNDUP(Y280/H280,0)*0.00651),"")</f>
        <v>0.76167000000000007</v>
      </c>
      <c r="AA280" s="56"/>
      <c r="AB280" s="57"/>
      <c r="AC280" s="339" t="s">
        <v>458</v>
      </c>
      <c r="AG280" s="64"/>
      <c r="AJ280" s="68" t="s">
        <v>101</v>
      </c>
      <c r="AK280" s="68">
        <v>436.8</v>
      </c>
      <c r="BB280" s="340" t="s">
        <v>1</v>
      </c>
      <c r="BM280" s="64">
        <f>IFERROR(X280*I280/H280,"0")</f>
        <v>301</v>
      </c>
      <c r="BN280" s="64">
        <f>IFERROR(Y280*I280/H280,"0")</f>
        <v>301.86</v>
      </c>
      <c r="BO280" s="64">
        <f>IFERROR(1/J280*(X280/H280),"0")</f>
        <v>0.64102564102564108</v>
      </c>
      <c r="BP280" s="64">
        <f>IFERROR(1/J280*(Y280/H280),"0")</f>
        <v>0.64285714285714302</v>
      </c>
    </row>
    <row r="281" spans="1:68" ht="27" customHeight="1" x14ac:dyDescent="0.25">
      <c r="A281" s="54" t="s">
        <v>459</v>
      </c>
      <c r="B281" s="54" t="s">
        <v>460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453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133.33333333333334</v>
      </c>
      <c r="Y282" s="667">
        <f>IFERROR(Y277/H277,"0")+IFERROR(Y278/H278,"0")+IFERROR(Y279/H279,"0")+IFERROR(Y280/H280,"0")+IFERROR(Y281/H281,"0")</f>
        <v>134</v>
      </c>
      <c r="Z282" s="667">
        <f>IFERROR(IF(Z277="",0,Z277),"0")+IFERROR(IF(Z278="",0,Z278),"0")+IFERROR(IF(Z279="",0,Z279),"0")+IFERROR(IF(Z280="",0,Z280),"0")+IFERROR(IF(Z281="",0,Z281),"0")</f>
        <v>0.87234000000000012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320</v>
      </c>
      <c r="Y283" s="667">
        <f>IFERROR(SUM(Y277:Y281),"0")</f>
        <v>321.60000000000002</v>
      </c>
      <c r="Z283" s="37"/>
      <c r="AA283" s="668"/>
      <c r="AB283" s="668"/>
      <c r="AC283" s="668"/>
    </row>
    <row r="284" spans="1:68" ht="16.5" customHeight="1" x14ac:dyDescent="0.25">
      <c r="A284" s="716" t="s">
        <v>461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462</v>
      </c>
      <c r="B286" s="54" t="s">
        <v>463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464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142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465</v>
      </c>
      <c r="B290" s="54" t="s">
        <v>466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145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467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468</v>
      </c>
      <c r="B294" s="54" t="s">
        <v>469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470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472</v>
      </c>
      <c r="B299" s="54" t="s">
        <v>473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474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475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476</v>
      </c>
      <c r="B304" s="54" t="s">
        <v>477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437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142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478</v>
      </c>
      <c r="B308" s="54" t="s">
        <v>479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145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480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481</v>
      </c>
      <c r="B309" s="54" t="s">
        <v>482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145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480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483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484</v>
      </c>
      <c r="B314" s="54" t="s">
        <v>485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486</v>
      </c>
      <c r="AB314" s="57"/>
      <c r="AC314" s="357" t="s">
        <v>487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488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489</v>
      </c>
      <c r="B319" s="54" t="s">
        <v>490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491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492</v>
      </c>
      <c r="B320" s="54" t="s">
        <v>493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93</v>
      </c>
      <c r="L320" s="32" t="s">
        <v>494</v>
      </c>
      <c r="M320" s="33" t="s">
        <v>100</v>
      </c>
      <c r="N320" s="33"/>
      <c r="O320" s="32">
        <v>55</v>
      </c>
      <c r="P320" s="9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495</v>
      </c>
      <c r="AG320" s="64"/>
      <c r="AJ320" s="68" t="s">
        <v>496</v>
      </c>
      <c r="AK320" s="68">
        <v>86.4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492</v>
      </c>
      <c r="B321" s="54" t="s">
        <v>497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93</v>
      </c>
      <c r="L321" s="32"/>
      <c r="M321" s="33" t="s">
        <v>386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495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142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145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127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168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20</v>
      </c>
      <c r="Y343" s="666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300</v>
      </c>
      <c r="Y344" s="666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127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20</v>
      </c>
      <c r="Y345" s="666">
        <f>IFERROR(IF(X345="",0,CEILING((X345/$H345),1)*$H345),"")</f>
        <v>25.200000000000003</v>
      </c>
      <c r="Z345" s="36">
        <f>IFERROR(IF(Y345=0,"",ROUNDUP(Y345/H345,0)*0.01898),"")</f>
        <v>5.6940000000000004E-2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21.235714285714284</v>
      </c>
      <c r="BN345" s="64">
        <f>IFERROR(Y345*I345/H345,"0")</f>
        <v>26.757000000000001</v>
      </c>
      <c r="BO345" s="64">
        <f>IFERROR(1/J345*(X345/H345),"0")</f>
        <v>3.7202380952380952E-2</v>
      </c>
      <c r="BP345" s="64">
        <f>IFERROR(1/J345*(Y345/H345),"0")</f>
        <v>4.6875E-2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43.223443223443219</v>
      </c>
      <c r="Y346" s="667">
        <f>IFERROR(Y343/H343,"0")+IFERROR(Y344/H344,"0")+IFERROR(Y345/H345,"0")</f>
        <v>45</v>
      </c>
      <c r="Z346" s="667">
        <f>IFERROR(IF(Z343="",0,Z343),"0")+IFERROR(IF(Z344="",0,Z344),"0")+IFERROR(IF(Z345="",0,Z345),"0")</f>
        <v>0.85409999999999997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340</v>
      </c>
      <c r="Y347" s="667">
        <f>IFERROR(SUM(Y343:Y345),"0")</f>
        <v>354.59999999999997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17</v>
      </c>
      <c r="Y351" s="666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19.700000000000003</v>
      </c>
      <c r="BN351" s="64">
        <f>IFERROR(Y351*I351/H351,"0")</f>
        <v>20.684999999999999</v>
      </c>
      <c r="BO351" s="64">
        <f>IFERROR(1/J351*(X351/H351),"0")</f>
        <v>3.6630036630036632E-2</v>
      </c>
      <c r="BP351" s="64">
        <f>IFERROR(1/J351*(Y351/H351),"0")</f>
        <v>3.8461538461538464E-2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102</v>
      </c>
      <c r="Y352" s="666">
        <f>IFERROR(IF(X352="",0,CEILING((X352/$H352),1)*$H352),"")</f>
        <v>102</v>
      </c>
      <c r="Z352" s="36">
        <f>IFERROR(IF(Y352=0,"",ROUNDUP(Y352/H352,0)*0.00651),"")</f>
        <v>0.26040000000000002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115.2</v>
      </c>
      <c r="BN352" s="64">
        <f>IFERROR(Y352*I352/H352,"0")</f>
        <v>115.2</v>
      </c>
      <c r="BO352" s="64">
        <f>IFERROR(1/J352*(X352/H352),"0")</f>
        <v>0.2197802197802198</v>
      </c>
      <c r="BP352" s="64">
        <f>IFERROR(1/J352*(Y352/H352),"0")</f>
        <v>0.2197802197802198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46.666666666666664</v>
      </c>
      <c r="Y353" s="667">
        <f>IFERROR(Y349/H349,"0")+IFERROR(Y350/H350,"0")+IFERROR(Y351/H351,"0")+IFERROR(Y352/H352,"0")</f>
        <v>47</v>
      </c>
      <c r="Z353" s="667">
        <f>IFERROR(IF(Z349="",0,Z349),"0")+IFERROR(IF(Z350="",0,Z350),"0")+IFERROR(IF(Z351="",0,Z351),"0")+IFERROR(IF(Z352="",0,Z352),"0")</f>
        <v>0.30597000000000002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119</v>
      </c>
      <c r="Y354" s="667">
        <f>IFERROR(SUM(Y349:Y352),"0")</f>
        <v>119.85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142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21</v>
      </c>
      <c r="Y363" s="666">
        <f>IFERROR(IF(X363="",0,CEILING((X363/$H363),1)*$H363),"")</f>
        <v>21.6</v>
      </c>
      <c r="Z363" s="36">
        <f>IFERROR(IF(Y363=0,"",ROUNDUP(Y363/H363,0)*0.00651),"")</f>
        <v>7.8119999999999995E-2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23.66</v>
      </c>
      <c r="BN363" s="64">
        <f>IFERROR(Y363*I363/H363,"0")</f>
        <v>24.335999999999999</v>
      </c>
      <c r="BO363" s="64">
        <f>IFERROR(1/J363*(X363/H363),"0")</f>
        <v>6.4102564102564111E-2</v>
      </c>
      <c r="BP363" s="64">
        <f>IFERROR(1/J363*(Y363/H363),"0")</f>
        <v>6.5934065934065936E-2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11.666666666666666</v>
      </c>
      <c r="Y364" s="667">
        <f>IFERROR(Y363/H363,"0")</f>
        <v>12</v>
      </c>
      <c r="Z364" s="667">
        <f>IFERROR(IF(Z363="",0,Z363),"0")</f>
        <v>7.8119999999999995E-2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21</v>
      </c>
      <c r="Y365" s="667">
        <f>IFERROR(SUM(Y363:Y363),"0")</f>
        <v>21.6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127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127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250</v>
      </c>
      <c r="Y370" s="667">
        <f>IFERROR(Y367/H367,"0")+IFERROR(Y368/H368,"0")+IFERROR(Y369/H369,"0")</f>
        <v>250</v>
      </c>
      <c r="Z370" s="667">
        <f>IFERROR(IF(Z367="",0,Z367),"0")+IFERROR(IF(Z368="",0,Z368),"0")+IFERROR(IF(Z369="",0,Z369),"0")</f>
        <v>1.6274999999999999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525</v>
      </c>
      <c r="Y371" s="667">
        <f>IFERROR(SUM(Y367:Y369),"0")</f>
        <v>525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1600</v>
      </c>
      <c r="Y376" s="666">
        <f t="shared" si="52"/>
        <v>1605</v>
      </c>
      <c r="Z376" s="36">
        <f>IFERROR(IF(Y376=0,"",ROUNDUP(Y376/H376,0)*0.02175),"")</f>
        <v>2.3272499999999998</v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1651.2</v>
      </c>
      <c r="BN376" s="64">
        <f t="shared" si="54"/>
        <v>1656.3600000000001</v>
      </c>
      <c r="BO376" s="64">
        <f t="shared" si="55"/>
        <v>2.2222222222222223</v>
      </c>
      <c r="BP376" s="64">
        <f t="shared" si="56"/>
        <v>2.2291666666666665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1600</v>
      </c>
      <c r="Y378" s="666">
        <f t="shared" si="52"/>
        <v>1605</v>
      </c>
      <c r="Z378" s="36">
        <f>IFERROR(IF(Y378=0,"",ROUNDUP(Y378/H378,0)*0.02175),"")</f>
        <v>2.3272499999999998</v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1651.2</v>
      </c>
      <c r="BN378" s="64">
        <f t="shared" si="54"/>
        <v>1656.3600000000001</v>
      </c>
      <c r="BO378" s="64">
        <f t="shared" si="55"/>
        <v>2.2222222222222223</v>
      </c>
      <c r="BP378" s="64">
        <f t="shared" si="56"/>
        <v>2.2291666666666665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127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200</v>
      </c>
      <c r="Y379" s="666">
        <f t="shared" si="52"/>
        <v>210</v>
      </c>
      <c r="Z379" s="36">
        <f>IFERROR(IF(Y379=0,"",ROUNDUP(Y379/H379,0)*0.02175),"")</f>
        <v>0.30449999999999999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206.4</v>
      </c>
      <c r="BN379" s="64">
        <f t="shared" si="54"/>
        <v>216.72</v>
      </c>
      <c r="BO379" s="64">
        <f t="shared" si="55"/>
        <v>0.27777777777777779</v>
      </c>
      <c r="BP379" s="64">
        <f t="shared" si="56"/>
        <v>0.29166666666666663</v>
      </c>
    </row>
    <row r="380" spans="1:68" ht="37.5" customHeight="1" x14ac:dyDescent="0.25">
      <c r="A380" s="54" t="s">
        <v>591</v>
      </c>
      <c r="B380" s="54" t="s">
        <v>592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593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customHeight="1" x14ac:dyDescent="0.25">
      <c r="A381" s="54" t="s">
        <v>591</v>
      </c>
      <c r="B381" s="54" t="s">
        <v>594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386</v>
      </c>
      <c r="N381" s="33"/>
      <c r="O381" s="32">
        <v>60</v>
      </c>
      <c r="P381" s="71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581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593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226.66666666666669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228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4.9589999999999996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3400</v>
      </c>
      <c r="Y386" s="667">
        <f>IFERROR(SUM(Y375:Y384),"0")</f>
        <v>3420</v>
      </c>
      <c r="Z386" s="37"/>
      <c r="AA386" s="668"/>
      <c r="AB386" s="668"/>
      <c r="AC386" s="668"/>
    </row>
    <row r="387" spans="1:68" ht="14.25" customHeight="1" x14ac:dyDescent="0.25">
      <c r="A387" s="682" t="s">
        <v>131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60</v>
      </c>
      <c r="Y394" s="666">
        <f>IFERROR(IF(X394="",0,CEILING((X394/$H394),1)*$H394),"")</f>
        <v>63</v>
      </c>
      <c r="Z394" s="36">
        <f>IFERROR(IF(Y394=0,"",ROUNDUP(Y394/H394,0)*0.01898),"")</f>
        <v>0.13286000000000001</v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63.46</v>
      </c>
      <c r="BN394" s="64">
        <f>IFERROR(Y394*I394/H394,"0")</f>
        <v>66.632999999999996</v>
      </c>
      <c r="BO394" s="64">
        <f>IFERROR(1/J394*(X394/H394),"0")</f>
        <v>0.10416666666666667</v>
      </c>
      <c r="BP394" s="64">
        <f>IFERROR(1/J394*(Y394/H394),"0")</f>
        <v>0.109375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6.666666666666667</v>
      </c>
      <c r="Y395" s="667">
        <f>IFERROR(Y393/H393,"0")+IFERROR(Y394/H394,"0")</f>
        <v>7</v>
      </c>
      <c r="Z395" s="667">
        <f>IFERROR(IF(Z393="",0,Z393),"0")+IFERROR(IF(Z394="",0,Z394),"0")</f>
        <v>0.13286000000000001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60</v>
      </c>
      <c r="Y396" s="667">
        <f>IFERROR(SUM(Y393:Y394),"0")</f>
        <v>63</v>
      </c>
      <c r="Z396" s="37"/>
      <c r="AA396" s="668"/>
      <c r="AB396" s="668"/>
      <c r="AC396" s="668"/>
    </row>
    <row r="397" spans="1:68" ht="14.25" customHeight="1" x14ac:dyDescent="0.25">
      <c r="A397" s="682" t="s">
        <v>168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142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145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70</v>
      </c>
      <c r="Y417" s="666">
        <f>IFERROR(IF(X417="",0,CEILING((X417/$H417),1)*$H417),"")</f>
        <v>72</v>
      </c>
      <c r="Z417" s="36">
        <f>IFERROR(IF(Y417=0,"",ROUNDUP(Y417/H417,0)*0.01898),"")</f>
        <v>0.15184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74.036666666666676</v>
      </c>
      <c r="BN417" s="64">
        <f>IFERROR(Y417*I417/H417,"0")</f>
        <v>76.152000000000001</v>
      </c>
      <c r="BO417" s="64">
        <f>IFERROR(1/J417*(X417/H417),"0")</f>
        <v>0.12152777777777778</v>
      </c>
      <c r="BP417" s="64">
        <f>IFERROR(1/J417*(Y417/H417),"0")</f>
        <v>0.125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7.7777777777777777</v>
      </c>
      <c r="Y422" s="667">
        <f>IFERROR(Y417/H417,"0")+IFERROR(Y418/H418,"0")+IFERROR(Y419/H419,"0")+IFERROR(Y420/H420,"0")+IFERROR(Y421/H421,"0")</f>
        <v>8</v>
      </c>
      <c r="Z422" s="667">
        <f>IFERROR(IF(Z417="",0,Z417),"0")+IFERROR(IF(Z418="",0,Z418),"0")+IFERROR(IF(Z419="",0,Z419),"0")+IFERROR(IF(Z420="",0,Z420),"0")+IFERROR(IF(Z421="",0,Z421),"0")</f>
        <v>0.15184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70</v>
      </c>
      <c r="Y423" s="667">
        <f>IFERROR(SUM(Y417:Y421),"0")</f>
        <v>72</v>
      </c>
      <c r="Z423" s="37"/>
      <c r="AA423" s="668"/>
      <c r="AB423" s="668"/>
      <c r="AC423" s="668"/>
    </row>
    <row r="424" spans="1:68" ht="14.25" customHeight="1" x14ac:dyDescent="0.25">
      <c r="A424" s="682" t="s">
        <v>168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142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</v>
      </c>
      <c r="Y431" s="666">
        <f t="shared" ref="Y431:Y442" si="62">IFERROR(IF(X431="",0,CEILING((X431/$H431),1)*$H431),"")</f>
        <v>10.8</v>
      </c>
      <c r="Z431" s="36">
        <f>IFERROR(IF(Y431=0,"",ROUNDUP(Y431/H431,0)*0.00902),"")</f>
        <v>1.804E-2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10.388888888888889</v>
      </c>
      <c r="BN431" s="64">
        <f t="shared" ref="BN431:BN442" si="64">IFERROR(Y431*I431/H431,"0")</f>
        <v>11.22</v>
      </c>
      <c r="BO431" s="64">
        <f t="shared" ref="BO431:BO442" si="65">IFERROR(1/J431*(X431/H431),"0")</f>
        <v>1.4029180695847361E-2</v>
      </c>
      <c r="BP431" s="64">
        <f t="shared" ref="BP431:BP442" si="66">IFERROR(1/J431*(Y431/H431),"0")</f>
        <v>1.5151515151515152E-2</v>
      </c>
    </row>
    <row r="432" spans="1:68" ht="27" customHeight="1" x14ac:dyDescent="0.25">
      <c r="A432" s="54" t="s">
        <v>664</v>
      </c>
      <c r="B432" s="54" t="s">
        <v>665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20</v>
      </c>
      <c r="Y434" s="666">
        <f t="shared" si="62"/>
        <v>21.6</v>
      </c>
      <c r="Z434" s="36">
        <f>IFERROR(IF(Y434=0,"",ROUNDUP(Y434/H434,0)*0.00902),"")</f>
        <v>3.6080000000000001E-2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20.777777777777779</v>
      </c>
      <c r="BN434" s="64">
        <f t="shared" si="64"/>
        <v>22.44</v>
      </c>
      <c r="BO434" s="64">
        <f t="shared" si="65"/>
        <v>2.8058361391694722E-2</v>
      </c>
      <c r="BP434" s="64">
        <f t="shared" si="66"/>
        <v>3.0303030303030304E-2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145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145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145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87.5</v>
      </c>
      <c r="Y437" s="666">
        <f t="shared" si="62"/>
        <v>88.2</v>
      </c>
      <c r="Z437" s="36">
        <f t="shared" si="67"/>
        <v>0.21084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92.916666666666657</v>
      </c>
      <c r="BN437" s="64">
        <f t="shared" si="64"/>
        <v>93.66</v>
      </c>
      <c r="BO437" s="64">
        <f t="shared" si="65"/>
        <v>0.17806267806267806</v>
      </c>
      <c r="BP437" s="64">
        <f t="shared" si="66"/>
        <v>0.17948717948717952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145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17.5</v>
      </c>
      <c r="Y438" s="666">
        <f t="shared" si="62"/>
        <v>18.900000000000002</v>
      </c>
      <c r="Z438" s="36">
        <f t="shared" si="67"/>
        <v>4.5179999999999998E-2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18.583333333333332</v>
      </c>
      <c r="BN438" s="64">
        <f t="shared" si="64"/>
        <v>20.07</v>
      </c>
      <c r="BO438" s="64">
        <f t="shared" si="65"/>
        <v>3.5612535612535613E-2</v>
      </c>
      <c r="BP438" s="64">
        <f t="shared" si="66"/>
        <v>3.8461538461538464E-2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145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145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145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87.5</v>
      </c>
      <c r="Y441" s="666">
        <f t="shared" si="62"/>
        <v>88.2</v>
      </c>
      <c r="Z441" s="36">
        <f t="shared" si="67"/>
        <v>0.21084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92.916666666666657</v>
      </c>
      <c r="BN441" s="64">
        <f t="shared" si="64"/>
        <v>93.66</v>
      </c>
      <c r="BO441" s="64">
        <f t="shared" si="65"/>
        <v>0.17806267806267806</v>
      </c>
      <c r="BP441" s="64">
        <f t="shared" si="66"/>
        <v>0.17948717948717952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145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97.222222222222229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99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0.52098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222.5</v>
      </c>
      <c r="Y444" s="667">
        <f>IFERROR(SUM(Y431:Y442),"0")</f>
        <v>227.7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131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142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20</v>
      </c>
      <c r="Y457" s="666">
        <f>IFERROR(IF(X457="",0,CEILING((X457/$H457),1)*$H457),"")</f>
        <v>21.6</v>
      </c>
      <c r="Z457" s="36">
        <f>IFERROR(IF(Y457=0,"",ROUNDUP(Y457/H457,0)*0.00902),"")</f>
        <v>3.6080000000000001E-2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20.777777777777779</v>
      </c>
      <c r="BN457" s="64">
        <f>IFERROR(Y457*I457/H457,"0")</f>
        <v>22.44</v>
      </c>
      <c r="BO457" s="64">
        <f>IFERROR(1/J457*(X457/H457),"0")</f>
        <v>2.8058361391694722E-2</v>
      </c>
      <c r="BP457" s="64">
        <f>IFERROR(1/J457*(Y457/H457),"0")</f>
        <v>3.0303030303030304E-2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145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145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145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10.5</v>
      </c>
      <c r="Y460" s="666">
        <f>IFERROR(IF(X460="",0,CEILING((X460/$H460),1)*$H460),"")</f>
        <v>10.5</v>
      </c>
      <c r="Z460" s="36">
        <f>IFERROR(IF(Y460=0,"",ROUNDUP(Y460/H460,0)*0.00502),"")</f>
        <v>2.5100000000000001E-2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11.149999999999999</v>
      </c>
      <c r="BN460" s="64">
        <f>IFERROR(Y460*I460/H460,"0")</f>
        <v>11.149999999999999</v>
      </c>
      <c r="BO460" s="64">
        <f>IFERROR(1/J460*(X460/H460),"0")</f>
        <v>2.1367521367521368E-2</v>
      </c>
      <c r="BP460" s="64">
        <f>IFERROR(1/J460*(Y460/H460),"0")</f>
        <v>2.1367521367521368E-2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8.7037037037037024</v>
      </c>
      <c r="Y461" s="667">
        <f>IFERROR(Y457/H457,"0")+IFERROR(Y458/H458,"0")+IFERROR(Y459/H459,"0")+IFERROR(Y460/H460,"0")</f>
        <v>9</v>
      </c>
      <c r="Z461" s="667">
        <f>IFERROR(IF(Z457="",0,Z457),"0")+IFERROR(IF(Z458="",0,Z458),"0")+IFERROR(IF(Z459="",0,Z459),"0")+IFERROR(IF(Z460="",0,Z460),"0")</f>
        <v>6.1179999999999998E-2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30.5</v>
      </c>
      <c r="Y462" s="667">
        <f>IFERROR(SUM(Y457:Y460),"0")</f>
        <v>32.1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142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145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6</v>
      </c>
      <c r="Y465" s="666">
        <f>IFERROR(IF(X465="",0,CEILING((X465/$H465),1)*$H465),"")</f>
        <v>6</v>
      </c>
      <c r="Z465" s="36">
        <f>IFERROR(IF(Y465=0,"",ROUNDUP(Y465/H465,0)*0.00502),"")</f>
        <v>2.5100000000000001E-2</v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6.8600000000000012</v>
      </c>
      <c r="BN465" s="64">
        <f>IFERROR(Y465*I465/H465,"0")</f>
        <v>6.8600000000000012</v>
      </c>
      <c r="BO465" s="64">
        <f>IFERROR(1/J465*(X465/H465),"0")</f>
        <v>2.1367521367521368E-2</v>
      </c>
      <c r="BP465" s="64">
        <f>IFERROR(1/J465*(Y465/H465),"0")</f>
        <v>2.1367521367521368E-2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20</v>
      </c>
      <c r="Y466" s="666">
        <f>IFERROR(IF(X466="",0,CEILING((X466/$H466),1)*$H466),"")</f>
        <v>20.399999999999999</v>
      </c>
      <c r="Z466" s="36">
        <f>IFERROR(IF(Y466=0,"",ROUNDUP(Y466/H466,0)*0.00651),"")</f>
        <v>0.11067</v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35</v>
      </c>
      <c r="BN466" s="64">
        <f>IFERROR(Y466*I466/H466,"0")</f>
        <v>35.699999999999996</v>
      </c>
      <c r="BO466" s="64">
        <f>IFERROR(1/J466*(X466/H466),"0")</f>
        <v>9.1575091575091583E-2</v>
      </c>
      <c r="BP466" s="64">
        <f>IFERROR(1/J466*(Y466/H466),"0")</f>
        <v>9.3406593406593408E-2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21.666666666666668</v>
      </c>
      <c r="Y467" s="667">
        <f>IFERROR(Y465/H465,"0")+IFERROR(Y466/H466,"0")</f>
        <v>22</v>
      </c>
      <c r="Z467" s="667">
        <f>IFERROR(IF(Z465="",0,Z465),"0")+IFERROR(IF(Z466="",0,Z466),"0")</f>
        <v>0.13577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26</v>
      </c>
      <c r="Y468" s="667">
        <f>IFERROR(SUM(Y465:Y466),"0")</f>
        <v>26.4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142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168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120</v>
      </c>
      <c r="Y481" s="666">
        <f t="shared" ref="Y481:Y495" si="68">IFERROR(IF(X481="",0,CEILING((X481/$H481),1)*$H481),"")</f>
        <v>121.44000000000001</v>
      </c>
      <c r="Z481" s="36">
        <f>IFERROR(IF(Y481=0,"",ROUNDUP(Y481/H481,0)*0.01196),"")</f>
        <v>0.27507999999999999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128.18181818181816</v>
      </c>
      <c r="BN481" s="64">
        <f t="shared" ref="BN481:BN495" si="70">IFERROR(Y481*I481/H481,"0")</f>
        <v>129.72</v>
      </c>
      <c r="BO481" s="64">
        <f t="shared" ref="BO481:BO495" si="71">IFERROR(1/J481*(X481/H481),"0")</f>
        <v>0.21853146853146854</v>
      </c>
      <c r="BP481" s="64">
        <f t="shared" ref="BP481:BP495" si="72">IFERROR(1/J481*(Y481/H481),"0")</f>
        <v>0.22115384615384617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100</v>
      </c>
      <c r="Y483" s="666">
        <f t="shared" si="68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106.81818181818181</v>
      </c>
      <c r="BN483" s="64">
        <f t="shared" si="70"/>
        <v>107.16</v>
      </c>
      <c r="BO483" s="64">
        <f t="shared" si="71"/>
        <v>0.18210955710955709</v>
      </c>
      <c r="BP483" s="64">
        <f t="shared" si="72"/>
        <v>0.18269230769230771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50</v>
      </c>
      <c r="Y484" s="666">
        <f t="shared" si="68"/>
        <v>52.800000000000004</v>
      </c>
      <c r="Z484" s="36">
        <f>IFERROR(IF(Y484=0,"",ROUNDUP(Y484/H484,0)*0.01196),"")</f>
        <v>0.1196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53.409090909090907</v>
      </c>
      <c r="BN484" s="64">
        <f t="shared" si="70"/>
        <v>56.400000000000006</v>
      </c>
      <c r="BO484" s="64">
        <f t="shared" si="71"/>
        <v>9.1054778554778545E-2</v>
      </c>
      <c r="BP484" s="64">
        <f t="shared" si="72"/>
        <v>9.6153846153846159E-2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180</v>
      </c>
      <c r="Y487" s="666">
        <f t="shared" si="68"/>
        <v>180</v>
      </c>
      <c r="Z487" s="36">
        <f>IFERROR(IF(Y487=0,"",ROUNDUP(Y487/H487,0)*0.00902),"")</f>
        <v>0.45100000000000001</v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190.49999999999997</v>
      </c>
      <c r="BN487" s="64">
        <f t="shared" si="70"/>
        <v>190.49999999999997</v>
      </c>
      <c r="BO487" s="64">
        <f t="shared" si="71"/>
        <v>0.37878787878787878</v>
      </c>
      <c r="BP487" s="64">
        <f t="shared" si="72"/>
        <v>0.37878787878787878</v>
      </c>
    </row>
    <row r="488" spans="1:68" ht="27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180</v>
      </c>
      <c r="Y493" s="666">
        <f t="shared" si="68"/>
        <v>180</v>
      </c>
      <c r="Z493" s="36">
        <f>IFERROR(IF(Y493=0,"",ROUNDUP(Y493/H493,0)*0.00902),"")</f>
        <v>0.45100000000000001</v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190.49999999999997</v>
      </c>
      <c r="BN493" s="64">
        <f t="shared" si="70"/>
        <v>190.49999999999997</v>
      </c>
      <c r="BO493" s="64">
        <f t="shared" si="71"/>
        <v>0.37878787878787878</v>
      </c>
      <c r="BP493" s="64">
        <f t="shared" si="72"/>
        <v>0.37878787878787878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151.13636363636363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152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1.5239200000000002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630</v>
      </c>
      <c r="Y497" s="667">
        <f>IFERROR(SUM(Y481:Y495),"0")</f>
        <v>634.55999999999995</v>
      </c>
      <c r="Z497" s="37"/>
      <c r="AA497" s="668"/>
      <c r="AB497" s="668"/>
      <c r="AC497" s="668"/>
    </row>
    <row r="498" spans="1:68" ht="14.25" customHeight="1" x14ac:dyDescent="0.25">
      <c r="A498" s="682" t="s">
        <v>131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70</v>
      </c>
      <c r="Y499" s="666">
        <f>IFERROR(IF(X499="",0,CEILING((X499/$H499),1)*$H499),"")</f>
        <v>73.92</v>
      </c>
      <c r="Z499" s="36">
        <f>IFERROR(IF(Y499=0,"",ROUNDUP(Y499/H499,0)*0.01196),"")</f>
        <v>0.16744000000000001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74.772727272727266</v>
      </c>
      <c r="BN499" s="64">
        <f>IFERROR(Y499*I499/H499,"0")</f>
        <v>78.959999999999994</v>
      </c>
      <c r="BO499" s="64">
        <f>IFERROR(1/J499*(X499/H499),"0")</f>
        <v>0.12747668997668998</v>
      </c>
      <c r="BP499" s="64">
        <f>IFERROR(1/J499*(Y499/H499),"0")</f>
        <v>0.13461538461538464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13.257575757575758</v>
      </c>
      <c r="Y503" s="667">
        <f>IFERROR(Y499/H499,"0")+IFERROR(Y500/H500,"0")+IFERROR(Y501/H501,"0")+IFERROR(Y502/H502,"0")</f>
        <v>14</v>
      </c>
      <c r="Z503" s="667">
        <f>IFERROR(IF(Z499="",0,Z499),"0")+IFERROR(IF(Z500="",0,Z500),"0")+IFERROR(IF(Z501="",0,Z501),"0")+IFERROR(IF(Z502="",0,Z502),"0")</f>
        <v>0.16744000000000001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70</v>
      </c>
      <c r="Y504" s="667">
        <f>IFERROR(SUM(Y499:Y502),"0")</f>
        <v>73.92</v>
      </c>
      <c r="Z504" s="37"/>
      <c r="AA504" s="668"/>
      <c r="AB504" s="668"/>
      <c r="AC504" s="668"/>
    </row>
    <row r="505" spans="1:68" ht="14.25" customHeight="1" x14ac:dyDescent="0.25">
      <c r="A505" s="682" t="s">
        <v>142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50</v>
      </c>
      <c r="Y506" s="666">
        <f t="shared" ref="Y506:Y517" si="73">IFERROR(IF(X506="",0,CEILING((X506/$H506),1)*$H506),"")</f>
        <v>52.800000000000004</v>
      </c>
      <c r="Z506" s="36">
        <f>IFERROR(IF(Y506=0,"",ROUNDUP(Y506/H506,0)*0.01196),"")</f>
        <v>0.1196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53.409090909090907</v>
      </c>
      <c r="BN506" s="64">
        <f t="shared" ref="BN506:BN517" si="75">IFERROR(Y506*I506/H506,"0")</f>
        <v>56.400000000000006</v>
      </c>
      <c r="BO506" s="64">
        <f t="shared" ref="BO506:BO517" si="76">IFERROR(1/J506*(X506/H506),"0")</f>
        <v>9.1054778554778545E-2</v>
      </c>
      <c r="BP506" s="64">
        <f t="shared" ref="BP506:BP517" si="77">IFERROR(1/J506*(Y506/H506),"0")</f>
        <v>9.6153846153846159E-2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20</v>
      </c>
      <c r="Y508" s="666">
        <f t="shared" si="73"/>
        <v>21.12</v>
      </c>
      <c r="Z508" s="36">
        <f>IFERROR(IF(Y508=0,"",ROUNDUP(Y508/H508,0)*0.01196),"")</f>
        <v>4.7840000000000001E-2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21.363636363636363</v>
      </c>
      <c r="BN508" s="64">
        <f t="shared" si="75"/>
        <v>22.56</v>
      </c>
      <c r="BO508" s="64">
        <f t="shared" si="76"/>
        <v>3.6421911421911424E-2</v>
      </c>
      <c r="BP508" s="64">
        <f t="shared" si="77"/>
        <v>3.8461538461538464E-2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98</v>
      </c>
      <c r="L510" s="32"/>
      <c r="M510" s="33" t="s">
        <v>94</v>
      </c>
      <c r="N510" s="33"/>
      <c r="O510" s="32">
        <v>60</v>
      </c>
      <c r="P510" s="10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98</v>
      </c>
      <c r="L511" s="32"/>
      <c r="M511" s="33" t="s">
        <v>94</v>
      </c>
      <c r="N511" s="33"/>
      <c r="O511" s="32">
        <v>70</v>
      </c>
      <c r="P511" s="876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30</v>
      </c>
      <c r="Y511" s="666">
        <f t="shared" si="73"/>
        <v>33.6</v>
      </c>
      <c r="Z511" s="36">
        <f>IFERROR(IF(Y511=0,"",ROUNDUP(Y511/H511,0)*0.00902),"")</f>
        <v>6.3140000000000002E-2</v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4"/>
        <v>43.3125</v>
      </c>
      <c r="BN511" s="64">
        <f t="shared" si="75"/>
        <v>48.510000000000005</v>
      </c>
      <c r="BO511" s="64">
        <f t="shared" si="76"/>
        <v>4.7348484848484848E-2</v>
      </c>
      <c r="BP511" s="64">
        <f t="shared" si="77"/>
        <v>5.3030303030303039E-2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48</v>
      </c>
      <c r="Y515" s="666">
        <f t="shared" si="73"/>
        <v>50.4</v>
      </c>
      <c r="Z515" s="36">
        <f>IFERROR(IF(Y515=0,"",ROUNDUP(Y515/H515,0)*0.00902),"")</f>
        <v>0.12628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50.8</v>
      </c>
      <c r="BN515" s="64">
        <f t="shared" si="75"/>
        <v>53.339999999999996</v>
      </c>
      <c r="BO515" s="64">
        <f t="shared" si="76"/>
        <v>0.10101010101010101</v>
      </c>
      <c r="BP515" s="64">
        <f t="shared" si="77"/>
        <v>0.10606060606060606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32.840909090909093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35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0.35686000000000001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148</v>
      </c>
      <c r="Y519" s="667">
        <f>IFERROR(SUM(Y506:Y517),"0")</f>
        <v>157.92000000000002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168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131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142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145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145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127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1600</v>
      </c>
      <c r="Y561" s="666">
        <f>IFERROR(IF(X561="",0,CEILING((X561/$H561),1)*$H561),"")</f>
        <v>1602</v>
      </c>
      <c r="Z561" s="36">
        <f>IFERROR(IF(Y561=0,"",ROUNDUP(Y561/H561,0)*0.01898),"")</f>
        <v>3.3784399999999999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1692.2666666666667</v>
      </c>
      <c r="BN561" s="64">
        <f>IFERROR(Y561*I561/H561,"0")</f>
        <v>1694.3820000000001</v>
      </c>
      <c r="BO561" s="64">
        <f>IFERROR(1/J561*(X561/H561),"0")</f>
        <v>2.7777777777777777</v>
      </c>
      <c r="BP561" s="64">
        <f>IFERROR(1/J561*(Y561/H561),"0")</f>
        <v>2.78125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127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127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177.77777777777777</v>
      </c>
      <c r="Y566" s="667">
        <f>IFERROR(Y561/H561,"0")+IFERROR(Y562/H562,"0")+IFERROR(Y563/H563,"0")+IFERROR(Y564/H564,"0")+IFERROR(Y565/H565,"0")</f>
        <v>178</v>
      </c>
      <c r="Z566" s="667">
        <f>IFERROR(IF(Z561="",0,Z561),"0")+IFERROR(IF(Z562="",0,Z562),"0")+IFERROR(IF(Z563="",0,Z563),"0")+IFERROR(IF(Z564="",0,Z564),"0")+IFERROR(IF(Z565="",0,Z565),"0")</f>
        <v>3.3784399999999999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1600</v>
      </c>
      <c r="Y567" s="667">
        <f>IFERROR(SUM(Y561:Y565),"0")</f>
        <v>1602</v>
      </c>
      <c r="Z567" s="37"/>
      <c r="AA567" s="668"/>
      <c r="AB567" s="668"/>
      <c r="AC567" s="668"/>
    </row>
    <row r="568" spans="1:68" ht="14.25" customHeight="1" x14ac:dyDescent="0.25">
      <c r="A568" s="682" t="s">
        <v>168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93</v>
      </c>
      <c r="L569" s="32"/>
      <c r="M569" s="33" t="s">
        <v>127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93</v>
      </c>
      <c r="L570" s="32"/>
      <c r="M570" s="33" t="s">
        <v>100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93</v>
      </c>
      <c r="L571" s="32"/>
      <c r="M571" s="33" t="s">
        <v>127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93</v>
      </c>
      <c r="L572" s="32"/>
      <c r="M572" s="33" t="s">
        <v>100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131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142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127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12591.5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12709.950000000003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13339.289853757347</v>
      </c>
      <c r="Y593" s="667">
        <f>IFERROR(SUM(BN22:BN589),"0")</f>
        <v>13465.666999999998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23</v>
      </c>
      <c r="Y594" s="38">
        <f>ROUNDUP(SUM(BP22:BP589),0)</f>
        <v>23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13914.289853757347</v>
      </c>
      <c r="Y595" s="667">
        <f>GrossWeightTotalR+PalletQtyTotalR*25</f>
        <v>14040.666999999998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2370.7228419728422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2389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26.023080000000004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284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176</v>
      </c>
      <c r="F600" s="676" t="s">
        <v>207</v>
      </c>
      <c r="G600" s="676" t="s">
        <v>252</v>
      </c>
      <c r="H600" s="676" t="s">
        <v>88</v>
      </c>
      <c r="I600" s="676" t="s">
        <v>285</v>
      </c>
      <c r="J600" s="676" t="s">
        <v>320</v>
      </c>
      <c r="K600" s="676" t="s">
        <v>381</v>
      </c>
      <c r="L600" s="676" t="s">
        <v>416</v>
      </c>
      <c r="M600" s="676" t="s">
        <v>434</v>
      </c>
      <c r="N600" s="663"/>
      <c r="O600" s="676" t="s">
        <v>438</v>
      </c>
      <c r="P600" s="676" t="s">
        <v>447</v>
      </c>
      <c r="Q600" s="676" t="s">
        <v>461</v>
      </c>
      <c r="R600" s="676" t="s">
        <v>471</v>
      </c>
      <c r="S600" s="676" t="s">
        <v>475</v>
      </c>
      <c r="T600" s="676" t="s">
        <v>483</v>
      </c>
      <c r="U600" s="676" t="s">
        <v>488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438.8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1065.9000000000001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1119.6000000000001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806.40000000000009</v>
      </c>
      <c r="G602" s="46">
        <f>IFERROR(Y136*1,"0")+IFERROR(Y137*1,"0")+IFERROR(Y141*1,"0")+IFERROR(Y142*1,"0")+IFERROR(Y146*1,"0")+IFERROR(Y147*1,"0")</f>
        <v>172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172.20000000000002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772.8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321.60000000000002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474.45</v>
      </c>
      <c r="V602" s="46">
        <f>IFERROR(Y363*1,"0")+IFERROR(Y367*1,"0")+IFERROR(Y368*1,"0")+IFERROR(Y369*1,"0")</f>
        <v>546.6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3993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72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227.7</v>
      </c>
      <c r="Z602" s="46">
        <f>IFERROR(Y452*1,"0")+IFERROR(Y453*1,"0")+IFERROR(Y457*1,"0")+IFERROR(Y458*1,"0")+IFERROR(Y459*1,"0")+IFERROR(Y460*1,"0")</f>
        <v>32.1</v>
      </c>
      <c r="AA602" s="46">
        <f>IFERROR(Y465*1,"0")+IFERROR(Y466*1,"0")</f>
        <v>26.4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866.39999999999986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1602</v>
      </c>
      <c r="AE602" s="46">
        <f>IFERROR(Y577*1,"0")+IFERROR(Y581*1,"0")+IFERROR(Y585*1,"0")+IFERROR(Y589*1,"0")</f>
        <v>0</v>
      </c>
      <c r="AF602" s="663"/>
    </row>
  </sheetData>
  <sheetProtection algorithmName="SHA-512" hashValue="X6EEJ0agv20jlWgkW1hlu3mHbUXPwa/jD9DievZoFOy6dlV6bnv2RQ2BQKJaNgSPmM6MYObqqnttZGgVyQnkrQ==" saltValue="nVJ80o1gF/Wf4uss1RQWj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48 X53 X60 X88 X123 X280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J1W3DoL/IyyBfY15v8SaW11MvtRKADHJCps6pBNdEf/vCQmNgOlY3MqaDzVw5UDoZavRJSLqttRsgEVog1yQw==" saltValue="cW22dPYWt1lwhVRQVGfY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2025-04-09T08:47:09Z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