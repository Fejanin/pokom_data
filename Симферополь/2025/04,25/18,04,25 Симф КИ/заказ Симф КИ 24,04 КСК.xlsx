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02554DBA-D49B-4540-B4A4-EF2EA79FA0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Y496" i="1" s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2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2" i="1" s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W602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V602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Y326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1" i="1" s="1"/>
  <c r="P308" i="1"/>
  <c r="X306" i="1"/>
  <c r="Y305" i="1"/>
  <c r="X305" i="1"/>
  <c r="BP304" i="1"/>
  <c r="BO304" i="1"/>
  <c r="BN304" i="1"/>
  <c r="BM304" i="1"/>
  <c r="Z304" i="1"/>
  <c r="Z305" i="1" s="1"/>
  <c r="Y304" i="1"/>
  <c r="S602" i="1" s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Y244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10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84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4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BP148" i="1"/>
  <c r="BN148" i="1"/>
  <c r="Z148" i="1"/>
  <c r="Z149" i="1" s="1"/>
  <c r="Y150" i="1"/>
  <c r="H602" i="1"/>
  <c r="Y154" i="1"/>
  <c r="BP153" i="1"/>
  <c r="BN153" i="1"/>
  <c r="Z153" i="1"/>
  <c r="Z154" i="1" s="1"/>
  <c r="Y155" i="1"/>
  <c r="Y162" i="1"/>
  <c r="BP157" i="1"/>
  <c r="BN157" i="1"/>
  <c r="Z157" i="1"/>
  <c r="Y161" i="1"/>
  <c r="H9" i="1"/>
  <c r="B602" i="1"/>
  <c r="X593" i="1"/>
  <c r="X594" i="1"/>
  <c r="Z23" i="1"/>
  <c r="Z28" i="1" s="1"/>
  <c r="BN23" i="1"/>
  <c r="Y593" i="1" s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594" i="1" s="1"/>
  <c r="Z37" i="1"/>
  <c r="Z41" i="1" s="1"/>
  <c r="BN37" i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1" i="1"/>
  <c r="Z128" i="1" s="1"/>
  <c r="BN121" i="1"/>
  <c r="Z124" i="1"/>
  <c r="BN124" i="1"/>
  <c r="Z125" i="1"/>
  <c r="BN125" i="1"/>
  <c r="Z127" i="1"/>
  <c r="BN127" i="1"/>
  <c r="Z131" i="1"/>
  <c r="Z133" i="1" s="1"/>
  <c r="BN131" i="1"/>
  <c r="BP131" i="1"/>
  <c r="G602" i="1"/>
  <c r="Y139" i="1"/>
  <c r="Z138" i="1"/>
  <c r="Z139" i="1" s="1"/>
  <c r="BN138" i="1"/>
  <c r="Y140" i="1"/>
  <c r="Y145" i="1"/>
  <c r="BP142" i="1"/>
  <c r="BN142" i="1"/>
  <c r="Z142" i="1"/>
  <c r="Z144" i="1" s="1"/>
  <c r="BP159" i="1"/>
  <c r="BN159" i="1"/>
  <c r="Z159" i="1"/>
  <c r="Z193" i="1"/>
  <c r="I602" i="1"/>
  <c r="Y172" i="1"/>
  <c r="Z175" i="1"/>
  <c r="Z183" i="1" s="1"/>
  <c r="BN175" i="1"/>
  <c r="BP175" i="1"/>
  <c r="Z177" i="1"/>
  <c r="BN177" i="1"/>
  <c r="Z180" i="1"/>
  <c r="BN180" i="1"/>
  <c r="Z182" i="1"/>
  <c r="BN182" i="1"/>
  <c r="J602" i="1"/>
  <c r="Z192" i="1"/>
  <c r="BN192" i="1"/>
  <c r="BP192" i="1"/>
  <c r="Y193" i="1"/>
  <c r="Z196" i="1"/>
  <c r="Z198" i="1" s="1"/>
  <c r="BN196" i="1"/>
  <c r="BP196" i="1"/>
  <c r="Y199" i="1"/>
  <c r="Z202" i="1"/>
  <c r="Z209" i="1" s="1"/>
  <c r="BN202" i="1"/>
  <c r="Z204" i="1"/>
  <c r="BN204" i="1"/>
  <c r="Z206" i="1"/>
  <c r="BN206" i="1"/>
  <c r="Z208" i="1"/>
  <c r="BN208" i="1"/>
  <c r="Y209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602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BP242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Z282" i="1" s="1"/>
  <c r="BN278" i="1"/>
  <c r="Z280" i="1"/>
  <c r="BN280" i="1"/>
  <c r="Y283" i="1"/>
  <c r="Y288" i="1"/>
  <c r="Y301" i="1"/>
  <c r="Y306" i="1"/>
  <c r="Z309" i="1"/>
  <c r="Z310" i="1" s="1"/>
  <c r="BN309" i="1"/>
  <c r="Y310" i="1"/>
  <c r="Z314" i="1"/>
  <c r="Z315" i="1" s="1"/>
  <c r="BN314" i="1"/>
  <c r="BP314" i="1"/>
  <c r="Y315" i="1"/>
  <c r="Z319" i="1"/>
  <c r="BN319" i="1"/>
  <c r="BP319" i="1"/>
  <c r="BP320" i="1"/>
  <c r="BN320" i="1"/>
  <c r="Z320" i="1"/>
  <c r="BP324" i="1"/>
  <c r="BN324" i="1"/>
  <c r="Z324" i="1"/>
  <c r="Y333" i="1"/>
  <c r="BP328" i="1"/>
  <c r="BN328" i="1"/>
  <c r="Z328" i="1"/>
  <c r="Y332" i="1"/>
  <c r="Z340" i="1"/>
  <c r="BP336" i="1"/>
  <c r="BN336" i="1"/>
  <c r="Z336" i="1"/>
  <c r="Y340" i="1"/>
  <c r="Y239" i="1"/>
  <c r="Y261" i="1"/>
  <c r="Y273" i="1"/>
  <c r="Y282" i="1"/>
  <c r="Y316" i="1"/>
  <c r="U602" i="1"/>
  <c r="Y325" i="1"/>
  <c r="BP322" i="1"/>
  <c r="BN322" i="1"/>
  <c r="Z322" i="1"/>
  <c r="BP330" i="1"/>
  <c r="BN330" i="1"/>
  <c r="Z330" i="1"/>
  <c r="BP338" i="1"/>
  <c r="BN338" i="1"/>
  <c r="Z338" i="1"/>
  <c r="Y346" i="1"/>
  <c r="Y354" i="1"/>
  <c r="Y360" i="1"/>
  <c r="Y365" i="1"/>
  <c r="Y371" i="1"/>
  <c r="Y385" i="1"/>
  <c r="Y391" i="1"/>
  <c r="Y400" i="1"/>
  <c r="Y409" i="1"/>
  <c r="Y413" i="1"/>
  <c r="Y422" i="1"/>
  <c r="Y443" i="1"/>
  <c r="Y447" i="1"/>
  <c r="Y454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17" i="1"/>
  <c r="BN517" i="1"/>
  <c r="Z517" i="1"/>
  <c r="Z602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Z367" i="1"/>
  <c r="BN367" i="1"/>
  <c r="BP367" i="1"/>
  <c r="Z369" i="1"/>
  <c r="BN369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Z398" i="1"/>
  <c r="Z399" i="1" s="1"/>
  <c r="BN398" i="1"/>
  <c r="BP398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Z418" i="1"/>
  <c r="Z421" i="1" s="1"/>
  <c r="BN418" i="1"/>
  <c r="Z420" i="1"/>
  <c r="BN420" i="1"/>
  <c r="Z430" i="1"/>
  <c r="Z442" i="1" s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Z457" i="1"/>
  <c r="Z460" i="1" s="1"/>
  <c r="BN457" i="1"/>
  <c r="Z458" i="1"/>
  <c r="BN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4" i="1"/>
  <c r="BN514" i="1"/>
  <c r="Z514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496" i="1"/>
  <c r="Z548" i="1"/>
  <c r="Z408" i="1"/>
  <c r="Z370" i="1"/>
  <c r="Z353" i="1"/>
  <c r="Z518" i="1"/>
  <c r="Z261" i="1"/>
  <c r="Z110" i="1"/>
  <c r="Z83" i="1"/>
  <c r="Z597" i="1" s="1"/>
  <c r="Y596" i="1"/>
  <c r="X595" i="1"/>
  <c r="Y592" i="1"/>
  <c r="Z566" i="1"/>
  <c r="Z332" i="1"/>
  <c r="Z325" i="1"/>
  <c r="Z161" i="1"/>
</calcChain>
</file>

<file path=xl/sharedStrings.xml><?xml version="1.0" encoding="utf-8"?>
<sst xmlns="http://schemas.openxmlformats.org/spreadsheetml/2006/main" count="2735" uniqueCount="969">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</sst>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8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0.375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150</v>
      </c>
      <c r="Y37" s="666">
        <f>IFERROR(IF(X37="",0,CEILING((X37/$H37),1)*$H37),"")</f>
        <v>151.20000000000002</v>
      </c>
      <c r="Z37" s="36">
        <f>IFERROR(IF(Y37=0,"",ROUNDUP(Y37/H37,0)*0.01898),"")</f>
        <v>0.26572000000000001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156.04166666666666</v>
      </c>
      <c r="BN37" s="64">
        <f>IFERROR(Y37*I37/H37,"0")</f>
        <v>157.29000000000002</v>
      </c>
      <c r="BO37" s="64">
        <f>IFERROR(1/J37*(X37/H37),"0")</f>
        <v>0.21701388888888887</v>
      </c>
      <c r="BP37" s="64">
        <f>IFERROR(1/J37*(Y37/H37),"0")</f>
        <v>0.21875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480</v>
      </c>
      <c r="Y38" s="666">
        <f>IFERROR(IF(X38="",0,CEILING((X38/$H38),1)*$H38),"")</f>
        <v>480</v>
      </c>
      <c r="Z38" s="36">
        <f>IFERROR(IF(Y38=0,"",ROUNDUP(Y38/H38,0)*0.00902),"")</f>
        <v>1.0824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505.2</v>
      </c>
      <c r="BN38" s="64">
        <f>IFERROR(Y38*I38/H38,"0")</f>
        <v>505.2</v>
      </c>
      <c r="BO38" s="64">
        <f>IFERROR(1/J38*(X38/H38),"0")</f>
        <v>0.90909090909090917</v>
      </c>
      <c r="BP38" s="64">
        <f>IFERROR(1/J38*(Y38/H38),"0")</f>
        <v>0.90909090909090917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133.88888888888889</v>
      </c>
      <c r="Y41" s="667">
        <f>IFERROR(Y37/H37,"0")+IFERROR(Y38/H38,"0")+IFERROR(Y39/H39,"0")+IFERROR(Y40/H40,"0")</f>
        <v>134</v>
      </c>
      <c r="Z41" s="667">
        <f>IFERROR(IF(Z37="",0,Z37),"0")+IFERROR(IF(Z38="",0,Z38),"0")+IFERROR(IF(Z39="",0,Z39),"0")+IFERROR(IF(Z40="",0,Z40),"0")</f>
        <v>1.34812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630</v>
      </c>
      <c r="Y42" s="667">
        <f>IFERROR(SUM(Y37:Y40),"0")</f>
        <v>631.20000000000005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350</v>
      </c>
      <c r="Y50" s="666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364.09722222222217</v>
      </c>
      <c r="BN50" s="64">
        <f t="shared" si="8"/>
        <v>370.755</v>
      </c>
      <c r="BO50" s="64">
        <f t="shared" si="9"/>
        <v>0.5063657407407407</v>
      </c>
      <c r="BP50" s="64">
        <f t="shared" si="10"/>
        <v>0.515625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630</v>
      </c>
      <c r="Y54" s="666">
        <f t="shared" si="6"/>
        <v>630</v>
      </c>
      <c r="Z54" s="36">
        <f>IFERROR(IF(Y54=0,"",ROUNDUP(Y54/H54,0)*0.00902),"")</f>
        <v>1.2627999999999999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659.40000000000009</v>
      </c>
      <c r="BN54" s="64">
        <f t="shared" si="8"/>
        <v>659.40000000000009</v>
      </c>
      <c r="BO54" s="64">
        <f t="shared" si="9"/>
        <v>1.0606060606060606</v>
      </c>
      <c r="BP54" s="64">
        <f t="shared" si="10"/>
        <v>1.0606060606060606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172.40740740740739</v>
      </c>
      <c r="Y55" s="667">
        <f>IFERROR(Y49/H49,"0")+IFERROR(Y50/H50,"0")+IFERROR(Y51/H51,"0")+IFERROR(Y52/H52,"0")+IFERROR(Y53/H53,"0")+IFERROR(Y54/H54,"0")</f>
        <v>173</v>
      </c>
      <c r="Z55" s="667">
        <f>IFERROR(IF(Z49="",0,Z49),"0")+IFERROR(IF(Z50="",0,Z50),"0")+IFERROR(IF(Z51="",0,Z51),"0")+IFERROR(IF(Z52="",0,Z52),"0")+IFERROR(IF(Z53="",0,Z53),"0")+IFERROR(IF(Z54="",0,Z54),"0")</f>
        <v>1.8891399999999998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980</v>
      </c>
      <c r="Y56" s="667">
        <f>IFERROR(SUM(Y49:Y54),"0")</f>
        <v>986.40000000000009</v>
      </c>
      <c r="Z56" s="37"/>
      <c r="AA56" s="668"/>
      <c r="AB56" s="668"/>
      <c r="AC56" s="668"/>
    </row>
    <row r="57" spans="1:68" ht="14.25" customHeight="1" x14ac:dyDescent="0.25">
      <c r="A57" s="683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100</v>
      </c>
      <c r="Y58" s="666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270</v>
      </c>
      <c r="Y61" s="666">
        <f>IFERROR(IF(X61="",0,CEILING((X61/$H61),1)*$H61),"")</f>
        <v>270</v>
      </c>
      <c r="Z61" s="36">
        <f>IFERROR(IF(Y61=0,"",ROUNDUP(Y61/H61,0)*0.00651),"")</f>
        <v>0.65100000000000002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288</v>
      </c>
      <c r="BN61" s="64">
        <f>IFERROR(Y61*I61/H61,"0")</f>
        <v>288</v>
      </c>
      <c r="BO61" s="64">
        <f>IFERROR(1/J61*(X61/H61),"0")</f>
        <v>0.5494505494505495</v>
      </c>
      <c r="BP61" s="64">
        <f>IFERROR(1/J61*(Y61/H61),"0")</f>
        <v>0.5494505494505495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109.25925925925927</v>
      </c>
      <c r="Y62" s="667">
        <f>IFERROR(Y58/H58,"0")+IFERROR(Y59/H59,"0")+IFERROR(Y60/H60,"0")+IFERROR(Y61/H61,"0")</f>
        <v>110</v>
      </c>
      <c r="Z62" s="667">
        <f>IFERROR(IF(Z58="",0,Z58),"0")+IFERROR(IF(Z59="",0,Z59),"0")+IFERROR(IF(Z60="",0,Z60),"0")+IFERROR(IF(Z61="",0,Z61),"0")</f>
        <v>0.84079999999999999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370</v>
      </c>
      <c r="Y63" s="667">
        <f>IFERROR(SUM(Y58:Y61),"0")</f>
        <v>378</v>
      </c>
      <c r="Z63" s="37"/>
      <c r="AA63" s="668"/>
      <c r="AB63" s="668"/>
      <c r="AC63" s="668"/>
    </row>
    <row r="64" spans="1:68" ht="14.25" customHeight="1" x14ac:dyDescent="0.25">
      <c r="A64" s="683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60</v>
      </c>
      <c r="Y81" s="666">
        <f>IFERROR(IF(X81="",0,CEILING((X81/$H81),1)*$H81),"")</f>
        <v>67.2</v>
      </c>
      <c r="Z81" s="36">
        <f>IFERROR(IF(Y81=0,"",ROUNDUP(Y81/H81,0)*0.01898),"")</f>
        <v>0.15184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63.707142857142856</v>
      </c>
      <c r="BN81" s="64">
        <f>IFERROR(Y81*I81/H81,"0")</f>
        <v>71.352000000000004</v>
      </c>
      <c r="BO81" s="64">
        <f>IFERROR(1/J81*(X81/H81),"0")</f>
        <v>0.11160714285714285</v>
      </c>
      <c r="BP81" s="64">
        <f>IFERROR(1/J81*(Y81/H81),"0")</f>
        <v>0.125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7.1428571428571423</v>
      </c>
      <c r="Y83" s="667">
        <f>IFERROR(Y80/H80,"0")+IFERROR(Y81/H81,"0")+IFERROR(Y82/H82,"0")</f>
        <v>8</v>
      </c>
      <c r="Z83" s="667">
        <f>IFERROR(IF(Z80="",0,Z80),"0")+IFERROR(IF(Z81="",0,Z81),"0")+IFERROR(IF(Z82="",0,Z82),"0")</f>
        <v>0.15184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60</v>
      </c>
      <c r="Y84" s="667">
        <f>IFERROR(SUM(Y80:Y82),"0")</f>
        <v>67.2</v>
      </c>
      <c r="Z84" s="37"/>
      <c r="AA84" s="668"/>
      <c r="AB84" s="668"/>
      <c r="AC84" s="668"/>
    </row>
    <row r="85" spans="1:68" ht="16.5" customHeight="1" x14ac:dyDescent="0.25">
      <c r="A85" s="718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300</v>
      </c>
      <c r="Y87" s="666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450</v>
      </c>
      <c r="Y89" s="666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127.77777777777777</v>
      </c>
      <c r="Y90" s="667">
        <f>IFERROR(Y87/H87,"0")+IFERROR(Y88/H88,"0")+IFERROR(Y89/H89,"0")</f>
        <v>128</v>
      </c>
      <c r="Z90" s="667">
        <f>IFERROR(IF(Z87="",0,Z87),"0")+IFERROR(IF(Z88="",0,Z88),"0")+IFERROR(IF(Z89="",0,Z89),"0")</f>
        <v>1.43344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750</v>
      </c>
      <c r="Y91" s="667">
        <f>IFERROR(SUM(Y87:Y89),"0")</f>
        <v>752.40000000000009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270</v>
      </c>
      <c r="Y93" s="666">
        <f t="shared" ref="Y93:Y101" si="16">IFERROR(IF(X93="",0,CEILING((X93/$H93),1)*$H93),"")</f>
        <v>277.2</v>
      </c>
      <c r="Z93" s="36">
        <f>IFERROR(IF(Y93=0,"",ROUNDUP(Y93/H93,0)*0.01898),"")</f>
        <v>0.62634000000000001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286.68214285714288</v>
      </c>
      <c r="BN93" s="64">
        <f t="shared" ref="BN93:BN101" si="18">IFERROR(Y93*I93/H93,"0")</f>
        <v>294.327</v>
      </c>
      <c r="BO93" s="64">
        <f t="shared" ref="BO93:BO101" si="19">IFERROR(1/J93*(X93/H93),"0")</f>
        <v>0.50223214285714279</v>
      </c>
      <c r="BP93" s="64">
        <f t="shared" ref="BP93:BP101" si="20">IFERROR(1/J93*(Y93/H93),"0")</f>
        <v>0.515625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3" t="s">
        <v>195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199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2" t="s">
        <v>203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205</v>
      </c>
      <c r="Q98" s="672"/>
      <c r="R98" s="672"/>
      <c r="S98" s="672"/>
      <c r="T98" s="673"/>
      <c r="U98" s="34"/>
      <c r="V98" s="34"/>
      <c r="W98" s="35" t="s">
        <v>69</v>
      </c>
      <c r="X98" s="665">
        <v>675</v>
      </c>
      <c r="Y98" s="666">
        <f t="shared" si="16"/>
        <v>675</v>
      </c>
      <c r="Z98" s="36">
        <f>IFERROR(IF(Y98=0,"",ROUNDUP(Y98/H98,0)*0.00651),"")</f>
        <v>1.6274999999999999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737.99999999999989</v>
      </c>
      <c r="BN98" s="64">
        <f t="shared" si="18"/>
        <v>737.99999999999989</v>
      </c>
      <c r="BO98" s="64">
        <f t="shared" si="19"/>
        <v>1.3736263736263736</v>
      </c>
      <c r="BP98" s="64">
        <f t="shared" si="20"/>
        <v>1.3736263736263736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282.14285714285711</v>
      </c>
      <c r="Y102" s="667">
        <f>IFERROR(Y93/H93,"0")+IFERROR(Y94/H94,"0")+IFERROR(Y95/H95,"0")+IFERROR(Y96/H96,"0")+IFERROR(Y97/H97,"0")+IFERROR(Y98/H98,"0")+IFERROR(Y99/H99,"0")+IFERROR(Y100/H100,"0")+IFERROR(Y101/H101,"0")</f>
        <v>283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2.2538399999999998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945</v>
      </c>
      <c r="Y103" s="667">
        <f>IFERROR(SUM(Y93:Y101),"0")</f>
        <v>952.2</v>
      </c>
      <c r="Z103" s="37"/>
      <c r="AA103" s="668"/>
      <c r="AB103" s="668"/>
      <c r="AC103" s="668"/>
    </row>
    <row r="104" spans="1:68" ht="16.5" customHeight="1" x14ac:dyDescent="0.25">
      <c r="A104" s="718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270</v>
      </c>
      <c r="Y108" s="666">
        <f>IFERROR(IF(X108="",0,CEILING((X108/$H108),1)*$H108),"")</f>
        <v>270</v>
      </c>
      <c r="Z108" s="36">
        <f>IFERROR(IF(Y108=0,"",ROUNDUP(Y108/H108,0)*0.00902),"")</f>
        <v>0.54120000000000001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282.60000000000002</v>
      </c>
      <c r="BN108" s="64">
        <f>IFERROR(Y108*I108/H108,"0")</f>
        <v>282.60000000000002</v>
      </c>
      <c r="BO108" s="64">
        <f>IFERROR(1/J108*(X108/H108),"0")</f>
        <v>0.45454545454545459</v>
      </c>
      <c r="BP108" s="64">
        <f>IFERROR(1/J108*(Y108/H108),"0")</f>
        <v>0.45454545454545459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60</v>
      </c>
      <c r="Y110" s="667">
        <f>IFERROR(Y106/H106,"0")+IFERROR(Y107/H107,"0")+IFERROR(Y108/H108,"0")+IFERROR(Y109/H109,"0")</f>
        <v>60</v>
      </c>
      <c r="Z110" s="667">
        <f>IFERROR(IF(Z106="",0,Z106),"0")+IFERROR(IF(Z107="",0,Z107),"0")+IFERROR(IF(Z108="",0,Z108),"0")+IFERROR(IF(Z109="",0,Z109),"0")</f>
        <v>0.54120000000000001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270</v>
      </c>
      <c r="Y111" s="667">
        <f>IFERROR(SUM(Y106:Y109),"0")</f>
        <v>270</v>
      </c>
      <c r="Z111" s="37"/>
      <c r="AA111" s="668"/>
      <c r="AB111" s="668"/>
      <c r="AC111" s="668"/>
    </row>
    <row r="112" spans="1:68" ht="14.25" customHeight="1" x14ac:dyDescent="0.25">
      <c r="A112" s="683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9" t="s">
        <v>233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500</v>
      </c>
      <c r="Y121" s="666">
        <f t="shared" si="21"/>
        <v>504</v>
      </c>
      <c r="Z121" s="36">
        <f>IFERROR(IF(Y121=0,"",ROUNDUP(Y121/H121,0)*0.01898),"")</f>
        <v>1.1388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530.53571428571422</v>
      </c>
      <c r="BN121" s="64">
        <f t="shared" si="23"/>
        <v>534.78</v>
      </c>
      <c r="BO121" s="64">
        <f t="shared" si="24"/>
        <v>0.93005952380952372</v>
      </c>
      <c r="BP121" s="64">
        <f t="shared" si="25"/>
        <v>0.9375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7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540</v>
      </c>
      <c r="Y124" s="666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45</v>
      </c>
      <c r="Y126" s="666">
        <f t="shared" si="21"/>
        <v>45</v>
      </c>
      <c r="Z126" s="36">
        <f t="shared" si="26"/>
        <v>0.16275000000000001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49.499999999999993</v>
      </c>
      <c r="BN126" s="64">
        <f t="shared" si="23"/>
        <v>49.499999999999993</v>
      </c>
      <c r="BO126" s="64">
        <f t="shared" si="24"/>
        <v>0.13736263736263737</v>
      </c>
      <c r="BP126" s="64">
        <f t="shared" si="25"/>
        <v>0.13736263736263737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284.52380952380952</v>
      </c>
      <c r="Y128" s="667">
        <f>IFERROR(Y119/H119,"0")+IFERROR(Y120/H120,"0")+IFERROR(Y121/H121,"0")+IFERROR(Y122/H122,"0")+IFERROR(Y123/H123,"0")+IFERROR(Y124/H124,"0")+IFERROR(Y125/H125,"0")+IFERROR(Y126/H126,"0")+IFERROR(Y127/H127,"0")</f>
        <v>285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2.6035500000000003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1085</v>
      </c>
      <c r="Y129" s="667">
        <f>IFERROR(SUM(Y119:Y127),"0")</f>
        <v>1089</v>
      </c>
      <c r="Z129" s="37"/>
      <c r="AA129" s="668"/>
      <c r="AB129" s="668"/>
      <c r="AC129" s="668"/>
    </row>
    <row r="130" spans="1:68" ht="14.25" customHeight="1" x14ac:dyDescent="0.25">
      <c r="A130" s="683" t="s">
        <v>173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26.4</v>
      </c>
      <c r="Y132" s="666">
        <f>IFERROR(IF(X132="",0,CEILING((X132/$H132),1)*$H132),"")</f>
        <v>27.72</v>
      </c>
      <c r="Z132" s="36">
        <f>IFERROR(IF(Y132=0,"",ROUNDUP(Y132/H132,0)*0.00651),"")</f>
        <v>9.1139999999999999E-2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29.84</v>
      </c>
      <c r="BN132" s="64">
        <f>IFERROR(Y132*I132/H132,"0")</f>
        <v>31.332000000000001</v>
      </c>
      <c r="BO132" s="64">
        <f>IFERROR(1/J132*(X132/H132),"0")</f>
        <v>7.3260073260073263E-2</v>
      </c>
      <c r="BP132" s="64">
        <f>IFERROR(1/J132*(Y132/H132),"0")</f>
        <v>7.6923076923076927E-2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13.333333333333332</v>
      </c>
      <c r="Y133" s="667">
        <f>IFERROR(Y131/H131,"0")+IFERROR(Y132/H132,"0")</f>
        <v>14</v>
      </c>
      <c r="Z133" s="667">
        <f>IFERROR(IF(Z131="",0,Z131),"0")+IFERROR(IF(Z132="",0,Z132),"0")</f>
        <v>9.1139999999999999E-2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26.4</v>
      </c>
      <c r="Y134" s="667">
        <f>IFERROR(SUM(Y131:Y132),"0")</f>
        <v>27.72</v>
      </c>
      <c r="Z134" s="37"/>
      <c r="AA134" s="668"/>
      <c r="AB134" s="668"/>
      <c r="AC134" s="668"/>
    </row>
    <row r="135" spans="1:68" ht="16.5" customHeight="1" x14ac:dyDescent="0.25">
      <c r="A135" s="718" t="s">
        <v>257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80</v>
      </c>
      <c r="Y138" s="666">
        <f>IFERROR(IF(X138="",0,CEILING((X138/$H138),1)*$H138),"")</f>
        <v>80</v>
      </c>
      <c r="Z138" s="36">
        <f>IFERROR(IF(Y138=0,"",ROUNDUP(Y138/H138,0)*0.00651),"")</f>
        <v>0.16275000000000001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84.499999999999986</v>
      </c>
      <c r="BN138" s="64">
        <f>IFERROR(Y138*I138/H138,"0")</f>
        <v>84.499999999999986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25</v>
      </c>
      <c r="Y139" s="667">
        <f>IFERROR(Y137/H137,"0")+IFERROR(Y138/H138,"0")</f>
        <v>25</v>
      </c>
      <c r="Z139" s="667">
        <f>IFERROR(IF(Z137="",0,Z137),"0")+IFERROR(IF(Z138="",0,Z138),"0")</f>
        <v>0.16275000000000001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80</v>
      </c>
      <c r="Y140" s="667">
        <f>IFERROR(SUM(Y137:Y138),"0")</f>
        <v>80</v>
      </c>
      <c r="Z140" s="37"/>
      <c r="AA140" s="668"/>
      <c r="AB140" s="668"/>
      <c r="AC140" s="668"/>
    </row>
    <row r="141" spans="1:68" ht="14.25" customHeight="1" x14ac:dyDescent="0.25">
      <c r="A141" s="683" t="s">
        <v>147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38.5</v>
      </c>
      <c r="Y142" s="666">
        <f>IFERROR(IF(X142="",0,CEILING((X142/$H142),1)*$H142),"")</f>
        <v>39.199999999999996</v>
      </c>
      <c r="Z142" s="36">
        <f>IFERROR(IF(Y142=0,"",ROUNDUP(Y142/H142,0)*0.00651),"")</f>
        <v>9.1139999999999999E-2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42.185000000000009</v>
      </c>
      <c r="BN142" s="64">
        <f>IFERROR(Y142*I142/H142,"0")</f>
        <v>42.951999999999998</v>
      </c>
      <c r="BO142" s="64">
        <f>IFERROR(1/J142*(X142/H142),"0")</f>
        <v>7.5549450549450559E-2</v>
      </c>
      <c r="BP142" s="64">
        <f>IFERROR(1/J142*(Y142/H142),"0")</f>
        <v>7.6923076923076927E-2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13.75</v>
      </c>
      <c r="Y144" s="667">
        <f>IFERROR(Y142/H142,"0")+IFERROR(Y143/H143,"0")</f>
        <v>14</v>
      </c>
      <c r="Z144" s="667">
        <f>IFERROR(IF(Z142="",0,Z142),"0")+IFERROR(IF(Z143="",0,Z143),"0")</f>
        <v>9.1139999999999999E-2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38.5</v>
      </c>
      <c r="Y145" s="667">
        <f>IFERROR(SUM(Y142:Y143),"0")</f>
        <v>39.199999999999996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36.299999999999997</v>
      </c>
      <c r="Y148" s="666">
        <f>IFERROR(IF(X148="",0,CEILING((X148/$H148),1)*$H148),"")</f>
        <v>36.96</v>
      </c>
      <c r="Z148" s="36">
        <f>IFERROR(IF(Y148=0,"",ROUNDUP(Y148/H148,0)*0.00651),"")</f>
        <v>9.1139999999999999E-2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39.984999999999992</v>
      </c>
      <c r="BN148" s="64">
        <f>IFERROR(Y148*I148/H148,"0")</f>
        <v>40.711999999999996</v>
      </c>
      <c r="BO148" s="64">
        <f>IFERROR(1/J148*(X148/H148),"0")</f>
        <v>7.5549450549450545E-2</v>
      </c>
      <c r="BP148" s="64">
        <f>IFERROR(1/J148*(Y148/H148),"0")</f>
        <v>7.6923076923076927E-2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13.749999999999998</v>
      </c>
      <c r="Y149" s="667">
        <f>IFERROR(Y147/H147,"0")+IFERROR(Y148/H148,"0")</f>
        <v>14</v>
      </c>
      <c r="Z149" s="667">
        <f>IFERROR(IF(Z147="",0,Z147),"0")+IFERROR(IF(Z148="",0,Z148),"0")</f>
        <v>9.1139999999999999E-2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36.299999999999997</v>
      </c>
      <c r="Y150" s="667">
        <f>IFERROR(SUM(Y147:Y148),"0")</f>
        <v>36.96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147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286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136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3.3</v>
      </c>
      <c r="Y170" s="666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3.4666666666666668</v>
      </c>
      <c r="BN170" s="64">
        <f>IFERROR(Y170*I170/H170,"0")</f>
        <v>4.16</v>
      </c>
      <c r="BO170" s="64">
        <f>IFERROR(1/J170*(X170/H170),"0")</f>
        <v>7.1225071225071226E-3</v>
      </c>
      <c r="BP170" s="64">
        <f>IFERROR(1/J170*(Y170/H170),"0")</f>
        <v>8.5470085470085479E-3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1.6666666666666665</v>
      </c>
      <c r="Y171" s="667">
        <f>IFERROR(Y170/H170,"0")</f>
        <v>2</v>
      </c>
      <c r="Z171" s="667">
        <f>IFERROR(IF(Z170="",0,Z170),"0")</f>
        <v>1.004E-2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3.3</v>
      </c>
      <c r="Y172" s="667">
        <f>IFERROR(SUM(Y170:Y170),"0")</f>
        <v>3.96</v>
      </c>
      <c r="Z172" s="37"/>
      <c r="AA172" s="668"/>
      <c r="AB172" s="668"/>
      <c r="AC172" s="668"/>
    </row>
    <row r="173" spans="1:68" ht="14.25" customHeight="1" x14ac:dyDescent="0.25">
      <c r="A173" s="683" t="s">
        <v>147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80</v>
      </c>
      <c r="Y174" s="666">
        <f t="shared" ref="Y174:Y182" si="27">IFERROR(IF(X174="",0,CEILING((X174/$H174),1)*$H174),"")</f>
        <v>84</v>
      </c>
      <c r="Z174" s="36">
        <f>IFERROR(IF(Y174=0,"",ROUNDUP(Y174/H174,0)*0.00902),"")</f>
        <v>0.1804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85.142857142857125</v>
      </c>
      <c r="BN174" s="64">
        <f t="shared" ref="BN174:BN182" si="29">IFERROR(Y174*I174/H174,"0")</f>
        <v>89.399999999999991</v>
      </c>
      <c r="BO174" s="64">
        <f t="shared" ref="BO174:BO182" si="30">IFERROR(1/J174*(X174/H174),"0")</f>
        <v>0.14430014430014429</v>
      </c>
      <c r="BP174" s="64">
        <f t="shared" ref="BP174:BP182" si="31">IFERROR(1/J174*(Y174/H174),"0")</f>
        <v>0.15151515151515152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80</v>
      </c>
      <c r="Y176" s="666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87.5</v>
      </c>
      <c r="Y177" s="666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92.916666666666657</v>
      </c>
      <c r="BN177" s="64">
        <f t="shared" si="29"/>
        <v>93.66</v>
      </c>
      <c r="BO177" s="64">
        <f t="shared" si="30"/>
        <v>0.17806267806267806</v>
      </c>
      <c r="BP177" s="64">
        <f t="shared" si="31"/>
        <v>0.17948717948717952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122.5</v>
      </c>
      <c r="Y178" s="666">
        <f t="shared" si="27"/>
        <v>123.9</v>
      </c>
      <c r="Z178" s="36">
        <f>IFERROR(IF(Y178=0,"",ROUNDUP(Y178/H178,0)*0.00502),"")</f>
        <v>0.29618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130.08333333333334</v>
      </c>
      <c r="BN178" s="64">
        <f t="shared" si="29"/>
        <v>131.57</v>
      </c>
      <c r="BO178" s="64">
        <f t="shared" si="30"/>
        <v>0.2492877492877493</v>
      </c>
      <c r="BP178" s="64">
        <f t="shared" si="31"/>
        <v>0.25213675213675218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7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210</v>
      </c>
      <c r="Y180" s="666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242.85714285714283</v>
      </c>
      <c r="Y183" s="667">
        <f>IFERROR(Y174/H174,"0")+IFERROR(Y175/H175,"0")+IFERROR(Y176/H176,"0")+IFERROR(Y177/H177,"0")+IFERROR(Y178/H178,"0")+IFERROR(Y179/H179,"0")+IFERROR(Y180/H180,"0")+IFERROR(Y181/H181,"0")+IFERROR(Y182/H182,"0")</f>
        <v>246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1.41492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600</v>
      </c>
      <c r="Y184" s="667">
        <f>IFERROR(SUM(Y174:Y182),"0")</f>
        <v>611.1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7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320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321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322</v>
      </c>
      <c r="B191" s="54" t="s">
        <v>323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324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136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327</v>
      </c>
      <c r="B196" s="54" t="s">
        <v>328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329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329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147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150</v>
      </c>
      <c r="Y201" s="666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334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120</v>
      </c>
      <c r="Y202" s="666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337</v>
      </c>
      <c r="AG202" s="64"/>
      <c r="AJ202" s="68"/>
      <c r="AK202" s="68">
        <v>0</v>
      </c>
      <c r="BB202" s="254" t="s">
        <v>1</v>
      </c>
      <c r="BM202" s="64">
        <f t="shared" si="33"/>
        <v>124.66666666666667</v>
      </c>
      <c r="BN202" s="64">
        <f t="shared" si="34"/>
        <v>129.03</v>
      </c>
      <c r="BO202" s="64">
        <f t="shared" si="35"/>
        <v>0.16835016835016836</v>
      </c>
      <c r="BP202" s="64">
        <f t="shared" si="36"/>
        <v>0.17424242424242425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300</v>
      </c>
      <c r="Y203" s="666">
        <f t="shared" si="32"/>
        <v>302.40000000000003</v>
      </c>
      <c r="Z203" s="36">
        <f>IFERROR(IF(Y203=0,"",ROUNDUP(Y203/H203,0)*0.00902),"")</f>
        <v>0.50512000000000001</v>
      </c>
      <c r="AA203" s="56"/>
      <c r="AB203" s="57"/>
      <c r="AC203" s="255" t="s">
        <v>340</v>
      </c>
      <c r="AG203" s="64"/>
      <c r="AJ203" s="68"/>
      <c r="AK203" s="68">
        <v>0</v>
      </c>
      <c r="BB203" s="256" t="s">
        <v>1</v>
      </c>
      <c r="BM203" s="64">
        <f t="shared" si="33"/>
        <v>311.66666666666663</v>
      </c>
      <c r="BN203" s="64">
        <f t="shared" si="34"/>
        <v>314.16000000000003</v>
      </c>
      <c r="BO203" s="64">
        <f t="shared" si="35"/>
        <v>0.42087542087542085</v>
      </c>
      <c r="BP203" s="64">
        <f t="shared" si="36"/>
        <v>0.42424242424242425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150</v>
      </c>
      <c r="Y204" s="666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343</v>
      </c>
      <c r="AG204" s="64"/>
      <c r="AJ204" s="68"/>
      <c r="AK204" s="68">
        <v>0</v>
      </c>
      <c r="BB204" s="258" t="s">
        <v>1</v>
      </c>
      <c r="BM204" s="64">
        <f t="shared" si="33"/>
        <v>155.83333333333331</v>
      </c>
      <c r="BN204" s="64">
        <f t="shared" si="34"/>
        <v>157.08000000000001</v>
      </c>
      <c r="BO204" s="64">
        <f t="shared" si="35"/>
        <v>0.21043771043771042</v>
      </c>
      <c r="BP204" s="64">
        <f t="shared" si="36"/>
        <v>0.21212121212121213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334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36</v>
      </c>
      <c r="Y206" s="666">
        <f t="shared" si="32"/>
        <v>36</v>
      </c>
      <c r="Z206" s="36">
        <f>IFERROR(IF(Y206=0,"",ROUNDUP(Y206/H206,0)*0.00502),"")</f>
        <v>0.1004</v>
      </c>
      <c r="AA206" s="56"/>
      <c r="AB206" s="57"/>
      <c r="AC206" s="261" t="s">
        <v>337</v>
      </c>
      <c r="AG206" s="64"/>
      <c r="AJ206" s="68"/>
      <c r="AK206" s="68">
        <v>0</v>
      </c>
      <c r="BB206" s="262" t="s">
        <v>1</v>
      </c>
      <c r="BM206" s="64">
        <f t="shared" si="33"/>
        <v>37.999999999999993</v>
      </c>
      <c r="BN206" s="64">
        <f t="shared" si="34"/>
        <v>37.999999999999993</v>
      </c>
      <c r="BO206" s="64">
        <f t="shared" si="35"/>
        <v>8.5470085470085472E-2</v>
      </c>
      <c r="BP206" s="64">
        <f t="shared" si="36"/>
        <v>8.5470085470085472E-2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75</v>
      </c>
      <c r="Y207" s="666">
        <f t="shared" si="32"/>
        <v>75.600000000000009</v>
      </c>
      <c r="Z207" s="36">
        <f>IFERROR(IF(Y207=0,"",ROUNDUP(Y207/H207,0)*0.00502),"")</f>
        <v>0.21084</v>
      </c>
      <c r="AA207" s="56"/>
      <c r="AB207" s="57"/>
      <c r="AC207" s="263" t="s">
        <v>340</v>
      </c>
      <c r="AG207" s="64"/>
      <c r="AJ207" s="68"/>
      <c r="AK207" s="68">
        <v>0</v>
      </c>
      <c r="BB207" s="264" t="s">
        <v>1</v>
      </c>
      <c r="BM207" s="64">
        <f t="shared" si="33"/>
        <v>79.166666666666671</v>
      </c>
      <c r="BN207" s="64">
        <f t="shared" si="34"/>
        <v>79.800000000000011</v>
      </c>
      <c r="BO207" s="64">
        <f t="shared" si="35"/>
        <v>0.17806267806267806</v>
      </c>
      <c r="BP207" s="64">
        <f t="shared" si="36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45</v>
      </c>
      <c r="Y208" s="666">
        <f t="shared" si="32"/>
        <v>45</v>
      </c>
      <c r="Z208" s="36">
        <f>IFERROR(IF(Y208=0,"",ROUNDUP(Y208/H208,0)*0.00502),"")</f>
        <v>0.1255</v>
      </c>
      <c r="AA208" s="56"/>
      <c r="AB208" s="57"/>
      <c r="AC208" s="265" t="s">
        <v>343</v>
      </c>
      <c r="AG208" s="64"/>
      <c r="AJ208" s="68"/>
      <c r="AK208" s="68">
        <v>0</v>
      </c>
      <c r="BB208" s="266" t="s">
        <v>1</v>
      </c>
      <c r="BM208" s="64">
        <f t="shared" si="33"/>
        <v>47.5</v>
      </c>
      <c r="BN208" s="64">
        <f t="shared" si="34"/>
        <v>47.5</v>
      </c>
      <c r="BO208" s="64">
        <f t="shared" si="35"/>
        <v>0.10683760683760685</v>
      </c>
      <c r="BP208" s="64">
        <f t="shared" si="36"/>
        <v>0.10683760683760685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270</v>
      </c>
      <c r="Y209" s="667">
        <f>IFERROR(Y201/H201,"0")+IFERROR(Y202/H202,"0")+IFERROR(Y203/H203,"0")+IFERROR(Y204/H204,"0")+IFERROR(Y205/H205,"0")+IFERROR(Y206/H206,"0")+IFERROR(Y207/H207,"0")+IFERROR(Y208/H208,"0")</f>
        <v>272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1.90544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966</v>
      </c>
      <c r="Y210" s="667">
        <f>IFERROR(SUM(Y201:Y208),"0")</f>
        <v>975.60000000000014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354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357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358</v>
      </c>
      <c r="B214" s="54" t="s">
        <v>359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120</v>
      </c>
      <c r="Y214" s="666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360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280</v>
      </c>
      <c r="Y215" s="666">
        <f t="shared" si="37"/>
        <v>280.8</v>
      </c>
      <c r="Z215" s="36">
        <f t="shared" ref="Z215:Z220" si="42">IFERROR(IF(Y215=0,"",ROUNDUP(Y215/H215,0)*0.00651),"")</f>
        <v>0.76167000000000007</v>
      </c>
      <c r="AA215" s="56"/>
      <c r="AB215" s="57"/>
      <c r="AC215" s="273" t="s">
        <v>354</v>
      </c>
      <c r="AG215" s="64"/>
      <c r="AJ215" s="68"/>
      <c r="AK215" s="68">
        <v>0</v>
      </c>
      <c r="BB215" s="274" t="s">
        <v>1</v>
      </c>
      <c r="BM215" s="64">
        <f t="shared" si="38"/>
        <v>311.5</v>
      </c>
      <c r="BN215" s="64">
        <f t="shared" si="39"/>
        <v>312.39</v>
      </c>
      <c r="BO215" s="64">
        <f t="shared" si="40"/>
        <v>0.64102564102564108</v>
      </c>
      <c r="BP215" s="64">
        <f t="shared" si="41"/>
        <v>0.64285714285714302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365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260</v>
      </c>
      <c r="Y217" s="666">
        <f t="shared" si="37"/>
        <v>261.59999999999997</v>
      </c>
      <c r="Z217" s="36">
        <f t="shared" si="42"/>
        <v>0.70959000000000005</v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 t="shared" si="38"/>
        <v>287.3</v>
      </c>
      <c r="BN217" s="64">
        <f t="shared" si="39"/>
        <v>289.06799999999998</v>
      </c>
      <c r="BO217" s="64">
        <f t="shared" si="40"/>
        <v>0.59523809523809534</v>
      </c>
      <c r="BP217" s="64">
        <f t="shared" si="41"/>
        <v>0.59890109890109888</v>
      </c>
    </row>
    <row r="218" spans="1:68" ht="27" customHeight="1" x14ac:dyDescent="0.25">
      <c r="A218" s="54" t="s">
        <v>368</v>
      </c>
      <c r="B218" s="54" t="s">
        <v>369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360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140</v>
      </c>
      <c r="Y219" s="666">
        <f t="shared" si="37"/>
        <v>141.6</v>
      </c>
      <c r="Z219" s="36">
        <f t="shared" si="42"/>
        <v>0.38408999999999999</v>
      </c>
      <c r="AA219" s="56"/>
      <c r="AB219" s="57"/>
      <c r="AC219" s="281" t="s">
        <v>372</v>
      </c>
      <c r="AG219" s="64"/>
      <c r="AJ219" s="68"/>
      <c r="AK219" s="68">
        <v>0</v>
      </c>
      <c r="BB219" s="282" t="s">
        <v>1</v>
      </c>
      <c r="BM219" s="64">
        <f t="shared" si="38"/>
        <v>154.70000000000002</v>
      </c>
      <c r="BN219" s="64">
        <f t="shared" si="39"/>
        <v>156.46800000000002</v>
      </c>
      <c r="BO219" s="64">
        <f t="shared" si="40"/>
        <v>0.32051282051282054</v>
      </c>
      <c r="BP219" s="64">
        <f t="shared" si="41"/>
        <v>0.32417582417582419</v>
      </c>
    </row>
    <row r="220" spans="1:68" ht="27" customHeight="1" x14ac:dyDescent="0.25">
      <c r="A220" s="54" t="s">
        <v>373</v>
      </c>
      <c r="B220" s="54" t="s">
        <v>374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200</v>
      </c>
      <c r="Y220" s="666">
        <f t="shared" si="37"/>
        <v>201.6</v>
      </c>
      <c r="Z220" s="36">
        <f t="shared" si="42"/>
        <v>0.54683999999999999</v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38"/>
        <v>221.50000000000003</v>
      </c>
      <c r="BN220" s="64">
        <f t="shared" si="39"/>
        <v>223.27200000000002</v>
      </c>
      <c r="BO220" s="64">
        <f t="shared" si="40"/>
        <v>0.45787545787545797</v>
      </c>
      <c r="BP220" s="64">
        <f t="shared" si="41"/>
        <v>0.46153846153846156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380.45977011494256</v>
      </c>
      <c r="Y221" s="667">
        <f>IFERROR(Y212/H212,"0")+IFERROR(Y213/H213,"0")+IFERROR(Y214/H214,"0")+IFERROR(Y215/H215,"0")+IFERROR(Y216/H216,"0")+IFERROR(Y217/H217,"0")+IFERROR(Y218/H218,"0")+IFERROR(Y219/H219,"0")+IFERROR(Y220/H220,"0")</f>
        <v>383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2.66791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1000</v>
      </c>
      <c r="Y222" s="667">
        <f>IFERROR(SUM(Y212:Y220),"0")</f>
        <v>1007.4000000000001</v>
      </c>
      <c r="Z222" s="37"/>
      <c r="AA222" s="668"/>
      <c r="AB222" s="668"/>
      <c r="AC222" s="668"/>
    </row>
    <row r="223" spans="1:68" ht="14.25" customHeight="1" x14ac:dyDescent="0.25">
      <c r="A223" s="683" t="s">
        <v>173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376</v>
      </c>
      <c r="B224" s="54" t="s">
        <v>377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24</v>
      </c>
      <c r="Y224" s="66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27" customHeight="1" x14ac:dyDescent="0.25">
      <c r="A225" s="54" t="s">
        <v>379</v>
      </c>
      <c r="B225" s="54" t="s">
        <v>380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60</v>
      </c>
      <c r="Y225" s="666">
        <f>IFERROR(IF(X225="",0,CEILING((X225/$H225),1)*$H225),"")</f>
        <v>60</v>
      </c>
      <c r="Z225" s="36">
        <f>IFERROR(IF(Y225=0,"",ROUNDUP(Y225/H225,0)*0.00651),"")</f>
        <v>0.16275000000000001</v>
      </c>
      <c r="AA225" s="56"/>
      <c r="AB225" s="57"/>
      <c r="AC225" s="287" t="s">
        <v>381</v>
      </c>
      <c r="AG225" s="64"/>
      <c r="AJ225" s="68"/>
      <c r="AK225" s="68">
        <v>0</v>
      </c>
      <c r="BB225" s="288" t="s">
        <v>1</v>
      </c>
      <c r="BM225" s="64">
        <f>IFERROR(X225*I225/H225,"0")</f>
        <v>66.300000000000011</v>
      </c>
      <c r="BN225" s="64">
        <f>IFERROR(Y225*I225/H225,"0")</f>
        <v>66.300000000000011</v>
      </c>
      <c r="BO225" s="64">
        <f>IFERROR(1/J225*(X225/H225),"0")</f>
        <v>0.13736263736263737</v>
      </c>
      <c r="BP225" s="64">
        <f>IFERROR(1/J225*(Y225/H225),"0")</f>
        <v>0.13736263736263737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35</v>
      </c>
      <c r="Y226" s="667">
        <f>IFERROR(Y224/H224,"0")+IFERROR(Y225/H225,"0")</f>
        <v>35</v>
      </c>
      <c r="Z226" s="667">
        <f>IFERROR(IF(Z224="",0,Z224),"0")+IFERROR(IF(Z225="",0,Z225),"0")</f>
        <v>0.22785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84</v>
      </c>
      <c r="Y227" s="667">
        <f>IFERROR(SUM(Y224:Y225),"0")</f>
        <v>84</v>
      </c>
      <c r="Z227" s="37"/>
      <c r="AA227" s="668"/>
      <c r="AB227" s="668"/>
      <c r="AC227" s="668"/>
    </row>
    <row r="228" spans="1:68" ht="16.5" customHeight="1" x14ac:dyDescent="0.25">
      <c r="A228" s="718" t="s">
        <v>382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383</v>
      </c>
      <c r="B230" s="54" t="s">
        <v>384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385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383</v>
      </c>
      <c r="B231" s="54" t="s">
        <v>386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387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388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389</v>
      </c>
      <c r="B232" s="54" t="s">
        <v>390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391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392</v>
      </c>
      <c r="B233" s="54" t="s">
        <v>393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70</v>
      </c>
      <c r="Y233" s="666">
        <f t="shared" si="43"/>
        <v>81.2</v>
      </c>
      <c r="Z233" s="36">
        <f>IFERROR(IF(Y233=0,"",ROUNDUP(Y233/H233,0)*0.01898),"")</f>
        <v>0.13286000000000001</v>
      </c>
      <c r="AA233" s="56"/>
      <c r="AB233" s="57"/>
      <c r="AC233" s="295" t="s">
        <v>394</v>
      </c>
      <c r="AG233" s="64"/>
      <c r="AJ233" s="68"/>
      <c r="AK233" s="68">
        <v>0</v>
      </c>
      <c r="BB233" s="296" t="s">
        <v>1</v>
      </c>
      <c r="BM233" s="64">
        <f t="shared" si="44"/>
        <v>72.625</v>
      </c>
      <c r="BN233" s="64">
        <f t="shared" si="45"/>
        <v>84.245000000000005</v>
      </c>
      <c r="BO233" s="64">
        <f t="shared" si="46"/>
        <v>9.4288793103448273E-2</v>
      </c>
      <c r="BP233" s="64">
        <f t="shared" si="47"/>
        <v>0.10937500000000001</v>
      </c>
    </row>
    <row r="234" spans="1:68" ht="27" customHeight="1" x14ac:dyDescent="0.25">
      <c r="A234" s="54" t="s">
        <v>392</v>
      </c>
      <c r="B234" s="54" t="s">
        <v>395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387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388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398</v>
      </c>
      <c r="B236" s="54" t="s">
        <v>399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391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400</v>
      </c>
      <c r="B237" s="54" t="s">
        <v>401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394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6.0344827586206895</v>
      </c>
      <c r="Y238" s="667">
        <f>IFERROR(Y230/H230,"0")+IFERROR(Y231/H231,"0")+IFERROR(Y232/H232,"0")+IFERROR(Y233/H233,"0")+IFERROR(Y234/H234,"0")+IFERROR(Y235/H235,"0")+IFERROR(Y236/H236,"0")+IFERROR(Y237/H237,"0")</f>
        <v>7.0000000000000009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0.13286000000000001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70</v>
      </c>
      <c r="Y239" s="667">
        <f>IFERROR(SUM(Y230:Y237),"0")</f>
        <v>81.2</v>
      </c>
      <c r="Z239" s="37"/>
      <c r="AA239" s="668"/>
      <c r="AB239" s="668"/>
      <c r="AC239" s="668"/>
    </row>
    <row r="240" spans="1:68" ht="14.25" customHeight="1" x14ac:dyDescent="0.25">
      <c r="A240" s="683" t="s">
        <v>136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402</v>
      </c>
      <c r="B241" s="54" t="s">
        <v>403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">
        <v>404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402</v>
      </c>
      <c r="B242" s="54" t="s">
        <v>406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407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408</v>
      </c>
      <c r="B246" s="54" t="s">
        <v>409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7" t="s">
        <v>410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411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412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413</v>
      </c>
      <c r="B250" s="54" t="s">
        <v>414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1" t="s">
        <v>415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416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417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418</v>
      </c>
      <c r="B255" s="54" t="s">
        <v>419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420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423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421</v>
      </c>
      <c r="B257" s="54" t="s">
        <v>424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387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425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426</v>
      </c>
      <c r="B258" s="54" t="s">
        <v>427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428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429</v>
      </c>
      <c r="B259" s="54" t="s">
        <v>430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431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432</v>
      </c>
      <c r="B260" s="54" t="s">
        <v>433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434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435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436</v>
      </c>
      <c r="B265" s="54" t="s">
        <v>437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438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439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444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447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448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449</v>
      </c>
      <c r="B277" s="54" t="s">
        <v>450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451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452</v>
      </c>
      <c r="B278" s="54" t="s">
        <v>453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454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455</v>
      </c>
      <c r="B279" s="54" t="s">
        <v>456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80</v>
      </c>
      <c r="Y279" s="666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451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457</v>
      </c>
      <c r="B280" s="54" t="s">
        <v>458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240</v>
      </c>
      <c r="Y280" s="666">
        <f>IFERROR(IF(X280="",0,CEILING((X280/$H280),1)*$H280),"")</f>
        <v>240</v>
      </c>
      <c r="Z280" s="36">
        <f>IFERROR(IF(Y280=0,"",ROUNDUP(Y280/H280,0)*0.00651),"")</f>
        <v>0.65100000000000002</v>
      </c>
      <c r="AA280" s="56"/>
      <c r="AB280" s="57"/>
      <c r="AC280" s="339" t="s">
        <v>459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258.00000000000006</v>
      </c>
      <c r="BN280" s="64">
        <f>IFERROR(Y280*I280/H280,"0")</f>
        <v>258.00000000000006</v>
      </c>
      <c r="BO280" s="64">
        <f>IFERROR(1/J280*(X280/H280),"0")</f>
        <v>0.5494505494505495</v>
      </c>
      <c r="BP280" s="64">
        <f>IFERROR(1/J280*(Y280/H280),"0")</f>
        <v>0.5494505494505495</v>
      </c>
    </row>
    <row r="281" spans="1:68" ht="27" customHeight="1" x14ac:dyDescent="0.25">
      <c r="A281" s="54" t="s">
        <v>460</v>
      </c>
      <c r="B281" s="54" t="s">
        <v>461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454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133.33333333333334</v>
      </c>
      <c r="Y282" s="667">
        <f>IFERROR(Y277/H277,"0")+IFERROR(Y278/H278,"0")+IFERROR(Y279/H279,"0")+IFERROR(Y280/H280,"0")+IFERROR(Y281/H281,"0")</f>
        <v>134</v>
      </c>
      <c r="Z282" s="667">
        <f>IFERROR(IF(Z277="",0,Z277),"0")+IFERROR(IF(Z278="",0,Z278),"0")+IFERROR(IF(Z279="",0,Z279),"0")+IFERROR(IF(Z280="",0,Z280),"0")+IFERROR(IF(Z281="",0,Z281),"0")</f>
        <v>0.87234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320</v>
      </c>
      <c r="Y283" s="667">
        <f>IFERROR(SUM(Y277:Y281),"0")</f>
        <v>321.60000000000002</v>
      </c>
      <c r="Z283" s="37"/>
      <c r="AA283" s="668"/>
      <c r="AB283" s="668"/>
      <c r="AC283" s="668"/>
    </row>
    <row r="284" spans="1:68" ht="16.5" customHeight="1" x14ac:dyDescent="0.25">
      <c r="A284" s="718" t="s">
        <v>462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463</v>
      </c>
      <c r="B286" s="54" t="s">
        <v>464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465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147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466</v>
      </c>
      <c r="B290" s="54" t="s">
        <v>467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468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469</v>
      </c>
      <c r="B294" s="54" t="s">
        <v>470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471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472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473</v>
      </c>
      <c r="B299" s="54" t="s">
        <v>474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475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476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477</v>
      </c>
      <c r="B304" s="54" t="s">
        <v>478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438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147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479</v>
      </c>
      <c r="B308" s="54" t="s">
        <v>480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175</v>
      </c>
      <c r="Y308" s="666">
        <f>IFERROR(IF(X308="",0,CEILING((X308/$H308),1)*$H308),"")</f>
        <v>176.4</v>
      </c>
      <c r="Z308" s="36">
        <f>IFERROR(IF(Y308=0,"",ROUNDUP(Y308/H308,0)*0.00502),"")</f>
        <v>0.42168</v>
      </c>
      <c r="AA308" s="56"/>
      <c r="AB308" s="57"/>
      <c r="AC308" s="353" t="s">
        <v>481</v>
      </c>
      <c r="AG308" s="64"/>
      <c r="AJ308" s="68"/>
      <c r="AK308" s="68">
        <v>0</v>
      </c>
      <c r="BB308" s="354" t="s">
        <v>1</v>
      </c>
      <c r="BM308" s="64">
        <f>IFERROR(X308*I308/H308,"0")</f>
        <v>183.33333333333334</v>
      </c>
      <c r="BN308" s="64">
        <f>IFERROR(Y308*I308/H308,"0")</f>
        <v>184.8</v>
      </c>
      <c r="BO308" s="64">
        <f>IFERROR(1/J308*(X308/H308),"0")</f>
        <v>0.35612535612535612</v>
      </c>
      <c r="BP308" s="64">
        <f>IFERROR(1/J308*(Y308/H308),"0")</f>
        <v>0.35897435897435903</v>
      </c>
    </row>
    <row r="309" spans="1:68" ht="27" customHeight="1" x14ac:dyDescent="0.25">
      <c r="A309" s="54" t="s">
        <v>482</v>
      </c>
      <c r="B309" s="54" t="s">
        <v>483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481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83.333333333333329</v>
      </c>
      <c r="Y310" s="667">
        <f>IFERROR(Y308/H308,"0")+IFERROR(Y309/H309,"0")</f>
        <v>84</v>
      </c>
      <c r="Z310" s="667">
        <f>IFERROR(IF(Z308="",0,Z308),"0")+IFERROR(IF(Z309="",0,Z309),"0")</f>
        <v>0.42168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175</v>
      </c>
      <c r="Y311" s="667">
        <f>IFERROR(SUM(Y308:Y309),"0")</f>
        <v>176.4</v>
      </c>
      <c r="Z311" s="37"/>
      <c r="AA311" s="668"/>
      <c r="AB311" s="668"/>
      <c r="AC311" s="668"/>
    </row>
    <row r="312" spans="1:68" ht="16.5" customHeight="1" x14ac:dyDescent="0.25">
      <c r="A312" s="718" t="s">
        <v>484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485</v>
      </c>
      <c r="B314" s="54" t="s">
        <v>486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487</v>
      </c>
      <c r="AB314" s="57"/>
      <c r="AC314" s="357" t="s">
        <v>488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489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490</v>
      </c>
      <c r="B319" s="54" t="s">
        <v>491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492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493</v>
      </c>
      <c r="B320" s="54" t="s">
        <v>494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495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496</v>
      </c>
      <c r="AG320" s="64"/>
      <c r="AJ320" s="68" t="s">
        <v>497</v>
      </c>
      <c r="AK320" s="68">
        <v>86.4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493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387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496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147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30</v>
      </c>
      <c r="Y343" s="666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250</v>
      </c>
      <c r="Y344" s="666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10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36.81318681318681</v>
      </c>
      <c r="Y346" s="667">
        <f>IFERROR(Y343/H343,"0")+IFERROR(Y344/H344,"0")+IFERROR(Y345/H345,"0")</f>
        <v>39</v>
      </c>
      <c r="Z346" s="667">
        <f>IFERROR(IF(Z343="",0,Z343),"0")+IFERROR(IF(Z344="",0,Z344),"0")+IFERROR(IF(Z345="",0,Z345),"0")</f>
        <v>0.74021999999999999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290</v>
      </c>
      <c r="Y347" s="667">
        <f>IFERROR(SUM(Y343:Y345),"0")</f>
        <v>307.8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147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27</v>
      </c>
      <c r="Y363" s="666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15</v>
      </c>
      <c r="Y364" s="667">
        <f>IFERROR(Y363/H363,"0")</f>
        <v>15</v>
      </c>
      <c r="Z364" s="667">
        <f>IFERROR(IF(Z363="",0,Z363),"0")</f>
        <v>9.7650000000000001E-2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27</v>
      </c>
      <c r="Y365" s="667">
        <f>IFERROR(SUM(Y363:Y363),"0")</f>
        <v>27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770</v>
      </c>
      <c r="Y368" s="666">
        <f>IFERROR(IF(X368="",0,CEILING((X368/$H368),1)*$H368),"")</f>
        <v>770.7</v>
      </c>
      <c r="Z368" s="36">
        <f>IFERROR(IF(Y368=0,"",ROUNDUP(Y368/H368,0)*0.00651),"")</f>
        <v>2.38917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862.4</v>
      </c>
      <c r="BN368" s="64">
        <f>IFERROR(Y368*I368/H368,"0")</f>
        <v>863.18399999999997</v>
      </c>
      <c r="BO368" s="64">
        <f>IFERROR(1/J368*(X368/H368),"0")</f>
        <v>2.0146520146520146</v>
      </c>
      <c r="BP368" s="64">
        <f>IFERROR(1/J368*(Y368/H368),"0")</f>
        <v>2.0164835164835164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616.66666666666663</v>
      </c>
      <c r="Y370" s="667">
        <f>IFERROR(Y367/H367,"0")+IFERROR(Y368/H368,"0")+IFERROR(Y369/H369,"0")</f>
        <v>617</v>
      </c>
      <c r="Z370" s="667">
        <f>IFERROR(IF(Z367="",0,Z367),"0")+IFERROR(IF(Z368="",0,Z368),"0")+IFERROR(IF(Z369="",0,Z369),"0")</f>
        <v>4.0166699999999995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1295</v>
      </c>
      <c r="Y371" s="667">
        <f>IFERROR(SUM(Y367:Y369),"0")</f>
        <v>1295.7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1000</v>
      </c>
      <c r="Y375" s="666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582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387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800</v>
      </c>
      <c r="Y377" s="666">
        <f t="shared" si="58"/>
        <v>810</v>
      </c>
      <c r="Z377" s="36">
        <f>IFERROR(IF(Y377=0,"",ROUNDUP(Y377/H377,0)*0.02175),"")</f>
        <v>1.1744999999999999</v>
      </c>
      <c r="AA377" s="56"/>
      <c r="AB377" s="57"/>
      <c r="AC377" s="421" t="s">
        <v>587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825.6</v>
      </c>
      <c r="BN377" s="64">
        <f t="shared" si="60"/>
        <v>835.92000000000007</v>
      </c>
      <c r="BO377" s="64">
        <f t="shared" si="61"/>
        <v>1.1111111111111112</v>
      </c>
      <c r="BP377" s="64">
        <f t="shared" si="62"/>
        <v>1.125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387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132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500</v>
      </c>
      <c r="Y379" s="666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1000</v>
      </c>
      <c r="Y380" s="666">
        <f t="shared" si="58"/>
        <v>1005</v>
      </c>
      <c r="Z380" s="36">
        <f>IFERROR(IF(Y380=0,"",ROUNDUP(Y380/H380,0)*0.02175),"")</f>
        <v>1.4572499999999999</v>
      </c>
      <c r="AA380" s="56"/>
      <c r="AB380" s="57"/>
      <c r="AC380" s="427" t="s">
        <v>594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1032</v>
      </c>
      <c r="BN380" s="64">
        <f t="shared" si="60"/>
        <v>1037.1600000000001</v>
      </c>
      <c r="BO380" s="64">
        <f t="shared" si="61"/>
        <v>1.3888888888888888</v>
      </c>
      <c r="BP380" s="64">
        <f t="shared" si="62"/>
        <v>1.3958333333333333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387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220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222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4.8285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3300</v>
      </c>
      <c r="Y386" s="667">
        <f>IFERROR(SUM(Y375:Y384),"0")</f>
        <v>3330</v>
      </c>
      <c r="Z386" s="37"/>
      <c r="AA386" s="668"/>
      <c r="AB386" s="668"/>
      <c r="AC386" s="668"/>
    </row>
    <row r="387" spans="1:68" ht="14.25" customHeight="1" x14ac:dyDescent="0.25">
      <c r="A387" s="683" t="s">
        <v>136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1800</v>
      </c>
      <c r="Y388" s="666">
        <f>IFERROR(IF(X388="",0,CEILING((X388/$H388),1)*$H388),"")</f>
        <v>1800</v>
      </c>
      <c r="Z388" s="36">
        <f>IFERROR(IF(Y388=0,"",ROUNDUP(Y388/H388,0)*0.02175),"")</f>
        <v>2.61</v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1857.6</v>
      </c>
      <c r="BN388" s="64">
        <f>IFERROR(Y388*I388/H388,"0")</f>
        <v>1857.6</v>
      </c>
      <c r="BO388" s="64">
        <f>IFERROR(1/J388*(X388/H388),"0")</f>
        <v>2.5</v>
      </c>
      <c r="BP388" s="64">
        <f>IFERROR(1/J388*(Y388/H388),"0")</f>
        <v>2.5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8</v>
      </c>
      <c r="Y389" s="666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122</v>
      </c>
      <c r="Y390" s="667">
        <f>IFERROR(Y388/H388,"0")+IFERROR(Y389/H389,"0")</f>
        <v>122</v>
      </c>
      <c r="Z390" s="667">
        <f>IFERROR(IF(Z388="",0,Z388),"0")+IFERROR(IF(Z389="",0,Z389),"0")</f>
        <v>2.6280399999999999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1808</v>
      </c>
      <c r="Y391" s="667">
        <f>IFERROR(SUM(Y388:Y389),"0")</f>
        <v>1808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30</v>
      </c>
      <c r="Y394" s="666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3.3333333333333335</v>
      </c>
      <c r="Y395" s="667">
        <f>IFERROR(Y393/H393,"0")+IFERROR(Y394/H394,"0")</f>
        <v>4</v>
      </c>
      <c r="Z395" s="667">
        <f>IFERROR(IF(Z393="",0,Z393),"0")+IFERROR(IF(Z394="",0,Z394),"0")</f>
        <v>7.5920000000000001E-2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</v>
      </c>
      <c r="Y396" s="667">
        <f>IFERROR(SUM(Y393:Y394),"0")</f>
        <v>36</v>
      </c>
      <c r="Z396" s="37"/>
      <c r="AA396" s="668"/>
      <c r="AB396" s="668"/>
      <c r="AC396" s="668"/>
    </row>
    <row r="397" spans="1:68" ht="14.25" customHeight="1" x14ac:dyDescent="0.25">
      <c r="A397" s="683" t="s">
        <v>173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30</v>
      </c>
      <c r="Y398" s="666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3.3333333333333335</v>
      </c>
      <c r="Y399" s="667">
        <f>IFERROR(Y398/H398,"0")</f>
        <v>4</v>
      </c>
      <c r="Z399" s="667">
        <f>IFERROR(IF(Z398="",0,Z398),"0")</f>
        <v>7.5920000000000001E-2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30</v>
      </c>
      <c r="Y400" s="667">
        <f>IFERROR(SUM(Y398:Y398),"0")</f>
        <v>36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80</v>
      </c>
      <c r="Y406" s="666">
        <f>IFERROR(IF(X406="",0,CEILING((X406/$H406),1)*$H406),"")</f>
        <v>84</v>
      </c>
      <c r="Z406" s="36">
        <f>IFERROR(IF(Y406=0,"",ROUNDUP(Y406/H406,0)*0.01898),"")</f>
        <v>0.13286000000000001</v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82.9</v>
      </c>
      <c r="BN406" s="64">
        <f>IFERROR(Y406*I406/H406,"0")</f>
        <v>87.045000000000002</v>
      </c>
      <c r="BO406" s="64">
        <f>IFERROR(1/J406*(X406/H406),"0")</f>
        <v>0.10416666666666667</v>
      </c>
      <c r="BP406" s="64">
        <f>IFERROR(1/J406*(Y406/H406),"0")</f>
        <v>0.109375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6.666666666666667</v>
      </c>
      <c r="Y408" s="667">
        <f>IFERROR(Y403/H403,"0")+IFERROR(Y404/H404,"0")+IFERROR(Y405/H405,"0")+IFERROR(Y406/H406,"0")+IFERROR(Y407/H407,"0")</f>
        <v>7</v>
      </c>
      <c r="Z408" s="667">
        <f>IFERROR(IF(Z403="",0,Z403),"0")+IFERROR(IF(Z404="",0,Z404),"0")+IFERROR(IF(Z405="",0,Z405),"0")+IFERROR(IF(Z406="",0,Z406),"0")+IFERROR(IF(Z407="",0,Z407),"0")</f>
        <v>0.13286000000000001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80</v>
      </c>
      <c r="Y409" s="667">
        <f>IFERROR(SUM(Y403:Y407),"0")</f>
        <v>84</v>
      </c>
      <c r="Z409" s="37"/>
      <c r="AA409" s="668"/>
      <c r="AB409" s="668"/>
      <c r="AC409" s="668"/>
    </row>
    <row r="410" spans="1:68" ht="14.25" customHeight="1" x14ac:dyDescent="0.25">
      <c r="A410" s="683" t="s">
        <v>147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50</v>
      </c>
      <c r="Y416" s="666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52.883333333333333</v>
      </c>
      <c r="BN416" s="64">
        <f>IFERROR(Y416*I416/H416,"0")</f>
        <v>57.113999999999997</v>
      </c>
      <c r="BO416" s="64">
        <f>IFERROR(1/J416*(X416/H416),"0")</f>
        <v>8.6805555555555552E-2</v>
      </c>
      <c r="BP416" s="64">
        <f>IFERROR(1/J416*(Y416/H416),"0")</f>
        <v>9.375E-2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5.5555555555555554</v>
      </c>
      <c r="Y421" s="667">
        <f>IFERROR(Y416/H416,"0")+IFERROR(Y417/H417,"0")+IFERROR(Y418/H418,"0")+IFERROR(Y419/H419,"0")+IFERROR(Y420/H420,"0")</f>
        <v>6</v>
      </c>
      <c r="Z421" s="667">
        <f>IFERROR(IF(Z416="",0,Z416),"0")+IFERROR(IF(Z417="",0,Z417),"0")+IFERROR(IF(Z418="",0,Z418),"0")+IFERROR(IF(Z419="",0,Z419),"0")+IFERROR(IF(Z420="",0,Z420),"0")</f>
        <v>0.11388000000000001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50</v>
      </c>
      <c r="Y422" s="667">
        <f>IFERROR(SUM(Y416:Y420),"0")</f>
        <v>54</v>
      </c>
      <c r="Z422" s="37"/>
      <c r="AA422" s="668"/>
      <c r="AB422" s="668"/>
      <c r="AC422" s="668"/>
    </row>
    <row r="423" spans="1:68" ht="14.25" customHeight="1" x14ac:dyDescent="0.25">
      <c r="A423" s="683" t="s">
        <v>173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147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7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105</v>
      </c>
      <c r="Y436" s="666">
        <f t="shared" si="63"/>
        <v>105</v>
      </c>
      <c r="Z436" s="36">
        <f t="shared" si="68"/>
        <v>0.251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111.5</v>
      </c>
      <c r="BN436" s="64">
        <f t="shared" si="65"/>
        <v>111.5</v>
      </c>
      <c r="BO436" s="64">
        <f t="shared" si="66"/>
        <v>0.21367521367521369</v>
      </c>
      <c r="BP436" s="64">
        <f t="shared" si="67"/>
        <v>0.21367521367521369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17.5</v>
      </c>
      <c r="Y437" s="666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5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77</v>
      </c>
      <c r="Y440" s="666">
        <f t="shared" si="63"/>
        <v>77.7</v>
      </c>
      <c r="Z440" s="36">
        <f t="shared" si="68"/>
        <v>0.18574000000000002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81.766666666666666</v>
      </c>
      <c r="BN440" s="64">
        <f t="shared" si="65"/>
        <v>82.51</v>
      </c>
      <c r="BO440" s="64">
        <f t="shared" si="66"/>
        <v>0.15669515669515671</v>
      </c>
      <c r="BP440" s="64">
        <f t="shared" si="67"/>
        <v>0.15811965811965814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95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96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0.48192000000000002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199.5</v>
      </c>
      <c r="Y443" s="667">
        <f>IFERROR(SUM(Y430:Y441),"0")</f>
        <v>201.60000000000002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136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147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21</v>
      </c>
      <c r="Y459" s="666">
        <f>IFERROR(IF(X459="",0,CEILING((X459/$H459),1)*$H459),"")</f>
        <v>21</v>
      </c>
      <c r="Z459" s="36">
        <f>IFERROR(IF(Y459=0,"",ROUNDUP(Y459/H459,0)*0.00502),"")</f>
        <v>5.0200000000000002E-2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22.299999999999997</v>
      </c>
      <c r="BN459" s="64">
        <f>IFERROR(Y459*I459/H459,"0")</f>
        <v>22.299999999999997</v>
      </c>
      <c r="BO459" s="64">
        <f>IFERROR(1/J459*(X459/H459),"0")</f>
        <v>4.2735042735042736E-2</v>
      </c>
      <c r="BP459" s="64">
        <f>IFERROR(1/J459*(Y459/H459),"0")</f>
        <v>4.2735042735042736E-2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10</v>
      </c>
      <c r="Y460" s="667">
        <f>IFERROR(Y456/H456,"0")+IFERROR(Y457/H457,"0")+IFERROR(Y458/H458,"0")+IFERROR(Y459/H459,"0")</f>
        <v>10</v>
      </c>
      <c r="Z460" s="667">
        <f>IFERROR(IF(Z456="",0,Z456),"0")+IFERROR(IF(Z457="",0,Z457),"0")+IFERROR(IF(Z458="",0,Z458),"0")+IFERROR(IF(Z459="",0,Z459),"0")</f>
        <v>5.0200000000000002E-2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21</v>
      </c>
      <c r="Y461" s="667">
        <f>IFERROR(SUM(Y456:Y459),"0")</f>
        <v>21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147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16</v>
      </c>
      <c r="Y465" s="666">
        <f>IFERROR(IF(X465="",0,CEILING((X465/$H465),1)*$H465),"")</f>
        <v>16.8</v>
      </c>
      <c r="Z465" s="36">
        <f>IFERROR(IF(Y465=0,"",ROUNDUP(Y465/H465,0)*0.00651),"")</f>
        <v>9.1139999999999999E-2</v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28.000000000000004</v>
      </c>
      <c r="BN465" s="64">
        <f>IFERROR(Y465*I465/H465,"0")</f>
        <v>29.400000000000002</v>
      </c>
      <c r="BO465" s="64">
        <f>IFERROR(1/J465*(X465/H465),"0")</f>
        <v>7.3260073260073263E-2</v>
      </c>
      <c r="BP465" s="64">
        <f>IFERROR(1/J465*(Y465/H465),"0")</f>
        <v>7.6923076923076941E-2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13.333333333333334</v>
      </c>
      <c r="Y466" s="667">
        <f>IFERROR(Y464/H464,"0")+IFERROR(Y465/H465,"0")</f>
        <v>14.000000000000002</v>
      </c>
      <c r="Z466" s="667">
        <f>IFERROR(IF(Z464="",0,Z464),"0")+IFERROR(IF(Z465="",0,Z465),"0")</f>
        <v>9.1139999999999999E-2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16</v>
      </c>
      <c r="Y467" s="667">
        <f>IFERROR(SUM(Y464:Y465),"0")</f>
        <v>16.8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173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100</v>
      </c>
      <c r="Y480" s="666">
        <f t="shared" ref="Y480:Y495" si="69">IFERROR(IF(X480="",0,CEILING((X480/$H480),1)*$H480),"")</f>
        <v>100.32000000000001</v>
      </c>
      <c r="Z480" s="36">
        <f t="shared" ref="Z480:Z485" si="70">IFERROR(IF(Y480=0,"",ROUNDUP(Y480/H480,0)*0.01196),"")</f>
        <v>0.22724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106.81818181818181</v>
      </c>
      <c r="BN480" s="64">
        <f t="shared" ref="BN480:BN495" si="72">IFERROR(Y480*I480/H480,"0")</f>
        <v>107.16</v>
      </c>
      <c r="BO480" s="64">
        <f t="shared" ref="BO480:BO495" si="73">IFERROR(1/J480*(X480/H480),"0")</f>
        <v>0.18210955710955709</v>
      </c>
      <c r="BP480" s="64">
        <f t="shared" ref="BP480:BP495" si="74">IFERROR(1/J480*(Y480/H480),"0")</f>
        <v>0.18269230769230771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100</v>
      </c>
      <c r="Y482" s="666">
        <f t="shared" si="69"/>
        <v>100.32000000000001</v>
      </c>
      <c r="Z482" s="36">
        <f t="shared" si="70"/>
        <v>0.22724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106.81818181818181</v>
      </c>
      <c r="BN482" s="64">
        <f t="shared" si="72"/>
        <v>107.16</v>
      </c>
      <c r="BO482" s="64">
        <f t="shared" si="73"/>
        <v>0.18210955710955709</v>
      </c>
      <c r="BP482" s="64">
        <f t="shared" si="74"/>
        <v>0.18269230769230771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100</v>
      </c>
      <c r="Y484" s="666">
        <f t="shared" si="69"/>
        <v>100.32000000000001</v>
      </c>
      <c r="Z484" s="36">
        <f t="shared" si="70"/>
        <v>0.22724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106.81818181818181</v>
      </c>
      <c r="BN484" s="64">
        <f t="shared" si="72"/>
        <v>107.16</v>
      </c>
      <c r="BO484" s="64">
        <f t="shared" si="73"/>
        <v>0.18210955710955709</v>
      </c>
      <c r="BP484" s="64">
        <f t="shared" si="74"/>
        <v>0.18269230769230771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240</v>
      </c>
      <c r="Y487" s="666">
        <f t="shared" si="69"/>
        <v>241.20000000000002</v>
      </c>
      <c r="Z487" s="36">
        <f>IFERROR(IF(Y487=0,"",ROUNDUP(Y487/H487,0)*0.00902),"")</f>
        <v>0.60433999999999999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254</v>
      </c>
      <c r="BN487" s="64">
        <f t="shared" si="72"/>
        <v>255.27</v>
      </c>
      <c r="BO487" s="64">
        <f t="shared" si="73"/>
        <v>0.50505050505050508</v>
      </c>
      <c r="BP487" s="64">
        <f t="shared" si="74"/>
        <v>0.50757575757575757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240</v>
      </c>
      <c r="Y493" s="666">
        <f t="shared" si="69"/>
        <v>241.20000000000002</v>
      </c>
      <c r="Z493" s="36">
        <f>IFERROR(IF(Y493=0,"",ROUNDUP(Y493/H493,0)*0.00902),"")</f>
        <v>0.60433999999999999</v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254</v>
      </c>
      <c r="BN493" s="64">
        <f t="shared" si="72"/>
        <v>255.27</v>
      </c>
      <c r="BO493" s="64">
        <f t="shared" si="73"/>
        <v>0.50505050505050508</v>
      </c>
      <c r="BP493" s="64">
        <f t="shared" si="74"/>
        <v>0.50757575757575757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190.15151515151516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191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1.8904000000000001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780</v>
      </c>
      <c r="Y497" s="667">
        <f>IFERROR(SUM(Y480:Y495),"0")</f>
        <v>783.36000000000013</v>
      </c>
      <c r="Z497" s="37"/>
      <c r="AA497" s="668"/>
      <c r="AB497" s="668"/>
      <c r="AC497" s="668"/>
    </row>
    <row r="498" spans="1:68" ht="14.25" customHeight="1" x14ac:dyDescent="0.25">
      <c r="A498" s="683" t="s">
        <v>136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100</v>
      </c>
      <c r="Y499" s="666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18.939393939393938</v>
      </c>
      <c r="Y503" s="667">
        <f>IFERROR(Y499/H499,"0")+IFERROR(Y500/H500,"0")+IFERROR(Y501/H501,"0")+IFERROR(Y502/H502,"0")</f>
        <v>19</v>
      </c>
      <c r="Z503" s="667">
        <f>IFERROR(IF(Z499="",0,Z499),"0")+IFERROR(IF(Z500="",0,Z500),"0")+IFERROR(IF(Z501="",0,Z501),"0")+IFERROR(IF(Z502="",0,Z502),"0")</f>
        <v>0.22724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100</v>
      </c>
      <c r="Y504" s="667">
        <f>IFERROR(SUM(Y499:Y502),"0")</f>
        <v>100.32000000000001</v>
      </c>
      <c r="Z504" s="37"/>
      <c r="AA504" s="668"/>
      <c r="AB504" s="668"/>
      <c r="AC504" s="668"/>
    </row>
    <row r="505" spans="1:68" ht="14.25" customHeight="1" x14ac:dyDescent="0.25">
      <c r="A505" s="683" t="s">
        <v>147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60</v>
      </c>
      <c r="Y506" s="666">
        <f t="shared" ref="Y506:Y517" si="75">IFERROR(IF(X506="",0,CEILING((X506/$H506),1)*$H506),"")</f>
        <v>63.36</v>
      </c>
      <c r="Z506" s="36">
        <f>IFERROR(IF(Y506=0,"",ROUNDUP(Y506/H506,0)*0.01196),"")</f>
        <v>0.14352000000000001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64.090909090909079</v>
      </c>
      <c r="BN506" s="64">
        <f t="shared" ref="BN506:BN517" si="77">IFERROR(Y506*I506/H506,"0")</f>
        <v>67.679999999999993</v>
      </c>
      <c r="BO506" s="64">
        <f t="shared" ref="BO506:BO517" si="78">IFERROR(1/J506*(X506/H506),"0")</f>
        <v>0.10926573426573427</v>
      </c>
      <c r="BP506" s="64">
        <f t="shared" ref="BP506:BP517" si="79">IFERROR(1/J506*(Y506/H506),"0")</f>
        <v>0.11538461538461539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160</v>
      </c>
      <c r="Y508" s="666">
        <f t="shared" si="75"/>
        <v>163.68</v>
      </c>
      <c r="Z508" s="36">
        <f>IFERROR(IF(Y508=0,"",ROUNDUP(Y508/H508,0)*0.01196),"")</f>
        <v>0.37075999999999998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170.90909090909091</v>
      </c>
      <c r="BN508" s="64">
        <f t="shared" si="77"/>
        <v>174.84</v>
      </c>
      <c r="BO508" s="64">
        <f t="shared" si="78"/>
        <v>0.29137529137529139</v>
      </c>
      <c r="BP508" s="64">
        <f t="shared" si="79"/>
        <v>0.29807692307692307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36</v>
      </c>
      <c r="Y510" s="666">
        <f t="shared" si="75"/>
        <v>38.4</v>
      </c>
      <c r="Z510" s="36">
        <f>IFERROR(IF(Y510=0,"",ROUNDUP(Y510/H510,0)*0.00902),"")</f>
        <v>7.2160000000000002E-2</v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51.975000000000001</v>
      </c>
      <c r="BN510" s="64">
        <f t="shared" si="77"/>
        <v>55.44</v>
      </c>
      <c r="BO510" s="64">
        <f t="shared" si="78"/>
        <v>5.6818181818181823E-2</v>
      </c>
      <c r="BP510" s="64">
        <f t="shared" si="79"/>
        <v>6.0606060606060608E-2</v>
      </c>
    </row>
    <row r="511" spans="1:68" ht="27" customHeight="1" x14ac:dyDescent="0.25">
      <c r="A511" s="54" t="s">
        <v>800</v>
      </c>
      <c r="B511" s="54" t="s">
        <v>803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0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106</v>
      </c>
      <c r="L512" s="32"/>
      <c r="M512" s="33" t="s">
        <v>102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806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96</v>
      </c>
      <c r="Y515" s="666">
        <f t="shared" si="75"/>
        <v>97.2</v>
      </c>
      <c r="Z515" s="36">
        <f>IFERROR(IF(Y515=0,"",ROUNDUP(Y515/H515,0)*0.00902),"")</f>
        <v>0.24354000000000001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101.6</v>
      </c>
      <c r="BN515" s="64">
        <f t="shared" si="77"/>
        <v>102.86999999999999</v>
      </c>
      <c r="BO515" s="64">
        <f t="shared" si="78"/>
        <v>0.20202020202020202</v>
      </c>
      <c r="BP515" s="64">
        <f t="shared" si="79"/>
        <v>0.20454545454545456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75.833333333333329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78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0.82997999999999994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352</v>
      </c>
      <c r="Y519" s="667">
        <f>IFERROR(SUM(Y506:Y517),"0")</f>
        <v>362.64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173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10</v>
      </c>
      <c r="Y528" s="666">
        <f>IFERROR(IF(X528="",0,CEILING((X528/$H528),1)*$H528),"")</f>
        <v>15.6</v>
      </c>
      <c r="Z528" s="36">
        <f>IFERROR(IF(Y528=0,"",ROUNDUP(Y528/H528,0)*0.01898),"")</f>
        <v>3.7960000000000001E-2</v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10.557692307692307</v>
      </c>
      <c r="BN528" s="64">
        <f>IFERROR(Y528*I528/H528,"0")</f>
        <v>16.47</v>
      </c>
      <c r="BO528" s="64">
        <f>IFERROR(1/J528*(X528/H528),"0")</f>
        <v>2.0032051282051284E-2</v>
      </c>
      <c r="BP528" s="64">
        <f>IFERROR(1/J528*(Y528/H528),"0")</f>
        <v>3.125E-2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1.2820512820512822</v>
      </c>
      <c r="Y529" s="667">
        <f>IFERROR(Y527/H527,"0")+IFERROR(Y528/H528,"0")</f>
        <v>2</v>
      </c>
      <c r="Z529" s="667">
        <f>IFERROR(IF(Z527="",0,Z527),"0")+IFERROR(IF(Z528="",0,Z528),"0")</f>
        <v>3.7960000000000001E-2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10</v>
      </c>
      <c r="Y530" s="667">
        <f>IFERROR(SUM(Y527:Y528),"0")</f>
        <v>15.6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20</v>
      </c>
      <c r="Y536" s="666">
        <f t="shared" si="80"/>
        <v>24</v>
      </c>
      <c r="Z536" s="36">
        <f>IFERROR(IF(Y536=0,"",ROUNDUP(Y536/H536,0)*0.01898),"")</f>
        <v>3.7960000000000001E-2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20.725000000000001</v>
      </c>
      <c r="BN536" s="64">
        <f t="shared" si="82"/>
        <v>24.87</v>
      </c>
      <c r="BO536" s="64">
        <f t="shared" si="83"/>
        <v>2.6041666666666668E-2</v>
      </c>
      <c r="BP536" s="64">
        <f t="shared" si="84"/>
        <v>3.125E-2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1.6666666666666667</v>
      </c>
      <c r="Y540" s="667">
        <f>IFERROR(Y534/H534,"0")+IFERROR(Y535/H535,"0")+IFERROR(Y536/H536,"0")+IFERROR(Y537/H537,"0")+IFERROR(Y538/H538,"0")+IFERROR(Y539/H539,"0")</f>
        <v>2</v>
      </c>
      <c r="Z540" s="667">
        <f>IFERROR(IF(Z534="",0,Z534),"0")+IFERROR(IF(Z535="",0,Z535),"0")+IFERROR(IF(Z536="",0,Z536),"0")+IFERROR(IF(Z537="",0,Z537),"0")+IFERROR(IF(Z538="",0,Z538),"0")+IFERROR(IF(Z539="",0,Z539),"0")</f>
        <v>3.7960000000000001E-2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20</v>
      </c>
      <c r="Y541" s="667">
        <f>IFERROR(SUM(Y534:Y539),"0")</f>
        <v>24</v>
      </c>
      <c r="Z541" s="37"/>
      <c r="AA541" s="668"/>
      <c r="AB541" s="668"/>
      <c r="AC541" s="668"/>
    </row>
    <row r="542" spans="1:68" ht="14.25" customHeight="1" x14ac:dyDescent="0.25">
      <c r="A542" s="683" t="s">
        <v>136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147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150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400</v>
      </c>
      <c r="Y561" s="666">
        <f>IFERROR(IF(X561="",0,CEILING((X561/$H561),1)*$H561),"")</f>
        <v>405</v>
      </c>
      <c r="Z561" s="36">
        <f>IFERROR(IF(Y561=0,"",ROUNDUP(Y561/H561,0)*0.01898),"")</f>
        <v>0.85409999999999997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423.06666666666666</v>
      </c>
      <c r="BN561" s="64">
        <f>IFERROR(Y561*I561/H561,"0")</f>
        <v>428.35500000000002</v>
      </c>
      <c r="BO561" s="64">
        <f>IFERROR(1/J561*(X561/H561),"0")</f>
        <v>0.69444444444444442</v>
      </c>
      <c r="BP561" s="64">
        <f>IFERROR(1/J561*(Y561/H561),"0")</f>
        <v>0.703125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132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44.444444444444443</v>
      </c>
      <c r="Y566" s="667">
        <f>IFERROR(Y561/H561,"0")+IFERROR(Y562/H562,"0")+IFERROR(Y563/H563,"0")+IFERROR(Y564/H564,"0")+IFERROR(Y565/H565,"0")</f>
        <v>45</v>
      </c>
      <c r="Z566" s="667">
        <f>IFERROR(IF(Z561="",0,Z561),"0")+IFERROR(IF(Z562="",0,Z562),"0")+IFERROR(IF(Z563="",0,Z563),"0")+IFERROR(IF(Z564="",0,Z564),"0")+IFERROR(IF(Z565="",0,Z565),"0")</f>
        <v>0.85409999999999997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400</v>
      </c>
      <c r="Y567" s="667">
        <f>IFERROR(SUM(Y561:Y565),"0")</f>
        <v>405</v>
      </c>
      <c r="Z567" s="37"/>
      <c r="AA567" s="668"/>
      <c r="AB567" s="668"/>
      <c r="AC567" s="668"/>
    </row>
    <row r="568" spans="1:68" ht="14.25" customHeight="1" x14ac:dyDescent="0.25">
      <c r="A568" s="683" t="s">
        <v>173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136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147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132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17298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17480.359999999997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18339.320322321342</v>
      </c>
      <c r="Y593" s="667">
        <f>IFERROR(SUM(BN22:BN589),"0")</f>
        <v>18532.837999999996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32</v>
      </c>
      <c r="Y594" s="38">
        <f>ROUNDUP(SUM(BP22:BP589),0)</f>
        <v>32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19139.320322321342</v>
      </c>
      <c r="Y595" s="667">
        <f>GrossWeightTotalR+PalletQtyTotalR*25</f>
        <v>19332.837999999996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3875.6804000597103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3904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36.361700000000006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181</v>
      </c>
      <c r="F600" s="675" t="s">
        <v>212</v>
      </c>
      <c r="G600" s="675" t="s">
        <v>257</v>
      </c>
      <c r="H600" s="675" t="s">
        <v>96</v>
      </c>
      <c r="I600" s="675" t="s">
        <v>287</v>
      </c>
      <c r="J600" s="675" t="s">
        <v>321</v>
      </c>
      <c r="K600" s="675" t="s">
        <v>382</v>
      </c>
      <c r="L600" s="675" t="s">
        <v>417</v>
      </c>
      <c r="M600" s="675" t="s">
        <v>435</v>
      </c>
      <c r="N600" s="663"/>
      <c r="O600" s="675" t="s">
        <v>439</v>
      </c>
      <c r="P600" s="675" t="s">
        <v>448</v>
      </c>
      <c r="Q600" s="675" t="s">
        <v>462</v>
      </c>
      <c r="R600" s="675" t="s">
        <v>472</v>
      </c>
      <c r="S600" s="675" t="s">
        <v>476</v>
      </c>
      <c r="T600" s="675" t="s">
        <v>484</v>
      </c>
      <c r="U600" s="675" t="s">
        <v>489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631.20000000000005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1431.6000000000001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1704.6000000000001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1386.72</v>
      </c>
      <c r="G602" s="46">
        <f>IFERROR(Y137*1,"0")+IFERROR(Y138*1,"0")+IFERROR(Y142*1,"0")+IFERROR(Y143*1,"0")+IFERROR(Y147*1,"0")+IFERROR(Y148*1,"0")</f>
        <v>156.16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615.05999999999995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2067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81.2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321.60000000000002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176.4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307.8</v>
      </c>
      <c r="V602" s="46">
        <f>IFERROR(Y363*1,"0")+IFERROR(Y367*1,"0")+IFERROR(Y368*1,"0")+IFERROR(Y369*1,"0")</f>
        <v>1322.7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5210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138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201.60000000000002</v>
      </c>
      <c r="Z602" s="46">
        <f>IFERROR(Y451*1,"0")+IFERROR(Y452*1,"0")+IFERROR(Y456*1,"0")+IFERROR(Y457*1,"0")+IFERROR(Y458*1,"0")+IFERROR(Y459*1,"0")</f>
        <v>21</v>
      </c>
      <c r="AA602" s="46">
        <f>IFERROR(Y464*1,"0")+IFERROR(Y465*1,"0")</f>
        <v>16.8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1261.9200000000003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429</v>
      </c>
      <c r="AE602" s="46">
        <f>IFERROR(Y577*1,"0")+IFERROR(Y581*1,"0")+IFERROR(Y585*1,"0")+IFERROR(Y589*1,"0")</f>
        <v>0</v>
      </c>
      <c r="AF602" s="663"/>
    </row>
  </sheetData>
  <sheetProtection algorithmName="SHA-512" hashValue="//lcoeythO185ykdiVw3BikNy6aTFNnPpAKsTRVi2+/1OnGZu3jIQQ6hWPlAbG9elJGBHYlotKl6WB8kZ6jUpg==" saltValue="+Hzl7AjmKqeUYCNL4pfEE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MACWv9sxb7VA9LM202W/6iq8mvOIJssp4mU52UzcluJl9gfB3DjcYTSQCqCZqU4oLkVZVOAKpkA89FF2Ow2/cg==" saltValue="kbwwD4Wu0Cp680t3WuKOR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