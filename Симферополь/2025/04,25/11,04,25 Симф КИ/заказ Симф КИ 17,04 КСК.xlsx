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40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896" fillId="0" borderId="11" applyAlignment="1" applyProtection="1" pivotButton="0" quotePrefix="0" xfId="0">
      <alignment wrapText="1"/>
      <protection locked="1" hidden="1"/>
    </xf>
    <xf numFmtId="0" fontId="897" fillId="0" borderId="0" pivotButton="0" quotePrefix="0" xfId="0"/>
    <xf numFmtId="0" fontId="899" fillId="0" borderId="11" applyAlignment="1" applyProtection="1" pivotButton="0" quotePrefix="0" xfId="0">
      <alignment wrapText="1"/>
      <protection locked="1" hidden="1"/>
    </xf>
    <xf numFmtId="0" fontId="900" fillId="0" borderId="0" pivotButton="0" quotePrefix="0" xfId="0"/>
    <xf numFmtId="0" fontId="902" fillId="0" borderId="11" applyAlignment="1" applyProtection="1" pivotButton="0" quotePrefix="0" xfId="0">
      <alignment wrapText="1"/>
      <protection locked="1" hidden="1"/>
    </xf>
    <xf numFmtId="0" fontId="903" fillId="0" borderId="0" pivotButton="0" quotePrefix="0" xfId="0"/>
    <xf numFmtId="0" fontId="905" fillId="0" borderId="11" applyAlignment="1" applyProtection="1" pivotButton="0" quotePrefix="0" xfId="0">
      <alignment wrapText="1"/>
      <protection locked="1" hidden="1"/>
    </xf>
    <xf numFmtId="0" fontId="906" fillId="0" borderId="0" pivotButton="0" quotePrefix="0" xfId="0"/>
    <xf numFmtId="0" fontId="908" fillId="0" borderId="11" applyAlignment="1" applyProtection="1" pivotButton="0" quotePrefix="0" xfId="0">
      <alignment wrapText="1"/>
      <protection locked="1" hidden="1"/>
    </xf>
    <xf numFmtId="0" fontId="909" fillId="0" borderId="0" pivotButton="0" quotePrefix="0" xfId="0"/>
    <xf numFmtId="0" fontId="911" fillId="0" borderId="11" applyAlignment="1" applyProtection="1" pivotButton="0" quotePrefix="0" xfId="0">
      <alignment wrapText="1"/>
      <protection locked="1" hidden="1"/>
    </xf>
    <xf numFmtId="0" fontId="912" fillId="0" borderId="0" pivotButton="0" quotePrefix="0" xfId="0"/>
    <xf numFmtId="0" fontId="914" fillId="0" borderId="11" applyAlignment="1" applyProtection="1" pivotButton="0" quotePrefix="0" xfId="0">
      <alignment wrapText="1"/>
      <protection locked="1" hidden="1"/>
    </xf>
    <xf numFmtId="0" fontId="915" fillId="0" borderId="0" pivotButton="0" quotePrefix="0" xfId="0"/>
    <xf numFmtId="0" fontId="917" fillId="0" borderId="11" applyAlignment="1" applyProtection="1" pivotButton="0" quotePrefix="0" xfId="0">
      <alignment wrapText="1"/>
      <protection locked="1" hidden="1"/>
    </xf>
    <xf numFmtId="0" fontId="918" fillId="0" borderId="0" pivotButton="0" quotePrefix="0" xfId="0"/>
    <xf numFmtId="0" fontId="920" fillId="0" borderId="11" applyAlignment="1" applyProtection="1" pivotButton="0" quotePrefix="0" xfId="0">
      <alignment wrapText="1"/>
      <protection locked="1" hidden="1"/>
    </xf>
    <xf numFmtId="0" fontId="921" fillId="0" borderId="0" pivotButton="0" quotePrefix="0" xfId="0"/>
    <xf numFmtId="0" fontId="923" fillId="0" borderId="11" applyAlignment="1" applyProtection="1" pivotButton="0" quotePrefix="0" xfId="0">
      <alignment wrapText="1"/>
      <protection locked="1" hidden="1"/>
    </xf>
    <xf numFmtId="0" fontId="924" fillId="0" borderId="0" pivotButton="0" quotePrefix="0" xfId="0"/>
    <xf numFmtId="0" fontId="926" fillId="0" borderId="11" applyAlignment="1" applyProtection="1" pivotButton="0" quotePrefix="0" xfId="0">
      <alignment wrapText="1"/>
      <protection locked="1" hidden="1"/>
    </xf>
    <xf numFmtId="0" fontId="927" fillId="0" borderId="0" pivotButton="0" quotePrefix="0" xfId="0"/>
    <xf numFmtId="0" fontId="929" fillId="0" borderId="11" applyAlignment="1" applyProtection="1" pivotButton="0" quotePrefix="0" xfId="0">
      <alignment wrapText="1"/>
      <protection locked="1" hidden="1"/>
    </xf>
    <xf numFmtId="0" fontId="930" fillId="0" borderId="0" pivotButton="0" quotePrefix="0" xfId="0"/>
    <xf numFmtId="0" fontId="932" fillId="0" borderId="11" applyAlignment="1" applyProtection="1" pivotButton="0" quotePrefix="0" xfId="0">
      <alignment wrapText="1"/>
      <protection locked="1" hidden="1"/>
    </xf>
    <xf numFmtId="0" fontId="933" fillId="0" borderId="0" pivotButton="0" quotePrefix="0" xfId="0"/>
    <xf numFmtId="0" fontId="935" fillId="0" borderId="11" applyAlignment="1" applyProtection="1" pivotButton="0" quotePrefix="0" xfId="0">
      <alignment wrapText="1"/>
      <protection locked="1" hidden="1"/>
    </xf>
    <xf numFmtId="0" fontId="936" fillId="0" borderId="0" pivotButton="0" quotePrefix="0" xfId="0"/>
    <xf numFmtId="0" fontId="938" fillId="0" borderId="11" applyAlignment="1" applyProtection="1" pivotButton="0" quotePrefix="0" xfId="0">
      <alignment wrapText="1"/>
      <protection locked="1" hidden="1"/>
    </xf>
    <xf numFmtId="0" fontId="939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0" fillId="0" borderId="31" applyProtection="1" pivotButton="0" quotePrefix="0" xfId="0"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895" fillId="0" borderId="45" applyAlignment="1" pivotButton="0" quotePrefix="0" xfId="0">
      <alignment horizontal="left" vertical="center" wrapText="1"/>
    </xf>
    <xf numFmtId="0" fontId="898" fillId="0" borderId="45" applyAlignment="1" pivotButton="0" quotePrefix="0" xfId="0">
      <alignment horizontal="left" vertical="center" wrapText="1"/>
    </xf>
    <xf numFmtId="0" fontId="901" fillId="0" borderId="45" applyAlignment="1" pivotButton="0" quotePrefix="0" xfId="0">
      <alignment horizontal="left" vertical="center" wrapText="1"/>
    </xf>
    <xf numFmtId="0" fontId="904" fillId="0" borderId="45" applyAlignment="1" pivotButton="0" quotePrefix="0" xfId="0">
      <alignment horizontal="left" vertical="center" wrapText="1"/>
    </xf>
    <xf numFmtId="0" fontId="907" fillId="0" borderId="45" applyAlignment="1" pivotButton="0" quotePrefix="0" xfId="0">
      <alignment horizontal="left" vertical="center" wrapText="1"/>
    </xf>
    <xf numFmtId="0" fontId="910" fillId="0" borderId="45" applyAlignment="1" pivotButton="0" quotePrefix="0" xfId="0">
      <alignment horizontal="left" vertical="center" wrapText="1"/>
    </xf>
    <xf numFmtId="0" fontId="913" fillId="0" borderId="45" applyAlignment="1" pivotButton="0" quotePrefix="0" xfId="0">
      <alignment horizontal="left" vertical="center" wrapText="1"/>
    </xf>
    <xf numFmtId="0" fontId="916" fillId="0" borderId="45" applyAlignment="1" pivotButton="0" quotePrefix="0" xfId="0">
      <alignment horizontal="left" vertical="center" wrapText="1"/>
    </xf>
    <xf numFmtId="0" fontId="919" fillId="0" borderId="45" applyAlignment="1" pivotButton="0" quotePrefix="0" xfId="0">
      <alignment horizontal="left" vertical="center" wrapText="1"/>
    </xf>
    <xf numFmtId="0" fontId="922" fillId="0" borderId="45" applyAlignment="1" pivotButton="0" quotePrefix="0" xfId="0">
      <alignment horizontal="left" vertical="center" wrapText="1"/>
    </xf>
    <xf numFmtId="0" fontId="925" fillId="0" borderId="45" applyAlignment="1" pivotButton="0" quotePrefix="0" xfId="0">
      <alignment horizontal="left" vertical="center" wrapText="1"/>
    </xf>
    <xf numFmtId="0" fontId="928" fillId="0" borderId="45" applyAlignment="1" pivotButton="0" quotePrefix="0" xfId="0">
      <alignment horizontal="left" vertical="center" wrapText="1"/>
    </xf>
    <xf numFmtId="0" fontId="931" fillId="0" borderId="45" applyAlignment="1" pivotButton="0" quotePrefix="0" xfId="0">
      <alignment horizontal="left" vertical="center" wrapText="1"/>
    </xf>
    <xf numFmtId="0" fontId="934" fillId="0" borderId="45" applyAlignment="1" pivotButton="0" quotePrefix="0" xfId="0">
      <alignment horizontal="left" vertical="center" wrapText="1"/>
    </xf>
    <xf numFmtId="0" fontId="937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895" fillId="0" borderId="53" applyAlignment="1" pivotButton="0" quotePrefix="0" xfId="0">
      <alignment horizontal="left" vertical="center" wrapText="1"/>
    </xf>
    <xf numFmtId="0" fontId="898" fillId="0" borderId="53" applyAlignment="1" pivotButton="0" quotePrefix="0" xfId="0">
      <alignment horizontal="left" vertical="center" wrapText="1"/>
    </xf>
    <xf numFmtId="0" fontId="901" fillId="0" borderId="53" applyAlignment="1" pivotButton="0" quotePrefix="0" xfId="0">
      <alignment horizontal="left" vertical="center" wrapText="1"/>
    </xf>
    <xf numFmtId="0" fontId="904" fillId="0" borderId="53" applyAlignment="1" pivotButton="0" quotePrefix="0" xfId="0">
      <alignment horizontal="left" vertical="center" wrapText="1"/>
    </xf>
    <xf numFmtId="0" fontId="907" fillId="0" borderId="53" applyAlignment="1" pivotButton="0" quotePrefix="0" xfId="0">
      <alignment horizontal="left" vertical="center" wrapText="1"/>
    </xf>
    <xf numFmtId="0" fontId="910" fillId="0" borderId="53" applyAlignment="1" pivotButton="0" quotePrefix="0" xfId="0">
      <alignment horizontal="left" vertical="center" wrapText="1"/>
    </xf>
    <xf numFmtId="0" fontId="913" fillId="0" borderId="53" applyAlignment="1" pivotButton="0" quotePrefix="0" xfId="0">
      <alignment horizontal="left" vertical="center" wrapText="1"/>
    </xf>
    <xf numFmtId="0" fontId="916" fillId="0" borderId="53" applyAlignment="1" pivotButton="0" quotePrefix="0" xfId="0">
      <alignment horizontal="left" vertical="center" wrapText="1"/>
    </xf>
    <xf numFmtId="0" fontId="919" fillId="0" borderId="53" applyAlignment="1" pivotButton="0" quotePrefix="0" xfId="0">
      <alignment horizontal="left" vertical="center" wrapText="1"/>
    </xf>
    <xf numFmtId="0" fontId="922" fillId="0" borderId="53" applyAlignment="1" pivotButton="0" quotePrefix="0" xfId="0">
      <alignment horizontal="left" vertical="center" wrapText="1"/>
    </xf>
    <xf numFmtId="0" fontId="925" fillId="0" borderId="53" applyAlignment="1" pivotButton="0" quotePrefix="0" xfId="0">
      <alignment horizontal="left" vertical="center" wrapText="1"/>
    </xf>
    <xf numFmtId="0" fontId="928" fillId="0" borderId="53" applyAlignment="1" pivotButton="0" quotePrefix="0" xfId="0">
      <alignment horizontal="left" vertical="center" wrapText="1"/>
    </xf>
    <xf numFmtId="0" fontId="931" fillId="0" borderId="53" applyAlignment="1" pivotButton="0" quotePrefix="0" xfId="0">
      <alignment horizontal="left" vertical="center" wrapText="1"/>
    </xf>
    <xf numFmtId="0" fontId="934" fillId="0" borderId="53" applyAlignment="1" pivotButton="0" quotePrefix="0" xfId="0">
      <alignment horizontal="left" vertical="center" wrapText="1"/>
    </xf>
    <xf numFmtId="0" fontId="93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60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1051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1051" min="18" max="18"/>
    <col width="6.140625" customWidth="1" style="1051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1051" min="24" max="24"/>
    <col width="11" customWidth="1" style="1051" min="25" max="25"/>
    <col width="10" customWidth="1" style="1051" min="26" max="26"/>
    <col width="11.5703125" customWidth="1" style="1051" min="27" max="27"/>
    <col width="10.42578125" customWidth="1" style="1051" min="28" max="28"/>
    <col width="30" customWidth="1" style="1051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1051" min="33" max="33"/>
    <col width="9.140625" customWidth="1" style="1051" min="34" max="16384"/>
  </cols>
  <sheetData>
    <row r="1" ht="45" customFormat="1" customHeight="1" s="714">
      <c r="A1" s="47" t="n"/>
      <c r="B1" s="47" t="n"/>
      <c r="C1" s="47" t="n"/>
      <c r="D1" s="672" t="inlineStr">
        <is>
          <t xml:space="preserve">  БЛАНК ЗАКАЗА </t>
        </is>
      </c>
      <c r="G1" s="14" t="inlineStr">
        <is>
          <t>КИ</t>
        </is>
      </c>
      <c r="H1" s="672" t="inlineStr">
        <is>
          <t>на отгрузку продукции с ООО Трейд-Сервис с</t>
        </is>
      </c>
      <c r="R1" s="673" t="inlineStr">
        <is>
          <t>14.04.2025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714">
      <c r="A2" s="34" t="inlineStr">
        <is>
          <t>бланк создан</t>
        </is>
      </c>
      <c r="B2" s="35" t="inlineStr">
        <is>
          <t>09.04.2025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7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51" t="n"/>
      <c r="R2" s="1051" t="n"/>
      <c r="S2" s="1051" t="n"/>
      <c r="T2" s="1051" t="n"/>
      <c r="U2" s="1051" t="n"/>
      <c r="V2" s="1051" t="n"/>
      <c r="W2" s="1051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71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1051" t="n"/>
      <c r="Q3" s="1051" t="n"/>
      <c r="R3" s="1051" t="n"/>
      <c r="S3" s="1051" t="n"/>
      <c r="T3" s="1051" t="n"/>
      <c r="U3" s="1051" t="n"/>
      <c r="V3" s="1051" t="n"/>
      <c r="W3" s="1051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71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714">
      <c r="A5" s="676" t="inlineStr">
        <is>
          <t xml:space="preserve">Ваш контактный телефон и имя: </t>
        </is>
      </c>
      <c r="B5" s="1054" t="n"/>
      <c r="C5" s="1055" t="n"/>
      <c r="D5" s="677" t="n"/>
      <c r="E5" s="1056" t="n"/>
      <c r="F5" s="678" t="inlineStr">
        <is>
          <t>Комментарий к заказу:</t>
        </is>
      </c>
      <c r="G5" s="1055" t="n"/>
      <c r="H5" s="677" t="n"/>
      <c r="I5" s="1057" t="n"/>
      <c r="J5" s="1057" t="n"/>
      <c r="K5" s="1057" t="n"/>
      <c r="L5" s="1057" t="n"/>
      <c r="M5" s="1056" t="n"/>
      <c r="N5" s="72" t="n"/>
      <c r="P5" s="29" t="inlineStr">
        <is>
          <t>Дата загрузки</t>
        </is>
      </c>
      <c r="Q5" s="1058" t="n">
        <v>45760</v>
      </c>
      <c r="R5" s="680" t="n"/>
      <c r="T5" s="682" t="inlineStr">
        <is>
          <t>Способ доставки (доставка/самовывоз)</t>
        </is>
      </c>
      <c r="U5" s="1059" t="n"/>
      <c r="V5" s="1060" t="inlineStr">
        <is>
          <t>Самовывоз</t>
        </is>
      </c>
      <c r="W5" s="680" t="n"/>
      <c r="AB5" s="59" t="n"/>
      <c r="AC5" s="59" t="n"/>
      <c r="AD5" s="59" t="n"/>
      <c r="AE5" s="59" t="n"/>
    </row>
    <row r="6" ht="24" customFormat="1" customHeight="1" s="714">
      <c r="A6" s="676" t="inlineStr">
        <is>
          <t>Адрес доставки:</t>
        </is>
      </c>
      <c r="B6" s="1054" t="n"/>
      <c r="C6" s="1055" t="n"/>
      <c r="D6" s="685" t="inlineStr">
        <is>
          <t>КСК ТРЕЙД, ООО, Крым Респ, Симферополь г, Генерала Васильева ул, д. 44В, литера Ж, пом 5,</t>
        </is>
      </c>
      <c r="E6" s="1061" t="n"/>
      <c r="F6" s="1061" t="n"/>
      <c r="G6" s="1061" t="n"/>
      <c r="H6" s="1061" t="n"/>
      <c r="I6" s="1061" t="n"/>
      <c r="J6" s="1061" t="n"/>
      <c r="K6" s="1061" t="n"/>
      <c r="L6" s="1061" t="n"/>
      <c r="M6" s="680" t="n"/>
      <c r="N6" s="73" t="n"/>
      <c r="P6" s="29" t="inlineStr">
        <is>
          <t>День недели</t>
        </is>
      </c>
      <c r="Q6" s="686">
        <f>IF(Q5=0," ",CHOOSE(WEEKDAY(Q5,2),"Понедельник","Вторник","Среда","Четверг","Пятница","Суббота","Воскресенье"))</f>
        <v/>
      </c>
      <c r="R6" s="1062" t="n"/>
      <c r="T6" s="688" t="inlineStr">
        <is>
          <t>Наименование клиента</t>
        </is>
      </c>
      <c r="U6" s="1059" t="n"/>
      <c r="V6" s="1063" t="inlineStr">
        <is>
          <t>ОБЩЕСТВО С ОГРАНИЧЕННОЙ ОТВЕТСТВЕННОСТЬЮ "КСК ТРЕЙД"</t>
        </is>
      </c>
      <c r="W6" s="1064" t="n"/>
      <c r="AB6" s="59" t="n"/>
      <c r="AC6" s="59" t="n"/>
      <c r="AD6" s="59" t="n"/>
      <c r="AE6" s="59" t="n"/>
    </row>
    <row r="7" hidden="1" ht="21.75" customFormat="1" customHeight="1" s="714">
      <c r="A7" s="64" t="n"/>
      <c r="B7" s="64" t="n"/>
      <c r="C7" s="64" t="n"/>
      <c r="D7" s="1065">
        <f>IFERROR(VLOOKUP(DeliveryAddress,Table,3,0),1)</f>
        <v/>
      </c>
      <c r="E7" s="1066" t="n"/>
      <c r="F7" s="1066" t="n"/>
      <c r="G7" s="1066" t="n"/>
      <c r="H7" s="1066" t="n"/>
      <c r="I7" s="1066" t="n"/>
      <c r="J7" s="1066" t="n"/>
      <c r="K7" s="1066" t="n"/>
      <c r="L7" s="1066" t="n"/>
      <c r="M7" s="701" t="n"/>
      <c r="N7" s="74" t="n"/>
      <c r="P7" s="29" t="n"/>
      <c r="Q7" s="48" t="n"/>
      <c r="R7" s="48" t="n"/>
      <c r="T7" s="1051" t="n"/>
      <c r="U7" s="1059" t="n"/>
      <c r="V7" s="1067" t="n"/>
      <c r="W7" s="1068" t="n"/>
      <c r="AB7" s="59" t="n"/>
      <c r="AC7" s="59" t="n"/>
      <c r="AD7" s="59" t="n"/>
      <c r="AE7" s="59" t="n"/>
    </row>
    <row r="8" ht="25.5" customFormat="1" customHeight="1" s="714">
      <c r="A8" s="698" t="inlineStr">
        <is>
          <t>Адрес сдачи груза:</t>
        </is>
      </c>
      <c r="B8" s="1069" t="n"/>
      <c r="C8" s="1070" t="n"/>
      <c r="D8" s="699" t="inlineStr">
        <is>
          <t>295051Российская Федерация, Крым Респ, Симферополь г, Генерала Васильева ул, д. 44В, литера Ж, пом 5,</t>
        </is>
      </c>
      <c r="E8" s="1071" t="n"/>
      <c r="F8" s="1071" t="n"/>
      <c r="G8" s="1071" t="n"/>
      <c r="H8" s="1071" t="n"/>
      <c r="I8" s="1071" t="n"/>
      <c r="J8" s="1071" t="n"/>
      <c r="K8" s="1071" t="n"/>
      <c r="L8" s="1071" t="n"/>
      <c r="M8" s="1072" t="n"/>
      <c r="N8" s="75" t="n"/>
      <c r="P8" s="29" t="inlineStr">
        <is>
          <t>Время загрузки</t>
        </is>
      </c>
      <c r="Q8" s="700" t="n">
        <v>0.375</v>
      </c>
      <c r="R8" s="701" t="n"/>
      <c r="T8" s="1051" t="n"/>
      <c r="U8" s="1059" t="n"/>
      <c r="V8" s="1067" t="n"/>
      <c r="W8" s="1068" t="n"/>
      <c r="AB8" s="59" t="n"/>
      <c r="AC8" s="59" t="n"/>
      <c r="AD8" s="59" t="n"/>
      <c r="AE8" s="59" t="n"/>
    </row>
    <row r="9" ht="39.95" customFormat="1" customHeight="1" s="714">
      <c r="A9" s="70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1" t="n"/>
      <c r="C9" s="1051" t="n"/>
      <c r="D9" s="703" t="inlineStr"/>
      <c r="E9" s="3" t="n"/>
      <c r="F9" s="70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1" t="n"/>
      <c r="H9" s="70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70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705" t="n"/>
      <c r="P9" s="31" t="inlineStr">
        <is>
          <t>Дата доставки</t>
        </is>
      </c>
      <c r="Q9" s="1073" t="n"/>
      <c r="R9" s="1074" t="n"/>
      <c r="T9" s="1051" t="n"/>
      <c r="U9" s="1059" t="n"/>
      <c r="V9" s="1075" t="n"/>
      <c r="W9" s="1076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714">
      <c r="A10" s="70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1" t="n"/>
      <c r="C10" s="1051" t="n"/>
      <c r="D10" s="703" t="n"/>
      <c r="E10" s="3" t="n"/>
      <c r="F10" s="70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1" t="n"/>
      <c r="H10" s="707">
        <f>IFERROR(VLOOKUP($D$10,Proxy,2,FALSE),"")</f>
        <v/>
      </c>
      <c r="I10" s="1051" t="n"/>
      <c r="J10" s="1051" t="n"/>
      <c r="K10" s="1051" t="n"/>
      <c r="L10" s="1051" t="n"/>
      <c r="M10" s="1051" t="n"/>
      <c r="N10" s="707" t="n"/>
      <c r="P10" s="31" t="inlineStr">
        <is>
          <t>Время доставки</t>
        </is>
      </c>
      <c r="Q10" s="708" t="n"/>
      <c r="R10" s="1077" t="n"/>
      <c r="U10" s="29" t="inlineStr">
        <is>
          <t>КОД Аксапты Клиента</t>
        </is>
      </c>
      <c r="V10" s="1078" t="inlineStr">
        <is>
          <t>590943</t>
        </is>
      </c>
      <c r="W10" s="1064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71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711" t="n"/>
      <c r="R11" s="680" t="n"/>
      <c r="U11" s="29" t="inlineStr">
        <is>
          <t>Тип заказа</t>
        </is>
      </c>
      <c r="V11" s="712" t="inlineStr">
        <is>
          <t>Основной заказ</t>
        </is>
      </c>
      <c r="W11" s="1074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714">
      <c r="A12" s="713" t="inlineStr">
        <is>
          <t>Телефоны для заказов: 8(919)002-63-01  E-mail: kolbasa@abiproduct.ru  Телефон сотрудников склада: 8 (910) 775-52-91</t>
        </is>
      </c>
      <c r="B12" s="1054" t="n"/>
      <c r="C12" s="1054" t="n"/>
      <c r="D12" s="1054" t="n"/>
      <c r="E12" s="1054" t="n"/>
      <c r="F12" s="1054" t="n"/>
      <c r="G12" s="1054" t="n"/>
      <c r="H12" s="1054" t="n"/>
      <c r="I12" s="1054" t="n"/>
      <c r="J12" s="1054" t="n"/>
      <c r="K12" s="1054" t="n"/>
      <c r="L12" s="1054" t="n"/>
      <c r="M12" s="1055" t="n"/>
      <c r="N12" s="76" t="n"/>
      <c r="P12" s="29" t="inlineStr">
        <is>
          <t>Время доставки 3 машины</t>
        </is>
      </c>
      <c r="Q12" s="700" t="n"/>
      <c r="R12" s="701" t="n"/>
      <c r="S12" s="28" t="n"/>
      <c r="U12" s="29" t="inlineStr"/>
      <c r="V12" s="714" t="n"/>
      <c r="W12" s="1051" t="n"/>
      <c r="AB12" s="59" t="n"/>
      <c r="AC12" s="59" t="n"/>
      <c r="AD12" s="59" t="n"/>
      <c r="AE12" s="59" t="n"/>
    </row>
    <row r="13" ht="23.25" customFormat="1" customHeight="1" s="714">
      <c r="A13" s="713" t="inlineStr">
        <is>
          <t>График приема заказов: Заказы принимаются за ДВА дня до отгрузки Пн-Пт: с 9:00 до 14:00, Суб., Вс. - до 12:00</t>
        </is>
      </c>
      <c r="B13" s="1054" t="n"/>
      <c r="C13" s="1054" t="n"/>
      <c r="D13" s="1054" t="n"/>
      <c r="E13" s="1054" t="n"/>
      <c r="F13" s="1054" t="n"/>
      <c r="G13" s="1054" t="n"/>
      <c r="H13" s="1054" t="n"/>
      <c r="I13" s="1054" t="n"/>
      <c r="J13" s="1054" t="n"/>
      <c r="K13" s="1054" t="n"/>
      <c r="L13" s="1054" t="n"/>
      <c r="M13" s="1055" t="n"/>
      <c r="N13" s="76" t="n"/>
      <c r="O13" s="31" t="n"/>
      <c r="P13" s="31" t="inlineStr">
        <is>
          <t>Время доставки 4 машины</t>
        </is>
      </c>
      <c r="Q13" s="712" t="n"/>
      <c r="R13" s="1074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714">
      <c r="A14" s="713" t="inlineStr">
        <is>
          <t>Телефон менеджера по логистике: 8 (919) 012-30-55 - по вопросам доставки продукции</t>
        </is>
      </c>
      <c r="B14" s="1054" t="n"/>
      <c r="C14" s="1054" t="n"/>
      <c r="D14" s="1054" t="n"/>
      <c r="E14" s="1054" t="n"/>
      <c r="F14" s="1054" t="n"/>
      <c r="G14" s="1054" t="n"/>
      <c r="H14" s="1054" t="n"/>
      <c r="I14" s="1054" t="n"/>
      <c r="J14" s="1054" t="n"/>
      <c r="K14" s="1054" t="n"/>
      <c r="L14" s="1054" t="n"/>
      <c r="M14" s="1055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714">
      <c r="A15" s="715" t="inlineStr">
        <is>
          <t>Телефон по работе с претензиями/жалобами (WhatSapp): 8 (980) 757-69-93       E-mail: Claims@abiproduct.ru</t>
        </is>
      </c>
      <c r="B15" s="1054" t="n"/>
      <c r="C15" s="1054" t="n"/>
      <c r="D15" s="1054" t="n"/>
      <c r="E15" s="1054" t="n"/>
      <c r="F15" s="1054" t="n"/>
      <c r="G15" s="1054" t="n"/>
      <c r="H15" s="1054" t="n"/>
      <c r="I15" s="1054" t="n"/>
      <c r="J15" s="1054" t="n"/>
      <c r="K15" s="1054" t="n"/>
      <c r="L15" s="1054" t="n"/>
      <c r="M15" s="1055" t="n"/>
      <c r="N15" s="77" t="n"/>
      <c r="P15" s="717" t="inlineStr">
        <is>
          <t>Кликните на продукт, чтобы просмотреть изображение</t>
        </is>
      </c>
      <c r="X15" s="714" t="n"/>
      <c r="Y15" s="714" t="n"/>
      <c r="Z15" s="714" t="n"/>
      <c r="AA15" s="71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79" t="n"/>
      <c r="Q16" s="1079" t="n"/>
      <c r="R16" s="1079" t="n"/>
      <c r="S16" s="1079" t="n"/>
      <c r="T16" s="107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80" t="inlineStr">
        <is>
          <t>Код единицы продаж</t>
        </is>
      </c>
      <c r="B17" s="1080" t="inlineStr">
        <is>
          <t>Код продукта</t>
        </is>
      </c>
      <c r="C17" s="1081" t="inlineStr">
        <is>
          <t>Номер варианта</t>
        </is>
      </c>
      <c r="D17" s="1080" t="inlineStr">
        <is>
          <t xml:space="preserve">Штрих-код </t>
        </is>
      </c>
      <c r="E17" s="1082" t="n"/>
      <c r="F17" s="1080" t="inlineStr">
        <is>
          <t>Вес нетто штуки, кг</t>
        </is>
      </c>
      <c r="G17" s="1080" t="inlineStr">
        <is>
          <t>Кол-во штук в коробе, шт</t>
        </is>
      </c>
      <c r="H17" s="1080" t="inlineStr">
        <is>
          <t>Вес нетто короба, кг</t>
        </is>
      </c>
      <c r="I17" s="1080" t="inlineStr">
        <is>
          <t>Вес брутто короба, кг</t>
        </is>
      </c>
      <c r="J17" s="1080" t="inlineStr">
        <is>
          <t>Кол-во кор. на паллте, шт</t>
        </is>
      </c>
      <c r="K17" s="1080" t="inlineStr">
        <is>
          <t>Коробов в слое</t>
        </is>
      </c>
      <c r="L17" s="1080" t="inlineStr">
        <is>
          <t>Квант заказа</t>
        </is>
      </c>
      <c r="M17" s="1080" t="inlineStr">
        <is>
          <t>Завод</t>
        </is>
      </c>
      <c r="N17" s="1080" t="inlineStr">
        <is>
          <t>Внешний код номенклатуры</t>
        </is>
      </c>
      <c r="O17" s="1080" t="inlineStr">
        <is>
          <t>Срок годности, сут.</t>
        </is>
      </c>
      <c r="P17" s="1080" t="inlineStr">
        <is>
          <t>Наименование</t>
        </is>
      </c>
      <c r="Q17" s="1083" t="n"/>
      <c r="R17" s="1083" t="n"/>
      <c r="S17" s="1083" t="n"/>
      <c r="T17" s="1082" t="n"/>
      <c r="U17" s="83" t="inlineStr">
        <is>
          <t>Доступно к отгрузке</t>
        </is>
      </c>
      <c r="V17" s="1055" t="n"/>
      <c r="W17" s="1080" t="inlineStr">
        <is>
          <t>Ед. изм.</t>
        </is>
      </c>
      <c r="X17" s="1080" t="inlineStr">
        <is>
          <t>Заказ</t>
        </is>
      </c>
      <c r="Y17" s="1084" t="inlineStr">
        <is>
          <t>Заказ с округлением до короба</t>
        </is>
      </c>
      <c r="Z17" s="1085" t="inlineStr">
        <is>
          <t>Объём заказа, м3</t>
        </is>
      </c>
      <c r="AA17" s="1086" t="inlineStr">
        <is>
          <t>Примечание по продуктку</t>
        </is>
      </c>
      <c r="AB17" s="1086" t="inlineStr">
        <is>
          <t>Признак "НОВИНКА"</t>
        </is>
      </c>
      <c r="AC17" s="1086" t="inlineStr">
        <is>
          <t>Декларация/Сертификат</t>
        </is>
      </c>
      <c r="AD17" s="1086" t="inlineStr">
        <is>
          <t>Для формул</t>
        </is>
      </c>
      <c r="AE17" s="1087" t="n"/>
      <c r="AF17" s="1088" t="n"/>
      <c r="AG17" s="82" t="n"/>
      <c r="BD17" s="81" t="inlineStr">
        <is>
          <t>Вид продукции</t>
        </is>
      </c>
    </row>
    <row r="18" ht="14.25" customHeight="1">
      <c r="A18" s="1089" t="n"/>
      <c r="B18" s="1089" t="n"/>
      <c r="C18" s="1089" t="n"/>
      <c r="D18" s="1090" t="n"/>
      <c r="E18" s="1091" t="n"/>
      <c r="F18" s="1089" t="n"/>
      <c r="G18" s="1089" t="n"/>
      <c r="H18" s="1089" t="n"/>
      <c r="I18" s="1089" t="n"/>
      <c r="J18" s="1089" t="n"/>
      <c r="K18" s="1089" t="n"/>
      <c r="L18" s="1089" t="n"/>
      <c r="M18" s="1089" t="n"/>
      <c r="N18" s="1089" t="n"/>
      <c r="O18" s="1089" t="n"/>
      <c r="P18" s="1090" t="n"/>
      <c r="Q18" s="1092" t="n"/>
      <c r="R18" s="1092" t="n"/>
      <c r="S18" s="1092" t="n"/>
      <c r="T18" s="1091" t="n"/>
      <c r="U18" s="83" t="inlineStr">
        <is>
          <t>начиная с</t>
        </is>
      </c>
      <c r="V18" s="83" t="inlineStr">
        <is>
          <t>до</t>
        </is>
      </c>
      <c r="W18" s="1089" t="n"/>
      <c r="X18" s="1089" t="n"/>
      <c r="Y18" s="1093" t="n"/>
      <c r="Z18" s="1094" t="n"/>
      <c r="AA18" s="1095" t="n"/>
      <c r="AB18" s="1095" t="n"/>
      <c r="AC18" s="1095" t="n"/>
      <c r="AD18" s="1096" t="n"/>
      <c r="AE18" s="1097" t="n"/>
      <c r="AF18" s="1098" t="n"/>
      <c r="AG18" s="82" t="n"/>
      <c r="BD18" s="81" t="n"/>
    </row>
    <row r="19" ht="27.75" customHeight="1">
      <c r="A19" s="742" t="inlineStr">
        <is>
          <t>Ядрена копоть</t>
        </is>
      </c>
      <c r="B19" s="1099" t="n"/>
      <c r="C19" s="1099" t="n"/>
      <c r="D19" s="1099" t="n"/>
      <c r="E19" s="1099" t="n"/>
      <c r="F19" s="1099" t="n"/>
      <c r="G19" s="1099" t="n"/>
      <c r="H19" s="1099" t="n"/>
      <c r="I19" s="1099" t="n"/>
      <c r="J19" s="1099" t="n"/>
      <c r="K19" s="1099" t="n"/>
      <c r="L19" s="1099" t="n"/>
      <c r="M19" s="1099" t="n"/>
      <c r="N19" s="1099" t="n"/>
      <c r="O19" s="1099" t="n"/>
      <c r="P19" s="1099" t="n"/>
      <c r="Q19" s="1099" t="n"/>
      <c r="R19" s="1099" t="n"/>
      <c r="S19" s="1099" t="n"/>
      <c r="T19" s="1099" t="n"/>
      <c r="U19" s="1099" t="n"/>
      <c r="V19" s="1099" t="n"/>
      <c r="W19" s="1099" t="n"/>
      <c r="X19" s="1099" t="n"/>
      <c r="Y19" s="1099" t="n"/>
      <c r="Z19" s="1099" t="n"/>
      <c r="AA19" s="54" t="n"/>
      <c r="AB19" s="54" t="n"/>
      <c r="AC19" s="54" t="n"/>
    </row>
    <row r="20" ht="16.5" customHeight="1">
      <c r="A20" s="743" t="inlineStr">
        <is>
          <t>Ядрена копоть</t>
        </is>
      </c>
      <c r="B20" s="1051" t="n"/>
      <c r="C20" s="1051" t="n"/>
      <c r="D20" s="1051" t="n"/>
      <c r="E20" s="1051" t="n"/>
      <c r="F20" s="1051" t="n"/>
      <c r="G20" s="1051" t="n"/>
      <c r="H20" s="1051" t="n"/>
      <c r="I20" s="1051" t="n"/>
      <c r="J20" s="1051" t="n"/>
      <c r="K20" s="1051" t="n"/>
      <c r="L20" s="1051" t="n"/>
      <c r="M20" s="1051" t="n"/>
      <c r="N20" s="1051" t="n"/>
      <c r="O20" s="1051" t="n"/>
      <c r="P20" s="1051" t="n"/>
      <c r="Q20" s="1051" t="n"/>
      <c r="R20" s="1051" t="n"/>
      <c r="S20" s="1051" t="n"/>
      <c r="T20" s="1051" t="n"/>
      <c r="U20" s="1051" t="n"/>
      <c r="V20" s="1051" t="n"/>
      <c r="W20" s="1051" t="n"/>
      <c r="X20" s="1051" t="n"/>
      <c r="Y20" s="1051" t="n"/>
      <c r="Z20" s="1051" t="n"/>
      <c r="AA20" s="743" t="n"/>
      <c r="AB20" s="743" t="n"/>
      <c r="AC20" s="743" t="n"/>
    </row>
    <row r="21" ht="14.25" customHeight="1">
      <c r="A21" s="744" t="inlineStr">
        <is>
          <t>Сосиски</t>
        </is>
      </c>
      <c r="B21" s="1051" t="n"/>
      <c r="C21" s="1051" t="n"/>
      <c r="D21" s="1051" t="n"/>
      <c r="E21" s="1051" t="n"/>
      <c r="F21" s="1051" t="n"/>
      <c r="G21" s="1051" t="n"/>
      <c r="H21" s="1051" t="n"/>
      <c r="I21" s="1051" t="n"/>
      <c r="J21" s="1051" t="n"/>
      <c r="K21" s="1051" t="n"/>
      <c r="L21" s="1051" t="n"/>
      <c r="M21" s="1051" t="n"/>
      <c r="N21" s="1051" t="n"/>
      <c r="O21" s="1051" t="n"/>
      <c r="P21" s="1051" t="n"/>
      <c r="Q21" s="1051" t="n"/>
      <c r="R21" s="1051" t="n"/>
      <c r="S21" s="1051" t="n"/>
      <c r="T21" s="1051" t="n"/>
      <c r="U21" s="1051" t="n"/>
      <c r="V21" s="1051" t="n"/>
      <c r="W21" s="1051" t="n"/>
      <c r="X21" s="1051" t="n"/>
      <c r="Y21" s="1051" t="n"/>
      <c r="Z21" s="1051" t="n"/>
      <c r="AA21" s="744" t="n"/>
      <c r="AB21" s="744" t="n"/>
      <c r="AC21" s="744" t="n"/>
    </row>
    <row r="22" ht="37.5" customHeight="1">
      <c r="A22" s="63" t="inlineStr">
        <is>
          <t>SU003664</t>
        </is>
      </c>
      <c r="B22" s="63" t="inlineStr">
        <is>
          <t>P004653</t>
        </is>
      </c>
      <c r="C22" s="36" t="n">
        <v>4301051865</v>
      </c>
      <c r="D22" s="745" t="n">
        <v>4680115885912</v>
      </c>
      <c r="E22" s="1062" t="n"/>
      <c r="F22" s="1100" t="n">
        <v>0.3</v>
      </c>
      <c r="G22" s="37" t="n">
        <v>6</v>
      </c>
      <c r="H22" s="1100" t="n">
        <v>1.8</v>
      </c>
      <c r="I22" s="1100" t="n">
        <v>3.18</v>
      </c>
      <c r="J22" s="37" t="n">
        <v>182</v>
      </c>
      <c r="K22" s="37" t="inlineStr">
        <is>
          <t>14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101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2" s="1102" t="n"/>
      <c r="R22" s="1102" t="n"/>
      <c r="S22" s="1102" t="n"/>
      <c r="T22" s="1103" t="n"/>
      <c r="U22" s="39" t="inlineStr"/>
      <c r="V22" s="39" t="inlineStr"/>
      <c r="W22" s="40" t="inlineStr">
        <is>
          <t>кг</t>
        </is>
      </c>
      <c r="X22" s="1104" t="n">
        <v>15</v>
      </c>
      <c r="Y22" s="1105">
        <f>IFERROR(IF(X22="",0,CEILING((X22/$H22),1)*$H22),"")</f>
        <v/>
      </c>
      <c r="Z22" s="41">
        <f>IFERROR(IF(Y22=0,"",ROUNDUP(Y22/H22,0)*0.00651),"")</f>
        <v/>
      </c>
      <c r="AA22" s="68" t="inlineStr"/>
      <c r="AB22" s="69" t="inlineStr"/>
      <c r="AC22" s="86" t="inlineStr">
        <is>
          <t>ЕАЭС N RU Д-RU.РА06.В.91067/23, ЕАЭС N RU Д-RU.РА08.В.78145/23, ЕАЭС N RU Д-RU.РА08.В.78433/23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SU000341</t>
        </is>
      </c>
      <c r="B23" s="63" t="inlineStr">
        <is>
          <t>P003752</t>
        </is>
      </c>
      <c r="C23" s="36" t="n">
        <v>4301051552</v>
      </c>
      <c r="D23" s="745" t="n">
        <v>4607091388237</v>
      </c>
      <c r="E23" s="1062" t="n"/>
      <c r="F23" s="1100" t="n">
        <v>0.42</v>
      </c>
      <c r="G23" s="37" t="n">
        <v>6</v>
      </c>
      <c r="H23" s="1100" t="n">
        <v>2.52</v>
      </c>
      <c r="I23" s="1100" t="n">
        <v>2.766</v>
      </c>
      <c r="J23" s="37" t="n">
        <v>182</v>
      </c>
      <c r="K23" s="37" t="inlineStr">
        <is>
          <t>14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106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3" s="1102" t="n"/>
      <c r="R23" s="1102" t="n"/>
      <c r="S23" s="1102" t="n"/>
      <c r="T23" s="1103" t="n"/>
      <c r="U23" s="39" t="inlineStr"/>
      <c r="V23" s="39" t="inlineStr"/>
      <c r="W23" s="40" t="inlineStr">
        <is>
          <t>кг</t>
        </is>
      </c>
      <c r="X23" s="1104" t="n">
        <v>0</v>
      </c>
      <c r="Y23" s="1105">
        <f>IFERROR(IF(X23="",0,CEILING((X23/$H23),1)*$H23),"")</f>
        <v/>
      </c>
      <c r="Z23" s="41">
        <f>IFERROR(IF(Y23=0,"",ROUNDUP(Y23/H23,0)*0.00651),"")</f>
        <v/>
      </c>
      <c r="AA23" s="68" t="inlineStr"/>
      <c r="AB23" s="69" t="inlineStr"/>
      <c r="AC23" s="88" t="inlineStr">
        <is>
          <t>ЕАЭС N RU Д-RU.РА06.В.91067/23, ЕАЭС N RU Д-RU.РА08.В.78145/23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 ht="27" customHeight="1">
      <c r="A24" s="63" t="inlineStr">
        <is>
          <t>SU003821</t>
        </is>
      </c>
      <c r="B24" s="63" t="inlineStr">
        <is>
          <t>P004874</t>
        </is>
      </c>
      <c r="C24" s="36" t="n">
        <v>4301051907</v>
      </c>
      <c r="D24" s="745" t="n">
        <v>4680115886230</v>
      </c>
      <c r="E24" s="1062" t="n"/>
      <c r="F24" s="1100" t="n">
        <v>0.3</v>
      </c>
      <c r="G24" s="37" t="n">
        <v>6</v>
      </c>
      <c r="H24" s="1100" t="n">
        <v>1.8</v>
      </c>
      <c r="I24" s="1100" t="n">
        <v>2.046</v>
      </c>
      <c r="J24" s="37" t="n">
        <v>182</v>
      </c>
      <c r="K24" s="37" t="inlineStr">
        <is>
          <t>14</t>
        </is>
      </c>
      <c r="L24" s="37" t="inlineStr"/>
      <c r="M24" s="38" t="inlineStr">
        <is>
          <t>СК2</t>
        </is>
      </c>
      <c r="N24" s="38" t="n"/>
      <c r="O24" s="37" t="n">
        <v>40</v>
      </c>
      <c r="P24" s="1107" t="inlineStr">
        <is>
          <t>Сосиски «С горчицей» Фикс.вес 0,3 вискофан ТМ «Ядрена копоть»</t>
        </is>
      </c>
      <c r="Q24" s="1102" t="n"/>
      <c r="R24" s="1102" t="n"/>
      <c r="S24" s="1102" t="n"/>
      <c r="T24" s="1103" t="n"/>
      <c r="U24" s="39" t="inlineStr"/>
      <c r="V24" s="39" t="inlineStr"/>
      <c r="W24" s="40" t="inlineStr">
        <is>
          <t>кг</t>
        </is>
      </c>
      <c r="X24" s="1104" t="n">
        <v>0</v>
      </c>
      <c r="Y24" s="1105">
        <f>IFERROR(IF(X24="",0,CEILING((X24/$H24),1)*$H24),"")</f>
        <v/>
      </c>
      <c r="Z24" s="41">
        <f>IFERROR(IF(Y24=0,"",ROUNDUP(Y24/H24,0)*0.00651),"")</f>
        <v/>
      </c>
      <c r="AA24" s="68" t="inlineStr"/>
      <c r="AB24" s="69" t="inlineStr"/>
      <c r="AC24" s="90" t="inlineStr">
        <is>
          <t>ЕАЭС N RU Д-RU.РА03.В.24952/24, ЕАЭС N RU Д-RU.РА04.В.77529/23</t>
        </is>
      </c>
      <c r="AG24" s="78" t="n"/>
      <c r="AJ24" s="84" t="inlineStr"/>
      <c r="AK24" s="84" t="n">
        <v>0</v>
      </c>
      <c r="BB24" s="91" t="inlineStr">
        <is>
          <t>КИ</t>
        </is>
      </c>
      <c r="BM24" s="78">
        <f>IFERROR(X24*I24/H24,"0")</f>
        <v/>
      </c>
      <c r="BN24" s="78">
        <f>IFERROR(Y24*I24/H24,"0")</f>
        <v/>
      </c>
      <c r="BO24" s="78">
        <f>IFERROR(1/J24*(X24/H24),"0")</f>
        <v/>
      </c>
      <c r="BP24" s="78">
        <f>IFERROR(1/J24*(Y24/H24),"0")</f>
        <v/>
      </c>
    </row>
    <row r="25" ht="27" customHeight="1">
      <c r="A25" s="63" t="inlineStr">
        <is>
          <t>SU003820</t>
        </is>
      </c>
      <c r="B25" s="63" t="inlineStr">
        <is>
          <t>P004876</t>
        </is>
      </c>
      <c r="C25" s="36" t="n">
        <v>4301051909</v>
      </c>
      <c r="D25" s="745" t="n">
        <v>4680115886247</v>
      </c>
      <c r="E25" s="1062" t="n"/>
      <c r="F25" s="1100" t="n">
        <v>0.3</v>
      </c>
      <c r="G25" s="37" t="n">
        <v>6</v>
      </c>
      <c r="H25" s="1100" t="n">
        <v>1.8</v>
      </c>
      <c r="I25" s="1100" t="n">
        <v>2.046</v>
      </c>
      <c r="J25" s="37" t="n">
        <v>182</v>
      </c>
      <c r="K25" s="37" t="inlineStr">
        <is>
          <t>14</t>
        </is>
      </c>
      <c r="L25" s="37" t="inlineStr"/>
      <c r="M25" s="38" t="inlineStr">
        <is>
          <t>СК2</t>
        </is>
      </c>
      <c r="N25" s="38" t="n"/>
      <c r="O25" s="37" t="n">
        <v>40</v>
      </c>
      <c r="P25" s="1108" t="inlineStr">
        <is>
          <t>Сосиски «С соусом Барбекю» Фикс.вес 0,3 вискофан ТМ «Ядрена копоть»</t>
        </is>
      </c>
      <c r="Q25" s="1102" t="n"/>
      <c r="R25" s="1102" t="n"/>
      <c r="S25" s="1102" t="n"/>
      <c r="T25" s="1103" t="n"/>
      <c r="U25" s="39" t="inlineStr"/>
      <c r="V25" s="39" t="inlineStr"/>
      <c r="W25" s="40" t="inlineStr">
        <is>
          <t>кг</t>
        </is>
      </c>
      <c r="X25" s="1104" t="n">
        <v>0</v>
      </c>
      <c r="Y25" s="1105">
        <f>IFERROR(IF(X25="",0,CEILING((X25/$H25),1)*$H25),"")</f>
        <v/>
      </c>
      <c r="Z25" s="41">
        <f>IFERROR(IF(Y25=0,"",ROUNDUP(Y25/H25,0)*0.00651),"")</f>
        <v/>
      </c>
      <c r="AA25" s="68" t="inlineStr"/>
      <c r="AB25" s="69" t="inlineStr"/>
      <c r="AC25" s="92" t="inlineStr">
        <is>
          <t>ЕАЭС N RU Д-RU.РА03.В.10942/23, ЕАЭС N RU Д-RU.РА04.В.77492/23</t>
        </is>
      </c>
      <c r="AG25" s="78" t="n"/>
      <c r="AJ25" s="84" t="inlineStr"/>
      <c r="AK25" s="84" t="n">
        <v>0</v>
      </c>
      <c r="BB25" s="93" t="inlineStr">
        <is>
          <t>КИ</t>
        </is>
      </c>
      <c r="BM25" s="78">
        <f>IFERROR(X25*I25/H25,"0")</f>
        <v/>
      </c>
      <c r="BN25" s="78">
        <f>IFERROR(Y25*I25/H25,"0")</f>
        <v/>
      </c>
      <c r="BO25" s="78">
        <f>IFERROR(1/J25*(X25/H25),"0")</f>
        <v/>
      </c>
      <c r="BP25" s="78">
        <f>IFERROR(1/J25*(Y25/H25),"0")</f>
        <v/>
      </c>
    </row>
    <row r="26" ht="27" customHeight="1">
      <c r="A26" s="63" t="inlineStr">
        <is>
          <t>SU003665</t>
        </is>
      </c>
      <c r="B26" s="63" t="inlineStr">
        <is>
          <t>P004642</t>
        </is>
      </c>
      <c r="C26" s="36" t="n">
        <v>4301051861</v>
      </c>
      <c r="D26" s="745" t="n">
        <v>4680115885905</v>
      </c>
      <c r="E26" s="1062" t="n"/>
      <c r="F26" s="1100" t="n">
        <v>0.3</v>
      </c>
      <c r="G26" s="37" t="n">
        <v>6</v>
      </c>
      <c r="H26" s="1100" t="n">
        <v>1.8</v>
      </c>
      <c r="I26" s="1100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СК2</t>
        </is>
      </c>
      <c r="N26" s="38" t="n"/>
      <c r="O26" s="37" t="n">
        <v>40</v>
      </c>
      <c r="P26" s="1109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26" s="1102" t="n"/>
      <c r="R26" s="1102" t="n"/>
      <c r="S26" s="1102" t="n"/>
      <c r="T26" s="1103" t="n"/>
      <c r="U26" s="39" t="inlineStr"/>
      <c r="V26" s="39" t="inlineStr"/>
      <c r="W26" s="40" t="inlineStr">
        <is>
          <t>кг</t>
        </is>
      </c>
      <c r="X26" s="1104" t="n">
        <v>0</v>
      </c>
      <c r="Y26" s="1105">
        <f>IFERROR(IF(X26="",0,CEILING((X26/$H26),1)*$H26),"")</f>
        <v/>
      </c>
      <c r="Z26" s="41">
        <f>IFERROR(IF(Y26=0,"",ROUNDUP(Y26/H26,0)*0.00651),"")</f>
        <v/>
      </c>
      <c r="AA26" s="68" t="inlineStr"/>
      <c r="AB26" s="69" t="inlineStr"/>
      <c r="AC26" s="94" t="inlineStr">
        <is>
          <t>ЕАЭС N RU Д-RU.РА06.В.92094/23, ЕАЭС N RU Д-RU.РА08.В.79642/23</t>
        </is>
      </c>
      <c r="AG26" s="78" t="n"/>
      <c r="AJ26" s="84" t="inlineStr"/>
      <c r="AK26" s="84" t="n">
        <v>0</v>
      </c>
      <c r="BB26" s="95" t="inlineStr">
        <is>
          <t>КИ</t>
        </is>
      </c>
      <c r="BM26" s="78">
        <f>IFERROR(X26*I26/H26,"0")</f>
        <v/>
      </c>
      <c r="BN26" s="78">
        <f>IFERROR(Y26*I26/H26,"0")</f>
        <v/>
      </c>
      <c r="BO26" s="78">
        <f>IFERROR(1/J26*(X26/H26),"0")</f>
        <v/>
      </c>
      <c r="BP26" s="78">
        <f>IFERROR(1/J26*(Y26/H26),"0")</f>
        <v/>
      </c>
    </row>
    <row r="27" ht="37.5" customHeight="1">
      <c r="A27" s="63" t="inlineStr">
        <is>
          <t>SU000152</t>
        </is>
      </c>
      <c r="B27" s="63" t="inlineStr">
        <is>
          <t>P003878</t>
        </is>
      </c>
      <c r="C27" s="36" t="n">
        <v>4301051592</v>
      </c>
      <c r="D27" s="745" t="n">
        <v>4607091388244</v>
      </c>
      <c r="E27" s="1062" t="n"/>
      <c r="F27" s="1100" t="n">
        <v>0.42</v>
      </c>
      <c r="G27" s="37" t="n">
        <v>6</v>
      </c>
      <c r="H27" s="1100" t="n">
        <v>2.52</v>
      </c>
      <c r="I27" s="1100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СК2</t>
        </is>
      </c>
      <c r="N27" s="38" t="n"/>
      <c r="O27" s="37" t="n">
        <v>40</v>
      </c>
      <c r="P27" s="1110">
        <f>HYPERLINK("https://abi.ru/products/Охлажденные/Ядрена копоть/Ядрена копоть/Сосиски/P003878/","Сосиски «Сосиски с сыром» Фикс.вес 0,42 ц/о мгс ТМ Ядрена копоть")</f>
        <v/>
      </c>
      <c r="Q27" s="1102" t="n"/>
      <c r="R27" s="1102" t="n"/>
      <c r="S27" s="1102" t="n"/>
      <c r="T27" s="1103" t="n"/>
      <c r="U27" s="39" t="inlineStr"/>
      <c r="V27" s="39" t="inlineStr"/>
      <c r="W27" s="40" t="inlineStr">
        <is>
          <t>кг</t>
        </is>
      </c>
      <c r="X27" s="1104" t="n">
        <v>0</v>
      </c>
      <c r="Y27" s="1105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6" t="inlineStr">
        <is>
          <t>ЕАЭС N RU Д-RU.РА06.В.92094/23, ЕАЭС N RU Д-RU.РА08.В.79286/23, ЕАЭС N RU Д-RU.РА08.В.79642/23</t>
        </is>
      </c>
      <c r="AG27" s="78" t="n"/>
      <c r="AJ27" s="84" t="inlineStr"/>
      <c r="AK27" s="84" t="n">
        <v>0</v>
      </c>
      <c r="BB27" s="97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>
      <c r="A28" s="758" t="n"/>
      <c r="B28" s="1051" t="n"/>
      <c r="C28" s="1051" t="n"/>
      <c r="D28" s="1051" t="n"/>
      <c r="E28" s="1051" t="n"/>
      <c r="F28" s="1051" t="n"/>
      <c r="G28" s="1051" t="n"/>
      <c r="H28" s="1051" t="n"/>
      <c r="I28" s="1051" t="n"/>
      <c r="J28" s="1051" t="n"/>
      <c r="K28" s="1051" t="n"/>
      <c r="L28" s="1051" t="n"/>
      <c r="M28" s="1051" t="n"/>
      <c r="N28" s="1051" t="n"/>
      <c r="O28" s="1111" t="n"/>
      <c r="P28" s="1112" t="inlineStr">
        <is>
          <t>Итого</t>
        </is>
      </c>
      <c r="Q28" s="1069" t="n"/>
      <c r="R28" s="1069" t="n"/>
      <c r="S28" s="1069" t="n"/>
      <c r="T28" s="1069" t="n"/>
      <c r="U28" s="1069" t="n"/>
      <c r="V28" s="1070" t="n"/>
      <c r="W28" s="42" t="inlineStr">
        <is>
          <t>кор</t>
        </is>
      </c>
      <c r="X28" s="1113">
        <f>IFERROR(X22/H22,"0")+IFERROR(X23/H23,"0")+IFERROR(X24/H24,"0")+IFERROR(X25/H25,"0")+IFERROR(X26/H26,"0")+IFERROR(X27/H27,"0")</f>
        <v/>
      </c>
      <c r="Y28" s="1113">
        <f>IFERROR(Y22/H22,"0")+IFERROR(Y23/H23,"0")+IFERROR(Y24/H24,"0")+IFERROR(Y25/H25,"0")+IFERROR(Y26/H26,"0")+IFERROR(Y27/H27,"0")</f>
        <v/>
      </c>
      <c r="Z28" s="1113">
        <f>IFERROR(IF(Z22="",0,Z22),"0")+IFERROR(IF(Z23="",0,Z23),"0")+IFERROR(IF(Z24="",0,Z24),"0")+IFERROR(IF(Z25="",0,Z25),"0")+IFERROR(IF(Z26="",0,Z26),"0")+IFERROR(IF(Z27="",0,Z27),"0")</f>
        <v/>
      </c>
      <c r="AA28" s="1114" t="n"/>
      <c r="AB28" s="1114" t="n"/>
      <c r="AC28" s="1114" t="n"/>
    </row>
    <row r="29">
      <c r="A29" s="1051" t="n"/>
      <c r="B29" s="1051" t="n"/>
      <c r="C29" s="1051" t="n"/>
      <c r="D29" s="1051" t="n"/>
      <c r="E29" s="1051" t="n"/>
      <c r="F29" s="1051" t="n"/>
      <c r="G29" s="1051" t="n"/>
      <c r="H29" s="1051" t="n"/>
      <c r="I29" s="1051" t="n"/>
      <c r="J29" s="1051" t="n"/>
      <c r="K29" s="1051" t="n"/>
      <c r="L29" s="1051" t="n"/>
      <c r="M29" s="1051" t="n"/>
      <c r="N29" s="1051" t="n"/>
      <c r="O29" s="1111" t="n"/>
      <c r="P29" s="1112" t="inlineStr">
        <is>
          <t>Итого</t>
        </is>
      </c>
      <c r="Q29" s="1069" t="n"/>
      <c r="R29" s="1069" t="n"/>
      <c r="S29" s="1069" t="n"/>
      <c r="T29" s="1069" t="n"/>
      <c r="U29" s="1069" t="n"/>
      <c r="V29" s="1070" t="n"/>
      <c r="W29" s="42" t="inlineStr">
        <is>
          <t>кг</t>
        </is>
      </c>
      <c r="X29" s="1113">
        <f>IFERROR(SUM(X22:X27),"0")</f>
        <v/>
      </c>
      <c r="Y29" s="1113">
        <f>IFERROR(SUM(Y22:Y27),"0")</f>
        <v/>
      </c>
      <c r="Z29" s="42" t="n"/>
      <c r="AA29" s="1114" t="n"/>
      <c r="AB29" s="1114" t="n"/>
      <c r="AC29" s="1114" t="n"/>
    </row>
    <row r="30" ht="14.25" customHeight="1">
      <c r="A30" s="744" t="inlineStr">
        <is>
          <t>Сырокопченые колбасы</t>
        </is>
      </c>
      <c r="B30" s="1051" t="n"/>
      <c r="C30" s="1051" t="n"/>
      <c r="D30" s="1051" t="n"/>
      <c r="E30" s="1051" t="n"/>
      <c r="F30" s="1051" t="n"/>
      <c r="G30" s="1051" t="n"/>
      <c r="H30" s="1051" t="n"/>
      <c r="I30" s="1051" t="n"/>
      <c r="J30" s="1051" t="n"/>
      <c r="K30" s="1051" t="n"/>
      <c r="L30" s="1051" t="n"/>
      <c r="M30" s="1051" t="n"/>
      <c r="N30" s="1051" t="n"/>
      <c r="O30" s="1051" t="n"/>
      <c r="P30" s="1051" t="n"/>
      <c r="Q30" s="1051" t="n"/>
      <c r="R30" s="1051" t="n"/>
      <c r="S30" s="1051" t="n"/>
      <c r="T30" s="1051" t="n"/>
      <c r="U30" s="1051" t="n"/>
      <c r="V30" s="1051" t="n"/>
      <c r="W30" s="1051" t="n"/>
      <c r="X30" s="1051" t="n"/>
      <c r="Y30" s="1051" t="n"/>
      <c r="Z30" s="1051" t="n"/>
      <c r="AA30" s="744" t="n"/>
      <c r="AB30" s="744" t="n"/>
      <c r="AC30" s="744" t="n"/>
    </row>
    <row r="31" ht="27" customHeight="1">
      <c r="A31" s="63" t="inlineStr">
        <is>
          <t>SU002050</t>
        </is>
      </c>
      <c r="B31" s="63" t="inlineStr">
        <is>
          <t>P002188</t>
        </is>
      </c>
      <c r="C31" s="36" t="n">
        <v>4301032013</v>
      </c>
      <c r="D31" s="745" t="n">
        <v>4607091388503</v>
      </c>
      <c r="E31" s="1062" t="n"/>
      <c r="F31" s="1100" t="n">
        <v>0.05</v>
      </c>
      <c r="G31" s="37" t="n">
        <v>12</v>
      </c>
      <c r="H31" s="1100" t="n">
        <v>0.6</v>
      </c>
      <c r="I31" s="1100" t="n">
        <v>0.822</v>
      </c>
      <c r="J31" s="37" t="n">
        <v>182</v>
      </c>
      <c r="K31" s="37" t="inlineStr">
        <is>
          <t>14</t>
        </is>
      </c>
      <c r="L31" s="37" t="inlineStr"/>
      <c r="M31" s="38" t="inlineStr">
        <is>
          <t>АК</t>
        </is>
      </c>
      <c r="N31" s="38" t="n"/>
      <c r="O31" s="37" t="n">
        <v>120</v>
      </c>
      <c r="P31" s="1115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1" s="1102" t="n"/>
      <c r="R31" s="1102" t="n"/>
      <c r="S31" s="1102" t="n"/>
      <c r="T31" s="1103" t="n"/>
      <c r="U31" s="39" t="inlineStr"/>
      <c r="V31" s="39" t="inlineStr"/>
      <c r="W31" s="40" t="inlineStr">
        <is>
          <t>кг</t>
        </is>
      </c>
      <c r="X31" s="1104" t="n">
        <v>0</v>
      </c>
      <c r="Y31" s="1105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Д-RU.РА01.В.14797/20</t>
        </is>
      </c>
      <c r="AG31" s="78" t="n"/>
      <c r="AJ31" s="84" t="inlineStr"/>
      <c r="AK31" s="84" t="n">
        <v>0</v>
      </c>
      <c r="BB31" s="99" t="inlineStr">
        <is>
          <t>СНК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58" t="n"/>
      <c r="B32" s="1051" t="n"/>
      <c r="C32" s="1051" t="n"/>
      <c r="D32" s="1051" t="n"/>
      <c r="E32" s="1051" t="n"/>
      <c r="F32" s="1051" t="n"/>
      <c r="G32" s="1051" t="n"/>
      <c r="H32" s="1051" t="n"/>
      <c r="I32" s="1051" t="n"/>
      <c r="J32" s="1051" t="n"/>
      <c r="K32" s="1051" t="n"/>
      <c r="L32" s="1051" t="n"/>
      <c r="M32" s="1051" t="n"/>
      <c r="N32" s="1051" t="n"/>
      <c r="O32" s="1111" t="n"/>
      <c r="P32" s="1112" t="inlineStr">
        <is>
          <t>Итого</t>
        </is>
      </c>
      <c r="Q32" s="1069" t="n"/>
      <c r="R32" s="1069" t="n"/>
      <c r="S32" s="1069" t="n"/>
      <c r="T32" s="1069" t="n"/>
      <c r="U32" s="1069" t="n"/>
      <c r="V32" s="1070" t="n"/>
      <c r="W32" s="42" t="inlineStr">
        <is>
          <t>кор</t>
        </is>
      </c>
      <c r="X32" s="1113">
        <f>IFERROR(X31/H31,"0")</f>
        <v/>
      </c>
      <c r="Y32" s="1113">
        <f>IFERROR(Y31/H31,"0")</f>
        <v/>
      </c>
      <c r="Z32" s="1113">
        <f>IFERROR(IF(Z31="",0,Z31),"0")</f>
        <v/>
      </c>
      <c r="AA32" s="1114" t="n"/>
      <c r="AB32" s="1114" t="n"/>
      <c r="AC32" s="1114" t="n"/>
    </row>
    <row r="33">
      <c r="A33" s="1051" t="n"/>
      <c r="B33" s="1051" t="n"/>
      <c r="C33" s="1051" t="n"/>
      <c r="D33" s="1051" t="n"/>
      <c r="E33" s="1051" t="n"/>
      <c r="F33" s="1051" t="n"/>
      <c r="G33" s="1051" t="n"/>
      <c r="H33" s="1051" t="n"/>
      <c r="I33" s="1051" t="n"/>
      <c r="J33" s="1051" t="n"/>
      <c r="K33" s="1051" t="n"/>
      <c r="L33" s="1051" t="n"/>
      <c r="M33" s="1051" t="n"/>
      <c r="N33" s="1051" t="n"/>
      <c r="O33" s="1111" t="n"/>
      <c r="P33" s="1112" t="inlineStr">
        <is>
          <t>Итого</t>
        </is>
      </c>
      <c r="Q33" s="1069" t="n"/>
      <c r="R33" s="1069" t="n"/>
      <c r="S33" s="1069" t="n"/>
      <c r="T33" s="1069" t="n"/>
      <c r="U33" s="1069" t="n"/>
      <c r="V33" s="1070" t="n"/>
      <c r="W33" s="42" t="inlineStr">
        <is>
          <t>кг</t>
        </is>
      </c>
      <c r="X33" s="1113">
        <f>IFERROR(SUM(X31:X31),"0")</f>
        <v/>
      </c>
      <c r="Y33" s="1113">
        <f>IFERROR(SUM(Y31:Y31),"0")</f>
        <v/>
      </c>
      <c r="Z33" s="42" t="n"/>
      <c r="AA33" s="1114" t="n"/>
      <c r="AB33" s="1114" t="n"/>
      <c r="AC33" s="1114" t="n"/>
    </row>
    <row r="34" ht="27.75" customHeight="1">
      <c r="A34" s="742" t="inlineStr">
        <is>
          <t>Вязанка</t>
        </is>
      </c>
      <c r="B34" s="1099" t="n"/>
      <c r="C34" s="1099" t="n"/>
      <c r="D34" s="1099" t="n"/>
      <c r="E34" s="1099" t="n"/>
      <c r="F34" s="1099" t="n"/>
      <c r="G34" s="1099" t="n"/>
      <c r="H34" s="1099" t="n"/>
      <c r="I34" s="1099" t="n"/>
      <c r="J34" s="1099" t="n"/>
      <c r="K34" s="1099" t="n"/>
      <c r="L34" s="1099" t="n"/>
      <c r="M34" s="1099" t="n"/>
      <c r="N34" s="1099" t="n"/>
      <c r="O34" s="1099" t="n"/>
      <c r="P34" s="1099" t="n"/>
      <c r="Q34" s="1099" t="n"/>
      <c r="R34" s="1099" t="n"/>
      <c r="S34" s="1099" t="n"/>
      <c r="T34" s="1099" t="n"/>
      <c r="U34" s="1099" t="n"/>
      <c r="V34" s="1099" t="n"/>
      <c r="W34" s="1099" t="n"/>
      <c r="X34" s="1099" t="n"/>
      <c r="Y34" s="1099" t="n"/>
      <c r="Z34" s="1099" t="n"/>
      <c r="AA34" s="54" t="n"/>
      <c r="AB34" s="54" t="n"/>
      <c r="AC34" s="54" t="n"/>
    </row>
    <row r="35" ht="16.5" customHeight="1">
      <c r="A35" s="743" t="inlineStr">
        <is>
          <t>ГОСТ</t>
        </is>
      </c>
      <c r="B35" s="1051" t="n"/>
      <c r="C35" s="1051" t="n"/>
      <c r="D35" s="1051" t="n"/>
      <c r="E35" s="1051" t="n"/>
      <c r="F35" s="1051" t="n"/>
      <c r="G35" s="1051" t="n"/>
      <c r="H35" s="1051" t="n"/>
      <c r="I35" s="1051" t="n"/>
      <c r="J35" s="1051" t="n"/>
      <c r="K35" s="1051" t="n"/>
      <c r="L35" s="1051" t="n"/>
      <c r="M35" s="1051" t="n"/>
      <c r="N35" s="1051" t="n"/>
      <c r="O35" s="1051" t="n"/>
      <c r="P35" s="1051" t="n"/>
      <c r="Q35" s="1051" t="n"/>
      <c r="R35" s="1051" t="n"/>
      <c r="S35" s="1051" t="n"/>
      <c r="T35" s="1051" t="n"/>
      <c r="U35" s="1051" t="n"/>
      <c r="V35" s="1051" t="n"/>
      <c r="W35" s="1051" t="n"/>
      <c r="X35" s="1051" t="n"/>
      <c r="Y35" s="1051" t="n"/>
      <c r="Z35" s="1051" t="n"/>
      <c r="AA35" s="743" t="n"/>
      <c r="AB35" s="743" t="n"/>
      <c r="AC35" s="743" t="n"/>
    </row>
    <row r="36" ht="14.25" customHeight="1">
      <c r="A36" s="744" t="inlineStr">
        <is>
          <t>Вареные колбасы</t>
        </is>
      </c>
      <c r="B36" s="1051" t="n"/>
      <c r="C36" s="1051" t="n"/>
      <c r="D36" s="1051" t="n"/>
      <c r="E36" s="1051" t="n"/>
      <c r="F36" s="1051" t="n"/>
      <c r="G36" s="1051" t="n"/>
      <c r="H36" s="1051" t="n"/>
      <c r="I36" s="1051" t="n"/>
      <c r="J36" s="1051" t="n"/>
      <c r="K36" s="1051" t="n"/>
      <c r="L36" s="1051" t="n"/>
      <c r="M36" s="1051" t="n"/>
      <c r="N36" s="1051" t="n"/>
      <c r="O36" s="1051" t="n"/>
      <c r="P36" s="1051" t="n"/>
      <c r="Q36" s="1051" t="n"/>
      <c r="R36" s="1051" t="n"/>
      <c r="S36" s="1051" t="n"/>
      <c r="T36" s="1051" t="n"/>
      <c r="U36" s="1051" t="n"/>
      <c r="V36" s="1051" t="n"/>
      <c r="W36" s="1051" t="n"/>
      <c r="X36" s="1051" t="n"/>
      <c r="Y36" s="1051" t="n"/>
      <c r="Z36" s="1051" t="n"/>
      <c r="AA36" s="744" t="n"/>
      <c r="AB36" s="744" t="n"/>
      <c r="AC36" s="744" t="n"/>
    </row>
    <row r="37" ht="16.5" customHeight="1">
      <c r="A37" s="63" t="inlineStr">
        <is>
          <t>SU000722</t>
        </is>
      </c>
      <c r="B37" s="63" t="inlineStr">
        <is>
          <t>P003011</t>
        </is>
      </c>
      <c r="C37" s="36" t="n">
        <v>4301011380</v>
      </c>
      <c r="D37" s="745" t="n">
        <v>4607091385670</v>
      </c>
      <c r="E37" s="1062" t="n"/>
      <c r="F37" s="1100" t="n">
        <v>1.35</v>
      </c>
      <c r="G37" s="37" t="n">
        <v>8</v>
      </c>
      <c r="H37" s="1100" t="n">
        <v>10.8</v>
      </c>
      <c r="I37" s="1100" t="n">
        <v>11.235</v>
      </c>
      <c r="J37" s="37" t="n">
        <v>64</v>
      </c>
      <c r="K37" s="37" t="inlineStr">
        <is>
          <t>8</t>
        </is>
      </c>
      <c r="L37" s="37" t="inlineStr"/>
      <c r="M37" s="38" t="inlineStr">
        <is>
          <t>СК1</t>
        </is>
      </c>
      <c r="N37" s="38" t="n"/>
      <c r="O37" s="37" t="n">
        <v>50</v>
      </c>
      <c r="P37" s="1116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37" s="1102" t="n"/>
      <c r="R37" s="1102" t="n"/>
      <c r="S37" s="1102" t="n"/>
      <c r="T37" s="1103" t="n"/>
      <c r="U37" s="39" t="inlineStr"/>
      <c r="V37" s="39" t="inlineStr"/>
      <c r="W37" s="40" t="inlineStr">
        <is>
          <t>кг</t>
        </is>
      </c>
      <c r="X37" s="1104" t="n">
        <v>150</v>
      </c>
      <c r="Y37" s="1105">
        <f>IFERROR(IF(X37="",0,CEILING((X37/$H37),1)*$H37),"")</f>
        <v/>
      </c>
      <c r="Z37" s="41">
        <f>IFERROR(IF(Y37=0,"",ROUNDUP(Y37/H37,0)*0.01898),"")</f>
        <v/>
      </c>
      <c r="AA37" s="68" t="inlineStr"/>
      <c r="AB37" s="69" t="inlineStr"/>
      <c r="AC37" s="100" t="inlineStr">
        <is>
          <t>ЕАЭС N RU Д- RU.РА01.В.79635/20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>
        <f>IFERROR(X37*I37/H37,"0")</f>
        <v/>
      </c>
      <c r="BN37" s="78">
        <f>IFERROR(Y37*I37/H37,"0")</f>
        <v/>
      </c>
      <c r="BO37" s="78">
        <f>IFERROR(1/J37*(X37/H37),"0")</f>
        <v/>
      </c>
      <c r="BP37" s="78">
        <f>IFERROR(1/J37*(Y37/H37),"0")</f>
        <v/>
      </c>
    </row>
    <row r="38" ht="27" customHeight="1">
      <c r="A38" s="63" t="inlineStr">
        <is>
          <t>SU001485</t>
        </is>
      </c>
      <c r="B38" s="63" t="inlineStr">
        <is>
          <t>P003008</t>
        </is>
      </c>
      <c r="C38" s="36" t="n">
        <v>4301011382</v>
      </c>
      <c r="D38" s="745" t="n">
        <v>4607091385687</v>
      </c>
      <c r="E38" s="1062" t="n"/>
      <c r="F38" s="1100" t="n">
        <v>0.4</v>
      </c>
      <c r="G38" s="37" t="n">
        <v>10</v>
      </c>
      <c r="H38" s="1100" t="n">
        <v>4</v>
      </c>
      <c r="I38" s="1100" t="n">
        <v>4.21</v>
      </c>
      <c r="J38" s="37" t="n">
        <v>132</v>
      </c>
      <c r="K38" s="37" t="inlineStr">
        <is>
          <t>12</t>
        </is>
      </c>
      <c r="L38" s="37" t="inlineStr">
        <is>
          <t>Палетта, мин. 1</t>
        </is>
      </c>
      <c r="M38" s="38" t="inlineStr">
        <is>
          <t>СК3</t>
        </is>
      </c>
      <c r="N38" s="38" t="n"/>
      <c r="O38" s="37" t="n">
        <v>50</v>
      </c>
      <c r="P38" s="1117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38" s="1102" t="n"/>
      <c r="R38" s="1102" t="n"/>
      <c r="S38" s="1102" t="n"/>
      <c r="T38" s="1103" t="n"/>
      <c r="U38" s="39" t="inlineStr"/>
      <c r="V38" s="39" t="inlineStr"/>
      <c r="W38" s="40" t="inlineStr">
        <is>
          <t>кг</t>
        </is>
      </c>
      <c r="X38" s="1104" t="n">
        <v>240</v>
      </c>
      <c r="Y38" s="1105">
        <f>IFERROR(IF(X38="",0,CEILING((X38/$H38),1)*$H38),"")</f>
        <v/>
      </c>
      <c r="Z38" s="41">
        <f>IFERROR(IF(Y38=0,"",ROUNDUP(Y38/H38,0)*0.00902),"")</f>
        <v/>
      </c>
      <c r="AA38" s="68" t="inlineStr"/>
      <c r="AB38" s="69" t="inlineStr"/>
      <c r="AC38" s="102" t="inlineStr">
        <is>
          <t>ЕАЭС N RU Д- RU.РА01.В.79635/20</t>
        </is>
      </c>
      <c r="AG38" s="78" t="n"/>
      <c r="AJ38" s="84" t="inlineStr">
        <is>
          <t>Палетта</t>
        </is>
      </c>
      <c r="AK38" s="84" t="n">
        <v>528</v>
      </c>
      <c r="BB38" s="103" t="inlineStr">
        <is>
          <t>КИ</t>
        </is>
      </c>
      <c r="BM38" s="78">
        <f>IFERROR(X38*I38/H38,"0")</f>
        <v/>
      </c>
      <c r="BN38" s="78">
        <f>IFERROR(Y38*I38/H38,"0")</f>
        <v/>
      </c>
      <c r="BO38" s="78">
        <f>IFERROR(1/J38*(X38/H38),"0")</f>
        <v/>
      </c>
      <c r="BP38" s="78">
        <f>IFERROR(1/J38*(Y38/H38),"0")</f>
        <v/>
      </c>
    </row>
    <row r="39" ht="27" customHeight="1">
      <c r="A39" s="63" t="inlineStr">
        <is>
          <t>SU002986</t>
        </is>
      </c>
      <c r="B39" s="63" t="inlineStr">
        <is>
          <t>P003429</t>
        </is>
      </c>
      <c r="C39" s="36" t="n">
        <v>4301011565</v>
      </c>
      <c r="D39" s="745" t="n">
        <v>4680115882539</v>
      </c>
      <c r="E39" s="1062" t="n"/>
      <c r="F39" s="1100" t="n">
        <v>0.37</v>
      </c>
      <c r="G39" s="37" t="n">
        <v>10</v>
      </c>
      <c r="H39" s="1100" t="n">
        <v>3.7</v>
      </c>
      <c r="I39" s="1100" t="n">
        <v>3.91</v>
      </c>
      <c r="J39" s="37" t="n">
        <v>132</v>
      </c>
      <c r="K39" s="37" t="inlineStr">
        <is>
          <t>12</t>
        </is>
      </c>
      <c r="L39" s="37" t="inlineStr"/>
      <c r="M39" s="38" t="inlineStr">
        <is>
          <t>СК3</t>
        </is>
      </c>
      <c r="N39" s="38" t="n"/>
      <c r="O39" s="37" t="n">
        <v>50</v>
      </c>
      <c r="P39" s="1118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39" s="1102" t="n"/>
      <c r="R39" s="1102" t="n"/>
      <c r="S39" s="1102" t="n"/>
      <c r="T39" s="1103" t="n"/>
      <c r="U39" s="39" t="inlineStr"/>
      <c r="V39" s="39" t="inlineStr"/>
      <c r="W39" s="40" t="inlineStr">
        <is>
          <t>кг</t>
        </is>
      </c>
      <c r="X39" s="1104" t="n">
        <v>0</v>
      </c>
      <c r="Y39" s="1105">
        <f>IFERROR(IF(X39="",0,CEILING((X39/$H39),1)*$H39),"")</f>
        <v/>
      </c>
      <c r="Z39" s="41">
        <f>IFERROR(IF(Y39=0,"",ROUNDUP(Y39/H39,0)*0.00902),"")</f>
        <v/>
      </c>
      <c r="AA39" s="68" t="inlineStr"/>
      <c r="AB39" s="69" t="inlineStr"/>
      <c r="AC39" s="104" t="inlineStr">
        <is>
          <t>ЕАЭС N RU Д- RU.РА01.В.79635/20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>
        <f>IFERROR(X39*I39/H39,"0")</f>
        <v/>
      </c>
      <c r="BN39" s="78">
        <f>IFERROR(Y39*I39/H39,"0")</f>
        <v/>
      </c>
      <c r="BO39" s="78">
        <f>IFERROR(1/J39*(X39/H39),"0")</f>
        <v/>
      </c>
      <c r="BP39" s="78">
        <f>IFERROR(1/J39*(Y39/H39),"0")</f>
        <v/>
      </c>
    </row>
    <row r="40" ht="27" customHeight="1">
      <c r="A40" s="63" t="inlineStr">
        <is>
          <t>SU003112</t>
        </is>
      </c>
      <c r="B40" s="63" t="inlineStr">
        <is>
          <t>P003695</t>
        </is>
      </c>
      <c r="C40" s="36" t="n">
        <v>4301011624</v>
      </c>
      <c r="D40" s="745" t="n">
        <v>4680115883949</v>
      </c>
      <c r="E40" s="1062" t="n"/>
      <c r="F40" s="1100" t="n">
        <v>0.37</v>
      </c>
      <c r="G40" s="37" t="n">
        <v>10</v>
      </c>
      <c r="H40" s="1100" t="n">
        <v>3.7</v>
      </c>
      <c r="I40" s="1100" t="n">
        <v>3.91</v>
      </c>
      <c r="J40" s="37" t="n">
        <v>132</v>
      </c>
      <c r="K40" s="37" t="inlineStr">
        <is>
          <t>12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1119">
        <f>HYPERLINK("https://abi.ru/products/Охлажденные/Вязанка/ГОСТ/Вареные колбасы/P003695/","Вареные колбасы «Любительская ГОСТ» Фикс.вес 0,37 п/а ТМ «Вязанка»")</f>
        <v/>
      </c>
      <c r="Q40" s="1102" t="n"/>
      <c r="R40" s="1102" t="n"/>
      <c r="S40" s="1102" t="n"/>
      <c r="T40" s="1103" t="n"/>
      <c r="U40" s="39" t="inlineStr"/>
      <c r="V40" s="39" t="inlineStr"/>
      <c r="W40" s="40" t="inlineStr">
        <is>
          <t>кг</t>
        </is>
      </c>
      <c r="X40" s="1104" t="n">
        <v>0</v>
      </c>
      <c r="Y40" s="1105">
        <f>IFERROR(IF(X40="",0,CEILING((X40/$H40),1)*$H40),"")</f>
        <v/>
      </c>
      <c r="Z40" s="41">
        <f>IFERROR(IF(Y40=0,"",ROUNDUP(Y40/H40,0)*0.00902),"")</f>
        <v/>
      </c>
      <c r="AA40" s="68" t="inlineStr"/>
      <c r="AB40" s="69" t="inlineStr"/>
      <c r="AC40" s="106" t="inlineStr">
        <is>
          <t>ЕАЭС N RU Д-RU.РА08.В.47512/23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>
        <f>IFERROR(X40*I40/H40,"0")</f>
        <v/>
      </c>
      <c r="BN40" s="78">
        <f>IFERROR(Y40*I40/H40,"0")</f>
        <v/>
      </c>
      <c r="BO40" s="78">
        <f>IFERROR(1/J40*(X40/H40),"0")</f>
        <v/>
      </c>
      <c r="BP40" s="78">
        <f>IFERROR(1/J40*(Y40/H40),"0")</f>
        <v/>
      </c>
    </row>
    <row r="41">
      <c r="A41" s="758" t="n"/>
      <c r="B41" s="1051" t="n"/>
      <c r="C41" s="1051" t="n"/>
      <c r="D41" s="1051" t="n"/>
      <c r="E41" s="1051" t="n"/>
      <c r="F41" s="1051" t="n"/>
      <c r="G41" s="1051" t="n"/>
      <c r="H41" s="1051" t="n"/>
      <c r="I41" s="1051" t="n"/>
      <c r="J41" s="1051" t="n"/>
      <c r="K41" s="1051" t="n"/>
      <c r="L41" s="1051" t="n"/>
      <c r="M41" s="1051" t="n"/>
      <c r="N41" s="1051" t="n"/>
      <c r="O41" s="1111" t="n"/>
      <c r="P41" s="1112" t="inlineStr">
        <is>
          <t>Итого</t>
        </is>
      </c>
      <c r="Q41" s="1069" t="n"/>
      <c r="R41" s="1069" t="n"/>
      <c r="S41" s="1069" t="n"/>
      <c r="T41" s="1069" t="n"/>
      <c r="U41" s="1069" t="n"/>
      <c r="V41" s="1070" t="n"/>
      <c r="W41" s="42" t="inlineStr">
        <is>
          <t>кор</t>
        </is>
      </c>
      <c r="X41" s="1113">
        <f>IFERROR(X37/H37,"0")+IFERROR(X38/H38,"0")+IFERROR(X39/H39,"0")+IFERROR(X40/H40,"0")</f>
        <v/>
      </c>
      <c r="Y41" s="1113">
        <f>IFERROR(Y37/H37,"0")+IFERROR(Y38/H38,"0")+IFERROR(Y39/H39,"0")+IFERROR(Y40/H40,"0")</f>
        <v/>
      </c>
      <c r="Z41" s="1113">
        <f>IFERROR(IF(Z37="",0,Z37),"0")+IFERROR(IF(Z38="",0,Z38),"0")+IFERROR(IF(Z39="",0,Z39),"0")+IFERROR(IF(Z40="",0,Z40),"0")</f>
        <v/>
      </c>
      <c r="AA41" s="1114" t="n"/>
      <c r="AB41" s="1114" t="n"/>
      <c r="AC41" s="1114" t="n"/>
    </row>
    <row r="42">
      <c r="A42" s="1051" t="n"/>
      <c r="B42" s="1051" t="n"/>
      <c r="C42" s="1051" t="n"/>
      <c r="D42" s="1051" t="n"/>
      <c r="E42" s="1051" t="n"/>
      <c r="F42" s="1051" t="n"/>
      <c r="G42" s="1051" t="n"/>
      <c r="H42" s="1051" t="n"/>
      <c r="I42" s="1051" t="n"/>
      <c r="J42" s="1051" t="n"/>
      <c r="K42" s="1051" t="n"/>
      <c r="L42" s="1051" t="n"/>
      <c r="M42" s="1051" t="n"/>
      <c r="N42" s="1051" t="n"/>
      <c r="O42" s="1111" t="n"/>
      <c r="P42" s="1112" t="inlineStr">
        <is>
          <t>Итого</t>
        </is>
      </c>
      <c r="Q42" s="1069" t="n"/>
      <c r="R42" s="1069" t="n"/>
      <c r="S42" s="1069" t="n"/>
      <c r="T42" s="1069" t="n"/>
      <c r="U42" s="1069" t="n"/>
      <c r="V42" s="1070" t="n"/>
      <c r="W42" s="42" t="inlineStr">
        <is>
          <t>кг</t>
        </is>
      </c>
      <c r="X42" s="1113">
        <f>IFERROR(SUM(X37:X40),"0")</f>
        <v/>
      </c>
      <c r="Y42" s="1113">
        <f>IFERROR(SUM(Y37:Y40),"0")</f>
        <v/>
      </c>
      <c r="Z42" s="42" t="n"/>
      <c r="AA42" s="1114" t="n"/>
      <c r="AB42" s="1114" t="n"/>
      <c r="AC42" s="1114" t="n"/>
    </row>
    <row r="43" ht="14.25" customHeight="1">
      <c r="A43" s="744" t="inlineStr">
        <is>
          <t>Сосиски</t>
        </is>
      </c>
      <c r="B43" s="1051" t="n"/>
      <c r="C43" s="1051" t="n"/>
      <c r="D43" s="1051" t="n"/>
      <c r="E43" s="1051" t="n"/>
      <c r="F43" s="1051" t="n"/>
      <c r="G43" s="1051" t="n"/>
      <c r="H43" s="1051" t="n"/>
      <c r="I43" s="1051" t="n"/>
      <c r="J43" s="1051" t="n"/>
      <c r="K43" s="1051" t="n"/>
      <c r="L43" s="1051" t="n"/>
      <c r="M43" s="1051" t="n"/>
      <c r="N43" s="1051" t="n"/>
      <c r="O43" s="1051" t="n"/>
      <c r="P43" s="1051" t="n"/>
      <c r="Q43" s="1051" t="n"/>
      <c r="R43" s="1051" t="n"/>
      <c r="S43" s="1051" t="n"/>
      <c r="T43" s="1051" t="n"/>
      <c r="U43" s="1051" t="n"/>
      <c r="V43" s="1051" t="n"/>
      <c r="W43" s="1051" t="n"/>
      <c r="X43" s="1051" t="n"/>
      <c r="Y43" s="1051" t="n"/>
      <c r="Z43" s="1051" t="n"/>
      <c r="AA43" s="744" t="n"/>
      <c r="AB43" s="744" t="n"/>
      <c r="AC43" s="744" t="n"/>
    </row>
    <row r="44" ht="16.5" customHeight="1">
      <c r="A44" s="63" t="inlineStr">
        <is>
          <t>SU003313</t>
        </is>
      </c>
      <c r="B44" s="63" t="inlineStr">
        <is>
          <t>P004551</t>
        </is>
      </c>
      <c r="C44" s="36" t="n">
        <v>4301051820</v>
      </c>
      <c r="D44" s="745" t="n">
        <v>4680115884915</v>
      </c>
      <c r="E44" s="1062" t="n"/>
      <c r="F44" s="1100" t="n">
        <v>0.3</v>
      </c>
      <c r="G44" s="37" t="n">
        <v>6</v>
      </c>
      <c r="H44" s="1100" t="n">
        <v>1.8</v>
      </c>
      <c r="I44" s="1100" t="n">
        <v>1.98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120">
        <f>HYPERLINK("https://abi.ru/products/Охлажденные/Вязанка/ГОСТ/Сосиски/P004551/","Сосиски «Молочные ГОСТ» ф/в 0,3 ц/о ТМ «Вязанка»")</f>
        <v/>
      </c>
      <c r="Q44" s="1102" t="n"/>
      <c r="R44" s="1102" t="n"/>
      <c r="S44" s="1102" t="n"/>
      <c r="T44" s="1103" t="n"/>
      <c r="U44" s="39" t="inlineStr"/>
      <c r="V44" s="39" t="inlineStr"/>
      <c r="W44" s="40" t="inlineStr">
        <is>
          <t>кг</t>
        </is>
      </c>
      <c r="X44" s="1104" t="n">
        <v>0</v>
      </c>
      <c r="Y44" s="1105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Д-RU.РА01.В.79167/24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>
      <c r="A45" s="758" t="n"/>
      <c r="B45" s="1051" t="n"/>
      <c r="C45" s="1051" t="n"/>
      <c r="D45" s="1051" t="n"/>
      <c r="E45" s="1051" t="n"/>
      <c r="F45" s="1051" t="n"/>
      <c r="G45" s="1051" t="n"/>
      <c r="H45" s="1051" t="n"/>
      <c r="I45" s="1051" t="n"/>
      <c r="J45" s="1051" t="n"/>
      <c r="K45" s="1051" t="n"/>
      <c r="L45" s="1051" t="n"/>
      <c r="M45" s="1051" t="n"/>
      <c r="N45" s="1051" t="n"/>
      <c r="O45" s="1111" t="n"/>
      <c r="P45" s="1112" t="inlineStr">
        <is>
          <t>Итого</t>
        </is>
      </c>
      <c r="Q45" s="1069" t="n"/>
      <c r="R45" s="1069" t="n"/>
      <c r="S45" s="1069" t="n"/>
      <c r="T45" s="1069" t="n"/>
      <c r="U45" s="1069" t="n"/>
      <c r="V45" s="1070" t="n"/>
      <c r="W45" s="42" t="inlineStr">
        <is>
          <t>кор</t>
        </is>
      </c>
      <c r="X45" s="1113">
        <f>IFERROR(X44/H44,"0")</f>
        <v/>
      </c>
      <c r="Y45" s="1113">
        <f>IFERROR(Y44/H44,"0")</f>
        <v/>
      </c>
      <c r="Z45" s="1113">
        <f>IFERROR(IF(Z44="",0,Z44),"0")</f>
        <v/>
      </c>
      <c r="AA45" s="1114" t="n"/>
      <c r="AB45" s="1114" t="n"/>
      <c r="AC45" s="1114" t="n"/>
    </row>
    <row r="46">
      <c r="A46" s="1051" t="n"/>
      <c r="B46" s="1051" t="n"/>
      <c r="C46" s="1051" t="n"/>
      <c r="D46" s="1051" t="n"/>
      <c r="E46" s="1051" t="n"/>
      <c r="F46" s="1051" t="n"/>
      <c r="G46" s="1051" t="n"/>
      <c r="H46" s="1051" t="n"/>
      <c r="I46" s="1051" t="n"/>
      <c r="J46" s="1051" t="n"/>
      <c r="K46" s="1051" t="n"/>
      <c r="L46" s="1051" t="n"/>
      <c r="M46" s="1051" t="n"/>
      <c r="N46" s="1051" t="n"/>
      <c r="O46" s="1111" t="n"/>
      <c r="P46" s="1112" t="inlineStr">
        <is>
          <t>Итого</t>
        </is>
      </c>
      <c r="Q46" s="1069" t="n"/>
      <c r="R46" s="1069" t="n"/>
      <c r="S46" s="1069" t="n"/>
      <c r="T46" s="1069" t="n"/>
      <c r="U46" s="1069" t="n"/>
      <c r="V46" s="1070" t="n"/>
      <c r="W46" s="42" t="inlineStr">
        <is>
          <t>кг</t>
        </is>
      </c>
      <c r="X46" s="1113">
        <f>IFERROR(SUM(X44:X44),"0")</f>
        <v/>
      </c>
      <c r="Y46" s="1113">
        <f>IFERROR(SUM(Y44:Y44),"0")</f>
        <v/>
      </c>
      <c r="Z46" s="42" t="n"/>
      <c r="AA46" s="1114" t="n"/>
      <c r="AB46" s="1114" t="n"/>
      <c r="AC46" s="1114" t="n"/>
    </row>
    <row r="47" ht="16.5" customHeight="1">
      <c r="A47" s="743" t="inlineStr">
        <is>
          <t>Филейская</t>
        </is>
      </c>
      <c r="B47" s="1051" t="n"/>
      <c r="C47" s="1051" t="n"/>
      <c r="D47" s="1051" t="n"/>
      <c r="E47" s="1051" t="n"/>
      <c r="F47" s="1051" t="n"/>
      <c r="G47" s="1051" t="n"/>
      <c r="H47" s="1051" t="n"/>
      <c r="I47" s="1051" t="n"/>
      <c r="J47" s="1051" t="n"/>
      <c r="K47" s="1051" t="n"/>
      <c r="L47" s="1051" t="n"/>
      <c r="M47" s="1051" t="n"/>
      <c r="N47" s="1051" t="n"/>
      <c r="O47" s="1051" t="n"/>
      <c r="P47" s="1051" t="n"/>
      <c r="Q47" s="1051" t="n"/>
      <c r="R47" s="1051" t="n"/>
      <c r="S47" s="1051" t="n"/>
      <c r="T47" s="1051" t="n"/>
      <c r="U47" s="1051" t="n"/>
      <c r="V47" s="1051" t="n"/>
      <c r="W47" s="1051" t="n"/>
      <c r="X47" s="1051" t="n"/>
      <c r="Y47" s="1051" t="n"/>
      <c r="Z47" s="1051" t="n"/>
      <c r="AA47" s="743" t="n"/>
      <c r="AB47" s="743" t="n"/>
      <c r="AC47" s="743" t="n"/>
    </row>
    <row r="48" ht="14.25" customHeight="1">
      <c r="A48" s="744" t="inlineStr">
        <is>
          <t>Вареные колбасы</t>
        </is>
      </c>
      <c r="B48" s="1051" t="n"/>
      <c r="C48" s="1051" t="n"/>
      <c r="D48" s="1051" t="n"/>
      <c r="E48" s="1051" t="n"/>
      <c r="F48" s="1051" t="n"/>
      <c r="G48" s="1051" t="n"/>
      <c r="H48" s="1051" t="n"/>
      <c r="I48" s="1051" t="n"/>
      <c r="J48" s="1051" t="n"/>
      <c r="K48" s="1051" t="n"/>
      <c r="L48" s="1051" t="n"/>
      <c r="M48" s="1051" t="n"/>
      <c r="N48" s="1051" t="n"/>
      <c r="O48" s="1051" t="n"/>
      <c r="P48" s="1051" t="n"/>
      <c r="Q48" s="1051" t="n"/>
      <c r="R48" s="1051" t="n"/>
      <c r="S48" s="1051" t="n"/>
      <c r="T48" s="1051" t="n"/>
      <c r="U48" s="1051" t="n"/>
      <c r="V48" s="1051" t="n"/>
      <c r="W48" s="1051" t="n"/>
      <c r="X48" s="1051" t="n"/>
      <c r="Y48" s="1051" t="n"/>
      <c r="Z48" s="1051" t="n"/>
      <c r="AA48" s="744" t="n"/>
      <c r="AB48" s="744" t="n"/>
      <c r="AC48" s="744" t="n"/>
    </row>
    <row r="49" ht="27" customHeight="1">
      <c r="A49" s="63" t="inlineStr">
        <is>
          <t>SU003642</t>
        </is>
      </c>
      <c r="B49" s="63" t="inlineStr">
        <is>
          <t>P004621</t>
        </is>
      </c>
      <c r="C49" s="36" t="n">
        <v>4301012030</v>
      </c>
      <c r="D49" s="745" t="n">
        <v>4680115885882</v>
      </c>
      <c r="E49" s="1062" t="n"/>
      <c r="F49" s="1100" t="n">
        <v>1.4</v>
      </c>
      <c r="G49" s="37" t="n">
        <v>8</v>
      </c>
      <c r="H49" s="1100" t="n">
        <v>11.2</v>
      </c>
      <c r="I49" s="1100" t="n">
        <v>11.635</v>
      </c>
      <c r="J49" s="37" t="n">
        <v>64</v>
      </c>
      <c r="K49" s="37" t="inlineStr">
        <is>
          <t>8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121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49" s="1102" t="n"/>
      <c r="R49" s="1102" t="n"/>
      <c r="S49" s="1102" t="n"/>
      <c r="T49" s="1103" t="n"/>
      <c r="U49" s="39" t="inlineStr"/>
      <c r="V49" s="39" t="inlineStr"/>
      <c r="W49" s="40" t="inlineStr">
        <is>
          <t>кг</t>
        </is>
      </c>
      <c r="X49" s="1104" t="n">
        <v>0</v>
      </c>
      <c r="Y49" s="1105">
        <f>IFERROR(IF(X49="",0,CEILING((X49/$H49),1)*$H49),"")</f>
        <v/>
      </c>
      <c r="Z49" s="41">
        <f>IFERROR(IF(Y49=0,"",ROUNDUP(Y49/H49,0)*0.01898),"")</f>
        <v/>
      </c>
      <c r="AA49" s="68" t="inlineStr"/>
      <c r="AB49" s="69" t="inlineStr"/>
      <c r="AC49" s="110" t="inlineStr">
        <is>
          <t>ЕАЭС N RU Д-RU.РА06.В.18331/23</t>
        </is>
      </c>
      <c r="AG49" s="78" t="n"/>
      <c r="AJ49" s="84" t="inlineStr"/>
      <c r="AK49" s="84" t="n">
        <v>0</v>
      </c>
      <c r="BB49" s="111" t="inlineStr">
        <is>
          <t>КИ</t>
        </is>
      </c>
      <c r="BM49" s="78">
        <f>IFERROR(X49*I49/H49,"0")</f>
        <v/>
      </c>
      <c r="BN49" s="78">
        <f>IFERROR(Y49*I49/H49,"0")</f>
        <v/>
      </c>
      <c r="BO49" s="78">
        <f>IFERROR(1/J49*(X49/H49),"0")</f>
        <v/>
      </c>
      <c r="BP49" s="78">
        <f>IFERROR(1/J49*(Y49/H49),"0")</f>
        <v/>
      </c>
    </row>
    <row r="50" ht="27" customHeight="1">
      <c r="A50" s="63" t="inlineStr">
        <is>
          <t>SU002829</t>
        </is>
      </c>
      <c r="B50" s="63" t="inlineStr">
        <is>
          <t>P003235</t>
        </is>
      </c>
      <c r="C50" s="36" t="n">
        <v>4301011816</v>
      </c>
      <c r="D50" s="745" t="n">
        <v>4680115881426</v>
      </c>
      <c r="E50" s="1062" t="n"/>
      <c r="F50" s="1100" t="n">
        <v>1.35</v>
      </c>
      <c r="G50" s="37" t="n">
        <v>8</v>
      </c>
      <c r="H50" s="1100" t="n">
        <v>10.8</v>
      </c>
      <c r="I50" s="1100" t="n">
        <v>11.235</v>
      </c>
      <c r="J50" s="37" t="n">
        <v>64</v>
      </c>
      <c r="K50" s="37" t="inlineStr">
        <is>
          <t>8</t>
        </is>
      </c>
      <c r="L50" s="37" t="inlineStr">
        <is>
          <t>Палетта, мин. 1</t>
        </is>
      </c>
      <c r="M50" s="38" t="inlineStr">
        <is>
          <t>СК1</t>
        </is>
      </c>
      <c r="N50" s="38" t="n"/>
      <c r="O50" s="37" t="n">
        <v>50</v>
      </c>
      <c r="P50" s="1122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0" s="1102" t="n"/>
      <c r="R50" s="1102" t="n"/>
      <c r="S50" s="1102" t="n"/>
      <c r="T50" s="1103" t="n"/>
      <c r="U50" s="39" t="inlineStr"/>
      <c r="V50" s="39" t="inlineStr"/>
      <c r="W50" s="40" t="inlineStr">
        <is>
          <t>кг</t>
        </is>
      </c>
      <c r="X50" s="1104" t="n">
        <v>200</v>
      </c>
      <c r="Y50" s="1105">
        <f>IFERROR(IF(X50="",0,CEILING((X50/$H50),1)*$H50),"")</f>
        <v/>
      </c>
      <c r="Z50" s="41">
        <f>IFERROR(IF(Y50=0,"",ROUNDUP(Y50/H50,0)*0.01898),"")</f>
        <v/>
      </c>
      <c r="AA50" s="68" t="inlineStr"/>
      <c r="AB50" s="69" t="inlineStr"/>
      <c r="AC50" s="112" t="inlineStr">
        <is>
          <t>ЕАЭС N RU Д-RU.РА01.В.10475/23</t>
        </is>
      </c>
      <c r="AG50" s="78" t="n"/>
      <c r="AJ50" s="84" t="inlineStr">
        <is>
          <t>Палетта</t>
        </is>
      </c>
      <c r="AK50" s="84" t="n">
        <v>691.2</v>
      </c>
      <c r="BB50" s="113" t="inlineStr">
        <is>
          <t>КИ</t>
        </is>
      </c>
      <c r="BM50" s="78">
        <f>IFERROR(X50*I50/H50,"0")</f>
        <v/>
      </c>
      <c r="BN50" s="78">
        <f>IFERROR(Y50*I50/H50,"0")</f>
        <v/>
      </c>
      <c r="BO50" s="78">
        <f>IFERROR(1/J50*(X50/H50),"0")</f>
        <v/>
      </c>
      <c r="BP50" s="78">
        <f>IFERROR(1/J50*(Y50/H50),"0")</f>
        <v/>
      </c>
    </row>
    <row r="51" ht="27" customHeight="1">
      <c r="A51" s="63" t="inlineStr">
        <is>
          <t>SU002674</t>
        </is>
      </c>
      <c r="B51" s="63" t="inlineStr">
        <is>
          <t>P003045</t>
        </is>
      </c>
      <c r="C51" s="36" t="n">
        <v>4301011386</v>
      </c>
      <c r="D51" s="745" t="n">
        <v>4680115880283</v>
      </c>
      <c r="E51" s="1062" t="n"/>
      <c r="F51" s="1100" t="n">
        <v>0.6</v>
      </c>
      <c r="G51" s="37" t="n">
        <v>8</v>
      </c>
      <c r="H51" s="1100" t="n">
        <v>4.8</v>
      </c>
      <c r="I51" s="1100" t="n">
        <v>5.01</v>
      </c>
      <c r="J51" s="37" t="n">
        <v>132</v>
      </c>
      <c r="K51" s="37" t="inlineStr">
        <is>
          <t>12</t>
        </is>
      </c>
      <c r="L51" s="37" t="inlineStr"/>
      <c r="M51" s="38" t="inlineStr">
        <is>
          <t>СК1</t>
        </is>
      </c>
      <c r="N51" s="38" t="n"/>
      <c r="O51" s="37" t="n">
        <v>45</v>
      </c>
      <c r="P51" s="1123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51" s="1102" t="n"/>
      <c r="R51" s="1102" t="n"/>
      <c r="S51" s="1102" t="n"/>
      <c r="T51" s="1103" t="n"/>
      <c r="U51" s="39" t="inlineStr"/>
      <c r="V51" s="39" t="inlineStr"/>
      <c r="W51" s="40" t="inlineStr">
        <is>
          <t>кг</t>
        </is>
      </c>
      <c r="X51" s="1104" t="n">
        <v>0</v>
      </c>
      <c r="Y51" s="1105">
        <f>IFERROR(IF(X51="",0,CEILING((X51/$H51),1)*$H51),"")</f>
        <v/>
      </c>
      <c r="Z51" s="41">
        <f>IFERROR(IF(Y51=0,"",ROUNDUP(Y51/H51,0)*0.00902),"")</f>
        <v/>
      </c>
      <c r="AA51" s="68" t="inlineStr"/>
      <c r="AB51" s="69" t="inlineStr"/>
      <c r="AC51" s="114" t="inlineStr">
        <is>
          <t>ЕАЭС № RU Д-RU.АБ75.В.00997/19</t>
        </is>
      </c>
      <c r="AG51" s="78" t="n"/>
      <c r="AJ51" s="84" t="inlineStr"/>
      <c r="AK51" s="84" t="n">
        <v>0</v>
      </c>
      <c r="BB51" s="115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16.5" customHeight="1">
      <c r="A52" s="63" t="inlineStr">
        <is>
          <t>SU002831</t>
        </is>
      </c>
      <c r="B52" s="63" t="inlineStr">
        <is>
          <t>P003243</t>
        </is>
      </c>
      <c r="C52" s="36" t="n">
        <v>4301011806</v>
      </c>
      <c r="D52" s="745" t="n">
        <v>4680115881525</v>
      </c>
      <c r="E52" s="1062" t="n"/>
      <c r="F52" s="1100" t="n">
        <v>0.4</v>
      </c>
      <c r="G52" s="37" t="n">
        <v>10</v>
      </c>
      <c r="H52" s="1100" t="n">
        <v>4</v>
      </c>
      <c r="I52" s="1100" t="n">
        <v>4.21</v>
      </c>
      <c r="J52" s="37" t="n">
        <v>132</v>
      </c>
      <c r="K52" s="37" t="inlineStr">
        <is>
          <t>12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1124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52" s="1102" t="n"/>
      <c r="R52" s="1102" t="n"/>
      <c r="S52" s="1102" t="n"/>
      <c r="T52" s="1103" t="n"/>
      <c r="U52" s="39" t="inlineStr"/>
      <c r="V52" s="39" t="inlineStr"/>
      <c r="W52" s="40" t="inlineStr">
        <is>
          <t>кг</t>
        </is>
      </c>
      <c r="X52" s="1104" t="n">
        <v>0</v>
      </c>
      <c r="Y52" s="1105">
        <f>IFERROR(IF(X52="",0,CEILING((X52/$H52),1)*$H52),"")</f>
        <v/>
      </c>
      <c r="Z52" s="41">
        <f>IFERROR(IF(Y52=0,"",ROUNDUP(Y52/H52,0)*0.00902),"")</f>
        <v/>
      </c>
      <c r="AA52" s="68" t="inlineStr"/>
      <c r="AB52" s="69" t="inlineStr"/>
      <c r="AC52" s="116" t="inlineStr">
        <is>
          <t>ЕАЭС N RU Д-RU.РА01.В.10475/23</t>
        </is>
      </c>
      <c r="AG52" s="78" t="n"/>
      <c r="AJ52" s="84" t="inlineStr"/>
      <c r="AK52" s="84" t="n">
        <v>0</v>
      </c>
      <c r="BB52" s="117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SU003033</t>
        </is>
      </c>
      <c r="B53" s="63" t="inlineStr">
        <is>
          <t>P003578</t>
        </is>
      </c>
      <c r="C53" s="36" t="n">
        <v>4301011589</v>
      </c>
      <c r="D53" s="745" t="n">
        <v>4680115885899</v>
      </c>
      <c r="E53" s="1062" t="n"/>
      <c r="F53" s="1100" t="n">
        <v>0.35</v>
      </c>
      <c r="G53" s="37" t="n">
        <v>6</v>
      </c>
      <c r="H53" s="1100" t="n">
        <v>2.1</v>
      </c>
      <c r="I53" s="1100" t="n">
        <v>2.28</v>
      </c>
      <c r="J53" s="37" t="n">
        <v>182</v>
      </c>
      <c r="K53" s="37" t="inlineStr">
        <is>
          <t>14</t>
        </is>
      </c>
      <c r="L53" s="37" t="inlineStr"/>
      <c r="M53" s="38" t="inlineStr">
        <is>
          <t>СК4</t>
        </is>
      </c>
      <c r="N53" s="38" t="n"/>
      <c r="O53" s="37" t="n">
        <v>50</v>
      </c>
      <c r="P53" s="1125">
        <f>HYPERLINK("https://abi.ru/products/Охлажденные/Вязанка/Филейская/Вареные колбасы/P003578/","Вареные колбасы «Филейская со шпиком» ф/в 0,35 п/а ТМ «Вязанка»")</f>
        <v/>
      </c>
      <c r="Q53" s="1102" t="n"/>
      <c r="R53" s="1102" t="n"/>
      <c r="S53" s="1102" t="n"/>
      <c r="T53" s="1103" t="n"/>
      <c r="U53" s="39" t="inlineStr"/>
      <c r="V53" s="39" t="inlineStr"/>
      <c r="W53" s="40" t="inlineStr">
        <is>
          <t>кг</t>
        </is>
      </c>
      <c r="X53" s="1104" t="n">
        <v>0</v>
      </c>
      <c r="Y53" s="1105">
        <f>IFERROR(IF(X53="",0,CEILING((X53/$H53),1)*$H53),"")</f>
        <v/>
      </c>
      <c r="Z53" s="41">
        <f>IFERROR(IF(Y53=0,"",ROUNDUP(Y53/H53,0)*0.00651),"")</f>
        <v/>
      </c>
      <c r="AA53" s="68" t="inlineStr"/>
      <c r="AB53" s="69" t="inlineStr"/>
      <c r="AC53" s="118" t="inlineStr">
        <is>
          <t>ЕАЭС N RU Д-RU.РА06.В.18263/23, ЕАЭС N RU Д-RU.РА06.В.18331/23</t>
        </is>
      </c>
      <c r="AG53" s="78" t="n"/>
      <c r="AJ53" s="84" t="inlineStr"/>
      <c r="AK53" s="84" t="n">
        <v>0</v>
      </c>
      <c r="BB53" s="119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SU002815</t>
        </is>
      </c>
      <c r="B54" s="63" t="inlineStr">
        <is>
          <t>P003227</t>
        </is>
      </c>
      <c r="C54" s="36" t="n">
        <v>4301011801</v>
      </c>
      <c r="D54" s="745" t="n">
        <v>4680115881419</v>
      </c>
      <c r="E54" s="1062" t="n"/>
      <c r="F54" s="1100" t="n">
        <v>0.45</v>
      </c>
      <c r="G54" s="37" t="n">
        <v>10</v>
      </c>
      <c r="H54" s="1100" t="n">
        <v>4.5</v>
      </c>
      <c r="I54" s="1100" t="n">
        <v>4.71</v>
      </c>
      <c r="J54" s="37" t="n">
        <v>132</v>
      </c>
      <c r="K54" s="37" t="inlineStr">
        <is>
          <t>12</t>
        </is>
      </c>
      <c r="L54" s="37" t="inlineStr">
        <is>
          <t>Палетта, мин. 1</t>
        </is>
      </c>
      <c r="M54" s="38" t="inlineStr">
        <is>
          <t>СК1</t>
        </is>
      </c>
      <c r="N54" s="38" t="n"/>
      <c r="O54" s="37" t="n">
        <v>50</v>
      </c>
      <c r="P54" s="1126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54" s="1102" t="n"/>
      <c r="R54" s="1102" t="n"/>
      <c r="S54" s="1102" t="n"/>
      <c r="T54" s="1103" t="n"/>
      <c r="U54" s="39" t="inlineStr"/>
      <c r="V54" s="39" t="inlineStr"/>
      <c r="W54" s="40" t="inlineStr">
        <is>
          <t>кг</t>
        </is>
      </c>
      <c r="X54" s="1104" t="n">
        <v>540</v>
      </c>
      <c r="Y54" s="1105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20" t="inlineStr">
        <is>
          <t>ЕАЭС N RU Д-RU.РА01.В.10475/23</t>
        </is>
      </c>
      <c r="AG54" s="78" t="n"/>
      <c r="AJ54" s="84" t="inlineStr">
        <is>
          <t>Палетта</t>
        </is>
      </c>
      <c r="AK54" s="84" t="n">
        <v>594</v>
      </c>
      <c r="BB54" s="121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58" t="n"/>
      <c r="B55" s="1051" t="n"/>
      <c r="C55" s="1051" t="n"/>
      <c r="D55" s="1051" t="n"/>
      <c r="E55" s="1051" t="n"/>
      <c r="F55" s="1051" t="n"/>
      <c r="G55" s="1051" t="n"/>
      <c r="H55" s="1051" t="n"/>
      <c r="I55" s="1051" t="n"/>
      <c r="J55" s="1051" t="n"/>
      <c r="K55" s="1051" t="n"/>
      <c r="L55" s="1051" t="n"/>
      <c r="M55" s="1051" t="n"/>
      <c r="N55" s="1051" t="n"/>
      <c r="O55" s="1111" t="n"/>
      <c r="P55" s="1112" t="inlineStr">
        <is>
          <t>Итого</t>
        </is>
      </c>
      <c r="Q55" s="1069" t="n"/>
      <c r="R55" s="1069" t="n"/>
      <c r="S55" s="1069" t="n"/>
      <c r="T55" s="1069" t="n"/>
      <c r="U55" s="1069" t="n"/>
      <c r="V55" s="1070" t="n"/>
      <c r="W55" s="42" t="inlineStr">
        <is>
          <t>кор</t>
        </is>
      </c>
      <c r="X55" s="1113">
        <f>IFERROR(X49/H49,"0")+IFERROR(X50/H50,"0")+IFERROR(X51/H51,"0")+IFERROR(X52/H52,"0")+IFERROR(X53/H53,"0")+IFERROR(X54/H54,"0")</f>
        <v/>
      </c>
      <c r="Y55" s="1113">
        <f>IFERROR(Y49/H49,"0")+IFERROR(Y50/H50,"0")+IFERROR(Y51/H51,"0")+IFERROR(Y52/H52,"0")+IFERROR(Y53/H53,"0")+IFERROR(Y54/H54,"0")</f>
        <v/>
      </c>
      <c r="Z55" s="1113">
        <f>IFERROR(IF(Z49="",0,Z49),"0")+IFERROR(IF(Z50="",0,Z50),"0")+IFERROR(IF(Z51="",0,Z51),"0")+IFERROR(IF(Z52="",0,Z52),"0")+IFERROR(IF(Z53="",0,Z53),"0")+IFERROR(IF(Z54="",0,Z54),"0")</f>
        <v/>
      </c>
      <c r="AA55" s="1114" t="n"/>
      <c r="AB55" s="1114" t="n"/>
      <c r="AC55" s="1114" t="n"/>
    </row>
    <row r="56">
      <c r="A56" s="1051" t="n"/>
      <c r="B56" s="1051" t="n"/>
      <c r="C56" s="1051" t="n"/>
      <c r="D56" s="1051" t="n"/>
      <c r="E56" s="1051" t="n"/>
      <c r="F56" s="1051" t="n"/>
      <c r="G56" s="1051" t="n"/>
      <c r="H56" s="1051" t="n"/>
      <c r="I56" s="1051" t="n"/>
      <c r="J56" s="1051" t="n"/>
      <c r="K56" s="1051" t="n"/>
      <c r="L56" s="1051" t="n"/>
      <c r="M56" s="1051" t="n"/>
      <c r="N56" s="1051" t="n"/>
      <c r="O56" s="1111" t="n"/>
      <c r="P56" s="1112" t="inlineStr">
        <is>
          <t>Итого</t>
        </is>
      </c>
      <c r="Q56" s="1069" t="n"/>
      <c r="R56" s="1069" t="n"/>
      <c r="S56" s="1069" t="n"/>
      <c r="T56" s="1069" t="n"/>
      <c r="U56" s="1069" t="n"/>
      <c r="V56" s="1070" t="n"/>
      <c r="W56" s="42" t="inlineStr">
        <is>
          <t>кг</t>
        </is>
      </c>
      <c r="X56" s="1113">
        <f>IFERROR(SUM(X49:X54),"0")</f>
        <v/>
      </c>
      <c r="Y56" s="1113">
        <f>IFERROR(SUM(Y49:Y54),"0")</f>
        <v/>
      </c>
      <c r="Z56" s="42" t="n"/>
      <c r="AA56" s="1114" t="n"/>
      <c r="AB56" s="1114" t="n"/>
      <c r="AC56" s="1114" t="n"/>
    </row>
    <row r="57" ht="14.25" customHeight="1">
      <c r="A57" s="744" t="inlineStr">
        <is>
          <t>Ветчины</t>
        </is>
      </c>
      <c r="B57" s="1051" t="n"/>
      <c r="C57" s="1051" t="n"/>
      <c r="D57" s="1051" t="n"/>
      <c r="E57" s="1051" t="n"/>
      <c r="F57" s="1051" t="n"/>
      <c r="G57" s="1051" t="n"/>
      <c r="H57" s="1051" t="n"/>
      <c r="I57" s="1051" t="n"/>
      <c r="J57" s="1051" t="n"/>
      <c r="K57" s="1051" t="n"/>
      <c r="L57" s="1051" t="n"/>
      <c r="M57" s="1051" t="n"/>
      <c r="N57" s="1051" t="n"/>
      <c r="O57" s="1051" t="n"/>
      <c r="P57" s="1051" t="n"/>
      <c r="Q57" s="1051" t="n"/>
      <c r="R57" s="1051" t="n"/>
      <c r="S57" s="1051" t="n"/>
      <c r="T57" s="1051" t="n"/>
      <c r="U57" s="1051" t="n"/>
      <c r="V57" s="1051" t="n"/>
      <c r="W57" s="1051" t="n"/>
      <c r="X57" s="1051" t="n"/>
      <c r="Y57" s="1051" t="n"/>
      <c r="Z57" s="1051" t="n"/>
      <c r="AA57" s="744" t="n"/>
      <c r="AB57" s="744" t="n"/>
      <c r="AC57" s="744" t="n"/>
    </row>
    <row r="58" ht="16.5" customHeight="1">
      <c r="A58" s="63" t="inlineStr">
        <is>
          <t>SU002828</t>
        </is>
      </c>
      <c r="B58" s="63" t="inlineStr">
        <is>
          <t>P003234</t>
        </is>
      </c>
      <c r="C58" s="36" t="n">
        <v>4301020298</v>
      </c>
      <c r="D58" s="745" t="n">
        <v>4680115881440</v>
      </c>
      <c r="E58" s="1062" t="n"/>
      <c r="F58" s="1100" t="n">
        <v>1.35</v>
      </c>
      <c r="G58" s="37" t="n">
        <v>8</v>
      </c>
      <c r="H58" s="1100" t="n">
        <v>10.8</v>
      </c>
      <c r="I58" s="1100" t="n">
        <v>11.235</v>
      </c>
      <c r="J58" s="37" t="n">
        <v>64</v>
      </c>
      <c r="K58" s="37" t="inlineStr">
        <is>
          <t>8</t>
        </is>
      </c>
      <c r="L58" s="37" t="inlineStr"/>
      <c r="M58" s="38" t="inlineStr">
        <is>
          <t>СК1</t>
        </is>
      </c>
      <c r="N58" s="38" t="n"/>
      <c r="O58" s="37" t="n">
        <v>50</v>
      </c>
      <c r="P58" s="1127">
        <f>HYPERLINK("https://abi.ru/products/Охлажденные/Вязанка/Филейская/Ветчины/P003234/","Ветчины «Филейская» Весовые Вектор ТМ «Вязанка»")</f>
        <v/>
      </c>
      <c r="Q58" s="1102" t="n"/>
      <c r="R58" s="1102" t="n"/>
      <c r="S58" s="1102" t="n"/>
      <c r="T58" s="1103" t="n"/>
      <c r="U58" s="39" t="inlineStr"/>
      <c r="V58" s="39" t="inlineStr"/>
      <c r="W58" s="40" t="inlineStr">
        <is>
          <t>кг</t>
        </is>
      </c>
      <c r="X58" s="1104" t="n">
        <v>50</v>
      </c>
      <c r="Y58" s="1105">
        <f>IFERROR(IF(X58="",0,CEILING((X58/$H58),1)*$H58),"")</f>
        <v/>
      </c>
      <c r="Z58" s="41">
        <f>IFERROR(IF(Y58=0,"",ROUNDUP(Y58/H58,0)*0.01898),"")</f>
        <v/>
      </c>
      <c r="AA58" s="68" t="inlineStr"/>
      <c r="AB58" s="69" t="inlineStr"/>
      <c r="AC58" s="122" t="inlineStr">
        <is>
          <t>ЕАЭС N RU Д-RU.РА01.В.10660/23</t>
        </is>
      </c>
      <c r="AG58" s="78" t="n"/>
      <c r="AJ58" s="84" t="inlineStr"/>
      <c r="AK58" s="84" t="n">
        <v>0</v>
      </c>
      <c r="BB58" s="123" t="inlineStr">
        <is>
          <t>КИ</t>
        </is>
      </c>
      <c r="BM58" s="78">
        <f>IFERROR(X58*I58/H58,"0")</f>
        <v/>
      </c>
      <c r="BN58" s="78">
        <f>IFERROR(Y58*I58/H58,"0")</f>
        <v/>
      </c>
      <c r="BO58" s="78">
        <f>IFERROR(1/J58*(X58/H58),"0")</f>
        <v/>
      </c>
      <c r="BP58" s="78">
        <f>IFERROR(1/J58*(Y58/H58),"0")</f>
        <v/>
      </c>
    </row>
    <row r="59" ht="27" customHeight="1">
      <c r="A59" s="63" t="inlineStr">
        <is>
          <t>SU002786</t>
        </is>
      </c>
      <c r="B59" s="63" t="inlineStr">
        <is>
          <t>P003188</t>
        </is>
      </c>
      <c r="C59" s="36" t="n">
        <v>4301020228</v>
      </c>
      <c r="D59" s="745" t="n">
        <v>4680115882751</v>
      </c>
      <c r="E59" s="1062" t="n"/>
      <c r="F59" s="1100" t="n">
        <v>0.45</v>
      </c>
      <c r="G59" s="37" t="n">
        <v>10</v>
      </c>
      <c r="H59" s="1100" t="n">
        <v>4.5</v>
      </c>
      <c r="I59" s="1100" t="n">
        <v>4.71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90</v>
      </c>
      <c r="P59" s="1128">
        <f>HYPERLINK("https://abi.ru/products/Охлажденные/Вязанка/Филейская/Ветчины/P003188/","Ветчины «Филейская #Живой_пар» ф/в 0,45 п/а ТМ «Вязанка»")</f>
        <v/>
      </c>
      <c r="Q59" s="1102" t="n"/>
      <c r="R59" s="1102" t="n"/>
      <c r="S59" s="1102" t="n"/>
      <c r="T59" s="1103" t="n"/>
      <c r="U59" s="39" t="inlineStr"/>
      <c r="V59" s="39" t="inlineStr"/>
      <c r="W59" s="40" t="inlineStr">
        <is>
          <t>кг</t>
        </is>
      </c>
      <c r="X59" s="1104" t="n">
        <v>0</v>
      </c>
      <c r="Y59" s="1105">
        <f>IFERROR(IF(X59="",0,CEILING((X59/$H59),1)*$H59),"")</f>
        <v/>
      </c>
      <c r="Z59" s="41">
        <f>IFERROR(IF(Y59=0,"",ROUNDUP(Y59/H59,0)*0.00902),"")</f>
        <v/>
      </c>
      <c r="AA59" s="68" t="inlineStr"/>
      <c r="AB59" s="69" t="inlineStr"/>
      <c r="AC59" s="124" t="inlineStr">
        <is>
          <t>ЕАЭС N RU Д-RU.РА03.В.00811/23</t>
        </is>
      </c>
      <c r="AG59" s="78" t="n"/>
      <c r="AJ59" s="84" t="inlineStr"/>
      <c r="AK59" s="84" t="n">
        <v>0</v>
      </c>
      <c r="BB59" s="125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16.5" customHeight="1">
      <c r="A60" s="63" t="inlineStr">
        <is>
          <t>SU003689</t>
        </is>
      </c>
      <c r="B60" s="63" t="inlineStr">
        <is>
          <t>P004676</t>
        </is>
      </c>
      <c r="C60" s="36" t="n">
        <v>4301020358</v>
      </c>
      <c r="D60" s="745" t="n">
        <v>4680115885950</v>
      </c>
      <c r="E60" s="1062" t="n"/>
      <c r="F60" s="1100" t="n">
        <v>0.37</v>
      </c>
      <c r="G60" s="37" t="n">
        <v>6</v>
      </c>
      <c r="H60" s="1100" t="n">
        <v>2.22</v>
      </c>
      <c r="I60" s="1100" t="n">
        <v>2.4</v>
      </c>
      <c r="J60" s="37" t="n">
        <v>182</v>
      </c>
      <c r="K60" s="37" t="inlineStr">
        <is>
          <t>14</t>
        </is>
      </c>
      <c r="L60" s="37" t="inlineStr"/>
      <c r="M60" s="38" t="inlineStr">
        <is>
          <t>СК3</t>
        </is>
      </c>
      <c r="N60" s="38" t="n"/>
      <c r="O60" s="37" t="n">
        <v>50</v>
      </c>
      <c r="P60" s="1129">
        <f>HYPERLINK("https://abi.ru/products/Охлажденные/Вязанка/Филейская/Ветчины/P004676/","Ветчины «Филейская» ф/в 0,37 п/а ТМ «Вязанка»")</f>
        <v/>
      </c>
      <c r="Q60" s="1102" t="n"/>
      <c r="R60" s="1102" t="n"/>
      <c r="S60" s="1102" t="n"/>
      <c r="T60" s="1103" t="n"/>
      <c r="U60" s="39" t="inlineStr"/>
      <c r="V60" s="39" t="inlineStr"/>
      <c r="W60" s="40" t="inlineStr">
        <is>
          <t>кг</t>
        </is>
      </c>
      <c r="X60" s="1104" t="n">
        <v>0</v>
      </c>
      <c r="Y60" s="1105">
        <f>IFERROR(IF(X60="",0,CEILING((X60/$H60),1)*$H60),"")</f>
        <v/>
      </c>
      <c r="Z60" s="41">
        <f>IFERROR(IF(Y60=0,"",ROUNDUP(Y60/H60,0)*0.00651),"")</f>
        <v/>
      </c>
      <c r="AA60" s="68" t="inlineStr"/>
      <c r="AB60" s="69" t="inlineStr"/>
      <c r="AC60" s="126" t="inlineStr">
        <is>
          <t>ЕАЭС N RU Д-RU.РА01.В.10660/23</t>
        </is>
      </c>
      <c r="AG60" s="78" t="n"/>
      <c r="AJ60" s="84" t="inlineStr"/>
      <c r="AK60" s="84" t="n">
        <v>0</v>
      </c>
      <c r="BB60" s="127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SU002814</t>
        </is>
      </c>
      <c r="B61" s="63" t="inlineStr">
        <is>
          <t>P003226</t>
        </is>
      </c>
      <c r="C61" s="36" t="n">
        <v>4301020296</v>
      </c>
      <c r="D61" s="745" t="n">
        <v>4680115881433</v>
      </c>
      <c r="E61" s="1062" t="n"/>
      <c r="F61" s="1100" t="n">
        <v>0.45</v>
      </c>
      <c r="G61" s="37" t="n">
        <v>6</v>
      </c>
      <c r="H61" s="1100" t="n">
        <v>2.7</v>
      </c>
      <c r="I61" s="1100" t="n">
        <v>2.88</v>
      </c>
      <c r="J61" s="37" t="n">
        <v>182</v>
      </c>
      <c r="K61" s="37" t="inlineStr">
        <is>
          <t>14</t>
        </is>
      </c>
      <c r="L61" s="37" t="inlineStr">
        <is>
          <t>Палетта, мин. 1</t>
        </is>
      </c>
      <c r="M61" s="38" t="inlineStr">
        <is>
          <t>СК1</t>
        </is>
      </c>
      <c r="N61" s="38" t="n"/>
      <c r="O61" s="37" t="n">
        <v>50</v>
      </c>
      <c r="P61" s="1130">
        <f>HYPERLINK("https://abi.ru/products/Охлажденные/Вязанка/Филейская/Ветчины/P003226/","Ветчины «Филейская» Фикс.вес 0,45 Вектор ТМ «Вязанка»")</f>
        <v/>
      </c>
      <c r="Q61" s="1102" t="n"/>
      <c r="R61" s="1102" t="n"/>
      <c r="S61" s="1102" t="n"/>
      <c r="T61" s="1103" t="n"/>
      <c r="U61" s="39" t="inlineStr"/>
      <c r="V61" s="39" t="inlineStr"/>
      <c r="W61" s="40" t="inlineStr">
        <is>
          <t>кг</t>
        </is>
      </c>
      <c r="X61" s="1104" t="n">
        <v>135</v>
      </c>
      <c r="Y61" s="1105">
        <f>IFERROR(IF(X61="",0,CEILING((X61/$H61),1)*$H61),"")</f>
        <v/>
      </c>
      <c r="Z61" s="41">
        <f>IFERROR(IF(Y61=0,"",ROUNDUP(Y61/H61,0)*0.00651),"")</f>
        <v/>
      </c>
      <c r="AA61" s="68" t="inlineStr"/>
      <c r="AB61" s="69" t="inlineStr"/>
      <c r="AC61" s="128" t="inlineStr">
        <is>
          <t>ЕАЭС N RU Д-RU.РА01.В.10660/23</t>
        </is>
      </c>
      <c r="AG61" s="78" t="n"/>
      <c r="AJ61" s="84" t="inlineStr">
        <is>
          <t>Палетта</t>
        </is>
      </c>
      <c r="AK61" s="84" t="n">
        <v>491.4</v>
      </c>
      <c r="BB61" s="129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>
      <c r="A62" s="758" t="n"/>
      <c r="B62" s="1051" t="n"/>
      <c r="C62" s="1051" t="n"/>
      <c r="D62" s="1051" t="n"/>
      <c r="E62" s="1051" t="n"/>
      <c r="F62" s="1051" t="n"/>
      <c r="G62" s="1051" t="n"/>
      <c r="H62" s="1051" t="n"/>
      <c r="I62" s="1051" t="n"/>
      <c r="J62" s="1051" t="n"/>
      <c r="K62" s="1051" t="n"/>
      <c r="L62" s="1051" t="n"/>
      <c r="M62" s="1051" t="n"/>
      <c r="N62" s="1051" t="n"/>
      <c r="O62" s="1111" t="n"/>
      <c r="P62" s="1112" t="inlineStr">
        <is>
          <t>Итого</t>
        </is>
      </c>
      <c r="Q62" s="1069" t="n"/>
      <c r="R62" s="1069" t="n"/>
      <c r="S62" s="1069" t="n"/>
      <c r="T62" s="1069" t="n"/>
      <c r="U62" s="1069" t="n"/>
      <c r="V62" s="1070" t="n"/>
      <c r="W62" s="42" t="inlineStr">
        <is>
          <t>кор</t>
        </is>
      </c>
      <c r="X62" s="1113">
        <f>IFERROR(X58/H58,"0")+IFERROR(X59/H59,"0")+IFERROR(X60/H60,"0")+IFERROR(X61/H61,"0")</f>
        <v/>
      </c>
      <c r="Y62" s="1113">
        <f>IFERROR(Y58/H58,"0")+IFERROR(Y59/H59,"0")+IFERROR(Y60/H60,"0")+IFERROR(Y61/H61,"0")</f>
        <v/>
      </c>
      <c r="Z62" s="1113">
        <f>IFERROR(IF(Z58="",0,Z58),"0")+IFERROR(IF(Z59="",0,Z59),"0")+IFERROR(IF(Z60="",0,Z60),"0")+IFERROR(IF(Z61="",0,Z61),"0")</f>
        <v/>
      </c>
      <c r="AA62" s="1114" t="n"/>
      <c r="AB62" s="1114" t="n"/>
      <c r="AC62" s="1114" t="n"/>
    </row>
    <row r="63">
      <c r="A63" s="1051" t="n"/>
      <c r="B63" s="1051" t="n"/>
      <c r="C63" s="1051" t="n"/>
      <c r="D63" s="1051" t="n"/>
      <c r="E63" s="1051" t="n"/>
      <c r="F63" s="1051" t="n"/>
      <c r="G63" s="1051" t="n"/>
      <c r="H63" s="1051" t="n"/>
      <c r="I63" s="1051" t="n"/>
      <c r="J63" s="1051" t="n"/>
      <c r="K63" s="1051" t="n"/>
      <c r="L63" s="1051" t="n"/>
      <c r="M63" s="1051" t="n"/>
      <c r="N63" s="1051" t="n"/>
      <c r="O63" s="1111" t="n"/>
      <c r="P63" s="1112" t="inlineStr">
        <is>
          <t>Итого</t>
        </is>
      </c>
      <c r="Q63" s="1069" t="n"/>
      <c r="R63" s="1069" t="n"/>
      <c r="S63" s="1069" t="n"/>
      <c r="T63" s="1069" t="n"/>
      <c r="U63" s="1069" t="n"/>
      <c r="V63" s="1070" t="n"/>
      <c r="W63" s="42" t="inlineStr">
        <is>
          <t>кг</t>
        </is>
      </c>
      <c r="X63" s="1113">
        <f>IFERROR(SUM(X58:X61),"0")</f>
        <v/>
      </c>
      <c r="Y63" s="1113">
        <f>IFERROR(SUM(Y58:Y61),"0")</f>
        <v/>
      </c>
      <c r="Z63" s="42" t="n"/>
      <c r="AA63" s="1114" t="n"/>
      <c r="AB63" s="1114" t="n"/>
      <c r="AC63" s="1114" t="n"/>
    </row>
    <row r="64" ht="14.25" customHeight="1">
      <c r="A64" s="744" t="inlineStr">
        <is>
          <t>Копченые колбасы</t>
        </is>
      </c>
      <c r="B64" s="1051" t="n"/>
      <c r="C64" s="1051" t="n"/>
      <c r="D64" s="1051" t="n"/>
      <c r="E64" s="1051" t="n"/>
      <c r="F64" s="1051" t="n"/>
      <c r="G64" s="1051" t="n"/>
      <c r="H64" s="1051" t="n"/>
      <c r="I64" s="1051" t="n"/>
      <c r="J64" s="1051" t="n"/>
      <c r="K64" s="1051" t="n"/>
      <c r="L64" s="1051" t="n"/>
      <c r="M64" s="1051" t="n"/>
      <c r="N64" s="1051" t="n"/>
      <c r="O64" s="1051" t="n"/>
      <c r="P64" s="1051" t="n"/>
      <c r="Q64" s="1051" t="n"/>
      <c r="R64" s="1051" t="n"/>
      <c r="S64" s="1051" t="n"/>
      <c r="T64" s="1051" t="n"/>
      <c r="U64" s="1051" t="n"/>
      <c r="V64" s="1051" t="n"/>
      <c r="W64" s="1051" t="n"/>
      <c r="X64" s="1051" t="n"/>
      <c r="Y64" s="1051" t="n"/>
      <c r="Z64" s="1051" t="n"/>
      <c r="AA64" s="744" t="n"/>
      <c r="AB64" s="744" t="n"/>
      <c r="AC64" s="744" t="n"/>
    </row>
    <row r="65" ht="27" customHeight="1">
      <c r="A65" s="63" t="inlineStr">
        <is>
          <t>SU003027</t>
        </is>
      </c>
      <c r="B65" s="63" t="inlineStr">
        <is>
          <t>P003573</t>
        </is>
      </c>
      <c r="C65" s="36" t="n">
        <v>4301031243</v>
      </c>
      <c r="D65" s="745" t="n">
        <v>4680115885073</v>
      </c>
      <c r="E65" s="1062" t="n"/>
      <c r="F65" s="1100" t="n">
        <v>0.3</v>
      </c>
      <c r="G65" s="37" t="n">
        <v>6</v>
      </c>
      <c r="H65" s="1100" t="n">
        <v>1.8</v>
      </c>
      <c r="I65" s="1100" t="n">
        <v>1.9</v>
      </c>
      <c r="J65" s="37" t="n">
        <v>234</v>
      </c>
      <c r="K65" s="37" t="inlineStr">
        <is>
          <t>18</t>
        </is>
      </c>
      <c r="L65" s="37" t="inlineStr"/>
      <c r="M65" s="38" t="inlineStr">
        <is>
          <t>СК2</t>
        </is>
      </c>
      <c r="N65" s="38" t="n"/>
      <c r="O65" s="37" t="n">
        <v>40</v>
      </c>
      <c r="P65" s="1131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/>
      </c>
      <c r="Q65" s="1102" t="n"/>
      <c r="R65" s="1102" t="n"/>
      <c r="S65" s="1102" t="n"/>
      <c r="T65" s="1103" t="n"/>
      <c r="U65" s="39" t="inlineStr"/>
      <c r="V65" s="39" t="inlineStr"/>
      <c r="W65" s="40" t="inlineStr">
        <is>
          <t>кг</t>
        </is>
      </c>
      <c r="X65" s="1104" t="n">
        <v>0</v>
      </c>
      <c r="Y65" s="1105">
        <f>IFERROR(IF(X65="",0,CEILING((X65/$H65),1)*$H65),"")</f>
        <v/>
      </c>
      <c r="Z65" s="41">
        <f>IFERROR(IF(Y65=0,"",ROUNDUP(Y65/H65,0)*0.00502),"")</f>
        <v/>
      </c>
      <c r="AA65" s="68" t="inlineStr"/>
      <c r="AB65" s="69" t="inlineStr"/>
      <c r="AC65" s="130" t="inlineStr">
        <is>
          <t>ЕАЭС N RU Д-RU.РА11.В.18821/23</t>
        </is>
      </c>
      <c r="AG65" s="78" t="n"/>
      <c r="AJ65" s="84" t="inlineStr"/>
      <c r="AK65" s="84" t="n">
        <v>0</v>
      </c>
      <c r="BB65" s="131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27" customHeight="1">
      <c r="A66" s="63" t="inlineStr">
        <is>
          <t>SU003029</t>
        </is>
      </c>
      <c r="B66" s="63" t="inlineStr">
        <is>
          <t>P003569</t>
        </is>
      </c>
      <c r="C66" s="36" t="n">
        <v>4301031241</v>
      </c>
      <c r="D66" s="745" t="n">
        <v>4680115885059</v>
      </c>
      <c r="E66" s="1062" t="n"/>
      <c r="F66" s="1100" t="n">
        <v>0.3</v>
      </c>
      <c r="G66" s="37" t="n">
        <v>6</v>
      </c>
      <c r="H66" s="1100" t="n">
        <v>1.8</v>
      </c>
      <c r="I66" s="1100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1132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/>
      </c>
      <c r="Q66" s="1102" t="n"/>
      <c r="R66" s="1102" t="n"/>
      <c r="S66" s="1102" t="n"/>
      <c r="T66" s="1103" t="n"/>
      <c r="U66" s="39" t="inlineStr"/>
      <c r="V66" s="39" t="inlineStr"/>
      <c r="W66" s="40" t="inlineStr">
        <is>
          <t>кг</t>
        </is>
      </c>
      <c r="X66" s="1104" t="n">
        <v>0</v>
      </c>
      <c r="Y66" s="1105">
        <f>IFERROR(IF(X66="",0,CEILING((X66/$H66),1)*$H66),"")</f>
        <v/>
      </c>
      <c r="Z66" s="41">
        <f>IFERROR(IF(Y66=0,"",ROUNDUP(Y66/H66,0)*0.00502),"")</f>
        <v/>
      </c>
      <c r="AA66" s="68" t="inlineStr"/>
      <c r="AB66" s="69" t="inlineStr"/>
      <c r="AC66" s="132" t="inlineStr">
        <is>
          <t>ЕАЭС N RU Д-RU.РА11.В.17299/23</t>
        </is>
      </c>
      <c r="AG66" s="78" t="n"/>
      <c r="AJ66" s="84" t="inlineStr"/>
      <c r="AK66" s="84" t="n">
        <v>0</v>
      </c>
      <c r="BB66" s="133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 ht="27" customHeight="1">
      <c r="A67" s="63" t="inlineStr">
        <is>
          <t>SU003031</t>
        </is>
      </c>
      <c r="B67" s="63" t="inlineStr">
        <is>
          <t>P003566</t>
        </is>
      </c>
      <c r="C67" s="36" t="n">
        <v>4301031316</v>
      </c>
      <c r="D67" s="745" t="n">
        <v>4680115885097</v>
      </c>
      <c r="E67" s="1062" t="n"/>
      <c r="F67" s="1100" t="n">
        <v>0.3</v>
      </c>
      <c r="G67" s="37" t="n">
        <v>6</v>
      </c>
      <c r="H67" s="1100" t="n">
        <v>1.8</v>
      </c>
      <c r="I67" s="1100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1133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/>
      </c>
      <c r="Q67" s="1102" t="n"/>
      <c r="R67" s="1102" t="n"/>
      <c r="S67" s="1102" t="n"/>
      <c r="T67" s="1103" t="n"/>
      <c r="U67" s="39" t="inlineStr"/>
      <c r="V67" s="39" t="inlineStr"/>
      <c r="W67" s="40" t="inlineStr">
        <is>
          <t>кг</t>
        </is>
      </c>
      <c r="X67" s="1104" t="n">
        <v>0</v>
      </c>
      <c r="Y67" s="1105">
        <f>IFERROR(IF(X67="",0,CEILING((X67/$H67),1)*$H67),"")</f>
        <v/>
      </c>
      <c r="Z67" s="41">
        <f>IFERROR(IF(Y67=0,"",ROUNDUP(Y67/H67,0)*0.00502),"")</f>
        <v/>
      </c>
      <c r="AA67" s="68" t="inlineStr"/>
      <c r="AB67" s="69" t="inlineStr"/>
      <c r="AC67" s="134" t="inlineStr">
        <is>
          <t>ЕАЭС N RU Д-RU.РА11.В.17985/23</t>
        </is>
      </c>
      <c r="AG67" s="78" t="n"/>
      <c r="AJ67" s="84" t="inlineStr"/>
      <c r="AK67" s="84" t="n">
        <v>0</v>
      </c>
      <c r="BB67" s="135" t="inlineStr">
        <is>
          <t>КИ</t>
        </is>
      </c>
      <c r="BM67" s="78">
        <f>IFERROR(X67*I67/H67,"0")</f>
        <v/>
      </c>
      <c r="BN67" s="78">
        <f>IFERROR(Y67*I67/H67,"0")</f>
        <v/>
      </c>
      <c r="BO67" s="78">
        <f>IFERROR(1/J67*(X67/H67),"0")</f>
        <v/>
      </c>
      <c r="BP67" s="78">
        <f>IFERROR(1/J67*(Y67/H67),"0")</f>
        <v/>
      </c>
    </row>
    <row r="68">
      <c r="A68" s="758" t="n"/>
      <c r="B68" s="1051" t="n"/>
      <c r="C68" s="1051" t="n"/>
      <c r="D68" s="1051" t="n"/>
      <c r="E68" s="1051" t="n"/>
      <c r="F68" s="1051" t="n"/>
      <c r="G68" s="1051" t="n"/>
      <c r="H68" s="1051" t="n"/>
      <c r="I68" s="1051" t="n"/>
      <c r="J68" s="1051" t="n"/>
      <c r="K68" s="1051" t="n"/>
      <c r="L68" s="1051" t="n"/>
      <c r="M68" s="1051" t="n"/>
      <c r="N68" s="1051" t="n"/>
      <c r="O68" s="1111" t="n"/>
      <c r="P68" s="1112" t="inlineStr">
        <is>
          <t>Итого</t>
        </is>
      </c>
      <c r="Q68" s="1069" t="n"/>
      <c r="R68" s="1069" t="n"/>
      <c r="S68" s="1069" t="n"/>
      <c r="T68" s="1069" t="n"/>
      <c r="U68" s="1069" t="n"/>
      <c r="V68" s="1070" t="n"/>
      <c r="W68" s="42" t="inlineStr">
        <is>
          <t>кор</t>
        </is>
      </c>
      <c r="X68" s="1113">
        <f>IFERROR(X65/H65,"0")+IFERROR(X66/H66,"0")+IFERROR(X67/H67,"0")</f>
        <v/>
      </c>
      <c r="Y68" s="1113">
        <f>IFERROR(Y65/H65,"0")+IFERROR(Y66/H66,"0")+IFERROR(Y67/H67,"0")</f>
        <v/>
      </c>
      <c r="Z68" s="1113">
        <f>IFERROR(IF(Z65="",0,Z65),"0")+IFERROR(IF(Z66="",0,Z66),"0")+IFERROR(IF(Z67="",0,Z67),"0")</f>
        <v/>
      </c>
      <c r="AA68" s="1114" t="n"/>
      <c r="AB68" s="1114" t="n"/>
      <c r="AC68" s="1114" t="n"/>
    </row>
    <row r="69">
      <c r="A69" s="1051" t="n"/>
      <c r="B69" s="1051" t="n"/>
      <c r="C69" s="1051" t="n"/>
      <c r="D69" s="1051" t="n"/>
      <c r="E69" s="1051" t="n"/>
      <c r="F69" s="1051" t="n"/>
      <c r="G69" s="1051" t="n"/>
      <c r="H69" s="1051" t="n"/>
      <c r="I69" s="1051" t="n"/>
      <c r="J69" s="1051" t="n"/>
      <c r="K69" s="1051" t="n"/>
      <c r="L69" s="1051" t="n"/>
      <c r="M69" s="1051" t="n"/>
      <c r="N69" s="1051" t="n"/>
      <c r="O69" s="1111" t="n"/>
      <c r="P69" s="1112" t="inlineStr">
        <is>
          <t>Итого</t>
        </is>
      </c>
      <c r="Q69" s="1069" t="n"/>
      <c r="R69" s="1069" t="n"/>
      <c r="S69" s="1069" t="n"/>
      <c r="T69" s="1069" t="n"/>
      <c r="U69" s="1069" t="n"/>
      <c r="V69" s="1070" t="n"/>
      <c r="W69" s="42" t="inlineStr">
        <is>
          <t>кг</t>
        </is>
      </c>
      <c r="X69" s="1113">
        <f>IFERROR(SUM(X65:X67),"0")</f>
        <v/>
      </c>
      <c r="Y69" s="1113">
        <f>IFERROR(SUM(Y65:Y67),"0")</f>
        <v/>
      </c>
      <c r="Z69" s="42" t="n"/>
      <c r="AA69" s="1114" t="n"/>
      <c r="AB69" s="1114" t="n"/>
      <c r="AC69" s="1114" t="n"/>
    </row>
    <row r="70" ht="14.25" customHeight="1">
      <c r="A70" s="744" t="inlineStr">
        <is>
          <t>Сосиски</t>
        </is>
      </c>
      <c r="B70" s="1051" t="n"/>
      <c r="C70" s="1051" t="n"/>
      <c r="D70" s="1051" t="n"/>
      <c r="E70" s="1051" t="n"/>
      <c r="F70" s="1051" t="n"/>
      <c r="G70" s="1051" t="n"/>
      <c r="H70" s="1051" t="n"/>
      <c r="I70" s="1051" t="n"/>
      <c r="J70" s="1051" t="n"/>
      <c r="K70" s="1051" t="n"/>
      <c r="L70" s="1051" t="n"/>
      <c r="M70" s="1051" t="n"/>
      <c r="N70" s="1051" t="n"/>
      <c r="O70" s="1051" t="n"/>
      <c r="P70" s="1051" t="n"/>
      <c r="Q70" s="1051" t="n"/>
      <c r="R70" s="1051" t="n"/>
      <c r="S70" s="1051" t="n"/>
      <c r="T70" s="1051" t="n"/>
      <c r="U70" s="1051" t="n"/>
      <c r="V70" s="1051" t="n"/>
      <c r="W70" s="1051" t="n"/>
      <c r="X70" s="1051" t="n"/>
      <c r="Y70" s="1051" t="n"/>
      <c r="Z70" s="1051" t="n"/>
      <c r="AA70" s="744" t="n"/>
      <c r="AB70" s="744" t="n"/>
      <c r="AC70" s="744" t="n"/>
    </row>
    <row r="71" ht="16.5" customHeight="1">
      <c r="A71" s="63" t="inlineStr">
        <is>
          <t>SU002887</t>
        </is>
      </c>
      <c r="B71" s="63" t="inlineStr">
        <is>
          <t>P004553</t>
        </is>
      </c>
      <c r="C71" s="36" t="n">
        <v>4301051838</v>
      </c>
      <c r="D71" s="745" t="n">
        <v>4680115881891</v>
      </c>
      <c r="E71" s="1062" t="n"/>
      <c r="F71" s="1100" t="n">
        <v>1.4</v>
      </c>
      <c r="G71" s="37" t="n">
        <v>6</v>
      </c>
      <c r="H71" s="1100" t="n">
        <v>8.4</v>
      </c>
      <c r="I71" s="1100" t="n">
        <v>8.919</v>
      </c>
      <c r="J71" s="37" t="n">
        <v>64</v>
      </c>
      <c r="K71" s="37" t="inlineStr">
        <is>
          <t>8</t>
        </is>
      </c>
      <c r="L71" s="37" t="inlineStr"/>
      <c r="M71" s="38" t="inlineStr">
        <is>
          <t>СК3</t>
        </is>
      </c>
      <c r="N71" s="38" t="n"/>
      <c r="O71" s="37" t="n">
        <v>40</v>
      </c>
      <c r="P71" s="1134">
        <f>HYPERLINK("https://abi.ru/products/Охлажденные/Вязанка/Филейская/Сосиски/P004553/","Сосиски «Филейские» Вес ц/о мгс ТМ «Вязанка»")</f>
        <v/>
      </c>
      <c r="Q71" s="1102" t="n"/>
      <c r="R71" s="1102" t="n"/>
      <c r="S71" s="1102" t="n"/>
      <c r="T71" s="1103" t="n"/>
      <c r="U71" s="39" t="inlineStr"/>
      <c r="V71" s="39" t="inlineStr"/>
      <c r="W71" s="40" t="inlineStr">
        <is>
          <t>кг</t>
        </is>
      </c>
      <c r="X71" s="1104" t="n">
        <v>0</v>
      </c>
      <c r="Y71" s="1105">
        <f>IFERROR(IF(X71="",0,CEILING((X71/$H71),1)*$H71),"")</f>
        <v/>
      </c>
      <c r="Z71" s="41">
        <f>IFERROR(IF(Y71=0,"",ROUNDUP(Y71/H71,0)*0.01898),"")</f>
        <v/>
      </c>
      <c r="AA71" s="68" t="inlineStr"/>
      <c r="AB71" s="69" t="inlineStr"/>
      <c r="AC71" s="136" t="inlineStr">
        <is>
          <t>ЕАЭС N RU Д-RU.РА01.В.62645/23</t>
        </is>
      </c>
      <c r="AG71" s="78" t="n"/>
      <c r="AJ71" s="84" t="inlineStr"/>
      <c r="AK71" s="84" t="n">
        <v>0</v>
      </c>
      <c r="BB71" s="137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27" customHeight="1">
      <c r="A72" s="63" t="inlineStr">
        <is>
          <t>SU003616</t>
        </is>
      </c>
      <c r="B72" s="63" t="inlineStr">
        <is>
          <t>P004555</t>
        </is>
      </c>
      <c r="C72" s="36" t="n">
        <v>4301051846</v>
      </c>
      <c r="D72" s="745" t="n">
        <v>4680115885769</v>
      </c>
      <c r="E72" s="1062" t="n"/>
      <c r="F72" s="1100" t="n">
        <v>1.4</v>
      </c>
      <c r="G72" s="37" t="n">
        <v>6</v>
      </c>
      <c r="H72" s="1100" t="n">
        <v>8.4</v>
      </c>
      <c r="I72" s="1100" t="n">
        <v>8.835000000000001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45</v>
      </c>
      <c r="P72" s="1135">
        <f>HYPERLINK("https://abi.ru/products/Охлажденные/Вязанка/Филейская/Сосиски/P004555/","Сосиски «Филейские по-ганноверски» Весовой амицел ТМ «Вязанка»")</f>
        <v/>
      </c>
      <c r="Q72" s="1102" t="n"/>
      <c r="R72" s="1102" t="n"/>
      <c r="S72" s="1102" t="n"/>
      <c r="T72" s="1103" t="n"/>
      <c r="U72" s="39" t="inlineStr"/>
      <c r="V72" s="39" t="inlineStr"/>
      <c r="W72" s="40" t="inlineStr">
        <is>
          <t>кг</t>
        </is>
      </c>
      <c r="X72" s="1104" t="n">
        <v>0</v>
      </c>
      <c r="Y72" s="1105">
        <f>IFERROR(IF(X72="",0,CEILING((X72/$H72),1)*$H72),"")</f>
        <v/>
      </c>
      <c r="Z72" s="41">
        <f>IFERROR(IF(Y72=0,"",ROUNDUP(Y72/H72,0)*0.01898),"")</f>
        <v/>
      </c>
      <c r="AA72" s="68" t="inlineStr"/>
      <c r="AB72" s="69" t="inlineStr"/>
      <c r="AC72" s="138" t="inlineStr">
        <is>
          <t>ЕАЭС N RU Д-RU.РА04.В.95390/24, ЕАЭС N RU Д-RU.РА04.В.95798/24</t>
        </is>
      </c>
      <c r="AG72" s="78" t="n"/>
      <c r="AJ72" s="84" t="inlineStr"/>
      <c r="AK72" s="84" t="n">
        <v>0</v>
      </c>
      <c r="BB72" s="139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37.5" customHeight="1">
      <c r="A73" s="63" t="inlineStr">
        <is>
          <t>SU003287</t>
        </is>
      </c>
      <c r="B73" s="63" t="inlineStr">
        <is>
          <t>P004552</t>
        </is>
      </c>
      <c r="C73" s="36" t="n">
        <v>4301051822</v>
      </c>
      <c r="D73" s="745" t="n">
        <v>4680115884410</v>
      </c>
      <c r="E73" s="1062" t="n"/>
      <c r="F73" s="1100" t="n">
        <v>1.4</v>
      </c>
      <c r="G73" s="37" t="n">
        <v>6</v>
      </c>
      <c r="H73" s="1100" t="n">
        <v>8.4</v>
      </c>
      <c r="I73" s="1100" t="n">
        <v>8.907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СК2</t>
        </is>
      </c>
      <c r="N73" s="38" t="n"/>
      <c r="O73" s="37" t="n">
        <v>40</v>
      </c>
      <c r="P73" s="1136">
        <f>HYPERLINK("https://abi.ru/products/Охлажденные/Вязанка/Филейская/Сосиски/P004552/","Сосиски «Филейские рубленые» Весовой целлофан ТМ «Вязанка»")</f>
        <v/>
      </c>
      <c r="Q73" s="1102" t="n"/>
      <c r="R73" s="1102" t="n"/>
      <c r="S73" s="1102" t="n"/>
      <c r="T73" s="1103" t="n"/>
      <c r="U73" s="39" t="inlineStr"/>
      <c r="V73" s="39" t="inlineStr"/>
      <c r="W73" s="40" t="inlineStr">
        <is>
          <t>кг</t>
        </is>
      </c>
      <c r="X73" s="1104" t="n">
        <v>10</v>
      </c>
      <c r="Y73" s="1105">
        <f>IFERROR(IF(X73="",0,CEILING((X73/$H73),1)*$H73),"")</f>
        <v/>
      </c>
      <c r="Z73" s="41">
        <f>IFERROR(IF(Y73=0,"",ROUNDUP(Y73/H73,0)*0.01898),"")</f>
        <v/>
      </c>
      <c r="AA73" s="68" t="inlineStr"/>
      <c r="AB73" s="69" t="inlineStr"/>
      <c r="AC73" s="140" t="inlineStr">
        <is>
          <t>ЕАЭС N RU Д-RU.РА01.В.58241/24, ЕАЭС N RU Д-RU.РА01.В.58575/24, ЕАЭС N RU Д-RU.РА01.В.58627/24</t>
        </is>
      </c>
      <c r="AG73" s="78" t="n"/>
      <c r="AJ73" s="84" t="inlineStr"/>
      <c r="AK73" s="84" t="n">
        <v>0</v>
      </c>
      <c r="BB73" s="141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745" t="n">
        <v>4680115884311</v>
      </c>
      <c r="E74" s="1062" t="n"/>
      <c r="F74" s="1100" t="n">
        <v>0.3</v>
      </c>
      <c r="G74" s="37" t="n">
        <v>6</v>
      </c>
      <c r="H74" s="1100" t="n">
        <v>1.8</v>
      </c>
      <c r="I74" s="1100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1137">
        <f>HYPERLINK("https://abi.ru/products/Охлажденные/Вязанка/Филейская/Сосиски/P004554/","Сосиски «Филейские» Фикс.вес 0,3 ц/о мгс ТМ «Вязанка»")</f>
        <v/>
      </c>
      <c r="Q74" s="1102" t="n"/>
      <c r="R74" s="1102" t="n"/>
      <c r="S74" s="1102" t="n"/>
      <c r="T74" s="1103" t="n"/>
      <c r="U74" s="39" t="inlineStr"/>
      <c r="V74" s="39" t="inlineStr"/>
      <c r="W74" s="40" t="inlineStr">
        <is>
          <t>кг</t>
        </is>
      </c>
      <c r="X74" s="1104" t="n">
        <v>0</v>
      </c>
      <c r="Y74" s="1105">
        <f>IFERROR(IF(X74="",0,CEILING((X74/$H74),1)*$H74),"")</f>
        <v/>
      </c>
      <c r="Z74" s="41">
        <f>IFERROR(IF(Y74=0,"",ROUNDUP(Y74/H74,0)*0.00651),"")</f>
        <v/>
      </c>
      <c r="AA74" s="68" t="inlineStr"/>
      <c r="AB74" s="69" t="inlineStr"/>
      <c r="AC74" s="142" t="inlineStr">
        <is>
          <t>ЕАЭС N RU Д-RU.РА01.В.62645/23</t>
        </is>
      </c>
      <c r="AG74" s="78" t="n"/>
      <c r="AJ74" s="84" t="inlineStr"/>
      <c r="AK74" s="84" t="n">
        <v>0</v>
      </c>
      <c r="BB74" s="143" t="inlineStr">
        <is>
          <t>КИ</t>
        </is>
      </c>
      <c r="BM74" s="78">
        <f>IFERROR(X74*I74/H74,"0")</f>
        <v/>
      </c>
      <c r="BN74" s="78">
        <f>IFERROR(Y74*I74/H74,"0")</f>
        <v/>
      </c>
      <c r="BO74" s="78">
        <f>IFERROR(1/J74*(X74/H74),"0")</f>
        <v/>
      </c>
      <c r="BP74" s="78">
        <f>IFERROR(1/J74*(Y74/H74),"0")</f>
        <v/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745" t="n">
        <v>4680115885929</v>
      </c>
      <c r="E75" s="1062" t="n"/>
      <c r="F75" s="1100" t="n">
        <v>0.42</v>
      </c>
      <c r="G75" s="37" t="n">
        <v>6</v>
      </c>
      <c r="H75" s="1100" t="n">
        <v>2.52</v>
      </c>
      <c r="I75" s="1100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1138">
        <f>HYPERLINK("https://abi.ru/products/Охлажденные/Вязанка/Филейская/Сосиски/P004558/","Сосиски «Филейские по-ганноверски» ф/в 0,42 п/а ТМ «Вязанка»")</f>
        <v/>
      </c>
      <c r="Q75" s="1102" t="n"/>
      <c r="R75" s="1102" t="n"/>
      <c r="S75" s="1102" t="n"/>
      <c r="T75" s="1103" t="n"/>
      <c r="U75" s="39" t="inlineStr"/>
      <c r="V75" s="39" t="inlineStr"/>
      <c r="W75" s="40" t="inlineStr">
        <is>
          <t>кг</t>
        </is>
      </c>
      <c r="X75" s="1104" t="n">
        <v>0</v>
      </c>
      <c r="Y75" s="1105">
        <f>IFERROR(IF(X75="",0,CEILING((X75/$H75),1)*$H75),"")</f>
        <v/>
      </c>
      <c r="Z75" s="41">
        <f>IFERROR(IF(Y75=0,"",ROUNDUP(Y75/H75,0)*0.00651),"")</f>
        <v/>
      </c>
      <c r="AA75" s="68" t="inlineStr"/>
      <c r="AB75" s="69" t="inlineStr"/>
      <c r="AC75" s="144" t="inlineStr">
        <is>
          <t>ЕАЭС N RU Д-RU.РА04.В.95390/24, ЕАЭС N RU Д-RU.РА04.В.95798/24</t>
        </is>
      </c>
      <c r="AG75" s="78" t="n"/>
      <c r="AJ75" s="84" t="inlineStr"/>
      <c r="AK75" s="84" t="n">
        <v>0</v>
      </c>
      <c r="BB75" s="145" t="inlineStr">
        <is>
          <t>КИ</t>
        </is>
      </c>
      <c r="BM75" s="78">
        <f>IFERROR(X75*I75/H75,"0")</f>
        <v/>
      </c>
      <c r="BN75" s="78">
        <f>IFERROR(Y75*I75/H75,"0")</f>
        <v/>
      </c>
      <c r="BO75" s="78">
        <f>IFERROR(1/J75*(X75/H75),"0")</f>
        <v/>
      </c>
      <c r="BP75" s="78">
        <f>IFERROR(1/J75*(Y75/H75),"0")</f>
        <v/>
      </c>
    </row>
    <row r="76" ht="37.5" customHeight="1">
      <c r="A76" s="63" t="inlineStr">
        <is>
          <t>SU003288</t>
        </is>
      </c>
      <c r="B76" s="63" t="inlineStr">
        <is>
          <t>P004557</t>
        </is>
      </c>
      <c r="C76" s="36" t="n">
        <v>4301051827</v>
      </c>
      <c r="D76" s="745" t="n">
        <v>4680115884403</v>
      </c>
      <c r="E76" s="1062" t="n"/>
      <c r="F76" s="1100" t="n">
        <v>0.3</v>
      </c>
      <c r="G76" s="37" t="n">
        <v>6</v>
      </c>
      <c r="H76" s="1100" t="n">
        <v>1.8</v>
      </c>
      <c r="I76" s="1100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СК2</t>
        </is>
      </c>
      <c r="N76" s="38" t="n"/>
      <c r="O76" s="37" t="n">
        <v>40</v>
      </c>
      <c r="P76" s="1139">
        <f>HYPERLINK("https://abi.ru/products/Охлажденные/Вязанка/Филейская/Сосиски/P004557/","Сосиски «Филейские рубленые» ф/в 0,3 ц/о ТМ «Вязанка»")</f>
        <v/>
      </c>
      <c r="Q76" s="1102" t="n"/>
      <c r="R76" s="1102" t="n"/>
      <c r="S76" s="1102" t="n"/>
      <c r="T76" s="1103" t="n"/>
      <c r="U76" s="39" t="inlineStr"/>
      <c r="V76" s="39" t="inlineStr"/>
      <c r="W76" s="40" t="inlineStr">
        <is>
          <t>кг</t>
        </is>
      </c>
      <c r="X76" s="1104" t="n">
        <v>0</v>
      </c>
      <c r="Y76" s="1105">
        <f>IFERROR(IF(X76="",0,CEILING((X76/$H76),1)*$H76),"")</f>
        <v/>
      </c>
      <c r="Z76" s="41">
        <f>IFERROR(IF(Y76=0,"",ROUNDUP(Y76/H76,0)*0.00651),"")</f>
        <v/>
      </c>
      <c r="AA76" s="68" t="inlineStr"/>
      <c r="AB76" s="69" t="inlineStr"/>
      <c r="AC76" s="146" t="inlineStr">
        <is>
          <t>ЕАЭС N RU Д-RU.РА01.В.58241/24, ЕАЭС N RU Д-RU.РА01.В.58575/24, ЕАЭС N RU Д-RU.РА01.В.58627/24</t>
        </is>
      </c>
      <c r="AG76" s="78" t="n"/>
      <c r="AJ76" s="84" t="inlineStr"/>
      <c r="AK76" s="84" t="n">
        <v>0</v>
      </c>
      <c r="BB76" s="147" t="inlineStr">
        <is>
          <t>КИ</t>
        </is>
      </c>
      <c r="BM76" s="78">
        <f>IFERROR(X76*I76/H76,"0")</f>
        <v/>
      </c>
      <c r="BN76" s="78">
        <f>IFERROR(Y76*I76/H76,"0")</f>
        <v/>
      </c>
      <c r="BO76" s="78">
        <f>IFERROR(1/J76*(X76/H76),"0")</f>
        <v/>
      </c>
      <c r="BP76" s="78">
        <f>IFERROR(1/J76*(Y76/H76),"0")</f>
        <v/>
      </c>
    </row>
    <row r="77">
      <c r="A77" s="758" t="n"/>
      <c r="B77" s="1051" t="n"/>
      <c r="C77" s="1051" t="n"/>
      <c r="D77" s="1051" t="n"/>
      <c r="E77" s="1051" t="n"/>
      <c r="F77" s="1051" t="n"/>
      <c r="G77" s="1051" t="n"/>
      <c r="H77" s="1051" t="n"/>
      <c r="I77" s="1051" t="n"/>
      <c r="J77" s="1051" t="n"/>
      <c r="K77" s="1051" t="n"/>
      <c r="L77" s="1051" t="n"/>
      <c r="M77" s="1051" t="n"/>
      <c r="N77" s="1051" t="n"/>
      <c r="O77" s="1111" t="n"/>
      <c r="P77" s="1112" t="inlineStr">
        <is>
          <t>Итого</t>
        </is>
      </c>
      <c r="Q77" s="1069" t="n"/>
      <c r="R77" s="1069" t="n"/>
      <c r="S77" s="1069" t="n"/>
      <c r="T77" s="1069" t="n"/>
      <c r="U77" s="1069" t="n"/>
      <c r="V77" s="1070" t="n"/>
      <c r="W77" s="42" t="inlineStr">
        <is>
          <t>кор</t>
        </is>
      </c>
      <c r="X77" s="1113">
        <f>IFERROR(X71/H71,"0")+IFERROR(X72/H72,"0")+IFERROR(X73/H73,"0")+IFERROR(X74/H74,"0")+IFERROR(X75/H75,"0")+IFERROR(X76/H76,"0")</f>
        <v/>
      </c>
      <c r="Y77" s="1113">
        <f>IFERROR(Y71/H71,"0")+IFERROR(Y72/H72,"0")+IFERROR(Y73/H73,"0")+IFERROR(Y74/H74,"0")+IFERROR(Y75/H75,"0")+IFERROR(Y76/H76,"0")</f>
        <v/>
      </c>
      <c r="Z77" s="1113">
        <f>IFERROR(IF(Z71="",0,Z71),"0")+IFERROR(IF(Z72="",0,Z72),"0")+IFERROR(IF(Z73="",0,Z73),"0")+IFERROR(IF(Z74="",0,Z74),"0")+IFERROR(IF(Z75="",0,Z75),"0")+IFERROR(IF(Z76="",0,Z76),"0")</f>
        <v/>
      </c>
      <c r="AA77" s="1114" t="n"/>
      <c r="AB77" s="1114" t="n"/>
      <c r="AC77" s="1114" t="n"/>
    </row>
    <row r="78">
      <c r="A78" s="1051" t="n"/>
      <c r="B78" s="1051" t="n"/>
      <c r="C78" s="1051" t="n"/>
      <c r="D78" s="1051" t="n"/>
      <c r="E78" s="1051" t="n"/>
      <c r="F78" s="1051" t="n"/>
      <c r="G78" s="1051" t="n"/>
      <c r="H78" s="1051" t="n"/>
      <c r="I78" s="1051" t="n"/>
      <c r="J78" s="1051" t="n"/>
      <c r="K78" s="1051" t="n"/>
      <c r="L78" s="1051" t="n"/>
      <c r="M78" s="1051" t="n"/>
      <c r="N78" s="1051" t="n"/>
      <c r="O78" s="1111" t="n"/>
      <c r="P78" s="1112" t="inlineStr">
        <is>
          <t>Итого</t>
        </is>
      </c>
      <c r="Q78" s="1069" t="n"/>
      <c r="R78" s="1069" t="n"/>
      <c r="S78" s="1069" t="n"/>
      <c r="T78" s="1069" t="n"/>
      <c r="U78" s="1069" t="n"/>
      <c r="V78" s="1070" t="n"/>
      <c r="W78" s="42" t="inlineStr">
        <is>
          <t>кг</t>
        </is>
      </c>
      <c r="X78" s="1113">
        <f>IFERROR(SUM(X71:X76),"0")</f>
        <v/>
      </c>
      <c r="Y78" s="1113">
        <f>IFERROR(SUM(Y71:Y76),"0")</f>
        <v/>
      </c>
      <c r="Z78" s="42" t="n"/>
      <c r="AA78" s="1114" t="n"/>
      <c r="AB78" s="1114" t="n"/>
      <c r="AC78" s="1114" t="n"/>
    </row>
    <row r="79" ht="14.25" customHeight="1">
      <c r="A79" s="744" t="inlineStr">
        <is>
          <t>Сардельки</t>
        </is>
      </c>
      <c r="B79" s="1051" t="n"/>
      <c r="C79" s="1051" t="n"/>
      <c r="D79" s="1051" t="n"/>
      <c r="E79" s="1051" t="n"/>
      <c r="F79" s="1051" t="n"/>
      <c r="G79" s="1051" t="n"/>
      <c r="H79" s="1051" t="n"/>
      <c r="I79" s="1051" t="n"/>
      <c r="J79" s="1051" t="n"/>
      <c r="K79" s="1051" t="n"/>
      <c r="L79" s="1051" t="n"/>
      <c r="M79" s="1051" t="n"/>
      <c r="N79" s="1051" t="n"/>
      <c r="O79" s="1051" t="n"/>
      <c r="P79" s="1051" t="n"/>
      <c r="Q79" s="1051" t="n"/>
      <c r="R79" s="1051" t="n"/>
      <c r="S79" s="1051" t="n"/>
      <c r="T79" s="1051" t="n"/>
      <c r="U79" s="1051" t="n"/>
      <c r="V79" s="1051" t="n"/>
      <c r="W79" s="1051" t="n"/>
      <c r="X79" s="1051" t="n"/>
      <c r="Y79" s="1051" t="n"/>
      <c r="Z79" s="1051" t="n"/>
      <c r="AA79" s="744" t="n"/>
      <c r="AB79" s="744" t="n"/>
      <c r="AC79" s="744" t="n"/>
    </row>
    <row r="80" ht="37.5" customHeight="1">
      <c r="A80" s="63" t="inlineStr">
        <is>
          <t>SU002835</t>
        </is>
      </c>
      <c r="B80" s="63" t="inlineStr">
        <is>
          <t>P003883</t>
        </is>
      </c>
      <c r="C80" s="36" t="n">
        <v>4301060366</v>
      </c>
      <c r="D80" s="745" t="n">
        <v>4680115881532</v>
      </c>
      <c r="E80" s="1062" t="n"/>
      <c r="F80" s="1100" t="n">
        <v>1.3</v>
      </c>
      <c r="G80" s="37" t="n">
        <v>6</v>
      </c>
      <c r="H80" s="1100" t="n">
        <v>7.8</v>
      </c>
      <c r="I80" s="1100" t="n">
        <v>8.234999999999999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СК2</t>
        </is>
      </c>
      <c r="N80" s="38" t="n"/>
      <c r="O80" s="37" t="n">
        <v>30</v>
      </c>
      <c r="P80" s="1140">
        <f>HYPERLINK("https://abi.ru/products/Охлажденные/Вязанка/Филейская/Сардельки/P003883/","Сардельки «Филейские» Весовые н/о мгс ТМ «Вязанка»")</f>
        <v/>
      </c>
      <c r="Q80" s="1102" t="n"/>
      <c r="R80" s="1102" t="n"/>
      <c r="S80" s="1102" t="n"/>
      <c r="T80" s="1103" t="n"/>
      <c r="U80" s="39" t="inlineStr"/>
      <c r="V80" s="39" t="inlineStr"/>
      <c r="W80" s="40" t="inlineStr">
        <is>
          <t>кг</t>
        </is>
      </c>
      <c r="X80" s="1104" t="n">
        <v>0</v>
      </c>
      <c r="Y80" s="1105">
        <f>IFERROR(IF(X80="",0,CEILING((X80/$H80),1)*$H80),"")</f>
        <v/>
      </c>
      <c r="Z80" s="41">
        <f>IFERROR(IF(Y80=0,"",ROUNDUP(Y80/H80,0)*0.01898),"")</f>
        <v/>
      </c>
      <c r="AA80" s="68" t="inlineStr"/>
      <c r="AB80" s="69" t="inlineStr"/>
      <c r="AC80" s="148" t="inlineStr">
        <is>
          <t>ЕАЭС N RU Д-RU.РА01.В.62825/23, ЕАЭС N RU Д-RU.РА01.В.62909/23, ЕАЭС N RU Д-RU.РА01.В.63000/23</t>
        </is>
      </c>
      <c r="AG80" s="78" t="n"/>
      <c r="AJ80" s="84" t="inlineStr"/>
      <c r="AK80" s="84" t="n">
        <v>0</v>
      </c>
      <c r="BB80" s="149" t="inlineStr">
        <is>
          <t>КИ</t>
        </is>
      </c>
      <c r="BM80" s="78">
        <f>IFERROR(X80*I80/H80,"0")</f>
        <v/>
      </c>
      <c r="BN80" s="78">
        <f>IFERROR(Y80*I80/H80,"0")</f>
        <v/>
      </c>
      <c r="BO80" s="78">
        <f>IFERROR(1/J80*(X80/H80),"0")</f>
        <v/>
      </c>
      <c r="BP80" s="78">
        <f>IFERROR(1/J80*(Y80/H80),"0")</f>
        <v/>
      </c>
    </row>
    <row r="81" ht="37.5" customHeight="1">
      <c r="A81" s="63" t="inlineStr">
        <is>
          <t>SU002835</t>
        </is>
      </c>
      <c r="B81" s="63" t="inlineStr">
        <is>
          <t>P003906</t>
        </is>
      </c>
      <c r="C81" s="36" t="n">
        <v>4301060371</v>
      </c>
      <c r="D81" s="745" t="n">
        <v>4680115881532</v>
      </c>
      <c r="E81" s="1062" t="n"/>
      <c r="F81" s="1100" t="n">
        <v>1.4</v>
      </c>
      <c r="G81" s="37" t="n">
        <v>6</v>
      </c>
      <c r="H81" s="1100" t="n">
        <v>8.4</v>
      </c>
      <c r="I81" s="1100" t="n">
        <v>8.919</v>
      </c>
      <c r="J81" s="37" t="n">
        <v>64</v>
      </c>
      <c r="K81" s="37" t="inlineStr">
        <is>
          <t>8</t>
        </is>
      </c>
      <c r="L81" s="37" t="inlineStr"/>
      <c r="M81" s="38" t="inlineStr">
        <is>
          <t>СК2</t>
        </is>
      </c>
      <c r="N81" s="38" t="n"/>
      <c r="O81" s="37" t="n">
        <v>30</v>
      </c>
      <c r="P81" s="1141">
        <f>HYPERLINK("https://abi.ru/products/Охлажденные/Вязанка/Филейская/Сардельки/P003906/","Сардельки «Филейские» Весовые н/о ТМ «Вязанка»")</f>
        <v/>
      </c>
      <c r="Q81" s="1102" t="n"/>
      <c r="R81" s="1102" t="n"/>
      <c r="S81" s="1102" t="n"/>
      <c r="T81" s="1103" t="n"/>
      <c r="U81" s="39" t="inlineStr"/>
      <c r="V81" s="39" t="inlineStr"/>
      <c r="W81" s="40" t="inlineStr">
        <is>
          <t>кг</t>
        </is>
      </c>
      <c r="X81" s="1104" t="n">
        <v>0</v>
      </c>
      <c r="Y81" s="1105">
        <f>IFERROR(IF(X81="",0,CEILING((X81/$H81),1)*$H81),"")</f>
        <v/>
      </c>
      <c r="Z81" s="41">
        <f>IFERROR(IF(Y81=0,"",ROUNDUP(Y81/H81,0)*0.01898),"")</f>
        <v/>
      </c>
      <c r="AA81" s="68" t="inlineStr"/>
      <c r="AB81" s="69" t="inlineStr"/>
      <c r="AC81" s="150" t="inlineStr">
        <is>
          <t>ЕАЭС N RU Д-RU.РА01.В.62825/23, ЕАЭС N RU Д-RU.РА01.В.62909/23, ЕАЭС N RU Д-RU.РА01.В.63000/23</t>
        </is>
      </c>
      <c r="AG81" s="78" t="n"/>
      <c r="AJ81" s="84" t="inlineStr"/>
      <c r="AK81" s="84" t="n">
        <v>0</v>
      </c>
      <c r="BB81" s="151" t="inlineStr">
        <is>
          <t>КИ</t>
        </is>
      </c>
      <c r="BM81" s="78">
        <f>IFERROR(X81*I81/H81,"0")</f>
        <v/>
      </c>
      <c r="BN81" s="78">
        <f>IFERROR(Y81*I81/H81,"0")</f>
        <v/>
      </c>
      <c r="BO81" s="78">
        <f>IFERROR(1/J81*(X81/H81),"0")</f>
        <v/>
      </c>
      <c r="BP81" s="78">
        <f>IFERROR(1/J81*(Y81/H81),"0")</f>
        <v/>
      </c>
    </row>
    <row r="82" ht="27" customHeight="1">
      <c r="A82" s="63" t="inlineStr">
        <is>
          <t>SU002834</t>
        </is>
      </c>
      <c r="B82" s="63" t="inlineStr">
        <is>
          <t>P003238</t>
        </is>
      </c>
      <c r="C82" s="36" t="n">
        <v>4301060351</v>
      </c>
      <c r="D82" s="745" t="n">
        <v>4680115881464</v>
      </c>
      <c r="E82" s="1062" t="n"/>
      <c r="F82" s="1100" t="n">
        <v>0.4</v>
      </c>
      <c r="G82" s="37" t="n">
        <v>6</v>
      </c>
      <c r="H82" s="1100" t="n">
        <v>2.4</v>
      </c>
      <c r="I82" s="1100" t="n">
        <v>2.61</v>
      </c>
      <c r="J82" s="37" t="n">
        <v>132</v>
      </c>
      <c r="K82" s="37" t="inlineStr">
        <is>
          <t>12</t>
        </is>
      </c>
      <c r="L82" s="37" t="inlineStr"/>
      <c r="M82" s="38" t="inlineStr">
        <is>
          <t>СК3</t>
        </is>
      </c>
      <c r="N82" s="38" t="n"/>
      <c r="O82" s="37" t="n">
        <v>30</v>
      </c>
      <c r="P82" s="1142">
        <f>HYPERLINK("https://abi.ru/products/Охлажденные/Вязанка/Филейская/Сардельки/P003238/","Сардельки «Филейские» Фикс.вес 0,4 NDX ТМ «Вязанка»")</f>
        <v/>
      </c>
      <c r="Q82" s="1102" t="n"/>
      <c r="R82" s="1102" t="n"/>
      <c r="S82" s="1102" t="n"/>
      <c r="T82" s="1103" t="n"/>
      <c r="U82" s="39" t="inlineStr"/>
      <c r="V82" s="39" t="inlineStr"/>
      <c r="W82" s="40" t="inlineStr">
        <is>
          <t>кг</t>
        </is>
      </c>
      <c r="X82" s="1104" t="n">
        <v>0</v>
      </c>
      <c r="Y82" s="1105">
        <f>IFERROR(IF(X82="",0,CEILING((X82/$H82),1)*$H82),"")</f>
        <v/>
      </c>
      <c r="Z82" s="41">
        <f>IFERROR(IF(Y82=0,"",ROUNDUP(Y82/H82,0)*0.00902),"")</f>
        <v/>
      </c>
      <c r="AA82" s="68" t="inlineStr"/>
      <c r="AB82" s="69" t="inlineStr"/>
      <c r="AC82" s="152" t="inlineStr">
        <is>
          <t>ЕАЭС N RU Д-RU.РА01.В.62909/23, ЕАЭС N RU Д-RU.РА01.В.63000/23</t>
        </is>
      </c>
      <c r="AG82" s="78" t="n"/>
      <c r="AJ82" s="84" t="inlineStr"/>
      <c r="AK82" s="84" t="n">
        <v>0</v>
      </c>
      <c r="BB82" s="153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>
      <c r="A83" s="758" t="n"/>
      <c r="B83" s="1051" t="n"/>
      <c r="C83" s="1051" t="n"/>
      <c r="D83" s="1051" t="n"/>
      <c r="E83" s="1051" t="n"/>
      <c r="F83" s="1051" t="n"/>
      <c r="G83" s="1051" t="n"/>
      <c r="H83" s="1051" t="n"/>
      <c r="I83" s="1051" t="n"/>
      <c r="J83" s="1051" t="n"/>
      <c r="K83" s="1051" t="n"/>
      <c r="L83" s="1051" t="n"/>
      <c r="M83" s="1051" t="n"/>
      <c r="N83" s="1051" t="n"/>
      <c r="O83" s="1111" t="n"/>
      <c r="P83" s="1112" t="inlineStr">
        <is>
          <t>Итого</t>
        </is>
      </c>
      <c r="Q83" s="1069" t="n"/>
      <c r="R83" s="1069" t="n"/>
      <c r="S83" s="1069" t="n"/>
      <c r="T83" s="1069" t="n"/>
      <c r="U83" s="1069" t="n"/>
      <c r="V83" s="1070" t="n"/>
      <c r="W83" s="42" t="inlineStr">
        <is>
          <t>кор</t>
        </is>
      </c>
      <c r="X83" s="1113">
        <f>IFERROR(X80/H80,"0")+IFERROR(X81/H81,"0")+IFERROR(X82/H82,"0")</f>
        <v/>
      </c>
      <c r="Y83" s="1113">
        <f>IFERROR(Y80/H80,"0")+IFERROR(Y81/H81,"0")+IFERROR(Y82/H82,"0")</f>
        <v/>
      </c>
      <c r="Z83" s="1113">
        <f>IFERROR(IF(Z80="",0,Z80),"0")+IFERROR(IF(Z81="",0,Z81),"0")+IFERROR(IF(Z82="",0,Z82),"0")</f>
        <v/>
      </c>
      <c r="AA83" s="1114" t="n"/>
      <c r="AB83" s="1114" t="n"/>
      <c r="AC83" s="1114" t="n"/>
    </row>
    <row r="84">
      <c r="A84" s="1051" t="n"/>
      <c r="B84" s="1051" t="n"/>
      <c r="C84" s="1051" t="n"/>
      <c r="D84" s="1051" t="n"/>
      <c r="E84" s="1051" t="n"/>
      <c r="F84" s="1051" t="n"/>
      <c r="G84" s="1051" t="n"/>
      <c r="H84" s="1051" t="n"/>
      <c r="I84" s="1051" t="n"/>
      <c r="J84" s="1051" t="n"/>
      <c r="K84" s="1051" t="n"/>
      <c r="L84" s="1051" t="n"/>
      <c r="M84" s="1051" t="n"/>
      <c r="N84" s="1051" t="n"/>
      <c r="O84" s="1111" t="n"/>
      <c r="P84" s="1112" t="inlineStr">
        <is>
          <t>Итого</t>
        </is>
      </c>
      <c r="Q84" s="1069" t="n"/>
      <c r="R84" s="1069" t="n"/>
      <c r="S84" s="1069" t="n"/>
      <c r="T84" s="1069" t="n"/>
      <c r="U84" s="1069" t="n"/>
      <c r="V84" s="1070" t="n"/>
      <c r="W84" s="42" t="inlineStr">
        <is>
          <t>кг</t>
        </is>
      </c>
      <c r="X84" s="1113">
        <f>IFERROR(SUM(X80:X82),"0")</f>
        <v/>
      </c>
      <c r="Y84" s="1113">
        <f>IFERROR(SUM(Y80:Y82),"0")</f>
        <v/>
      </c>
      <c r="Z84" s="42" t="n"/>
      <c r="AA84" s="1114" t="n"/>
      <c r="AB84" s="1114" t="n"/>
      <c r="AC84" s="1114" t="n"/>
    </row>
    <row r="85" ht="16.5" customHeight="1">
      <c r="A85" s="743" t="inlineStr">
        <is>
          <t>Молокуша</t>
        </is>
      </c>
      <c r="B85" s="1051" t="n"/>
      <c r="C85" s="1051" t="n"/>
      <c r="D85" s="1051" t="n"/>
      <c r="E85" s="1051" t="n"/>
      <c r="F85" s="1051" t="n"/>
      <c r="G85" s="1051" t="n"/>
      <c r="H85" s="1051" t="n"/>
      <c r="I85" s="1051" t="n"/>
      <c r="J85" s="1051" t="n"/>
      <c r="K85" s="1051" t="n"/>
      <c r="L85" s="1051" t="n"/>
      <c r="M85" s="1051" t="n"/>
      <c r="N85" s="1051" t="n"/>
      <c r="O85" s="1051" t="n"/>
      <c r="P85" s="1051" t="n"/>
      <c r="Q85" s="1051" t="n"/>
      <c r="R85" s="1051" t="n"/>
      <c r="S85" s="1051" t="n"/>
      <c r="T85" s="1051" t="n"/>
      <c r="U85" s="1051" t="n"/>
      <c r="V85" s="1051" t="n"/>
      <c r="W85" s="1051" t="n"/>
      <c r="X85" s="1051" t="n"/>
      <c r="Y85" s="1051" t="n"/>
      <c r="Z85" s="1051" t="n"/>
      <c r="AA85" s="743" t="n"/>
      <c r="AB85" s="743" t="n"/>
      <c r="AC85" s="743" t="n"/>
    </row>
    <row r="86" ht="14.25" customHeight="1">
      <c r="A86" s="744" t="inlineStr">
        <is>
          <t>Вареные колбасы</t>
        </is>
      </c>
      <c r="B86" s="1051" t="n"/>
      <c r="C86" s="1051" t="n"/>
      <c r="D86" s="1051" t="n"/>
      <c r="E86" s="1051" t="n"/>
      <c r="F86" s="1051" t="n"/>
      <c r="G86" s="1051" t="n"/>
      <c r="H86" s="1051" t="n"/>
      <c r="I86" s="1051" t="n"/>
      <c r="J86" s="1051" t="n"/>
      <c r="K86" s="1051" t="n"/>
      <c r="L86" s="1051" t="n"/>
      <c r="M86" s="1051" t="n"/>
      <c r="N86" s="1051" t="n"/>
      <c r="O86" s="1051" t="n"/>
      <c r="P86" s="1051" t="n"/>
      <c r="Q86" s="1051" t="n"/>
      <c r="R86" s="1051" t="n"/>
      <c r="S86" s="1051" t="n"/>
      <c r="T86" s="1051" t="n"/>
      <c r="U86" s="1051" t="n"/>
      <c r="V86" s="1051" t="n"/>
      <c r="W86" s="1051" t="n"/>
      <c r="X86" s="1051" t="n"/>
      <c r="Y86" s="1051" t="n"/>
      <c r="Z86" s="1051" t="n"/>
      <c r="AA86" s="744" t="n"/>
      <c r="AB86" s="744" t="n"/>
      <c r="AC86" s="744" t="n"/>
    </row>
    <row r="87" ht="27" customHeight="1">
      <c r="A87" s="63" t="inlineStr">
        <is>
          <t>SU002830</t>
        </is>
      </c>
      <c r="B87" s="63" t="inlineStr">
        <is>
          <t>P003239</t>
        </is>
      </c>
      <c r="C87" s="36" t="n">
        <v>4301011468</v>
      </c>
      <c r="D87" s="745" t="n">
        <v>4680115881327</v>
      </c>
      <c r="E87" s="1062" t="n"/>
      <c r="F87" s="1100" t="n">
        <v>1.35</v>
      </c>
      <c r="G87" s="37" t="n">
        <v>8</v>
      </c>
      <c r="H87" s="1100" t="n">
        <v>10.8</v>
      </c>
      <c r="I87" s="1100" t="n">
        <v>11.235</v>
      </c>
      <c r="J87" s="37" t="n">
        <v>64</v>
      </c>
      <c r="K87" s="37" t="inlineStr">
        <is>
          <t>8</t>
        </is>
      </c>
      <c r="L87" s="37" t="inlineStr"/>
      <c r="M87" s="38" t="inlineStr">
        <is>
          <t>СК4</t>
        </is>
      </c>
      <c r="N87" s="38" t="n"/>
      <c r="O87" s="37" t="n">
        <v>50</v>
      </c>
      <c r="P87" s="1143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1102" t="n"/>
      <c r="R87" s="1102" t="n"/>
      <c r="S87" s="1102" t="n"/>
      <c r="T87" s="1103" t="n"/>
      <c r="U87" s="39" t="inlineStr"/>
      <c r="V87" s="39" t="inlineStr"/>
      <c r="W87" s="40" t="inlineStr">
        <is>
          <t>кг</t>
        </is>
      </c>
      <c r="X87" s="1104" t="n">
        <v>200</v>
      </c>
      <c r="Y87" s="1105">
        <f>IFERROR(IF(X87="",0,CEILING((X87/$H87),1)*$H87),"")</f>
        <v/>
      </c>
      <c r="Z87" s="41">
        <f>IFERROR(IF(Y87=0,"",ROUNDUP(Y87/H87,0)*0.01898),"")</f>
        <v/>
      </c>
      <c r="AA87" s="68" t="inlineStr"/>
      <c r="AB87" s="69" t="inlineStr"/>
      <c r="AC87" s="154" t="inlineStr">
        <is>
          <t>ЕАЭС N RU Д-RU.РА04.В.70946/22</t>
        </is>
      </c>
      <c r="AG87" s="78" t="n"/>
      <c r="AJ87" s="84" t="inlineStr"/>
      <c r="AK87" s="84" t="n">
        <v>0</v>
      </c>
      <c r="BB87" s="155" t="inlineStr">
        <is>
          <t>КИ</t>
        </is>
      </c>
      <c r="BM87" s="78">
        <f>IFERROR(X87*I87/H87,"0")</f>
        <v/>
      </c>
      <c r="BN87" s="78">
        <f>IFERROR(Y87*I87/H87,"0")</f>
        <v/>
      </c>
      <c r="BO87" s="78">
        <f>IFERROR(1/J87*(X87/H87),"0")</f>
        <v/>
      </c>
      <c r="BP87" s="78">
        <f>IFERROR(1/J87*(Y87/H87),"0")</f>
        <v/>
      </c>
    </row>
    <row r="88" ht="16.5" customHeight="1">
      <c r="A88" s="63" t="inlineStr">
        <is>
          <t>SU002832</t>
        </is>
      </c>
      <c r="B88" s="63" t="inlineStr">
        <is>
          <t>P003245</t>
        </is>
      </c>
      <c r="C88" s="36" t="n">
        <v>4301011476</v>
      </c>
      <c r="D88" s="745" t="n">
        <v>4680115881518</v>
      </c>
      <c r="E88" s="1062" t="n"/>
      <c r="F88" s="1100" t="n">
        <v>0.4</v>
      </c>
      <c r="G88" s="37" t="n">
        <v>10</v>
      </c>
      <c r="H88" s="1100" t="n">
        <v>4</v>
      </c>
      <c r="I88" s="1100" t="n">
        <v>4.21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СК3</t>
        </is>
      </c>
      <c r="N88" s="38" t="n"/>
      <c r="O88" s="37" t="n">
        <v>50</v>
      </c>
      <c r="P88" s="1144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8" s="1102" t="n"/>
      <c r="R88" s="1102" t="n"/>
      <c r="S88" s="1102" t="n"/>
      <c r="T88" s="1103" t="n"/>
      <c r="U88" s="39" t="inlineStr"/>
      <c r="V88" s="39" t="inlineStr"/>
      <c r="W88" s="40" t="inlineStr">
        <is>
          <t>кг</t>
        </is>
      </c>
      <c r="X88" s="1104" t="n">
        <v>0</v>
      </c>
      <c r="Y88" s="1105">
        <f>IFERROR(IF(X88="",0,CEILING((X88/$H88),1)*$H88),"")</f>
        <v/>
      </c>
      <c r="Z88" s="41">
        <f>IFERROR(IF(Y88=0,"",ROUNDUP(Y88/H88,0)*0.00902),"")</f>
        <v/>
      </c>
      <c r="AA88" s="68" t="inlineStr"/>
      <c r="AB88" s="69" t="inlineStr"/>
      <c r="AC88" s="156" t="inlineStr">
        <is>
          <t>ЕАЭС N RU Д-RU.РА04.В.70946/22</t>
        </is>
      </c>
      <c r="AG88" s="78" t="n"/>
      <c r="AJ88" s="84" t="inlineStr"/>
      <c r="AK88" s="84" t="n">
        <v>0</v>
      </c>
      <c r="BB88" s="157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SU002816</t>
        </is>
      </c>
      <c r="B89" s="63" t="inlineStr">
        <is>
          <t>P003228</t>
        </is>
      </c>
      <c r="C89" s="36" t="n">
        <v>4301011443</v>
      </c>
      <c r="D89" s="745" t="n">
        <v>4680115881303</v>
      </c>
      <c r="E89" s="1062" t="n"/>
      <c r="F89" s="1100" t="n">
        <v>0.45</v>
      </c>
      <c r="G89" s="37" t="n">
        <v>10</v>
      </c>
      <c r="H89" s="1100" t="n">
        <v>4.5</v>
      </c>
      <c r="I89" s="1100" t="n">
        <v>4.71</v>
      </c>
      <c r="J89" s="37" t="n">
        <v>132</v>
      </c>
      <c r="K89" s="37" t="inlineStr">
        <is>
          <t>12</t>
        </is>
      </c>
      <c r="L89" s="37" t="inlineStr">
        <is>
          <t>Палетта, мин. 1</t>
        </is>
      </c>
      <c r="M89" s="38" t="inlineStr">
        <is>
          <t>СК4</t>
        </is>
      </c>
      <c r="N89" s="38" t="n"/>
      <c r="O89" s="37" t="n">
        <v>50</v>
      </c>
      <c r="P89" s="1145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89" s="1102" t="n"/>
      <c r="R89" s="1102" t="n"/>
      <c r="S89" s="1102" t="n"/>
      <c r="T89" s="1103" t="n"/>
      <c r="U89" s="39" t="inlineStr"/>
      <c r="V89" s="39" t="inlineStr"/>
      <c r="W89" s="40" t="inlineStr">
        <is>
          <t>кг</t>
        </is>
      </c>
      <c r="X89" s="1104" t="n">
        <v>360</v>
      </c>
      <c r="Y89" s="1105">
        <f>IFERROR(IF(X89="",0,CEILING((X89/$H89),1)*$H89),"")</f>
        <v/>
      </c>
      <c r="Z89" s="41">
        <f>IFERROR(IF(Y89=0,"",ROUNDUP(Y89/H89,0)*0.00902),"")</f>
        <v/>
      </c>
      <c r="AA89" s="68" t="inlineStr"/>
      <c r="AB89" s="69" t="inlineStr"/>
      <c r="AC89" s="158" t="inlineStr">
        <is>
          <t>ЕАЭС N RU Д-RU.РА04.В.69716/22, ЕАЭС N RU Д-RU.РА04.В.70946/22</t>
        </is>
      </c>
      <c r="AG89" s="78" t="n"/>
      <c r="AJ89" s="84" t="inlineStr">
        <is>
          <t>Палетта</t>
        </is>
      </c>
      <c r="AK89" s="84" t="n">
        <v>594</v>
      </c>
      <c r="BB89" s="159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>
      <c r="A90" s="758" t="n"/>
      <c r="B90" s="1051" t="n"/>
      <c r="C90" s="1051" t="n"/>
      <c r="D90" s="1051" t="n"/>
      <c r="E90" s="1051" t="n"/>
      <c r="F90" s="1051" t="n"/>
      <c r="G90" s="1051" t="n"/>
      <c r="H90" s="1051" t="n"/>
      <c r="I90" s="1051" t="n"/>
      <c r="J90" s="1051" t="n"/>
      <c r="K90" s="1051" t="n"/>
      <c r="L90" s="1051" t="n"/>
      <c r="M90" s="1051" t="n"/>
      <c r="N90" s="1051" t="n"/>
      <c r="O90" s="1111" t="n"/>
      <c r="P90" s="1112" t="inlineStr">
        <is>
          <t>Итого</t>
        </is>
      </c>
      <c r="Q90" s="1069" t="n"/>
      <c r="R90" s="1069" t="n"/>
      <c r="S90" s="1069" t="n"/>
      <c r="T90" s="1069" t="n"/>
      <c r="U90" s="1069" t="n"/>
      <c r="V90" s="1070" t="n"/>
      <c r="W90" s="42" t="inlineStr">
        <is>
          <t>кор</t>
        </is>
      </c>
      <c r="X90" s="1113">
        <f>IFERROR(X87/H87,"0")+IFERROR(X88/H88,"0")+IFERROR(X89/H89,"0")</f>
        <v/>
      </c>
      <c r="Y90" s="1113">
        <f>IFERROR(Y87/H87,"0")+IFERROR(Y88/H88,"0")+IFERROR(Y89/H89,"0")</f>
        <v/>
      </c>
      <c r="Z90" s="1113">
        <f>IFERROR(IF(Z87="",0,Z87),"0")+IFERROR(IF(Z88="",0,Z88),"0")+IFERROR(IF(Z89="",0,Z89),"0")</f>
        <v/>
      </c>
      <c r="AA90" s="1114" t="n"/>
      <c r="AB90" s="1114" t="n"/>
      <c r="AC90" s="1114" t="n"/>
    </row>
    <row r="91">
      <c r="A91" s="1051" t="n"/>
      <c r="B91" s="1051" t="n"/>
      <c r="C91" s="1051" t="n"/>
      <c r="D91" s="1051" t="n"/>
      <c r="E91" s="1051" t="n"/>
      <c r="F91" s="1051" t="n"/>
      <c r="G91" s="1051" t="n"/>
      <c r="H91" s="1051" t="n"/>
      <c r="I91" s="1051" t="n"/>
      <c r="J91" s="1051" t="n"/>
      <c r="K91" s="1051" t="n"/>
      <c r="L91" s="1051" t="n"/>
      <c r="M91" s="1051" t="n"/>
      <c r="N91" s="1051" t="n"/>
      <c r="O91" s="1111" t="n"/>
      <c r="P91" s="1112" t="inlineStr">
        <is>
          <t>Итого</t>
        </is>
      </c>
      <c r="Q91" s="1069" t="n"/>
      <c r="R91" s="1069" t="n"/>
      <c r="S91" s="1069" t="n"/>
      <c r="T91" s="1069" t="n"/>
      <c r="U91" s="1069" t="n"/>
      <c r="V91" s="1070" t="n"/>
      <c r="W91" s="42" t="inlineStr">
        <is>
          <t>кг</t>
        </is>
      </c>
      <c r="X91" s="1113">
        <f>IFERROR(SUM(X87:X89),"0")</f>
        <v/>
      </c>
      <c r="Y91" s="1113">
        <f>IFERROR(SUM(Y87:Y89),"0")</f>
        <v/>
      </c>
      <c r="Z91" s="42" t="n"/>
      <c r="AA91" s="1114" t="n"/>
      <c r="AB91" s="1114" t="n"/>
      <c r="AC91" s="1114" t="n"/>
    </row>
    <row r="92" ht="14.25" customHeight="1">
      <c r="A92" s="744" t="inlineStr">
        <is>
          <t>Сосиски</t>
        </is>
      </c>
      <c r="B92" s="1051" t="n"/>
      <c r="C92" s="1051" t="n"/>
      <c r="D92" s="1051" t="n"/>
      <c r="E92" s="1051" t="n"/>
      <c r="F92" s="1051" t="n"/>
      <c r="G92" s="1051" t="n"/>
      <c r="H92" s="1051" t="n"/>
      <c r="I92" s="1051" t="n"/>
      <c r="J92" s="1051" t="n"/>
      <c r="K92" s="1051" t="n"/>
      <c r="L92" s="1051" t="n"/>
      <c r="M92" s="1051" t="n"/>
      <c r="N92" s="1051" t="n"/>
      <c r="O92" s="1051" t="n"/>
      <c r="P92" s="1051" t="n"/>
      <c r="Q92" s="1051" t="n"/>
      <c r="R92" s="1051" t="n"/>
      <c r="S92" s="1051" t="n"/>
      <c r="T92" s="1051" t="n"/>
      <c r="U92" s="1051" t="n"/>
      <c r="V92" s="1051" t="n"/>
      <c r="W92" s="1051" t="n"/>
      <c r="X92" s="1051" t="n"/>
      <c r="Y92" s="1051" t="n"/>
      <c r="Z92" s="1051" t="n"/>
      <c r="AA92" s="744" t="n"/>
      <c r="AB92" s="744" t="n"/>
      <c r="AC92" s="744" t="n"/>
    </row>
    <row r="93" ht="27" customHeight="1">
      <c r="A93" s="63" t="inlineStr">
        <is>
          <t>SU001523</t>
        </is>
      </c>
      <c r="B93" s="63" t="inlineStr">
        <is>
          <t>P003691</t>
        </is>
      </c>
      <c r="C93" s="36" t="n">
        <v>4301051546</v>
      </c>
      <c r="D93" s="745" t="n">
        <v>4607091386967</v>
      </c>
      <c r="E93" s="1062" t="n"/>
      <c r="F93" s="1100" t="n">
        <v>1.4</v>
      </c>
      <c r="G93" s="37" t="n">
        <v>6</v>
      </c>
      <c r="H93" s="1100" t="n">
        <v>8.4</v>
      </c>
      <c r="I93" s="1100" t="n">
        <v>8.919</v>
      </c>
      <c r="J93" s="37" t="n">
        <v>64</v>
      </c>
      <c r="K93" s="37" t="inlineStr">
        <is>
          <t>8</t>
        </is>
      </c>
      <c r="L93" s="37" t="inlineStr"/>
      <c r="M93" s="38" t="inlineStr">
        <is>
          <t>СК3</t>
        </is>
      </c>
      <c r="N93" s="38" t="n"/>
      <c r="O93" s="37" t="n">
        <v>45</v>
      </c>
      <c r="P93" s="1146">
        <f>HYPERLINK("https://abi.ru/products/Охлажденные/Вязанка/Молокуша/Сосиски/P003691/","Сосиски «Молокуши (Вязанка Молочные)» Весовые П/а мгс УВВ ТМ «Вязанка»")</f>
        <v/>
      </c>
      <c r="Q93" s="1102" t="n"/>
      <c r="R93" s="1102" t="n"/>
      <c r="S93" s="1102" t="n"/>
      <c r="T93" s="1103" t="n"/>
      <c r="U93" s="39" t="inlineStr"/>
      <c r="V93" s="39" t="inlineStr"/>
      <c r="W93" s="40" t="inlineStr">
        <is>
          <t>кг</t>
        </is>
      </c>
      <c r="X93" s="1104" t="n">
        <v>100</v>
      </c>
      <c r="Y93" s="1105">
        <f>IFERROR(IF(X93="",0,CEILING((X93/$H93),1)*$H93),"")</f>
        <v/>
      </c>
      <c r="Z93" s="41">
        <f>IFERROR(IF(Y93=0,"",ROUNDUP(Y93/H93,0)*0.01898),"")</f>
        <v/>
      </c>
      <c r="AA93" s="68" t="inlineStr"/>
      <c r="AB93" s="69" t="inlineStr"/>
      <c r="AC93" s="160" t="inlineStr">
        <is>
          <t>ЕАЭС N RU Д-RU.РА01.В.20899/23, ЕАЭС N RU Д-RU.РА03.В.39392/23</t>
        </is>
      </c>
      <c r="AG93" s="78" t="n"/>
      <c r="AJ93" s="84" t="inlineStr"/>
      <c r="AK93" s="84" t="n">
        <v>0</v>
      </c>
      <c r="BB93" s="161" t="inlineStr">
        <is>
          <t>КИ</t>
        </is>
      </c>
      <c r="BM93" s="78">
        <f>IFERROR(X93*I93/H93,"0")</f>
        <v/>
      </c>
      <c r="BN93" s="78">
        <f>IFERROR(Y93*I93/H93,"0")</f>
        <v/>
      </c>
      <c r="BO93" s="78">
        <f>IFERROR(1/J93*(X93/H93),"0")</f>
        <v/>
      </c>
      <c r="BP93" s="78">
        <f>IFERROR(1/J93*(Y93/H93),"0")</f>
        <v/>
      </c>
    </row>
    <row r="94" ht="27" customHeight="1">
      <c r="A94" s="63" t="inlineStr">
        <is>
          <t>SU001523</t>
        </is>
      </c>
      <c r="B94" s="63" t="inlineStr">
        <is>
          <t>P003328</t>
        </is>
      </c>
      <c r="C94" s="36" t="n">
        <v>4301051437</v>
      </c>
      <c r="D94" s="745" t="n">
        <v>4607091386967</v>
      </c>
      <c r="E94" s="1062" t="n"/>
      <c r="F94" s="1100" t="n">
        <v>1.35</v>
      </c>
      <c r="G94" s="37" t="n">
        <v>6</v>
      </c>
      <c r="H94" s="1100" t="n">
        <v>8.1</v>
      </c>
      <c r="I94" s="1100" t="n">
        <v>8.619</v>
      </c>
      <c r="J94" s="37" t="n">
        <v>64</v>
      </c>
      <c r="K94" s="37" t="inlineStr">
        <is>
          <t>8</t>
        </is>
      </c>
      <c r="L94" s="37" t="inlineStr"/>
      <c r="M94" s="38" t="inlineStr">
        <is>
          <t>СК3</t>
        </is>
      </c>
      <c r="N94" s="38" t="n"/>
      <c r="O94" s="37" t="n">
        <v>45</v>
      </c>
      <c r="P94" s="1147">
        <f>HYPERLINK("https://abi.ru/products/Охлажденные/Вязанка/Молокуша/Сосиски/P003328/","Сосиски «Вязанка Молочные» Весовые П/а мгс ТМ «Вязанка»")</f>
        <v/>
      </c>
      <c r="Q94" s="1102" t="n"/>
      <c r="R94" s="1102" t="n"/>
      <c r="S94" s="1102" t="n"/>
      <c r="T94" s="1103" t="n"/>
      <c r="U94" s="39" t="inlineStr"/>
      <c r="V94" s="39" t="inlineStr"/>
      <c r="W94" s="40" t="inlineStr">
        <is>
          <t>кг</t>
        </is>
      </c>
      <c r="X94" s="1104" t="n">
        <v>0</v>
      </c>
      <c r="Y94" s="1105">
        <f>IFERROR(IF(X94="",0,CEILING((X94/$H94),1)*$H94),"")</f>
        <v/>
      </c>
      <c r="Z94" s="41">
        <f>IFERROR(IF(Y94=0,"",ROUNDUP(Y94/H94,0)*0.01898),"")</f>
        <v/>
      </c>
      <c r="AA94" s="68" t="inlineStr"/>
      <c r="AB94" s="69" t="inlineStr"/>
      <c r="AC94" s="162" t="inlineStr">
        <is>
          <t>ЕАЭС N RU Д-RU.РА01.В.20899/23, ЕАЭС N RU Д-RU.РА03.В.39392/23</t>
        </is>
      </c>
      <c r="AG94" s="78" t="n"/>
      <c r="AJ94" s="84" t="inlineStr"/>
      <c r="AK94" s="84" t="n">
        <v>0</v>
      </c>
      <c r="BB94" s="163" t="inlineStr">
        <is>
          <t>КИ</t>
        </is>
      </c>
      <c r="BM94" s="78">
        <f>IFERROR(X94*I94/H94,"0")</f>
        <v/>
      </c>
      <c r="BN94" s="78">
        <f>IFERROR(Y94*I94/H94,"0")</f>
        <v/>
      </c>
      <c r="BO94" s="78">
        <f>IFERROR(1/J94*(X94/H94),"0")</f>
        <v/>
      </c>
      <c r="BP94" s="78">
        <f>IFERROR(1/J94*(Y94/H94),"0")</f>
        <v/>
      </c>
    </row>
    <row r="95" ht="16.5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745" t="n">
        <v>4607091386967</v>
      </c>
      <c r="E95" s="1062" t="n"/>
      <c r="F95" s="1100" t="n">
        <v>1.35</v>
      </c>
      <c r="G95" s="37" t="n">
        <v>6</v>
      </c>
      <c r="H95" s="1100" t="n">
        <v>8.1</v>
      </c>
      <c r="I95" s="1100" t="n">
        <v>8.619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148" t="inlineStr">
        <is>
          <t>Сосиски «Молокуши (Вязанка Молочные)» Весовой п/а мгс ТМ «Вязанка»</t>
        </is>
      </c>
      <c r="Q95" s="1102" t="n"/>
      <c r="R95" s="1102" t="n"/>
      <c r="S95" s="1102" t="n"/>
      <c r="T95" s="1103" t="n"/>
      <c r="U95" s="39" t="inlineStr"/>
      <c r="V95" s="39" t="inlineStr"/>
      <c r="W95" s="40" t="inlineStr">
        <is>
          <t>кг</t>
        </is>
      </c>
      <c r="X95" s="1104" t="n">
        <v>0</v>
      </c>
      <c r="Y95" s="1105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4" t="inlineStr">
        <is>
          <t>ЕАЭС N RU Д-RU.РА03.В.39392/23</t>
        </is>
      </c>
      <c r="AG95" s="78" t="n"/>
      <c r="AJ95" s="84" t="inlineStr"/>
      <c r="AK95" s="84" t="n">
        <v>0</v>
      </c>
      <c r="BB95" s="165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745" t="n">
        <v>4680115884953</v>
      </c>
      <c r="E96" s="1062" t="n"/>
      <c r="F96" s="1100" t="n">
        <v>0.37</v>
      </c>
      <c r="G96" s="37" t="n">
        <v>6</v>
      </c>
      <c r="H96" s="1100" t="n">
        <v>2.22</v>
      </c>
      <c r="I96" s="1100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149" t="inlineStr">
        <is>
          <t>Сосиски «Вязанка Молочные» Фикс.вес 0,37 п/а ТМ «Вязанка»</t>
        </is>
      </c>
      <c r="Q96" s="1102" t="n"/>
      <c r="R96" s="1102" t="n"/>
      <c r="S96" s="1102" t="n"/>
      <c r="T96" s="1103" t="n"/>
      <c r="U96" s="39" t="inlineStr"/>
      <c r="V96" s="39" t="inlineStr"/>
      <c r="W96" s="40" t="inlineStr">
        <is>
          <t>кг</t>
        </is>
      </c>
      <c r="X96" s="1104" t="n">
        <v>0</v>
      </c>
      <c r="Y96" s="1105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6" t="inlineStr">
        <is>
          <t>ЕАЭС N RU Д-RU.РА03.В.50049/23, ЕАЭС N RU Д-RU.РА10.В.94983/23</t>
        </is>
      </c>
      <c r="AG96" s="78" t="n"/>
      <c r="AJ96" s="84" t="inlineStr"/>
      <c r="AK96" s="84" t="n">
        <v>0</v>
      </c>
      <c r="BB96" s="167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P004983</t>
        </is>
      </c>
      <c r="C97" s="36" t="n">
        <v>4301052039</v>
      </c>
      <c r="D97" s="745" t="n">
        <v>4607091385731</v>
      </c>
      <c r="E97" s="1062" t="n"/>
      <c r="F97" s="1100" t="n">
        <v>0.45</v>
      </c>
      <c r="G97" s="37" t="n">
        <v>6</v>
      </c>
      <c r="H97" s="1100" t="n">
        <v>2.7</v>
      </c>
      <c r="I97" s="1100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СК3</t>
        </is>
      </c>
      <c r="N97" s="38" t="n"/>
      <c r="O97" s="37" t="n">
        <v>45</v>
      </c>
      <c r="P97" s="1150" t="inlineStr">
        <is>
          <t>Сосиски «Вязанка Молочные» Фикс.вес 0,45 п/а ТМ «Вязанка»</t>
        </is>
      </c>
      <c r="Q97" s="1102" t="n"/>
      <c r="R97" s="1102" t="n"/>
      <c r="S97" s="1102" t="n"/>
      <c r="T97" s="1103" t="n"/>
      <c r="U97" s="39" t="inlineStr"/>
      <c r="V97" s="39" t="inlineStr"/>
      <c r="W97" s="40" t="inlineStr">
        <is>
          <t>кг</t>
        </is>
      </c>
      <c r="X97" s="1104" t="n">
        <v>315</v>
      </c>
      <c r="Y97" s="1105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8" t="inlineStr">
        <is>
          <t>ЕАЭС N RU Д-RU.РА01.В.20899/23, ЕАЭС N RU Д-RU.РА03.В.39392/23</t>
        </is>
      </c>
      <c r="AG97" s="78" t="n"/>
      <c r="AJ97" s="84" t="inlineStr"/>
      <c r="AK97" s="84" t="n">
        <v>0</v>
      </c>
      <c r="BB97" s="169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SU001718</t>
        </is>
      </c>
      <c r="B98" s="63" t="inlineStr">
        <is>
          <t>P003985</t>
        </is>
      </c>
      <c r="C98" s="36" t="n">
        <v>4301051718</v>
      </c>
      <c r="D98" s="745" t="n">
        <v>4607091385731</v>
      </c>
      <c r="E98" s="1062" t="n"/>
      <c r="F98" s="1100" t="n">
        <v>0.45</v>
      </c>
      <c r="G98" s="37" t="n">
        <v>6</v>
      </c>
      <c r="H98" s="1100" t="n">
        <v>2.7</v>
      </c>
      <c r="I98" s="1100" t="n">
        <v>2.952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СК4</t>
        </is>
      </c>
      <c r="N98" s="38" t="n"/>
      <c r="O98" s="37" t="n">
        <v>45</v>
      </c>
      <c r="P98" s="1151" t="inlineStr">
        <is>
          <t>Сосиски «Молокуши» ф/в 0,45 п/а мгс ТМ «Вязанка»</t>
        </is>
      </c>
      <c r="Q98" s="1102" t="n"/>
      <c r="R98" s="1102" t="n"/>
      <c r="S98" s="1102" t="n"/>
      <c r="T98" s="1103" t="n"/>
      <c r="U98" s="39" t="inlineStr"/>
      <c r="V98" s="39" t="inlineStr"/>
      <c r="W98" s="40" t="inlineStr">
        <is>
          <t>кг</t>
        </is>
      </c>
      <c r="X98" s="1104" t="n">
        <v>0</v>
      </c>
      <c r="Y98" s="1105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70" t="inlineStr">
        <is>
          <t>ЕАЭС N RU Д-RU.РА03.В.39392/23</t>
        </is>
      </c>
      <c r="AG98" s="78" t="n"/>
      <c r="AJ98" s="84" t="inlineStr"/>
      <c r="AK98" s="84" t="n">
        <v>0</v>
      </c>
      <c r="BB98" s="171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 ht="16.5" customHeight="1">
      <c r="A99" s="63" t="inlineStr">
        <is>
          <t>SU002769</t>
        </is>
      </c>
      <c r="B99" s="63" t="inlineStr">
        <is>
          <t>P003324</t>
        </is>
      </c>
      <c r="C99" s="36" t="n">
        <v>4301051438</v>
      </c>
      <c r="D99" s="745" t="n">
        <v>4680115880894</v>
      </c>
      <c r="E99" s="1062" t="n"/>
      <c r="F99" s="1100" t="n">
        <v>0.33</v>
      </c>
      <c r="G99" s="37" t="n">
        <v>6</v>
      </c>
      <c r="H99" s="1100" t="n">
        <v>1.98</v>
      </c>
      <c r="I99" s="1100" t="n">
        <v>2.238</v>
      </c>
      <c r="J99" s="37" t="n">
        <v>182</v>
      </c>
      <c r="K99" s="37" t="inlineStr">
        <is>
          <t>14</t>
        </is>
      </c>
      <c r="L99" s="37" t="inlineStr"/>
      <c r="M99" s="38" t="inlineStr">
        <is>
          <t>СК3</t>
        </is>
      </c>
      <c r="N99" s="38" t="n"/>
      <c r="O99" s="37" t="n">
        <v>45</v>
      </c>
      <c r="P99" s="1152">
        <f>HYPERLINK("https://abi.ru/products/Охлажденные/Вязанка/Молокуша/Сосиски/P003324/","Сосиски Молокуши Миникушай Вязанка фикс.вес 0,33 п/а Вязанка")</f>
        <v/>
      </c>
      <c r="Q99" s="1102" t="n"/>
      <c r="R99" s="1102" t="n"/>
      <c r="S99" s="1102" t="n"/>
      <c r="T99" s="1103" t="n"/>
      <c r="U99" s="39" t="inlineStr"/>
      <c r="V99" s="39" t="inlineStr"/>
      <c r="W99" s="40" t="inlineStr">
        <is>
          <t>кг</t>
        </is>
      </c>
      <c r="X99" s="1104" t="n">
        <v>0</v>
      </c>
      <c r="Y99" s="1105">
        <f>IFERROR(IF(X99="",0,CEILING((X99/$H99),1)*$H99),"")</f>
        <v/>
      </c>
      <c r="Z99" s="41">
        <f>IFERROR(IF(Y99=0,"",ROUNDUP(Y99/H99,0)*0.00651),"")</f>
        <v/>
      </c>
      <c r="AA99" s="68" t="inlineStr"/>
      <c r="AB99" s="69" t="inlineStr"/>
      <c r="AC99" s="172" t="inlineStr">
        <is>
          <t>ЕАЭС N RU Д-RU.РА06.В.12617/22</t>
        </is>
      </c>
      <c r="AG99" s="78" t="n"/>
      <c r="AJ99" s="84" t="inlineStr"/>
      <c r="AK99" s="84" t="n">
        <v>0</v>
      </c>
      <c r="BB99" s="173" t="inlineStr">
        <is>
          <t>КИ</t>
        </is>
      </c>
      <c r="BM99" s="78">
        <f>IFERROR(X99*I99/H99,"0")</f>
        <v/>
      </c>
      <c r="BN99" s="78">
        <f>IFERROR(Y99*I99/H99,"0")</f>
        <v/>
      </c>
      <c r="BO99" s="78">
        <f>IFERROR(1/J99*(X99/H99),"0")</f>
        <v/>
      </c>
      <c r="BP99" s="78">
        <f>IFERROR(1/J99*(Y99/H99),"0")</f>
        <v/>
      </c>
    </row>
    <row r="100" ht="27" customHeight="1">
      <c r="A100" s="63" t="inlineStr">
        <is>
          <t>SU002658</t>
        </is>
      </c>
      <c r="B100" s="63" t="inlineStr">
        <is>
          <t>P003326</t>
        </is>
      </c>
      <c r="C100" s="36" t="n">
        <v>4301051439</v>
      </c>
      <c r="D100" s="745" t="n">
        <v>4680115880214</v>
      </c>
      <c r="E100" s="1062" t="n"/>
      <c r="F100" s="1100" t="n">
        <v>0.45</v>
      </c>
      <c r="G100" s="37" t="n">
        <v>6</v>
      </c>
      <c r="H100" s="1100" t="n">
        <v>2.7</v>
      </c>
      <c r="I100" s="1100" t="n">
        <v>2.988</v>
      </c>
      <c r="J100" s="37" t="n">
        <v>132</v>
      </c>
      <c r="K100" s="37" t="inlineStr">
        <is>
          <t>12</t>
        </is>
      </c>
      <c r="L100" s="37" t="inlineStr"/>
      <c r="M100" s="38" t="inlineStr">
        <is>
          <t>СК3</t>
        </is>
      </c>
      <c r="N100" s="38" t="n"/>
      <c r="O100" s="37" t="n">
        <v>45</v>
      </c>
      <c r="P100" s="1153">
        <f>HYPERLINK("https://abi.ru/products/Охлажденные/Вязанка/Молокуша/Сосиски/P003326/","Сосиски Молокуши миникушай Вязанка Ф/в 0,45 амилюкс мгс Вязанка")</f>
        <v/>
      </c>
      <c r="Q100" s="1102" t="n"/>
      <c r="R100" s="1102" t="n"/>
      <c r="S100" s="1102" t="n"/>
      <c r="T100" s="1103" t="n"/>
      <c r="U100" s="39" t="inlineStr"/>
      <c r="V100" s="39" t="inlineStr"/>
      <c r="W100" s="40" t="inlineStr">
        <is>
          <t>кг</t>
        </is>
      </c>
      <c r="X100" s="1104" t="n">
        <v>0</v>
      </c>
      <c r="Y100" s="1105">
        <f>IFERROR(IF(X100="",0,CEILING((X100/$H100),1)*$H100),"")</f>
        <v/>
      </c>
      <c r="Z100" s="41">
        <f>IFERROR(IF(Y100=0,"",ROUNDUP(Y100/H100,0)*0.00902),"")</f>
        <v/>
      </c>
      <c r="AA100" s="68" t="inlineStr"/>
      <c r="AB100" s="69" t="inlineStr"/>
      <c r="AC100" s="174" t="inlineStr">
        <is>
          <t>ЕАЭС N RU Д-RU.РА06.В.12617/22</t>
        </is>
      </c>
      <c r="AG100" s="78" t="n"/>
      <c r="AJ100" s="84" t="inlineStr"/>
      <c r="AK100" s="84" t="n">
        <v>0</v>
      </c>
      <c r="BB100" s="175" t="inlineStr">
        <is>
          <t>КИ</t>
        </is>
      </c>
      <c r="BM100" s="78">
        <f>IFERROR(X100*I100/H100,"0")</f>
        <v/>
      </c>
      <c r="BN100" s="78">
        <f>IFERROR(Y100*I100/H100,"0")</f>
        <v/>
      </c>
      <c r="BO100" s="78">
        <f>IFERROR(1/J100*(X100/H100),"0")</f>
        <v/>
      </c>
      <c r="BP100" s="78">
        <f>IFERROR(1/J100*(Y100/H100),"0")</f>
        <v/>
      </c>
    </row>
    <row r="101" ht="27" customHeight="1">
      <c r="A101" s="63" t="inlineStr">
        <is>
          <t>SU002658</t>
        </is>
      </c>
      <c r="B101" s="63" t="inlineStr">
        <is>
          <t>P003998</t>
        </is>
      </c>
      <c r="C101" s="36" t="n">
        <v>4301051687</v>
      </c>
      <c r="D101" s="745" t="n">
        <v>4680115880214</v>
      </c>
      <c r="E101" s="1062" t="n"/>
      <c r="F101" s="1100" t="n">
        <v>0.45</v>
      </c>
      <c r="G101" s="37" t="n">
        <v>4</v>
      </c>
      <c r="H101" s="1100" t="n">
        <v>1.8</v>
      </c>
      <c r="I101" s="1100" t="n">
        <v>2.032</v>
      </c>
      <c r="J101" s="37" t="n">
        <v>182</v>
      </c>
      <c r="K101" s="37" t="inlineStr">
        <is>
          <t>14</t>
        </is>
      </c>
      <c r="L101" s="37" t="inlineStr"/>
      <c r="M101" s="38" t="inlineStr">
        <is>
          <t>СК3</t>
        </is>
      </c>
      <c r="N101" s="38" t="n"/>
      <c r="O101" s="37" t="n">
        <v>45</v>
      </c>
      <c r="P101" s="1154">
        <f>HYPERLINK("https://abi.ru/products/Охлажденные/Вязанка/Молокуша/Сосиски/P003998/","Сосиски «Молокуши миникушай» Фикс.вес 0,45 амицел ТМ «Вязанка»")</f>
        <v/>
      </c>
      <c r="Q101" s="1102" t="n"/>
      <c r="R101" s="1102" t="n"/>
      <c r="S101" s="1102" t="n"/>
      <c r="T101" s="1103" t="n"/>
      <c r="U101" s="39" t="inlineStr"/>
      <c r="V101" s="39" t="inlineStr"/>
      <c r="W101" s="40" t="inlineStr">
        <is>
          <t>кг</t>
        </is>
      </c>
      <c r="X101" s="1104" t="n">
        <v>0</v>
      </c>
      <c r="Y101" s="1105">
        <f>IFERROR(IF(X101="",0,CEILING((X101/$H101),1)*$H101),"")</f>
        <v/>
      </c>
      <c r="Z101" s="41">
        <f>IFERROR(IF(Y101=0,"",ROUNDUP(Y101/H101,0)*0.00651),"")</f>
        <v/>
      </c>
      <c r="AA101" s="68" t="inlineStr"/>
      <c r="AB101" s="69" t="inlineStr"/>
      <c r="AC101" s="176" t="inlineStr">
        <is>
          <t>ЕАЭС N RU Д-RU.РА06.В.12617/22</t>
        </is>
      </c>
      <c r="AG101" s="78" t="n"/>
      <c r="AJ101" s="84" t="inlineStr"/>
      <c r="AK101" s="84" t="n">
        <v>0</v>
      </c>
      <c r="BB101" s="177" t="inlineStr">
        <is>
          <t>КИ</t>
        </is>
      </c>
      <c r="BM101" s="78">
        <f>IFERROR(X101*I101/H101,"0")</f>
        <v/>
      </c>
      <c r="BN101" s="78">
        <f>IFERROR(Y101*I101/H101,"0")</f>
        <v/>
      </c>
      <c r="BO101" s="78">
        <f>IFERROR(1/J101*(X101/H101),"0")</f>
        <v/>
      </c>
      <c r="BP101" s="78">
        <f>IFERROR(1/J101*(Y101/H101),"0")</f>
        <v/>
      </c>
    </row>
    <row r="102">
      <c r="A102" s="758" t="n"/>
      <c r="B102" s="1051" t="n"/>
      <c r="C102" s="1051" t="n"/>
      <c r="D102" s="1051" t="n"/>
      <c r="E102" s="1051" t="n"/>
      <c r="F102" s="1051" t="n"/>
      <c r="G102" s="1051" t="n"/>
      <c r="H102" s="1051" t="n"/>
      <c r="I102" s="1051" t="n"/>
      <c r="J102" s="1051" t="n"/>
      <c r="K102" s="1051" t="n"/>
      <c r="L102" s="1051" t="n"/>
      <c r="M102" s="1051" t="n"/>
      <c r="N102" s="1051" t="n"/>
      <c r="O102" s="1111" t="n"/>
      <c r="P102" s="1112" t="inlineStr">
        <is>
          <t>Итого</t>
        </is>
      </c>
      <c r="Q102" s="1069" t="n"/>
      <c r="R102" s="1069" t="n"/>
      <c r="S102" s="1069" t="n"/>
      <c r="T102" s="1069" t="n"/>
      <c r="U102" s="1069" t="n"/>
      <c r="V102" s="1070" t="n"/>
      <c r="W102" s="42" t="inlineStr">
        <is>
          <t>кор</t>
        </is>
      </c>
      <c r="X102" s="1113">
        <f>IFERROR(X93/H93,"0")+IFERROR(X94/H94,"0")+IFERROR(X95/H95,"0")+IFERROR(X96/H96,"0")+IFERROR(X97/H97,"0")+IFERROR(X98/H98,"0")+IFERROR(X99/H99,"0")+IFERROR(X100/H100,"0")+IFERROR(X101/H101,"0")</f>
        <v/>
      </c>
      <c r="Y102" s="1113">
        <f>IFERROR(Y93/H93,"0")+IFERROR(Y94/H94,"0")+IFERROR(Y95/H95,"0")+IFERROR(Y96/H96,"0")+IFERROR(Y97/H97,"0")+IFERROR(Y98/H98,"0")+IFERROR(Y99/H99,"0")+IFERROR(Y100/H100,"0")+IFERROR(Y101/H101,"0")</f>
        <v/>
      </c>
      <c r="Z102" s="1113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/>
      </c>
      <c r="AA102" s="1114" t="n"/>
      <c r="AB102" s="1114" t="n"/>
      <c r="AC102" s="1114" t="n"/>
    </row>
    <row r="103">
      <c r="A103" s="1051" t="n"/>
      <c r="B103" s="1051" t="n"/>
      <c r="C103" s="1051" t="n"/>
      <c r="D103" s="1051" t="n"/>
      <c r="E103" s="1051" t="n"/>
      <c r="F103" s="1051" t="n"/>
      <c r="G103" s="1051" t="n"/>
      <c r="H103" s="1051" t="n"/>
      <c r="I103" s="1051" t="n"/>
      <c r="J103" s="1051" t="n"/>
      <c r="K103" s="1051" t="n"/>
      <c r="L103" s="1051" t="n"/>
      <c r="M103" s="1051" t="n"/>
      <c r="N103" s="1051" t="n"/>
      <c r="O103" s="1111" t="n"/>
      <c r="P103" s="1112" t="inlineStr">
        <is>
          <t>Итого</t>
        </is>
      </c>
      <c r="Q103" s="1069" t="n"/>
      <c r="R103" s="1069" t="n"/>
      <c r="S103" s="1069" t="n"/>
      <c r="T103" s="1069" t="n"/>
      <c r="U103" s="1069" t="n"/>
      <c r="V103" s="1070" t="n"/>
      <c r="W103" s="42" t="inlineStr">
        <is>
          <t>кг</t>
        </is>
      </c>
      <c r="X103" s="1113">
        <f>IFERROR(SUM(X93:X101),"0")</f>
        <v/>
      </c>
      <c r="Y103" s="1113">
        <f>IFERROR(SUM(Y93:Y101),"0")</f>
        <v/>
      </c>
      <c r="Z103" s="42" t="n"/>
      <c r="AA103" s="1114" t="n"/>
      <c r="AB103" s="1114" t="n"/>
      <c r="AC103" s="1114" t="n"/>
    </row>
    <row r="104" ht="16.5" customHeight="1">
      <c r="A104" s="743" t="inlineStr">
        <is>
          <t>Сливушка</t>
        </is>
      </c>
      <c r="B104" s="1051" t="n"/>
      <c r="C104" s="1051" t="n"/>
      <c r="D104" s="1051" t="n"/>
      <c r="E104" s="1051" t="n"/>
      <c r="F104" s="1051" t="n"/>
      <c r="G104" s="1051" t="n"/>
      <c r="H104" s="1051" t="n"/>
      <c r="I104" s="1051" t="n"/>
      <c r="J104" s="1051" t="n"/>
      <c r="K104" s="1051" t="n"/>
      <c r="L104" s="1051" t="n"/>
      <c r="M104" s="1051" t="n"/>
      <c r="N104" s="1051" t="n"/>
      <c r="O104" s="1051" t="n"/>
      <c r="P104" s="1051" t="n"/>
      <c r="Q104" s="1051" t="n"/>
      <c r="R104" s="1051" t="n"/>
      <c r="S104" s="1051" t="n"/>
      <c r="T104" s="1051" t="n"/>
      <c r="U104" s="1051" t="n"/>
      <c r="V104" s="1051" t="n"/>
      <c r="W104" s="1051" t="n"/>
      <c r="X104" s="1051" t="n"/>
      <c r="Y104" s="1051" t="n"/>
      <c r="Z104" s="1051" t="n"/>
      <c r="AA104" s="743" t="n"/>
      <c r="AB104" s="743" t="n"/>
      <c r="AC104" s="743" t="n"/>
    </row>
    <row r="105" ht="14.25" customHeight="1">
      <c r="A105" s="744" t="inlineStr">
        <is>
          <t>Вареные колбасы</t>
        </is>
      </c>
      <c r="B105" s="1051" t="n"/>
      <c r="C105" s="1051" t="n"/>
      <c r="D105" s="1051" t="n"/>
      <c r="E105" s="1051" t="n"/>
      <c r="F105" s="1051" t="n"/>
      <c r="G105" s="1051" t="n"/>
      <c r="H105" s="1051" t="n"/>
      <c r="I105" s="1051" t="n"/>
      <c r="J105" s="1051" t="n"/>
      <c r="K105" s="1051" t="n"/>
      <c r="L105" s="1051" t="n"/>
      <c r="M105" s="1051" t="n"/>
      <c r="N105" s="1051" t="n"/>
      <c r="O105" s="1051" t="n"/>
      <c r="P105" s="1051" t="n"/>
      <c r="Q105" s="1051" t="n"/>
      <c r="R105" s="1051" t="n"/>
      <c r="S105" s="1051" t="n"/>
      <c r="T105" s="1051" t="n"/>
      <c r="U105" s="1051" t="n"/>
      <c r="V105" s="1051" t="n"/>
      <c r="W105" s="1051" t="n"/>
      <c r="X105" s="1051" t="n"/>
      <c r="Y105" s="1051" t="n"/>
      <c r="Z105" s="1051" t="n"/>
      <c r="AA105" s="744" t="n"/>
      <c r="AB105" s="744" t="n"/>
      <c r="AC105" s="744" t="n"/>
    </row>
    <row r="106" ht="16.5" customHeight="1">
      <c r="A106" s="63" t="inlineStr">
        <is>
          <t>SU002928</t>
        </is>
      </c>
      <c r="B106" s="63" t="inlineStr">
        <is>
          <t>P003357</t>
        </is>
      </c>
      <c r="C106" s="36" t="n">
        <v>4301011514</v>
      </c>
      <c r="D106" s="745" t="n">
        <v>4680115882133</v>
      </c>
      <c r="E106" s="1062" t="n"/>
      <c r="F106" s="1100" t="n">
        <v>1.35</v>
      </c>
      <c r="G106" s="37" t="n">
        <v>8</v>
      </c>
      <c r="H106" s="1100" t="n">
        <v>10.8</v>
      </c>
      <c r="I106" s="1100" t="n">
        <v>11.235</v>
      </c>
      <c r="J106" s="37" t="n">
        <v>64</v>
      </c>
      <c r="K106" s="37" t="inlineStr">
        <is>
          <t>8</t>
        </is>
      </c>
      <c r="L106" s="37" t="inlineStr"/>
      <c r="M106" s="38" t="inlineStr">
        <is>
          <t>СК1</t>
        </is>
      </c>
      <c r="N106" s="38" t="n"/>
      <c r="O106" s="37" t="n">
        <v>50</v>
      </c>
      <c r="P106" s="1155">
        <f>HYPERLINK("https://abi.ru/products/Охлажденные/Вязанка/Сливушка/Вареные колбасы/P003357/","Вареные колбасы «Сливушка» Вес П/а ТМ «Вязанка»")</f>
        <v/>
      </c>
      <c r="Q106" s="1102" t="n"/>
      <c r="R106" s="1102" t="n"/>
      <c r="S106" s="1102" t="n"/>
      <c r="T106" s="1103" t="n"/>
      <c r="U106" s="39" t="inlineStr"/>
      <c r="V106" s="39" t="inlineStr"/>
      <c r="W106" s="40" t="inlineStr">
        <is>
          <t>кг</t>
        </is>
      </c>
      <c r="X106" s="1104" t="n">
        <v>100</v>
      </c>
      <c r="Y106" s="1105">
        <f>IFERROR(IF(X106="",0,CEILING((X106/$H106),1)*$H106),"")</f>
        <v/>
      </c>
      <c r="Z106" s="41">
        <f>IFERROR(IF(Y106=0,"",ROUNDUP(Y106/H106,0)*0.01898),"")</f>
        <v/>
      </c>
      <c r="AA106" s="68" t="inlineStr"/>
      <c r="AB106" s="69" t="inlineStr"/>
      <c r="AC106" s="178" t="inlineStr">
        <is>
          <t>ЕАЭС N RU Д-RU.РА06.В.04803/22</t>
        </is>
      </c>
      <c r="AG106" s="78" t="n"/>
      <c r="AJ106" s="84" t="inlineStr"/>
      <c r="AK106" s="84" t="n">
        <v>0</v>
      </c>
      <c r="BB106" s="179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16.5" customHeight="1">
      <c r="A107" s="63" t="inlineStr">
        <is>
          <t>SU002733</t>
        </is>
      </c>
      <c r="B107" s="63" t="inlineStr">
        <is>
          <t>P003102</t>
        </is>
      </c>
      <c r="C107" s="36" t="n">
        <v>4301011417</v>
      </c>
      <c r="D107" s="745" t="n">
        <v>4680115880269</v>
      </c>
      <c r="E107" s="1062" t="n"/>
      <c r="F107" s="1100" t="n">
        <v>0.375</v>
      </c>
      <c r="G107" s="37" t="n">
        <v>10</v>
      </c>
      <c r="H107" s="1100" t="n">
        <v>3.75</v>
      </c>
      <c r="I107" s="1100" t="n">
        <v>3.96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56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7" s="1102" t="n"/>
      <c r="R107" s="1102" t="n"/>
      <c r="S107" s="1102" t="n"/>
      <c r="T107" s="1103" t="n"/>
      <c r="U107" s="39" t="inlineStr"/>
      <c r="V107" s="39" t="inlineStr"/>
      <c r="W107" s="40" t="inlineStr">
        <is>
          <t>кг</t>
        </is>
      </c>
      <c r="X107" s="1104" t="n">
        <v>0</v>
      </c>
      <c r="Y107" s="1105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80" t="inlineStr">
        <is>
          <t>ЕАЭС N RU Д-RU.РА06.В.04803/22</t>
        </is>
      </c>
      <c r="AG107" s="78" t="n"/>
      <c r="AJ107" s="84" t="inlineStr"/>
      <c r="AK107" s="84" t="n">
        <v>0</v>
      </c>
      <c r="BB107" s="181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16.5" customHeight="1">
      <c r="A108" s="63" t="inlineStr">
        <is>
          <t>SU002734</t>
        </is>
      </c>
      <c r="B108" s="63" t="inlineStr">
        <is>
          <t>P003103</t>
        </is>
      </c>
      <c r="C108" s="36" t="n">
        <v>4301011415</v>
      </c>
      <c r="D108" s="745" t="n">
        <v>4680115880429</v>
      </c>
      <c r="E108" s="1062" t="n"/>
      <c r="F108" s="1100" t="n">
        <v>0.45</v>
      </c>
      <c r="G108" s="37" t="n">
        <v>10</v>
      </c>
      <c r="H108" s="1100" t="n">
        <v>4.5</v>
      </c>
      <c r="I108" s="1100" t="n">
        <v>4.71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157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8" s="1102" t="n"/>
      <c r="R108" s="1102" t="n"/>
      <c r="S108" s="1102" t="n"/>
      <c r="T108" s="1103" t="n"/>
      <c r="U108" s="39" t="inlineStr"/>
      <c r="V108" s="39" t="inlineStr"/>
      <c r="W108" s="40" t="inlineStr">
        <is>
          <t>кг</t>
        </is>
      </c>
      <c r="X108" s="1104" t="n">
        <v>0</v>
      </c>
      <c r="Y108" s="1105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82" t="inlineStr">
        <is>
          <t>ЕАЭС N RU Д-RU.РА06.В.04803/22</t>
        </is>
      </c>
      <c r="AG108" s="78" t="n"/>
      <c r="AJ108" s="84" t="inlineStr"/>
      <c r="AK108" s="84" t="n">
        <v>0</v>
      </c>
      <c r="BB108" s="183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 ht="16.5" customHeight="1">
      <c r="A109" s="63" t="inlineStr">
        <is>
          <t>SU002827</t>
        </is>
      </c>
      <c r="B109" s="63" t="inlineStr">
        <is>
          <t>P003233</t>
        </is>
      </c>
      <c r="C109" s="36" t="n">
        <v>4301011462</v>
      </c>
      <c r="D109" s="745" t="n">
        <v>4680115881457</v>
      </c>
      <c r="E109" s="1062" t="n"/>
      <c r="F109" s="1100" t="n">
        <v>0.75</v>
      </c>
      <c r="G109" s="37" t="n">
        <v>6</v>
      </c>
      <c r="H109" s="1100" t="n">
        <v>4.5</v>
      </c>
      <c r="I109" s="1100" t="n">
        <v>4.71</v>
      </c>
      <c r="J109" s="37" t="n">
        <v>132</v>
      </c>
      <c r="K109" s="37" t="inlineStr">
        <is>
          <t>12</t>
        </is>
      </c>
      <c r="L109" s="37" t="inlineStr"/>
      <c r="M109" s="38" t="inlineStr">
        <is>
          <t>СК3</t>
        </is>
      </c>
      <c r="N109" s="38" t="n"/>
      <c r="O109" s="37" t="n">
        <v>50</v>
      </c>
      <c r="P109" s="1158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9" s="1102" t="n"/>
      <c r="R109" s="1102" t="n"/>
      <c r="S109" s="1102" t="n"/>
      <c r="T109" s="1103" t="n"/>
      <c r="U109" s="39" t="inlineStr"/>
      <c r="V109" s="39" t="inlineStr"/>
      <c r="W109" s="40" t="inlineStr">
        <is>
          <t>кг</t>
        </is>
      </c>
      <c r="X109" s="1104" t="n">
        <v>0</v>
      </c>
      <c r="Y109" s="1105">
        <f>IFERROR(IF(X109="",0,CEILING((X109/$H109),1)*$H109),"")</f>
        <v/>
      </c>
      <c r="Z109" s="41">
        <f>IFERROR(IF(Y109=0,"",ROUNDUP(Y109/H109,0)*0.00902),"")</f>
        <v/>
      </c>
      <c r="AA109" s="68" t="inlineStr"/>
      <c r="AB109" s="69" t="inlineStr"/>
      <c r="AC109" s="184" t="inlineStr">
        <is>
          <t>ЕАЭС N RU Д-RU.РА06.В.04803/22</t>
        </is>
      </c>
      <c r="AG109" s="78" t="n"/>
      <c r="AJ109" s="84" t="inlineStr"/>
      <c r="AK109" s="84" t="n">
        <v>0</v>
      </c>
      <c r="BB109" s="185" t="inlineStr">
        <is>
          <t>КИ</t>
        </is>
      </c>
      <c r="BM109" s="78">
        <f>IFERROR(X109*I109/H109,"0")</f>
        <v/>
      </c>
      <c r="BN109" s="78">
        <f>IFERROR(Y109*I109/H109,"0")</f>
        <v/>
      </c>
      <c r="BO109" s="78">
        <f>IFERROR(1/J109*(X109/H109),"0")</f>
        <v/>
      </c>
      <c r="BP109" s="78">
        <f>IFERROR(1/J109*(Y109/H109),"0")</f>
        <v/>
      </c>
    </row>
    <row r="110">
      <c r="A110" s="758" t="n"/>
      <c r="B110" s="1051" t="n"/>
      <c r="C110" s="1051" t="n"/>
      <c r="D110" s="1051" t="n"/>
      <c r="E110" s="1051" t="n"/>
      <c r="F110" s="1051" t="n"/>
      <c r="G110" s="1051" t="n"/>
      <c r="H110" s="1051" t="n"/>
      <c r="I110" s="1051" t="n"/>
      <c r="J110" s="1051" t="n"/>
      <c r="K110" s="1051" t="n"/>
      <c r="L110" s="1051" t="n"/>
      <c r="M110" s="1051" t="n"/>
      <c r="N110" s="1051" t="n"/>
      <c r="O110" s="1111" t="n"/>
      <c r="P110" s="1112" t="inlineStr">
        <is>
          <t>Итого</t>
        </is>
      </c>
      <c r="Q110" s="1069" t="n"/>
      <c r="R110" s="1069" t="n"/>
      <c r="S110" s="1069" t="n"/>
      <c r="T110" s="1069" t="n"/>
      <c r="U110" s="1069" t="n"/>
      <c r="V110" s="1070" t="n"/>
      <c r="W110" s="42" t="inlineStr">
        <is>
          <t>кор</t>
        </is>
      </c>
      <c r="X110" s="1113">
        <f>IFERROR(X106/H106,"0")+IFERROR(X107/H107,"0")+IFERROR(X108/H108,"0")+IFERROR(X109/H109,"0")</f>
        <v/>
      </c>
      <c r="Y110" s="1113">
        <f>IFERROR(Y106/H106,"0")+IFERROR(Y107/H107,"0")+IFERROR(Y108/H108,"0")+IFERROR(Y109/H109,"0")</f>
        <v/>
      </c>
      <c r="Z110" s="1113">
        <f>IFERROR(IF(Z106="",0,Z106),"0")+IFERROR(IF(Z107="",0,Z107),"0")+IFERROR(IF(Z108="",0,Z108),"0")+IFERROR(IF(Z109="",0,Z109),"0")</f>
        <v/>
      </c>
      <c r="AA110" s="1114" t="n"/>
      <c r="AB110" s="1114" t="n"/>
      <c r="AC110" s="1114" t="n"/>
    </row>
    <row r="111">
      <c r="A111" s="1051" t="n"/>
      <c r="B111" s="1051" t="n"/>
      <c r="C111" s="1051" t="n"/>
      <c r="D111" s="1051" t="n"/>
      <c r="E111" s="1051" t="n"/>
      <c r="F111" s="1051" t="n"/>
      <c r="G111" s="1051" t="n"/>
      <c r="H111" s="1051" t="n"/>
      <c r="I111" s="1051" t="n"/>
      <c r="J111" s="1051" t="n"/>
      <c r="K111" s="1051" t="n"/>
      <c r="L111" s="1051" t="n"/>
      <c r="M111" s="1051" t="n"/>
      <c r="N111" s="1051" t="n"/>
      <c r="O111" s="1111" t="n"/>
      <c r="P111" s="1112" t="inlineStr">
        <is>
          <t>Итого</t>
        </is>
      </c>
      <c r="Q111" s="1069" t="n"/>
      <c r="R111" s="1069" t="n"/>
      <c r="S111" s="1069" t="n"/>
      <c r="T111" s="1069" t="n"/>
      <c r="U111" s="1069" t="n"/>
      <c r="V111" s="1070" t="n"/>
      <c r="W111" s="42" t="inlineStr">
        <is>
          <t>кг</t>
        </is>
      </c>
      <c r="X111" s="1113">
        <f>IFERROR(SUM(X106:X109),"0")</f>
        <v/>
      </c>
      <c r="Y111" s="1113">
        <f>IFERROR(SUM(Y106:Y109),"0")</f>
        <v/>
      </c>
      <c r="Z111" s="42" t="n"/>
      <c r="AA111" s="1114" t="n"/>
      <c r="AB111" s="1114" t="n"/>
      <c r="AC111" s="1114" t="n"/>
    </row>
    <row r="112" ht="14.25" customHeight="1">
      <c r="A112" s="744" t="inlineStr">
        <is>
          <t>Ветчины</t>
        </is>
      </c>
      <c r="B112" s="1051" t="n"/>
      <c r="C112" s="1051" t="n"/>
      <c r="D112" s="1051" t="n"/>
      <c r="E112" s="1051" t="n"/>
      <c r="F112" s="1051" t="n"/>
      <c r="G112" s="1051" t="n"/>
      <c r="H112" s="1051" t="n"/>
      <c r="I112" s="1051" t="n"/>
      <c r="J112" s="1051" t="n"/>
      <c r="K112" s="1051" t="n"/>
      <c r="L112" s="1051" t="n"/>
      <c r="M112" s="1051" t="n"/>
      <c r="N112" s="1051" t="n"/>
      <c r="O112" s="1051" t="n"/>
      <c r="P112" s="1051" t="n"/>
      <c r="Q112" s="1051" t="n"/>
      <c r="R112" s="1051" t="n"/>
      <c r="S112" s="1051" t="n"/>
      <c r="T112" s="1051" t="n"/>
      <c r="U112" s="1051" t="n"/>
      <c r="V112" s="1051" t="n"/>
      <c r="W112" s="1051" t="n"/>
      <c r="X112" s="1051" t="n"/>
      <c r="Y112" s="1051" t="n"/>
      <c r="Z112" s="1051" t="n"/>
      <c r="AA112" s="744" t="n"/>
      <c r="AB112" s="744" t="n"/>
      <c r="AC112" s="744" t="n"/>
    </row>
    <row r="113" ht="16.5" customHeight="1">
      <c r="A113" s="63" t="inlineStr">
        <is>
          <t>SU002833</t>
        </is>
      </c>
      <c r="B113" s="63" t="inlineStr">
        <is>
          <t>P004607</t>
        </is>
      </c>
      <c r="C113" s="36" t="n">
        <v>4301020345</v>
      </c>
      <c r="D113" s="745" t="n">
        <v>4680115881488</v>
      </c>
      <c r="E113" s="1062" t="n"/>
      <c r="F113" s="1100" t="n">
        <v>1.35</v>
      </c>
      <c r="G113" s="37" t="n">
        <v>8</v>
      </c>
      <c r="H113" s="1100" t="n">
        <v>10.8</v>
      </c>
      <c r="I113" s="1100" t="n">
        <v>11.235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СК1</t>
        </is>
      </c>
      <c r="N113" s="38" t="n"/>
      <c r="O113" s="37" t="n">
        <v>55</v>
      </c>
      <c r="P113" s="1159">
        <f>HYPERLINK("https://abi.ru/products/Охлажденные/Вязанка/Сливушка/Ветчины/P004607/","Ветчины «Сливушка с индейкой» вес п/а ТМ «Вязанка»")</f>
        <v/>
      </c>
      <c r="Q113" s="1102" t="n"/>
      <c r="R113" s="1102" t="n"/>
      <c r="S113" s="1102" t="n"/>
      <c r="T113" s="1103" t="n"/>
      <c r="U113" s="39" t="inlineStr"/>
      <c r="V113" s="39" t="inlineStr"/>
      <c r="W113" s="40" t="inlineStr">
        <is>
          <t>кг</t>
        </is>
      </c>
      <c r="X113" s="1104" t="n">
        <v>0</v>
      </c>
      <c r="Y113" s="1105">
        <f>IFERROR(IF(X113="",0,CEILING((X113/$H113),1)*$H113),"")</f>
        <v/>
      </c>
      <c r="Z113" s="41">
        <f>IFERROR(IF(Y113=0,"",ROUNDUP(Y113/H113,0)*0.01898),"")</f>
        <v/>
      </c>
      <c r="AA113" s="68" t="inlineStr"/>
      <c r="AB113" s="69" t="inlineStr"/>
      <c r="AC113" s="186" t="inlineStr">
        <is>
          <t>ЕАЭС N RU Д-RU.РА06.В.97082/24</t>
        </is>
      </c>
      <c r="AG113" s="78" t="n"/>
      <c r="AJ113" s="84" t="inlineStr"/>
      <c r="AK113" s="84" t="n">
        <v>0</v>
      </c>
      <c r="BB113" s="187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16.5" customHeight="1">
      <c r="A114" s="63" t="inlineStr">
        <is>
          <t>SU003037</t>
        </is>
      </c>
      <c r="B114" s="63" t="inlineStr">
        <is>
          <t>P004609</t>
        </is>
      </c>
      <c r="C114" s="36" t="n">
        <v>4301020346</v>
      </c>
      <c r="D114" s="745" t="n">
        <v>4680115882775</v>
      </c>
      <c r="E114" s="1062" t="n"/>
      <c r="F114" s="1100" t="n">
        <v>0.3</v>
      </c>
      <c r="G114" s="37" t="n">
        <v>8</v>
      </c>
      <c r="H114" s="1100" t="n">
        <v>2.4</v>
      </c>
      <c r="I114" s="1100" t="n">
        <v>2.5</v>
      </c>
      <c r="J114" s="37" t="n">
        <v>234</v>
      </c>
      <c r="K114" s="37" t="inlineStr">
        <is>
          <t>18</t>
        </is>
      </c>
      <c r="L114" s="37" t="inlineStr"/>
      <c r="M114" s="38" t="inlineStr">
        <is>
          <t>СК1</t>
        </is>
      </c>
      <c r="N114" s="38" t="n"/>
      <c r="O114" s="37" t="n">
        <v>55</v>
      </c>
      <c r="P114" s="1160">
        <f>HYPERLINK("https://abi.ru/products/Охлажденные/Вязанка/Сливушка/Ветчины/P004609/","Ветчины «Сливушка с индейкой» Фикс.вес 0,3 П/а ТМ «Вязанка»")</f>
        <v/>
      </c>
      <c r="Q114" s="1102" t="n"/>
      <c r="R114" s="1102" t="n"/>
      <c r="S114" s="1102" t="n"/>
      <c r="T114" s="1103" t="n"/>
      <c r="U114" s="39" t="inlineStr"/>
      <c r="V114" s="39" t="inlineStr"/>
      <c r="W114" s="40" t="inlineStr">
        <is>
          <t>кг</t>
        </is>
      </c>
      <c r="X114" s="1104" t="n">
        <v>0</v>
      </c>
      <c r="Y114" s="1105">
        <f>IFERROR(IF(X114="",0,CEILING((X114/$H114),1)*$H114),"")</f>
        <v/>
      </c>
      <c r="Z114" s="41">
        <f>IFERROR(IF(Y114=0,"",ROUNDUP(Y114/H114,0)*0.00502),"")</f>
        <v/>
      </c>
      <c r="AA114" s="68" t="inlineStr"/>
      <c r="AB114" s="69" t="inlineStr"/>
      <c r="AC114" s="188" t="inlineStr">
        <is>
          <t>ЕАЭС N RU Д-RU.РА06.В.97082/24</t>
        </is>
      </c>
      <c r="AG114" s="78" t="n"/>
      <c r="AJ114" s="84" t="inlineStr"/>
      <c r="AK114" s="84" t="n">
        <v>0</v>
      </c>
      <c r="BB114" s="189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16.5" customHeight="1">
      <c r="A115" s="63" t="inlineStr">
        <is>
          <t>SU002735</t>
        </is>
      </c>
      <c r="B115" s="63" t="inlineStr">
        <is>
          <t>P004586</t>
        </is>
      </c>
      <c r="C115" s="36" t="n">
        <v>4301020344</v>
      </c>
      <c r="D115" s="745" t="n">
        <v>4680115880658</v>
      </c>
      <c r="E115" s="1062" t="n"/>
      <c r="F115" s="1100" t="n">
        <v>0.4</v>
      </c>
      <c r="G115" s="37" t="n">
        <v>6</v>
      </c>
      <c r="H115" s="1100" t="n">
        <v>2.4</v>
      </c>
      <c r="I115" s="1100" t="n">
        <v>2.58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161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5" s="1102" t="n"/>
      <c r="R115" s="1102" t="n"/>
      <c r="S115" s="1102" t="n"/>
      <c r="T115" s="1103" t="n"/>
      <c r="U115" s="39" t="inlineStr"/>
      <c r="V115" s="39" t="inlineStr"/>
      <c r="W115" s="40" t="inlineStr">
        <is>
          <t>кг</t>
        </is>
      </c>
      <c r="X115" s="1104" t="n">
        <v>0</v>
      </c>
      <c r="Y115" s="1105">
        <f>IFERROR(IF(X115="",0,CEILING((X115/$H115),1)*$H115),"")</f>
        <v/>
      </c>
      <c r="Z115" s="41">
        <f>IFERROR(IF(Y115=0,"",ROUNDUP(Y115/H115,0)*0.00651),"")</f>
        <v/>
      </c>
      <c r="AA115" s="68" t="inlineStr"/>
      <c r="AB115" s="69" t="inlineStr"/>
      <c r="AC115" s="190" t="inlineStr">
        <is>
          <t>ЕАЭС N RU Д-RU.РА06.В.97082/24</t>
        </is>
      </c>
      <c r="AG115" s="78" t="n"/>
      <c r="AJ115" s="84" t="inlineStr"/>
      <c r="AK115" s="84" t="n">
        <v>0</v>
      </c>
      <c r="BB115" s="191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>
      <c r="A116" s="758" t="n"/>
      <c r="B116" s="1051" t="n"/>
      <c r="C116" s="1051" t="n"/>
      <c r="D116" s="1051" t="n"/>
      <c r="E116" s="1051" t="n"/>
      <c r="F116" s="1051" t="n"/>
      <c r="G116" s="1051" t="n"/>
      <c r="H116" s="1051" t="n"/>
      <c r="I116" s="1051" t="n"/>
      <c r="J116" s="1051" t="n"/>
      <c r="K116" s="1051" t="n"/>
      <c r="L116" s="1051" t="n"/>
      <c r="M116" s="1051" t="n"/>
      <c r="N116" s="1051" t="n"/>
      <c r="O116" s="1111" t="n"/>
      <c r="P116" s="1112" t="inlineStr">
        <is>
          <t>Итого</t>
        </is>
      </c>
      <c r="Q116" s="1069" t="n"/>
      <c r="R116" s="1069" t="n"/>
      <c r="S116" s="1069" t="n"/>
      <c r="T116" s="1069" t="n"/>
      <c r="U116" s="1069" t="n"/>
      <c r="V116" s="1070" t="n"/>
      <c r="W116" s="42" t="inlineStr">
        <is>
          <t>кор</t>
        </is>
      </c>
      <c r="X116" s="1113">
        <f>IFERROR(X113/H113,"0")+IFERROR(X114/H114,"0")+IFERROR(X115/H115,"0")</f>
        <v/>
      </c>
      <c r="Y116" s="1113">
        <f>IFERROR(Y113/H113,"0")+IFERROR(Y114/H114,"0")+IFERROR(Y115/H115,"0")</f>
        <v/>
      </c>
      <c r="Z116" s="1113">
        <f>IFERROR(IF(Z113="",0,Z113),"0")+IFERROR(IF(Z114="",0,Z114),"0")+IFERROR(IF(Z115="",0,Z115),"0")</f>
        <v/>
      </c>
      <c r="AA116" s="1114" t="n"/>
      <c r="AB116" s="1114" t="n"/>
      <c r="AC116" s="1114" t="n"/>
    </row>
    <row r="117">
      <c r="A117" s="1051" t="n"/>
      <c r="B117" s="1051" t="n"/>
      <c r="C117" s="1051" t="n"/>
      <c r="D117" s="1051" t="n"/>
      <c r="E117" s="1051" t="n"/>
      <c r="F117" s="1051" t="n"/>
      <c r="G117" s="1051" t="n"/>
      <c r="H117" s="1051" t="n"/>
      <c r="I117" s="1051" t="n"/>
      <c r="J117" s="1051" t="n"/>
      <c r="K117" s="1051" t="n"/>
      <c r="L117" s="1051" t="n"/>
      <c r="M117" s="1051" t="n"/>
      <c r="N117" s="1051" t="n"/>
      <c r="O117" s="1111" t="n"/>
      <c r="P117" s="1112" t="inlineStr">
        <is>
          <t>Итого</t>
        </is>
      </c>
      <c r="Q117" s="1069" t="n"/>
      <c r="R117" s="1069" t="n"/>
      <c r="S117" s="1069" t="n"/>
      <c r="T117" s="1069" t="n"/>
      <c r="U117" s="1069" t="n"/>
      <c r="V117" s="1070" t="n"/>
      <c r="W117" s="42" t="inlineStr">
        <is>
          <t>кг</t>
        </is>
      </c>
      <c r="X117" s="1113">
        <f>IFERROR(SUM(X113:X115),"0")</f>
        <v/>
      </c>
      <c r="Y117" s="1113">
        <f>IFERROR(SUM(Y113:Y115),"0")</f>
        <v/>
      </c>
      <c r="Z117" s="42" t="n"/>
      <c r="AA117" s="1114" t="n"/>
      <c r="AB117" s="1114" t="n"/>
      <c r="AC117" s="1114" t="n"/>
    </row>
    <row r="118" ht="14.25" customHeight="1">
      <c r="A118" s="744" t="inlineStr">
        <is>
          <t>Сосиски</t>
        </is>
      </c>
      <c r="B118" s="1051" t="n"/>
      <c r="C118" s="1051" t="n"/>
      <c r="D118" s="1051" t="n"/>
      <c r="E118" s="1051" t="n"/>
      <c r="F118" s="1051" t="n"/>
      <c r="G118" s="1051" t="n"/>
      <c r="H118" s="1051" t="n"/>
      <c r="I118" s="1051" t="n"/>
      <c r="J118" s="1051" t="n"/>
      <c r="K118" s="1051" t="n"/>
      <c r="L118" s="1051" t="n"/>
      <c r="M118" s="1051" t="n"/>
      <c r="N118" s="1051" t="n"/>
      <c r="O118" s="1051" t="n"/>
      <c r="P118" s="1051" t="n"/>
      <c r="Q118" s="1051" t="n"/>
      <c r="R118" s="1051" t="n"/>
      <c r="S118" s="1051" t="n"/>
      <c r="T118" s="1051" t="n"/>
      <c r="U118" s="1051" t="n"/>
      <c r="V118" s="1051" t="n"/>
      <c r="W118" s="1051" t="n"/>
      <c r="X118" s="1051" t="n"/>
      <c r="Y118" s="1051" t="n"/>
      <c r="Z118" s="1051" t="n"/>
      <c r="AA118" s="744" t="n"/>
      <c r="AB118" s="744" t="n"/>
      <c r="AC118" s="744" t="n"/>
    </row>
    <row r="119" ht="37.5" customHeight="1">
      <c r="A119" s="63" t="inlineStr">
        <is>
          <t>SU001721</t>
        </is>
      </c>
      <c r="B119" s="63" t="inlineStr">
        <is>
          <t>P003161</t>
        </is>
      </c>
      <c r="C119" s="36" t="n">
        <v>4301051360</v>
      </c>
      <c r="D119" s="745" t="n">
        <v>4607091385168</v>
      </c>
      <c r="E119" s="1062" t="n"/>
      <c r="F119" s="1100" t="n">
        <v>1.35</v>
      </c>
      <c r="G119" s="37" t="n">
        <v>6</v>
      </c>
      <c r="H119" s="1100" t="n">
        <v>8.1</v>
      </c>
      <c r="I119" s="1100" t="n">
        <v>8.613</v>
      </c>
      <c r="J119" s="37" t="n">
        <v>64</v>
      </c>
      <c r="K119" s="37" t="inlineStr">
        <is>
          <t>8</t>
        </is>
      </c>
      <c r="L119" s="37" t="inlineStr"/>
      <c r="M119" s="38" t="inlineStr">
        <is>
          <t>СК3</t>
        </is>
      </c>
      <c r="N119" s="38" t="n"/>
      <c r="O119" s="37" t="n">
        <v>45</v>
      </c>
      <c r="P119" s="1162">
        <f>HYPERLINK("https://abi.ru/products/Охлажденные/Вязанка/Сливушка/Сосиски/P003161/","Сосиски Сливочные Вязанка Сливушки Весовые П/а мгс Вязанка")</f>
        <v/>
      </c>
      <c r="Q119" s="1102" t="n"/>
      <c r="R119" s="1102" t="n"/>
      <c r="S119" s="1102" t="n"/>
      <c r="T119" s="1103" t="n"/>
      <c r="U119" s="39" t="inlineStr"/>
      <c r="V119" s="39" t="inlineStr"/>
      <c r="W119" s="40" t="inlineStr">
        <is>
          <t>кг</t>
        </is>
      </c>
      <c r="X119" s="1104" t="n">
        <v>0</v>
      </c>
      <c r="Y119" s="1105">
        <f>IFERROR(IF(X119="",0,CEILING((X119/$H119),1)*$H119),"")</f>
        <v/>
      </c>
      <c r="Z119" s="41">
        <f>IFERROR(IF(Y119=0,"",ROUNDUP(Y119/H119,0)*0.01898),"")</f>
        <v/>
      </c>
      <c r="AA119" s="68" t="inlineStr"/>
      <c r="AB119" s="69" t="inlineStr"/>
      <c r="AC119" s="192" t="inlineStr">
        <is>
          <t>ЕАЭС N RU Д-RU.РА01.В.20765/23, ЕАЭС N RU Д-RU.РА01.В.61077/20, ЕАЭС N RU Д-RU.РА06.В.77196/22</t>
        </is>
      </c>
      <c r="AG119" s="78" t="n"/>
      <c r="AJ119" s="84" t="inlineStr"/>
      <c r="AK119" s="84" t="n">
        <v>0</v>
      </c>
      <c r="BB119" s="193" t="inlineStr">
        <is>
          <t>КИ</t>
        </is>
      </c>
      <c r="BM119" s="78">
        <f>IFERROR(X119*I119/H119,"0")</f>
        <v/>
      </c>
      <c r="BN119" s="78">
        <f>IFERROR(Y119*I119/H119,"0")</f>
        <v/>
      </c>
      <c r="BO119" s="78">
        <f>IFERROR(1/J119*(X119/H119),"0")</f>
        <v/>
      </c>
      <c r="BP119" s="78">
        <f>IFERROR(1/J119*(Y119/H119),"0")</f>
        <v/>
      </c>
    </row>
    <row r="120" ht="16.5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745" t="n">
        <v>4607091385168</v>
      </c>
      <c r="E120" s="1062" t="n"/>
      <c r="F120" s="1100" t="n">
        <v>1.35</v>
      </c>
      <c r="G120" s="37" t="n">
        <v>6</v>
      </c>
      <c r="H120" s="1100" t="n">
        <v>8.1</v>
      </c>
      <c r="I120" s="1100" t="n">
        <v>8.613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163" t="inlineStr">
        <is>
          <t>Сосиски «Сливочные Вязанка» Весовой п/а мгс ТМ «Вязанка»</t>
        </is>
      </c>
      <c r="Q120" s="1102" t="n"/>
      <c r="R120" s="1102" t="n"/>
      <c r="S120" s="1102" t="n"/>
      <c r="T120" s="1103" t="n"/>
      <c r="U120" s="39" t="inlineStr"/>
      <c r="V120" s="39" t="inlineStr"/>
      <c r="W120" s="40" t="inlineStr">
        <is>
          <t>кг</t>
        </is>
      </c>
      <c r="X120" s="1104" t="n">
        <v>0</v>
      </c>
      <c r="Y120" s="1105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4" t="inlineStr">
        <is>
          <t>ЕАЭС N RU Д-RU.РА05.В.31074/23</t>
        </is>
      </c>
      <c r="AG120" s="78" t="n"/>
      <c r="AJ120" s="84" t="inlineStr"/>
      <c r="AK120" s="84" t="n">
        <v>0</v>
      </c>
      <c r="BB120" s="195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SU001721</t>
        </is>
      </c>
      <c r="B121" s="63" t="inlineStr">
        <is>
          <t>P003905</t>
        </is>
      </c>
      <c r="C121" s="36" t="n">
        <v>4301051625</v>
      </c>
      <c r="D121" s="745" t="n">
        <v>4607091385168</v>
      </c>
      <c r="E121" s="1062" t="n"/>
      <c r="F121" s="1100" t="n">
        <v>1.4</v>
      </c>
      <c r="G121" s="37" t="n">
        <v>6</v>
      </c>
      <c r="H121" s="1100" t="n">
        <v>8.4</v>
      </c>
      <c r="I121" s="1100" t="n">
        <v>8.913</v>
      </c>
      <c r="J121" s="37" t="n">
        <v>64</v>
      </c>
      <c r="K121" s="37" t="inlineStr">
        <is>
          <t>8</t>
        </is>
      </c>
      <c r="L121" s="37" t="inlineStr"/>
      <c r="M121" s="38" t="inlineStr">
        <is>
          <t>СК3</t>
        </is>
      </c>
      <c r="N121" s="38" t="n"/>
      <c r="O121" s="37" t="n">
        <v>45</v>
      </c>
      <c r="P121" s="1164">
        <f>HYPERLINK("https://abi.ru/products/Охлажденные/Вязанка/Сливушка/Сосиски/P003905/","Сосиски «Вязанка Сливочные» Весовые П/а мгс ТМ «Вязанка»")</f>
        <v/>
      </c>
      <c r="Q121" s="1102" t="n"/>
      <c r="R121" s="1102" t="n"/>
      <c r="S121" s="1102" t="n"/>
      <c r="T121" s="1103" t="n"/>
      <c r="U121" s="39" t="inlineStr"/>
      <c r="V121" s="39" t="inlineStr"/>
      <c r="W121" s="40" t="inlineStr">
        <is>
          <t>кг</t>
        </is>
      </c>
      <c r="X121" s="1104" t="n">
        <v>500</v>
      </c>
      <c r="Y121" s="1105">
        <f>IFERROR(IF(X121="",0,CEILING((X121/$H121),1)*$H121),"")</f>
        <v/>
      </c>
      <c r="Z121" s="41">
        <f>IFERROR(IF(Y121=0,"",ROUNDUP(Y121/H121,0)*0.01898),"")</f>
        <v/>
      </c>
      <c r="AA121" s="68" t="inlineStr"/>
      <c r="AB121" s="69" t="inlineStr"/>
      <c r="AC121" s="196" t="inlineStr">
        <is>
          <t>ЕАЭС N RU Д-RU.РА01.В.20765/23, ЕАЭС N RU Д-RU.РА05.В.31074/23</t>
        </is>
      </c>
      <c r="AG121" s="78" t="n"/>
      <c r="AJ121" s="84" t="inlineStr"/>
      <c r="AK121" s="84" t="n">
        <v>0</v>
      </c>
      <c r="BB121" s="197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37.5" customHeight="1">
      <c r="A122" s="63" t="inlineStr">
        <is>
          <t>SU002139</t>
        </is>
      </c>
      <c r="B122" s="63" t="inlineStr">
        <is>
          <t>P003162</t>
        </is>
      </c>
      <c r="C122" s="36" t="n">
        <v>4301051362</v>
      </c>
      <c r="D122" s="745" t="n">
        <v>4607091383256</v>
      </c>
      <c r="E122" s="1062" t="n"/>
      <c r="F122" s="1100" t="n">
        <v>0.33</v>
      </c>
      <c r="G122" s="37" t="n">
        <v>6</v>
      </c>
      <c r="H122" s="1100" t="n">
        <v>1.98</v>
      </c>
      <c r="I122" s="1100" t="n">
        <v>2.226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СК3</t>
        </is>
      </c>
      <c r="N122" s="38" t="n"/>
      <c r="O122" s="37" t="n">
        <v>45</v>
      </c>
      <c r="P122" s="1165">
        <f>HYPERLINK("https://abi.ru/products/Охлажденные/Вязанка/Сливушка/Сосиски/P003162/","Сосиски «Вязанка Сливочные» Фикс.вес 0,33 П/а мгс ТМ «Вязанка»")</f>
        <v/>
      </c>
      <c r="Q122" s="1102" t="n"/>
      <c r="R122" s="1102" t="n"/>
      <c r="S122" s="1102" t="n"/>
      <c r="T122" s="1103" t="n"/>
      <c r="U122" s="39" t="inlineStr"/>
      <c r="V122" s="39" t="inlineStr"/>
      <c r="W122" s="40" t="inlineStr">
        <is>
          <t>кг</t>
        </is>
      </c>
      <c r="X122" s="1104" t="n">
        <v>0</v>
      </c>
      <c r="Y122" s="1105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8" t="inlineStr">
        <is>
          <t>ЕАЭС N RU Д-RU.РА01.В.20765/23, ЕАЭС N RU Д-RU.РА01.В.61077/20, ЕАЭС N RU Д-RU.РА06.В.77196/22</t>
        </is>
      </c>
      <c r="AG122" s="78" t="n"/>
      <c r="AJ122" s="84" t="inlineStr"/>
      <c r="AK122" s="84" t="n">
        <v>0</v>
      </c>
      <c r="BB122" s="199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27" customHeight="1">
      <c r="A123" s="63" t="inlineStr">
        <is>
          <t>SU002139</t>
        </is>
      </c>
      <c r="B123" s="63" t="inlineStr">
        <is>
          <t>P003990</t>
        </is>
      </c>
      <c r="C123" s="36" t="n">
        <v>4301051730</v>
      </c>
      <c r="D123" s="745" t="n">
        <v>4607091383256</v>
      </c>
      <c r="E123" s="1062" t="n"/>
      <c r="F123" s="1100" t="n">
        <v>0.33</v>
      </c>
      <c r="G123" s="37" t="n">
        <v>6</v>
      </c>
      <c r="H123" s="1100" t="n">
        <v>1.98</v>
      </c>
      <c r="I123" s="1100" t="n">
        <v>2.226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СК4</t>
        </is>
      </c>
      <c r="N123" s="38" t="n"/>
      <c r="O123" s="37" t="n">
        <v>45</v>
      </c>
      <c r="P123" s="1166" t="inlineStr">
        <is>
          <t>Сосиски «Сливочные» ф/в 0,33 п/а мгс ТМ «Вязанка»</t>
        </is>
      </c>
      <c r="Q123" s="1102" t="n"/>
      <c r="R123" s="1102" t="n"/>
      <c r="S123" s="1102" t="n"/>
      <c r="T123" s="1103" t="n"/>
      <c r="U123" s="39" t="inlineStr"/>
      <c r="V123" s="39" t="inlineStr"/>
      <c r="W123" s="40" t="inlineStr">
        <is>
          <t>кг</t>
        </is>
      </c>
      <c r="X123" s="1104" t="n">
        <v>0</v>
      </c>
      <c r="Y123" s="1105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200" t="inlineStr">
        <is>
          <t>ЕАЭС N RU Д-RU.РА05.В.31074/23</t>
        </is>
      </c>
      <c r="AG123" s="78" t="n"/>
      <c r="AJ123" s="84" t="inlineStr"/>
      <c r="AK123" s="84" t="n">
        <v>0</v>
      </c>
      <c r="BB123" s="201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 ht="37.5" customHeight="1">
      <c r="A124" s="63" t="inlineStr">
        <is>
          <t>SU001720</t>
        </is>
      </c>
      <c r="B124" s="63" t="inlineStr">
        <is>
          <t>P003160</t>
        </is>
      </c>
      <c r="C124" s="36" t="n">
        <v>4301051358</v>
      </c>
      <c r="D124" s="745" t="n">
        <v>4607091385748</v>
      </c>
      <c r="E124" s="1062" t="n"/>
      <c r="F124" s="1100" t="n">
        <v>0.45</v>
      </c>
      <c r="G124" s="37" t="n">
        <v>6</v>
      </c>
      <c r="H124" s="1100" t="n">
        <v>2.7</v>
      </c>
      <c r="I124" s="1100" t="n">
        <v>2.952</v>
      </c>
      <c r="J124" s="37" t="n">
        <v>182</v>
      </c>
      <c r="K124" s="37" t="inlineStr">
        <is>
          <t>14</t>
        </is>
      </c>
      <c r="L124" s="37" t="inlineStr">
        <is>
          <t>Палетта, мин. 1</t>
        </is>
      </c>
      <c r="M124" s="38" t="inlineStr">
        <is>
          <t>СК3</t>
        </is>
      </c>
      <c r="N124" s="38" t="n"/>
      <c r="O124" s="37" t="n">
        <v>45</v>
      </c>
      <c r="P124" s="1167">
        <f>HYPERLINK("https://abi.ru/products/Охлажденные/Вязанка/Сливушка/Сосиски/P003160/","Сосиски Сливочные Сливушки Фикс.вес 0,45 П/а мгс Вязанка")</f>
        <v/>
      </c>
      <c r="Q124" s="1102" t="n"/>
      <c r="R124" s="1102" t="n"/>
      <c r="S124" s="1102" t="n"/>
      <c r="T124" s="1103" t="n"/>
      <c r="U124" s="39" t="inlineStr"/>
      <c r="V124" s="39" t="inlineStr"/>
      <c r="W124" s="40" t="inlineStr">
        <is>
          <t>кг</t>
        </is>
      </c>
      <c r="X124" s="1104" t="n">
        <v>450</v>
      </c>
      <c r="Y124" s="1105">
        <f>IFERROR(IF(X124="",0,CEILING((X124/$H124),1)*$H124),"")</f>
        <v/>
      </c>
      <c r="Z124" s="41">
        <f>IFERROR(IF(Y124=0,"",ROUNDUP(Y124/H124,0)*0.00651),"")</f>
        <v/>
      </c>
      <c r="AA124" s="68" t="inlineStr"/>
      <c r="AB124" s="69" t="inlineStr"/>
      <c r="AC124" s="202" t="inlineStr">
        <is>
          <t>ЕАЭС N RU Д-RU.РА01.В.20765/23, ЕАЭС N RU Д-RU.РА01.В.61077/20, ЕАЭС N RU Д-RU.РА06.В.77196/22</t>
        </is>
      </c>
      <c r="AG124" s="78" t="n"/>
      <c r="AJ124" s="84" t="inlineStr">
        <is>
          <t>Палетта</t>
        </is>
      </c>
      <c r="AK124" s="84" t="n">
        <v>491.4</v>
      </c>
      <c r="BB124" s="203" t="inlineStr">
        <is>
          <t>КИ</t>
        </is>
      </c>
      <c r="BM124" s="78">
        <f>IFERROR(X124*I124/H124,"0")</f>
        <v/>
      </c>
      <c r="BN124" s="78">
        <f>IFERROR(Y124*I124/H124,"0")</f>
        <v/>
      </c>
      <c r="BO124" s="78">
        <f>IFERROR(1/J124*(X124/H124),"0")</f>
        <v/>
      </c>
      <c r="BP124" s="78">
        <f>IFERROR(1/J124*(Y124/H124),"0")</f>
        <v/>
      </c>
    </row>
    <row r="125" ht="27" customHeight="1">
      <c r="A125" s="63" t="inlineStr">
        <is>
          <t>SU001720</t>
        </is>
      </c>
      <c r="B125" s="63" t="inlineStr">
        <is>
          <t>P003989</t>
        </is>
      </c>
      <c r="C125" s="36" t="n">
        <v>4301051721</v>
      </c>
      <c r="D125" s="745" t="n">
        <v>4607091385748</v>
      </c>
      <c r="E125" s="1062" t="n"/>
      <c r="F125" s="1100" t="n">
        <v>0.45</v>
      </c>
      <c r="G125" s="37" t="n">
        <v>6</v>
      </c>
      <c r="H125" s="1100" t="n">
        <v>2.7</v>
      </c>
      <c r="I125" s="1100" t="n">
        <v>2.952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СК4</t>
        </is>
      </c>
      <c r="N125" s="38" t="n"/>
      <c r="O125" s="37" t="n">
        <v>45</v>
      </c>
      <c r="P125" s="1168" t="inlineStr">
        <is>
          <t>Сосиски «Сливочные» ф/в 0,45 п/а мгс ТМ «Вязанка»</t>
        </is>
      </c>
      <c r="Q125" s="1102" t="n"/>
      <c r="R125" s="1102" t="n"/>
      <c r="S125" s="1102" t="n"/>
      <c r="T125" s="1103" t="n"/>
      <c r="U125" s="39" t="inlineStr"/>
      <c r="V125" s="39" t="inlineStr"/>
      <c r="W125" s="40" t="inlineStr">
        <is>
          <t>кг</t>
        </is>
      </c>
      <c r="X125" s="1104" t="n">
        <v>0</v>
      </c>
      <c r="Y125" s="1105">
        <f>IFERROR(IF(X125="",0,CEILING((X125/$H125),1)*$H125),"")</f>
        <v/>
      </c>
      <c r="Z125" s="41">
        <f>IFERROR(IF(Y125=0,"",ROUNDUP(Y125/H125,0)*0.00651),"")</f>
        <v/>
      </c>
      <c r="AA125" s="68" t="inlineStr"/>
      <c r="AB125" s="69" t="inlineStr"/>
      <c r="AC125" s="204" t="inlineStr">
        <is>
          <t>ЕАЭС N RU Д-RU.РА05.В.31074/23</t>
        </is>
      </c>
      <c r="AG125" s="78" t="n"/>
      <c r="AJ125" s="84" t="inlineStr"/>
      <c r="AK125" s="84" t="n">
        <v>0</v>
      </c>
      <c r="BB125" s="205" t="inlineStr">
        <is>
          <t>КИ</t>
        </is>
      </c>
      <c r="BM125" s="78">
        <f>IFERROR(X125*I125/H125,"0")</f>
        <v/>
      </c>
      <c r="BN125" s="78">
        <f>IFERROR(Y125*I125/H125,"0")</f>
        <v/>
      </c>
      <c r="BO125" s="78">
        <f>IFERROR(1/J125*(X125/H125),"0")</f>
        <v/>
      </c>
      <c r="BP125" s="78">
        <f>IFERROR(1/J125*(Y125/H125),"0")</f>
        <v/>
      </c>
    </row>
    <row r="126" ht="27" customHeight="1">
      <c r="A126" s="63" t="inlineStr">
        <is>
          <t>SU003336</t>
        </is>
      </c>
      <c r="B126" s="63" t="inlineStr">
        <is>
          <t>P004116</t>
        </is>
      </c>
      <c r="C126" s="36" t="n">
        <v>4301051740</v>
      </c>
      <c r="D126" s="745" t="n">
        <v>4680115884533</v>
      </c>
      <c r="E126" s="1062" t="n"/>
      <c r="F126" s="1100" t="n">
        <v>0.3</v>
      </c>
      <c r="G126" s="37" t="n">
        <v>6</v>
      </c>
      <c r="H126" s="1100" t="n">
        <v>1.8</v>
      </c>
      <c r="I126" s="1100" t="n">
        <v>1.98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СК3</t>
        </is>
      </c>
      <c r="N126" s="38" t="n"/>
      <c r="O126" s="37" t="n">
        <v>45</v>
      </c>
      <c r="P126" s="1169">
        <f>HYPERLINK("https://abi.ru/products/Охлажденные/Вязанка/Сливушка/Сосиски/P004116/","Сосиски «Сливушки по-венски» ф/в 0,3 п/а ТМ «Вязанка»")</f>
        <v/>
      </c>
      <c r="Q126" s="1102" t="n"/>
      <c r="R126" s="1102" t="n"/>
      <c r="S126" s="1102" t="n"/>
      <c r="T126" s="1103" t="n"/>
      <c r="U126" s="39" t="inlineStr"/>
      <c r="V126" s="39" t="inlineStr"/>
      <c r="W126" s="40" t="inlineStr">
        <is>
          <t>кг</t>
        </is>
      </c>
      <c r="X126" s="1104" t="n">
        <v>27</v>
      </c>
      <c r="Y126" s="1105">
        <f>IFERROR(IF(X126="",0,CEILING((X126/$H126),1)*$H126),"")</f>
        <v/>
      </c>
      <c r="Z126" s="41">
        <f>IFERROR(IF(Y126=0,"",ROUNDUP(Y126/H126,0)*0.00651),"")</f>
        <v/>
      </c>
      <c r="AA126" s="68" t="inlineStr"/>
      <c r="AB126" s="69" t="inlineStr"/>
      <c r="AC126" s="206" t="inlineStr">
        <is>
          <t>ЕАЭС N RU Д-RU.РА01.В.81091/24, ЕАЭС N RU Д-RU.РА01.В.81330/24</t>
        </is>
      </c>
      <c r="AG126" s="78" t="n"/>
      <c r="AJ126" s="84" t="inlineStr"/>
      <c r="AK126" s="84" t="n">
        <v>0</v>
      </c>
      <c r="BB126" s="207" t="inlineStr">
        <is>
          <t>КИ</t>
        </is>
      </c>
      <c r="BM126" s="78">
        <f>IFERROR(X126*I126/H126,"0")</f>
        <v/>
      </c>
      <c r="BN126" s="78">
        <f>IFERROR(Y126*I126/H126,"0")</f>
        <v/>
      </c>
      <c r="BO126" s="78">
        <f>IFERROR(1/J126*(X126/H126),"0")</f>
        <v/>
      </c>
      <c r="BP126" s="78">
        <f>IFERROR(1/J126*(Y126/H126),"0")</f>
        <v/>
      </c>
    </row>
    <row r="127" ht="37.5" customHeight="1">
      <c r="A127" s="63" t="inlineStr">
        <is>
          <t>SU002996</t>
        </is>
      </c>
      <c r="B127" s="63" t="inlineStr">
        <is>
          <t>P003464</t>
        </is>
      </c>
      <c r="C127" s="36" t="n">
        <v>4301051480</v>
      </c>
      <c r="D127" s="745" t="n">
        <v>4680115882645</v>
      </c>
      <c r="E127" s="1062" t="n"/>
      <c r="F127" s="1100" t="n">
        <v>0.3</v>
      </c>
      <c r="G127" s="37" t="n">
        <v>6</v>
      </c>
      <c r="H127" s="1100" t="n">
        <v>1.8</v>
      </c>
      <c r="I127" s="1100" t="n">
        <v>2.64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СК2</t>
        </is>
      </c>
      <c r="N127" s="38" t="n"/>
      <c r="O127" s="37" t="n">
        <v>40</v>
      </c>
      <c r="P127" s="1170">
        <f>HYPERLINK("https://abi.ru/products/Охлажденные/Вязанка/Сливушка/Сосиски/P003464/","Сосиски «Сливушки с сыром» ф/в 0,3 п/а ТМ «Вязанка»")</f>
        <v/>
      </c>
      <c r="Q127" s="1102" t="n"/>
      <c r="R127" s="1102" t="n"/>
      <c r="S127" s="1102" t="n"/>
      <c r="T127" s="1103" t="n"/>
      <c r="U127" s="39" t="inlineStr"/>
      <c r="V127" s="39" t="inlineStr"/>
      <c r="W127" s="40" t="inlineStr">
        <is>
          <t>кг</t>
        </is>
      </c>
      <c r="X127" s="1104" t="n">
        <v>0</v>
      </c>
      <c r="Y127" s="1105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208" t="inlineStr">
        <is>
          <t>ЕАЭС N RU Д-RU.РА05.В.77082/23, ЕАЭС N RU Д-RU.РА05.В.77149/23, ЕАЭС N RU Д-RU.РА05.В.77296/23</t>
        </is>
      </c>
      <c r="AG127" s="78" t="n"/>
      <c r="AJ127" s="84" t="inlineStr"/>
      <c r="AK127" s="84" t="n">
        <v>0</v>
      </c>
      <c r="BB127" s="20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58" t="n"/>
      <c r="B128" s="1051" t="n"/>
      <c r="C128" s="1051" t="n"/>
      <c r="D128" s="1051" t="n"/>
      <c r="E128" s="1051" t="n"/>
      <c r="F128" s="1051" t="n"/>
      <c r="G128" s="1051" t="n"/>
      <c r="H128" s="1051" t="n"/>
      <c r="I128" s="1051" t="n"/>
      <c r="J128" s="1051" t="n"/>
      <c r="K128" s="1051" t="n"/>
      <c r="L128" s="1051" t="n"/>
      <c r="M128" s="1051" t="n"/>
      <c r="N128" s="1051" t="n"/>
      <c r="O128" s="1111" t="n"/>
      <c r="P128" s="1112" t="inlineStr">
        <is>
          <t>Итого</t>
        </is>
      </c>
      <c r="Q128" s="1069" t="n"/>
      <c r="R128" s="1069" t="n"/>
      <c r="S128" s="1069" t="n"/>
      <c r="T128" s="1069" t="n"/>
      <c r="U128" s="1069" t="n"/>
      <c r="V128" s="1070" t="n"/>
      <c r="W128" s="42" t="inlineStr">
        <is>
          <t>кор</t>
        </is>
      </c>
      <c r="X128" s="1113">
        <f>IFERROR(X119/H119,"0")+IFERROR(X120/H120,"0")+IFERROR(X121/H121,"0")+IFERROR(X122/H122,"0")+IFERROR(X123/H123,"0")+IFERROR(X124/H124,"0")+IFERROR(X125/H125,"0")+IFERROR(X126/H126,"0")+IFERROR(X127/H127,"0")</f>
        <v/>
      </c>
      <c r="Y128" s="1113">
        <f>IFERROR(Y119/H119,"0")+IFERROR(Y120/H120,"0")+IFERROR(Y121/H121,"0")+IFERROR(Y122/H122,"0")+IFERROR(Y123/H123,"0")+IFERROR(Y124/H124,"0")+IFERROR(Y125/H125,"0")+IFERROR(Y126/H126,"0")+IFERROR(Y127/H127,"0")</f>
        <v/>
      </c>
      <c r="Z128" s="1113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/>
      </c>
      <c r="AA128" s="1114" t="n"/>
      <c r="AB128" s="1114" t="n"/>
      <c r="AC128" s="1114" t="n"/>
    </row>
    <row r="129">
      <c r="A129" s="1051" t="n"/>
      <c r="B129" s="1051" t="n"/>
      <c r="C129" s="1051" t="n"/>
      <c r="D129" s="1051" t="n"/>
      <c r="E129" s="1051" t="n"/>
      <c r="F129" s="1051" t="n"/>
      <c r="G129" s="1051" t="n"/>
      <c r="H129" s="1051" t="n"/>
      <c r="I129" s="1051" t="n"/>
      <c r="J129" s="1051" t="n"/>
      <c r="K129" s="1051" t="n"/>
      <c r="L129" s="1051" t="n"/>
      <c r="M129" s="1051" t="n"/>
      <c r="N129" s="1051" t="n"/>
      <c r="O129" s="1111" t="n"/>
      <c r="P129" s="1112" t="inlineStr">
        <is>
          <t>Итого</t>
        </is>
      </c>
      <c r="Q129" s="1069" t="n"/>
      <c r="R129" s="1069" t="n"/>
      <c r="S129" s="1069" t="n"/>
      <c r="T129" s="1069" t="n"/>
      <c r="U129" s="1069" t="n"/>
      <c r="V129" s="1070" t="n"/>
      <c r="W129" s="42" t="inlineStr">
        <is>
          <t>кг</t>
        </is>
      </c>
      <c r="X129" s="1113">
        <f>IFERROR(SUM(X119:X127),"0")</f>
        <v/>
      </c>
      <c r="Y129" s="1113">
        <f>IFERROR(SUM(Y119:Y127),"0")</f>
        <v/>
      </c>
      <c r="Z129" s="42" t="n"/>
      <c r="AA129" s="1114" t="n"/>
      <c r="AB129" s="1114" t="n"/>
      <c r="AC129" s="1114" t="n"/>
    </row>
    <row r="130" ht="14.25" customHeight="1">
      <c r="A130" s="744" t="inlineStr">
        <is>
          <t>Сардельки</t>
        </is>
      </c>
      <c r="B130" s="1051" t="n"/>
      <c r="C130" s="1051" t="n"/>
      <c r="D130" s="1051" t="n"/>
      <c r="E130" s="1051" t="n"/>
      <c r="F130" s="1051" t="n"/>
      <c r="G130" s="1051" t="n"/>
      <c r="H130" s="1051" t="n"/>
      <c r="I130" s="1051" t="n"/>
      <c r="J130" s="1051" t="n"/>
      <c r="K130" s="1051" t="n"/>
      <c r="L130" s="1051" t="n"/>
      <c r="M130" s="1051" t="n"/>
      <c r="N130" s="1051" t="n"/>
      <c r="O130" s="1051" t="n"/>
      <c r="P130" s="1051" t="n"/>
      <c r="Q130" s="1051" t="n"/>
      <c r="R130" s="1051" t="n"/>
      <c r="S130" s="1051" t="n"/>
      <c r="T130" s="1051" t="n"/>
      <c r="U130" s="1051" t="n"/>
      <c r="V130" s="1051" t="n"/>
      <c r="W130" s="1051" t="n"/>
      <c r="X130" s="1051" t="n"/>
      <c r="Y130" s="1051" t="n"/>
      <c r="Z130" s="1051" t="n"/>
      <c r="AA130" s="744" t="n"/>
      <c r="AB130" s="744" t="n"/>
      <c r="AC130" s="744" t="n"/>
    </row>
    <row r="131" ht="37.5" customHeight="1">
      <c r="A131" s="63" t="inlineStr">
        <is>
          <t>SU002997</t>
        </is>
      </c>
      <c r="B131" s="63" t="inlineStr">
        <is>
          <t>P003465</t>
        </is>
      </c>
      <c r="C131" s="36" t="n">
        <v>4301060356</v>
      </c>
      <c r="D131" s="745" t="n">
        <v>4680115882652</v>
      </c>
      <c r="E131" s="1062" t="n"/>
      <c r="F131" s="1100" t="n">
        <v>0.33</v>
      </c>
      <c r="G131" s="37" t="n">
        <v>6</v>
      </c>
      <c r="H131" s="1100" t="n">
        <v>1.98</v>
      </c>
      <c r="I131" s="1100" t="n">
        <v>2.82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СК2</t>
        </is>
      </c>
      <c r="N131" s="38" t="n"/>
      <c r="O131" s="37" t="n">
        <v>40</v>
      </c>
      <c r="P131" s="1171">
        <f>HYPERLINK("https://abi.ru/products/Охлажденные/Вязанка/Сливушка/Сардельки/P003465/","Сардельки «Сливушки с сыром #минидельки» ф/в 0,33 айпил ТМ «Вязанка»")</f>
        <v/>
      </c>
      <c r="Q131" s="1102" t="n"/>
      <c r="R131" s="1102" t="n"/>
      <c r="S131" s="1102" t="n"/>
      <c r="T131" s="1103" t="n"/>
      <c r="U131" s="39" t="inlineStr"/>
      <c r="V131" s="39" t="inlineStr"/>
      <c r="W131" s="40" t="inlineStr">
        <is>
          <t>кг</t>
        </is>
      </c>
      <c r="X131" s="1104" t="n">
        <v>0</v>
      </c>
      <c r="Y131" s="1105">
        <f>IFERROR(IF(X131="",0,CEILING((X131/$H131),1)*$H131),"")</f>
        <v/>
      </c>
      <c r="Z131" s="41">
        <f>IFERROR(IF(Y131=0,"",ROUNDUP(Y131/H131,0)*0.00651),"")</f>
        <v/>
      </c>
      <c r="AA131" s="68" t="inlineStr"/>
      <c r="AB131" s="69" t="inlineStr"/>
      <c r="AC131" s="210" t="inlineStr">
        <is>
          <t>ЕАЭС N RU Д-RU.РА06.В.31864/23, ЕАЭС N RU Д-RU.РА06.В.31929/23, ЕАЭС N RU Д-RU.РА10.В.01810/23</t>
        </is>
      </c>
      <c r="AG131" s="78" t="n"/>
      <c r="AJ131" s="84" t="inlineStr"/>
      <c r="AK131" s="84" t="n">
        <v>0</v>
      </c>
      <c r="BB131" s="211" t="inlineStr">
        <is>
          <t>КИ</t>
        </is>
      </c>
      <c r="BM131" s="78">
        <f>IFERROR(X131*I131/H131,"0")</f>
        <v/>
      </c>
      <c r="BN131" s="78">
        <f>IFERROR(Y131*I131/H131,"0")</f>
        <v/>
      </c>
      <c r="BO131" s="78">
        <f>IFERROR(1/J131*(X131/H131),"0")</f>
        <v/>
      </c>
      <c r="BP131" s="78">
        <f>IFERROR(1/J131*(Y131/H131),"0")</f>
        <v/>
      </c>
    </row>
    <row r="132" ht="27" customHeight="1">
      <c r="A132" s="63" t="inlineStr">
        <is>
          <t>SU002367</t>
        </is>
      </c>
      <c r="B132" s="63" t="inlineStr">
        <is>
          <t>P002644</t>
        </is>
      </c>
      <c r="C132" s="36" t="n">
        <v>4301060317</v>
      </c>
      <c r="D132" s="745" t="n">
        <v>4680115880238</v>
      </c>
      <c r="E132" s="1062" t="n"/>
      <c r="F132" s="1100" t="n">
        <v>0.33</v>
      </c>
      <c r="G132" s="37" t="n">
        <v>6</v>
      </c>
      <c r="H132" s="1100" t="n">
        <v>1.98</v>
      </c>
      <c r="I132" s="1100" t="n">
        <v>2.238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СК3</t>
        </is>
      </c>
      <c r="N132" s="38" t="n"/>
      <c r="O132" s="37" t="n">
        <v>40</v>
      </c>
      <c r="P132" s="1172">
        <f>HYPERLINK("https://abi.ru/products/Охлажденные/Вязанка/Сливушка/Сардельки/P002644/","Сардельки «Сливушки» фикс.вес 0,33 п/а мгс ТМ «Вязанка»")</f>
        <v/>
      </c>
      <c r="Q132" s="1102" t="n"/>
      <c r="R132" s="1102" t="n"/>
      <c r="S132" s="1102" t="n"/>
      <c r="T132" s="1103" t="n"/>
      <c r="U132" s="39" t="inlineStr"/>
      <c r="V132" s="39" t="inlineStr"/>
      <c r="W132" s="40" t="inlineStr">
        <is>
          <t>кг</t>
        </is>
      </c>
      <c r="X132" s="1104" t="n">
        <v>0</v>
      </c>
      <c r="Y132" s="1105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12" t="inlineStr">
        <is>
          <t>ЕАЭС N RU Д-RU.РА03.В.02429/22, ЕАЭС N RU Д-RU.РА10.В.09810/24</t>
        </is>
      </c>
      <c r="AG132" s="78" t="n"/>
      <c r="AJ132" s="84" t="inlineStr"/>
      <c r="AK132" s="84" t="n">
        <v>0</v>
      </c>
      <c r="BB132" s="213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>
      <c r="A133" s="758" t="n"/>
      <c r="B133" s="1051" t="n"/>
      <c r="C133" s="1051" t="n"/>
      <c r="D133" s="1051" t="n"/>
      <c r="E133" s="1051" t="n"/>
      <c r="F133" s="1051" t="n"/>
      <c r="G133" s="1051" t="n"/>
      <c r="H133" s="1051" t="n"/>
      <c r="I133" s="1051" t="n"/>
      <c r="J133" s="1051" t="n"/>
      <c r="K133" s="1051" t="n"/>
      <c r="L133" s="1051" t="n"/>
      <c r="M133" s="1051" t="n"/>
      <c r="N133" s="1051" t="n"/>
      <c r="O133" s="1111" t="n"/>
      <c r="P133" s="1112" t="inlineStr">
        <is>
          <t>Итого</t>
        </is>
      </c>
      <c r="Q133" s="1069" t="n"/>
      <c r="R133" s="1069" t="n"/>
      <c r="S133" s="1069" t="n"/>
      <c r="T133" s="1069" t="n"/>
      <c r="U133" s="1069" t="n"/>
      <c r="V133" s="1070" t="n"/>
      <c r="W133" s="42" t="inlineStr">
        <is>
          <t>кор</t>
        </is>
      </c>
      <c r="X133" s="1113">
        <f>IFERROR(X131/H131,"0")+IFERROR(X132/H132,"0")</f>
        <v/>
      </c>
      <c r="Y133" s="1113">
        <f>IFERROR(Y131/H131,"0")+IFERROR(Y132/H132,"0")</f>
        <v/>
      </c>
      <c r="Z133" s="1113">
        <f>IFERROR(IF(Z131="",0,Z131),"0")+IFERROR(IF(Z132="",0,Z132),"0")</f>
        <v/>
      </c>
      <c r="AA133" s="1114" t="n"/>
      <c r="AB133" s="1114" t="n"/>
      <c r="AC133" s="1114" t="n"/>
    </row>
    <row r="134">
      <c r="A134" s="1051" t="n"/>
      <c r="B134" s="1051" t="n"/>
      <c r="C134" s="1051" t="n"/>
      <c r="D134" s="1051" t="n"/>
      <c r="E134" s="1051" t="n"/>
      <c r="F134" s="1051" t="n"/>
      <c r="G134" s="1051" t="n"/>
      <c r="H134" s="1051" t="n"/>
      <c r="I134" s="1051" t="n"/>
      <c r="J134" s="1051" t="n"/>
      <c r="K134" s="1051" t="n"/>
      <c r="L134" s="1051" t="n"/>
      <c r="M134" s="1051" t="n"/>
      <c r="N134" s="1051" t="n"/>
      <c r="O134" s="1111" t="n"/>
      <c r="P134" s="1112" t="inlineStr">
        <is>
          <t>Итого</t>
        </is>
      </c>
      <c r="Q134" s="1069" t="n"/>
      <c r="R134" s="1069" t="n"/>
      <c r="S134" s="1069" t="n"/>
      <c r="T134" s="1069" t="n"/>
      <c r="U134" s="1069" t="n"/>
      <c r="V134" s="1070" t="n"/>
      <c r="W134" s="42" t="inlineStr">
        <is>
          <t>кг</t>
        </is>
      </c>
      <c r="X134" s="1113">
        <f>IFERROR(SUM(X131:X132),"0")</f>
        <v/>
      </c>
      <c r="Y134" s="1113">
        <f>IFERROR(SUM(Y131:Y132),"0")</f>
        <v/>
      </c>
      <c r="Z134" s="42" t="n"/>
      <c r="AA134" s="1114" t="n"/>
      <c r="AB134" s="1114" t="n"/>
      <c r="AC134" s="1114" t="n"/>
    </row>
    <row r="135" ht="16.5" customHeight="1">
      <c r="A135" s="743" t="inlineStr">
        <is>
          <t>Халяль</t>
        </is>
      </c>
      <c r="B135" s="1051" t="n"/>
      <c r="C135" s="1051" t="n"/>
      <c r="D135" s="1051" t="n"/>
      <c r="E135" s="1051" t="n"/>
      <c r="F135" s="1051" t="n"/>
      <c r="G135" s="1051" t="n"/>
      <c r="H135" s="1051" t="n"/>
      <c r="I135" s="1051" t="n"/>
      <c r="J135" s="1051" t="n"/>
      <c r="K135" s="1051" t="n"/>
      <c r="L135" s="1051" t="n"/>
      <c r="M135" s="1051" t="n"/>
      <c r="N135" s="1051" t="n"/>
      <c r="O135" s="1051" t="n"/>
      <c r="P135" s="1051" t="n"/>
      <c r="Q135" s="1051" t="n"/>
      <c r="R135" s="1051" t="n"/>
      <c r="S135" s="1051" t="n"/>
      <c r="T135" s="1051" t="n"/>
      <c r="U135" s="1051" t="n"/>
      <c r="V135" s="1051" t="n"/>
      <c r="W135" s="1051" t="n"/>
      <c r="X135" s="1051" t="n"/>
      <c r="Y135" s="1051" t="n"/>
      <c r="Z135" s="1051" t="n"/>
      <c r="AA135" s="743" t="n"/>
      <c r="AB135" s="743" t="n"/>
      <c r="AC135" s="743" t="n"/>
    </row>
    <row r="136" ht="14.25" customHeight="1">
      <c r="A136" s="744" t="inlineStr">
        <is>
          <t>Вареные колбасы</t>
        </is>
      </c>
      <c r="B136" s="1051" t="n"/>
      <c r="C136" s="1051" t="n"/>
      <c r="D136" s="1051" t="n"/>
      <c r="E136" s="1051" t="n"/>
      <c r="F136" s="1051" t="n"/>
      <c r="G136" s="1051" t="n"/>
      <c r="H136" s="1051" t="n"/>
      <c r="I136" s="1051" t="n"/>
      <c r="J136" s="1051" t="n"/>
      <c r="K136" s="1051" t="n"/>
      <c r="L136" s="1051" t="n"/>
      <c r="M136" s="1051" t="n"/>
      <c r="N136" s="1051" t="n"/>
      <c r="O136" s="1051" t="n"/>
      <c r="P136" s="1051" t="n"/>
      <c r="Q136" s="1051" t="n"/>
      <c r="R136" s="1051" t="n"/>
      <c r="S136" s="1051" t="n"/>
      <c r="T136" s="1051" t="n"/>
      <c r="U136" s="1051" t="n"/>
      <c r="V136" s="1051" t="n"/>
      <c r="W136" s="1051" t="n"/>
      <c r="X136" s="1051" t="n"/>
      <c r="Y136" s="1051" t="n"/>
      <c r="Z136" s="1051" t="n"/>
      <c r="AA136" s="744" t="n"/>
      <c r="AB136" s="744" t="n"/>
      <c r="AC136" s="744" t="n"/>
    </row>
    <row r="137" ht="27" customHeight="1">
      <c r="A137" s="63" t="inlineStr">
        <is>
          <t>SU002983</t>
        </is>
      </c>
      <c r="B137" s="63" t="inlineStr">
        <is>
          <t>P003441</t>
        </is>
      </c>
      <c r="C137" s="36" t="n">
        <v>4301011564</v>
      </c>
      <c r="D137" s="745" t="n">
        <v>4680115882577</v>
      </c>
      <c r="E137" s="1062" t="n"/>
      <c r="F137" s="1100" t="n">
        <v>0.4</v>
      </c>
      <c r="G137" s="37" t="n">
        <v>8</v>
      </c>
      <c r="H137" s="1100" t="n">
        <v>3.2</v>
      </c>
      <c r="I137" s="1100" t="n">
        <v>3.38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173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7" s="1102" t="n"/>
      <c r="R137" s="1102" t="n"/>
      <c r="S137" s="1102" t="n"/>
      <c r="T137" s="1103" t="n"/>
      <c r="U137" s="39" t="inlineStr"/>
      <c r="V137" s="39" t="inlineStr"/>
      <c r="W137" s="40" t="inlineStr">
        <is>
          <t>кг</t>
        </is>
      </c>
      <c r="X137" s="1104" t="n">
        <v>0</v>
      </c>
      <c r="Y137" s="1105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14" t="inlineStr">
        <is>
          <t>ЕАЭС N RU Д-RU.РА05.В.96405/23</t>
        </is>
      </c>
      <c r="AG137" s="78" t="n"/>
      <c r="AJ137" s="84" t="inlineStr"/>
      <c r="AK137" s="84" t="n">
        <v>0</v>
      </c>
      <c r="BB137" s="21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SU002983</t>
        </is>
      </c>
      <c r="B138" s="63" t="inlineStr">
        <is>
          <t>P003437</t>
        </is>
      </c>
      <c r="C138" s="36" t="n">
        <v>4301011562</v>
      </c>
      <c r="D138" s="745" t="n">
        <v>4680115882577</v>
      </c>
      <c r="E138" s="1062" t="n"/>
      <c r="F138" s="1100" t="n">
        <v>0.4</v>
      </c>
      <c r="G138" s="37" t="n">
        <v>8</v>
      </c>
      <c r="H138" s="1100" t="n">
        <v>3.2</v>
      </c>
      <c r="I138" s="1100" t="n">
        <v>3.38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17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8" s="1102" t="n"/>
      <c r="R138" s="1102" t="n"/>
      <c r="S138" s="1102" t="n"/>
      <c r="T138" s="1103" t="n"/>
      <c r="U138" s="39" t="inlineStr"/>
      <c r="V138" s="39" t="inlineStr"/>
      <c r="W138" s="40" t="inlineStr">
        <is>
          <t>кг</t>
        </is>
      </c>
      <c r="X138" s="1104" t="n">
        <v>80</v>
      </c>
      <c r="Y138" s="1105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16" t="inlineStr">
        <is>
          <t>ЕАЭС N RU Д-RU.РА05.В.96405/23</t>
        </is>
      </c>
      <c r="AG138" s="78" t="n"/>
      <c r="AJ138" s="84" t="inlineStr"/>
      <c r="AK138" s="84" t="n">
        <v>0</v>
      </c>
      <c r="BB138" s="21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58" t="n"/>
      <c r="B139" s="1051" t="n"/>
      <c r="C139" s="1051" t="n"/>
      <c r="D139" s="1051" t="n"/>
      <c r="E139" s="1051" t="n"/>
      <c r="F139" s="1051" t="n"/>
      <c r="G139" s="1051" t="n"/>
      <c r="H139" s="1051" t="n"/>
      <c r="I139" s="1051" t="n"/>
      <c r="J139" s="1051" t="n"/>
      <c r="K139" s="1051" t="n"/>
      <c r="L139" s="1051" t="n"/>
      <c r="M139" s="1051" t="n"/>
      <c r="N139" s="1051" t="n"/>
      <c r="O139" s="1111" t="n"/>
      <c r="P139" s="1112" t="inlineStr">
        <is>
          <t>Итого</t>
        </is>
      </c>
      <c r="Q139" s="1069" t="n"/>
      <c r="R139" s="1069" t="n"/>
      <c r="S139" s="1069" t="n"/>
      <c r="T139" s="1069" t="n"/>
      <c r="U139" s="1069" t="n"/>
      <c r="V139" s="1070" t="n"/>
      <c r="W139" s="42" t="inlineStr">
        <is>
          <t>кор</t>
        </is>
      </c>
      <c r="X139" s="1113">
        <f>IFERROR(X137/H137,"0")+IFERROR(X138/H138,"0")</f>
        <v/>
      </c>
      <c r="Y139" s="1113">
        <f>IFERROR(Y137/H137,"0")+IFERROR(Y138/H138,"0")</f>
        <v/>
      </c>
      <c r="Z139" s="1113">
        <f>IFERROR(IF(Z137="",0,Z137),"0")+IFERROR(IF(Z138="",0,Z138),"0")</f>
        <v/>
      </c>
      <c r="AA139" s="1114" t="n"/>
      <c r="AB139" s="1114" t="n"/>
      <c r="AC139" s="1114" t="n"/>
    </row>
    <row r="140">
      <c r="A140" s="1051" t="n"/>
      <c r="B140" s="1051" t="n"/>
      <c r="C140" s="1051" t="n"/>
      <c r="D140" s="1051" t="n"/>
      <c r="E140" s="1051" t="n"/>
      <c r="F140" s="1051" t="n"/>
      <c r="G140" s="1051" t="n"/>
      <c r="H140" s="1051" t="n"/>
      <c r="I140" s="1051" t="n"/>
      <c r="J140" s="1051" t="n"/>
      <c r="K140" s="1051" t="n"/>
      <c r="L140" s="1051" t="n"/>
      <c r="M140" s="1051" t="n"/>
      <c r="N140" s="1051" t="n"/>
      <c r="O140" s="1111" t="n"/>
      <c r="P140" s="1112" t="inlineStr">
        <is>
          <t>Итого</t>
        </is>
      </c>
      <c r="Q140" s="1069" t="n"/>
      <c r="R140" s="1069" t="n"/>
      <c r="S140" s="1069" t="n"/>
      <c r="T140" s="1069" t="n"/>
      <c r="U140" s="1069" t="n"/>
      <c r="V140" s="1070" t="n"/>
      <c r="W140" s="42" t="inlineStr">
        <is>
          <t>кг</t>
        </is>
      </c>
      <c r="X140" s="1113">
        <f>IFERROR(SUM(X137:X138),"0")</f>
        <v/>
      </c>
      <c r="Y140" s="1113">
        <f>IFERROR(SUM(Y137:Y138),"0")</f>
        <v/>
      </c>
      <c r="Z140" s="42" t="n"/>
      <c r="AA140" s="1114" t="n"/>
      <c r="AB140" s="1114" t="n"/>
      <c r="AC140" s="1114" t="n"/>
    </row>
    <row r="141" ht="14.25" customHeight="1">
      <c r="A141" s="744" t="inlineStr">
        <is>
          <t>Копченые колбасы</t>
        </is>
      </c>
      <c r="B141" s="1051" t="n"/>
      <c r="C141" s="1051" t="n"/>
      <c r="D141" s="1051" t="n"/>
      <c r="E141" s="1051" t="n"/>
      <c r="F141" s="1051" t="n"/>
      <c r="G141" s="1051" t="n"/>
      <c r="H141" s="1051" t="n"/>
      <c r="I141" s="1051" t="n"/>
      <c r="J141" s="1051" t="n"/>
      <c r="K141" s="1051" t="n"/>
      <c r="L141" s="1051" t="n"/>
      <c r="M141" s="1051" t="n"/>
      <c r="N141" s="1051" t="n"/>
      <c r="O141" s="1051" t="n"/>
      <c r="P141" s="1051" t="n"/>
      <c r="Q141" s="1051" t="n"/>
      <c r="R141" s="1051" t="n"/>
      <c r="S141" s="1051" t="n"/>
      <c r="T141" s="1051" t="n"/>
      <c r="U141" s="1051" t="n"/>
      <c r="V141" s="1051" t="n"/>
      <c r="W141" s="1051" t="n"/>
      <c r="X141" s="1051" t="n"/>
      <c r="Y141" s="1051" t="n"/>
      <c r="Z141" s="1051" t="n"/>
      <c r="AA141" s="744" t="n"/>
      <c r="AB141" s="744" t="n"/>
      <c r="AC141" s="744" t="n"/>
    </row>
    <row r="142" ht="27" customHeight="1">
      <c r="A142" s="63" t="inlineStr">
        <is>
          <t>SU002985</t>
        </is>
      </c>
      <c r="B142" s="63" t="inlineStr">
        <is>
          <t>P003439</t>
        </is>
      </c>
      <c r="C142" s="36" t="n">
        <v>4301031234</v>
      </c>
      <c r="D142" s="745" t="n">
        <v>4680115883444</v>
      </c>
      <c r="E142" s="1062" t="n"/>
      <c r="F142" s="1100" t="n">
        <v>0.35</v>
      </c>
      <c r="G142" s="37" t="n">
        <v>8</v>
      </c>
      <c r="H142" s="1100" t="n">
        <v>2.8</v>
      </c>
      <c r="I142" s="1100" t="n">
        <v>3.068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90</v>
      </c>
      <c r="P142" s="1175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42" s="1102" t="n"/>
      <c r="R142" s="1102" t="n"/>
      <c r="S142" s="1102" t="n"/>
      <c r="T142" s="1103" t="n"/>
      <c r="U142" s="39" t="inlineStr"/>
      <c r="V142" s="39" t="inlineStr"/>
      <c r="W142" s="40" t="inlineStr">
        <is>
          <t>кг</t>
        </is>
      </c>
      <c r="X142" s="1104" t="n">
        <v>59.49999999999999</v>
      </c>
      <c r="Y142" s="1105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8" t="inlineStr">
        <is>
          <t>ЕАЭС N RU Д-RU.РА08.В.16764/23</t>
        </is>
      </c>
      <c r="AG142" s="78" t="n"/>
      <c r="AJ142" s="84" t="inlineStr"/>
      <c r="AK142" s="84" t="n">
        <v>0</v>
      </c>
      <c r="BB142" s="21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27" customHeight="1">
      <c r="A143" s="63" t="inlineStr">
        <is>
          <t>SU002985</t>
        </is>
      </c>
      <c r="B143" s="63" t="inlineStr">
        <is>
          <t>P003442</t>
        </is>
      </c>
      <c r="C143" s="36" t="n">
        <v>4301031235</v>
      </c>
      <c r="D143" s="745" t="n">
        <v>4680115883444</v>
      </c>
      <c r="E143" s="1062" t="n"/>
      <c r="F143" s="1100" t="n">
        <v>0.35</v>
      </c>
      <c r="G143" s="37" t="n">
        <v>8</v>
      </c>
      <c r="H143" s="1100" t="n">
        <v>2.8</v>
      </c>
      <c r="I143" s="1100" t="n">
        <v>3.068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90</v>
      </c>
      <c r="P143" s="1176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3" s="1102" t="n"/>
      <c r="R143" s="1102" t="n"/>
      <c r="S143" s="1102" t="n"/>
      <c r="T143" s="1103" t="n"/>
      <c r="U143" s="39" t="inlineStr"/>
      <c r="V143" s="39" t="inlineStr"/>
      <c r="W143" s="40" t="inlineStr">
        <is>
          <t>кг</t>
        </is>
      </c>
      <c r="X143" s="1104" t="n">
        <v>0</v>
      </c>
      <c r="Y143" s="1105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20" t="inlineStr">
        <is>
          <t>ЕАЭС N RU Д-RU.РА08.В.16764/23</t>
        </is>
      </c>
      <c r="AG143" s="78" t="n"/>
      <c r="AJ143" s="84" t="inlineStr"/>
      <c r="AK143" s="84" t="n">
        <v>0</v>
      </c>
      <c r="BB143" s="22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58" t="n"/>
      <c r="B144" s="1051" t="n"/>
      <c r="C144" s="1051" t="n"/>
      <c r="D144" s="1051" t="n"/>
      <c r="E144" s="1051" t="n"/>
      <c r="F144" s="1051" t="n"/>
      <c r="G144" s="1051" t="n"/>
      <c r="H144" s="1051" t="n"/>
      <c r="I144" s="1051" t="n"/>
      <c r="J144" s="1051" t="n"/>
      <c r="K144" s="1051" t="n"/>
      <c r="L144" s="1051" t="n"/>
      <c r="M144" s="1051" t="n"/>
      <c r="N144" s="1051" t="n"/>
      <c r="O144" s="1111" t="n"/>
      <c r="P144" s="1112" t="inlineStr">
        <is>
          <t>Итого</t>
        </is>
      </c>
      <c r="Q144" s="1069" t="n"/>
      <c r="R144" s="1069" t="n"/>
      <c r="S144" s="1069" t="n"/>
      <c r="T144" s="1069" t="n"/>
      <c r="U144" s="1069" t="n"/>
      <c r="V144" s="1070" t="n"/>
      <c r="W144" s="42" t="inlineStr">
        <is>
          <t>кор</t>
        </is>
      </c>
      <c r="X144" s="1113">
        <f>IFERROR(X142/H142,"0")+IFERROR(X143/H143,"0")</f>
        <v/>
      </c>
      <c r="Y144" s="1113">
        <f>IFERROR(Y142/H142,"0")+IFERROR(Y143/H143,"0")</f>
        <v/>
      </c>
      <c r="Z144" s="1113">
        <f>IFERROR(IF(Z142="",0,Z142),"0")+IFERROR(IF(Z143="",0,Z143),"0")</f>
        <v/>
      </c>
      <c r="AA144" s="1114" t="n"/>
      <c r="AB144" s="1114" t="n"/>
      <c r="AC144" s="1114" t="n"/>
    </row>
    <row r="145">
      <c r="A145" s="1051" t="n"/>
      <c r="B145" s="1051" t="n"/>
      <c r="C145" s="1051" t="n"/>
      <c r="D145" s="1051" t="n"/>
      <c r="E145" s="1051" t="n"/>
      <c r="F145" s="1051" t="n"/>
      <c r="G145" s="1051" t="n"/>
      <c r="H145" s="1051" t="n"/>
      <c r="I145" s="1051" t="n"/>
      <c r="J145" s="1051" t="n"/>
      <c r="K145" s="1051" t="n"/>
      <c r="L145" s="1051" t="n"/>
      <c r="M145" s="1051" t="n"/>
      <c r="N145" s="1051" t="n"/>
      <c r="O145" s="1111" t="n"/>
      <c r="P145" s="1112" t="inlineStr">
        <is>
          <t>Итого</t>
        </is>
      </c>
      <c r="Q145" s="1069" t="n"/>
      <c r="R145" s="1069" t="n"/>
      <c r="S145" s="1069" t="n"/>
      <c r="T145" s="1069" t="n"/>
      <c r="U145" s="1069" t="n"/>
      <c r="V145" s="1070" t="n"/>
      <c r="W145" s="42" t="inlineStr">
        <is>
          <t>кг</t>
        </is>
      </c>
      <c r="X145" s="1113">
        <f>IFERROR(SUM(X142:X143),"0")</f>
        <v/>
      </c>
      <c r="Y145" s="1113">
        <f>IFERROR(SUM(Y142:Y143),"0")</f>
        <v/>
      </c>
      <c r="Z145" s="42" t="n"/>
      <c r="AA145" s="1114" t="n"/>
      <c r="AB145" s="1114" t="n"/>
      <c r="AC145" s="1114" t="n"/>
    </row>
    <row r="146" ht="14.25" customHeight="1">
      <c r="A146" s="744" t="inlineStr">
        <is>
          <t>Сосиски</t>
        </is>
      </c>
      <c r="B146" s="1051" t="n"/>
      <c r="C146" s="1051" t="n"/>
      <c r="D146" s="1051" t="n"/>
      <c r="E146" s="1051" t="n"/>
      <c r="F146" s="1051" t="n"/>
      <c r="G146" s="1051" t="n"/>
      <c r="H146" s="1051" t="n"/>
      <c r="I146" s="1051" t="n"/>
      <c r="J146" s="1051" t="n"/>
      <c r="K146" s="1051" t="n"/>
      <c r="L146" s="1051" t="n"/>
      <c r="M146" s="1051" t="n"/>
      <c r="N146" s="1051" t="n"/>
      <c r="O146" s="1051" t="n"/>
      <c r="P146" s="1051" t="n"/>
      <c r="Q146" s="1051" t="n"/>
      <c r="R146" s="1051" t="n"/>
      <c r="S146" s="1051" t="n"/>
      <c r="T146" s="1051" t="n"/>
      <c r="U146" s="1051" t="n"/>
      <c r="V146" s="1051" t="n"/>
      <c r="W146" s="1051" t="n"/>
      <c r="X146" s="1051" t="n"/>
      <c r="Y146" s="1051" t="n"/>
      <c r="Z146" s="1051" t="n"/>
      <c r="AA146" s="744" t="n"/>
      <c r="AB146" s="744" t="n"/>
      <c r="AC146" s="744" t="n"/>
    </row>
    <row r="147" ht="16.5" customHeight="1">
      <c r="A147" s="63" t="inlineStr">
        <is>
          <t>SU002984</t>
        </is>
      </c>
      <c r="B147" s="63" t="inlineStr">
        <is>
          <t>P003440</t>
        </is>
      </c>
      <c r="C147" s="36" t="n">
        <v>4301051477</v>
      </c>
      <c r="D147" s="745" t="n">
        <v>4680115882584</v>
      </c>
      <c r="E147" s="1062" t="n"/>
      <c r="F147" s="1100" t="n">
        <v>0.33</v>
      </c>
      <c r="G147" s="37" t="n">
        <v>8</v>
      </c>
      <c r="H147" s="1100" t="n">
        <v>2.64</v>
      </c>
      <c r="I147" s="1100" t="n">
        <v>2.908</v>
      </c>
      <c r="J147" s="37" t="n">
        <v>182</v>
      </c>
      <c r="K147" s="37" t="inlineStr">
        <is>
          <t>14</t>
        </is>
      </c>
      <c r="L147" s="37" t="inlineStr"/>
      <c r="M147" s="38" t="inlineStr">
        <is>
          <t>АК</t>
        </is>
      </c>
      <c r="N147" s="38" t="n"/>
      <c r="O147" s="37" t="n">
        <v>60</v>
      </c>
      <c r="P147" s="1177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7" s="1102" t="n"/>
      <c r="R147" s="1102" t="n"/>
      <c r="S147" s="1102" t="n"/>
      <c r="T147" s="1103" t="n"/>
      <c r="U147" s="39" t="inlineStr"/>
      <c r="V147" s="39" t="inlineStr"/>
      <c r="W147" s="40" t="inlineStr">
        <is>
          <t>кг</t>
        </is>
      </c>
      <c r="X147" s="1104" t="n">
        <v>0</v>
      </c>
      <c r="Y147" s="1105">
        <f>IFERROR(IF(X147="",0,CEILING((X147/$H147),1)*$H147),"")</f>
        <v/>
      </c>
      <c r="Z147" s="41">
        <f>IFERROR(IF(Y147=0,"",ROUNDUP(Y147/H147,0)*0.00651),"")</f>
        <v/>
      </c>
      <c r="AA147" s="68" t="inlineStr"/>
      <c r="AB147" s="69" t="inlineStr"/>
      <c r="AC147" s="222" t="inlineStr">
        <is>
          <t>ЕАЭС N RU Д-RU.РА05.В.96405/23</t>
        </is>
      </c>
      <c r="AG147" s="78" t="n"/>
      <c r="AJ147" s="84" t="inlineStr"/>
      <c r="AK147" s="84" t="n">
        <v>0</v>
      </c>
      <c r="BB147" s="223" t="inlineStr">
        <is>
          <t>КИ</t>
        </is>
      </c>
      <c r="BM147" s="78">
        <f>IFERROR(X147*I147/H147,"0")</f>
        <v/>
      </c>
      <c r="BN147" s="78">
        <f>IFERROR(Y147*I147/H147,"0")</f>
        <v/>
      </c>
      <c r="BO147" s="78">
        <f>IFERROR(1/J147*(X147/H147),"0")</f>
        <v/>
      </c>
      <c r="BP147" s="78">
        <f>IFERROR(1/J147*(Y147/H147),"0")</f>
        <v/>
      </c>
    </row>
    <row r="148" ht="16.5" customHeight="1">
      <c r="A148" s="63" t="inlineStr">
        <is>
          <t>SU002984</t>
        </is>
      </c>
      <c r="B148" s="63" t="inlineStr">
        <is>
          <t>P003438</t>
        </is>
      </c>
      <c r="C148" s="36" t="n">
        <v>4301051476</v>
      </c>
      <c r="D148" s="745" t="n">
        <v>4680115882584</v>
      </c>
      <c r="E148" s="1062" t="n"/>
      <c r="F148" s="1100" t="n">
        <v>0.33</v>
      </c>
      <c r="G148" s="37" t="n">
        <v>8</v>
      </c>
      <c r="H148" s="1100" t="n">
        <v>2.64</v>
      </c>
      <c r="I148" s="1100" t="n">
        <v>2.908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АК</t>
        </is>
      </c>
      <c r="N148" s="38" t="n"/>
      <c r="O148" s="37" t="n">
        <v>60</v>
      </c>
      <c r="P148" s="117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8" s="1102" t="n"/>
      <c r="R148" s="1102" t="n"/>
      <c r="S148" s="1102" t="n"/>
      <c r="T148" s="1103" t="n"/>
      <c r="U148" s="39" t="inlineStr"/>
      <c r="V148" s="39" t="inlineStr"/>
      <c r="W148" s="40" t="inlineStr">
        <is>
          <t>кг</t>
        </is>
      </c>
      <c r="X148" s="1104" t="n">
        <v>66</v>
      </c>
      <c r="Y148" s="1105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24" t="inlineStr">
        <is>
          <t>ЕАЭС N RU Д-RU.РА05.В.96405/23</t>
        </is>
      </c>
      <c r="AG148" s="78" t="n"/>
      <c r="AJ148" s="84" t="inlineStr"/>
      <c r="AK148" s="84" t="n">
        <v>0</v>
      </c>
      <c r="BB148" s="225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>
      <c r="A149" s="758" t="n"/>
      <c r="B149" s="1051" t="n"/>
      <c r="C149" s="1051" t="n"/>
      <c r="D149" s="1051" t="n"/>
      <c r="E149" s="1051" t="n"/>
      <c r="F149" s="1051" t="n"/>
      <c r="G149" s="1051" t="n"/>
      <c r="H149" s="1051" t="n"/>
      <c r="I149" s="1051" t="n"/>
      <c r="J149" s="1051" t="n"/>
      <c r="K149" s="1051" t="n"/>
      <c r="L149" s="1051" t="n"/>
      <c r="M149" s="1051" t="n"/>
      <c r="N149" s="1051" t="n"/>
      <c r="O149" s="1111" t="n"/>
      <c r="P149" s="1112" t="inlineStr">
        <is>
          <t>Итого</t>
        </is>
      </c>
      <c r="Q149" s="1069" t="n"/>
      <c r="R149" s="1069" t="n"/>
      <c r="S149" s="1069" t="n"/>
      <c r="T149" s="1069" t="n"/>
      <c r="U149" s="1069" t="n"/>
      <c r="V149" s="1070" t="n"/>
      <c r="W149" s="42" t="inlineStr">
        <is>
          <t>кор</t>
        </is>
      </c>
      <c r="X149" s="1113">
        <f>IFERROR(X147/H147,"0")+IFERROR(X148/H148,"0")</f>
        <v/>
      </c>
      <c r="Y149" s="1113">
        <f>IFERROR(Y147/H147,"0")+IFERROR(Y148/H148,"0")</f>
        <v/>
      </c>
      <c r="Z149" s="1113">
        <f>IFERROR(IF(Z147="",0,Z147),"0")+IFERROR(IF(Z148="",0,Z148),"0")</f>
        <v/>
      </c>
      <c r="AA149" s="1114" t="n"/>
      <c r="AB149" s="1114" t="n"/>
      <c r="AC149" s="1114" t="n"/>
    </row>
    <row r="150">
      <c r="A150" s="1051" t="n"/>
      <c r="B150" s="1051" t="n"/>
      <c r="C150" s="1051" t="n"/>
      <c r="D150" s="1051" t="n"/>
      <c r="E150" s="1051" t="n"/>
      <c r="F150" s="1051" t="n"/>
      <c r="G150" s="1051" t="n"/>
      <c r="H150" s="1051" t="n"/>
      <c r="I150" s="1051" t="n"/>
      <c r="J150" s="1051" t="n"/>
      <c r="K150" s="1051" t="n"/>
      <c r="L150" s="1051" t="n"/>
      <c r="M150" s="1051" t="n"/>
      <c r="N150" s="1051" t="n"/>
      <c r="O150" s="1111" t="n"/>
      <c r="P150" s="1112" t="inlineStr">
        <is>
          <t>Итого</t>
        </is>
      </c>
      <c r="Q150" s="1069" t="n"/>
      <c r="R150" s="1069" t="n"/>
      <c r="S150" s="1069" t="n"/>
      <c r="T150" s="1069" t="n"/>
      <c r="U150" s="1069" t="n"/>
      <c r="V150" s="1070" t="n"/>
      <c r="W150" s="42" t="inlineStr">
        <is>
          <t>кг</t>
        </is>
      </c>
      <c r="X150" s="1113">
        <f>IFERROR(SUM(X147:X148),"0")</f>
        <v/>
      </c>
      <c r="Y150" s="1113">
        <f>IFERROR(SUM(Y147:Y148),"0")</f>
        <v/>
      </c>
      <c r="Z150" s="42" t="n"/>
      <c r="AA150" s="1114" t="n"/>
      <c r="AB150" s="1114" t="n"/>
      <c r="AC150" s="1114" t="n"/>
    </row>
    <row r="151" ht="16.5" customHeight="1">
      <c r="A151" s="743" t="inlineStr">
        <is>
          <t>Вязанка</t>
        </is>
      </c>
      <c r="B151" s="1051" t="n"/>
      <c r="C151" s="1051" t="n"/>
      <c r="D151" s="1051" t="n"/>
      <c r="E151" s="1051" t="n"/>
      <c r="F151" s="1051" t="n"/>
      <c r="G151" s="1051" t="n"/>
      <c r="H151" s="1051" t="n"/>
      <c r="I151" s="1051" t="n"/>
      <c r="J151" s="1051" t="n"/>
      <c r="K151" s="1051" t="n"/>
      <c r="L151" s="1051" t="n"/>
      <c r="M151" s="1051" t="n"/>
      <c r="N151" s="1051" t="n"/>
      <c r="O151" s="1051" t="n"/>
      <c r="P151" s="1051" t="n"/>
      <c r="Q151" s="1051" t="n"/>
      <c r="R151" s="1051" t="n"/>
      <c r="S151" s="1051" t="n"/>
      <c r="T151" s="1051" t="n"/>
      <c r="U151" s="1051" t="n"/>
      <c r="V151" s="1051" t="n"/>
      <c r="W151" s="1051" t="n"/>
      <c r="X151" s="1051" t="n"/>
      <c r="Y151" s="1051" t="n"/>
      <c r="Z151" s="1051" t="n"/>
      <c r="AA151" s="743" t="n"/>
      <c r="AB151" s="743" t="n"/>
      <c r="AC151" s="743" t="n"/>
    </row>
    <row r="152" ht="14.25" customHeight="1">
      <c r="A152" s="744" t="inlineStr">
        <is>
          <t>Вареные колбасы</t>
        </is>
      </c>
      <c r="B152" s="1051" t="n"/>
      <c r="C152" s="1051" t="n"/>
      <c r="D152" s="1051" t="n"/>
      <c r="E152" s="1051" t="n"/>
      <c r="F152" s="1051" t="n"/>
      <c r="G152" s="1051" t="n"/>
      <c r="H152" s="1051" t="n"/>
      <c r="I152" s="1051" t="n"/>
      <c r="J152" s="1051" t="n"/>
      <c r="K152" s="1051" t="n"/>
      <c r="L152" s="1051" t="n"/>
      <c r="M152" s="1051" t="n"/>
      <c r="N152" s="1051" t="n"/>
      <c r="O152" s="1051" t="n"/>
      <c r="P152" s="1051" t="n"/>
      <c r="Q152" s="1051" t="n"/>
      <c r="R152" s="1051" t="n"/>
      <c r="S152" s="1051" t="n"/>
      <c r="T152" s="1051" t="n"/>
      <c r="U152" s="1051" t="n"/>
      <c r="V152" s="1051" t="n"/>
      <c r="W152" s="1051" t="n"/>
      <c r="X152" s="1051" t="n"/>
      <c r="Y152" s="1051" t="n"/>
      <c r="Z152" s="1051" t="n"/>
      <c r="AA152" s="744" t="n"/>
      <c r="AB152" s="744" t="n"/>
      <c r="AC152" s="744" t="n"/>
    </row>
    <row r="153" ht="27" customHeight="1">
      <c r="A153" s="63" t="inlineStr">
        <is>
          <t>SU002312</t>
        </is>
      </c>
      <c r="B153" s="63" t="inlineStr">
        <is>
          <t>P003913</t>
        </is>
      </c>
      <c r="C153" s="36" t="n">
        <v>4301011705</v>
      </c>
      <c r="D153" s="745" t="n">
        <v>4607091384604</v>
      </c>
      <c r="E153" s="1062" t="n"/>
      <c r="F153" s="1100" t="n">
        <v>0.4</v>
      </c>
      <c r="G153" s="37" t="n">
        <v>10</v>
      </c>
      <c r="H153" s="1100" t="n">
        <v>4</v>
      </c>
      <c r="I153" s="1100" t="n">
        <v>4.21</v>
      </c>
      <c r="J153" s="37" t="n">
        <v>132</v>
      </c>
      <c r="K153" s="37" t="inlineStr">
        <is>
          <t>12</t>
        </is>
      </c>
      <c r="L153" s="37" t="inlineStr"/>
      <c r="M153" s="38" t="inlineStr">
        <is>
          <t>СК1</t>
        </is>
      </c>
      <c r="N153" s="38" t="n"/>
      <c r="O153" s="37" t="n">
        <v>50</v>
      </c>
      <c r="P153" s="1179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3" s="1102" t="n"/>
      <c r="R153" s="1102" t="n"/>
      <c r="S153" s="1102" t="n"/>
      <c r="T153" s="1103" t="n"/>
      <c r="U153" s="39" t="inlineStr"/>
      <c r="V153" s="39" t="inlineStr"/>
      <c r="W153" s="40" t="inlineStr">
        <is>
          <t>кг</t>
        </is>
      </c>
      <c r="X153" s="1104" t="n">
        <v>0</v>
      </c>
      <c r="Y153" s="1105">
        <f>IFERROR(IF(X153="",0,CEILING((X153/$H153),1)*$H153),"")</f>
        <v/>
      </c>
      <c r="Z153" s="41">
        <f>IFERROR(IF(Y153=0,"",ROUNDUP(Y153/H153,0)*0.00902),"")</f>
        <v/>
      </c>
      <c r="AA153" s="68" t="inlineStr"/>
      <c r="AB153" s="69" t="inlineStr"/>
      <c r="AC153" s="226" t="inlineStr">
        <is>
          <t>ЕАЭС N RU Д-RU.РА09.В.81376/23</t>
        </is>
      </c>
      <c r="AG153" s="78" t="n"/>
      <c r="AJ153" s="84" t="inlineStr"/>
      <c r="AK153" s="84" t="n">
        <v>0</v>
      </c>
      <c r="BB153" s="227" t="inlineStr">
        <is>
          <t>КИ</t>
        </is>
      </c>
      <c r="BM153" s="78">
        <f>IFERROR(X153*I153/H153,"0")</f>
        <v/>
      </c>
      <c r="BN153" s="78">
        <f>IFERROR(Y153*I153/H153,"0")</f>
        <v/>
      </c>
      <c r="BO153" s="78">
        <f>IFERROR(1/J153*(X153/H153),"0")</f>
        <v/>
      </c>
      <c r="BP153" s="78">
        <f>IFERROR(1/J153*(Y153/H153),"0")</f>
        <v/>
      </c>
    </row>
    <row r="154">
      <c r="A154" s="758" t="n"/>
      <c r="B154" s="1051" t="n"/>
      <c r="C154" s="1051" t="n"/>
      <c r="D154" s="1051" t="n"/>
      <c r="E154" s="1051" t="n"/>
      <c r="F154" s="1051" t="n"/>
      <c r="G154" s="1051" t="n"/>
      <c r="H154" s="1051" t="n"/>
      <c r="I154" s="1051" t="n"/>
      <c r="J154" s="1051" t="n"/>
      <c r="K154" s="1051" t="n"/>
      <c r="L154" s="1051" t="n"/>
      <c r="M154" s="1051" t="n"/>
      <c r="N154" s="1051" t="n"/>
      <c r="O154" s="1111" t="n"/>
      <c r="P154" s="1112" t="inlineStr">
        <is>
          <t>Итого</t>
        </is>
      </c>
      <c r="Q154" s="1069" t="n"/>
      <c r="R154" s="1069" t="n"/>
      <c r="S154" s="1069" t="n"/>
      <c r="T154" s="1069" t="n"/>
      <c r="U154" s="1069" t="n"/>
      <c r="V154" s="1070" t="n"/>
      <c r="W154" s="42" t="inlineStr">
        <is>
          <t>кор</t>
        </is>
      </c>
      <c r="X154" s="1113">
        <f>IFERROR(X153/H153,"0")</f>
        <v/>
      </c>
      <c r="Y154" s="1113">
        <f>IFERROR(Y153/H153,"0")</f>
        <v/>
      </c>
      <c r="Z154" s="1113">
        <f>IFERROR(IF(Z153="",0,Z153),"0")</f>
        <v/>
      </c>
      <c r="AA154" s="1114" t="n"/>
      <c r="AB154" s="1114" t="n"/>
      <c r="AC154" s="1114" t="n"/>
    </row>
    <row r="155">
      <c r="A155" s="1051" t="n"/>
      <c r="B155" s="1051" t="n"/>
      <c r="C155" s="1051" t="n"/>
      <c r="D155" s="1051" t="n"/>
      <c r="E155" s="1051" t="n"/>
      <c r="F155" s="1051" t="n"/>
      <c r="G155" s="1051" t="n"/>
      <c r="H155" s="1051" t="n"/>
      <c r="I155" s="1051" t="n"/>
      <c r="J155" s="1051" t="n"/>
      <c r="K155" s="1051" t="n"/>
      <c r="L155" s="1051" t="n"/>
      <c r="M155" s="1051" t="n"/>
      <c r="N155" s="1051" t="n"/>
      <c r="O155" s="1111" t="n"/>
      <c r="P155" s="1112" t="inlineStr">
        <is>
          <t>Итого</t>
        </is>
      </c>
      <c r="Q155" s="1069" t="n"/>
      <c r="R155" s="1069" t="n"/>
      <c r="S155" s="1069" t="n"/>
      <c r="T155" s="1069" t="n"/>
      <c r="U155" s="1069" t="n"/>
      <c r="V155" s="1070" t="n"/>
      <c r="W155" s="42" t="inlineStr">
        <is>
          <t>кг</t>
        </is>
      </c>
      <c r="X155" s="1113">
        <f>IFERROR(SUM(X153:X153),"0")</f>
        <v/>
      </c>
      <c r="Y155" s="1113">
        <f>IFERROR(SUM(Y153:Y153),"0")</f>
        <v/>
      </c>
      <c r="Z155" s="42" t="n"/>
      <c r="AA155" s="1114" t="n"/>
      <c r="AB155" s="1114" t="n"/>
      <c r="AC155" s="1114" t="n"/>
    </row>
    <row r="156" ht="14.25" customHeight="1">
      <c r="A156" s="744" t="inlineStr">
        <is>
          <t>Копченые колбасы</t>
        </is>
      </c>
      <c r="B156" s="1051" t="n"/>
      <c r="C156" s="1051" t="n"/>
      <c r="D156" s="1051" t="n"/>
      <c r="E156" s="1051" t="n"/>
      <c r="F156" s="1051" t="n"/>
      <c r="G156" s="1051" t="n"/>
      <c r="H156" s="1051" t="n"/>
      <c r="I156" s="1051" t="n"/>
      <c r="J156" s="1051" t="n"/>
      <c r="K156" s="1051" t="n"/>
      <c r="L156" s="1051" t="n"/>
      <c r="M156" s="1051" t="n"/>
      <c r="N156" s="1051" t="n"/>
      <c r="O156" s="1051" t="n"/>
      <c r="P156" s="1051" t="n"/>
      <c r="Q156" s="1051" t="n"/>
      <c r="R156" s="1051" t="n"/>
      <c r="S156" s="1051" t="n"/>
      <c r="T156" s="1051" t="n"/>
      <c r="U156" s="1051" t="n"/>
      <c r="V156" s="1051" t="n"/>
      <c r="W156" s="1051" t="n"/>
      <c r="X156" s="1051" t="n"/>
      <c r="Y156" s="1051" t="n"/>
      <c r="Z156" s="1051" t="n"/>
      <c r="AA156" s="744" t="n"/>
      <c r="AB156" s="744" t="n"/>
      <c r="AC156" s="744" t="n"/>
    </row>
    <row r="157" ht="16.5" customHeight="1">
      <c r="A157" s="63" t="inlineStr">
        <is>
          <t>SU000064</t>
        </is>
      </c>
      <c r="B157" s="63" t="inlineStr">
        <is>
          <t>P001841</t>
        </is>
      </c>
      <c r="C157" s="36" t="n">
        <v>4301030895</v>
      </c>
      <c r="D157" s="745" t="n">
        <v>4607091387667</v>
      </c>
      <c r="E157" s="1062" t="n"/>
      <c r="F157" s="1100" t="n">
        <v>0.9</v>
      </c>
      <c r="G157" s="37" t="n">
        <v>10</v>
      </c>
      <c r="H157" s="1100" t="n">
        <v>9</v>
      </c>
      <c r="I157" s="1100" t="n">
        <v>9.585000000000001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40</v>
      </c>
      <c r="P157" s="1180">
        <f>HYPERLINK("https://abi.ru/products/Охлажденные/Вязанка/Вязанка/Копченые колбасы/P001841/","В/к колбасы Балыковая Вязанка Весовые Фиброуз в/у Вязанка")</f>
        <v/>
      </c>
      <c r="Q157" s="1102" t="n"/>
      <c r="R157" s="1102" t="n"/>
      <c r="S157" s="1102" t="n"/>
      <c r="T157" s="1103" t="n"/>
      <c r="U157" s="39" t="inlineStr"/>
      <c r="V157" s="39" t="inlineStr"/>
      <c r="W157" s="40" t="inlineStr">
        <is>
          <t>кг</t>
        </is>
      </c>
      <c r="X157" s="1104" t="n">
        <v>0</v>
      </c>
      <c r="Y157" s="1105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8" t="inlineStr">
        <is>
          <t>ЕАЭС N RU Д-RU.АБ75.В.01119</t>
        </is>
      </c>
      <c r="AG157" s="78" t="n"/>
      <c r="AJ157" s="84" t="inlineStr"/>
      <c r="AK157" s="84" t="n">
        <v>0</v>
      </c>
      <c r="BB157" s="229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SU000664</t>
        </is>
      </c>
      <c r="B158" s="63" t="inlineStr">
        <is>
          <t>P002177</t>
        </is>
      </c>
      <c r="C158" s="36" t="n">
        <v>4301030961</v>
      </c>
      <c r="D158" s="745" t="n">
        <v>4607091387636</v>
      </c>
      <c r="E158" s="1062" t="n"/>
      <c r="F158" s="1100" t="n">
        <v>0.7</v>
      </c>
      <c r="G158" s="37" t="n">
        <v>6</v>
      </c>
      <c r="H158" s="1100" t="n">
        <v>4.2</v>
      </c>
      <c r="I158" s="1100" t="n">
        <v>4.47</v>
      </c>
      <c r="J158" s="37" t="n">
        <v>182</v>
      </c>
      <c r="K158" s="37" t="inlineStr">
        <is>
          <t>14</t>
        </is>
      </c>
      <c r="L158" s="37" t="inlineStr"/>
      <c r="M158" s="38" t="inlineStr">
        <is>
          <t>СК2</t>
        </is>
      </c>
      <c r="N158" s="38" t="n"/>
      <c r="O158" s="37" t="n">
        <v>40</v>
      </c>
      <c r="P158" s="1181">
        <f>HYPERLINK("https://abi.ru/products/Охлажденные/Вязанка/Вязанка/Копченые колбасы/P002177/","В/к колбасы Салями Финская Вязанка Весовые Фиброуз в/у Вязанка")</f>
        <v/>
      </c>
      <c r="Q158" s="1102" t="n"/>
      <c r="R158" s="1102" t="n"/>
      <c r="S158" s="1102" t="n"/>
      <c r="T158" s="1103" t="n"/>
      <c r="U158" s="39" t="inlineStr"/>
      <c r="V158" s="39" t="inlineStr"/>
      <c r="W158" s="40" t="inlineStr">
        <is>
          <t>кг</t>
        </is>
      </c>
      <c r="X158" s="1104" t="n">
        <v>0</v>
      </c>
      <c r="Y158" s="1105">
        <f>IFERROR(IF(X158="",0,CEILING((X158/$H158),1)*$H158),"")</f>
        <v/>
      </c>
      <c r="Z158" s="41">
        <f>IFERROR(IF(Y158=0,"",ROUNDUP(Y158/H158,0)*0.00651),"")</f>
        <v/>
      </c>
      <c r="AA158" s="68" t="inlineStr"/>
      <c r="AB158" s="69" t="inlineStr"/>
      <c r="AC158" s="230" t="inlineStr">
        <is>
          <t>ЕАЭС N RU Д-RU.РА02.В.95533/25</t>
        </is>
      </c>
      <c r="AG158" s="78" t="n"/>
      <c r="AJ158" s="84" t="inlineStr"/>
      <c r="AK158" s="84" t="n">
        <v>0</v>
      </c>
      <c r="BB158" s="231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 ht="16.5" customHeight="1">
      <c r="A159" s="63" t="inlineStr">
        <is>
          <t>SU000097</t>
        </is>
      </c>
      <c r="B159" s="63" t="inlineStr">
        <is>
          <t>P002179</t>
        </is>
      </c>
      <c r="C159" s="36" t="n">
        <v>4301030963</v>
      </c>
      <c r="D159" s="745" t="n">
        <v>4607091382426</v>
      </c>
      <c r="E159" s="1062" t="n"/>
      <c r="F159" s="1100" t="n">
        <v>0.9</v>
      </c>
      <c r="G159" s="37" t="n">
        <v>10</v>
      </c>
      <c r="H159" s="1100" t="n">
        <v>9</v>
      </c>
      <c r="I159" s="1100" t="n">
        <v>9.585000000000001</v>
      </c>
      <c r="J159" s="37" t="n">
        <v>64</v>
      </c>
      <c r="K159" s="37" t="inlineStr">
        <is>
          <t>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1182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59" s="1102" t="n"/>
      <c r="R159" s="1102" t="n"/>
      <c r="S159" s="1102" t="n"/>
      <c r="T159" s="1103" t="n"/>
      <c r="U159" s="39" t="inlineStr"/>
      <c r="V159" s="39" t="inlineStr"/>
      <c r="W159" s="40" t="inlineStr">
        <is>
          <t>кг</t>
        </is>
      </c>
      <c r="X159" s="1104" t="n">
        <v>0</v>
      </c>
      <c r="Y159" s="1105">
        <f>IFERROR(IF(X159="",0,CEILING((X159/$H159),1)*$H159),"")</f>
        <v/>
      </c>
      <c r="Z159" s="41">
        <f>IFERROR(IF(Y159=0,"",ROUNDUP(Y159/H159,0)*0.01898),"")</f>
        <v/>
      </c>
      <c r="AA159" s="68" t="inlineStr"/>
      <c r="AB159" s="69" t="inlineStr"/>
      <c r="AC159" s="232" t="inlineStr">
        <is>
          <t>ЕАЭС N RU Д-RU.РА01.В.20824/25</t>
        </is>
      </c>
      <c r="AG159" s="78" t="n"/>
      <c r="AJ159" s="84" t="inlineStr"/>
      <c r="AK159" s="84" t="n">
        <v>0</v>
      </c>
      <c r="BB159" s="233" t="inlineStr">
        <is>
          <t>КИ</t>
        </is>
      </c>
      <c r="BM159" s="78">
        <f>IFERROR(X159*I159/H159,"0")</f>
        <v/>
      </c>
      <c r="BN159" s="78">
        <f>IFERROR(Y159*I159/H159,"0")</f>
        <v/>
      </c>
      <c r="BO159" s="78">
        <f>IFERROR(1/J159*(X159/H159),"0")</f>
        <v/>
      </c>
      <c r="BP159" s="78">
        <f>IFERROR(1/J159*(Y159/H159),"0")</f>
        <v/>
      </c>
    </row>
    <row r="160" ht="27" customHeight="1">
      <c r="A160" s="63" t="inlineStr">
        <is>
          <t>SU000665</t>
        </is>
      </c>
      <c r="B160" s="63" t="inlineStr">
        <is>
          <t>P002178</t>
        </is>
      </c>
      <c r="C160" s="36" t="n">
        <v>4301030962</v>
      </c>
      <c r="D160" s="745" t="n">
        <v>4607091386547</v>
      </c>
      <c r="E160" s="1062" t="n"/>
      <c r="F160" s="1100" t="n">
        <v>0.35</v>
      </c>
      <c r="G160" s="37" t="n">
        <v>8</v>
      </c>
      <c r="H160" s="1100" t="n">
        <v>2.8</v>
      </c>
      <c r="I160" s="1100" t="n">
        <v>2.94</v>
      </c>
      <c r="J160" s="37" t="n">
        <v>234</v>
      </c>
      <c r="K160" s="37" t="inlineStr">
        <is>
          <t>18</t>
        </is>
      </c>
      <c r="L160" s="37" t="inlineStr"/>
      <c r="M160" s="38" t="inlineStr">
        <is>
          <t>СК2</t>
        </is>
      </c>
      <c r="N160" s="38" t="n"/>
      <c r="O160" s="37" t="n">
        <v>40</v>
      </c>
      <c r="P160" s="1183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/>
      </c>
      <c r="Q160" s="1102" t="n"/>
      <c r="R160" s="1102" t="n"/>
      <c r="S160" s="1102" t="n"/>
      <c r="T160" s="1103" t="n"/>
      <c r="U160" s="39" t="inlineStr"/>
      <c r="V160" s="39" t="inlineStr"/>
      <c r="W160" s="40" t="inlineStr">
        <is>
          <t>кг</t>
        </is>
      </c>
      <c r="X160" s="1104" t="n">
        <v>0</v>
      </c>
      <c r="Y160" s="1105">
        <f>IFERROR(IF(X160="",0,CEILING((X160/$H160),1)*$H160),"")</f>
        <v/>
      </c>
      <c r="Z160" s="41">
        <f>IFERROR(IF(Y160=0,"",ROUNDUP(Y160/H160,0)*0.00502),"")</f>
        <v/>
      </c>
      <c r="AA160" s="68" t="inlineStr"/>
      <c r="AB160" s="69" t="inlineStr"/>
      <c r="AC160" s="234" t="inlineStr">
        <is>
          <t>ЕАЭС N RU Д-RU.РА02.В.95533/25</t>
        </is>
      </c>
      <c r="AG160" s="78" t="n"/>
      <c r="AJ160" s="84" t="inlineStr"/>
      <c r="AK160" s="84" t="n">
        <v>0</v>
      </c>
      <c r="BB160" s="235" t="inlineStr">
        <is>
          <t>КИ</t>
        </is>
      </c>
      <c r="BM160" s="78">
        <f>IFERROR(X160*I160/H160,"0")</f>
        <v/>
      </c>
      <c r="BN160" s="78">
        <f>IFERROR(Y160*I160/H160,"0")</f>
        <v/>
      </c>
      <c r="BO160" s="78">
        <f>IFERROR(1/J160*(X160/H160),"0")</f>
        <v/>
      </c>
      <c r="BP160" s="78">
        <f>IFERROR(1/J160*(Y160/H160),"0")</f>
        <v/>
      </c>
    </row>
    <row r="161">
      <c r="A161" s="758" t="n"/>
      <c r="B161" s="1051" t="n"/>
      <c r="C161" s="1051" t="n"/>
      <c r="D161" s="1051" t="n"/>
      <c r="E161" s="1051" t="n"/>
      <c r="F161" s="1051" t="n"/>
      <c r="G161" s="1051" t="n"/>
      <c r="H161" s="1051" t="n"/>
      <c r="I161" s="1051" t="n"/>
      <c r="J161" s="1051" t="n"/>
      <c r="K161" s="1051" t="n"/>
      <c r="L161" s="1051" t="n"/>
      <c r="M161" s="1051" t="n"/>
      <c r="N161" s="1051" t="n"/>
      <c r="O161" s="1111" t="n"/>
      <c r="P161" s="1112" t="inlineStr">
        <is>
          <t>Итого</t>
        </is>
      </c>
      <c r="Q161" s="1069" t="n"/>
      <c r="R161" s="1069" t="n"/>
      <c r="S161" s="1069" t="n"/>
      <c r="T161" s="1069" t="n"/>
      <c r="U161" s="1069" t="n"/>
      <c r="V161" s="1070" t="n"/>
      <c r="W161" s="42" t="inlineStr">
        <is>
          <t>кор</t>
        </is>
      </c>
      <c r="X161" s="1113">
        <f>IFERROR(X157/H157,"0")+IFERROR(X158/H158,"0")+IFERROR(X159/H159,"0")+IFERROR(X160/H160,"0")</f>
        <v/>
      </c>
      <c r="Y161" s="1113">
        <f>IFERROR(Y157/H157,"0")+IFERROR(Y158/H158,"0")+IFERROR(Y159/H159,"0")+IFERROR(Y160/H160,"0")</f>
        <v/>
      </c>
      <c r="Z161" s="1113">
        <f>IFERROR(IF(Z157="",0,Z157),"0")+IFERROR(IF(Z158="",0,Z158),"0")+IFERROR(IF(Z159="",0,Z159),"0")+IFERROR(IF(Z160="",0,Z160),"0")</f>
        <v/>
      </c>
      <c r="AA161" s="1114" t="n"/>
      <c r="AB161" s="1114" t="n"/>
      <c r="AC161" s="1114" t="n"/>
    </row>
    <row r="162">
      <c r="A162" s="1051" t="n"/>
      <c r="B162" s="1051" t="n"/>
      <c r="C162" s="1051" t="n"/>
      <c r="D162" s="1051" t="n"/>
      <c r="E162" s="1051" t="n"/>
      <c r="F162" s="1051" t="n"/>
      <c r="G162" s="1051" t="n"/>
      <c r="H162" s="1051" t="n"/>
      <c r="I162" s="1051" t="n"/>
      <c r="J162" s="1051" t="n"/>
      <c r="K162" s="1051" t="n"/>
      <c r="L162" s="1051" t="n"/>
      <c r="M162" s="1051" t="n"/>
      <c r="N162" s="1051" t="n"/>
      <c r="O162" s="1111" t="n"/>
      <c r="P162" s="1112" t="inlineStr">
        <is>
          <t>Итого</t>
        </is>
      </c>
      <c r="Q162" s="1069" t="n"/>
      <c r="R162" s="1069" t="n"/>
      <c r="S162" s="1069" t="n"/>
      <c r="T162" s="1069" t="n"/>
      <c r="U162" s="1069" t="n"/>
      <c r="V162" s="1070" t="n"/>
      <c r="W162" s="42" t="inlineStr">
        <is>
          <t>кг</t>
        </is>
      </c>
      <c r="X162" s="1113">
        <f>IFERROR(SUM(X157:X160),"0")</f>
        <v/>
      </c>
      <c r="Y162" s="1113">
        <f>IFERROR(SUM(Y157:Y160),"0")</f>
        <v/>
      </c>
      <c r="Z162" s="42" t="n"/>
      <c r="AA162" s="1114" t="n"/>
      <c r="AB162" s="1114" t="n"/>
      <c r="AC162" s="1114" t="n"/>
    </row>
    <row r="163" ht="14.25" customHeight="1">
      <c r="A163" s="744" t="inlineStr">
        <is>
          <t>Сосиски</t>
        </is>
      </c>
      <c r="B163" s="1051" t="n"/>
      <c r="C163" s="1051" t="n"/>
      <c r="D163" s="1051" t="n"/>
      <c r="E163" s="1051" t="n"/>
      <c r="F163" s="1051" t="n"/>
      <c r="G163" s="1051" t="n"/>
      <c r="H163" s="1051" t="n"/>
      <c r="I163" s="1051" t="n"/>
      <c r="J163" s="1051" t="n"/>
      <c r="K163" s="1051" t="n"/>
      <c r="L163" s="1051" t="n"/>
      <c r="M163" s="1051" t="n"/>
      <c r="N163" s="1051" t="n"/>
      <c r="O163" s="1051" t="n"/>
      <c r="P163" s="1051" t="n"/>
      <c r="Q163" s="1051" t="n"/>
      <c r="R163" s="1051" t="n"/>
      <c r="S163" s="1051" t="n"/>
      <c r="T163" s="1051" t="n"/>
      <c r="U163" s="1051" t="n"/>
      <c r="V163" s="1051" t="n"/>
      <c r="W163" s="1051" t="n"/>
      <c r="X163" s="1051" t="n"/>
      <c r="Y163" s="1051" t="n"/>
      <c r="Z163" s="1051" t="n"/>
      <c r="AA163" s="744" t="n"/>
      <c r="AB163" s="744" t="n"/>
      <c r="AC163" s="744" t="n"/>
    </row>
    <row r="164" ht="16.5" customHeight="1">
      <c r="A164" s="63" t="inlineStr">
        <is>
          <t>SU001527</t>
        </is>
      </c>
      <c r="B164" s="63" t="inlineStr">
        <is>
          <t>P003992</t>
        </is>
      </c>
      <c r="C164" s="36" t="n">
        <v>4301051653</v>
      </c>
      <c r="D164" s="745" t="n">
        <v>4607091386264</v>
      </c>
      <c r="E164" s="1062" t="n"/>
      <c r="F164" s="1100" t="n">
        <v>0.5</v>
      </c>
      <c r="G164" s="37" t="n">
        <v>6</v>
      </c>
      <c r="H164" s="1100" t="n">
        <v>3</v>
      </c>
      <c r="I164" s="1100" t="n">
        <v>3.258</v>
      </c>
      <c r="J164" s="37" t="n">
        <v>182</v>
      </c>
      <c r="K164" s="37" t="inlineStr">
        <is>
          <t>14</t>
        </is>
      </c>
      <c r="L164" s="37" t="inlineStr"/>
      <c r="M164" s="38" t="inlineStr">
        <is>
          <t>СК3</t>
        </is>
      </c>
      <c r="N164" s="38" t="n"/>
      <c r="O164" s="37" t="n">
        <v>31</v>
      </c>
      <c r="P164" s="1184">
        <f>HYPERLINK("https://abi.ru/products/Охлажденные/Вязанка/Вязанка/Сосиски/P003992/","Сосиски «Венские» Фикс.вес 0,5 п/а мгс ТМ «Вязанка»")</f>
        <v/>
      </c>
      <c r="Q164" s="1102" t="n"/>
      <c r="R164" s="1102" t="n"/>
      <c r="S164" s="1102" t="n"/>
      <c r="T164" s="1103" t="n"/>
      <c r="U164" s="39" t="inlineStr"/>
      <c r="V164" s="39" t="inlineStr"/>
      <c r="W164" s="40" t="inlineStr">
        <is>
          <t>кг</t>
        </is>
      </c>
      <c r="X164" s="1104" t="n">
        <v>0</v>
      </c>
      <c r="Y164" s="1105">
        <f>IFERROR(IF(X164="",0,CEILING((X164/$H164),1)*$H164),"")</f>
        <v/>
      </c>
      <c r="Z164" s="41">
        <f>IFERROR(IF(Y164=0,"",ROUNDUP(Y164/H164,0)*0.00651),"")</f>
        <v/>
      </c>
      <c r="AA164" s="68" t="inlineStr"/>
      <c r="AB164" s="69" t="inlineStr"/>
      <c r="AC164" s="236" t="inlineStr">
        <is>
          <t>ЕАЭС N RU Д-RU.РА07.В.08947/22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>
        <f>IFERROR(X164*I164/H164,"0")</f>
        <v/>
      </c>
      <c r="BN164" s="78">
        <f>IFERROR(Y164*I164/H164,"0")</f>
        <v/>
      </c>
      <c r="BO164" s="78">
        <f>IFERROR(1/J164*(X164/H164),"0")</f>
        <v/>
      </c>
      <c r="BP164" s="78">
        <f>IFERROR(1/J164*(Y164/H164),"0")</f>
        <v/>
      </c>
    </row>
    <row r="165">
      <c r="A165" s="758" t="n"/>
      <c r="B165" s="1051" t="n"/>
      <c r="C165" s="1051" t="n"/>
      <c r="D165" s="1051" t="n"/>
      <c r="E165" s="1051" t="n"/>
      <c r="F165" s="1051" t="n"/>
      <c r="G165" s="1051" t="n"/>
      <c r="H165" s="1051" t="n"/>
      <c r="I165" s="1051" t="n"/>
      <c r="J165" s="1051" t="n"/>
      <c r="K165" s="1051" t="n"/>
      <c r="L165" s="1051" t="n"/>
      <c r="M165" s="1051" t="n"/>
      <c r="N165" s="1051" t="n"/>
      <c r="O165" s="1111" t="n"/>
      <c r="P165" s="1112" t="inlineStr">
        <is>
          <t>Итого</t>
        </is>
      </c>
      <c r="Q165" s="1069" t="n"/>
      <c r="R165" s="1069" t="n"/>
      <c r="S165" s="1069" t="n"/>
      <c r="T165" s="1069" t="n"/>
      <c r="U165" s="1069" t="n"/>
      <c r="V165" s="1070" t="n"/>
      <c r="W165" s="42" t="inlineStr">
        <is>
          <t>кор</t>
        </is>
      </c>
      <c r="X165" s="1113">
        <f>IFERROR(X164/H164,"0")</f>
        <v/>
      </c>
      <c r="Y165" s="1113">
        <f>IFERROR(Y164/H164,"0")</f>
        <v/>
      </c>
      <c r="Z165" s="1113">
        <f>IFERROR(IF(Z164="",0,Z164),"0")</f>
        <v/>
      </c>
      <c r="AA165" s="1114" t="n"/>
      <c r="AB165" s="1114" t="n"/>
      <c r="AC165" s="1114" t="n"/>
    </row>
    <row r="166">
      <c r="A166" s="1051" t="n"/>
      <c r="B166" s="1051" t="n"/>
      <c r="C166" s="1051" t="n"/>
      <c r="D166" s="1051" t="n"/>
      <c r="E166" s="1051" t="n"/>
      <c r="F166" s="1051" t="n"/>
      <c r="G166" s="1051" t="n"/>
      <c r="H166" s="1051" t="n"/>
      <c r="I166" s="1051" t="n"/>
      <c r="J166" s="1051" t="n"/>
      <c r="K166" s="1051" t="n"/>
      <c r="L166" s="1051" t="n"/>
      <c r="M166" s="1051" t="n"/>
      <c r="N166" s="1051" t="n"/>
      <c r="O166" s="1111" t="n"/>
      <c r="P166" s="1112" t="inlineStr">
        <is>
          <t>Итого</t>
        </is>
      </c>
      <c r="Q166" s="1069" t="n"/>
      <c r="R166" s="1069" t="n"/>
      <c r="S166" s="1069" t="n"/>
      <c r="T166" s="1069" t="n"/>
      <c r="U166" s="1069" t="n"/>
      <c r="V166" s="1070" t="n"/>
      <c r="W166" s="42" t="inlineStr">
        <is>
          <t>кг</t>
        </is>
      </c>
      <c r="X166" s="1113">
        <f>IFERROR(SUM(X164:X164),"0")</f>
        <v/>
      </c>
      <c r="Y166" s="1113">
        <f>IFERROR(SUM(Y164:Y164),"0")</f>
        <v/>
      </c>
      <c r="Z166" s="42" t="n"/>
      <c r="AA166" s="1114" t="n"/>
      <c r="AB166" s="1114" t="n"/>
      <c r="AC166" s="1114" t="n"/>
    </row>
    <row r="167" ht="27.75" customHeight="1">
      <c r="A167" s="742" t="inlineStr">
        <is>
          <t>Стародворье</t>
        </is>
      </c>
      <c r="B167" s="1099" t="n"/>
      <c r="C167" s="1099" t="n"/>
      <c r="D167" s="1099" t="n"/>
      <c r="E167" s="1099" t="n"/>
      <c r="F167" s="1099" t="n"/>
      <c r="G167" s="1099" t="n"/>
      <c r="H167" s="1099" t="n"/>
      <c r="I167" s="1099" t="n"/>
      <c r="J167" s="1099" t="n"/>
      <c r="K167" s="1099" t="n"/>
      <c r="L167" s="1099" t="n"/>
      <c r="M167" s="1099" t="n"/>
      <c r="N167" s="1099" t="n"/>
      <c r="O167" s="1099" t="n"/>
      <c r="P167" s="1099" t="n"/>
      <c r="Q167" s="1099" t="n"/>
      <c r="R167" s="1099" t="n"/>
      <c r="S167" s="1099" t="n"/>
      <c r="T167" s="1099" t="n"/>
      <c r="U167" s="1099" t="n"/>
      <c r="V167" s="1099" t="n"/>
      <c r="W167" s="1099" t="n"/>
      <c r="X167" s="1099" t="n"/>
      <c r="Y167" s="1099" t="n"/>
      <c r="Z167" s="1099" t="n"/>
      <c r="AA167" s="54" t="n"/>
      <c r="AB167" s="54" t="n"/>
      <c r="AC167" s="54" t="n"/>
    </row>
    <row r="168" ht="16.5" customHeight="1">
      <c r="A168" s="743" t="inlineStr">
        <is>
          <t>Мясорубская</t>
        </is>
      </c>
      <c r="B168" s="1051" t="n"/>
      <c r="C168" s="1051" t="n"/>
      <c r="D168" s="1051" t="n"/>
      <c r="E168" s="1051" t="n"/>
      <c r="F168" s="1051" t="n"/>
      <c r="G168" s="1051" t="n"/>
      <c r="H168" s="1051" t="n"/>
      <c r="I168" s="1051" t="n"/>
      <c r="J168" s="1051" t="n"/>
      <c r="K168" s="1051" t="n"/>
      <c r="L168" s="1051" t="n"/>
      <c r="M168" s="1051" t="n"/>
      <c r="N168" s="1051" t="n"/>
      <c r="O168" s="1051" t="n"/>
      <c r="P168" s="1051" t="n"/>
      <c r="Q168" s="1051" t="n"/>
      <c r="R168" s="1051" t="n"/>
      <c r="S168" s="1051" t="n"/>
      <c r="T168" s="1051" t="n"/>
      <c r="U168" s="1051" t="n"/>
      <c r="V168" s="1051" t="n"/>
      <c r="W168" s="1051" t="n"/>
      <c r="X168" s="1051" t="n"/>
      <c r="Y168" s="1051" t="n"/>
      <c r="Z168" s="1051" t="n"/>
      <c r="AA168" s="743" t="n"/>
      <c r="AB168" s="743" t="n"/>
      <c r="AC168" s="743" t="n"/>
    </row>
    <row r="169" ht="14.25" customHeight="1">
      <c r="A169" s="744" t="inlineStr">
        <is>
          <t>Ветчины</t>
        </is>
      </c>
      <c r="B169" s="1051" t="n"/>
      <c r="C169" s="1051" t="n"/>
      <c r="D169" s="1051" t="n"/>
      <c r="E169" s="1051" t="n"/>
      <c r="F169" s="1051" t="n"/>
      <c r="G169" s="1051" t="n"/>
      <c r="H169" s="1051" t="n"/>
      <c r="I169" s="1051" t="n"/>
      <c r="J169" s="1051" t="n"/>
      <c r="K169" s="1051" t="n"/>
      <c r="L169" s="1051" t="n"/>
      <c r="M169" s="1051" t="n"/>
      <c r="N169" s="1051" t="n"/>
      <c r="O169" s="1051" t="n"/>
      <c r="P169" s="1051" t="n"/>
      <c r="Q169" s="1051" t="n"/>
      <c r="R169" s="1051" t="n"/>
      <c r="S169" s="1051" t="n"/>
      <c r="T169" s="1051" t="n"/>
      <c r="U169" s="1051" t="n"/>
      <c r="V169" s="1051" t="n"/>
      <c r="W169" s="1051" t="n"/>
      <c r="X169" s="1051" t="n"/>
      <c r="Y169" s="1051" t="n"/>
      <c r="Z169" s="1051" t="n"/>
      <c r="AA169" s="744" t="n"/>
      <c r="AB169" s="744" t="n"/>
      <c r="AC169" s="744" t="n"/>
    </row>
    <row r="170" ht="27" customHeight="1">
      <c r="A170" s="63" t="inlineStr">
        <is>
          <t>SU003512</t>
        </is>
      </c>
      <c r="B170" s="63" t="inlineStr">
        <is>
          <t>P004437</t>
        </is>
      </c>
      <c r="C170" s="36" t="n">
        <v>4301020323</v>
      </c>
      <c r="D170" s="745" t="n">
        <v>4680115886223</v>
      </c>
      <c r="E170" s="1062" t="n"/>
      <c r="F170" s="1100" t="n">
        <v>0.33</v>
      </c>
      <c r="G170" s="37" t="n">
        <v>6</v>
      </c>
      <c r="H170" s="1100" t="n">
        <v>1.98</v>
      </c>
      <c r="I170" s="1100" t="n">
        <v>2.08</v>
      </c>
      <c r="J170" s="37" t="n">
        <v>234</v>
      </c>
      <c r="K170" s="37" t="inlineStr">
        <is>
          <t>18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85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170" s="1102" t="n"/>
      <c r="R170" s="1102" t="n"/>
      <c r="S170" s="1102" t="n"/>
      <c r="T170" s="1103" t="n"/>
      <c r="U170" s="39" t="inlineStr"/>
      <c r="V170" s="39" t="inlineStr"/>
      <c r="W170" s="40" t="inlineStr">
        <is>
          <t>кг</t>
        </is>
      </c>
      <c r="X170" s="1104" t="n">
        <v>0</v>
      </c>
      <c r="Y170" s="1105">
        <f>IFERROR(IF(X170="",0,CEILING((X170/$H170),1)*$H170),"")</f>
        <v/>
      </c>
      <c r="Z170" s="41">
        <f>IFERROR(IF(Y170=0,"",ROUNDUP(Y170/H170,0)*0.00502),"")</f>
        <v/>
      </c>
      <c r="AA170" s="68" t="inlineStr"/>
      <c r="AB170" s="69" t="inlineStr"/>
      <c r="AC170" s="238" t="inlineStr">
        <is>
          <t>ЕАЭС N RU Д-RU.РА04.В.01888/24</t>
        </is>
      </c>
      <c r="AG170" s="78" t="n"/>
      <c r="AJ170" s="84" t="inlineStr"/>
      <c r="AK170" s="84" t="n">
        <v>0</v>
      </c>
      <c r="BB170" s="239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>
      <c r="A171" s="758" t="n"/>
      <c r="B171" s="1051" t="n"/>
      <c r="C171" s="1051" t="n"/>
      <c r="D171" s="1051" t="n"/>
      <c r="E171" s="1051" t="n"/>
      <c r="F171" s="1051" t="n"/>
      <c r="G171" s="1051" t="n"/>
      <c r="H171" s="1051" t="n"/>
      <c r="I171" s="1051" t="n"/>
      <c r="J171" s="1051" t="n"/>
      <c r="K171" s="1051" t="n"/>
      <c r="L171" s="1051" t="n"/>
      <c r="M171" s="1051" t="n"/>
      <c r="N171" s="1051" t="n"/>
      <c r="O171" s="1111" t="n"/>
      <c r="P171" s="1112" t="inlineStr">
        <is>
          <t>Итого</t>
        </is>
      </c>
      <c r="Q171" s="1069" t="n"/>
      <c r="R171" s="1069" t="n"/>
      <c r="S171" s="1069" t="n"/>
      <c r="T171" s="1069" t="n"/>
      <c r="U171" s="1069" t="n"/>
      <c r="V171" s="1070" t="n"/>
      <c r="W171" s="42" t="inlineStr">
        <is>
          <t>кор</t>
        </is>
      </c>
      <c r="X171" s="1113">
        <f>IFERROR(X170/H170,"0")</f>
        <v/>
      </c>
      <c r="Y171" s="1113">
        <f>IFERROR(Y170/H170,"0")</f>
        <v/>
      </c>
      <c r="Z171" s="1113">
        <f>IFERROR(IF(Z170="",0,Z170),"0")</f>
        <v/>
      </c>
      <c r="AA171" s="1114" t="n"/>
      <c r="AB171" s="1114" t="n"/>
      <c r="AC171" s="1114" t="n"/>
    </row>
    <row r="172">
      <c r="A172" s="1051" t="n"/>
      <c r="B172" s="1051" t="n"/>
      <c r="C172" s="1051" t="n"/>
      <c r="D172" s="1051" t="n"/>
      <c r="E172" s="1051" t="n"/>
      <c r="F172" s="1051" t="n"/>
      <c r="G172" s="1051" t="n"/>
      <c r="H172" s="1051" t="n"/>
      <c r="I172" s="1051" t="n"/>
      <c r="J172" s="1051" t="n"/>
      <c r="K172" s="1051" t="n"/>
      <c r="L172" s="1051" t="n"/>
      <c r="M172" s="1051" t="n"/>
      <c r="N172" s="1051" t="n"/>
      <c r="O172" s="1111" t="n"/>
      <c r="P172" s="1112" t="inlineStr">
        <is>
          <t>Итого</t>
        </is>
      </c>
      <c r="Q172" s="1069" t="n"/>
      <c r="R172" s="1069" t="n"/>
      <c r="S172" s="1069" t="n"/>
      <c r="T172" s="1069" t="n"/>
      <c r="U172" s="1069" t="n"/>
      <c r="V172" s="1070" t="n"/>
      <c r="W172" s="42" t="inlineStr">
        <is>
          <t>кг</t>
        </is>
      </c>
      <c r="X172" s="1113">
        <f>IFERROR(SUM(X170:X170),"0")</f>
        <v/>
      </c>
      <c r="Y172" s="1113">
        <f>IFERROR(SUM(Y170:Y170),"0")</f>
        <v/>
      </c>
      <c r="Z172" s="42" t="n"/>
      <c r="AA172" s="1114" t="n"/>
      <c r="AB172" s="1114" t="n"/>
      <c r="AC172" s="1114" t="n"/>
    </row>
    <row r="173" ht="14.25" customHeight="1">
      <c r="A173" s="744" t="inlineStr">
        <is>
          <t>Копченые колбасы</t>
        </is>
      </c>
      <c r="B173" s="1051" t="n"/>
      <c r="C173" s="1051" t="n"/>
      <c r="D173" s="1051" t="n"/>
      <c r="E173" s="1051" t="n"/>
      <c r="F173" s="1051" t="n"/>
      <c r="G173" s="1051" t="n"/>
      <c r="H173" s="1051" t="n"/>
      <c r="I173" s="1051" t="n"/>
      <c r="J173" s="1051" t="n"/>
      <c r="K173" s="1051" t="n"/>
      <c r="L173" s="1051" t="n"/>
      <c r="M173" s="1051" t="n"/>
      <c r="N173" s="1051" t="n"/>
      <c r="O173" s="1051" t="n"/>
      <c r="P173" s="1051" t="n"/>
      <c r="Q173" s="1051" t="n"/>
      <c r="R173" s="1051" t="n"/>
      <c r="S173" s="1051" t="n"/>
      <c r="T173" s="1051" t="n"/>
      <c r="U173" s="1051" t="n"/>
      <c r="V173" s="1051" t="n"/>
      <c r="W173" s="1051" t="n"/>
      <c r="X173" s="1051" t="n"/>
      <c r="Y173" s="1051" t="n"/>
      <c r="Z173" s="1051" t="n"/>
      <c r="AA173" s="744" t="n"/>
      <c r="AB173" s="744" t="n"/>
      <c r="AC173" s="744" t="n"/>
    </row>
    <row r="174" ht="27" customHeight="1">
      <c r="A174" s="63" t="inlineStr">
        <is>
          <t>SU002756</t>
        </is>
      </c>
      <c r="B174" s="63" t="inlineStr">
        <is>
          <t>P003179</t>
        </is>
      </c>
      <c r="C174" s="36" t="n">
        <v>4301031191</v>
      </c>
      <c r="D174" s="745" t="n">
        <v>4680115880993</v>
      </c>
      <c r="E174" s="1062" t="n"/>
      <c r="F174" s="1100" t="n">
        <v>0.7</v>
      </c>
      <c r="G174" s="37" t="n">
        <v>6</v>
      </c>
      <c r="H174" s="1100" t="n">
        <v>4.2</v>
      </c>
      <c r="I174" s="1100" t="n">
        <v>4.47</v>
      </c>
      <c r="J174" s="37" t="n">
        <v>132</v>
      </c>
      <c r="K174" s="37" t="inlineStr">
        <is>
          <t>12</t>
        </is>
      </c>
      <c r="L174" s="37" t="inlineStr"/>
      <c r="M174" s="38" t="inlineStr">
        <is>
          <t>СК2</t>
        </is>
      </c>
      <c r="N174" s="38" t="n"/>
      <c r="O174" s="37" t="n">
        <v>40</v>
      </c>
      <c r="P174" s="1186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174" s="1102" t="n"/>
      <c r="R174" s="1102" t="n"/>
      <c r="S174" s="1102" t="n"/>
      <c r="T174" s="1103" t="n"/>
      <c r="U174" s="39" t="inlineStr"/>
      <c r="V174" s="39" t="inlineStr"/>
      <c r="W174" s="40" t="inlineStr">
        <is>
          <t>кг</t>
        </is>
      </c>
      <c r="X174" s="1104" t="n">
        <v>30</v>
      </c>
      <c r="Y174" s="1105">
        <f>IFERROR(IF(X174="",0,CEILING((X174/$H174),1)*$H174),"")</f>
        <v/>
      </c>
      <c r="Z174" s="41">
        <f>IFERROR(IF(Y174=0,"",ROUNDUP(Y174/H174,0)*0.00902),"")</f>
        <v/>
      </c>
      <c r="AA174" s="68" t="inlineStr"/>
      <c r="AB174" s="69" t="inlineStr"/>
      <c r="AC174" s="240" t="inlineStr">
        <is>
          <t>ЕАЭС N RU Д-RU.РА05.В.84751/22</t>
        </is>
      </c>
      <c r="AG174" s="78" t="n"/>
      <c r="AJ174" s="84" t="inlineStr"/>
      <c r="AK174" s="84" t="n">
        <v>0</v>
      </c>
      <c r="BB174" s="241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SU002876</t>
        </is>
      </c>
      <c r="B175" s="63" t="inlineStr">
        <is>
          <t>P003276</t>
        </is>
      </c>
      <c r="C175" s="36" t="n">
        <v>4301031204</v>
      </c>
      <c r="D175" s="745" t="n">
        <v>4680115881761</v>
      </c>
      <c r="E175" s="1062" t="n"/>
      <c r="F175" s="1100" t="n">
        <v>0.7</v>
      </c>
      <c r="G175" s="37" t="n">
        <v>6</v>
      </c>
      <c r="H175" s="1100" t="n">
        <v>4.2</v>
      </c>
      <c r="I175" s="1100" t="n">
        <v>4.47</v>
      </c>
      <c r="J175" s="37" t="n">
        <v>132</v>
      </c>
      <c r="K175" s="37" t="inlineStr">
        <is>
          <t>12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87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175" s="1102" t="n"/>
      <c r="R175" s="1102" t="n"/>
      <c r="S175" s="1102" t="n"/>
      <c r="T175" s="1103" t="n"/>
      <c r="U175" s="39" t="inlineStr"/>
      <c r="V175" s="39" t="inlineStr"/>
      <c r="W175" s="40" t="inlineStr">
        <is>
          <t>кг</t>
        </is>
      </c>
      <c r="X175" s="1104" t="n">
        <v>100</v>
      </c>
      <c r="Y175" s="1105">
        <f>IFERROR(IF(X175="",0,CEILING((X175/$H175),1)*$H175),"")</f>
        <v/>
      </c>
      <c r="Z175" s="41">
        <f>IFERROR(IF(Y175=0,"",ROUNDUP(Y175/H175,0)*0.00902),"")</f>
        <v/>
      </c>
      <c r="AA175" s="68" t="inlineStr"/>
      <c r="AB175" s="69" t="inlineStr"/>
      <c r="AC175" s="242" t="inlineStr">
        <is>
          <t>ЕАЭС N RU Д-RU.РА01.В.98713/23</t>
        </is>
      </c>
      <c r="AG175" s="78" t="n"/>
      <c r="AJ175" s="84" t="inlineStr"/>
      <c r="AK175" s="84" t="n">
        <v>0</v>
      </c>
      <c r="BB175" s="243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SU002847</t>
        </is>
      </c>
      <c r="B176" s="63" t="inlineStr">
        <is>
          <t>P003259</t>
        </is>
      </c>
      <c r="C176" s="36" t="n">
        <v>4301031201</v>
      </c>
      <c r="D176" s="745" t="n">
        <v>4680115881563</v>
      </c>
      <c r="E176" s="1062" t="n"/>
      <c r="F176" s="1100" t="n">
        <v>0.7</v>
      </c>
      <c r="G176" s="37" t="n">
        <v>6</v>
      </c>
      <c r="H176" s="1100" t="n">
        <v>4.2</v>
      </c>
      <c r="I176" s="1100" t="n">
        <v>4.41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40</v>
      </c>
      <c r="P176" s="1188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176" s="1102" t="n"/>
      <c r="R176" s="1102" t="n"/>
      <c r="S176" s="1102" t="n"/>
      <c r="T176" s="1103" t="n"/>
      <c r="U176" s="39" t="inlineStr"/>
      <c r="V176" s="39" t="inlineStr"/>
      <c r="W176" s="40" t="inlineStr">
        <is>
          <t>кг</t>
        </is>
      </c>
      <c r="X176" s="1104" t="n">
        <v>30</v>
      </c>
      <c r="Y176" s="1105">
        <f>IFERROR(IF(X176="",0,CEILING((X176/$H176),1)*$H176),"")</f>
        <v/>
      </c>
      <c r="Z176" s="41">
        <f>IFERROR(IF(Y176=0,"",ROUNDUP(Y176/H176,0)*0.00902),"")</f>
        <v/>
      </c>
      <c r="AA176" s="68" t="inlineStr"/>
      <c r="AB176" s="69" t="inlineStr"/>
      <c r="AC176" s="244" t="inlineStr">
        <is>
          <t>ЕАЭС N RU Д-RU.РА09.В.37545/22</t>
        </is>
      </c>
      <c r="AG176" s="78" t="n"/>
      <c r="AJ176" s="84" t="inlineStr"/>
      <c r="AK176" s="84" t="n">
        <v>0</v>
      </c>
      <c r="BB176" s="245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SU002660</t>
        </is>
      </c>
      <c r="B177" s="63" t="inlineStr">
        <is>
          <t>P003256</t>
        </is>
      </c>
      <c r="C177" s="36" t="n">
        <v>4301031199</v>
      </c>
      <c r="D177" s="745" t="n">
        <v>4680115880986</v>
      </c>
      <c r="E177" s="1062" t="n"/>
      <c r="F177" s="1100" t="n">
        <v>0.35</v>
      </c>
      <c r="G177" s="37" t="n">
        <v>6</v>
      </c>
      <c r="H177" s="1100" t="n">
        <v>2.1</v>
      </c>
      <c r="I177" s="1100" t="n">
        <v>2.23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89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177" s="1102" t="n"/>
      <c r="R177" s="1102" t="n"/>
      <c r="S177" s="1102" t="n"/>
      <c r="T177" s="1103" t="n"/>
      <c r="U177" s="39" t="inlineStr"/>
      <c r="V177" s="39" t="inlineStr"/>
      <c r="W177" s="40" t="inlineStr">
        <is>
          <t>кг</t>
        </is>
      </c>
      <c r="X177" s="1104" t="n">
        <v>87.5</v>
      </c>
      <c r="Y177" s="1105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46" t="inlineStr">
        <is>
          <t>ЕАЭС N RU Д-RU.РА05.В.84751/22</t>
        </is>
      </c>
      <c r="AG177" s="78" t="n"/>
      <c r="AJ177" s="84" t="inlineStr"/>
      <c r="AK177" s="84" t="n">
        <v>0</v>
      </c>
      <c r="BB177" s="247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SU002877</t>
        </is>
      </c>
      <c r="B178" s="63" t="inlineStr">
        <is>
          <t>P003277</t>
        </is>
      </c>
      <c r="C178" s="36" t="n">
        <v>4301031205</v>
      </c>
      <c r="D178" s="745" t="n">
        <v>4680115881785</v>
      </c>
      <c r="E178" s="1062" t="n"/>
      <c r="F178" s="1100" t="n">
        <v>0.35</v>
      </c>
      <c r="G178" s="37" t="n">
        <v>6</v>
      </c>
      <c r="H178" s="1100" t="n">
        <v>2.1</v>
      </c>
      <c r="I178" s="1100" t="n">
        <v>2.23</v>
      </c>
      <c r="J178" s="37" t="n">
        <v>234</v>
      </c>
      <c r="K178" s="37" t="inlineStr">
        <is>
          <t>18</t>
        </is>
      </c>
      <c r="L178" s="37" t="inlineStr"/>
      <c r="M178" s="38" t="inlineStr">
        <is>
          <t>СК2</t>
        </is>
      </c>
      <c r="N178" s="38" t="n"/>
      <c r="O178" s="37" t="n">
        <v>40</v>
      </c>
      <c r="P178" s="119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178" s="1102" t="n"/>
      <c r="R178" s="1102" t="n"/>
      <c r="S178" s="1102" t="n"/>
      <c r="T178" s="1103" t="n"/>
      <c r="U178" s="39" t="inlineStr"/>
      <c r="V178" s="39" t="inlineStr"/>
      <c r="W178" s="40" t="inlineStr">
        <is>
          <t>кг</t>
        </is>
      </c>
      <c r="X178" s="1104" t="n">
        <v>87.5</v>
      </c>
      <c r="Y178" s="1105">
        <f>IFERROR(IF(X178="",0,CEILING((X178/$H178),1)*$H178),"")</f>
        <v/>
      </c>
      <c r="Z178" s="41">
        <f>IFERROR(IF(Y178=0,"",ROUNDUP(Y178/H178,0)*0.00502),"")</f>
        <v/>
      </c>
      <c r="AA178" s="68" t="inlineStr"/>
      <c r="AB178" s="69" t="inlineStr"/>
      <c r="AC178" s="248" t="inlineStr">
        <is>
          <t>ЕАЭС N RU Д-RU.РА01.В.98713/23</t>
        </is>
      </c>
      <c r="AG178" s="78" t="n"/>
      <c r="AJ178" s="84" t="inlineStr"/>
      <c r="AK178" s="84" t="n">
        <v>0</v>
      </c>
      <c r="BB178" s="249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27" customHeight="1">
      <c r="A179" s="63" t="inlineStr">
        <is>
          <t>SU003829</t>
        </is>
      </c>
      <c r="B179" s="63" t="inlineStr">
        <is>
          <t>P004890</t>
        </is>
      </c>
      <c r="C179" s="36" t="n">
        <v>4301031399</v>
      </c>
      <c r="D179" s="745" t="n">
        <v>4680115886537</v>
      </c>
      <c r="E179" s="1062" t="n"/>
      <c r="F179" s="1100" t="n">
        <v>0.3</v>
      </c>
      <c r="G179" s="37" t="n">
        <v>6</v>
      </c>
      <c r="H179" s="1100" t="n">
        <v>1.8</v>
      </c>
      <c r="I179" s="1100" t="n">
        <v>1.93</v>
      </c>
      <c r="J179" s="37" t="n">
        <v>234</v>
      </c>
      <c r="K179" s="37" t="inlineStr">
        <is>
          <t>18</t>
        </is>
      </c>
      <c r="L179" s="37" t="inlineStr"/>
      <c r="M179" s="38" t="inlineStr">
        <is>
          <t>СК2</t>
        </is>
      </c>
      <c r="N179" s="38" t="n"/>
      <c r="O179" s="37" t="n">
        <v>40</v>
      </c>
      <c r="P179" s="1191" t="inlineStr">
        <is>
          <t>Копченые колбасы «Сервелат Мясорубский Делюкс» Фикс.вес 0,3 фиброуз ТМ «Стародворье»</t>
        </is>
      </c>
      <c r="Q179" s="1102" t="n"/>
      <c r="R179" s="1102" t="n"/>
      <c r="S179" s="1102" t="n"/>
      <c r="T179" s="1103" t="n"/>
      <c r="U179" s="39" t="inlineStr"/>
      <c r="V179" s="39" t="inlineStr"/>
      <c r="W179" s="40" t="inlineStr">
        <is>
          <t>кг</t>
        </is>
      </c>
      <c r="X179" s="1104" t="n">
        <v>3</v>
      </c>
      <c r="Y179" s="1105">
        <f>IFERROR(IF(X179="",0,CEILING((X179/$H179),1)*$H179),"")</f>
        <v/>
      </c>
      <c r="Z179" s="41">
        <f>IFERROR(IF(Y179=0,"",ROUNDUP(Y179/H179,0)*0.00502),"")</f>
        <v/>
      </c>
      <c r="AA179" s="68" t="inlineStr"/>
      <c r="AB179" s="69" t="inlineStr"/>
      <c r="AC179" s="250" t="inlineStr">
        <is>
          <t>ЕАЭС N RU Д-RU.РА01.В.54671/25</t>
        </is>
      </c>
      <c r="AG179" s="78" t="n"/>
      <c r="AJ179" s="84" t="inlineStr"/>
      <c r="AK179" s="84" t="n">
        <v>0</v>
      </c>
      <c r="BB179" s="251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37.5" customHeight="1">
      <c r="A180" s="63" t="inlineStr">
        <is>
          <t>SU002848</t>
        </is>
      </c>
      <c r="B180" s="63" t="inlineStr">
        <is>
          <t>P003260</t>
        </is>
      </c>
      <c r="C180" s="36" t="n">
        <v>4301031202</v>
      </c>
      <c r="D180" s="745" t="n">
        <v>4680115881679</v>
      </c>
      <c r="E180" s="1062" t="n"/>
      <c r="F180" s="1100" t="n">
        <v>0.35</v>
      </c>
      <c r="G180" s="37" t="n">
        <v>6</v>
      </c>
      <c r="H180" s="1100" t="n">
        <v>2.1</v>
      </c>
      <c r="I180" s="1100" t="n">
        <v>2.2</v>
      </c>
      <c r="J180" s="37" t="n">
        <v>234</v>
      </c>
      <c r="K180" s="37" t="inlineStr">
        <is>
          <t>18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92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180" s="1102" t="n"/>
      <c r="R180" s="1102" t="n"/>
      <c r="S180" s="1102" t="n"/>
      <c r="T180" s="1103" t="n"/>
      <c r="U180" s="39" t="inlineStr"/>
      <c r="V180" s="39" t="inlineStr"/>
      <c r="W180" s="40" t="inlineStr">
        <is>
          <t>кг</t>
        </is>
      </c>
      <c r="X180" s="1104" t="n">
        <v>140</v>
      </c>
      <c r="Y180" s="1105">
        <f>IFERROR(IF(X180="",0,CEILING((X180/$H180),1)*$H180),"")</f>
        <v/>
      </c>
      <c r="Z180" s="41">
        <f>IFERROR(IF(Y180=0,"",ROUNDUP(Y180/H180,0)*0.00502),"")</f>
        <v/>
      </c>
      <c r="AA180" s="68" t="inlineStr"/>
      <c r="AB180" s="69" t="inlineStr"/>
      <c r="AC180" s="252" t="inlineStr">
        <is>
          <t>ЕАЭС N RU Д-RU.РА09.В.37545/22</t>
        </is>
      </c>
      <c r="AG180" s="78" t="n"/>
      <c r="AJ180" s="84" t="inlineStr"/>
      <c r="AK180" s="84" t="n">
        <v>0</v>
      </c>
      <c r="BB180" s="253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27" customHeight="1">
      <c r="A181" s="63" t="inlineStr">
        <is>
          <t>SU002659</t>
        </is>
      </c>
      <c r="B181" s="63" t="inlineStr">
        <is>
          <t>P003034</t>
        </is>
      </c>
      <c r="C181" s="36" t="n">
        <v>4301031158</v>
      </c>
      <c r="D181" s="745" t="n">
        <v>4680115880191</v>
      </c>
      <c r="E181" s="1062" t="n"/>
      <c r="F181" s="1100" t="n">
        <v>0.4</v>
      </c>
      <c r="G181" s="37" t="n">
        <v>6</v>
      </c>
      <c r="H181" s="1100" t="n">
        <v>2.4</v>
      </c>
      <c r="I181" s="1100" t="n">
        <v>2.58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СК2</t>
        </is>
      </c>
      <c r="N181" s="38" t="n"/>
      <c r="O181" s="37" t="n">
        <v>40</v>
      </c>
      <c r="P181" s="1193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181" s="1102" t="n"/>
      <c r="R181" s="1102" t="n"/>
      <c r="S181" s="1102" t="n"/>
      <c r="T181" s="1103" t="n"/>
      <c r="U181" s="39" t="inlineStr"/>
      <c r="V181" s="39" t="inlineStr"/>
      <c r="W181" s="40" t="inlineStr">
        <is>
          <t>кг</t>
        </is>
      </c>
      <c r="X181" s="1104" t="n">
        <v>0</v>
      </c>
      <c r="Y181" s="1105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4" t="inlineStr">
        <is>
          <t>ЕАЭС N RU Д-RU.РА09.В.37545/22</t>
        </is>
      </c>
      <c r="AG181" s="78" t="n"/>
      <c r="AJ181" s="84" t="inlineStr"/>
      <c r="AK181" s="84" t="n">
        <v>0</v>
      </c>
      <c r="BB181" s="255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SU003046</t>
        </is>
      </c>
      <c r="B182" s="63" t="inlineStr">
        <is>
          <t>P003598</t>
        </is>
      </c>
      <c r="C182" s="36" t="n">
        <v>4301031245</v>
      </c>
      <c r="D182" s="745" t="n">
        <v>4680115883963</v>
      </c>
      <c r="E182" s="1062" t="n"/>
      <c r="F182" s="1100" t="n">
        <v>0.28</v>
      </c>
      <c r="G182" s="37" t="n">
        <v>6</v>
      </c>
      <c r="H182" s="1100" t="n">
        <v>1.68</v>
      </c>
      <c r="I182" s="1100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94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182" s="1102" t="n"/>
      <c r="R182" s="1102" t="n"/>
      <c r="S182" s="1102" t="n"/>
      <c r="T182" s="1103" t="n"/>
      <c r="U182" s="39" t="inlineStr"/>
      <c r="V182" s="39" t="inlineStr"/>
      <c r="W182" s="40" t="inlineStr">
        <is>
          <t>кг</t>
        </is>
      </c>
      <c r="X182" s="1104" t="n">
        <v>0</v>
      </c>
      <c r="Y182" s="1105">
        <f>IFERROR(IF(X182="",0,CEILING((X182/$H182),1)*$H182),"")</f>
        <v/>
      </c>
      <c r="Z182" s="41">
        <f>IFERROR(IF(Y182=0,"",ROUNDUP(Y182/H182,0)*0.00502),"")</f>
        <v/>
      </c>
      <c r="AA182" s="68" t="inlineStr"/>
      <c r="AB182" s="69" t="inlineStr"/>
      <c r="AC182" s="256" t="inlineStr">
        <is>
          <t>ЕАЭС N RU Д-RU.РА06.В.75139/23</t>
        </is>
      </c>
      <c r="AG182" s="78" t="n"/>
      <c r="AJ182" s="84" t="inlineStr"/>
      <c r="AK182" s="84" t="n">
        <v>0</v>
      </c>
      <c r="BB182" s="257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>
      <c r="A183" s="758" t="n"/>
      <c r="B183" s="1051" t="n"/>
      <c r="C183" s="1051" t="n"/>
      <c r="D183" s="1051" t="n"/>
      <c r="E183" s="1051" t="n"/>
      <c r="F183" s="1051" t="n"/>
      <c r="G183" s="1051" t="n"/>
      <c r="H183" s="1051" t="n"/>
      <c r="I183" s="1051" t="n"/>
      <c r="J183" s="1051" t="n"/>
      <c r="K183" s="1051" t="n"/>
      <c r="L183" s="1051" t="n"/>
      <c r="M183" s="1051" t="n"/>
      <c r="N183" s="1051" t="n"/>
      <c r="O183" s="1111" t="n"/>
      <c r="P183" s="1112" t="inlineStr">
        <is>
          <t>Итого</t>
        </is>
      </c>
      <c r="Q183" s="1069" t="n"/>
      <c r="R183" s="1069" t="n"/>
      <c r="S183" s="1069" t="n"/>
      <c r="T183" s="1069" t="n"/>
      <c r="U183" s="1069" t="n"/>
      <c r="V183" s="1070" t="n"/>
      <c r="W183" s="42" t="inlineStr">
        <is>
          <t>кор</t>
        </is>
      </c>
      <c r="X183" s="1113">
        <f>IFERROR(X174/H174,"0")+IFERROR(X175/H175,"0")+IFERROR(X176/H176,"0")+IFERROR(X177/H177,"0")+IFERROR(X178/H178,"0")+IFERROR(X179/H179,"0")+IFERROR(X180/H180,"0")+IFERROR(X181/H181,"0")+IFERROR(X182/H182,"0")</f>
        <v/>
      </c>
      <c r="Y183" s="1113">
        <f>IFERROR(Y174/H174,"0")+IFERROR(Y175/H175,"0")+IFERROR(Y176/H176,"0")+IFERROR(Y177/H177,"0")+IFERROR(Y178/H178,"0")+IFERROR(Y179/H179,"0")+IFERROR(Y180/H180,"0")+IFERROR(Y181/H181,"0")+IFERROR(Y182/H182,"0")</f>
        <v/>
      </c>
      <c r="Z183" s="111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/>
      </c>
      <c r="AA183" s="1114" t="n"/>
      <c r="AB183" s="1114" t="n"/>
      <c r="AC183" s="1114" t="n"/>
    </row>
    <row r="184">
      <c r="A184" s="1051" t="n"/>
      <c r="B184" s="1051" t="n"/>
      <c r="C184" s="1051" t="n"/>
      <c r="D184" s="1051" t="n"/>
      <c r="E184" s="1051" t="n"/>
      <c r="F184" s="1051" t="n"/>
      <c r="G184" s="1051" t="n"/>
      <c r="H184" s="1051" t="n"/>
      <c r="I184" s="1051" t="n"/>
      <c r="J184" s="1051" t="n"/>
      <c r="K184" s="1051" t="n"/>
      <c r="L184" s="1051" t="n"/>
      <c r="M184" s="1051" t="n"/>
      <c r="N184" s="1051" t="n"/>
      <c r="O184" s="1111" t="n"/>
      <c r="P184" s="1112" t="inlineStr">
        <is>
          <t>Итого</t>
        </is>
      </c>
      <c r="Q184" s="1069" t="n"/>
      <c r="R184" s="1069" t="n"/>
      <c r="S184" s="1069" t="n"/>
      <c r="T184" s="1069" t="n"/>
      <c r="U184" s="1069" t="n"/>
      <c r="V184" s="1070" t="n"/>
      <c r="W184" s="42" t="inlineStr">
        <is>
          <t>кг</t>
        </is>
      </c>
      <c r="X184" s="1113">
        <f>IFERROR(SUM(X174:X182),"0")</f>
        <v/>
      </c>
      <c r="Y184" s="1113">
        <f>IFERROR(SUM(Y174:Y182),"0")</f>
        <v/>
      </c>
      <c r="Z184" s="42" t="n"/>
      <c r="AA184" s="1114" t="n"/>
      <c r="AB184" s="1114" t="n"/>
      <c r="AC184" s="1114" t="n"/>
    </row>
    <row r="185" ht="14.25" customHeight="1">
      <c r="A185" s="744" t="inlineStr">
        <is>
          <t>Сырокопченые колбасы</t>
        </is>
      </c>
      <c r="B185" s="1051" t="n"/>
      <c r="C185" s="1051" t="n"/>
      <c r="D185" s="1051" t="n"/>
      <c r="E185" s="1051" t="n"/>
      <c r="F185" s="1051" t="n"/>
      <c r="G185" s="1051" t="n"/>
      <c r="H185" s="1051" t="n"/>
      <c r="I185" s="1051" t="n"/>
      <c r="J185" s="1051" t="n"/>
      <c r="K185" s="1051" t="n"/>
      <c r="L185" s="1051" t="n"/>
      <c r="M185" s="1051" t="n"/>
      <c r="N185" s="1051" t="n"/>
      <c r="O185" s="1051" t="n"/>
      <c r="P185" s="1051" t="n"/>
      <c r="Q185" s="1051" t="n"/>
      <c r="R185" s="1051" t="n"/>
      <c r="S185" s="1051" t="n"/>
      <c r="T185" s="1051" t="n"/>
      <c r="U185" s="1051" t="n"/>
      <c r="V185" s="1051" t="n"/>
      <c r="W185" s="1051" t="n"/>
      <c r="X185" s="1051" t="n"/>
      <c r="Y185" s="1051" t="n"/>
      <c r="Z185" s="1051" t="n"/>
      <c r="AA185" s="744" t="n"/>
      <c r="AB185" s="744" t="n"/>
      <c r="AC185" s="744" t="n"/>
    </row>
    <row r="186" ht="27" customHeight="1">
      <c r="A186" s="63" t="inlineStr">
        <is>
          <t>SU003895</t>
        </is>
      </c>
      <c r="B186" s="63" t="inlineStr">
        <is>
          <t>P004981</t>
        </is>
      </c>
      <c r="C186" s="36" t="n">
        <v>4301032053</v>
      </c>
      <c r="D186" s="745" t="n">
        <v>4680115886780</v>
      </c>
      <c r="E186" s="1062" t="n"/>
      <c r="F186" s="1100" t="n">
        <v>0.07000000000000001</v>
      </c>
      <c r="G186" s="37" t="n">
        <v>18</v>
      </c>
      <c r="H186" s="1100" t="n">
        <v>1.26</v>
      </c>
      <c r="I186" s="1100" t="n">
        <v>1.45</v>
      </c>
      <c r="J186" s="37" t="n">
        <v>216</v>
      </c>
      <c r="K186" s="37" t="inlineStr">
        <is>
          <t>27</t>
        </is>
      </c>
      <c r="L186" s="37" t="inlineStr"/>
      <c r="M186" s="38" t="inlineStr">
        <is>
          <t>МЗР</t>
        </is>
      </c>
      <c r="N186" s="38" t="n"/>
      <c r="O186" s="37" t="n">
        <v>60</v>
      </c>
      <c r="P186" s="1195" t="inlineStr">
        <is>
          <t>Сырокопченые колбасы «Мраморная» Фикс.вес 0,07 нарезка ТМ «Стародворье»</t>
        </is>
      </c>
      <c r="Q186" s="1102" t="n"/>
      <c r="R186" s="1102" t="n"/>
      <c r="S186" s="1102" t="n"/>
      <c r="T186" s="1103" t="n"/>
      <c r="U186" s="39" t="inlineStr"/>
      <c r="V186" s="39" t="inlineStr"/>
      <c r="W186" s="40" t="inlineStr">
        <is>
          <t>кг</t>
        </is>
      </c>
      <c r="X186" s="1104" t="n">
        <v>0</v>
      </c>
      <c r="Y186" s="1105">
        <f>IFERROR(IF(X186="",0,CEILING((X186/$H186),1)*$H186),"")</f>
        <v/>
      </c>
      <c r="Z186" s="41">
        <f>IFERROR(IF(Y186=0,"",ROUNDUP(Y186/H186,0)*0.0059),"")</f>
        <v/>
      </c>
      <c r="AA186" s="68" t="inlineStr"/>
      <c r="AB186" s="69" t="inlineStr">
        <is>
          <t>Новинка</t>
        </is>
      </c>
      <c r="AC186" s="258" t="inlineStr">
        <is>
          <t>ЕАЭС N RU Д-RU.РА03.В.06444/25</t>
        </is>
      </c>
      <c r="AG186" s="78" t="n"/>
      <c r="AJ186" s="84" t="inlineStr"/>
      <c r="AK186" s="84" t="n">
        <v>0</v>
      </c>
      <c r="BB186" s="259" t="inlineStr">
        <is>
          <t>КИ</t>
        </is>
      </c>
      <c r="BM186" s="78">
        <f>IFERROR(X186*I186/H186,"0")</f>
        <v/>
      </c>
      <c r="BN186" s="78">
        <f>IFERROR(Y186*I186/H186,"0")</f>
        <v/>
      </c>
      <c r="BO186" s="78">
        <f>IFERROR(1/J186*(X186/H186),"0")</f>
        <v/>
      </c>
      <c r="BP186" s="78">
        <f>IFERROR(1/J186*(Y186/H186),"0")</f>
        <v/>
      </c>
    </row>
    <row r="187">
      <c r="A187" s="758" t="n"/>
      <c r="B187" s="1051" t="n"/>
      <c r="C187" s="1051" t="n"/>
      <c r="D187" s="1051" t="n"/>
      <c r="E187" s="1051" t="n"/>
      <c r="F187" s="1051" t="n"/>
      <c r="G187" s="1051" t="n"/>
      <c r="H187" s="1051" t="n"/>
      <c r="I187" s="1051" t="n"/>
      <c r="J187" s="1051" t="n"/>
      <c r="K187" s="1051" t="n"/>
      <c r="L187" s="1051" t="n"/>
      <c r="M187" s="1051" t="n"/>
      <c r="N187" s="1051" t="n"/>
      <c r="O187" s="1111" t="n"/>
      <c r="P187" s="1112" t="inlineStr">
        <is>
          <t>Итого</t>
        </is>
      </c>
      <c r="Q187" s="1069" t="n"/>
      <c r="R187" s="1069" t="n"/>
      <c r="S187" s="1069" t="n"/>
      <c r="T187" s="1069" t="n"/>
      <c r="U187" s="1069" t="n"/>
      <c r="V187" s="1070" t="n"/>
      <c r="W187" s="42" t="inlineStr">
        <is>
          <t>кор</t>
        </is>
      </c>
      <c r="X187" s="1113">
        <f>IFERROR(X186/H186,"0")</f>
        <v/>
      </c>
      <c r="Y187" s="1113">
        <f>IFERROR(Y186/H186,"0")</f>
        <v/>
      </c>
      <c r="Z187" s="1113">
        <f>IFERROR(IF(Z186="",0,Z186),"0")</f>
        <v/>
      </c>
      <c r="AA187" s="1114" t="n"/>
      <c r="AB187" s="1114" t="n"/>
      <c r="AC187" s="1114" t="n"/>
    </row>
    <row r="188">
      <c r="A188" s="1051" t="n"/>
      <c r="B188" s="1051" t="n"/>
      <c r="C188" s="1051" t="n"/>
      <c r="D188" s="1051" t="n"/>
      <c r="E188" s="1051" t="n"/>
      <c r="F188" s="1051" t="n"/>
      <c r="G188" s="1051" t="n"/>
      <c r="H188" s="1051" t="n"/>
      <c r="I188" s="1051" t="n"/>
      <c r="J188" s="1051" t="n"/>
      <c r="K188" s="1051" t="n"/>
      <c r="L188" s="1051" t="n"/>
      <c r="M188" s="1051" t="n"/>
      <c r="N188" s="1051" t="n"/>
      <c r="O188" s="1111" t="n"/>
      <c r="P188" s="1112" t="inlineStr">
        <is>
          <t>Итого</t>
        </is>
      </c>
      <c r="Q188" s="1069" t="n"/>
      <c r="R188" s="1069" t="n"/>
      <c r="S188" s="1069" t="n"/>
      <c r="T188" s="1069" t="n"/>
      <c r="U188" s="1069" t="n"/>
      <c r="V188" s="1070" t="n"/>
      <c r="W188" s="42" t="inlineStr">
        <is>
          <t>кг</t>
        </is>
      </c>
      <c r="X188" s="1113">
        <f>IFERROR(SUM(X186:X186),"0")</f>
        <v/>
      </c>
      <c r="Y188" s="1113">
        <f>IFERROR(SUM(Y186:Y186),"0")</f>
        <v/>
      </c>
      <c r="Z188" s="42" t="n"/>
      <c r="AA188" s="1114" t="n"/>
      <c r="AB188" s="1114" t="n"/>
      <c r="AC188" s="1114" t="n"/>
    </row>
    <row r="189" ht="16.5" customHeight="1">
      <c r="A189" s="743" t="inlineStr">
        <is>
          <t>Сочинка</t>
        </is>
      </c>
      <c r="B189" s="1051" t="n"/>
      <c r="C189" s="1051" t="n"/>
      <c r="D189" s="1051" t="n"/>
      <c r="E189" s="1051" t="n"/>
      <c r="F189" s="1051" t="n"/>
      <c r="G189" s="1051" t="n"/>
      <c r="H189" s="1051" t="n"/>
      <c r="I189" s="1051" t="n"/>
      <c r="J189" s="1051" t="n"/>
      <c r="K189" s="1051" t="n"/>
      <c r="L189" s="1051" t="n"/>
      <c r="M189" s="1051" t="n"/>
      <c r="N189" s="1051" t="n"/>
      <c r="O189" s="1051" t="n"/>
      <c r="P189" s="1051" t="n"/>
      <c r="Q189" s="1051" t="n"/>
      <c r="R189" s="1051" t="n"/>
      <c r="S189" s="1051" t="n"/>
      <c r="T189" s="1051" t="n"/>
      <c r="U189" s="1051" t="n"/>
      <c r="V189" s="1051" t="n"/>
      <c r="W189" s="1051" t="n"/>
      <c r="X189" s="1051" t="n"/>
      <c r="Y189" s="1051" t="n"/>
      <c r="Z189" s="1051" t="n"/>
      <c r="AA189" s="743" t="n"/>
      <c r="AB189" s="743" t="n"/>
      <c r="AC189" s="743" t="n"/>
    </row>
    <row r="190" ht="14.25" customHeight="1">
      <c r="A190" s="744" t="inlineStr">
        <is>
          <t>Вареные колбасы</t>
        </is>
      </c>
      <c r="B190" s="1051" t="n"/>
      <c r="C190" s="1051" t="n"/>
      <c r="D190" s="1051" t="n"/>
      <c r="E190" s="1051" t="n"/>
      <c r="F190" s="1051" t="n"/>
      <c r="G190" s="1051" t="n"/>
      <c r="H190" s="1051" t="n"/>
      <c r="I190" s="1051" t="n"/>
      <c r="J190" s="1051" t="n"/>
      <c r="K190" s="1051" t="n"/>
      <c r="L190" s="1051" t="n"/>
      <c r="M190" s="1051" t="n"/>
      <c r="N190" s="1051" t="n"/>
      <c r="O190" s="1051" t="n"/>
      <c r="P190" s="1051" t="n"/>
      <c r="Q190" s="1051" t="n"/>
      <c r="R190" s="1051" t="n"/>
      <c r="S190" s="1051" t="n"/>
      <c r="T190" s="1051" t="n"/>
      <c r="U190" s="1051" t="n"/>
      <c r="V190" s="1051" t="n"/>
      <c r="W190" s="1051" t="n"/>
      <c r="X190" s="1051" t="n"/>
      <c r="Y190" s="1051" t="n"/>
      <c r="Z190" s="1051" t="n"/>
      <c r="AA190" s="744" t="n"/>
      <c r="AB190" s="744" t="n"/>
      <c r="AC190" s="744" t="n"/>
    </row>
    <row r="191" ht="16.5" customHeight="1">
      <c r="A191" s="63" t="inlineStr">
        <is>
          <t>SU002824</t>
        </is>
      </c>
      <c r="B191" s="63" t="inlineStr">
        <is>
          <t>P003231</t>
        </is>
      </c>
      <c r="C191" s="36" t="n">
        <v>4301011450</v>
      </c>
      <c r="D191" s="745" t="n">
        <v>4680115881402</v>
      </c>
      <c r="E191" s="1062" t="n"/>
      <c r="F191" s="1100" t="n">
        <v>1.35</v>
      </c>
      <c r="G191" s="37" t="n">
        <v>8</v>
      </c>
      <c r="H191" s="1100" t="n">
        <v>10.8</v>
      </c>
      <c r="I191" s="1100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55</v>
      </c>
      <c r="P191" s="1196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191" s="1102" t="n"/>
      <c r="R191" s="1102" t="n"/>
      <c r="S191" s="1102" t="n"/>
      <c r="T191" s="1103" t="n"/>
      <c r="U191" s="39" t="inlineStr"/>
      <c r="V191" s="39" t="inlineStr"/>
      <c r="W191" s="40" t="inlineStr">
        <is>
          <t>кг</t>
        </is>
      </c>
      <c r="X191" s="1104" t="n">
        <v>0</v>
      </c>
      <c r="Y191" s="1105">
        <f>IFERROR(IF(X191="",0,CEILING((X191/$H191),1)*$H191),"")</f>
        <v/>
      </c>
      <c r="Z191" s="41">
        <f>IFERROR(IF(Y191=0,"",ROUNDUP(Y191/H191,0)*0.01898),"")</f>
        <v/>
      </c>
      <c r="AA191" s="68" t="inlineStr"/>
      <c r="AB191" s="69" t="inlineStr"/>
      <c r="AC191" s="260" t="inlineStr">
        <is>
          <t>ЕАЭС N RU Д-RU.РА09.В.00972/22</t>
        </is>
      </c>
      <c r="AG191" s="78" t="n"/>
      <c r="AJ191" s="84" t="inlineStr"/>
      <c r="AK191" s="84" t="n">
        <v>0</v>
      </c>
      <c r="BB191" s="261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 ht="27" customHeight="1">
      <c r="A192" s="63" t="inlineStr">
        <is>
          <t>SU002823</t>
        </is>
      </c>
      <c r="B192" s="63" t="inlineStr">
        <is>
          <t>P003230</t>
        </is>
      </c>
      <c r="C192" s="36" t="n">
        <v>4301011768</v>
      </c>
      <c r="D192" s="745" t="n">
        <v>4680115881396</v>
      </c>
      <c r="E192" s="1062" t="n"/>
      <c r="F192" s="1100" t="n">
        <v>0.45</v>
      </c>
      <c r="G192" s="37" t="n">
        <v>6</v>
      </c>
      <c r="H192" s="1100" t="n">
        <v>2.7</v>
      </c>
      <c r="I192" s="1100" t="n">
        <v>2.88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55</v>
      </c>
      <c r="P192" s="1197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192" s="1102" t="n"/>
      <c r="R192" s="1102" t="n"/>
      <c r="S192" s="1102" t="n"/>
      <c r="T192" s="1103" t="n"/>
      <c r="U192" s="39" t="inlineStr"/>
      <c r="V192" s="39" t="inlineStr"/>
      <c r="W192" s="40" t="inlineStr">
        <is>
          <t>кг</t>
        </is>
      </c>
      <c r="X192" s="1104" t="n">
        <v>0</v>
      </c>
      <c r="Y192" s="1105">
        <f>IFERROR(IF(X192="",0,CEILING((X192/$H192),1)*$H192),"")</f>
        <v/>
      </c>
      <c r="Z192" s="41">
        <f>IFERROR(IF(Y192=0,"",ROUNDUP(Y192/H192,0)*0.00651),"")</f>
        <v/>
      </c>
      <c r="AA192" s="68" t="inlineStr"/>
      <c r="AB192" s="69" t="inlineStr"/>
      <c r="AC192" s="262" t="inlineStr">
        <is>
          <t>ЕАЭС N RU Д-RU.РА09.В.00972/22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58" t="n"/>
      <c r="B193" s="1051" t="n"/>
      <c r="C193" s="1051" t="n"/>
      <c r="D193" s="1051" t="n"/>
      <c r="E193" s="1051" t="n"/>
      <c r="F193" s="1051" t="n"/>
      <c r="G193" s="1051" t="n"/>
      <c r="H193" s="1051" t="n"/>
      <c r="I193" s="1051" t="n"/>
      <c r="J193" s="1051" t="n"/>
      <c r="K193" s="1051" t="n"/>
      <c r="L193" s="1051" t="n"/>
      <c r="M193" s="1051" t="n"/>
      <c r="N193" s="1051" t="n"/>
      <c r="O193" s="1111" t="n"/>
      <c r="P193" s="1112" t="inlineStr">
        <is>
          <t>Итого</t>
        </is>
      </c>
      <c r="Q193" s="1069" t="n"/>
      <c r="R193" s="1069" t="n"/>
      <c r="S193" s="1069" t="n"/>
      <c r="T193" s="1069" t="n"/>
      <c r="U193" s="1069" t="n"/>
      <c r="V193" s="1070" t="n"/>
      <c r="W193" s="42" t="inlineStr">
        <is>
          <t>кор</t>
        </is>
      </c>
      <c r="X193" s="1113">
        <f>IFERROR(X191/H191,"0")+IFERROR(X192/H192,"0")</f>
        <v/>
      </c>
      <c r="Y193" s="1113">
        <f>IFERROR(Y191/H191,"0")+IFERROR(Y192/H192,"0")</f>
        <v/>
      </c>
      <c r="Z193" s="1113">
        <f>IFERROR(IF(Z191="",0,Z191),"0")+IFERROR(IF(Z192="",0,Z192),"0")</f>
        <v/>
      </c>
      <c r="AA193" s="1114" t="n"/>
      <c r="AB193" s="1114" t="n"/>
      <c r="AC193" s="1114" t="n"/>
    </row>
    <row r="194">
      <c r="A194" s="1051" t="n"/>
      <c r="B194" s="1051" t="n"/>
      <c r="C194" s="1051" t="n"/>
      <c r="D194" s="1051" t="n"/>
      <c r="E194" s="1051" t="n"/>
      <c r="F194" s="1051" t="n"/>
      <c r="G194" s="1051" t="n"/>
      <c r="H194" s="1051" t="n"/>
      <c r="I194" s="1051" t="n"/>
      <c r="J194" s="1051" t="n"/>
      <c r="K194" s="1051" t="n"/>
      <c r="L194" s="1051" t="n"/>
      <c r="M194" s="1051" t="n"/>
      <c r="N194" s="1051" t="n"/>
      <c r="O194" s="1111" t="n"/>
      <c r="P194" s="1112" t="inlineStr">
        <is>
          <t>Итого</t>
        </is>
      </c>
      <c r="Q194" s="1069" t="n"/>
      <c r="R194" s="1069" t="n"/>
      <c r="S194" s="1069" t="n"/>
      <c r="T194" s="1069" t="n"/>
      <c r="U194" s="1069" t="n"/>
      <c r="V194" s="1070" t="n"/>
      <c r="W194" s="42" t="inlineStr">
        <is>
          <t>кг</t>
        </is>
      </c>
      <c r="X194" s="1113">
        <f>IFERROR(SUM(X191:X192),"0")</f>
        <v/>
      </c>
      <c r="Y194" s="1113">
        <f>IFERROR(SUM(Y191:Y192),"0")</f>
        <v/>
      </c>
      <c r="Z194" s="42" t="n"/>
      <c r="AA194" s="1114" t="n"/>
      <c r="AB194" s="1114" t="n"/>
      <c r="AC194" s="1114" t="n"/>
    </row>
    <row r="195" ht="14.25" customHeight="1">
      <c r="A195" s="744" t="inlineStr">
        <is>
          <t>Ветчины</t>
        </is>
      </c>
      <c r="B195" s="1051" t="n"/>
      <c r="C195" s="1051" t="n"/>
      <c r="D195" s="1051" t="n"/>
      <c r="E195" s="1051" t="n"/>
      <c r="F195" s="1051" t="n"/>
      <c r="G195" s="1051" t="n"/>
      <c r="H195" s="1051" t="n"/>
      <c r="I195" s="1051" t="n"/>
      <c r="J195" s="1051" t="n"/>
      <c r="K195" s="1051" t="n"/>
      <c r="L195" s="1051" t="n"/>
      <c r="M195" s="1051" t="n"/>
      <c r="N195" s="1051" t="n"/>
      <c r="O195" s="1051" t="n"/>
      <c r="P195" s="1051" t="n"/>
      <c r="Q195" s="1051" t="n"/>
      <c r="R195" s="1051" t="n"/>
      <c r="S195" s="1051" t="n"/>
      <c r="T195" s="1051" t="n"/>
      <c r="U195" s="1051" t="n"/>
      <c r="V195" s="1051" t="n"/>
      <c r="W195" s="1051" t="n"/>
      <c r="X195" s="1051" t="n"/>
      <c r="Y195" s="1051" t="n"/>
      <c r="Z195" s="1051" t="n"/>
      <c r="AA195" s="744" t="n"/>
      <c r="AB195" s="744" t="n"/>
      <c r="AC195" s="744" t="n"/>
    </row>
    <row r="196" ht="16.5" customHeight="1">
      <c r="A196" s="63" t="inlineStr">
        <is>
          <t>SU003068</t>
        </is>
      </c>
      <c r="B196" s="63" t="inlineStr">
        <is>
          <t>P003611</t>
        </is>
      </c>
      <c r="C196" s="36" t="n">
        <v>4301020262</v>
      </c>
      <c r="D196" s="745" t="n">
        <v>4680115882935</v>
      </c>
      <c r="E196" s="1062" t="n"/>
      <c r="F196" s="1100" t="n">
        <v>1.35</v>
      </c>
      <c r="G196" s="37" t="n">
        <v>8</v>
      </c>
      <c r="H196" s="1100" t="n">
        <v>10.8</v>
      </c>
      <c r="I196" s="1100" t="n">
        <v>11.235</v>
      </c>
      <c r="J196" s="37" t="n">
        <v>64</v>
      </c>
      <c r="K196" s="37" t="inlineStr">
        <is>
          <t>8</t>
        </is>
      </c>
      <c r="L196" s="37" t="inlineStr"/>
      <c r="M196" s="38" t="inlineStr">
        <is>
          <t>СК3</t>
        </is>
      </c>
      <c r="N196" s="38" t="n"/>
      <c r="O196" s="37" t="n">
        <v>50</v>
      </c>
      <c r="P196" s="1198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196" s="1102" t="n"/>
      <c r="R196" s="1102" t="n"/>
      <c r="S196" s="1102" t="n"/>
      <c r="T196" s="1103" t="n"/>
      <c r="U196" s="39" t="inlineStr"/>
      <c r="V196" s="39" t="inlineStr"/>
      <c r="W196" s="40" t="inlineStr">
        <is>
          <t>кг</t>
        </is>
      </c>
      <c r="X196" s="1104" t="n">
        <v>0</v>
      </c>
      <c r="Y196" s="1105">
        <f>IFERROR(IF(X196="",0,CEILING((X196/$H196),1)*$H196),"")</f>
        <v/>
      </c>
      <c r="Z196" s="41">
        <f>IFERROR(IF(Y196=0,"",ROUNDUP(Y196/H196,0)*0.01898),"")</f>
        <v/>
      </c>
      <c r="AA196" s="68" t="inlineStr"/>
      <c r="AB196" s="69" t="inlineStr"/>
      <c r="AC196" s="264" t="inlineStr">
        <is>
          <t>ЕАЭС N RU Д-RU.РА06.В.80141/22</t>
        </is>
      </c>
      <c r="AG196" s="78" t="n"/>
      <c r="AJ196" s="84" t="inlineStr"/>
      <c r="AK196" s="84" t="n">
        <v>0</v>
      </c>
      <c r="BB196" s="265" t="inlineStr">
        <is>
          <t>КИ</t>
        </is>
      </c>
      <c r="BM196" s="78">
        <f>IFERROR(X196*I196/H196,"0")</f>
        <v/>
      </c>
      <c r="BN196" s="78">
        <f>IFERROR(Y196*I196/H196,"0")</f>
        <v/>
      </c>
      <c r="BO196" s="78">
        <f>IFERROR(1/J196*(X196/H196),"0")</f>
        <v/>
      </c>
      <c r="BP196" s="78">
        <f>IFERROR(1/J196*(Y196/H196),"0")</f>
        <v/>
      </c>
    </row>
    <row r="197" ht="16.5" customHeight="1">
      <c r="A197" s="63" t="inlineStr">
        <is>
          <t>SU002757</t>
        </is>
      </c>
      <c r="B197" s="63" t="inlineStr">
        <is>
          <t>P003128</t>
        </is>
      </c>
      <c r="C197" s="36" t="n">
        <v>4301020220</v>
      </c>
      <c r="D197" s="745" t="n">
        <v>4680115880764</v>
      </c>
      <c r="E197" s="1062" t="n"/>
      <c r="F197" s="1100" t="n">
        <v>0.35</v>
      </c>
      <c r="G197" s="37" t="n">
        <v>6</v>
      </c>
      <c r="H197" s="1100" t="n">
        <v>2.1</v>
      </c>
      <c r="I197" s="1100" t="n">
        <v>2.28</v>
      </c>
      <c r="J197" s="37" t="n">
        <v>182</v>
      </c>
      <c r="K197" s="37" t="inlineStr">
        <is>
          <t>14</t>
        </is>
      </c>
      <c r="L197" s="37" t="inlineStr"/>
      <c r="M197" s="38" t="inlineStr">
        <is>
          <t>СК1</t>
        </is>
      </c>
      <c r="N197" s="38" t="n"/>
      <c r="O197" s="37" t="n">
        <v>50</v>
      </c>
      <c r="P197" s="1199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197" s="1102" t="n"/>
      <c r="R197" s="1102" t="n"/>
      <c r="S197" s="1102" t="n"/>
      <c r="T197" s="1103" t="n"/>
      <c r="U197" s="39" t="inlineStr"/>
      <c r="V197" s="39" t="inlineStr"/>
      <c r="W197" s="40" t="inlineStr">
        <is>
          <t>кг</t>
        </is>
      </c>
      <c r="X197" s="1104" t="n">
        <v>0</v>
      </c>
      <c r="Y197" s="1105">
        <f>IFERROR(IF(X197="",0,CEILING((X197/$H197),1)*$H197),"")</f>
        <v/>
      </c>
      <c r="Z197" s="41">
        <f>IFERROR(IF(Y197=0,"",ROUNDUP(Y197/H197,0)*0.00651),"")</f>
        <v/>
      </c>
      <c r="AA197" s="68" t="inlineStr"/>
      <c r="AB197" s="69" t="inlineStr"/>
      <c r="AC197" s="266" t="inlineStr">
        <is>
          <t>ЕАЭС N RU Д-RU.РА06.В.80141/22</t>
        </is>
      </c>
      <c r="AG197" s="78" t="n"/>
      <c r="AJ197" s="84" t="inlineStr"/>
      <c r="AK197" s="84" t="n">
        <v>0</v>
      </c>
      <c r="BB197" s="267" t="inlineStr">
        <is>
          <t>КИ</t>
        </is>
      </c>
      <c r="BM197" s="78">
        <f>IFERROR(X197*I197/H197,"0")</f>
        <v/>
      </c>
      <c r="BN197" s="78">
        <f>IFERROR(Y197*I197/H197,"0")</f>
        <v/>
      </c>
      <c r="BO197" s="78">
        <f>IFERROR(1/J197*(X197/H197),"0")</f>
        <v/>
      </c>
      <c r="BP197" s="78">
        <f>IFERROR(1/J197*(Y197/H197),"0")</f>
        <v/>
      </c>
    </row>
    <row r="198">
      <c r="A198" s="758" t="n"/>
      <c r="B198" s="1051" t="n"/>
      <c r="C198" s="1051" t="n"/>
      <c r="D198" s="1051" t="n"/>
      <c r="E198" s="1051" t="n"/>
      <c r="F198" s="1051" t="n"/>
      <c r="G198" s="1051" t="n"/>
      <c r="H198" s="1051" t="n"/>
      <c r="I198" s="1051" t="n"/>
      <c r="J198" s="1051" t="n"/>
      <c r="K198" s="1051" t="n"/>
      <c r="L198" s="1051" t="n"/>
      <c r="M198" s="1051" t="n"/>
      <c r="N198" s="1051" t="n"/>
      <c r="O198" s="1111" t="n"/>
      <c r="P198" s="1112" t="inlineStr">
        <is>
          <t>Итого</t>
        </is>
      </c>
      <c r="Q198" s="1069" t="n"/>
      <c r="R198" s="1069" t="n"/>
      <c r="S198" s="1069" t="n"/>
      <c r="T198" s="1069" t="n"/>
      <c r="U198" s="1069" t="n"/>
      <c r="V198" s="1070" t="n"/>
      <c r="W198" s="42" t="inlineStr">
        <is>
          <t>кор</t>
        </is>
      </c>
      <c r="X198" s="1113">
        <f>IFERROR(X196/H196,"0")+IFERROR(X197/H197,"0")</f>
        <v/>
      </c>
      <c r="Y198" s="1113">
        <f>IFERROR(Y196/H196,"0")+IFERROR(Y197/H197,"0")</f>
        <v/>
      </c>
      <c r="Z198" s="1113">
        <f>IFERROR(IF(Z196="",0,Z196),"0")+IFERROR(IF(Z197="",0,Z197),"0")</f>
        <v/>
      </c>
      <c r="AA198" s="1114" t="n"/>
      <c r="AB198" s="1114" t="n"/>
      <c r="AC198" s="1114" t="n"/>
    </row>
    <row r="199">
      <c r="A199" s="1051" t="n"/>
      <c r="B199" s="1051" t="n"/>
      <c r="C199" s="1051" t="n"/>
      <c r="D199" s="1051" t="n"/>
      <c r="E199" s="1051" t="n"/>
      <c r="F199" s="1051" t="n"/>
      <c r="G199" s="1051" t="n"/>
      <c r="H199" s="1051" t="n"/>
      <c r="I199" s="1051" t="n"/>
      <c r="J199" s="1051" t="n"/>
      <c r="K199" s="1051" t="n"/>
      <c r="L199" s="1051" t="n"/>
      <c r="M199" s="1051" t="n"/>
      <c r="N199" s="1051" t="n"/>
      <c r="O199" s="1111" t="n"/>
      <c r="P199" s="1112" t="inlineStr">
        <is>
          <t>Итого</t>
        </is>
      </c>
      <c r="Q199" s="1069" t="n"/>
      <c r="R199" s="1069" t="n"/>
      <c r="S199" s="1069" t="n"/>
      <c r="T199" s="1069" t="n"/>
      <c r="U199" s="1069" t="n"/>
      <c r="V199" s="1070" t="n"/>
      <c r="W199" s="42" t="inlineStr">
        <is>
          <t>кг</t>
        </is>
      </c>
      <c r="X199" s="1113">
        <f>IFERROR(SUM(X196:X197),"0")</f>
        <v/>
      </c>
      <c r="Y199" s="1113">
        <f>IFERROR(SUM(Y196:Y197),"0")</f>
        <v/>
      </c>
      <c r="Z199" s="42" t="n"/>
      <c r="AA199" s="1114" t="n"/>
      <c r="AB199" s="1114" t="n"/>
      <c r="AC199" s="1114" t="n"/>
    </row>
    <row r="200" ht="14.25" customHeight="1">
      <c r="A200" s="744" t="inlineStr">
        <is>
          <t>Копченые колбасы</t>
        </is>
      </c>
      <c r="B200" s="1051" t="n"/>
      <c r="C200" s="1051" t="n"/>
      <c r="D200" s="1051" t="n"/>
      <c r="E200" s="1051" t="n"/>
      <c r="F200" s="1051" t="n"/>
      <c r="G200" s="1051" t="n"/>
      <c r="H200" s="1051" t="n"/>
      <c r="I200" s="1051" t="n"/>
      <c r="J200" s="1051" t="n"/>
      <c r="K200" s="1051" t="n"/>
      <c r="L200" s="1051" t="n"/>
      <c r="M200" s="1051" t="n"/>
      <c r="N200" s="1051" t="n"/>
      <c r="O200" s="1051" t="n"/>
      <c r="P200" s="1051" t="n"/>
      <c r="Q200" s="1051" t="n"/>
      <c r="R200" s="1051" t="n"/>
      <c r="S200" s="1051" t="n"/>
      <c r="T200" s="1051" t="n"/>
      <c r="U200" s="1051" t="n"/>
      <c r="V200" s="1051" t="n"/>
      <c r="W200" s="1051" t="n"/>
      <c r="X200" s="1051" t="n"/>
      <c r="Y200" s="1051" t="n"/>
      <c r="Z200" s="1051" t="n"/>
      <c r="AA200" s="744" t="n"/>
      <c r="AB200" s="744" t="n"/>
      <c r="AC200" s="744" t="n"/>
    </row>
    <row r="201" ht="27" customHeight="1">
      <c r="A201" s="63" t="inlineStr">
        <is>
          <t>SU002941</t>
        </is>
      </c>
      <c r="B201" s="63" t="inlineStr">
        <is>
          <t>P003387</t>
        </is>
      </c>
      <c r="C201" s="36" t="n">
        <v>4301031224</v>
      </c>
      <c r="D201" s="745" t="n">
        <v>4680115882683</v>
      </c>
      <c r="E201" s="1062" t="n"/>
      <c r="F201" s="1100" t="n">
        <v>0.9</v>
      </c>
      <c r="G201" s="37" t="n">
        <v>6</v>
      </c>
      <c r="H201" s="1100" t="n">
        <v>5.4</v>
      </c>
      <c r="I201" s="1100" t="n">
        <v>5.61</v>
      </c>
      <c r="J201" s="37" t="n">
        <v>132</v>
      </c>
      <c r="K201" s="37" t="inlineStr">
        <is>
          <t>12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200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01" s="1102" t="n"/>
      <c r="R201" s="1102" t="n"/>
      <c r="S201" s="1102" t="n"/>
      <c r="T201" s="1103" t="n"/>
      <c r="U201" s="39" t="inlineStr"/>
      <c r="V201" s="39" t="inlineStr"/>
      <c r="W201" s="40" t="inlineStr">
        <is>
          <t>кг</t>
        </is>
      </c>
      <c r="X201" s="1104" t="n">
        <v>120</v>
      </c>
      <c r="Y201" s="1105">
        <f>IFERROR(IF(X201="",0,CEILING((X201/$H201),1)*$H201),"")</f>
        <v/>
      </c>
      <c r="Z201" s="41">
        <f>IFERROR(IF(Y201=0,"",ROUNDUP(Y201/H201,0)*0.00902),"")</f>
        <v/>
      </c>
      <c r="AA201" s="68" t="inlineStr"/>
      <c r="AB201" s="69" t="inlineStr"/>
      <c r="AC201" s="268" t="inlineStr">
        <is>
          <t>ЕАЭС N RU Д-RU.РА04.В.74420/23</t>
        </is>
      </c>
      <c r="AG201" s="78" t="n"/>
      <c r="AJ201" s="84" t="inlineStr"/>
      <c r="AK201" s="84" t="n">
        <v>0</v>
      </c>
      <c r="BB201" s="269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27" customHeight="1">
      <c r="A202" s="63" t="inlineStr">
        <is>
          <t>SU002943</t>
        </is>
      </c>
      <c r="B202" s="63" t="inlineStr">
        <is>
          <t>P003401</t>
        </is>
      </c>
      <c r="C202" s="36" t="n">
        <v>4301031230</v>
      </c>
      <c r="D202" s="745" t="n">
        <v>4680115882690</v>
      </c>
      <c r="E202" s="1062" t="n"/>
      <c r="F202" s="1100" t="n">
        <v>0.9</v>
      </c>
      <c r="G202" s="37" t="n">
        <v>6</v>
      </c>
      <c r="H202" s="1100" t="n">
        <v>5.4</v>
      </c>
      <c r="I202" s="1100" t="n">
        <v>5.61</v>
      </c>
      <c r="J202" s="37" t="n">
        <v>132</v>
      </c>
      <c r="K202" s="37" t="inlineStr">
        <is>
          <t>12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201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02" s="1102" t="n"/>
      <c r="R202" s="1102" t="n"/>
      <c r="S202" s="1102" t="n"/>
      <c r="T202" s="1103" t="n"/>
      <c r="U202" s="39" t="inlineStr"/>
      <c r="V202" s="39" t="inlineStr"/>
      <c r="W202" s="40" t="inlineStr">
        <is>
          <t>кг</t>
        </is>
      </c>
      <c r="X202" s="1104" t="n">
        <v>60</v>
      </c>
      <c r="Y202" s="1105">
        <f>IFERROR(IF(X202="",0,CEILING((X202/$H202),1)*$H202),"")</f>
        <v/>
      </c>
      <c r="Z202" s="41">
        <f>IFERROR(IF(Y202=0,"",ROUNDUP(Y202/H202,0)*0.00902),"")</f>
        <v/>
      </c>
      <c r="AA202" s="68" t="inlineStr"/>
      <c r="AB202" s="69" t="inlineStr"/>
      <c r="AC202" s="270" t="inlineStr">
        <is>
          <t>ЕАЭС N RU Д-RU.РА04.В.74256/23</t>
        </is>
      </c>
      <c r="AG202" s="78" t="n"/>
      <c r="AJ202" s="84" t="inlineStr"/>
      <c r="AK202" s="84" t="n">
        <v>0</v>
      </c>
      <c r="BB202" s="271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SU002945</t>
        </is>
      </c>
      <c r="B203" s="63" t="inlineStr">
        <is>
          <t>P003383</t>
        </is>
      </c>
      <c r="C203" s="36" t="n">
        <v>4301031220</v>
      </c>
      <c r="D203" s="745" t="n">
        <v>4680115882669</v>
      </c>
      <c r="E203" s="1062" t="n"/>
      <c r="F203" s="1100" t="n">
        <v>0.9</v>
      </c>
      <c r="G203" s="37" t="n">
        <v>6</v>
      </c>
      <c r="H203" s="1100" t="n">
        <v>5.4</v>
      </c>
      <c r="I203" s="1100" t="n">
        <v>5.61</v>
      </c>
      <c r="J203" s="37" t="n">
        <v>132</v>
      </c>
      <c r="K203" s="37" t="inlineStr">
        <is>
          <t>12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202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03" s="1102" t="n"/>
      <c r="R203" s="1102" t="n"/>
      <c r="S203" s="1102" t="n"/>
      <c r="T203" s="1103" t="n"/>
      <c r="U203" s="39" t="inlineStr"/>
      <c r="V203" s="39" t="inlineStr"/>
      <c r="W203" s="40" t="inlineStr">
        <is>
          <t>кг</t>
        </is>
      </c>
      <c r="X203" s="1104" t="n">
        <v>60</v>
      </c>
      <c r="Y203" s="1105">
        <f>IFERROR(IF(X203="",0,CEILING((X203/$H203),1)*$H203),"")</f>
        <v/>
      </c>
      <c r="Z203" s="41">
        <f>IFERROR(IF(Y203=0,"",ROUNDUP(Y203/H203,0)*0.00902),"")</f>
        <v/>
      </c>
      <c r="AA203" s="68" t="inlineStr"/>
      <c r="AB203" s="69" t="inlineStr"/>
      <c r="AC203" s="272" t="inlineStr">
        <is>
          <t>ЕАЭС N RU Д-RU.РА04.В.93220/23</t>
        </is>
      </c>
      <c r="AG203" s="78" t="n"/>
      <c r="AJ203" s="84" t="inlineStr"/>
      <c r="AK203" s="84" t="n">
        <v>0</v>
      </c>
      <c r="BB203" s="273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SU002947</t>
        </is>
      </c>
      <c r="B204" s="63" t="inlineStr">
        <is>
          <t>P003384</t>
        </is>
      </c>
      <c r="C204" s="36" t="n">
        <v>4301031221</v>
      </c>
      <c r="D204" s="745" t="n">
        <v>4680115882676</v>
      </c>
      <c r="E204" s="1062" t="n"/>
      <c r="F204" s="1100" t="n">
        <v>0.9</v>
      </c>
      <c r="G204" s="37" t="n">
        <v>6</v>
      </c>
      <c r="H204" s="1100" t="n">
        <v>5.4</v>
      </c>
      <c r="I204" s="1100" t="n">
        <v>5.61</v>
      </c>
      <c r="J204" s="37" t="n">
        <v>132</v>
      </c>
      <c r="K204" s="37" t="inlineStr">
        <is>
          <t>12</t>
        </is>
      </c>
      <c r="L204" s="37" t="inlineStr"/>
      <c r="M204" s="38" t="inlineStr">
        <is>
          <t>СК2</t>
        </is>
      </c>
      <c r="N204" s="38" t="n"/>
      <c r="O204" s="37" t="n">
        <v>40</v>
      </c>
      <c r="P204" s="1203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04" s="1102" t="n"/>
      <c r="R204" s="1102" t="n"/>
      <c r="S204" s="1102" t="n"/>
      <c r="T204" s="1103" t="n"/>
      <c r="U204" s="39" t="inlineStr"/>
      <c r="V204" s="39" t="inlineStr"/>
      <c r="W204" s="40" t="inlineStr">
        <is>
          <t>кг</t>
        </is>
      </c>
      <c r="X204" s="1104" t="n">
        <v>80</v>
      </c>
      <c r="Y204" s="1105">
        <f>IFERROR(IF(X204="",0,CEILING((X204/$H204),1)*$H204),"")</f>
        <v/>
      </c>
      <c r="Z204" s="41">
        <f>IFERROR(IF(Y204=0,"",ROUNDUP(Y204/H204,0)*0.00902),"")</f>
        <v/>
      </c>
      <c r="AA204" s="68" t="inlineStr"/>
      <c r="AB204" s="69" t="inlineStr"/>
      <c r="AC204" s="274" t="inlineStr">
        <is>
          <t>ЕАЭС N RU Д-RU.РА04.В.93161/23</t>
        </is>
      </c>
      <c r="AG204" s="78" t="n"/>
      <c r="AJ204" s="84" t="inlineStr"/>
      <c r="AK204" s="84" t="n">
        <v>0</v>
      </c>
      <c r="BB204" s="275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 ht="27" customHeight="1">
      <c r="A205" s="63" t="inlineStr">
        <is>
          <t>SU002944</t>
        </is>
      </c>
      <c r="B205" s="63" t="inlineStr">
        <is>
          <t>P003386</t>
        </is>
      </c>
      <c r="C205" s="36" t="n">
        <v>4301031223</v>
      </c>
      <c r="D205" s="745" t="n">
        <v>4680115884014</v>
      </c>
      <c r="E205" s="1062" t="n"/>
      <c r="F205" s="1100" t="n">
        <v>0.3</v>
      </c>
      <c r="G205" s="37" t="n">
        <v>6</v>
      </c>
      <c r="H205" s="1100" t="n">
        <v>1.8</v>
      </c>
      <c r="I205" s="1100" t="n">
        <v>1.93</v>
      </c>
      <c r="J205" s="37" t="n">
        <v>234</v>
      </c>
      <c r="K205" s="37" t="inlineStr">
        <is>
          <t>18</t>
        </is>
      </c>
      <c r="L205" s="37" t="inlineStr"/>
      <c r="M205" s="38" t="inlineStr">
        <is>
          <t>СК2</t>
        </is>
      </c>
      <c r="N205" s="38" t="n"/>
      <c r="O205" s="37" t="n">
        <v>40</v>
      </c>
      <c r="P205" s="1204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05" s="1102" t="n"/>
      <c r="R205" s="1102" t="n"/>
      <c r="S205" s="1102" t="n"/>
      <c r="T205" s="1103" t="n"/>
      <c r="U205" s="39" t="inlineStr"/>
      <c r="V205" s="39" t="inlineStr"/>
      <c r="W205" s="40" t="inlineStr">
        <is>
          <t>кг</t>
        </is>
      </c>
      <c r="X205" s="1104" t="n">
        <v>90</v>
      </c>
      <c r="Y205" s="1105">
        <f>IFERROR(IF(X205="",0,CEILING((X205/$H205),1)*$H205),"")</f>
        <v/>
      </c>
      <c r="Z205" s="41">
        <f>IFERROR(IF(Y205=0,"",ROUNDUP(Y205/H205,0)*0.00502),"")</f>
        <v/>
      </c>
      <c r="AA205" s="68" t="inlineStr"/>
      <c r="AB205" s="69" t="inlineStr"/>
      <c r="AC205" s="276" t="inlineStr">
        <is>
          <t>ЕАЭС N RU Д-RU.РА04.В.74420/23</t>
        </is>
      </c>
      <c r="AG205" s="78" t="n"/>
      <c r="AJ205" s="84" t="inlineStr"/>
      <c r="AK205" s="84" t="n">
        <v>0</v>
      </c>
      <c r="BB205" s="277" t="inlineStr">
        <is>
          <t>КИ</t>
        </is>
      </c>
      <c r="BM205" s="78">
        <f>IFERROR(X205*I205/H205,"0")</f>
        <v/>
      </c>
      <c r="BN205" s="78">
        <f>IFERROR(Y205*I205/H205,"0")</f>
        <v/>
      </c>
      <c r="BO205" s="78">
        <f>IFERROR(1/J205*(X205/H205),"0")</f>
        <v/>
      </c>
      <c r="BP205" s="78">
        <f>IFERROR(1/J205*(Y205/H205),"0")</f>
        <v/>
      </c>
    </row>
    <row r="206" ht="27" customHeight="1">
      <c r="A206" s="63" t="inlineStr">
        <is>
          <t>SU002942</t>
        </is>
      </c>
      <c r="B206" s="63" t="inlineStr">
        <is>
          <t>P003385</t>
        </is>
      </c>
      <c r="C206" s="36" t="n">
        <v>4301031222</v>
      </c>
      <c r="D206" s="745" t="n">
        <v>4680115884007</v>
      </c>
      <c r="E206" s="1062" t="n"/>
      <c r="F206" s="1100" t="n">
        <v>0.3</v>
      </c>
      <c r="G206" s="37" t="n">
        <v>6</v>
      </c>
      <c r="H206" s="1100" t="n">
        <v>1.8</v>
      </c>
      <c r="I206" s="1100" t="n">
        <v>1.9</v>
      </c>
      <c r="J206" s="37" t="n">
        <v>234</v>
      </c>
      <c r="K206" s="37" t="inlineStr">
        <is>
          <t>18</t>
        </is>
      </c>
      <c r="L206" s="37" t="inlineStr"/>
      <c r="M206" s="38" t="inlineStr">
        <is>
          <t>СК2</t>
        </is>
      </c>
      <c r="N206" s="38" t="n"/>
      <c r="O206" s="37" t="n">
        <v>40</v>
      </c>
      <c r="P206" s="1205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06" s="1102" t="n"/>
      <c r="R206" s="1102" t="n"/>
      <c r="S206" s="1102" t="n"/>
      <c r="T206" s="1103" t="n"/>
      <c r="U206" s="39" t="inlineStr"/>
      <c r="V206" s="39" t="inlineStr"/>
      <c r="W206" s="40" t="inlineStr">
        <is>
          <t>кг</t>
        </is>
      </c>
      <c r="X206" s="1104" t="n">
        <v>60</v>
      </c>
      <c r="Y206" s="1105">
        <f>IFERROR(IF(X206="",0,CEILING((X206/$H206),1)*$H206),"")</f>
        <v/>
      </c>
      <c r="Z206" s="41">
        <f>IFERROR(IF(Y206=0,"",ROUNDUP(Y206/H206,0)*0.00502),"")</f>
        <v/>
      </c>
      <c r="AA206" s="68" t="inlineStr"/>
      <c r="AB206" s="69" t="inlineStr"/>
      <c r="AC206" s="278" t="inlineStr">
        <is>
          <t>ЕАЭС N RU Д-RU.РА04.В.74256/23</t>
        </is>
      </c>
      <c r="AG206" s="78" t="n"/>
      <c r="AJ206" s="84" t="inlineStr"/>
      <c r="AK206" s="84" t="n">
        <v>0</v>
      </c>
      <c r="BB206" s="279" t="inlineStr">
        <is>
          <t>КИ</t>
        </is>
      </c>
      <c r="BM206" s="78">
        <f>IFERROR(X206*I206/H206,"0")</f>
        <v/>
      </c>
      <c r="BN206" s="78">
        <f>IFERROR(Y206*I206/H206,"0")</f>
        <v/>
      </c>
      <c r="BO206" s="78">
        <f>IFERROR(1/J206*(X206/H206),"0")</f>
        <v/>
      </c>
      <c r="BP206" s="78">
        <f>IFERROR(1/J206*(Y206/H206),"0")</f>
        <v/>
      </c>
    </row>
    <row r="207" ht="27" customHeight="1">
      <c r="A207" s="63" t="inlineStr">
        <is>
          <t>SU002946</t>
        </is>
      </c>
      <c r="B207" s="63" t="inlineStr">
        <is>
          <t>P003400</t>
        </is>
      </c>
      <c r="C207" s="36" t="n">
        <v>4301031229</v>
      </c>
      <c r="D207" s="745" t="n">
        <v>4680115884038</v>
      </c>
      <c r="E207" s="1062" t="n"/>
      <c r="F207" s="1100" t="n">
        <v>0.3</v>
      </c>
      <c r="G207" s="37" t="n">
        <v>6</v>
      </c>
      <c r="H207" s="1100" t="n">
        <v>1.8</v>
      </c>
      <c r="I207" s="1100" t="n">
        <v>1.9</v>
      </c>
      <c r="J207" s="37" t="n">
        <v>234</v>
      </c>
      <c r="K207" s="37" t="inlineStr">
        <is>
          <t>18</t>
        </is>
      </c>
      <c r="L207" s="37" t="inlineStr"/>
      <c r="M207" s="38" t="inlineStr">
        <is>
          <t>СК2</t>
        </is>
      </c>
      <c r="N207" s="38" t="n"/>
      <c r="O207" s="37" t="n">
        <v>40</v>
      </c>
      <c r="P207" s="1206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07" s="1102" t="n"/>
      <c r="R207" s="1102" t="n"/>
      <c r="S207" s="1102" t="n"/>
      <c r="T207" s="1103" t="n"/>
      <c r="U207" s="39" t="inlineStr"/>
      <c r="V207" s="39" t="inlineStr"/>
      <c r="W207" s="40" t="inlineStr">
        <is>
          <t>кг</t>
        </is>
      </c>
      <c r="X207" s="1104" t="n">
        <v>105</v>
      </c>
      <c r="Y207" s="1105">
        <f>IFERROR(IF(X207="",0,CEILING((X207/$H207),1)*$H207),"")</f>
        <v/>
      </c>
      <c r="Z207" s="41">
        <f>IFERROR(IF(Y207=0,"",ROUNDUP(Y207/H207,0)*0.00502),"")</f>
        <v/>
      </c>
      <c r="AA207" s="68" t="inlineStr"/>
      <c r="AB207" s="69" t="inlineStr"/>
      <c r="AC207" s="280" t="inlineStr">
        <is>
          <t>ЕАЭС N RU Д-RU.РА04.В.93220/23</t>
        </is>
      </c>
      <c r="AG207" s="78" t="n"/>
      <c r="AJ207" s="84" t="inlineStr"/>
      <c r="AK207" s="84" t="n">
        <v>0</v>
      </c>
      <c r="BB207" s="281" t="inlineStr">
        <is>
          <t>КИ</t>
        </is>
      </c>
      <c r="BM207" s="78">
        <f>IFERROR(X207*I207/H207,"0")</f>
        <v/>
      </c>
      <c r="BN207" s="78">
        <f>IFERROR(Y207*I207/H207,"0")</f>
        <v/>
      </c>
      <c r="BO207" s="78">
        <f>IFERROR(1/J207*(X207/H207),"0")</f>
        <v/>
      </c>
      <c r="BP207" s="78">
        <f>IFERROR(1/J207*(Y207/H207),"0")</f>
        <v/>
      </c>
    </row>
    <row r="208" ht="27" customHeight="1">
      <c r="A208" s="63" t="inlineStr">
        <is>
          <t>SU002948</t>
        </is>
      </c>
      <c r="B208" s="63" t="inlineStr">
        <is>
          <t>P003390</t>
        </is>
      </c>
      <c r="C208" s="36" t="n">
        <v>4301031225</v>
      </c>
      <c r="D208" s="745" t="n">
        <v>4680115884021</v>
      </c>
      <c r="E208" s="1062" t="n"/>
      <c r="F208" s="1100" t="n">
        <v>0.3</v>
      </c>
      <c r="G208" s="37" t="n">
        <v>6</v>
      </c>
      <c r="H208" s="1100" t="n">
        <v>1.8</v>
      </c>
      <c r="I208" s="1100" t="n">
        <v>1.9</v>
      </c>
      <c r="J208" s="37" t="n">
        <v>234</v>
      </c>
      <c r="K208" s="37" t="inlineStr">
        <is>
          <t>18</t>
        </is>
      </c>
      <c r="L208" s="37" t="inlineStr"/>
      <c r="M208" s="38" t="inlineStr">
        <is>
          <t>СК2</t>
        </is>
      </c>
      <c r="N208" s="38" t="n"/>
      <c r="O208" s="37" t="n">
        <v>40</v>
      </c>
      <c r="P208" s="1207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08" s="1102" t="n"/>
      <c r="R208" s="1102" t="n"/>
      <c r="S208" s="1102" t="n"/>
      <c r="T208" s="1103" t="n"/>
      <c r="U208" s="39" t="inlineStr"/>
      <c r="V208" s="39" t="inlineStr"/>
      <c r="W208" s="40" t="inlineStr">
        <is>
          <t>кг</t>
        </is>
      </c>
      <c r="X208" s="1104" t="n">
        <v>75</v>
      </c>
      <c r="Y208" s="1105">
        <f>IFERROR(IF(X208="",0,CEILING((X208/$H208),1)*$H208),"")</f>
        <v/>
      </c>
      <c r="Z208" s="41">
        <f>IFERROR(IF(Y208=0,"",ROUNDUP(Y208/H208,0)*0.00502),"")</f>
        <v/>
      </c>
      <c r="AA208" s="68" t="inlineStr"/>
      <c r="AB208" s="69" t="inlineStr"/>
      <c r="AC208" s="282" t="inlineStr">
        <is>
          <t>ЕАЭС N RU Д-RU.РА04.В.93161/23</t>
        </is>
      </c>
      <c r="AG208" s="78" t="n"/>
      <c r="AJ208" s="84" t="inlineStr"/>
      <c r="AK208" s="84" t="n">
        <v>0</v>
      </c>
      <c r="BB208" s="283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>
      <c r="A209" s="758" t="n"/>
      <c r="B209" s="1051" t="n"/>
      <c r="C209" s="1051" t="n"/>
      <c r="D209" s="1051" t="n"/>
      <c r="E209" s="1051" t="n"/>
      <c r="F209" s="1051" t="n"/>
      <c r="G209" s="1051" t="n"/>
      <c r="H209" s="1051" t="n"/>
      <c r="I209" s="1051" t="n"/>
      <c r="J209" s="1051" t="n"/>
      <c r="K209" s="1051" t="n"/>
      <c r="L209" s="1051" t="n"/>
      <c r="M209" s="1051" t="n"/>
      <c r="N209" s="1051" t="n"/>
      <c r="O209" s="1111" t="n"/>
      <c r="P209" s="1112" t="inlineStr">
        <is>
          <t>Итого</t>
        </is>
      </c>
      <c r="Q209" s="1069" t="n"/>
      <c r="R209" s="1069" t="n"/>
      <c r="S209" s="1069" t="n"/>
      <c r="T209" s="1069" t="n"/>
      <c r="U209" s="1069" t="n"/>
      <c r="V209" s="1070" t="n"/>
      <c r="W209" s="42" t="inlineStr">
        <is>
          <t>кор</t>
        </is>
      </c>
      <c r="X209" s="1113">
        <f>IFERROR(X201/H201,"0")+IFERROR(X202/H202,"0")+IFERROR(X203/H203,"0")+IFERROR(X204/H204,"0")+IFERROR(X205/H205,"0")+IFERROR(X206/H206,"0")+IFERROR(X207/H207,"0")+IFERROR(X208/H208,"0")</f>
        <v/>
      </c>
      <c r="Y209" s="1113">
        <f>IFERROR(Y201/H201,"0")+IFERROR(Y202/H202,"0")+IFERROR(Y203/H203,"0")+IFERROR(Y204/H204,"0")+IFERROR(Y205/H205,"0")+IFERROR(Y206/H206,"0")+IFERROR(Y207/H207,"0")+IFERROR(Y208/H208,"0")</f>
        <v/>
      </c>
      <c r="Z209" s="111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/>
      </c>
      <c r="AA209" s="1114" t="n"/>
      <c r="AB209" s="1114" t="n"/>
      <c r="AC209" s="1114" t="n"/>
    </row>
    <row r="210">
      <c r="A210" s="1051" t="n"/>
      <c r="B210" s="1051" t="n"/>
      <c r="C210" s="1051" t="n"/>
      <c r="D210" s="1051" t="n"/>
      <c r="E210" s="1051" t="n"/>
      <c r="F210" s="1051" t="n"/>
      <c r="G210" s="1051" t="n"/>
      <c r="H210" s="1051" t="n"/>
      <c r="I210" s="1051" t="n"/>
      <c r="J210" s="1051" t="n"/>
      <c r="K210" s="1051" t="n"/>
      <c r="L210" s="1051" t="n"/>
      <c r="M210" s="1051" t="n"/>
      <c r="N210" s="1051" t="n"/>
      <c r="O210" s="1111" t="n"/>
      <c r="P210" s="1112" t="inlineStr">
        <is>
          <t>Итого</t>
        </is>
      </c>
      <c r="Q210" s="1069" t="n"/>
      <c r="R210" s="1069" t="n"/>
      <c r="S210" s="1069" t="n"/>
      <c r="T210" s="1069" t="n"/>
      <c r="U210" s="1069" t="n"/>
      <c r="V210" s="1070" t="n"/>
      <c r="W210" s="42" t="inlineStr">
        <is>
          <t>кг</t>
        </is>
      </c>
      <c r="X210" s="1113">
        <f>IFERROR(SUM(X201:X208),"0")</f>
        <v/>
      </c>
      <c r="Y210" s="1113">
        <f>IFERROR(SUM(Y201:Y208),"0")</f>
        <v/>
      </c>
      <c r="Z210" s="42" t="n"/>
      <c r="AA210" s="1114" t="n"/>
      <c r="AB210" s="1114" t="n"/>
      <c r="AC210" s="1114" t="n"/>
    </row>
    <row r="211" ht="14.25" customHeight="1">
      <c r="A211" s="744" t="inlineStr">
        <is>
          <t>Сосиски</t>
        </is>
      </c>
      <c r="B211" s="1051" t="n"/>
      <c r="C211" s="1051" t="n"/>
      <c r="D211" s="1051" t="n"/>
      <c r="E211" s="1051" t="n"/>
      <c r="F211" s="1051" t="n"/>
      <c r="G211" s="1051" t="n"/>
      <c r="H211" s="1051" t="n"/>
      <c r="I211" s="1051" t="n"/>
      <c r="J211" s="1051" t="n"/>
      <c r="K211" s="1051" t="n"/>
      <c r="L211" s="1051" t="n"/>
      <c r="M211" s="1051" t="n"/>
      <c r="N211" s="1051" t="n"/>
      <c r="O211" s="1051" t="n"/>
      <c r="P211" s="1051" t="n"/>
      <c r="Q211" s="1051" t="n"/>
      <c r="R211" s="1051" t="n"/>
      <c r="S211" s="1051" t="n"/>
      <c r="T211" s="1051" t="n"/>
      <c r="U211" s="1051" t="n"/>
      <c r="V211" s="1051" t="n"/>
      <c r="W211" s="1051" t="n"/>
      <c r="X211" s="1051" t="n"/>
      <c r="Y211" s="1051" t="n"/>
      <c r="Z211" s="1051" t="n"/>
      <c r="AA211" s="744" t="n"/>
      <c r="AB211" s="744" t="n"/>
      <c r="AC211" s="744" t="n"/>
    </row>
    <row r="212" ht="27" customHeight="1">
      <c r="A212" s="63" t="inlineStr">
        <is>
          <t>SU002843</t>
        </is>
      </c>
      <c r="B212" s="63" t="inlineStr">
        <is>
          <t>P003263</t>
        </is>
      </c>
      <c r="C212" s="36" t="n">
        <v>4301051408</v>
      </c>
      <c r="D212" s="745" t="n">
        <v>4680115881594</v>
      </c>
      <c r="E212" s="1062" t="n"/>
      <c r="F212" s="1100" t="n">
        <v>1.35</v>
      </c>
      <c r="G212" s="37" t="n">
        <v>6</v>
      </c>
      <c r="H212" s="1100" t="n">
        <v>8.1</v>
      </c>
      <c r="I212" s="1100" t="n">
        <v>8.619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40</v>
      </c>
      <c r="P212" s="1208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12" s="1102" t="n"/>
      <c r="R212" s="1102" t="n"/>
      <c r="S212" s="1102" t="n"/>
      <c r="T212" s="1103" t="n"/>
      <c r="U212" s="39" t="inlineStr"/>
      <c r="V212" s="39" t="inlineStr"/>
      <c r="W212" s="40" t="inlineStr">
        <is>
          <t>кг</t>
        </is>
      </c>
      <c r="X212" s="1104" t="n">
        <v>0</v>
      </c>
      <c r="Y212" s="1105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84" t="inlineStr">
        <is>
          <t>ЕАЭС N RU Д-RU.РА01.В.99284/23, ЕАЭС N RU Д-RU.РА01.В.99309/23</t>
        </is>
      </c>
      <c r="AG212" s="78" t="n"/>
      <c r="AJ212" s="84" t="inlineStr"/>
      <c r="AK212" s="84" t="n">
        <v>0</v>
      </c>
      <c r="BB212" s="285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 ht="27" customHeight="1">
      <c r="A213" s="63" t="inlineStr">
        <is>
          <t>SU002845</t>
        </is>
      </c>
      <c r="B213" s="63" t="inlineStr">
        <is>
          <t>P003266</t>
        </is>
      </c>
      <c r="C213" s="36" t="n">
        <v>4301051411</v>
      </c>
      <c r="D213" s="745" t="n">
        <v>4680115881617</v>
      </c>
      <c r="E213" s="1062" t="n"/>
      <c r="F213" s="1100" t="n">
        <v>1.35</v>
      </c>
      <c r="G213" s="37" t="n">
        <v>6</v>
      </c>
      <c r="H213" s="1100" t="n">
        <v>8.1</v>
      </c>
      <c r="I213" s="1100" t="n">
        <v>8.601000000000001</v>
      </c>
      <c r="J213" s="37" t="n">
        <v>64</v>
      </c>
      <c r="K213" s="37" t="inlineStr">
        <is>
          <t>8</t>
        </is>
      </c>
      <c r="L213" s="37" t="inlineStr"/>
      <c r="M213" s="38" t="inlineStr">
        <is>
          <t>СК3</t>
        </is>
      </c>
      <c r="N213" s="38" t="n"/>
      <c r="O213" s="37" t="n">
        <v>40</v>
      </c>
      <c r="P213" s="1209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13" s="1102" t="n"/>
      <c r="R213" s="1102" t="n"/>
      <c r="S213" s="1102" t="n"/>
      <c r="T213" s="1103" t="n"/>
      <c r="U213" s="39" t="inlineStr"/>
      <c r="V213" s="39" t="inlineStr"/>
      <c r="W213" s="40" t="inlineStr">
        <is>
          <t>кг</t>
        </is>
      </c>
      <c r="X213" s="1104" t="n">
        <v>0</v>
      </c>
      <c r="Y213" s="1105">
        <f>IFERROR(IF(X213="",0,CEILING((X213/$H213),1)*$H213),"")</f>
        <v/>
      </c>
      <c r="Z213" s="41">
        <f>IFERROR(IF(Y213=0,"",ROUNDUP(Y213/H213,0)*0.01898),"")</f>
        <v/>
      </c>
      <c r="AA213" s="68" t="inlineStr"/>
      <c r="AB213" s="69" t="inlineStr"/>
      <c r="AC213" s="286" t="inlineStr">
        <is>
          <t>ЕАЭС N RU Д-RU.РА01.В.99153/23, ЕАЭС N RU Д-RU.РА01.В.99184/23</t>
        </is>
      </c>
      <c r="AG213" s="78" t="n"/>
      <c r="AJ213" s="84" t="inlineStr"/>
      <c r="AK213" s="84" t="n">
        <v>0</v>
      </c>
      <c r="BB213" s="287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16.5" customHeight="1">
      <c r="A214" s="63" t="inlineStr">
        <is>
          <t>SU002725</t>
        </is>
      </c>
      <c r="B214" s="63" t="inlineStr">
        <is>
          <t>P003959</t>
        </is>
      </c>
      <c r="C214" s="36" t="n">
        <v>4301051656</v>
      </c>
      <c r="D214" s="745" t="n">
        <v>4680115880573</v>
      </c>
      <c r="E214" s="1062" t="n"/>
      <c r="F214" s="1100" t="n">
        <v>1.45</v>
      </c>
      <c r="G214" s="37" t="n">
        <v>6</v>
      </c>
      <c r="H214" s="1100" t="n">
        <v>8.699999999999999</v>
      </c>
      <c r="I214" s="1100" t="n">
        <v>9.218999999999999</v>
      </c>
      <c r="J214" s="37" t="n">
        <v>64</v>
      </c>
      <c r="K214" s="37" t="inlineStr">
        <is>
          <t>8</t>
        </is>
      </c>
      <c r="L214" s="37" t="inlineStr"/>
      <c r="M214" s="38" t="inlineStr">
        <is>
          <t>СК3</t>
        </is>
      </c>
      <c r="N214" s="38" t="n"/>
      <c r="O214" s="37" t="n">
        <v>45</v>
      </c>
      <c r="P214" s="1210">
        <f>HYPERLINK("https://abi.ru/products/Охлажденные/Стародворье/Сочинка/Сосиски/P003959/","Сосиски «Сочинки» Весовой п/а ТМ «Стародворье»")</f>
        <v/>
      </c>
      <c r="Q214" s="1102" t="n"/>
      <c r="R214" s="1102" t="n"/>
      <c r="S214" s="1102" t="n"/>
      <c r="T214" s="1103" t="n"/>
      <c r="U214" s="39" t="inlineStr"/>
      <c r="V214" s="39" t="inlineStr"/>
      <c r="W214" s="40" t="inlineStr">
        <is>
          <t>кг</t>
        </is>
      </c>
      <c r="X214" s="1104" t="n">
        <v>50</v>
      </c>
      <c r="Y214" s="1105">
        <f>IFERROR(IF(X214="",0,CEILING((X214/$H214),1)*$H214),"")</f>
        <v/>
      </c>
      <c r="Z214" s="41">
        <f>IFERROR(IF(Y214=0,"",ROUNDUP(Y214/H214,0)*0.01898),"")</f>
        <v/>
      </c>
      <c r="AA214" s="68" t="inlineStr"/>
      <c r="AB214" s="69" t="inlineStr"/>
      <c r="AC214" s="288" t="inlineStr">
        <is>
          <t>ЕАЭС N RU Д-RU.РА01.В.93966/24</t>
        </is>
      </c>
      <c r="AG214" s="78" t="n"/>
      <c r="AJ214" s="84" t="inlineStr"/>
      <c r="AK214" s="84" t="n">
        <v>0</v>
      </c>
      <c r="BB214" s="289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SU002842</t>
        </is>
      </c>
      <c r="B215" s="63" t="inlineStr">
        <is>
          <t>P003262</t>
        </is>
      </c>
      <c r="C215" s="36" t="n">
        <v>4301051407</v>
      </c>
      <c r="D215" s="745" t="n">
        <v>4680115882195</v>
      </c>
      <c r="E215" s="1062" t="n"/>
      <c r="F215" s="1100" t="n">
        <v>0.4</v>
      </c>
      <c r="G215" s="37" t="n">
        <v>6</v>
      </c>
      <c r="H215" s="1100" t="n">
        <v>2.4</v>
      </c>
      <c r="I215" s="1100" t="n">
        <v>2.67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211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15" s="1102" t="n"/>
      <c r="R215" s="1102" t="n"/>
      <c r="S215" s="1102" t="n"/>
      <c r="T215" s="1103" t="n"/>
      <c r="U215" s="39" t="inlineStr"/>
      <c r="V215" s="39" t="inlineStr"/>
      <c r="W215" s="40" t="inlineStr">
        <is>
          <t>кг</t>
        </is>
      </c>
      <c r="X215" s="1104" t="n">
        <v>240</v>
      </c>
      <c r="Y215" s="1105">
        <f>IFERROR(IF(X215="",0,CEILING((X215/$H215),1)*$H215),"")</f>
        <v/>
      </c>
      <c r="Z215" s="41">
        <f>IFERROR(IF(Y215=0,"",ROUNDUP(Y215/H215,0)*0.00651),"")</f>
        <v/>
      </c>
      <c r="AA215" s="68" t="inlineStr"/>
      <c r="AB215" s="69" t="inlineStr"/>
      <c r="AC215" s="290" t="inlineStr">
        <is>
          <t>ЕАЭС N RU Д-RU.РА01.В.99284/23, ЕАЭС N RU Д-RU.РА01.В.99309/23</t>
        </is>
      </c>
      <c r="AG215" s="78" t="n"/>
      <c r="AJ215" s="84" t="inlineStr"/>
      <c r="AK215" s="84" t="n">
        <v>0</v>
      </c>
      <c r="BB215" s="291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27" customHeight="1">
      <c r="A216" s="63" t="inlineStr">
        <is>
          <t>SU002992</t>
        </is>
      </c>
      <c r="B216" s="63" t="inlineStr">
        <is>
          <t>P004147</t>
        </is>
      </c>
      <c r="C216" s="36" t="n">
        <v>4301051752</v>
      </c>
      <c r="D216" s="745" t="n">
        <v>4680115882607</v>
      </c>
      <c r="E216" s="1062" t="n"/>
      <c r="F216" s="1100" t="n">
        <v>0.3</v>
      </c>
      <c r="G216" s="37" t="n">
        <v>6</v>
      </c>
      <c r="H216" s="1100" t="n">
        <v>1.8</v>
      </c>
      <c r="I216" s="1100" t="n">
        <v>2.052</v>
      </c>
      <c r="J216" s="37" t="n">
        <v>182</v>
      </c>
      <c r="K216" s="37" t="inlineStr">
        <is>
          <t>14</t>
        </is>
      </c>
      <c r="L216" s="37" t="inlineStr"/>
      <c r="M216" s="38" t="inlineStr">
        <is>
          <t>СК4</t>
        </is>
      </c>
      <c r="N216" s="38" t="n"/>
      <c r="O216" s="37" t="n">
        <v>45</v>
      </c>
      <c r="P216" s="1212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16" s="1102" t="n"/>
      <c r="R216" s="1102" t="n"/>
      <c r="S216" s="1102" t="n"/>
      <c r="T216" s="1103" t="n"/>
      <c r="U216" s="39" t="inlineStr"/>
      <c r="V216" s="39" t="inlineStr"/>
      <c r="W216" s="40" t="inlineStr">
        <is>
          <t>кг</t>
        </is>
      </c>
      <c r="X216" s="1104" t="n">
        <v>0</v>
      </c>
      <c r="Y216" s="1105">
        <f>IFERROR(IF(X216="",0,CEILING((X216/$H216),1)*$H216),"")</f>
        <v/>
      </c>
      <c r="Z216" s="41">
        <f>IFERROR(IF(Y216=0,"",ROUNDUP(Y216/H216,0)*0.00651),"")</f>
        <v/>
      </c>
      <c r="AA216" s="68" t="inlineStr"/>
      <c r="AB216" s="69" t="inlineStr"/>
      <c r="AC216" s="292" t="inlineStr">
        <is>
          <t>ЕАЭС N RU Д-RU.РА01.В.93966/24, ЕАЭС N RU Д-RU.РА08.В.57431/22</t>
        </is>
      </c>
      <c r="AG216" s="78" t="n"/>
      <c r="AJ216" s="84" t="inlineStr"/>
      <c r="AK216" s="84" t="n">
        <v>0</v>
      </c>
      <c r="BB216" s="293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SU002618</t>
        </is>
      </c>
      <c r="B217" s="63" t="inlineStr">
        <is>
          <t>P003957</t>
        </is>
      </c>
      <c r="C217" s="36" t="n">
        <v>4301051666</v>
      </c>
      <c r="D217" s="745" t="n">
        <v>4680115880092</v>
      </c>
      <c r="E217" s="1062" t="n"/>
      <c r="F217" s="1100" t="n">
        <v>0.4</v>
      </c>
      <c r="G217" s="37" t="n">
        <v>6</v>
      </c>
      <c r="H217" s="1100" t="n">
        <v>2.4</v>
      </c>
      <c r="I217" s="1100" t="n">
        <v>2.652</v>
      </c>
      <c r="J217" s="37" t="n">
        <v>182</v>
      </c>
      <c r="K217" s="37" t="inlineStr">
        <is>
          <t>14</t>
        </is>
      </c>
      <c r="L217" s="37" t="inlineStr"/>
      <c r="M217" s="38" t="inlineStr">
        <is>
          <t>СК3</t>
        </is>
      </c>
      <c r="N217" s="38" t="n"/>
      <c r="O217" s="37" t="n">
        <v>45</v>
      </c>
      <c r="P217" s="1213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17" s="1102" t="n"/>
      <c r="R217" s="1102" t="n"/>
      <c r="S217" s="1102" t="n"/>
      <c r="T217" s="1103" t="n"/>
      <c r="U217" s="39" t="inlineStr"/>
      <c r="V217" s="39" t="inlineStr"/>
      <c r="W217" s="40" t="inlineStr">
        <is>
          <t>кг</t>
        </is>
      </c>
      <c r="X217" s="1104" t="n">
        <v>180</v>
      </c>
      <c r="Y217" s="1105">
        <f>IFERROR(IF(X217="",0,CEILING((X217/$H217),1)*$H217),"")</f>
        <v/>
      </c>
      <c r="Z217" s="41">
        <f>IFERROR(IF(Y217=0,"",ROUNDUP(Y217/H217,0)*0.00651),"")</f>
        <v/>
      </c>
      <c r="AA217" s="68" t="inlineStr"/>
      <c r="AB217" s="69" t="inlineStr"/>
      <c r="AC217" s="294" t="inlineStr">
        <is>
          <t>ЕАЭС N RU Д-RU.РА01.В.93966/24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SU002621</t>
        </is>
      </c>
      <c r="B218" s="63" t="inlineStr">
        <is>
          <t>P003958</t>
        </is>
      </c>
      <c r="C218" s="36" t="n">
        <v>4301051668</v>
      </c>
      <c r="D218" s="745" t="n">
        <v>4680115880221</v>
      </c>
      <c r="E218" s="1062" t="n"/>
      <c r="F218" s="1100" t="n">
        <v>0.4</v>
      </c>
      <c r="G218" s="37" t="n">
        <v>6</v>
      </c>
      <c r="H218" s="1100" t="n">
        <v>2.4</v>
      </c>
      <c r="I218" s="1100" t="n">
        <v>2.652</v>
      </c>
      <c r="J218" s="37" t="n">
        <v>182</v>
      </c>
      <c r="K218" s="37" t="inlineStr">
        <is>
          <t>14</t>
        </is>
      </c>
      <c r="L218" s="37" t="inlineStr"/>
      <c r="M218" s="38" t="inlineStr">
        <is>
          <t>СК3</t>
        </is>
      </c>
      <c r="N218" s="38" t="n"/>
      <c r="O218" s="37" t="n">
        <v>45</v>
      </c>
      <c r="P218" s="1214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18" s="1102" t="n"/>
      <c r="R218" s="1102" t="n"/>
      <c r="S218" s="1102" t="n"/>
      <c r="T218" s="1103" t="n"/>
      <c r="U218" s="39" t="inlineStr"/>
      <c r="V218" s="39" t="inlineStr"/>
      <c r="W218" s="40" t="inlineStr">
        <is>
          <t>кг</t>
        </is>
      </c>
      <c r="X218" s="1104" t="n">
        <v>0</v>
      </c>
      <c r="Y218" s="1105">
        <f>IFERROR(IF(X218="",0,CEILING((X218/$H218),1)*$H218),"")</f>
        <v/>
      </c>
      <c r="Z218" s="41">
        <f>IFERROR(IF(Y218=0,"",ROUNDUP(Y218/H218,0)*0.00651),"")</f>
        <v/>
      </c>
      <c r="AA218" s="68" t="inlineStr"/>
      <c r="AB218" s="69" t="inlineStr"/>
      <c r="AC218" s="296" t="inlineStr">
        <is>
          <t>ЕАЭС N RU Д-RU.РА01.В.93966/24</t>
        </is>
      </c>
      <c r="AG218" s="78" t="n"/>
      <c r="AJ218" s="84" t="inlineStr"/>
      <c r="AK218" s="84" t="n">
        <v>0</v>
      </c>
      <c r="BB218" s="297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SU002686</t>
        </is>
      </c>
      <c r="B219" s="63" t="inlineStr">
        <is>
          <t>P004178</t>
        </is>
      </c>
      <c r="C219" s="36" t="n">
        <v>4301051945</v>
      </c>
      <c r="D219" s="745" t="n">
        <v>4680115880504</v>
      </c>
      <c r="E219" s="1062" t="n"/>
      <c r="F219" s="1100" t="n">
        <v>0.4</v>
      </c>
      <c r="G219" s="37" t="n">
        <v>6</v>
      </c>
      <c r="H219" s="1100" t="n">
        <v>2.4</v>
      </c>
      <c r="I219" s="1100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215">
        <f>HYPERLINK("https://abi.ru/products/Охлажденные/Стародворье/Сочинка/Сосиски/P004178/","Сосиски Сочинки с сыром Бордо ф/в 0,4 кг п/а Стародворье")</f>
        <v/>
      </c>
      <c r="Q219" s="1102" t="n"/>
      <c r="R219" s="1102" t="n"/>
      <c r="S219" s="1102" t="n"/>
      <c r="T219" s="1103" t="n"/>
      <c r="U219" s="39" t="inlineStr"/>
      <c r="V219" s="39" t="inlineStr"/>
      <c r="W219" s="40" t="inlineStr">
        <is>
          <t>кг</t>
        </is>
      </c>
      <c r="X219" s="1104" t="n">
        <v>80</v>
      </c>
      <c r="Y219" s="1105">
        <f>IFERROR(IF(X219="",0,CEILING((X219/$H219),1)*$H219),"")</f>
        <v/>
      </c>
      <c r="Z219" s="41">
        <f>IFERROR(IF(Y219=0,"",ROUNDUP(Y219/H219,0)*0.00651),"")</f>
        <v/>
      </c>
      <c r="AA219" s="68" t="inlineStr"/>
      <c r="AB219" s="69" t="inlineStr"/>
      <c r="AC219" s="298" t="inlineStr">
        <is>
          <t>ЕАЭС N RU Д-RU.РА02.В.51546/24, ЕАЭС N RU Д-RU.РА03.В.47009/25</t>
        </is>
      </c>
      <c r="AG219" s="78" t="n"/>
      <c r="AJ219" s="84" t="inlineStr"/>
      <c r="AK219" s="84" t="n">
        <v>0</v>
      </c>
      <c r="BB219" s="299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SU002844</t>
        </is>
      </c>
      <c r="B220" s="63" t="inlineStr">
        <is>
          <t>P003265</t>
        </is>
      </c>
      <c r="C220" s="36" t="n">
        <v>4301051410</v>
      </c>
      <c r="D220" s="745" t="n">
        <v>4680115882164</v>
      </c>
      <c r="E220" s="1062" t="n"/>
      <c r="F220" s="1100" t="n">
        <v>0.4</v>
      </c>
      <c r="G220" s="37" t="n">
        <v>6</v>
      </c>
      <c r="H220" s="1100" t="n">
        <v>2.4</v>
      </c>
      <c r="I220" s="1100" t="n">
        <v>2.658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216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20" s="1102" t="n"/>
      <c r="R220" s="1102" t="n"/>
      <c r="S220" s="1102" t="n"/>
      <c r="T220" s="1103" t="n"/>
      <c r="U220" s="39" t="inlineStr"/>
      <c r="V220" s="39" t="inlineStr"/>
      <c r="W220" s="40" t="inlineStr">
        <is>
          <t>кг</t>
        </is>
      </c>
      <c r="X220" s="1104" t="n">
        <v>280</v>
      </c>
      <c r="Y220" s="1105">
        <f>IFERROR(IF(X220="",0,CEILING((X220/$H220),1)*$H220),"")</f>
        <v/>
      </c>
      <c r="Z220" s="41">
        <f>IFERROR(IF(Y220=0,"",ROUNDUP(Y220/H220,0)*0.00651),"")</f>
        <v/>
      </c>
      <c r="AA220" s="68" t="inlineStr"/>
      <c r="AB220" s="69" t="inlineStr"/>
      <c r="AC220" s="300" t="inlineStr">
        <is>
          <t>ЕАЭС N RU Д-RU.РА01.В.99184/23</t>
        </is>
      </c>
      <c r="AG220" s="78" t="n"/>
      <c r="AJ220" s="84" t="inlineStr"/>
      <c r="AK220" s="84" t="n">
        <v>0</v>
      </c>
      <c r="BB220" s="301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>
      <c r="A221" s="758" t="n"/>
      <c r="B221" s="1051" t="n"/>
      <c r="C221" s="1051" t="n"/>
      <c r="D221" s="1051" t="n"/>
      <c r="E221" s="1051" t="n"/>
      <c r="F221" s="1051" t="n"/>
      <c r="G221" s="1051" t="n"/>
      <c r="H221" s="1051" t="n"/>
      <c r="I221" s="1051" t="n"/>
      <c r="J221" s="1051" t="n"/>
      <c r="K221" s="1051" t="n"/>
      <c r="L221" s="1051" t="n"/>
      <c r="M221" s="1051" t="n"/>
      <c r="N221" s="1051" t="n"/>
      <c r="O221" s="1111" t="n"/>
      <c r="P221" s="1112" t="inlineStr">
        <is>
          <t>Итого</t>
        </is>
      </c>
      <c r="Q221" s="1069" t="n"/>
      <c r="R221" s="1069" t="n"/>
      <c r="S221" s="1069" t="n"/>
      <c r="T221" s="1069" t="n"/>
      <c r="U221" s="1069" t="n"/>
      <c r="V221" s="1070" t="n"/>
      <c r="W221" s="42" t="inlineStr">
        <is>
          <t>кор</t>
        </is>
      </c>
      <c r="X221" s="1113">
        <f>IFERROR(X212/H212,"0")+IFERROR(X213/H213,"0")+IFERROR(X214/H214,"0")+IFERROR(X215/H215,"0")+IFERROR(X216/H216,"0")+IFERROR(X217/H217,"0")+IFERROR(X218/H218,"0")+IFERROR(X219/H219,"0")+IFERROR(X220/H220,"0")</f>
        <v/>
      </c>
      <c r="Y221" s="1113">
        <f>IFERROR(Y212/H212,"0")+IFERROR(Y213/H213,"0")+IFERROR(Y214/H214,"0")+IFERROR(Y215/H215,"0")+IFERROR(Y216/H216,"0")+IFERROR(Y217/H217,"0")+IFERROR(Y218/H218,"0")+IFERROR(Y219/H219,"0")+IFERROR(Y220/H220,"0")</f>
        <v/>
      </c>
      <c r="Z221" s="111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/>
      </c>
      <c r="AA221" s="1114" t="n"/>
      <c r="AB221" s="1114" t="n"/>
      <c r="AC221" s="1114" t="n"/>
    </row>
    <row r="222">
      <c r="A222" s="1051" t="n"/>
      <c r="B222" s="1051" t="n"/>
      <c r="C222" s="1051" t="n"/>
      <c r="D222" s="1051" t="n"/>
      <c r="E222" s="1051" t="n"/>
      <c r="F222" s="1051" t="n"/>
      <c r="G222" s="1051" t="n"/>
      <c r="H222" s="1051" t="n"/>
      <c r="I222" s="1051" t="n"/>
      <c r="J222" s="1051" t="n"/>
      <c r="K222" s="1051" t="n"/>
      <c r="L222" s="1051" t="n"/>
      <c r="M222" s="1051" t="n"/>
      <c r="N222" s="1051" t="n"/>
      <c r="O222" s="1111" t="n"/>
      <c r="P222" s="1112" t="inlineStr">
        <is>
          <t>Итого</t>
        </is>
      </c>
      <c r="Q222" s="1069" t="n"/>
      <c r="R222" s="1069" t="n"/>
      <c r="S222" s="1069" t="n"/>
      <c r="T222" s="1069" t="n"/>
      <c r="U222" s="1069" t="n"/>
      <c r="V222" s="1070" t="n"/>
      <c r="W222" s="42" t="inlineStr">
        <is>
          <t>кг</t>
        </is>
      </c>
      <c r="X222" s="1113">
        <f>IFERROR(SUM(X212:X220),"0")</f>
        <v/>
      </c>
      <c r="Y222" s="1113">
        <f>IFERROR(SUM(Y212:Y220),"0")</f>
        <v/>
      </c>
      <c r="Z222" s="42" t="n"/>
      <c r="AA222" s="1114" t="n"/>
      <c r="AB222" s="1114" t="n"/>
      <c r="AC222" s="1114" t="n"/>
    </row>
    <row r="223" ht="14.25" customHeight="1">
      <c r="A223" s="744" t="inlineStr">
        <is>
          <t>Сардельки</t>
        </is>
      </c>
      <c r="B223" s="1051" t="n"/>
      <c r="C223" s="1051" t="n"/>
      <c r="D223" s="1051" t="n"/>
      <c r="E223" s="1051" t="n"/>
      <c r="F223" s="1051" t="n"/>
      <c r="G223" s="1051" t="n"/>
      <c r="H223" s="1051" t="n"/>
      <c r="I223" s="1051" t="n"/>
      <c r="J223" s="1051" t="n"/>
      <c r="K223" s="1051" t="n"/>
      <c r="L223" s="1051" t="n"/>
      <c r="M223" s="1051" t="n"/>
      <c r="N223" s="1051" t="n"/>
      <c r="O223" s="1051" t="n"/>
      <c r="P223" s="1051" t="n"/>
      <c r="Q223" s="1051" t="n"/>
      <c r="R223" s="1051" t="n"/>
      <c r="S223" s="1051" t="n"/>
      <c r="T223" s="1051" t="n"/>
      <c r="U223" s="1051" t="n"/>
      <c r="V223" s="1051" t="n"/>
      <c r="W223" s="1051" t="n"/>
      <c r="X223" s="1051" t="n"/>
      <c r="Y223" s="1051" t="n"/>
      <c r="Z223" s="1051" t="n"/>
      <c r="AA223" s="744" t="n"/>
      <c r="AB223" s="744" t="n"/>
      <c r="AC223" s="744" t="n"/>
    </row>
    <row r="224" ht="27" customHeight="1">
      <c r="A224" s="63" t="inlineStr">
        <is>
          <t>SU002759</t>
        </is>
      </c>
      <c r="B224" s="63" t="inlineStr">
        <is>
          <t>P003961</t>
        </is>
      </c>
      <c r="C224" s="36" t="n">
        <v>4301060463</v>
      </c>
      <c r="D224" s="745" t="n">
        <v>4680115880818</v>
      </c>
      <c r="E224" s="1062" t="n"/>
      <c r="F224" s="1100" t="n">
        <v>0.4</v>
      </c>
      <c r="G224" s="37" t="n">
        <v>6</v>
      </c>
      <c r="H224" s="1100" t="n">
        <v>2.4</v>
      </c>
      <c r="I224" s="1100" t="n">
        <v>2.652</v>
      </c>
      <c r="J224" s="37" t="n">
        <v>182</v>
      </c>
      <c r="K224" s="37" t="inlineStr">
        <is>
          <t>14</t>
        </is>
      </c>
      <c r="L224" s="37" t="inlineStr"/>
      <c r="M224" s="38" t="inlineStr">
        <is>
          <t>СК4</t>
        </is>
      </c>
      <c r="N224" s="38" t="n"/>
      <c r="O224" s="37" t="n">
        <v>40</v>
      </c>
      <c r="P224" s="1217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24" s="1102" t="n"/>
      <c r="R224" s="1102" t="n"/>
      <c r="S224" s="1102" t="n"/>
      <c r="T224" s="1103" t="n"/>
      <c r="U224" s="39" t="inlineStr"/>
      <c r="V224" s="39" t="inlineStr"/>
      <c r="W224" s="40" t="inlineStr">
        <is>
          <t>кг</t>
        </is>
      </c>
      <c r="X224" s="1104" t="n">
        <v>12</v>
      </c>
      <c r="Y224" s="1105">
        <f>IFERROR(IF(X224="",0,CEILING((X224/$H224),1)*$H224),"")</f>
        <v/>
      </c>
      <c r="Z224" s="41">
        <f>IFERROR(IF(Y224=0,"",ROUNDUP(Y224/H224,0)*0.00651),"")</f>
        <v/>
      </c>
      <c r="AA224" s="68" t="inlineStr"/>
      <c r="AB224" s="69" t="inlineStr"/>
      <c r="AC224" s="302" t="inlineStr">
        <is>
          <t>ЕАЭС N RU Д-RU.РА01.В.93743/24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SU002758</t>
        </is>
      </c>
      <c r="B225" s="63" t="inlineStr">
        <is>
          <t>P003960</t>
        </is>
      </c>
      <c r="C225" s="36" t="n">
        <v>4301060389</v>
      </c>
      <c r="D225" s="745" t="n">
        <v>4680115880801</v>
      </c>
      <c r="E225" s="1062" t="n"/>
      <c r="F225" s="1100" t="n">
        <v>0.4</v>
      </c>
      <c r="G225" s="37" t="n">
        <v>6</v>
      </c>
      <c r="H225" s="1100" t="n">
        <v>2.4</v>
      </c>
      <c r="I225" s="1100" t="n">
        <v>2.652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СК3</t>
        </is>
      </c>
      <c r="N225" s="38" t="n"/>
      <c r="O225" s="37" t="n">
        <v>40</v>
      </c>
      <c r="P225" s="1218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25" s="1102" t="n"/>
      <c r="R225" s="1102" t="n"/>
      <c r="S225" s="1102" t="n"/>
      <c r="T225" s="1103" t="n"/>
      <c r="U225" s="39" t="inlineStr"/>
      <c r="V225" s="39" t="inlineStr"/>
      <c r="W225" s="40" t="inlineStr">
        <is>
          <t>кг</t>
        </is>
      </c>
      <c r="X225" s="1104" t="n">
        <v>12</v>
      </c>
      <c r="Y225" s="1105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Д-RU.РА01.В.93159/24, ЕАЭС N RU Д-RU.РА01.В.93294/24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>
      <c r="A226" s="758" t="n"/>
      <c r="B226" s="1051" t="n"/>
      <c r="C226" s="1051" t="n"/>
      <c r="D226" s="1051" t="n"/>
      <c r="E226" s="1051" t="n"/>
      <c r="F226" s="1051" t="n"/>
      <c r="G226" s="1051" t="n"/>
      <c r="H226" s="1051" t="n"/>
      <c r="I226" s="1051" t="n"/>
      <c r="J226" s="1051" t="n"/>
      <c r="K226" s="1051" t="n"/>
      <c r="L226" s="1051" t="n"/>
      <c r="M226" s="1051" t="n"/>
      <c r="N226" s="1051" t="n"/>
      <c r="O226" s="1111" t="n"/>
      <c r="P226" s="1112" t="inlineStr">
        <is>
          <t>Итого</t>
        </is>
      </c>
      <c r="Q226" s="1069" t="n"/>
      <c r="R226" s="1069" t="n"/>
      <c r="S226" s="1069" t="n"/>
      <c r="T226" s="1069" t="n"/>
      <c r="U226" s="1069" t="n"/>
      <c r="V226" s="1070" t="n"/>
      <c r="W226" s="42" t="inlineStr">
        <is>
          <t>кор</t>
        </is>
      </c>
      <c r="X226" s="1113">
        <f>IFERROR(X224/H224,"0")+IFERROR(X225/H225,"0")</f>
        <v/>
      </c>
      <c r="Y226" s="1113">
        <f>IFERROR(Y224/H224,"0")+IFERROR(Y225/H225,"0")</f>
        <v/>
      </c>
      <c r="Z226" s="1113">
        <f>IFERROR(IF(Z224="",0,Z224),"0")+IFERROR(IF(Z225="",0,Z225),"0")</f>
        <v/>
      </c>
      <c r="AA226" s="1114" t="n"/>
      <c r="AB226" s="1114" t="n"/>
      <c r="AC226" s="1114" t="n"/>
    </row>
    <row r="227">
      <c r="A227" s="1051" t="n"/>
      <c r="B227" s="1051" t="n"/>
      <c r="C227" s="1051" t="n"/>
      <c r="D227" s="1051" t="n"/>
      <c r="E227" s="1051" t="n"/>
      <c r="F227" s="1051" t="n"/>
      <c r="G227" s="1051" t="n"/>
      <c r="H227" s="1051" t="n"/>
      <c r="I227" s="1051" t="n"/>
      <c r="J227" s="1051" t="n"/>
      <c r="K227" s="1051" t="n"/>
      <c r="L227" s="1051" t="n"/>
      <c r="M227" s="1051" t="n"/>
      <c r="N227" s="1051" t="n"/>
      <c r="O227" s="1111" t="n"/>
      <c r="P227" s="1112" t="inlineStr">
        <is>
          <t>Итого</t>
        </is>
      </c>
      <c r="Q227" s="1069" t="n"/>
      <c r="R227" s="1069" t="n"/>
      <c r="S227" s="1069" t="n"/>
      <c r="T227" s="1069" t="n"/>
      <c r="U227" s="1069" t="n"/>
      <c r="V227" s="1070" t="n"/>
      <c r="W227" s="42" t="inlineStr">
        <is>
          <t>кг</t>
        </is>
      </c>
      <c r="X227" s="1113">
        <f>IFERROR(SUM(X224:X225),"0")</f>
        <v/>
      </c>
      <c r="Y227" s="1113">
        <f>IFERROR(SUM(Y224:Y225),"0")</f>
        <v/>
      </c>
      <c r="Z227" s="42" t="n"/>
      <c r="AA227" s="1114" t="n"/>
      <c r="AB227" s="1114" t="n"/>
      <c r="AC227" s="1114" t="n"/>
    </row>
    <row r="228" ht="16.5" customHeight="1">
      <c r="A228" s="743" t="inlineStr">
        <is>
          <t>Стародворская</t>
        </is>
      </c>
      <c r="B228" s="1051" t="n"/>
      <c r="C228" s="1051" t="n"/>
      <c r="D228" s="1051" t="n"/>
      <c r="E228" s="1051" t="n"/>
      <c r="F228" s="1051" t="n"/>
      <c r="G228" s="1051" t="n"/>
      <c r="H228" s="1051" t="n"/>
      <c r="I228" s="1051" t="n"/>
      <c r="J228" s="1051" t="n"/>
      <c r="K228" s="1051" t="n"/>
      <c r="L228" s="1051" t="n"/>
      <c r="M228" s="1051" t="n"/>
      <c r="N228" s="1051" t="n"/>
      <c r="O228" s="1051" t="n"/>
      <c r="P228" s="1051" t="n"/>
      <c r="Q228" s="1051" t="n"/>
      <c r="R228" s="1051" t="n"/>
      <c r="S228" s="1051" t="n"/>
      <c r="T228" s="1051" t="n"/>
      <c r="U228" s="1051" t="n"/>
      <c r="V228" s="1051" t="n"/>
      <c r="W228" s="1051" t="n"/>
      <c r="X228" s="1051" t="n"/>
      <c r="Y228" s="1051" t="n"/>
      <c r="Z228" s="1051" t="n"/>
      <c r="AA228" s="743" t="n"/>
      <c r="AB228" s="743" t="n"/>
      <c r="AC228" s="743" t="n"/>
    </row>
    <row r="229" ht="14.25" customHeight="1">
      <c r="A229" s="744" t="inlineStr">
        <is>
          <t>Вареные колбасы</t>
        </is>
      </c>
      <c r="B229" s="1051" t="n"/>
      <c r="C229" s="1051" t="n"/>
      <c r="D229" s="1051" t="n"/>
      <c r="E229" s="1051" t="n"/>
      <c r="F229" s="1051" t="n"/>
      <c r="G229" s="1051" t="n"/>
      <c r="H229" s="1051" t="n"/>
      <c r="I229" s="1051" t="n"/>
      <c r="J229" s="1051" t="n"/>
      <c r="K229" s="1051" t="n"/>
      <c r="L229" s="1051" t="n"/>
      <c r="M229" s="1051" t="n"/>
      <c r="N229" s="1051" t="n"/>
      <c r="O229" s="1051" t="n"/>
      <c r="P229" s="1051" t="n"/>
      <c r="Q229" s="1051" t="n"/>
      <c r="R229" s="1051" t="n"/>
      <c r="S229" s="1051" t="n"/>
      <c r="T229" s="1051" t="n"/>
      <c r="U229" s="1051" t="n"/>
      <c r="V229" s="1051" t="n"/>
      <c r="W229" s="1051" t="n"/>
      <c r="X229" s="1051" t="n"/>
      <c r="Y229" s="1051" t="n"/>
      <c r="Z229" s="1051" t="n"/>
      <c r="AA229" s="744" t="n"/>
      <c r="AB229" s="744" t="n"/>
      <c r="AC229" s="744" t="n"/>
    </row>
    <row r="230" ht="27" customHeight="1">
      <c r="A230" s="63" t="inlineStr">
        <is>
          <t>SU003273</t>
        </is>
      </c>
      <c r="B230" s="63" t="inlineStr">
        <is>
          <t>P004316</t>
        </is>
      </c>
      <c r="C230" s="36" t="n">
        <v>4301011942</v>
      </c>
      <c r="D230" s="745" t="n">
        <v>4680115884137</v>
      </c>
      <c r="E230" s="1062" t="n"/>
      <c r="F230" s="1100" t="n">
        <v>1.45</v>
      </c>
      <c r="G230" s="37" t="n">
        <v>8</v>
      </c>
      <c r="H230" s="1100" t="n">
        <v>11.6</v>
      </c>
      <c r="I230" s="1100" t="n">
        <v>12.08</v>
      </c>
      <c r="J230" s="37" t="n">
        <v>48</v>
      </c>
      <c r="K230" s="37" t="inlineStr">
        <is>
          <t>8</t>
        </is>
      </c>
      <c r="L230" s="37" t="inlineStr"/>
      <c r="M230" s="38" t="inlineStr">
        <is>
          <t>ВЗ</t>
        </is>
      </c>
      <c r="N230" s="38" t="n"/>
      <c r="O230" s="37" t="n">
        <v>55</v>
      </c>
      <c r="P230" s="1219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/>
      </c>
      <c r="Q230" s="1102" t="n"/>
      <c r="R230" s="1102" t="n"/>
      <c r="S230" s="1102" t="n"/>
      <c r="T230" s="1103" t="n"/>
      <c r="U230" s="39" t="inlineStr"/>
      <c r="V230" s="39" t="inlineStr"/>
      <c r="W230" s="40" t="inlineStr">
        <is>
          <t>кг</t>
        </is>
      </c>
      <c r="X230" s="1104" t="n">
        <v>0</v>
      </c>
      <c r="Y230" s="1105">
        <f>IFERROR(IF(X230="",0,CEILING((X230/$H230),1)*$H230),"")</f>
        <v/>
      </c>
      <c r="Z230" s="41">
        <f>IFERROR(IF(Y230=0,"",ROUNDUP(Y230/H230,0)*0.02039),"")</f>
        <v/>
      </c>
      <c r="AA230" s="68" t="inlineStr"/>
      <c r="AB230" s="69" t="inlineStr"/>
      <c r="AC230" s="306" t="inlineStr">
        <is>
          <t>ЕАЭС N RU Д-RU.РА03.В.17296/24</t>
        </is>
      </c>
      <c r="AG230" s="78" t="n"/>
      <c r="AJ230" s="84" t="inlineStr"/>
      <c r="AK230" s="84" t="n">
        <v>0</v>
      </c>
      <c r="BB230" s="307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SU003273</t>
        </is>
      </c>
      <c r="B231" s="63" t="inlineStr">
        <is>
          <t>P004070</t>
        </is>
      </c>
      <c r="C231" s="36" t="n">
        <v>4301011826</v>
      </c>
      <c r="D231" s="745" t="n">
        <v>4680115884137</v>
      </c>
      <c r="E231" s="1062" t="n"/>
      <c r="F231" s="1100" t="n">
        <v>1.45</v>
      </c>
      <c r="G231" s="37" t="n">
        <v>8</v>
      </c>
      <c r="H231" s="1100" t="n">
        <v>11.6</v>
      </c>
      <c r="I231" s="1100" t="n">
        <v>12.035</v>
      </c>
      <c r="J231" s="37" t="n">
        <v>64</v>
      </c>
      <c r="K231" s="37" t="inlineStr">
        <is>
          <t>8</t>
        </is>
      </c>
      <c r="L231" s="37" t="inlineStr"/>
      <c r="M231" s="38" t="inlineStr">
        <is>
          <t>СК1</t>
        </is>
      </c>
      <c r="N231" s="38" t="n"/>
      <c r="O231" s="37" t="n">
        <v>55</v>
      </c>
      <c r="P231" s="1220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31" s="1102" t="n"/>
      <c r="R231" s="1102" t="n"/>
      <c r="S231" s="1102" t="n"/>
      <c r="T231" s="1103" t="n"/>
      <c r="U231" s="39" t="inlineStr"/>
      <c r="V231" s="39" t="inlineStr"/>
      <c r="W231" s="40" t="inlineStr">
        <is>
          <t>кг</t>
        </is>
      </c>
      <c r="X231" s="1104" t="n">
        <v>0</v>
      </c>
      <c r="Y231" s="1105">
        <f>IFERROR(IF(X231="",0,CEILING((X231/$H231),1)*$H231),"")</f>
        <v/>
      </c>
      <c r="Z231" s="41">
        <f>IFERROR(IF(Y231=0,"",ROUNDUP(Y231/H231,0)*0.01898),"")</f>
        <v/>
      </c>
      <c r="AA231" s="68" t="inlineStr"/>
      <c r="AB231" s="69" t="inlineStr"/>
      <c r="AC231" s="308" t="inlineStr">
        <is>
          <t>ЕАЭС N RU Д-RU.РА04.В.69476/22</t>
        </is>
      </c>
      <c r="AG231" s="78" t="n"/>
      <c r="AJ231" s="84" t="inlineStr"/>
      <c r="AK231" s="84" t="n">
        <v>0</v>
      </c>
      <c r="BB231" s="309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SU003275</t>
        </is>
      </c>
      <c r="B232" s="63" t="inlineStr">
        <is>
          <t>P003950</t>
        </is>
      </c>
      <c r="C232" s="36" t="n">
        <v>4301011724</v>
      </c>
      <c r="D232" s="745" t="n">
        <v>4680115884236</v>
      </c>
      <c r="E232" s="1062" t="n"/>
      <c r="F232" s="1100" t="n">
        <v>1.45</v>
      </c>
      <c r="G232" s="37" t="n">
        <v>8</v>
      </c>
      <c r="H232" s="1100" t="n">
        <v>11.6</v>
      </c>
      <c r="I232" s="1100" t="n">
        <v>12.035</v>
      </c>
      <c r="J232" s="37" t="n">
        <v>64</v>
      </c>
      <c r="K232" s="37" t="inlineStr">
        <is>
          <t>8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221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32" s="1102" t="n"/>
      <c r="R232" s="1102" t="n"/>
      <c r="S232" s="1102" t="n"/>
      <c r="T232" s="1103" t="n"/>
      <c r="U232" s="39" t="inlineStr"/>
      <c r="V232" s="39" t="inlineStr"/>
      <c r="W232" s="40" t="inlineStr">
        <is>
          <t>кг</t>
        </is>
      </c>
      <c r="X232" s="1104" t="n">
        <v>0</v>
      </c>
      <c r="Y232" s="1105">
        <f>IFERROR(IF(X232="",0,CEILING((X232/$H232),1)*$H232),"")</f>
        <v/>
      </c>
      <c r="Z232" s="41">
        <f>IFERROR(IF(Y232=0,"",ROUNDUP(Y232/H232,0)*0.01898),"")</f>
        <v/>
      </c>
      <c r="AA232" s="68" t="inlineStr"/>
      <c r="AB232" s="69" t="inlineStr"/>
      <c r="AC232" s="310" t="inlineStr">
        <is>
          <t>ЕАЭС N RU Д-RU.РА10.В.27759/23</t>
        </is>
      </c>
      <c r="AG232" s="78" t="n"/>
      <c r="AJ232" s="84" t="inlineStr"/>
      <c r="AK232" s="84" t="n">
        <v>0</v>
      </c>
      <c r="BB232" s="311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SU003271</t>
        </is>
      </c>
      <c r="B233" s="63" t="inlineStr">
        <is>
          <t>P004298</t>
        </is>
      </c>
      <c r="C233" s="36" t="n">
        <v>4301011941</v>
      </c>
      <c r="D233" s="745" t="n">
        <v>4680115884175</v>
      </c>
      <c r="E233" s="1062" t="n"/>
      <c r="F233" s="1100" t="n">
        <v>1.45</v>
      </c>
      <c r="G233" s="37" t="n">
        <v>8</v>
      </c>
      <c r="H233" s="1100" t="n">
        <v>11.6</v>
      </c>
      <c r="I233" s="1100" t="n">
        <v>12.08</v>
      </c>
      <c r="J233" s="37" t="n">
        <v>48</v>
      </c>
      <c r="K233" s="37" t="inlineStr">
        <is>
          <t>8</t>
        </is>
      </c>
      <c r="L233" s="37" t="inlineStr"/>
      <c r="M233" s="38" t="inlineStr">
        <is>
          <t>ВЗ</t>
        </is>
      </c>
      <c r="N233" s="38" t="n"/>
      <c r="O233" s="37" t="n">
        <v>55</v>
      </c>
      <c r="P233" s="1222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/>
      </c>
      <c r="Q233" s="1102" t="n"/>
      <c r="R233" s="1102" t="n"/>
      <c r="S233" s="1102" t="n"/>
      <c r="T233" s="1103" t="n"/>
      <c r="U233" s="39" t="inlineStr"/>
      <c r="V233" s="39" t="inlineStr"/>
      <c r="W233" s="40" t="inlineStr">
        <is>
          <t>кг</t>
        </is>
      </c>
      <c r="X233" s="1104" t="n">
        <v>0</v>
      </c>
      <c r="Y233" s="1105">
        <f>IFERROR(IF(X233="",0,CEILING((X233/$H233),1)*$H233),"")</f>
        <v/>
      </c>
      <c r="Z233" s="41">
        <f>IFERROR(IF(Y233=0,"",ROUNDUP(Y233/H233,0)*0.02039),"")</f>
        <v/>
      </c>
      <c r="AA233" s="68" t="inlineStr"/>
      <c r="AB233" s="69" t="inlineStr"/>
      <c r="AC233" s="312" t="inlineStr">
        <is>
          <t>ЕАЭС N RU Д-RU.РА03.В.17296/24</t>
        </is>
      </c>
      <c r="AG233" s="78" t="n"/>
      <c r="AJ233" s="84" t="inlineStr"/>
      <c r="AK233" s="84" t="n">
        <v>0</v>
      </c>
      <c r="BB233" s="313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SU003271</t>
        </is>
      </c>
      <c r="B234" s="63" t="inlineStr">
        <is>
          <t>P003945</t>
        </is>
      </c>
      <c r="C234" s="36" t="n">
        <v>4301011721</v>
      </c>
      <c r="D234" s="745" t="n">
        <v>4680115884175</v>
      </c>
      <c r="E234" s="1062" t="n"/>
      <c r="F234" s="1100" t="n">
        <v>1.45</v>
      </c>
      <c r="G234" s="37" t="n">
        <v>8</v>
      </c>
      <c r="H234" s="1100" t="n">
        <v>11.6</v>
      </c>
      <c r="I234" s="1100" t="n">
        <v>12.035</v>
      </c>
      <c r="J234" s="37" t="n">
        <v>64</v>
      </c>
      <c r="K234" s="37" t="inlineStr">
        <is>
          <t>8</t>
        </is>
      </c>
      <c r="L234" s="37" t="inlineStr"/>
      <c r="M234" s="38" t="inlineStr">
        <is>
          <t>СК1</t>
        </is>
      </c>
      <c r="N234" s="38" t="n"/>
      <c r="O234" s="37" t="n">
        <v>55</v>
      </c>
      <c r="P234" s="1223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34" s="1102" t="n"/>
      <c r="R234" s="1102" t="n"/>
      <c r="S234" s="1102" t="n"/>
      <c r="T234" s="1103" t="n"/>
      <c r="U234" s="39" t="inlineStr"/>
      <c r="V234" s="39" t="inlineStr"/>
      <c r="W234" s="40" t="inlineStr">
        <is>
          <t>кг</t>
        </is>
      </c>
      <c r="X234" s="1104" t="n">
        <v>30</v>
      </c>
      <c r="Y234" s="1105">
        <f>IFERROR(IF(X234="",0,CEILING((X234/$H234),1)*$H234),"")</f>
        <v/>
      </c>
      <c r="Z234" s="41">
        <f>IFERROR(IF(Y234=0,"",ROUNDUP(Y234/H234,0)*0.01898),"")</f>
        <v/>
      </c>
      <c r="AA234" s="68" t="inlineStr"/>
      <c r="AB234" s="69" t="inlineStr"/>
      <c r="AC234" s="314" t="inlineStr">
        <is>
          <t>ЕАЭС N RU Д-RU.РА01.В.26920/22, ЕАЭС N RU Д-RU.РА01.В.54559/25</t>
        </is>
      </c>
      <c r="AG234" s="78" t="n"/>
      <c r="AJ234" s="84" t="inlineStr"/>
      <c r="AK234" s="84" t="n">
        <v>0</v>
      </c>
      <c r="BB234" s="315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 ht="27" customHeight="1">
      <c r="A235" s="63" t="inlineStr">
        <is>
          <t>SU003274</t>
        </is>
      </c>
      <c r="B235" s="63" t="inlineStr">
        <is>
          <t>P004067</t>
        </is>
      </c>
      <c r="C235" s="36" t="n">
        <v>4301011824</v>
      </c>
      <c r="D235" s="745" t="n">
        <v>4680115884144</v>
      </c>
      <c r="E235" s="1062" t="n"/>
      <c r="F235" s="1100" t="n">
        <v>0.4</v>
      </c>
      <c r="G235" s="37" t="n">
        <v>10</v>
      </c>
      <c r="H235" s="1100" t="n">
        <v>4</v>
      </c>
      <c r="I235" s="1100" t="n">
        <v>4.21</v>
      </c>
      <c r="J235" s="37" t="n">
        <v>132</v>
      </c>
      <c r="K235" s="37" t="inlineStr">
        <is>
          <t>12</t>
        </is>
      </c>
      <c r="L235" s="37" t="inlineStr"/>
      <c r="M235" s="38" t="inlineStr">
        <is>
          <t>СК1</t>
        </is>
      </c>
      <c r="N235" s="38" t="n"/>
      <c r="O235" s="37" t="n">
        <v>55</v>
      </c>
      <c r="P235" s="1224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35" s="1102" t="n"/>
      <c r="R235" s="1102" t="n"/>
      <c r="S235" s="1102" t="n"/>
      <c r="T235" s="1103" t="n"/>
      <c r="U235" s="39" t="inlineStr"/>
      <c r="V235" s="39" t="inlineStr"/>
      <c r="W235" s="40" t="inlineStr">
        <is>
          <t>кг</t>
        </is>
      </c>
      <c r="X235" s="1104" t="n">
        <v>32</v>
      </c>
      <c r="Y235" s="1105">
        <f>IFERROR(IF(X235="",0,CEILING((X235/$H235),1)*$H235),"")</f>
        <v/>
      </c>
      <c r="Z235" s="41">
        <f>IFERROR(IF(Y235=0,"",ROUNDUP(Y235/H235,0)*0.00902),"")</f>
        <v/>
      </c>
      <c r="AA235" s="68" t="inlineStr"/>
      <c r="AB235" s="69" t="inlineStr"/>
      <c r="AC235" s="316" t="inlineStr">
        <is>
          <t>ЕАЭС N RU Д-RU.РА04.В.69476/22</t>
        </is>
      </c>
      <c r="AG235" s="78" t="n"/>
      <c r="AJ235" s="84" t="inlineStr"/>
      <c r="AK235" s="84" t="n">
        <v>0</v>
      </c>
      <c r="BB235" s="317" t="inlineStr">
        <is>
          <t>КИ</t>
        </is>
      </c>
      <c r="BM235" s="78">
        <f>IFERROR(X235*I235/H235,"0")</f>
        <v/>
      </c>
      <c r="BN235" s="78">
        <f>IFERROR(Y235*I235/H235,"0")</f>
        <v/>
      </c>
      <c r="BO235" s="78">
        <f>IFERROR(1/J235*(X235/H235),"0")</f>
        <v/>
      </c>
      <c r="BP235" s="78">
        <f>IFERROR(1/J235*(Y235/H235),"0")</f>
        <v/>
      </c>
    </row>
    <row r="236" ht="27" customHeight="1">
      <c r="A236" s="63" t="inlineStr">
        <is>
          <t>SU003276</t>
        </is>
      </c>
      <c r="B236" s="63" t="inlineStr">
        <is>
          <t>P003956</t>
        </is>
      </c>
      <c r="C236" s="36" t="n">
        <v>4301011726</v>
      </c>
      <c r="D236" s="745" t="n">
        <v>4680115884182</v>
      </c>
      <c r="E236" s="1062" t="n"/>
      <c r="F236" s="1100" t="n">
        <v>0.37</v>
      </c>
      <c r="G236" s="37" t="n">
        <v>10</v>
      </c>
      <c r="H236" s="1100" t="n">
        <v>3.7</v>
      </c>
      <c r="I236" s="1100" t="n">
        <v>3.91</v>
      </c>
      <c r="J236" s="37" t="n">
        <v>132</v>
      </c>
      <c r="K236" s="37" t="inlineStr">
        <is>
          <t>12</t>
        </is>
      </c>
      <c r="L236" s="37" t="inlineStr"/>
      <c r="M236" s="38" t="inlineStr">
        <is>
          <t>СК1</t>
        </is>
      </c>
      <c r="N236" s="38" t="n"/>
      <c r="O236" s="37" t="n">
        <v>55</v>
      </c>
      <c r="P236" s="1225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/>
      </c>
      <c r="Q236" s="1102" t="n"/>
      <c r="R236" s="1102" t="n"/>
      <c r="S236" s="1102" t="n"/>
      <c r="T236" s="1103" t="n"/>
      <c r="U236" s="39" t="inlineStr"/>
      <c r="V236" s="39" t="inlineStr"/>
      <c r="W236" s="40" t="inlineStr">
        <is>
          <t>кг</t>
        </is>
      </c>
      <c r="X236" s="1104" t="n">
        <v>0</v>
      </c>
      <c r="Y236" s="1105">
        <f>IFERROR(IF(X236="",0,CEILING((X236/$H236),1)*$H236),"")</f>
        <v/>
      </c>
      <c r="Z236" s="41">
        <f>IFERROR(IF(Y236=0,"",ROUNDUP(Y236/H236,0)*0.00902),"")</f>
        <v/>
      </c>
      <c r="AA236" s="68" t="inlineStr"/>
      <c r="AB236" s="69" t="inlineStr"/>
      <c r="AC236" s="318" t="inlineStr">
        <is>
          <t>ЕАЭС N RU Д-RU.РА10.В.27759/23</t>
        </is>
      </c>
      <c r="AG236" s="78" t="n"/>
      <c r="AJ236" s="84" t="inlineStr"/>
      <c r="AK236" s="84" t="n">
        <v>0</v>
      </c>
      <c r="BB236" s="319" t="inlineStr">
        <is>
          <t>КИ</t>
        </is>
      </c>
      <c r="BM236" s="78">
        <f>IFERROR(X236*I236/H236,"0")</f>
        <v/>
      </c>
      <c r="BN236" s="78">
        <f>IFERROR(Y236*I236/H236,"0")</f>
        <v/>
      </c>
      <c r="BO236" s="78">
        <f>IFERROR(1/J236*(X236/H236),"0")</f>
        <v/>
      </c>
      <c r="BP236" s="78">
        <f>IFERROR(1/J236*(Y236/H236),"0")</f>
        <v/>
      </c>
    </row>
    <row r="237" ht="27" customHeight="1">
      <c r="A237" s="63" t="inlineStr">
        <is>
          <t>SU003272</t>
        </is>
      </c>
      <c r="B237" s="63" t="inlineStr">
        <is>
          <t>P003947</t>
        </is>
      </c>
      <c r="C237" s="36" t="n">
        <v>4301011722</v>
      </c>
      <c r="D237" s="745" t="n">
        <v>4680115884205</v>
      </c>
      <c r="E237" s="1062" t="n"/>
      <c r="F237" s="1100" t="n">
        <v>0.4</v>
      </c>
      <c r="G237" s="37" t="n">
        <v>10</v>
      </c>
      <c r="H237" s="1100" t="n">
        <v>4</v>
      </c>
      <c r="I237" s="1100" t="n">
        <v>4.21</v>
      </c>
      <c r="J237" s="37" t="n">
        <v>132</v>
      </c>
      <c r="K237" s="37" t="inlineStr">
        <is>
          <t>12</t>
        </is>
      </c>
      <c r="L237" s="37" t="inlineStr"/>
      <c r="M237" s="38" t="inlineStr">
        <is>
          <t>СК1</t>
        </is>
      </c>
      <c r="N237" s="38" t="n"/>
      <c r="O237" s="37" t="n">
        <v>55</v>
      </c>
      <c r="P237" s="1226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37" s="1102" t="n"/>
      <c r="R237" s="1102" t="n"/>
      <c r="S237" s="1102" t="n"/>
      <c r="T237" s="1103" t="n"/>
      <c r="U237" s="39" t="inlineStr"/>
      <c r="V237" s="39" t="inlineStr"/>
      <c r="W237" s="40" t="inlineStr">
        <is>
          <t>кг</t>
        </is>
      </c>
      <c r="X237" s="1104" t="n">
        <v>60</v>
      </c>
      <c r="Y237" s="1105">
        <f>IFERROR(IF(X237="",0,CEILING((X237/$H237),1)*$H237),"")</f>
        <v/>
      </c>
      <c r="Z237" s="41">
        <f>IFERROR(IF(Y237=0,"",ROUNDUP(Y237/H237,0)*0.00902),"")</f>
        <v/>
      </c>
      <c r="AA237" s="68" t="inlineStr"/>
      <c r="AB237" s="69" t="inlineStr"/>
      <c r="AC237" s="320" t="inlineStr">
        <is>
          <t>ЕАЭС N RU Д-RU.РА01.В.26920/22, ЕАЭС N RU Д-RU.РА01.В.54559/25</t>
        </is>
      </c>
      <c r="AG237" s="78" t="n"/>
      <c r="AJ237" s="84" t="inlineStr"/>
      <c r="AK237" s="84" t="n">
        <v>0</v>
      </c>
      <c r="BB237" s="321" t="inlineStr">
        <is>
          <t>КИ</t>
        </is>
      </c>
      <c r="BM237" s="78">
        <f>IFERROR(X237*I237/H237,"0")</f>
        <v/>
      </c>
      <c r="BN237" s="78">
        <f>IFERROR(Y237*I237/H237,"0")</f>
        <v/>
      </c>
      <c r="BO237" s="78">
        <f>IFERROR(1/J237*(X237/H237),"0")</f>
        <v/>
      </c>
      <c r="BP237" s="78">
        <f>IFERROR(1/J237*(Y237/H237),"0")</f>
        <v/>
      </c>
    </row>
    <row r="238">
      <c r="A238" s="758" t="n"/>
      <c r="B238" s="1051" t="n"/>
      <c r="C238" s="1051" t="n"/>
      <c r="D238" s="1051" t="n"/>
      <c r="E238" s="1051" t="n"/>
      <c r="F238" s="1051" t="n"/>
      <c r="G238" s="1051" t="n"/>
      <c r="H238" s="1051" t="n"/>
      <c r="I238" s="1051" t="n"/>
      <c r="J238" s="1051" t="n"/>
      <c r="K238" s="1051" t="n"/>
      <c r="L238" s="1051" t="n"/>
      <c r="M238" s="1051" t="n"/>
      <c r="N238" s="1051" t="n"/>
      <c r="O238" s="1111" t="n"/>
      <c r="P238" s="1112" t="inlineStr">
        <is>
          <t>Итого</t>
        </is>
      </c>
      <c r="Q238" s="1069" t="n"/>
      <c r="R238" s="1069" t="n"/>
      <c r="S238" s="1069" t="n"/>
      <c r="T238" s="1069" t="n"/>
      <c r="U238" s="1069" t="n"/>
      <c r="V238" s="1070" t="n"/>
      <c r="W238" s="42" t="inlineStr">
        <is>
          <t>кор</t>
        </is>
      </c>
      <c r="X238" s="1113">
        <f>IFERROR(X230/H230,"0")+IFERROR(X231/H231,"0")+IFERROR(X232/H232,"0")+IFERROR(X233/H233,"0")+IFERROR(X234/H234,"0")+IFERROR(X235/H235,"0")+IFERROR(X236/H236,"0")+IFERROR(X237/H237,"0")</f>
        <v/>
      </c>
      <c r="Y238" s="1113">
        <f>IFERROR(Y230/H230,"0")+IFERROR(Y231/H231,"0")+IFERROR(Y232/H232,"0")+IFERROR(Y233/H233,"0")+IFERROR(Y234/H234,"0")+IFERROR(Y235/H235,"0")+IFERROR(Y236/H236,"0")+IFERROR(Y237/H237,"0")</f>
        <v/>
      </c>
      <c r="Z238" s="1113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/>
      </c>
      <c r="AA238" s="1114" t="n"/>
      <c r="AB238" s="1114" t="n"/>
      <c r="AC238" s="1114" t="n"/>
    </row>
    <row r="239">
      <c r="A239" s="1051" t="n"/>
      <c r="B239" s="1051" t="n"/>
      <c r="C239" s="1051" t="n"/>
      <c r="D239" s="1051" t="n"/>
      <c r="E239" s="1051" t="n"/>
      <c r="F239" s="1051" t="n"/>
      <c r="G239" s="1051" t="n"/>
      <c r="H239" s="1051" t="n"/>
      <c r="I239" s="1051" t="n"/>
      <c r="J239" s="1051" t="n"/>
      <c r="K239" s="1051" t="n"/>
      <c r="L239" s="1051" t="n"/>
      <c r="M239" s="1051" t="n"/>
      <c r="N239" s="1051" t="n"/>
      <c r="O239" s="1111" t="n"/>
      <c r="P239" s="1112" t="inlineStr">
        <is>
          <t>Итого</t>
        </is>
      </c>
      <c r="Q239" s="1069" t="n"/>
      <c r="R239" s="1069" t="n"/>
      <c r="S239" s="1069" t="n"/>
      <c r="T239" s="1069" t="n"/>
      <c r="U239" s="1069" t="n"/>
      <c r="V239" s="1070" t="n"/>
      <c r="W239" s="42" t="inlineStr">
        <is>
          <t>кг</t>
        </is>
      </c>
      <c r="X239" s="1113">
        <f>IFERROR(SUM(X230:X237),"0")</f>
        <v/>
      </c>
      <c r="Y239" s="1113">
        <f>IFERROR(SUM(Y230:Y237),"0")</f>
        <v/>
      </c>
      <c r="Z239" s="42" t="n"/>
      <c r="AA239" s="1114" t="n"/>
      <c r="AB239" s="1114" t="n"/>
      <c r="AC239" s="1114" t="n"/>
    </row>
    <row r="240" ht="14.25" customHeight="1">
      <c r="A240" s="744" t="inlineStr">
        <is>
          <t>Ветчины</t>
        </is>
      </c>
      <c r="B240" s="1051" t="n"/>
      <c r="C240" s="1051" t="n"/>
      <c r="D240" s="1051" t="n"/>
      <c r="E240" s="1051" t="n"/>
      <c r="F240" s="1051" t="n"/>
      <c r="G240" s="1051" t="n"/>
      <c r="H240" s="1051" t="n"/>
      <c r="I240" s="1051" t="n"/>
      <c r="J240" s="1051" t="n"/>
      <c r="K240" s="1051" t="n"/>
      <c r="L240" s="1051" t="n"/>
      <c r="M240" s="1051" t="n"/>
      <c r="N240" s="1051" t="n"/>
      <c r="O240" s="1051" t="n"/>
      <c r="P240" s="1051" t="n"/>
      <c r="Q240" s="1051" t="n"/>
      <c r="R240" s="1051" t="n"/>
      <c r="S240" s="1051" t="n"/>
      <c r="T240" s="1051" t="n"/>
      <c r="U240" s="1051" t="n"/>
      <c r="V240" s="1051" t="n"/>
      <c r="W240" s="1051" t="n"/>
      <c r="X240" s="1051" t="n"/>
      <c r="Y240" s="1051" t="n"/>
      <c r="Z240" s="1051" t="n"/>
      <c r="AA240" s="744" t="n"/>
      <c r="AB240" s="744" t="n"/>
      <c r="AC240" s="744" t="n"/>
    </row>
    <row r="241" ht="27" customHeight="1">
      <c r="A241" s="63" t="inlineStr">
        <is>
          <t>SU003573</t>
        </is>
      </c>
      <c r="B241" s="63" t="inlineStr">
        <is>
          <t>P004524</t>
        </is>
      </c>
      <c r="C241" s="36" t="n">
        <v>4301020340</v>
      </c>
      <c r="D241" s="745" t="n">
        <v>4680115885721</v>
      </c>
      <c r="E241" s="1062" t="n"/>
      <c r="F241" s="1100" t="n">
        <v>0.33</v>
      </c>
      <c r="G241" s="37" t="n">
        <v>6</v>
      </c>
      <c r="H241" s="1100" t="n">
        <v>1.98</v>
      </c>
      <c r="I241" s="1100" t="n">
        <v>2.08</v>
      </c>
      <c r="J241" s="37" t="n">
        <v>234</v>
      </c>
      <c r="K241" s="37" t="inlineStr">
        <is>
          <t>18</t>
        </is>
      </c>
      <c r="L241" s="37" t="inlineStr"/>
      <c r="M241" s="38" t="inlineStr">
        <is>
          <t>СК3</t>
        </is>
      </c>
      <c r="N241" s="38" t="n"/>
      <c r="O241" s="37" t="n">
        <v>50</v>
      </c>
      <c r="P241" s="1227">
        <f>HYPERLINK("https://abi.ru/products/Охлажденные/Стародворье/Стародворская/Ветчины/P004524/","Ветчины «Стародворская» ф/в 0,33 п/а ТМ «Стародворье»")</f>
        <v/>
      </c>
      <c r="Q241" s="1102" t="n"/>
      <c r="R241" s="1102" t="n"/>
      <c r="S241" s="1102" t="n"/>
      <c r="T241" s="1103" t="n"/>
      <c r="U241" s="39" t="inlineStr"/>
      <c r="V241" s="39" t="inlineStr"/>
      <c r="W241" s="40" t="inlineStr">
        <is>
          <t>кг</t>
        </is>
      </c>
      <c r="X241" s="1104" t="n">
        <v>0</v>
      </c>
      <c r="Y241" s="1105">
        <f>IFERROR(IF(X241="",0,CEILING((X241/$H241),1)*$H241),"")</f>
        <v/>
      </c>
      <c r="Z241" s="41">
        <f>IFERROR(IF(Y241=0,"",ROUNDUP(Y241/H241,0)*0.00502),"")</f>
        <v/>
      </c>
      <c r="AA241" s="68" t="inlineStr"/>
      <c r="AB241" s="69" t="inlineStr"/>
      <c r="AC241" s="322" t="inlineStr">
        <is>
          <t>ЕАЭС N RU Д-RU.РА05.В.24697/24</t>
        </is>
      </c>
      <c r="AG241" s="78" t="n"/>
      <c r="AJ241" s="84" t="inlineStr"/>
      <c r="AK241" s="84" t="n">
        <v>0</v>
      </c>
      <c r="BB241" s="323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SU003573</t>
        </is>
      </c>
      <c r="B242" s="63" t="inlineStr">
        <is>
          <t>P004891</t>
        </is>
      </c>
      <c r="C242" s="36" t="n">
        <v>4301020377</v>
      </c>
      <c r="D242" s="745" t="n">
        <v>4680115885981</v>
      </c>
      <c r="E242" s="1062" t="n"/>
      <c r="F242" s="1100" t="n">
        <v>0.33</v>
      </c>
      <c r="G242" s="37" t="n">
        <v>6</v>
      </c>
      <c r="H242" s="1100" t="n">
        <v>1.98</v>
      </c>
      <c r="I242" s="1100" t="n">
        <v>2.08</v>
      </c>
      <c r="J242" s="37" t="n">
        <v>234</v>
      </c>
      <c r="K242" s="37" t="inlineStr">
        <is>
          <t>18</t>
        </is>
      </c>
      <c r="L242" s="37" t="inlineStr"/>
      <c r="M242" s="38" t="inlineStr">
        <is>
          <t>СК3</t>
        </is>
      </c>
      <c r="N242" s="38" t="n"/>
      <c r="O242" s="37" t="n">
        <v>50</v>
      </c>
      <c r="P242" s="1228" t="inlineStr">
        <is>
          <t>Ветчины «Стародворская» Фикс.вес 0,33 п/а ТМ «Стародворье»</t>
        </is>
      </c>
      <c r="Q242" s="1102" t="n"/>
      <c r="R242" s="1102" t="n"/>
      <c r="S242" s="1102" t="n"/>
      <c r="T242" s="1103" t="n"/>
      <c r="U242" s="39" t="inlineStr"/>
      <c r="V242" s="39" t="inlineStr"/>
      <c r="W242" s="40" t="inlineStr">
        <is>
          <t>кг</t>
        </is>
      </c>
      <c r="X242" s="1104" t="n">
        <v>0</v>
      </c>
      <c r="Y242" s="1105">
        <f>IFERROR(IF(X242="",0,CEILING((X242/$H242),1)*$H242),"")</f>
        <v/>
      </c>
      <c r="Z242" s="41">
        <f>IFERROR(IF(Y242=0,"",ROUNDUP(Y242/H242,0)*0.00502),"")</f>
        <v/>
      </c>
      <c r="AA242" s="68" t="inlineStr"/>
      <c r="AB242" s="69" t="inlineStr"/>
      <c r="AC242" s="324" t="inlineStr">
        <is>
          <t>ЕАЭС N RU Д-RU.РА05.В.24697/24</t>
        </is>
      </c>
      <c r="AG242" s="78" t="n"/>
      <c r="AJ242" s="84" t="inlineStr"/>
      <c r="AK242" s="84" t="n">
        <v>0</v>
      </c>
      <c r="BB242" s="325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>
      <c r="A243" s="758" t="n"/>
      <c r="B243" s="1051" t="n"/>
      <c r="C243" s="1051" t="n"/>
      <c r="D243" s="1051" t="n"/>
      <c r="E243" s="1051" t="n"/>
      <c r="F243" s="1051" t="n"/>
      <c r="G243" s="1051" t="n"/>
      <c r="H243" s="1051" t="n"/>
      <c r="I243" s="1051" t="n"/>
      <c r="J243" s="1051" t="n"/>
      <c r="K243" s="1051" t="n"/>
      <c r="L243" s="1051" t="n"/>
      <c r="M243" s="1051" t="n"/>
      <c r="N243" s="1051" t="n"/>
      <c r="O243" s="1111" t="n"/>
      <c r="P243" s="1112" t="inlineStr">
        <is>
          <t>Итого</t>
        </is>
      </c>
      <c r="Q243" s="1069" t="n"/>
      <c r="R243" s="1069" t="n"/>
      <c r="S243" s="1069" t="n"/>
      <c r="T243" s="1069" t="n"/>
      <c r="U243" s="1069" t="n"/>
      <c r="V243" s="1070" t="n"/>
      <c r="W243" s="42" t="inlineStr">
        <is>
          <t>кор</t>
        </is>
      </c>
      <c r="X243" s="1113">
        <f>IFERROR(X241/H241,"0")+IFERROR(X242/H242,"0")</f>
        <v/>
      </c>
      <c r="Y243" s="1113">
        <f>IFERROR(Y241/H241,"0")+IFERROR(Y242/H242,"0")</f>
        <v/>
      </c>
      <c r="Z243" s="1113">
        <f>IFERROR(IF(Z241="",0,Z241),"0")+IFERROR(IF(Z242="",0,Z242),"0")</f>
        <v/>
      </c>
      <c r="AA243" s="1114" t="n"/>
      <c r="AB243" s="1114" t="n"/>
      <c r="AC243" s="1114" t="n"/>
    </row>
    <row r="244">
      <c r="A244" s="1051" t="n"/>
      <c r="B244" s="1051" t="n"/>
      <c r="C244" s="1051" t="n"/>
      <c r="D244" s="1051" t="n"/>
      <c r="E244" s="1051" t="n"/>
      <c r="F244" s="1051" t="n"/>
      <c r="G244" s="1051" t="n"/>
      <c r="H244" s="1051" t="n"/>
      <c r="I244" s="1051" t="n"/>
      <c r="J244" s="1051" t="n"/>
      <c r="K244" s="1051" t="n"/>
      <c r="L244" s="1051" t="n"/>
      <c r="M244" s="1051" t="n"/>
      <c r="N244" s="1051" t="n"/>
      <c r="O244" s="1111" t="n"/>
      <c r="P244" s="1112" t="inlineStr">
        <is>
          <t>Итого</t>
        </is>
      </c>
      <c r="Q244" s="1069" t="n"/>
      <c r="R244" s="1069" t="n"/>
      <c r="S244" s="1069" t="n"/>
      <c r="T244" s="1069" t="n"/>
      <c r="U244" s="1069" t="n"/>
      <c r="V244" s="1070" t="n"/>
      <c r="W244" s="42" t="inlineStr">
        <is>
          <t>кг</t>
        </is>
      </c>
      <c r="X244" s="1113">
        <f>IFERROR(SUM(X241:X242),"0")</f>
        <v/>
      </c>
      <c r="Y244" s="1113">
        <f>IFERROR(SUM(Y241:Y242),"0")</f>
        <v/>
      </c>
      <c r="Z244" s="42" t="n"/>
      <c r="AA244" s="1114" t="n"/>
      <c r="AB244" s="1114" t="n"/>
      <c r="AC244" s="1114" t="n"/>
    </row>
    <row r="245" ht="14.25" customHeight="1">
      <c r="A245" s="744" t="inlineStr">
        <is>
          <t>Деликатесы в/к</t>
        </is>
      </c>
      <c r="B245" s="1051" t="n"/>
      <c r="C245" s="1051" t="n"/>
      <c r="D245" s="1051" t="n"/>
      <c r="E245" s="1051" t="n"/>
      <c r="F245" s="1051" t="n"/>
      <c r="G245" s="1051" t="n"/>
      <c r="H245" s="1051" t="n"/>
      <c r="I245" s="1051" t="n"/>
      <c r="J245" s="1051" t="n"/>
      <c r="K245" s="1051" t="n"/>
      <c r="L245" s="1051" t="n"/>
      <c r="M245" s="1051" t="n"/>
      <c r="N245" s="1051" t="n"/>
      <c r="O245" s="1051" t="n"/>
      <c r="P245" s="1051" t="n"/>
      <c r="Q245" s="1051" t="n"/>
      <c r="R245" s="1051" t="n"/>
      <c r="S245" s="1051" t="n"/>
      <c r="T245" s="1051" t="n"/>
      <c r="U245" s="1051" t="n"/>
      <c r="V245" s="1051" t="n"/>
      <c r="W245" s="1051" t="n"/>
      <c r="X245" s="1051" t="n"/>
      <c r="Y245" s="1051" t="n"/>
      <c r="Z245" s="1051" t="n"/>
      <c r="AA245" s="744" t="n"/>
      <c r="AB245" s="744" t="n"/>
      <c r="AC245" s="744" t="n"/>
    </row>
    <row r="246" ht="27" customHeight="1">
      <c r="A246" s="63" t="inlineStr">
        <is>
          <t>SU003921</t>
        </is>
      </c>
      <c r="B246" s="63" t="inlineStr">
        <is>
          <t>P005019</t>
        </is>
      </c>
      <c r="C246" s="36" t="n">
        <v>4301040361</v>
      </c>
      <c r="D246" s="745" t="n">
        <v>4680115886803</v>
      </c>
      <c r="E246" s="1062" t="n"/>
      <c r="F246" s="1100" t="n">
        <v>0.12</v>
      </c>
      <c r="G246" s="37" t="n">
        <v>18</v>
      </c>
      <c r="H246" s="1100" t="n">
        <v>2.16</v>
      </c>
      <c r="I246" s="1100" t="n">
        <v>2.35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45</v>
      </c>
      <c r="P246" s="1229" t="inlineStr">
        <is>
          <t>Деликатесы в/к «Грудинка копчено-вареная» Фикс.вес 0,12 нарезка ТМ «Стародворье»</t>
        </is>
      </c>
      <c r="Q246" s="1102" t="n"/>
      <c r="R246" s="1102" t="n"/>
      <c r="S246" s="1102" t="n"/>
      <c r="T246" s="1103" t="n"/>
      <c r="U246" s="39" t="inlineStr"/>
      <c r="V246" s="39" t="inlineStr"/>
      <c r="W246" s="40" t="inlineStr">
        <is>
          <t>кг</t>
        </is>
      </c>
      <c r="X246" s="1104" t="n">
        <v>0</v>
      </c>
      <c r="Y246" s="1105">
        <f>IFERROR(IF(X246="",0,CEILING((X246/$H246),1)*$H246),"")</f>
        <v/>
      </c>
      <c r="Z246" s="41">
        <f>IFERROR(IF(Y246=0,"",ROUNDUP(Y246/H246,0)*0.0059),"")</f>
        <v/>
      </c>
      <c r="AA246" s="68" t="inlineStr"/>
      <c r="AB246" s="69" t="inlineStr">
        <is>
          <t>Новинка</t>
        </is>
      </c>
      <c r="AC246" s="326" t="inlineStr">
        <is>
          <t>ЕАЭС N RU Д-RU.РА03.В.02309/25</t>
        </is>
      </c>
      <c r="AG246" s="78" t="n"/>
      <c r="AJ246" s="84" t="inlineStr"/>
      <c r="AK246" s="84" t="n">
        <v>0</v>
      </c>
      <c r="BB246" s="327" t="inlineStr">
        <is>
          <t>КИ</t>
        </is>
      </c>
      <c r="BM246" s="78">
        <f>IFERROR(X246*I246/H246,"0")</f>
        <v/>
      </c>
      <c r="BN246" s="78">
        <f>IFERROR(Y246*I246/H246,"0")</f>
        <v/>
      </c>
      <c r="BO246" s="78">
        <f>IFERROR(1/J246*(X246/H246),"0")</f>
        <v/>
      </c>
      <c r="BP246" s="78">
        <f>IFERROR(1/J246*(Y246/H246),"0")</f>
        <v/>
      </c>
    </row>
    <row r="247">
      <c r="A247" s="758" t="n"/>
      <c r="B247" s="1051" t="n"/>
      <c r="C247" s="1051" t="n"/>
      <c r="D247" s="1051" t="n"/>
      <c r="E247" s="1051" t="n"/>
      <c r="F247" s="1051" t="n"/>
      <c r="G247" s="1051" t="n"/>
      <c r="H247" s="1051" t="n"/>
      <c r="I247" s="1051" t="n"/>
      <c r="J247" s="1051" t="n"/>
      <c r="K247" s="1051" t="n"/>
      <c r="L247" s="1051" t="n"/>
      <c r="M247" s="1051" t="n"/>
      <c r="N247" s="1051" t="n"/>
      <c r="O247" s="1111" t="n"/>
      <c r="P247" s="1112" t="inlineStr">
        <is>
          <t>Итого</t>
        </is>
      </c>
      <c r="Q247" s="1069" t="n"/>
      <c r="R247" s="1069" t="n"/>
      <c r="S247" s="1069" t="n"/>
      <c r="T247" s="1069" t="n"/>
      <c r="U247" s="1069" t="n"/>
      <c r="V247" s="1070" t="n"/>
      <c r="W247" s="42" t="inlineStr">
        <is>
          <t>кор</t>
        </is>
      </c>
      <c r="X247" s="1113">
        <f>IFERROR(X246/H246,"0")</f>
        <v/>
      </c>
      <c r="Y247" s="1113">
        <f>IFERROR(Y246/H246,"0")</f>
        <v/>
      </c>
      <c r="Z247" s="1113">
        <f>IFERROR(IF(Z246="",0,Z246),"0")</f>
        <v/>
      </c>
      <c r="AA247" s="1114" t="n"/>
      <c r="AB247" s="1114" t="n"/>
      <c r="AC247" s="1114" t="n"/>
    </row>
    <row r="248">
      <c r="A248" s="1051" t="n"/>
      <c r="B248" s="1051" t="n"/>
      <c r="C248" s="1051" t="n"/>
      <c r="D248" s="1051" t="n"/>
      <c r="E248" s="1051" t="n"/>
      <c r="F248" s="1051" t="n"/>
      <c r="G248" s="1051" t="n"/>
      <c r="H248" s="1051" t="n"/>
      <c r="I248" s="1051" t="n"/>
      <c r="J248" s="1051" t="n"/>
      <c r="K248" s="1051" t="n"/>
      <c r="L248" s="1051" t="n"/>
      <c r="M248" s="1051" t="n"/>
      <c r="N248" s="1051" t="n"/>
      <c r="O248" s="1111" t="n"/>
      <c r="P248" s="1112" t="inlineStr">
        <is>
          <t>Итого</t>
        </is>
      </c>
      <c r="Q248" s="1069" t="n"/>
      <c r="R248" s="1069" t="n"/>
      <c r="S248" s="1069" t="n"/>
      <c r="T248" s="1069" t="n"/>
      <c r="U248" s="1069" t="n"/>
      <c r="V248" s="1070" t="n"/>
      <c r="W248" s="42" t="inlineStr">
        <is>
          <t>кг</t>
        </is>
      </c>
      <c r="X248" s="1113">
        <f>IFERROR(SUM(X246:X246),"0")</f>
        <v/>
      </c>
      <c r="Y248" s="1113">
        <f>IFERROR(SUM(Y246:Y246),"0")</f>
        <v/>
      </c>
      <c r="Z248" s="42" t="n"/>
      <c r="AA248" s="1114" t="n"/>
      <c r="AB248" s="1114" t="n"/>
      <c r="AC248" s="1114" t="n"/>
    </row>
    <row r="249" ht="14.25" customHeight="1">
      <c r="A249" s="744" t="inlineStr">
        <is>
          <t>Деликатесы с/к</t>
        </is>
      </c>
      <c r="B249" s="1051" t="n"/>
      <c r="C249" s="1051" t="n"/>
      <c r="D249" s="1051" t="n"/>
      <c r="E249" s="1051" t="n"/>
      <c r="F249" s="1051" t="n"/>
      <c r="G249" s="1051" t="n"/>
      <c r="H249" s="1051" t="n"/>
      <c r="I249" s="1051" t="n"/>
      <c r="J249" s="1051" t="n"/>
      <c r="K249" s="1051" t="n"/>
      <c r="L249" s="1051" t="n"/>
      <c r="M249" s="1051" t="n"/>
      <c r="N249" s="1051" t="n"/>
      <c r="O249" s="1051" t="n"/>
      <c r="P249" s="1051" t="n"/>
      <c r="Q249" s="1051" t="n"/>
      <c r="R249" s="1051" t="n"/>
      <c r="S249" s="1051" t="n"/>
      <c r="T249" s="1051" t="n"/>
      <c r="U249" s="1051" t="n"/>
      <c r="V249" s="1051" t="n"/>
      <c r="W249" s="1051" t="n"/>
      <c r="X249" s="1051" t="n"/>
      <c r="Y249" s="1051" t="n"/>
      <c r="Z249" s="1051" t="n"/>
      <c r="AA249" s="744" t="n"/>
      <c r="AB249" s="744" t="n"/>
      <c r="AC249" s="744" t="n"/>
    </row>
    <row r="250" ht="27" customHeight="1">
      <c r="A250" s="63" t="inlineStr">
        <is>
          <t>SU003920</t>
        </is>
      </c>
      <c r="B250" s="63" t="inlineStr">
        <is>
          <t>P005018</t>
        </is>
      </c>
      <c r="C250" s="36" t="n">
        <v>4301041003</v>
      </c>
      <c r="D250" s="745" t="n">
        <v>4680115886681</v>
      </c>
      <c r="E250" s="1062" t="n"/>
      <c r="F250" s="1100" t="n">
        <v>0.12</v>
      </c>
      <c r="G250" s="37" t="n">
        <v>18</v>
      </c>
      <c r="H250" s="1100" t="n">
        <v>2.16</v>
      </c>
      <c r="I250" s="1100" t="n">
        <v>2.35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230" t="inlineStr">
        <is>
          <t>Деликатесы с/к «Бекон сырокопченый» Фикс.вес 0,12 нарезка ТМ «Стародворье»</t>
        </is>
      </c>
      <c r="Q250" s="1102" t="n"/>
      <c r="R250" s="1102" t="n"/>
      <c r="S250" s="1102" t="n"/>
      <c r="T250" s="1103" t="n"/>
      <c r="U250" s="39" t="inlineStr"/>
      <c r="V250" s="39" t="inlineStr"/>
      <c r="W250" s="40" t="inlineStr">
        <is>
          <t>кг</t>
        </is>
      </c>
      <c r="X250" s="1104" t="n">
        <v>0</v>
      </c>
      <c r="Y250" s="1105">
        <f>IFERROR(IF(X250="",0,CEILING((X250/$H250),1)*$H250),"")</f>
        <v/>
      </c>
      <c r="Z250" s="41">
        <f>IFERROR(IF(Y250=0,"",ROUNDUP(Y250/H250,0)*0.0059),"")</f>
        <v/>
      </c>
      <c r="AA250" s="68" t="inlineStr"/>
      <c r="AB250" s="69" t="inlineStr">
        <is>
          <t>Новинка</t>
        </is>
      </c>
      <c r="AC250" s="328" t="inlineStr">
        <is>
          <t>ЕАЭС N RU Д-RU.РА03.В.02637/25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58" t="n"/>
      <c r="B251" s="1051" t="n"/>
      <c r="C251" s="1051" t="n"/>
      <c r="D251" s="1051" t="n"/>
      <c r="E251" s="1051" t="n"/>
      <c r="F251" s="1051" t="n"/>
      <c r="G251" s="1051" t="n"/>
      <c r="H251" s="1051" t="n"/>
      <c r="I251" s="1051" t="n"/>
      <c r="J251" s="1051" t="n"/>
      <c r="K251" s="1051" t="n"/>
      <c r="L251" s="1051" t="n"/>
      <c r="M251" s="1051" t="n"/>
      <c r="N251" s="1051" t="n"/>
      <c r="O251" s="1111" t="n"/>
      <c r="P251" s="1112" t="inlineStr">
        <is>
          <t>Итого</t>
        </is>
      </c>
      <c r="Q251" s="1069" t="n"/>
      <c r="R251" s="1069" t="n"/>
      <c r="S251" s="1069" t="n"/>
      <c r="T251" s="1069" t="n"/>
      <c r="U251" s="1069" t="n"/>
      <c r="V251" s="1070" t="n"/>
      <c r="W251" s="42" t="inlineStr">
        <is>
          <t>кор</t>
        </is>
      </c>
      <c r="X251" s="1113">
        <f>IFERROR(X250/H250,"0")</f>
        <v/>
      </c>
      <c r="Y251" s="1113">
        <f>IFERROR(Y250/H250,"0")</f>
        <v/>
      </c>
      <c r="Z251" s="1113">
        <f>IFERROR(IF(Z250="",0,Z250),"0")</f>
        <v/>
      </c>
      <c r="AA251" s="1114" t="n"/>
      <c r="AB251" s="1114" t="n"/>
      <c r="AC251" s="1114" t="n"/>
    </row>
    <row r="252">
      <c r="A252" s="1051" t="n"/>
      <c r="B252" s="1051" t="n"/>
      <c r="C252" s="1051" t="n"/>
      <c r="D252" s="1051" t="n"/>
      <c r="E252" s="1051" t="n"/>
      <c r="F252" s="1051" t="n"/>
      <c r="G252" s="1051" t="n"/>
      <c r="H252" s="1051" t="n"/>
      <c r="I252" s="1051" t="n"/>
      <c r="J252" s="1051" t="n"/>
      <c r="K252" s="1051" t="n"/>
      <c r="L252" s="1051" t="n"/>
      <c r="M252" s="1051" t="n"/>
      <c r="N252" s="1051" t="n"/>
      <c r="O252" s="1111" t="n"/>
      <c r="P252" s="1112" t="inlineStr">
        <is>
          <t>Итого</t>
        </is>
      </c>
      <c r="Q252" s="1069" t="n"/>
      <c r="R252" s="1069" t="n"/>
      <c r="S252" s="1069" t="n"/>
      <c r="T252" s="1069" t="n"/>
      <c r="U252" s="1069" t="n"/>
      <c r="V252" s="1070" t="n"/>
      <c r="W252" s="42" t="inlineStr">
        <is>
          <t>кг</t>
        </is>
      </c>
      <c r="X252" s="1113">
        <f>IFERROR(SUM(X250:X250),"0")</f>
        <v/>
      </c>
      <c r="Y252" s="1113">
        <f>IFERROR(SUM(Y250:Y250),"0")</f>
        <v/>
      </c>
      <c r="Z252" s="42" t="n"/>
      <c r="AA252" s="1114" t="n"/>
      <c r="AB252" s="1114" t="n"/>
      <c r="AC252" s="1114" t="n"/>
    </row>
    <row r="253" ht="16.5" customHeight="1">
      <c r="A253" s="743" t="inlineStr">
        <is>
          <t>Филедворская по-стародворски</t>
        </is>
      </c>
      <c r="B253" s="1051" t="n"/>
      <c r="C253" s="1051" t="n"/>
      <c r="D253" s="1051" t="n"/>
      <c r="E253" s="1051" t="n"/>
      <c r="F253" s="1051" t="n"/>
      <c r="G253" s="1051" t="n"/>
      <c r="H253" s="1051" t="n"/>
      <c r="I253" s="1051" t="n"/>
      <c r="J253" s="1051" t="n"/>
      <c r="K253" s="1051" t="n"/>
      <c r="L253" s="1051" t="n"/>
      <c r="M253" s="1051" t="n"/>
      <c r="N253" s="1051" t="n"/>
      <c r="O253" s="1051" t="n"/>
      <c r="P253" s="1051" t="n"/>
      <c r="Q253" s="1051" t="n"/>
      <c r="R253" s="1051" t="n"/>
      <c r="S253" s="1051" t="n"/>
      <c r="T253" s="1051" t="n"/>
      <c r="U253" s="1051" t="n"/>
      <c r="V253" s="1051" t="n"/>
      <c r="W253" s="1051" t="n"/>
      <c r="X253" s="1051" t="n"/>
      <c r="Y253" s="1051" t="n"/>
      <c r="Z253" s="1051" t="n"/>
      <c r="AA253" s="743" t="n"/>
      <c r="AB253" s="743" t="n"/>
      <c r="AC253" s="743" t="n"/>
    </row>
    <row r="254" ht="14.25" customHeight="1">
      <c r="A254" s="744" t="inlineStr">
        <is>
          <t>Вареные колбасы</t>
        </is>
      </c>
      <c r="B254" s="1051" t="n"/>
      <c r="C254" s="1051" t="n"/>
      <c r="D254" s="1051" t="n"/>
      <c r="E254" s="1051" t="n"/>
      <c r="F254" s="1051" t="n"/>
      <c r="G254" s="1051" t="n"/>
      <c r="H254" s="1051" t="n"/>
      <c r="I254" s="1051" t="n"/>
      <c r="J254" s="1051" t="n"/>
      <c r="K254" s="1051" t="n"/>
      <c r="L254" s="1051" t="n"/>
      <c r="M254" s="1051" t="n"/>
      <c r="N254" s="1051" t="n"/>
      <c r="O254" s="1051" t="n"/>
      <c r="P254" s="1051" t="n"/>
      <c r="Q254" s="1051" t="n"/>
      <c r="R254" s="1051" t="n"/>
      <c r="S254" s="1051" t="n"/>
      <c r="T254" s="1051" t="n"/>
      <c r="U254" s="1051" t="n"/>
      <c r="V254" s="1051" t="n"/>
      <c r="W254" s="1051" t="n"/>
      <c r="X254" s="1051" t="n"/>
      <c r="Y254" s="1051" t="n"/>
      <c r="Z254" s="1051" t="n"/>
      <c r="AA254" s="744" t="n"/>
      <c r="AB254" s="744" t="n"/>
      <c r="AC254" s="744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745" t="n">
        <v>4680115885837</v>
      </c>
      <c r="E255" s="1062" t="n"/>
      <c r="F255" s="1100" t="n">
        <v>1.35</v>
      </c>
      <c r="G255" s="37" t="n">
        <v>8</v>
      </c>
      <c r="H255" s="1100" t="n">
        <v>10.8</v>
      </c>
      <c r="I255" s="1100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231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255" s="1102" t="n"/>
      <c r="R255" s="1102" t="n"/>
      <c r="S255" s="1102" t="n"/>
      <c r="T255" s="1103" t="n"/>
      <c r="U255" s="39" t="inlineStr"/>
      <c r="V255" s="39" t="inlineStr"/>
      <c r="W255" s="40" t="inlineStr">
        <is>
          <t>кг</t>
        </is>
      </c>
      <c r="X255" s="1104" t="n">
        <v>0</v>
      </c>
      <c r="Y255" s="1105">
        <f>IFERROR(IF(X255="",0,CEILING((X255/$H255),1)*$H255),"")</f>
        <v/>
      </c>
      <c r="Z255" s="41">
        <f>IFERROR(IF(Y255=0,"",ROUNDUP(Y255/H255,0)*0.01898),"")</f>
        <v/>
      </c>
      <c r="AA255" s="68" t="inlineStr"/>
      <c r="AB255" s="69" t="inlineStr"/>
      <c r="AC255" s="330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31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 ht="27" customHeight="1">
      <c r="A256" s="63" t="inlineStr">
        <is>
          <t>SU003387</t>
        </is>
      </c>
      <c r="B256" s="63" t="inlineStr">
        <is>
          <t>P004288</t>
        </is>
      </c>
      <c r="C256" s="36" t="n">
        <v>4301011910</v>
      </c>
      <c r="D256" s="745" t="n">
        <v>4680115885806</v>
      </c>
      <c r="E256" s="1062" t="n"/>
      <c r="F256" s="1100" t="n">
        <v>1.35</v>
      </c>
      <c r="G256" s="37" t="n">
        <v>8</v>
      </c>
      <c r="H256" s="1100" t="n">
        <v>10.8</v>
      </c>
      <c r="I256" s="1100" t="n">
        <v>11.28</v>
      </c>
      <c r="J256" s="37" t="n">
        <v>48</v>
      </c>
      <c r="K256" s="37" t="inlineStr">
        <is>
          <t>8</t>
        </is>
      </c>
      <c r="L256" s="37" t="inlineStr"/>
      <c r="M256" s="38" t="inlineStr">
        <is>
          <t>ВЗ</t>
        </is>
      </c>
      <c r="N256" s="38" t="n"/>
      <c r="O256" s="37" t="n">
        <v>55</v>
      </c>
      <c r="P256" s="1232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/>
      </c>
      <c r="Q256" s="1102" t="n"/>
      <c r="R256" s="1102" t="n"/>
      <c r="S256" s="1102" t="n"/>
      <c r="T256" s="1103" t="n"/>
      <c r="U256" s="39" t="inlineStr"/>
      <c r="V256" s="39" t="inlineStr"/>
      <c r="W256" s="40" t="inlineStr">
        <is>
          <t>кг</t>
        </is>
      </c>
      <c r="X256" s="1104" t="n">
        <v>0</v>
      </c>
      <c r="Y256" s="1105">
        <f>IFERROR(IF(X256="",0,CEILING((X256/$H256),1)*$H256),"")</f>
        <v/>
      </c>
      <c r="Z256" s="41">
        <f>IFERROR(IF(Y256=0,"",ROUNDUP(Y256/H256,0)*0.02039),"")</f>
        <v/>
      </c>
      <c r="AA256" s="68" t="inlineStr"/>
      <c r="AB256" s="69" t="inlineStr"/>
      <c r="AC256" s="332" t="inlineStr">
        <is>
          <t>ЕАЭС N RU Д-RU.РА06.В.26192/24</t>
        </is>
      </c>
      <c r="AG256" s="78" t="n"/>
      <c r="AJ256" s="84" t="inlineStr"/>
      <c r="AK256" s="84" t="n">
        <v>0</v>
      </c>
      <c r="BB256" s="333" t="inlineStr">
        <is>
          <t>КИ</t>
        </is>
      </c>
      <c r="BM256" s="78">
        <f>IFERROR(X256*I256/H256,"0")</f>
        <v/>
      </c>
      <c r="BN256" s="78">
        <f>IFERROR(Y256*I256/H256,"0")</f>
        <v/>
      </c>
      <c r="BO256" s="78">
        <f>IFERROR(1/J256*(X256/H256),"0")</f>
        <v/>
      </c>
      <c r="BP256" s="78">
        <f>IFERROR(1/J256*(Y256/H256),"0")</f>
        <v/>
      </c>
    </row>
    <row r="257" ht="27" customHeight="1">
      <c r="A257" s="63" t="inlineStr">
        <is>
          <t>SU003387</t>
        </is>
      </c>
      <c r="B257" s="63" t="inlineStr">
        <is>
          <t>P004206</t>
        </is>
      </c>
      <c r="C257" s="36" t="n">
        <v>4301011850</v>
      </c>
      <c r="D257" s="745" t="n">
        <v>4680115885806</v>
      </c>
      <c r="E257" s="1062" t="n"/>
      <c r="F257" s="1100" t="n">
        <v>1.35</v>
      </c>
      <c r="G257" s="37" t="n">
        <v>8</v>
      </c>
      <c r="H257" s="1100" t="n">
        <v>10.8</v>
      </c>
      <c r="I257" s="1100" t="n">
        <v>11.235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233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257" s="1102" t="n"/>
      <c r="R257" s="1102" t="n"/>
      <c r="S257" s="1102" t="n"/>
      <c r="T257" s="1103" t="n"/>
      <c r="U257" s="39" t="inlineStr"/>
      <c r="V257" s="39" t="inlineStr"/>
      <c r="W257" s="40" t="inlineStr">
        <is>
          <t>кг</t>
        </is>
      </c>
      <c r="X257" s="1104" t="n">
        <v>0</v>
      </c>
      <c r="Y257" s="1105">
        <f>IFERROR(IF(X257="",0,CEILING((X257/$H257),1)*$H257),"")</f>
        <v/>
      </c>
      <c r="Z257" s="41">
        <f>IFERROR(IF(Y257=0,"",ROUNDUP(Y257/H257,0)*0.01898),"")</f>
        <v/>
      </c>
      <c r="AA257" s="68" t="inlineStr"/>
      <c r="AB257" s="69" t="inlineStr"/>
      <c r="AC257" s="334" t="inlineStr">
        <is>
          <t>ЕАЭС N RU Д-RU.РА05.В.80261/24, ЕАЭС N RU Д-RU.РА05.В.80546/24</t>
        </is>
      </c>
      <c r="AG257" s="78" t="n"/>
      <c r="AJ257" s="84" t="inlineStr"/>
      <c r="AK257" s="84" t="n">
        <v>0</v>
      </c>
      <c r="BB257" s="335" t="inlineStr">
        <is>
          <t>КИ</t>
        </is>
      </c>
      <c r="BM257" s="78">
        <f>IFERROR(X257*I257/H257,"0")</f>
        <v/>
      </c>
      <c r="BN257" s="78">
        <f>IFERROR(Y257*I257/H257,"0")</f>
        <v/>
      </c>
      <c r="BO257" s="78">
        <f>IFERROR(1/J257*(X257/H257),"0")</f>
        <v/>
      </c>
      <c r="BP257" s="78">
        <f>IFERROR(1/J257*(Y257/H257),"0")</f>
        <v/>
      </c>
    </row>
    <row r="258" ht="37.5" customHeight="1">
      <c r="A258" s="63" t="inlineStr">
        <is>
          <t>SU003391</t>
        </is>
      </c>
      <c r="B258" s="63" t="inlineStr">
        <is>
          <t>P004209</t>
        </is>
      </c>
      <c r="C258" s="36" t="n">
        <v>4301011853</v>
      </c>
      <c r="D258" s="745" t="n">
        <v>4680115885851</v>
      </c>
      <c r="E258" s="1062" t="n"/>
      <c r="F258" s="1100" t="n">
        <v>1.35</v>
      </c>
      <c r="G258" s="37" t="n">
        <v>8</v>
      </c>
      <c r="H258" s="1100" t="n">
        <v>10.8</v>
      </c>
      <c r="I258" s="1100" t="n">
        <v>11.235</v>
      </c>
      <c r="J258" s="37" t="n">
        <v>64</v>
      </c>
      <c r="K258" s="37" t="inlineStr">
        <is>
          <t>8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234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/>
      </c>
      <c r="Q258" s="1102" t="n"/>
      <c r="R258" s="1102" t="n"/>
      <c r="S258" s="1102" t="n"/>
      <c r="T258" s="1103" t="n"/>
      <c r="U258" s="39" t="inlineStr"/>
      <c r="V258" s="39" t="inlineStr"/>
      <c r="W258" s="40" t="inlineStr">
        <is>
          <t>кг</t>
        </is>
      </c>
      <c r="X258" s="1104" t="n">
        <v>0</v>
      </c>
      <c r="Y258" s="1105">
        <f>IFERROR(IF(X258="",0,CEILING((X258/$H258),1)*$H258),"")</f>
        <v/>
      </c>
      <c r="Z258" s="41">
        <f>IFERROR(IF(Y258=0,"",ROUNDUP(Y258/H258,0)*0.01898),"")</f>
        <v/>
      </c>
      <c r="AA258" s="68" t="inlineStr"/>
      <c r="AB258" s="69" t="inlineStr"/>
      <c r="AC258" s="336" t="inlineStr">
        <is>
          <t>ЕАЭС N RU Д-RU.РА05.В.80018/24</t>
        </is>
      </c>
      <c r="AG258" s="78" t="n"/>
      <c r="AJ258" s="84" t="inlineStr"/>
      <c r="AK258" s="84" t="n">
        <v>0</v>
      </c>
      <c r="BB258" s="337" t="inlineStr">
        <is>
          <t>КИ</t>
        </is>
      </c>
      <c r="BM258" s="78">
        <f>IFERROR(X258*I258/H258,"0")</f>
        <v/>
      </c>
      <c r="BN258" s="78">
        <f>IFERROR(Y258*I258/H258,"0")</f>
        <v/>
      </c>
      <c r="BO258" s="78">
        <f>IFERROR(1/J258*(X258/H258),"0")</f>
        <v/>
      </c>
      <c r="BP258" s="78">
        <f>IFERROR(1/J258*(Y258/H258),"0")</f>
        <v/>
      </c>
    </row>
    <row r="259" ht="27" customHeight="1">
      <c r="A259" s="63" t="inlineStr">
        <is>
          <t>SU003390</t>
        </is>
      </c>
      <c r="B259" s="63" t="inlineStr">
        <is>
          <t>P004208</t>
        </is>
      </c>
      <c r="C259" s="36" t="n">
        <v>4301011852</v>
      </c>
      <c r="D259" s="745" t="n">
        <v>4680115885844</v>
      </c>
      <c r="E259" s="1062" t="n"/>
      <c r="F259" s="1100" t="n">
        <v>0.4</v>
      </c>
      <c r="G259" s="37" t="n">
        <v>10</v>
      </c>
      <c r="H259" s="1100" t="n">
        <v>4</v>
      </c>
      <c r="I259" s="1100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235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259" s="1102" t="n"/>
      <c r="R259" s="1102" t="n"/>
      <c r="S259" s="1102" t="n"/>
      <c r="T259" s="1103" t="n"/>
      <c r="U259" s="39" t="inlineStr"/>
      <c r="V259" s="39" t="inlineStr"/>
      <c r="W259" s="40" t="inlineStr">
        <is>
          <t>кг</t>
        </is>
      </c>
      <c r="X259" s="1104" t="n">
        <v>0</v>
      </c>
      <c r="Y259" s="1105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8" t="inlineStr">
        <is>
          <t>ЕАЭС N RU Д-RU.РА05.В.80946/24</t>
        </is>
      </c>
      <c r="AG259" s="78" t="n"/>
      <c r="AJ259" s="84" t="inlineStr"/>
      <c r="AK259" s="84" t="n">
        <v>0</v>
      </c>
      <c r="BB259" s="339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SU003388</t>
        </is>
      </c>
      <c r="B260" s="63" t="inlineStr">
        <is>
          <t>P004207</t>
        </is>
      </c>
      <c r="C260" s="36" t="n">
        <v>4301011851</v>
      </c>
      <c r="D260" s="745" t="n">
        <v>4680115885820</v>
      </c>
      <c r="E260" s="1062" t="n"/>
      <c r="F260" s="1100" t="n">
        <v>0.4</v>
      </c>
      <c r="G260" s="37" t="n">
        <v>10</v>
      </c>
      <c r="H260" s="1100" t="n">
        <v>4</v>
      </c>
      <c r="I260" s="1100" t="n">
        <v>4.21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СК1</t>
        </is>
      </c>
      <c r="N260" s="38" t="n"/>
      <c r="O260" s="37" t="n">
        <v>55</v>
      </c>
      <c r="P260" s="1236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260" s="1102" t="n"/>
      <c r="R260" s="1102" t="n"/>
      <c r="S260" s="1102" t="n"/>
      <c r="T260" s="1103" t="n"/>
      <c r="U260" s="39" t="inlineStr"/>
      <c r="V260" s="39" t="inlineStr"/>
      <c r="W260" s="40" t="inlineStr">
        <is>
          <t>кг</t>
        </is>
      </c>
      <c r="X260" s="1104" t="n">
        <v>0</v>
      </c>
      <c r="Y260" s="1105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40" t="inlineStr">
        <is>
          <t>ЕАЭС N RU Д-RU.РА05.В.80546/24</t>
        </is>
      </c>
      <c r="AG260" s="78" t="n"/>
      <c r="AJ260" s="84" t="inlineStr"/>
      <c r="AK260" s="84" t="n">
        <v>0</v>
      </c>
      <c r="BB260" s="341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>
      <c r="A261" s="758" t="n"/>
      <c r="B261" s="1051" t="n"/>
      <c r="C261" s="1051" t="n"/>
      <c r="D261" s="1051" t="n"/>
      <c r="E261" s="1051" t="n"/>
      <c r="F261" s="1051" t="n"/>
      <c r="G261" s="1051" t="n"/>
      <c r="H261" s="1051" t="n"/>
      <c r="I261" s="1051" t="n"/>
      <c r="J261" s="1051" t="n"/>
      <c r="K261" s="1051" t="n"/>
      <c r="L261" s="1051" t="n"/>
      <c r="M261" s="1051" t="n"/>
      <c r="N261" s="1051" t="n"/>
      <c r="O261" s="1111" t="n"/>
      <c r="P261" s="1112" t="inlineStr">
        <is>
          <t>Итого</t>
        </is>
      </c>
      <c r="Q261" s="1069" t="n"/>
      <c r="R261" s="1069" t="n"/>
      <c r="S261" s="1069" t="n"/>
      <c r="T261" s="1069" t="n"/>
      <c r="U261" s="1069" t="n"/>
      <c r="V261" s="1070" t="n"/>
      <c r="W261" s="42" t="inlineStr">
        <is>
          <t>кор</t>
        </is>
      </c>
      <c r="X261" s="1113">
        <f>IFERROR(X255/H255,"0")+IFERROR(X256/H256,"0")+IFERROR(X257/H257,"0")+IFERROR(X258/H258,"0")+IFERROR(X259/H259,"0")+IFERROR(X260/H260,"0")</f>
        <v/>
      </c>
      <c r="Y261" s="1113">
        <f>IFERROR(Y255/H255,"0")+IFERROR(Y256/H256,"0")+IFERROR(Y257/H257,"0")+IFERROR(Y258/H258,"0")+IFERROR(Y259/H259,"0")+IFERROR(Y260/H260,"0")</f>
        <v/>
      </c>
      <c r="Z261" s="1113">
        <f>IFERROR(IF(Z255="",0,Z255),"0")+IFERROR(IF(Z256="",0,Z256),"0")+IFERROR(IF(Z257="",0,Z257),"0")+IFERROR(IF(Z258="",0,Z258),"0")+IFERROR(IF(Z259="",0,Z259),"0")+IFERROR(IF(Z260="",0,Z260),"0")</f>
        <v/>
      </c>
      <c r="AA261" s="1114" t="n"/>
      <c r="AB261" s="1114" t="n"/>
      <c r="AC261" s="1114" t="n"/>
    </row>
    <row r="262">
      <c r="A262" s="1051" t="n"/>
      <c r="B262" s="1051" t="n"/>
      <c r="C262" s="1051" t="n"/>
      <c r="D262" s="1051" t="n"/>
      <c r="E262" s="1051" t="n"/>
      <c r="F262" s="1051" t="n"/>
      <c r="G262" s="1051" t="n"/>
      <c r="H262" s="1051" t="n"/>
      <c r="I262" s="1051" t="n"/>
      <c r="J262" s="1051" t="n"/>
      <c r="K262" s="1051" t="n"/>
      <c r="L262" s="1051" t="n"/>
      <c r="M262" s="1051" t="n"/>
      <c r="N262" s="1051" t="n"/>
      <c r="O262" s="1111" t="n"/>
      <c r="P262" s="1112" t="inlineStr">
        <is>
          <t>Итого</t>
        </is>
      </c>
      <c r="Q262" s="1069" t="n"/>
      <c r="R262" s="1069" t="n"/>
      <c r="S262" s="1069" t="n"/>
      <c r="T262" s="1069" t="n"/>
      <c r="U262" s="1069" t="n"/>
      <c r="V262" s="1070" t="n"/>
      <c r="W262" s="42" t="inlineStr">
        <is>
          <t>кг</t>
        </is>
      </c>
      <c r="X262" s="1113">
        <f>IFERROR(SUM(X255:X260),"0")</f>
        <v/>
      </c>
      <c r="Y262" s="1113">
        <f>IFERROR(SUM(Y255:Y260),"0")</f>
        <v/>
      </c>
      <c r="Z262" s="42" t="n"/>
      <c r="AA262" s="1114" t="n"/>
      <c r="AB262" s="1114" t="n"/>
      <c r="AC262" s="1114" t="n"/>
    </row>
    <row r="263" ht="16.5" customHeight="1">
      <c r="A263" s="743" t="inlineStr">
        <is>
          <t>Филедворская Золоченная в печи</t>
        </is>
      </c>
      <c r="B263" s="1051" t="n"/>
      <c r="C263" s="1051" t="n"/>
      <c r="D263" s="1051" t="n"/>
      <c r="E263" s="1051" t="n"/>
      <c r="F263" s="1051" t="n"/>
      <c r="G263" s="1051" t="n"/>
      <c r="H263" s="1051" t="n"/>
      <c r="I263" s="1051" t="n"/>
      <c r="J263" s="1051" t="n"/>
      <c r="K263" s="1051" t="n"/>
      <c r="L263" s="1051" t="n"/>
      <c r="M263" s="1051" t="n"/>
      <c r="N263" s="1051" t="n"/>
      <c r="O263" s="1051" t="n"/>
      <c r="P263" s="1051" t="n"/>
      <c r="Q263" s="1051" t="n"/>
      <c r="R263" s="1051" t="n"/>
      <c r="S263" s="1051" t="n"/>
      <c r="T263" s="1051" t="n"/>
      <c r="U263" s="1051" t="n"/>
      <c r="V263" s="1051" t="n"/>
      <c r="W263" s="1051" t="n"/>
      <c r="X263" s="1051" t="n"/>
      <c r="Y263" s="1051" t="n"/>
      <c r="Z263" s="1051" t="n"/>
      <c r="AA263" s="743" t="n"/>
      <c r="AB263" s="743" t="n"/>
      <c r="AC263" s="743" t="n"/>
    </row>
    <row r="264" ht="14.25" customHeight="1">
      <c r="A264" s="744" t="inlineStr">
        <is>
          <t>Вареные колбасы</t>
        </is>
      </c>
      <c r="B264" s="1051" t="n"/>
      <c r="C264" s="1051" t="n"/>
      <c r="D264" s="1051" t="n"/>
      <c r="E264" s="1051" t="n"/>
      <c r="F264" s="1051" t="n"/>
      <c r="G264" s="1051" t="n"/>
      <c r="H264" s="1051" t="n"/>
      <c r="I264" s="1051" t="n"/>
      <c r="J264" s="1051" t="n"/>
      <c r="K264" s="1051" t="n"/>
      <c r="L264" s="1051" t="n"/>
      <c r="M264" s="1051" t="n"/>
      <c r="N264" s="1051" t="n"/>
      <c r="O264" s="1051" t="n"/>
      <c r="P264" s="1051" t="n"/>
      <c r="Q264" s="1051" t="n"/>
      <c r="R264" s="1051" t="n"/>
      <c r="S264" s="1051" t="n"/>
      <c r="T264" s="1051" t="n"/>
      <c r="U264" s="1051" t="n"/>
      <c r="V264" s="1051" t="n"/>
      <c r="W264" s="1051" t="n"/>
      <c r="X264" s="1051" t="n"/>
      <c r="Y264" s="1051" t="n"/>
      <c r="Z264" s="1051" t="n"/>
      <c r="AA264" s="744" t="n"/>
      <c r="AB264" s="744" t="n"/>
      <c r="AC264" s="744" t="n"/>
    </row>
    <row r="265" ht="37.5" customHeight="1">
      <c r="A265" s="63" t="inlineStr">
        <is>
          <t>SU003427</t>
        </is>
      </c>
      <c r="B265" s="63" t="inlineStr">
        <is>
          <t>P004271</t>
        </is>
      </c>
      <c r="C265" s="36" t="n">
        <v>4301011876</v>
      </c>
      <c r="D265" s="745" t="n">
        <v>4680115885707</v>
      </c>
      <c r="E265" s="1062" t="n"/>
      <c r="F265" s="1100" t="n">
        <v>0.9</v>
      </c>
      <c r="G265" s="37" t="n">
        <v>10</v>
      </c>
      <c r="H265" s="1100" t="n">
        <v>9</v>
      </c>
      <c r="I265" s="1100" t="n">
        <v>9.435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СК1</t>
        </is>
      </c>
      <c r="N265" s="38" t="n"/>
      <c r="O265" s="37" t="n">
        <v>31</v>
      </c>
      <c r="P265" s="1237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/>
      </c>
      <c r="Q265" s="1102" t="n"/>
      <c r="R265" s="1102" t="n"/>
      <c r="S265" s="1102" t="n"/>
      <c r="T265" s="1103" t="n"/>
      <c r="U265" s="39" t="inlineStr"/>
      <c r="V265" s="39" t="inlineStr"/>
      <c r="W265" s="40" t="inlineStr">
        <is>
          <t>кг</t>
        </is>
      </c>
      <c r="X265" s="1104" t="n">
        <v>0</v>
      </c>
      <c r="Y265" s="1105">
        <f>IFERROR(IF(X265="",0,CEILING((X265/$H265),1)*$H265),"")</f>
        <v/>
      </c>
      <c r="Z265" s="41">
        <f>IFERROR(IF(Y265=0,"",ROUNDUP(Y265/H265,0)*0.01898),"")</f>
        <v/>
      </c>
      <c r="AA265" s="68" t="inlineStr"/>
      <c r="AB265" s="69" t="inlineStr"/>
      <c r="AC265" s="342" t="inlineStr">
        <is>
          <t>ЕАЭС N RU Д-RU.РА05.В.81953/23</t>
        </is>
      </c>
      <c r="AG265" s="78" t="n"/>
      <c r="AJ265" s="84" t="inlineStr"/>
      <c r="AK265" s="84" t="n">
        <v>0</v>
      </c>
      <c r="BB265" s="343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>
      <c r="A266" s="758" t="n"/>
      <c r="B266" s="1051" t="n"/>
      <c r="C266" s="1051" t="n"/>
      <c r="D266" s="1051" t="n"/>
      <c r="E266" s="1051" t="n"/>
      <c r="F266" s="1051" t="n"/>
      <c r="G266" s="1051" t="n"/>
      <c r="H266" s="1051" t="n"/>
      <c r="I266" s="1051" t="n"/>
      <c r="J266" s="1051" t="n"/>
      <c r="K266" s="1051" t="n"/>
      <c r="L266" s="1051" t="n"/>
      <c r="M266" s="1051" t="n"/>
      <c r="N266" s="1051" t="n"/>
      <c r="O266" s="1111" t="n"/>
      <c r="P266" s="1112" t="inlineStr">
        <is>
          <t>Итого</t>
        </is>
      </c>
      <c r="Q266" s="1069" t="n"/>
      <c r="R266" s="1069" t="n"/>
      <c r="S266" s="1069" t="n"/>
      <c r="T266" s="1069" t="n"/>
      <c r="U266" s="1069" t="n"/>
      <c r="V266" s="1070" t="n"/>
      <c r="W266" s="42" t="inlineStr">
        <is>
          <t>кор</t>
        </is>
      </c>
      <c r="X266" s="1113">
        <f>IFERROR(X265/H265,"0")</f>
        <v/>
      </c>
      <c r="Y266" s="1113">
        <f>IFERROR(Y265/H265,"0")</f>
        <v/>
      </c>
      <c r="Z266" s="1113">
        <f>IFERROR(IF(Z265="",0,Z265),"0")</f>
        <v/>
      </c>
      <c r="AA266" s="1114" t="n"/>
      <c r="AB266" s="1114" t="n"/>
      <c r="AC266" s="1114" t="n"/>
    </row>
    <row r="267">
      <c r="A267" s="1051" t="n"/>
      <c r="B267" s="1051" t="n"/>
      <c r="C267" s="1051" t="n"/>
      <c r="D267" s="1051" t="n"/>
      <c r="E267" s="1051" t="n"/>
      <c r="F267" s="1051" t="n"/>
      <c r="G267" s="1051" t="n"/>
      <c r="H267" s="1051" t="n"/>
      <c r="I267" s="1051" t="n"/>
      <c r="J267" s="1051" t="n"/>
      <c r="K267" s="1051" t="n"/>
      <c r="L267" s="1051" t="n"/>
      <c r="M267" s="1051" t="n"/>
      <c r="N267" s="1051" t="n"/>
      <c r="O267" s="1111" t="n"/>
      <c r="P267" s="1112" t="inlineStr">
        <is>
          <t>Итого</t>
        </is>
      </c>
      <c r="Q267" s="1069" t="n"/>
      <c r="R267" s="1069" t="n"/>
      <c r="S267" s="1069" t="n"/>
      <c r="T267" s="1069" t="n"/>
      <c r="U267" s="1069" t="n"/>
      <c r="V267" s="1070" t="n"/>
      <c r="W267" s="42" t="inlineStr">
        <is>
          <t>кг</t>
        </is>
      </c>
      <c r="X267" s="1113">
        <f>IFERROR(SUM(X265:X265),"0")</f>
        <v/>
      </c>
      <c r="Y267" s="1113">
        <f>IFERROR(SUM(Y265:Y265),"0")</f>
        <v/>
      </c>
      <c r="Z267" s="42" t="n"/>
      <c r="AA267" s="1114" t="n"/>
      <c r="AB267" s="1114" t="n"/>
      <c r="AC267" s="1114" t="n"/>
    </row>
    <row r="268" ht="16.5" customHeight="1">
      <c r="A268" s="743" t="inlineStr">
        <is>
          <t>Стародворская Золоченная в печи</t>
        </is>
      </c>
      <c r="B268" s="1051" t="n"/>
      <c r="C268" s="1051" t="n"/>
      <c r="D268" s="1051" t="n"/>
      <c r="E268" s="1051" t="n"/>
      <c r="F268" s="1051" t="n"/>
      <c r="G268" s="1051" t="n"/>
      <c r="H268" s="1051" t="n"/>
      <c r="I268" s="1051" t="n"/>
      <c r="J268" s="1051" t="n"/>
      <c r="K268" s="1051" t="n"/>
      <c r="L268" s="1051" t="n"/>
      <c r="M268" s="1051" t="n"/>
      <c r="N268" s="1051" t="n"/>
      <c r="O268" s="1051" t="n"/>
      <c r="P268" s="1051" t="n"/>
      <c r="Q268" s="1051" t="n"/>
      <c r="R268" s="1051" t="n"/>
      <c r="S268" s="1051" t="n"/>
      <c r="T268" s="1051" t="n"/>
      <c r="U268" s="1051" t="n"/>
      <c r="V268" s="1051" t="n"/>
      <c r="W268" s="1051" t="n"/>
      <c r="X268" s="1051" t="n"/>
      <c r="Y268" s="1051" t="n"/>
      <c r="Z268" s="1051" t="n"/>
      <c r="AA268" s="743" t="n"/>
      <c r="AB268" s="743" t="n"/>
      <c r="AC268" s="743" t="n"/>
    </row>
    <row r="269" ht="14.25" customHeight="1">
      <c r="A269" s="744" t="inlineStr">
        <is>
          <t>Вареные колбасы</t>
        </is>
      </c>
      <c r="B269" s="1051" t="n"/>
      <c r="C269" s="1051" t="n"/>
      <c r="D269" s="1051" t="n"/>
      <c r="E269" s="1051" t="n"/>
      <c r="F269" s="1051" t="n"/>
      <c r="G269" s="1051" t="n"/>
      <c r="H269" s="1051" t="n"/>
      <c r="I269" s="1051" t="n"/>
      <c r="J269" s="1051" t="n"/>
      <c r="K269" s="1051" t="n"/>
      <c r="L269" s="1051" t="n"/>
      <c r="M269" s="1051" t="n"/>
      <c r="N269" s="1051" t="n"/>
      <c r="O269" s="1051" t="n"/>
      <c r="P269" s="1051" t="n"/>
      <c r="Q269" s="1051" t="n"/>
      <c r="R269" s="1051" t="n"/>
      <c r="S269" s="1051" t="n"/>
      <c r="T269" s="1051" t="n"/>
      <c r="U269" s="1051" t="n"/>
      <c r="V269" s="1051" t="n"/>
      <c r="W269" s="1051" t="n"/>
      <c r="X269" s="1051" t="n"/>
      <c r="Y269" s="1051" t="n"/>
      <c r="Z269" s="1051" t="n"/>
      <c r="AA269" s="744" t="n"/>
      <c r="AB269" s="744" t="n"/>
      <c r="AC269" s="744" t="n"/>
    </row>
    <row r="270" ht="27" customHeight="1">
      <c r="A270" s="63" t="inlineStr">
        <is>
          <t>SU002201</t>
        </is>
      </c>
      <c r="B270" s="63" t="inlineStr">
        <is>
          <t>P002567</t>
        </is>
      </c>
      <c r="C270" s="36" t="n">
        <v>4301011223</v>
      </c>
      <c r="D270" s="745" t="n">
        <v>4607091383423</v>
      </c>
      <c r="E270" s="1062" t="n"/>
      <c r="F270" s="1100" t="n">
        <v>1.35</v>
      </c>
      <c r="G270" s="37" t="n">
        <v>8</v>
      </c>
      <c r="H270" s="1100" t="n">
        <v>10.8</v>
      </c>
      <c r="I270" s="1100" t="n">
        <v>11.331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35</v>
      </c>
      <c r="P270" s="1238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/>
      </c>
      <c r="Q270" s="1102" t="n"/>
      <c r="R270" s="1102" t="n"/>
      <c r="S270" s="1102" t="n"/>
      <c r="T270" s="1103" t="n"/>
      <c r="U270" s="39" t="inlineStr"/>
      <c r="V270" s="39" t="inlineStr"/>
      <c r="W270" s="40" t="inlineStr">
        <is>
          <t>кг</t>
        </is>
      </c>
      <c r="X270" s="1104" t="n">
        <v>0</v>
      </c>
      <c r="Y270" s="1105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44" t="inlineStr">
        <is>
          <t>ЕАЭС N RU Д- RU.РА01.В.79635/20</t>
        </is>
      </c>
      <c r="AG270" s="78" t="n"/>
      <c r="AJ270" s="84" t="inlineStr"/>
      <c r="AK270" s="84" t="n">
        <v>0</v>
      </c>
      <c r="BB270" s="345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37.5" customHeight="1">
      <c r="A271" s="63" t="inlineStr">
        <is>
          <t>SU003430</t>
        </is>
      </c>
      <c r="B271" s="63" t="inlineStr">
        <is>
          <t>P004278</t>
        </is>
      </c>
      <c r="C271" s="36" t="n">
        <v>4301012099</v>
      </c>
      <c r="D271" s="745" t="n">
        <v>4680115885691</v>
      </c>
      <c r="E271" s="1062" t="n"/>
      <c r="F271" s="1100" t="n">
        <v>1.35</v>
      </c>
      <c r="G271" s="37" t="n">
        <v>8</v>
      </c>
      <c r="H271" s="1100" t="n">
        <v>10.8</v>
      </c>
      <c r="I271" s="1100" t="n">
        <v>11.235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30</v>
      </c>
      <c r="P271" s="1239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/>
      </c>
      <c r="Q271" s="1102" t="n"/>
      <c r="R271" s="1102" t="n"/>
      <c r="S271" s="1102" t="n"/>
      <c r="T271" s="1103" t="n"/>
      <c r="U271" s="39" t="inlineStr"/>
      <c r="V271" s="39" t="inlineStr"/>
      <c r="W271" s="40" t="inlineStr">
        <is>
          <t>кг</t>
        </is>
      </c>
      <c r="X271" s="1104" t="n">
        <v>0</v>
      </c>
      <c r="Y271" s="1105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46" t="inlineStr">
        <is>
          <t>ЕАЭС N RU Д-RU.РА04.В.47219/24</t>
        </is>
      </c>
      <c r="AG271" s="78" t="n"/>
      <c r="AJ271" s="84" t="inlineStr"/>
      <c r="AK271" s="84" t="n">
        <v>0</v>
      </c>
      <c r="BB271" s="347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SU003429</t>
        </is>
      </c>
      <c r="B272" s="63" t="inlineStr">
        <is>
          <t>P004275</t>
        </is>
      </c>
      <c r="C272" s="36" t="n">
        <v>4301012098</v>
      </c>
      <c r="D272" s="745" t="n">
        <v>4680115885660</v>
      </c>
      <c r="E272" s="1062" t="n"/>
      <c r="F272" s="1100" t="n">
        <v>1.35</v>
      </c>
      <c r="G272" s="37" t="n">
        <v>8</v>
      </c>
      <c r="H272" s="1100" t="n">
        <v>10.8</v>
      </c>
      <c r="I272" s="1100" t="n">
        <v>11.235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35</v>
      </c>
      <c r="P272" s="1240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/>
      </c>
      <c r="Q272" s="1102" t="n"/>
      <c r="R272" s="1102" t="n"/>
      <c r="S272" s="1102" t="n"/>
      <c r="T272" s="1103" t="n"/>
      <c r="U272" s="39" t="inlineStr"/>
      <c r="V272" s="39" t="inlineStr"/>
      <c r="W272" s="40" t="inlineStr">
        <is>
          <t>кг</t>
        </is>
      </c>
      <c r="X272" s="1104" t="n">
        <v>0</v>
      </c>
      <c r="Y272" s="1105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48" t="inlineStr">
        <is>
          <t>ЕАЭС N RU Д-RU.РА04.В.46905/24</t>
        </is>
      </c>
      <c r="AG272" s="78" t="n"/>
      <c r="AJ272" s="84" t="inlineStr"/>
      <c r="AK272" s="84" t="n">
        <v>0</v>
      </c>
      <c r="BB272" s="349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>
      <c r="A273" s="758" t="n"/>
      <c r="B273" s="1051" t="n"/>
      <c r="C273" s="1051" t="n"/>
      <c r="D273" s="1051" t="n"/>
      <c r="E273" s="1051" t="n"/>
      <c r="F273" s="1051" t="n"/>
      <c r="G273" s="1051" t="n"/>
      <c r="H273" s="1051" t="n"/>
      <c r="I273" s="1051" t="n"/>
      <c r="J273" s="1051" t="n"/>
      <c r="K273" s="1051" t="n"/>
      <c r="L273" s="1051" t="n"/>
      <c r="M273" s="1051" t="n"/>
      <c r="N273" s="1051" t="n"/>
      <c r="O273" s="1111" t="n"/>
      <c r="P273" s="1112" t="inlineStr">
        <is>
          <t>Итого</t>
        </is>
      </c>
      <c r="Q273" s="1069" t="n"/>
      <c r="R273" s="1069" t="n"/>
      <c r="S273" s="1069" t="n"/>
      <c r="T273" s="1069" t="n"/>
      <c r="U273" s="1069" t="n"/>
      <c r="V273" s="1070" t="n"/>
      <c r="W273" s="42" t="inlineStr">
        <is>
          <t>кор</t>
        </is>
      </c>
      <c r="X273" s="1113">
        <f>IFERROR(X270/H270,"0")+IFERROR(X271/H271,"0")+IFERROR(X272/H272,"0")</f>
        <v/>
      </c>
      <c r="Y273" s="1113">
        <f>IFERROR(Y270/H270,"0")+IFERROR(Y271/H271,"0")+IFERROR(Y272/H272,"0")</f>
        <v/>
      </c>
      <c r="Z273" s="1113">
        <f>IFERROR(IF(Z270="",0,Z270),"0")+IFERROR(IF(Z271="",0,Z271),"0")+IFERROR(IF(Z272="",0,Z272),"0")</f>
        <v/>
      </c>
      <c r="AA273" s="1114" t="n"/>
      <c r="AB273" s="1114" t="n"/>
      <c r="AC273" s="1114" t="n"/>
    </row>
    <row r="274">
      <c r="A274" s="1051" t="n"/>
      <c r="B274" s="1051" t="n"/>
      <c r="C274" s="1051" t="n"/>
      <c r="D274" s="1051" t="n"/>
      <c r="E274" s="1051" t="n"/>
      <c r="F274" s="1051" t="n"/>
      <c r="G274" s="1051" t="n"/>
      <c r="H274" s="1051" t="n"/>
      <c r="I274" s="1051" t="n"/>
      <c r="J274" s="1051" t="n"/>
      <c r="K274" s="1051" t="n"/>
      <c r="L274" s="1051" t="n"/>
      <c r="M274" s="1051" t="n"/>
      <c r="N274" s="1051" t="n"/>
      <c r="O274" s="1111" t="n"/>
      <c r="P274" s="1112" t="inlineStr">
        <is>
          <t>Итого</t>
        </is>
      </c>
      <c r="Q274" s="1069" t="n"/>
      <c r="R274" s="1069" t="n"/>
      <c r="S274" s="1069" t="n"/>
      <c r="T274" s="1069" t="n"/>
      <c r="U274" s="1069" t="n"/>
      <c r="V274" s="1070" t="n"/>
      <c r="W274" s="42" t="inlineStr">
        <is>
          <t>кг</t>
        </is>
      </c>
      <c r="X274" s="1113">
        <f>IFERROR(SUM(X270:X272),"0")</f>
        <v/>
      </c>
      <c r="Y274" s="1113">
        <f>IFERROR(SUM(Y270:Y272),"0")</f>
        <v/>
      </c>
      <c r="Z274" s="42" t="n"/>
      <c r="AA274" s="1114" t="n"/>
      <c r="AB274" s="1114" t="n"/>
      <c r="AC274" s="1114" t="n"/>
    </row>
    <row r="275" ht="16.5" customHeight="1">
      <c r="A275" s="743" t="inlineStr">
        <is>
          <t>Сочинка по-баварски</t>
        </is>
      </c>
      <c r="B275" s="1051" t="n"/>
      <c r="C275" s="1051" t="n"/>
      <c r="D275" s="1051" t="n"/>
      <c r="E275" s="1051" t="n"/>
      <c r="F275" s="1051" t="n"/>
      <c r="G275" s="1051" t="n"/>
      <c r="H275" s="1051" t="n"/>
      <c r="I275" s="1051" t="n"/>
      <c r="J275" s="1051" t="n"/>
      <c r="K275" s="1051" t="n"/>
      <c r="L275" s="1051" t="n"/>
      <c r="M275" s="1051" t="n"/>
      <c r="N275" s="1051" t="n"/>
      <c r="O275" s="1051" t="n"/>
      <c r="P275" s="1051" t="n"/>
      <c r="Q275" s="1051" t="n"/>
      <c r="R275" s="1051" t="n"/>
      <c r="S275" s="1051" t="n"/>
      <c r="T275" s="1051" t="n"/>
      <c r="U275" s="1051" t="n"/>
      <c r="V275" s="1051" t="n"/>
      <c r="W275" s="1051" t="n"/>
      <c r="X275" s="1051" t="n"/>
      <c r="Y275" s="1051" t="n"/>
      <c r="Z275" s="1051" t="n"/>
      <c r="AA275" s="743" t="n"/>
      <c r="AB275" s="743" t="n"/>
      <c r="AC275" s="743" t="n"/>
    </row>
    <row r="276" ht="14.25" customHeight="1">
      <c r="A276" s="744" t="inlineStr">
        <is>
          <t>Сосиски</t>
        </is>
      </c>
      <c r="B276" s="1051" t="n"/>
      <c r="C276" s="1051" t="n"/>
      <c r="D276" s="1051" t="n"/>
      <c r="E276" s="1051" t="n"/>
      <c r="F276" s="1051" t="n"/>
      <c r="G276" s="1051" t="n"/>
      <c r="H276" s="1051" t="n"/>
      <c r="I276" s="1051" t="n"/>
      <c r="J276" s="1051" t="n"/>
      <c r="K276" s="1051" t="n"/>
      <c r="L276" s="1051" t="n"/>
      <c r="M276" s="1051" t="n"/>
      <c r="N276" s="1051" t="n"/>
      <c r="O276" s="1051" t="n"/>
      <c r="P276" s="1051" t="n"/>
      <c r="Q276" s="1051" t="n"/>
      <c r="R276" s="1051" t="n"/>
      <c r="S276" s="1051" t="n"/>
      <c r="T276" s="1051" t="n"/>
      <c r="U276" s="1051" t="n"/>
      <c r="V276" s="1051" t="n"/>
      <c r="W276" s="1051" t="n"/>
      <c r="X276" s="1051" t="n"/>
      <c r="Y276" s="1051" t="n"/>
      <c r="Z276" s="1051" t="n"/>
      <c r="AA276" s="744" t="n"/>
      <c r="AB276" s="744" t="n"/>
      <c r="AC276" s="744" t="n"/>
    </row>
    <row r="277" ht="37.5" customHeight="1">
      <c r="A277" s="63" t="inlineStr">
        <is>
          <t>SU002802</t>
        </is>
      </c>
      <c r="B277" s="63" t="inlineStr">
        <is>
          <t>P003580</t>
        </is>
      </c>
      <c r="C277" s="36" t="n">
        <v>4301051940</v>
      </c>
      <c r="D277" s="745" t="n">
        <v>4680115881037</v>
      </c>
      <c r="E277" s="1062" t="n"/>
      <c r="F277" s="1100" t="n">
        <v>0.84</v>
      </c>
      <c r="G277" s="37" t="n">
        <v>4</v>
      </c>
      <c r="H277" s="1100" t="n">
        <v>3.36</v>
      </c>
      <c r="I277" s="1100" t="n">
        <v>3.618</v>
      </c>
      <c r="J277" s="37" t="n">
        <v>132</v>
      </c>
      <c r="K277" s="37" t="inlineStr">
        <is>
          <t>12</t>
        </is>
      </c>
      <c r="L277" s="37" t="inlineStr"/>
      <c r="M277" s="38" t="inlineStr">
        <is>
          <t>СК4</t>
        </is>
      </c>
      <c r="N277" s="38" t="n"/>
      <c r="O277" s="37" t="n">
        <v>40</v>
      </c>
      <c r="P277" s="1241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/>
      </c>
      <c r="Q277" s="1102" t="n"/>
      <c r="R277" s="1102" t="n"/>
      <c r="S277" s="1102" t="n"/>
      <c r="T277" s="1103" t="n"/>
      <c r="U277" s="39" t="inlineStr"/>
      <c r="V277" s="39" t="inlineStr"/>
      <c r="W277" s="40" t="inlineStr">
        <is>
          <t>кг</t>
        </is>
      </c>
      <c r="X277" s="1104" t="n">
        <v>0</v>
      </c>
      <c r="Y277" s="1105">
        <f>IFERROR(IF(X277="",0,CEILING((X277/$H277),1)*$H277),"")</f>
        <v/>
      </c>
      <c r="Z277" s="41">
        <f>IFERROR(IF(Y277=0,"",ROUNDUP(Y277/H277,0)*0.00902),"")</f>
        <v/>
      </c>
      <c r="AA277" s="68" t="inlineStr"/>
      <c r="AB277" s="69" t="inlineStr"/>
      <c r="AC277" s="350" t="inlineStr">
        <is>
          <t>ЕАЭС N RU Д-RU.РА09.В.99193/24</t>
        </is>
      </c>
      <c r="AG277" s="78" t="n"/>
      <c r="AJ277" s="84" t="inlineStr"/>
      <c r="AK277" s="84" t="n">
        <v>0</v>
      </c>
      <c r="BB277" s="351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SU003814</t>
        </is>
      </c>
      <c r="B278" s="63" t="inlineStr">
        <is>
          <t>P004838</t>
        </is>
      </c>
      <c r="C278" s="36" t="n">
        <v>4301051893</v>
      </c>
      <c r="D278" s="745" t="n">
        <v>4680115886186</v>
      </c>
      <c r="E278" s="1062" t="n"/>
      <c r="F278" s="1100" t="n">
        <v>0.3</v>
      </c>
      <c r="G278" s="37" t="n">
        <v>6</v>
      </c>
      <c r="H278" s="1100" t="n">
        <v>1.8</v>
      </c>
      <c r="I278" s="1100" t="n">
        <v>1.98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24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278" s="1102" t="n"/>
      <c r="R278" s="1102" t="n"/>
      <c r="S278" s="1102" t="n"/>
      <c r="T278" s="1103" t="n"/>
      <c r="U278" s="39" t="inlineStr"/>
      <c r="V278" s="39" t="inlineStr"/>
      <c r="W278" s="40" t="inlineStr">
        <is>
          <t>кг</t>
        </is>
      </c>
      <c r="X278" s="1104" t="n">
        <v>0</v>
      </c>
      <c r="Y278" s="1105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52" t="inlineStr">
        <is>
          <t>ЕАЭС N RU Д-RU.РА02.В.41322/24, ЕАЭС N RU Д-RU.РА09.В.03891/22</t>
        </is>
      </c>
      <c r="AG278" s="78" t="n"/>
      <c r="AJ278" s="84" t="inlineStr"/>
      <c r="AK278" s="84" t="n">
        <v>0</v>
      </c>
      <c r="BB278" s="353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SU002801</t>
        </is>
      </c>
      <c r="B279" s="63" t="inlineStr">
        <is>
          <t>P003475</t>
        </is>
      </c>
      <c r="C279" s="36" t="n">
        <v>4301051795</v>
      </c>
      <c r="D279" s="745" t="n">
        <v>4680115881228</v>
      </c>
      <c r="E279" s="1062" t="n"/>
      <c r="F279" s="1100" t="n">
        <v>0.4</v>
      </c>
      <c r="G279" s="37" t="n">
        <v>6</v>
      </c>
      <c r="H279" s="1100" t="n">
        <v>2.4</v>
      </c>
      <c r="I279" s="1100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24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279" s="1102" t="n"/>
      <c r="R279" s="1102" t="n"/>
      <c r="S279" s="1102" t="n"/>
      <c r="T279" s="1103" t="n"/>
      <c r="U279" s="39" t="inlineStr"/>
      <c r="V279" s="39" t="inlineStr"/>
      <c r="W279" s="40" t="inlineStr">
        <is>
          <t>кг</t>
        </is>
      </c>
      <c r="X279" s="1104" t="n">
        <v>20</v>
      </c>
      <c r="Y279" s="1105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54" t="inlineStr">
        <is>
          <t>ЕАЭС N RU Д-RU.РА09.В.99193/24</t>
        </is>
      </c>
      <c r="AG279" s="78" t="n"/>
      <c r="AJ279" s="84" t="inlineStr"/>
      <c r="AK279" s="84" t="n">
        <v>0</v>
      </c>
      <c r="BB279" s="355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37.5" customHeight="1">
      <c r="A280" s="63" t="inlineStr">
        <is>
          <t>SU002799</t>
        </is>
      </c>
      <c r="B280" s="63" t="inlineStr">
        <is>
          <t>P003217</t>
        </is>
      </c>
      <c r="C280" s="36" t="n">
        <v>4301051388</v>
      </c>
      <c r="D280" s="745" t="n">
        <v>4680115881211</v>
      </c>
      <c r="E280" s="1062" t="n"/>
      <c r="F280" s="1100" t="n">
        <v>0.4</v>
      </c>
      <c r="G280" s="37" t="n">
        <v>6</v>
      </c>
      <c r="H280" s="1100" t="n">
        <v>2.4</v>
      </c>
      <c r="I280" s="1100" t="n">
        <v>2.58</v>
      </c>
      <c r="J280" s="37" t="n">
        <v>182</v>
      </c>
      <c r="K280" s="37" t="inlineStr">
        <is>
          <t>14</t>
        </is>
      </c>
      <c r="L280" s="37" t="inlineStr">
        <is>
          <t>Палетта, мин. 1</t>
        </is>
      </c>
      <c r="M280" s="38" t="inlineStr">
        <is>
          <t>СК3</t>
        </is>
      </c>
      <c r="N280" s="38" t="n"/>
      <c r="O280" s="37" t="n">
        <v>45</v>
      </c>
      <c r="P280" s="124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280" s="1102" t="n"/>
      <c r="R280" s="1102" t="n"/>
      <c r="S280" s="1102" t="n"/>
      <c r="T280" s="1103" t="n"/>
      <c r="U280" s="39" t="inlineStr"/>
      <c r="V280" s="39" t="inlineStr"/>
      <c r="W280" s="40" t="inlineStr">
        <is>
          <t>кг</t>
        </is>
      </c>
      <c r="X280" s="1104" t="n">
        <v>200</v>
      </c>
      <c r="Y280" s="1105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56" t="inlineStr">
        <is>
          <t>ЕАЭС N RU Д-RU.РА02.В.41322/24, ЕАЭС N RU Д-RU.РА09.В.03891/22, ЕАЭС N RU Д-RU.РА09.В.03932/22</t>
        </is>
      </c>
      <c r="AG280" s="78" t="n"/>
      <c r="AJ280" s="84" t="inlineStr">
        <is>
          <t>Палетта</t>
        </is>
      </c>
      <c r="AK280" s="84" t="n">
        <v>436.8</v>
      </c>
      <c r="BB280" s="357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SU002800</t>
        </is>
      </c>
      <c r="B281" s="63" t="inlineStr">
        <is>
          <t>P003201</t>
        </is>
      </c>
      <c r="C281" s="36" t="n">
        <v>4301051386</v>
      </c>
      <c r="D281" s="745" t="n">
        <v>4680115881020</v>
      </c>
      <c r="E281" s="1062" t="n"/>
      <c r="F281" s="1100" t="n">
        <v>0.84</v>
      </c>
      <c r="G281" s="37" t="n">
        <v>4</v>
      </c>
      <c r="H281" s="1100" t="n">
        <v>3.36</v>
      </c>
      <c r="I281" s="1100" t="n">
        <v>3.57</v>
      </c>
      <c r="J281" s="37" t="n">
        <v>132</v>
      </c>
      <c r="K281" s="37" t="inlineStr">
        <is>
          <t>12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245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/>
      </c>
      <c r="Q281" s="1102" t="n"/>
      <c r="R281" s="1102" t="n"/>
      <c r="S281" s="1102" t="n"/>
      <c r="T281" s="1103" t="n"/>
      <c r="U281" s="39" t="inlineStr"/>
      <c r="V281" s="39" t="inlineStr"/>
      <c r="W281" s="40" t="inlineStr">
        <is>
          <t>кг</t>
        </is>
      </c>
      <c r="X281" s="1104" t="n">
        <v>0</v>
      </c>
      <c r="Y281" s="1105">
        <f>IFERROR(IF(X281="",0,CEILING((X281/$H281),1)*$H281),"")</f>
        <v/>
      </c>
      <c r="Z281" s="41">
        <f>IFERROR(IF(Y281=0,"",ROUNDUP(Y281/H281,0)*0.00902),"")</f>
        <v/>
      </c>
      <c r="AA281" s="68" t="inlineStr"/>
      <c r="AB281" s="69" t="inlineStr"/>
      <c r="AC281" s="358" t="inlineStr">
        <is>
          <t>ЕАЭС N RU Д-RU.РА02.В.41322/24, ЕАЭС N RU Д-RU.РА09.В.03891/22</t>
        </is>
      </c>
      <c r="AG281" s="78" t="n"/>
      <c r="AJ281" s="84" t="inlineStr"/>
      <c r="AK281" s="84" t="n">
        <v>0</v>
      </c>
      <c r="BB281" s="359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58" t="n"/>
      <c r="B282" s="1051" t="n"/>
      <c r="C282" s="1051" t="n"/>
      <c r="D282" s="1051" t="n"/>
      <c r="E282" s="1051" t="n"/>
      <c r="F282" s="1051" t="n"/>
      <c r="G282" s="1051" t="n"/>
      <c r="H282" s="1051" t="n"/>
      <c r="I282" s="1051" t="n"/>
      <c r="J282" s="1051" t="n"/>
      <c r="K282" s="1051" t="n"/>
      <c r="L282" s="1051" t="n"/>
      <c r="M282" s="1051" t="n"/>
      <c r="N282" s="1051" t="n"/>
      <c r="O282" s="1111" t="n"/>
      <c r="P282" s="1112" t="inlineStr">
        <is>
          <t>Итого</t>
        </is>
      </c>
      <c r="Q282" s="1069" t="n"/>
      <c r="R282" s="1069" t="n"/>
      <c r="S282" s="1069" t="n"/>
      <c r="T282" s="1069" t="n"/>
      <c r="U282" s="1069" t="n"/>
      <c r="V282" s="1070" t="n"/>
      <c r="W282" s="42" t="inlineStr">
        <is>
          <t>кор</t>
        </is>
      </c>
      <c r="X282" s="1113">
        <f>IFERROR(X277/H277,"0")+IFERROR(X278/H278,"0")+IFERROR(X279/H279,"0")+IFERROR(X280/H280,"0")+IFERROR(X281/H281,"0")</f>
        <v/>
      </c>
      <c r="Y282" s="1113">
        <f>IFERROR(Y277/H277,"0")+IFERROR(Y278/H278,"0")+IFERROR(Y279/H279,"0")+IFERROR(Y280/H280,"0")+IFERROR(Y281/H281,"0")</f>
        <v/>
      </c>
      <c r="Z282" s="1113">
        <f>IFERROR(IF(Z277="",0,Z277),"0")+IFERROR(IF(Z278="",0,Z278),"0")+IFERROR(IF(Z279="",0,Z279),"0")+IFERROR(IF(Z280="",0,Z280),"0")+IFERROR(IF(Z281="",0,Z281),"0")</f>
        <v/>
      </c>
      <c r="AA282" s="1114" t="n"/>
      <c r="AB282" s="1114" t="n"/>
      <c r="AC282" s="1114" t="n"/>
    </row>
    <row r="283">
      <c r="A283" s="1051" t="n"/>
      <c r="B283" s="1051" t="n"/>
      <c r="C283" s="1051" t="n"/>
      <c r="D283" s="1051" t="n"/>
      <c r="E283" s="1051" t="n"/>
      <c r="F283" s="1051" t="n"/>
      <c r="G283" s="1051" t="n"/>
      <c r="H283" s="1051" t="n"/>
      <c r="I283" s="1051" t="n"/>
      <c r="J283" s="1051" t="n"/>
      <c r="K283" s="1051" t="n"/>
      <c r="L283" s="1051" t="n"/>
      <c r="M283" s="1051" t="n"/>
      <c r="N283" s="1051" t="n"/>
      <c r="O283" s="1111" t="n"/>
      <c r="P283" s="1112" t="inlineStr">
        <is>
          <t>Итого</t>
        </is>
      </c>
      <c r="Q283" s="1069" t="n"/>
      <c r="R283" s="1069" t="n"/>
      <c r="S283" s="1069" t="n"/>
      <c r="T283" s="1069" t="n"/>
      <c r="U283" s="1069" t="n"/>
      <c r="V283" s="1070" t="n"/>
      <c r="W283" s="42" t="inlineStr">
        <is>
          <t>кг</t>
        </is>
      </c>
      <c r="X283" s="1113">
        <f>IFERROR(SUM(X277:X281),"0")</f>
        <v/>
      </c>
      <c r="Y283" s="1113">
        <f>IFERROR(SUM(Y277:Y281),"0")</f>
        <v/>
      </c>
      <c r="Z283" s="42" t="n"/>
      <c r="AA283" s="1114" t="n"/>
      <c r="AB283" s="1114" t="n"/>
      <c r="AC283" s="1114" t="n"/>
    </row>
    <row r="284" ht="16.5" customHeight="1">
      <c r="A284" s="743" t="inlineStr">
        <is>
          <t>Стародворская EDLP/EDPP</t>
        </is>
      </c>
      <c r="B284" s="1051" t="n"/>
      <c r="C284" s="1051" t="n"/>
      <c r="D284" s="1051" t="n"/>
      <c r="E284" s="1051" t="n"/>
      <c r="F284" s="1051" t="n"/>
      <c r="G284" s="1051" t="n"/>
      <c r="H284" s="1051" t="n"/>
      <c r="I284" s="1051" t="n"/>
      <c r="J284" s="1051" t="n"/>
      <c r="K284" s="1051" t="n"/>
      <c r="L284" s="1051" t="n"/>
      <c r="M284" s="1051" t="n"/>
      <c r="N284" s="1051" t="n"/>
      <c r="O284" s="1051" t="n"/>
      <c r="P284" s="1051" t="n"/>
      <c r="Q284" s="1051" t="n"/>
      <c r="R284" s="1051" t="n"/>
      <c r="S284" s="1051" t="n"/>
      <c r="T284" s="1051" t="n"/>
      <c r="U284" s="1051" t="n"/>
      <c r="V284" s="1051" t="n"/>
      <c r="W284" s="1051" t="n"/>
      <c r="X284" s="1051" t="n"/>
      <c r="Y284" s="1051" t="n"/>
      <c r="Z284" s="1051" t="n"/>
      <c r="AA284" s="743" t="n"/>
      <c r="AB284" s="743" t="n"/>
      <c r="AC284" s="743" t="n"/>
    </row>
    <row r="285" ht="14.25" customHeight="1">
      <c r="A285" s="744" t="inlineStr">
        <is>
          <t>Вареные колбасы</t>
        </is>
      </c>
      <c r="B285" s="1051" t="n"/>
      <c r="C285" s="1051" t="n"/>
      <c r="D285" s="1051" t="n"/>
      <c r="E285" s="1051" t="n"/>
      <c r="F285" s="1051" t="n"/>
      <c r="G285" s="1051" t="n"/>
      <c r="H285" s="1051" t="n"/>
      <c r="I285" s="1051" t="n"/>
      <c r="J285" s="1051" t="n"/>
      <c r="K285" s="1051" t="n"/>
      <c r="L285" s="1051" t="n"/>
      <c r="M285" s="1051" t="n"/>
      <c r="N285" s="1051" t="n"/>
      <c r="O285" s="1051" t="n"/>
      <c r="P285" s="1051" t="n"/>
      <c r="Q285" s="1051" t="n"/>
      <c r="R285" s="1051" t="n"/>
      <c r="S285" s="1051" t="n"/>
      <c r="T285" s="1051" t="n"/>
      <c r="U285" s="1051" t="n"/>
      <c r="V285" s="1051" t="n"/>
      <c r="W285" s="1051" t="n"/>
      <c r="X285" s="1051" t="n"/>
      <c r="Y285" s="1051" t="n"/>
      <c r="Z285" s="1051" t="n"/>
      <c r="AA285" s="744" t="n"/>
      <c r="AB285" s="744" t="n"/>
      <c r="AC285" s="744" t="n"/>
    </row>
    <row r="286" ht="27" customHeight="1">
      <c r="A286" s="63" t="inlineStr">
        <is>
          <t>SU002528</t>
        </is>
      </c>
      <c r="B286" s="63" t="inlineStr">
        <is>
          <t>P002839</t>
        </is>
      </c>
      <c r="C286" s="36" t="n">
        <v>4301011306</v>
      </c>
      <c r="D286" s="745" t="n">
        <v>4607091389296</v>
      </c>
      <c r="E286" s="1062" t="n"/>
      <c r="F286" s="1100" t="n">
        <v>0.4</v>
      </c>
      <c r="G286" s="37" t="n">
        <v>10</v>
      </c>
      <c r="H286" s="1100" t="n">
        <v>4</v>
      </c>
      <c r="I286" s="1100" t="n">
        <v>4.21</v>
      </c>
      <c r="J286" s="37" t="n">
        <v>132</v>
      </c>
      <c r="K286" s="37" t="inlineStr">
        <is>
          <t>12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46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/>
      </c>
      <c r="Q286" s="1102" t="n"/>
      <c r="R286" s="1102" t="n"/>
      <c r="S286" s="1102" t="n"/>
      <c r="T286" s="1103" t="n"/>
      <c r="U286" s="39" t="inlineStr"/>
      <c r="V286" s="39" t="inlineStr"/>
      <c r="W286" s="40" t="inlineStr">
        <is>
          <t>кг</t>
        </is>
      </c>
      <c r="X286" s="1104" t="n">
        <v>0</v>
      </c>
      <c r="Y286" s="1105">
        <f>IFERROR(IF(X286="",0,CEILING((X286/$H286),1)*$H286),"")</f>
        <v/>
      </c>
      <c r="Z286" s="41">
        <f>IFERROR(IF(Y286=0,"",ROUNDUP(Y286/H286,0)*0.00902),"")</f>
        <v/>
      </c>
      <c r="AA286" s="68" t="inlineStr"/>
      <c r="AB286" s="69" t="inlineStr"/>
      <c r="AC286" s="360" t="inlineStr">
        <is>
          <t>ЕАЭС N RU Д-RU.РА01.В.85206/22</t>
        </is>
      </c>
      <c r="AG286" s="78" t="n"/>
      <c r="AJ286" s="84" t="inlineStr"/>
      <c r="AK286" s="84" t="n">
        <v>0</v>
      </c>
      <c r="BB286" s="361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58" t="n"/>
      <c r="B287" s="1051" t="n"/>
      <c r="C287" s="1051" t="n"/>
      <c r="D287" s="1051" t="n"/>
      <c r="E287" s="1051" t="n"/>
      <c r="F287" s="1051" t="n"/>
      <c r="G287" s="1051" t="n"/>
      <c r="H287" s="1051" t="n"/>
      <c r="I287" s="1051" t="n"/>
      <c r="J287" s="1051" t="n"/>
      <c r="K287" s="1051" t="n"/>
      <c r="L287" s="1051" t="n"/>
      <c r="M287" s="1051" t="n"/>
      <c r="N287" s="1051" t="n"/>
      <c r="O287" s="1111" t="n"/>
      <c r="P287" s="1112" t="inlineStr">
        <is>
          <t>Итого</t>
        </is>
      </c>
      <c r="Q287" s="1069" t="n"/>
      <c r="R287" s="1069" t="n"/>
      <c r="S287" s="1069" t="n"/>
      <c r="T287" s="1069" t="n"/>
      <c r="U287" s="1069" t="n"/>
      <c r="V287" s="1070" t="n"/>
      <c r="W287" s="42" t="inlineStr">
        <is>
          <t>кор</t>
        </is>
      </c>
      <c r="X287" s="1113">
        <f>IFERROR(X286/H286,"0")</f>
        <v/>
      </c>
      <c r="Y287" s="1113">
        <f>IFERROR(Y286/H286,"0")</f>
        <v/>
      </c>
      <c r="Z287" s="1113">
        <f>IFERROR(IF(Z286="",0,Z286),"0")</f>
        <v/>
      </c>
      <c r="AA287" s="1114" t="n"/>
      <c r="AB287" s="1114" t="n"/>
      <c r="AC287" s="1114" t="n"/>
    </row>
    <row r="288">
      <c r="A288" s="1051" t="n"/>
      <c r="B288" s="1051" t="n"/>
      <c r="C288" s="1051" t="n"/>
      <c r="D288" s="1051" t="n"/>
      <c r="E288" s="1051" t="n"/>
      <c r="F288" s="1051" t="n"/>
      <c r="G288" s="1051" t="n"/>
      <c r="H288" s="1051" t="n"/>
      <c r="I288" s="1051" t="n"/>
      <c r="J288" s="1051" t="n"/>
      <c r="K288" s="1051" t="n"/>
      <c r="L288" s="1051" t="n"/>
      <c r="M288" s="1051" t="n"/>
      <c r="N288" s="1051" t="n"/>
      <c r="O288" s="1111" t="n"/>
      <c r="P288" s="1112" t="inlineStr">
        <is>
          <t>Итого</t>
        </is>
      </c>
      <c r="Q288" s="1069" t="n"/>
      <c r="R288" s="1069" t="n"/>
      <c r="S288" s="1069" t="n"/>
      <c r="T288" s="1069" t="n"/>
      <c r="U288" s="1069" t="n"/>
      <c r="V288" s="1070" t="n"/>
      <c r="W288" s="42" t="inlineStr">
        <is>
          <t>кг</t>
        </is>
      </c>
      <c r="X288" s="1113">
        <f>IFERROR(SUM(X286:X286),"0")</f>
        <v/>
      </c>
      <c r="Y288" s="1113">
        <f>IFERROR(SUM(Y286:Y286),"0")</f>
        <v/>
      </c>
      <c r="Z288" s="42" t="n"/>
      <c r="AA288" s="1114" t="n"/>
      <c r="AB288" s="1114" t="n"/>
      <c r="AC288" s="1114" t="n"/>
    </row>
    <row r="289" ht="14.25" customHeight="1">
      <c r="A289" s="744" t="inlineStr">
        <is>
          <t>Копченые колбасы</t>
        </is>
      </c>
      <c r="B289" s="1051" t="n"/>
      <c r="C289" s="1051" t="n"/>
      <c r="D289" s="1051" t="n"/>
      <c r="E289" s="1051" t="n"/>
      <c r="F289" s="1051" t="n"/>
      <c r="G289" s="1051" t="n"/>
      <c r="H289" s="1051" t="n"/>
      <c r="I289" s="1051" t="n"/>
      <c r="J289" s="1051" t="n"/>
      <c r="K289" s="1051" t="n"/>
      <c r="L289" s="1051" t="n"/>
      <c r="M289" s="1051" t="n"/>
      <c r="N289" s="1051" t="n"/>
      <c r="O289" s="1051" t="n"/>
      <c r="P289" s="1051" t="n"/>
      <c r="Q289" s="1051" t="n"/>
      <c r="R289" s="1051" t="n"/>
      <c r="S289" s="1051" t="n"/>
      <c r="T289" s="1051" t="n"/>
      <c r="U289" s="1051" t="n"/>
      <c r="V289" s="1051" t="n"/>
      <c r="W289" s="1051" t="n"/>
      <c r="X289" s="1051" t="n"/>
      <c r="Y289" s="1051" t="n"/>
      <c r="Z289" s="1051" t="n"/>
      <c r="AA289" s="744" t="n"/>
      <c r="AB289" s="744" t="n"/>
      <c r="AC289" s="744" t="n"/>
    </row>
    <row r="290" ht="27" customHeight="1">
      <c r="A290" s="63" t="inlineStr">
        <is>
          <t>SU002698</t>
        </is>
      </c>
      <c r="B290" s="63" t="inlineStr">
        <is>
          <t>P004231</t>
        </is>
      </c>
      <c r="C290" s="36" t="n">
        <v>4301031307</v>
      </c>
      <c r="D290" s="745" t="n">
        <v>4680115880344</v>
      </c>
      <c r="E290" s="1062" t="n"/>
      <c r="F290" s="1100" t="n">
        <v>0.28</v>
      </c>
      <c r="G290" s="37" t="n">
        <v>6</v>
      </c>
      <c r="H290" s="1100" t="n">
        <v>1.68</v>
      </c>
      <c r="I290" s="1100" t="n">
        <v>1.78</v>
      </c>
      <c r="J290" s="37" t="n">
        <v>234</v>
      </c>
      <c r="K290" s="37" t="inlineStr">
        <is>
          <t>18</t>
        </is>
      </c>
      <c r="L290" s="37" t="inlineStr"/>
      <c r="M290" s="38" t="inlineStr">
        <is>
          <t>СК2</t>
        </is>
      </c>
      <c r="N290" s="38" t="n"/>
      <c r="O290" s="37" t="n">
        <v>40</v>
      </c>
      <c r="P290" s="124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290" s="1102" t="n"/>
      <c r="R290" s="1102" t="n"/>
      <c r="S290" s="1102" t="n"/>
      <c r="T290" s="1103" t="n"/>
      <c r="U290" s="39" t="inlineStr"/>
      <c r="V290" s="39" t="inlineStr"/>
      <c r="W290" s="40" t="inlineStr">
        <is>
          <t>кг</t>
        </is>
      </c>
      <c r="X290" s="1104" t="n">
        <v>0</v>
      </c>
      <c r="Y290" s="1105">
        <f>IFERROR(IF(X290="",0,CEILING((X290/$H290),1)*$H290),"")</f>
        <v/>
      </c>
      <c r="Z290" s="41">
        <f>IFERROR(IF(Y290=0,"",ROUNDUP(Y290/H290,0)*0.00502),"")</f>
        <v/>
      </c>
      <c r="AA290" s="68" t="inlineStr"/>
      <c r="AB290" s="69" t="inlineStr"/>
      <c r="AC290" s="362" t="inlineStr">
        <is>
          <t>ЕАЭС N RU Д-RU.РА01.В.54558/24</t>
        </is>
      </c>
      <c r="AG290" s="78" t="n"/>
      <c r="AJ290" s="84" t="inlineStr"/>
      <c r="AK290" s="84" t="n">
        <v>0</v>
      </c>
      <c r="BB290" s="363" t="inlineStr">
        <is>
          <t>КИ</t>
        </is>
      </c>
      <c r="BM290" s="78">
        <f>IFERROR(X290*I290/H290,"0")</f>
        <v/>
      </c>
      <c r="BN290" s="78">
        <f>IFERROR(Y290*I290/H290,"0")</f>
        <v/>
      </c>
      <c r="BO290" s="78">
        <f>IFERROR(1/J290*(X290/H290),"0")</f>
        <v/>
      </c>
      <c r="BP290" s="78">
        <f>IFERROR(1/J290*(Y290/H290),"0")</f>
        <v/>
      </c>
    </row>
    <row r="291">
      <c r="A291" s="758" t="n"/>
      <c r="B291" s="1051" t="n"/>
      <c r="C291" s="1051" t="n"/>
      <c r="D291" s="1051" t="n"/>
      <c r="E291" s="1051" t="n"/>
      <c r="F291" s="1051" t="n"/>
      <c r="G291" s="1051" t="n"/>
      <c r="H291" s="1051" t="n"/>
      <c r="I291" s="1051" t="n"/>
      <c r="J291" s="1051" t="n"/>
      <c r="K291" s="1051" t="n"/>
      <c r="L291" s="1051" t="n"/>
      <c r="M291" s="1051" t="n"/>
      <c r="N291" s="1051" t="n"/>
      <c r="O291" s="1111" t="n"/>
      <c r="P291" s="1112" t="inlineStr">
        <is>
          <t>Итого</t>
        </is>
      </c>
      <c r="Q291" s="1069" t="n"/>
      <c r="R291" s="1069" t="n"/>
      <c r="S291" s="1069" t="n"/>
      <c r="T291" s="1069" t="n"/>
      <c r="U291" s="1069" t="n"/>
      <c r="V291" s="1070" t="n"/>
      <c r="W291" s="42" t="inlineStr">
        <is>
          <t>кор</t>
        </is>
      </c>
      <c r="X291" s="1113">
        <f>IFERROR(X290/H290,"0")</f>
        <v/>
      </c>
      <c r="Y291" s="1113">
        <f>IFERROR(Y290/H290,"0")</f>
        <v/>
      </c>
      <c r="Z291" s="1113">
        <f>IFERROR(IF(Z290="",0,Z290),"0")</f>
        <v/>
      </c>
      <c r="AA291" s="1114" t="n"/>
      <c r="AB291" s="1114" t="n"/>
      <c r="AC291" s="1114" t="n"/>
    </row>
    <row r="292">
      <c r="A292" s="1051" t="n"/>
      <c r="B292" s="1051" t="n"/>
      <c r="C292" s="1051" t="n"/>
      <c r="D292" s="1051" t="n"/>
      <c r="E292" s="1051" t="n"/>
      <c r="F292" s="1051" t="n"/>
      <c r="G292" s="1051" t="n"/>
      <c r="H292" s="1051" t="n"/>
      <c r="I292" s="1051" t="n"/>
      <c r="J292" s="1051" t="n"/>
      <c r="K292" s="1051" t="n"/>
      <c r="L292" s="1051" t="n"/>
      <c r="M292" s="1051" t="n"/>
      <c r="N292" s="1051" t="n"/>
      <c r="O292" s="1111" t="n"/>
      <c r="P292" s="1112" t="inlineStr">
        <is>
          <t>Итого</t>
        </is>
      </c>
      <c r="Q292" s="1069" t="n"/>
      <c r="R292" s="1069" t="n"/>
      <c r="S292" s="1069" t="n"/>
      <c r="T292" s="1069" t="n"/>
      <c r="U292" s="1069" t="n"/>
      <c r="V292" s="1070" t="n"/>
      <c r="W292" s="42" t="inlineStr">
        <is>
          <t>кг</t>
        </is>
      </c>
      <c r="X292" s="1113">
        <f>IFERROR(SUM(X290:X290),"0")</f>
        <v/>
      </c>
      <c r="Y292" s="1113">
        <f>IFERROR(SUM(Y290:Y290),"0")</f>
        <v/>
      </c>
      <c r="Z292" s="42" t="n"/>
      <c r="AA292" s="1114" t="n"/>
      <c r="AB292" s="1114" t="n"/>
      <c r="AC292" s="1114" t="n"/>
    </row>
    <row r="293" ht="14.25" customHeight="1">
      <c r="A293" s="744" t="inlineStr">
        <is>
          <t>Сосиски</t>
        </is>
      </c>
      <c r="B293" s="1051" t="n"/>
      <c r="C293" s="1051" t="n"/>
      <c r="D293" s="1051" t="n"/>
      <c r="E293" s="1051" t="n"/>
      <c r="F293" s="1051" t="n"/>
      <c r="G293" s="1051" t="n"/>
      <c r="H293" s="1051" t="n"/>
      <c r="I293" s="1051" t="n"/>
      <c r="J293" s="1051" t="n"/>
      <c r="K293" s="1051" t="n"/>
      <c r="L293" s="1051" t="n"/>
      <c r="M293" s="1051" t="n"/>
      <c r="N293" s="1051" t="n"/>
      <c r="O293" s="1051" t="n"/>
      <c r="P293" s="1051" t="n"/>
      <c r="Q293" s="1051" t="n"/>
      <c r="R293" s="1051" t="n"/>
      <c r="S293" s="1051" t="n"/>
      <c r="T293" s="1051" t="n"/>
      <c r="U293" s="1051" t="n"/>
      <c r="V293" s="1051" t="n"/>
      <c r="W293" s="1051" t="n"/>
      <c r="X293" s="1051" t="n"/>
      <c r="Y293" s="1051" t="n"/>
      <c r="Z293" s="1051" t="n"/>
      <c r="AA293" s="744" t="n"/>
      <c r="AB293" s="744" t="n"/>
      <c r="AC293" s="744" t="n"/>
    </row>
    <row r="294" ht="27" customHeight="1">
      <c r="A294" s="63" t="inlineStr">
        <is>
          <t>SU003340</t>
        </is>
      </c>
      <c r="B294" s="63" t="inlineStr">
        <is>
          <t>P004090</t>
        </is>
      </c>
      <c r="C294" s="36" t="n">
        <v>4301051782</v>
      </c>
      <c r="D294" s="745" t="n">
        <v>4680115884618</v>
      </c>
      <c r="E294" s="1062" t="n"/>
      <c r="F294" s="1100" t="n">
        <v>0.6</v>
      </c>
      <c r="G294" s="37" t="n">
        <v>6</v>
      </c>
      <c r="H294" s="1100" t="n">
        <v>3.6</v>
      </c>
      <c r="I294" s="1100" t="n">
        <v>3.81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СК3</t>
        </is>
      </c>
      <c r="N294" s="38" t="n"/>
      <c r="O294" s="37" t="n">
        <v>45</v>
      </c>
      <c r="P294" s="124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294" s="1102" t="n"/>
      <c r="R294" s="1102" t="n"/>
      <c r="S294" s="1102" t="n"/>
      <c r="T294" s="1103" t="n"/>
      <c r="U294" s="39" t="inlineStr"/>
      <c r="V294" s="39" t="inlineStr"/>
      <c r="W294" s="40" t="inlineStr">
        <is>
          <t>кг</t>
        </is>
      </c>
      <c r="X294" s="1104" t="n">
        <v>0</v>
      </c>
      <c r="Y294" s="1105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64" t="inlineStr">
        <is>
          <t>ЕАЭС N RU Д-RU.РА09.В.08947/23, ЕАЭС N RU Д-RU.РА09.В.09542/23</t>
        </is>
      </c>
      <c r="AG294" s="78" t="n"/>
      <c r="AJ294" s="84" t="inlineStr"/>
      <c r="AK294" s="84" t="n">
        <v>0</v>
      </c>
      <c r="BB294" s="36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>
      <c r="A295" s="758" t="n"/>
      <c r="B295" s="1051" t="n"/>
      <c r="C295" s="1051" t="n"/>
      <c r="D295" s="1051" t="n"/>
      <c r="E295" s="1051" t="n"/>
      <c r="F295" s="1051" t="n"/>
      <c r="G295" s="1051" t="n"/>
      <c r="H295" s="1051" t="n"/>
      <c r="I295" s="1051" t="n"/>
      <c r="J295" s="1051" t="n"/>
      <c r="K295" s="1051" t="n"/>
      <c r="L295" s="1051" t="n"/>
      <c r="M295" s="1051" t="n"/>
      <c r="N295" s="1051" t="n"/>
      <c r="O295" s="1111" t="n"/>
      <c r="P295" s="1112" t="inlineStr">
        <is>
          <t>Итого</t>
        </is>
      </c>
      <c r="Q295" s="1069" t="n"/>
      <c r="R295" s="1069" t="n"/>
      <c r="S295" s="1069" t="n"/>
      <c r="T295" s="1069" t="n"/>
      <c r="U295" s="1069" t="n"/>
      <c r="V295" s="1070" t="n"/>
      <c r="W295" s="42" t="inlineStr">
        <is>
          <t>кор</t>
        </is>
      </c>
      <c r="X295" s="1113">
        <f>IFERROR(X294/H294,"0")</f>
        <v/>
      </c>
      <c r="Y295" s="1113">
        <f>IFERROR(Y294/H294,"0")</f>
        <v/>
      </c>
      <c r="Z295" s="1113">
        <f>IFERROR(IF(Z294="",0,Z294),"0")</f>
        <v/>
      </c>
      <c r="AA295" s="1114" t="n"/>
      <c r="AB295" s="1114" t="n"/>
      <c r="AC295" s="1114" t="n"/>
    </row>
    <row r="296">
      <c r="A296" s="1051" t="n"/>
      <c r="B296" s="1051" t="n"/>
      <c r="C296" s="1051" t="n"/>
      <c r="D296" s="1051" t="n"/>
      <c r="E296" s="1051" t="n"/>
      <c r="F296" s="1051" t="n"/>
      <c r="G296" s="1051" t="n"/>
      <c r="H296" s="1051" t="n"/>
      <c r="I296" s="1051" t="n"/>
      <c r="J296" s="1051" t="n"/>
      <c r="K296" s="1051" t="n"/>
      <c r="L296" s="1051" t="n"/>
      <c r="M296" s="1051" t="n"/>
      <c r="N296" s="1051" t="n"/>
      <c r="O296" s="1111" t="n"/>
      <c r="P296" s="1112" t="inlineStr">
        <is>
          <t>Итого</t>
        </is>
      </c>
      <c r="Q296" s="1069" t="n"/>
      <c r="R296" s="1069" t="n"/>
      <c r="S296" s="1069" t="n"/>
      <c r="T296" s="1069" t="n"/>
      <c r="U296" s="1069" t="n"/>
      <c r="V296" s="1070" t="n"/>
      <c r="W296" s="42" t="inlineStr">
        <is>
          <t>кг</t>
        </is>
      </c>
      <c r="X296" s="1113">
        <f>IFERROR(SUM(X294:X294),"0")</f>
        <v/>
      </c>
      <c r="Y296" s="1113">
        <f>IFERROR(SUM(Y294:Y294),"0")</f>
        <v/>
      </c>
      <c r="Z296" s="42" t="n"/>
      <c r="AA296" s="1114" t="n"/>
      <c r="AB296" s="1114" t="n"/>
      <c r="AC296" s="1114" t="n"/>
    </row>
    <row r="297" ht="16.5" customHeight="1">
      <c r="A297" s="743" t="inlineStr">
        <is>
          <t>Царедворская EDLP/EDPP</t>
        </is>
      </c>
      <c r="B297" s="1051" t="n"/>
      <c r="C297" s="1051" t="n"/>
      <c r="D297" s="1051" t="n"/>
      <c r="E297" s="1051" t="n"/>
      <c r="F297" s="1051" t="n"/>
      <c r="G297" s="1051" t="n"/>
      <c r="H297" s="1051" t="n"/>
      <c r="I297" s="1051" t="n"/>
      <c r="J297" s="1051" t="n"/>
      <c r="K297" s="1051" t="n"/>
      <c r="L297" s="1051" t="n"/>
      <c r="M297" s="1051" t="n"/>
      <c r="N297" s="1051" t="n"/>
      <c r="O297" s="1051" t="n"/>
      <c r="P297" s="1051" t="n"/>
      <c r="Q297" s="1051" t="n"/>
      <c r="R297" s="1051" t="n"/>
      <c r="S297" s="1051" t="n"/>
      <c r="T297" s="1051" t="n"/>
      <c r="U297" s="1051" t="n"/>
      <c r="V297" s="1051" t="n"/>
      <c r="W297" s="1051" t="n"/>
      <c r="X297" s="1051" t="n"/>
      <c r="Y297" s="1051" t="n"/>
      <c r="Z297" s="1051" t="n"/>
      <c r="AA297" s="743" t="n"/>
      <c r="AB297" s="743" t="n"/>
      <c r="AC297" s="743" t="n"/>
    </row>
    <row r="298" ht="14.25" customHeight="1">
      <c r="A298" s="744" t="inlineStr">
        <is>
          <t>Сосиски</t>
        </is>
      </c>
      <c r="B298" s="1051" t="n"/>
      <c r="C298" s="1051" t="n"/>
      <c r="D298" s="1051" t="n"/>
      <c r="E298" s="1051" t="n"/>
      <c r="F298" s="1051" t="n"/>
      <c r="G298" s="1051" t="n"/>
      <c r="H298" s="1051" t="n"/>
      <c r="I298" s="1051" t="n"/>
      <c r="J298" s="1051" t="n"/>
      <c r="K298" s="1051" t="n"/>
      <c r="L298" s="1051" t="n"/>
      <c r="M298" s="1051" t="n"/>
      <c r="N298" s="1051" t="n"/>
      <c r="O298" s="1051" t="n"/>
      <c r="P298" s="1051" t="n"/>
      <c r="Q298" s="1051" t="n"/>
      <c r="R298" s="1051" t="n"/>
      <c r="S298" s="1051" t="n"/>
      <c r="T298" s="1051" t="n"/>
      <c r="U298" s="1051" t="n"/>
      <c r="V298" s="1051" t="n"/>
      <c r="W298" s="1051" t="n"/>
      <c r="X298" s="1051" t="n"/>
      <c r="Y298" s="1051" t="n"/>
      <c r="Z298" s="1051" t="n"/>
      <c r="AA298" s="744" t="n"/>
      <c r="AB298" s="744" t="n"/>
      <c r="AC298" s="744" t="n"/>
    </row>
    <row r="299" ht="27" customHeight="1">
      <c r="A299" s="63" t="inlineStr">
        <is>
          <t>SU002619</t>
        </is>
      </c>
      <c r="B299" s="63" t="inlineStr">
        <is>
          <t>P002953</t>
        </is>
      </c>
      <c r="C299" s="36" t="n">
        <v>4301051277</v>
      </c>
      <c r="D299" s="745" t="n">
        <v>4680115880511</v>
      </c>
      <c r="E299" s="1062" t="n"/>
      <c r="F299" s="1100" t="n">
        <v>0.33</v>
      </c>
      <c r="G299" s="37" t="n">
        <v>6</v>
      </c>
      <c r="H299" s="1100" t="n">
        <v>1.98</v>
      </c>
      <c r="I299" s="1100" t="n">
        <v>2.16</v>
      </c>
      <c r="J299" s="37" t="n">
        <v>182</v>
      </c>
      <c r="K299" s="37" t="inlineStr">
        <is>
          <t>14</t>
        </is>
      </c>
      <c r="L299" s="37" t="inlineStr"/>
      <c r="M299" s="38" t="inlineStr">
        <is>
          <t>СК3</t>
        </is>
      </c>
      <c r="N299" s="38" t="n"/>
      <c r="O299" s="37" t="n">
        <v>40</v>
      </c>
      <c r="P299" s="1249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/>
      </c>
      <c r="Q299" s="1102" t="n"/>
      <c r="R299" s="1102" t="n"/>
      <c r="S299" s="1102" t="n"/>
      <c r="T299" s="1103" t="n"/>
      <c r="U299" s="39" t="inlineStr"/>
      <c r="V299" s="39" t="inlineStr"/>
      <c r="W299" s="40" t="inlineStr">
        <is>
          <t>кг</t>
        </is>
      </c>
      <c r="X299" s="1104" t="n">
        <v>0</v>
      </c>
      <c r="Y299" s="1105">
        <f>IFERROR(IF(X299="",0,CEILING((X299/$H299),1)*$H299),"")</f>
        <v/>
      </c>
      <c r="Z299" s="41">
        <f>IFERROR(IF(Y299=0,"",ROUNDUP(Y299/H299,0)*0.00651),"")</f>
        <v/>
      </c>
      <c r="AA299" s="68" t="inlineStr"/>
      <c r="AB299" s="69" t="inlineStr"/>
      <c r="AC299" s="366" t="inlineStr">
        <is>
          <t>ЕАЭС N RU Д-RU.РА03.В.86382/22</t>
        </is>
      </c>
      <c r="AG299" s="78" t="n"/>
      <c r="AJ299" s="84" t="inlineStr"/>
      <c r="AK299" s="84" t="n">
        <v>0</v>
      </c>
      <c r="BB299" s="367" t="inlineStr">
        <is>
          <t>КИ</t>
        </is>
      </c>
      <c r="BM299" s="78">
        <f>IFERROR(X299*I299/H299,"0")</f>
        <v/>
      </c>
      <c r="BN299" s="78">
        <f>IFERROR(Y299*I299/H299,"0")</f>
        <v/>
      </c>
      <c r="BO299" s="78">
        <f>IFERROR(1/J299*(X299/H299),"0")</f>
        <v/>
      </c>
      <c r="BP299" s="78">
        <f>IFERROR(1/J299*(Y299/H299),"0")</f>
        <v/>
      </c>
    </row>
    <row r="300">
      <c r="A300" s="758" t="n"/>
      <c r="B300" s="1051" t="n"/>
      <c r="C300" s="1051" t="n"/>
      <c r="D300" s="1051" t="n"/>
      <c r="E300" s="1051" t="n"/>
      <c r="F300" s="1051" t="n"/>
      <c r="G300" s="1051" t="n"/>
      <c r="H300" s="1051" t="n"/>
      <c r="I300" s="1051" t="n"/>
      <c r="J300" s="1051" t="n"/>
      <c r="K300" s="1051" t="n"/>
      <c r="L300" s="1051" t="n"/>
      <c r="M300" s="1051" t="n"/>
      <c r="N300" s="1051" t="n"/>
      <c r="O300" s="1111" t="n"/>
      <c r="P300" s="1112" t="inlineStr">
        <is>
          <t>Итого</t>
        </is>
      </c>
      <c r="Q300" s="1069" t="n"/>
      <c r="R300" s="1069" t="n"/>
      <c r="S300" s="1069" t="n"/>
      <c r="T300" s="1069" t="n"/>
      <c r="U300" s="1069" t="n"/>
      <c r="V300" s="1070" t="n"/>
      <c r="W300" s="42" t="inlineStr">
        <is>
          <t>кор</t>
        </is>
      </c>
      <c r="X300" s="1113">
        <f>IFERROR(X299/H299,"0")</f>
        <v/>
      </c>
      <c r="Y300" s="1113">
        <f>IFERROR(Y299/H299,"0")</f>
        <v/>
      </c>
      <c r="Z300" s="1113">
        <f>IFERROR(IF(Z299="",0,Z299),"0")</f>
        <v/>
      </c>
      <c r="AA300" s="1114" t="n"/>
      <c r="AB300" s="1114" t="n"/>
      <c r="AC300" s="1114" t="n"/>
    </row>
    <row r="301">
      <c r="A301" s="1051" t="n"/>
      <c r="B301" s="1051" t="n"/>
      <c r="C301" s="1051" t="n"/>
      <c r="D301" s="1051" t="n"/>
      <c r="E301" s="1051" t="n"/>
      <c r="F301" s="1051" t="n"/>
      <c r="G301" s="1051" t="n"/>
      <c r="H301" s="1051" t="n"/>
      <c r="I301" s="1051" t="n"/>
      <c r="J301" s="1051" t="n"/>
      <c r="K301" s="1051" t="n"/>
      <c r="L301" s="1051" t="n"/>
      <c r="M301" s="1051" t="n"/>
      <c r="N301" s="1051" t="n"/>
      <c r="O301" s="1111" t="n"/>
      <c r="P301" s="1112" t="inlineStr">
        <is>
          <t>Итого</t>
        </is>
      </c>
      <c r="Q301" s="1069" t="n"/>
      <c r="R301" s="1069" t="n"/>
      <c r="S301" s="1069" t="n"/>
      <c r="T301" s="1069" t="n"/>
      <c r="U301" s="1069" t="n"/>
      <c r="V301" s="1070" t="n"/>
      <c r="W301" s="42" t="inlineStr">
        <is>
          <t>кг</t>
        </is>
      </c>
      <c r="X301" s="1113">
        <f>IFERROR(SUM(X299:X299),"0")</f>
        <v/>
      </c>
      <c r="Y301" s="1113">
        <f>IFERROR(SUM(Y299:Y299),"0")</f>
        <v/>
      </c>
      <c r="Z301" s="42" t="n"/>
      <c r="AA301" s="1114" t="n"/>
      <c r="AB301" s="1114" t="n"/>
      <c r="AC301" s="1114" t="n"/>
    </row>
    <row r="302" ht="16.5" customHeight="1">
      <c r="A302" s="743" t="inlineStr">
        <is>
          <t>Филедворская EDLP/EDPP</t>
        </is>
      </c>
      <c r="B302" s="1051" t="n"/>
      <c r="C302" s="1051" t="n"/>
      <c r="D302" s="1051" t="n"/>
      <c r="E302" s="1051" t="n"/>
      <c r="F302" s="1051" t="n"/>
      <c r="G302" s="1051" t="n"/>
      <c r="H302" s="1051" t="n"/>
      <c r="I302" s="1051" t="n"/>
      <c r="J302" s="1051" t="n"/>
      <c r="K302" s="1051" t="n"/>
      <c r="L302" s="1051" t="n"/>
      <c r="M302" s="1051" t="n"/>
      <c r="N302" s="1051" t="n"/>
      <c r="O302" s="1051" t="n"/>
      <c r="P302" s="1051" t="n"/>
      <c r="Q302" s="1051" t="n"/>
      <c r="R302" s="1051" t="n"/>
      <c r="S302" s="1051" t="n"/>
      <c r="T302" s="1051" t="n"/>
      <c r="U302" s="1051" t="n"/>
      <c r="V302" s="1051" t="n"/>
      <c r="W302" s="1051" t="n"/>
      <c r="X302" s="1051" t="n"/>
      <c r="Y302" s="1051" t="n"/>
      <c r="Z302" s="1051" t="n"/>
      <c r="AA302" s="743" t="n"/>
      <c r="AB302" s="743" t="n"/>
      <c r="AC302" s="743" t="n"/>
    </row>
    <row r="303" ht="14.25" customHeight="1">
      <c r="A303" s="744" t="inlineStr">
        <is>
          <t>Вареные колбасы</t>
        </is>
      </c>
      <c r="B303" s="1051" t="n"/>
      <c r="C303" s="1051" t="n"/>
      <c r="D303" s="1051" t="n"/>
      <c r="E303" s="1051" t="n"/>
      <c r="F303" s="1051" t="n"/>
      <c r="G303" s="1051" t="n"/>
      <c r="H303" s="1051" t="n"/>
      <c r="I303" s="1051" t="n"/>
      <c r="J303" s="1051" t="n"/>
      <c r="K303" s="1051" t="n"/>
      <c r="L303" s="1051" t="n"/>
      <c r="M303" s="1051" t="n"/>
      <c r="N303" s="1051" t="n"/>
      <c r="O303" s="1051" t="n"/>
      <c r="P303" s="1051" t="n"/>
      <c r="Q303" s="1051" t="n"/>
      <c r="R303" s="1051" t="n"/>
      <c r="S303" s="1051" t="n"/>
      <c r="T303" s="1051" t="n"/>
      <c r="U303" s="1051" t="n"/>
      <c r="V303" s="1051" t="n"/>
      <c r="W303" s="1051" t="n"/>
      <c r="X303" s="1051" t="n"/>
      <c r="Y303" s="1051" t="n"/>
      <c r="Z303" s="1051" t="n"/>
      <c r="AA303" s="744" t="n"/>
      <c r="AB303" s="744" t="n"/>
      <c r="AC303" s="744" t="n"/>
    </row>
    <row r="304" ht="27" customHeight="1">
      <c r="A304" s="63" t="inlineStr">
        <is>
          <t>SU003052</t>
        </is>
      </c>
      <c r="B304" s="63" t="inlineStr">
        <is>
          <t>P003607</t>
        </is>
      </c>
      <c r="C304" s="36" t="n">
        <v>4301011594</v>
      </c>
      <c r="D304" s="745" t="n">
        <v>4680115883413</v>
      </c>
      <c r="E304" s="1062" t="n"/>
      <c r="F304" s="1100" t="n">
        <v>0.37</v>
      </c>
      <c r="G304" s="37" t="n">
        <v>10</v>
      </c>
      <c r="H304" s="1100" t="n">
        <v>3.7</v>
      </c>
      <c r="I304" s="1100" t="n">
        <v>3.91</v>
      </c>
      <c r="J304" s="37" t="n">
        <v>132</v>
      </c>
      <c r="K304" s="37" t="inlineStr">
        <is>
          <t>12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50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/>
      </c>
      <c r="Q304" s="1102" t="n"/>
      <c r="R304" s="1102" t="n"/>
      <c r="S304" s="1102" t="n"/>
      <c r="T304" s="1103" t="n"/>
      <c r="U304" s="39" t="inlineStr"/>
      <c r="V304" s="39" t="inlineStr"/>
      <c r="W304" s="40" t="inlineStr">
        <is>
          <t>кг</t>
        </is>
      </c>
      <c r="X304" s="1104" t="n">
        <v>0</v>
      </c>
      <c r="Y304" s="1105">
        <f>IFERROR(IF(X304="",0,CEILING((X304/$H304),1)*$H304),"")</f>
        <v/>
      </c>
      <c r="Z304" s="41">
        <f>IFERROR(IF(Y304=0,"",ROUNDUP(Y304/H304,0)*0.00902),"")</f>
        <v/>
      </c>
      <c r="AA304" s="68" t="inlineStr"/>
      <c r="AB304" s="69" t="inlineStr"/>
      <c r="AC304" s="368" t="inlineStr">
        <is>
          <t>ЕАЭС N RU Д-RU.РА05.В.81953/23</t>
        </is>
      </c>
      <c r="AG304" s="78" t="n"/>
      <c r="AJ304" s="84" t="inlineStr"/>
      <c r="AK304" s="84" t="n">
        <v>0</v>
      </c>
      <c r="BB304" s="369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>
      <c r="A305" s="758" t="n"/>
      <c r="B305" s="1051" t="n"/>
      <c r="C305" s="1051" t="n"/>
      <c r="D305" s="1051" t="n"/>
      <c r="E305" s="1051" t="n"/>
      <c r="F305" s="1051" t="n"/>
      <c r="G305" s="1051" t="n"/>
      <c r="H305" s="1051" t="n"/>
      <c r="I305" s="1051" t="n"/>
      <c r="J305" s="1051" t="n"/>
      <c r="K305" s="1051" t="n"/>
      <c r="L305" s="1051" t="n"/>
      <c r="M305" s="1051" t="n"/>
      <c r="N305" s="1051" t="n"/>
      <c r="O305" s="1111" t="n"/>
      <c r="P305" s="1112" t="inlineStr">
        <is>
          <t>Итого</t>
        </is>
      </c>
      <c r="Q305" s="1069" t="n"/>
      <c r="R305" s="1069" t="n"/>
      <c r="S305" s="1069" t="n"/>
      <c r="T305" s="1069" t="n"/>
      <c r="U305" s="1069" t="n"/>
      <c r="V305" s="1070" t="n"/>
      <c r="W305" s="42" t="inlineStr">
        <is>
          <t>кор</t>
        </is>
      </c>
      <c r="X305" s="1113">
        <f>IFERROR(X304/H304,"0")</f>
        <v/>
      </c>
      <c r="Y305" s="1113">
        <f>IFERROR(Y304/H304,"0")</f>
        <v/>
      </c>
      <c r="Z305" s="1113">
        <f>IFERROR(IF(Z304="",0,Z304),"0")</f>
        <v/>
      </c>
      <c r="AA305" s="1114" t="n"/>
      <c r="AB305" s="1114" t="n"/>
      <c r="AC305" s="1114" t="n"/>
    </row>
    <row r="306">
      <c r="A306" s="1051" t="n"/>
      <c r="B306" s="1051" t="n"/>
      <c r="C306" s="1051" t="n"/>
      <c r="D306" s="1051" t="n"/>
      <c r="E306" s="1051" t="n"/>
      <c r="F306" s="1051" t="n"/>
      <c r="G306" s="1051" t="n"/>
      <c r="H306" s="1051" t="n"/>
      <c r="I306" s="1051" t="n"/>
      <c r="J306" s="1051" t="n"/>
      <c r="K306" s="1051" t="n"/>
      <c r="L306" s="1051" t="n"/>
      <c r="M306" s="1051" t="n"/>
      <c r="N306" s="1051" t="n"/>
      <c r="O306" s="1111" t="n"/>
      <c r="P306" s="1112" t="inlineStr">
        <is>
          <t>Итого</t>
        </is>
      </c>
      <c r="Q306" s="1069" t="n"/>
      <c r="R306" s="1069" t="n"/>
      <c r="S306" s="1069" t="n"/>
      <c r="T306" s="1069" t="n"/>
      <c r="U306" s="1069" t="n"/>
      <c r="V306" s="1070" t="n"/>
      <c r="W306" s="42" t="inlineStr">
        <is>
          <t>кг</t>
        </is>
      </c>
      <c r="X306" s="1113">
        <f>IFERROR(SUM(X304:X304),"0")</f>
        <v/>
      </c>
      <c r="Y306" s="1113">
        <f>IFERROR(SUM(Y304:Y304),"0")</f>
        <v/>
      </c>
      <c r="Z306" s="42" t="n"/>
      <c r="AA306" s="1114" t="n"/>
      <c r="AB306" s="1114" t="n"/>
      <c r="AC306" s="1114" t="n"/>
    </row>
    <row r="307" ht="14.25" customHeight="1">
      <c r="A307" s="744" t="inlineStr">
        <is>
          <t>Копченые колбасы</t>
        </is>
      </c>
      <c r="B307" s="1051" t="n"/>
      <c r="C307" s="1051" t="n"/>
      <c r="D307" s="1051" t="n"/>
      <c r="E307" s="1051" t="n"/>
      <c r="F307" s="1051" t="n"/>
      <c r="G307" s="1051" t="n"/>
      <c r="H307" s="1051" t="n"/>
      <c r="I307" s="1051" t="n"/>
      <c r="J307" s="1051" t="n"/>
      <c r="K307" s="1051" t="n"/>
      <c r="L307" s="1051" t="n"/>
      <c r="M307" s="1051" t="n"/>
      <c r="N307" s="1051" t="n"/>
      <c r="O307" s="1051" t="n"/>
      <c r="P307" s="1051" t="n"/>
      <c r="Q307" s="1051" t="n"/>
      <c r="R307" s="1051" t="n"/>
      <c r="S307" s="1051" t="n"/>
      <c r="T307" s="1051" t="n"/>
      <c r="U307" s="1051" t="n"/>
      <c r="V307" s="1051" t="n"/>
      <c r="W307" s="1051" t="n"/>
      <c r="X307" s="1051" t="n"/>
      <c r="Y307" s="1051" t="n"/>
      <c r="Z307" s="1051" t="n"/>
      <c r="AA307" s="744" t="n"/>
      <c r="AB307" s="744" t="n"/>
      <c r="AC307" s="744" t="n"/>
    </row>
    <row r="308" ht="27" customHeight="1">
      <c r="A308" s="63" t="inlineStr">
        <is>
          <t>SU002617</t>
        </is>
      </c>
      <c r="B308" s="63" t="inlineStr">
        <is>
          <t>P004229</t>
        </is>
      </c>
      <c r="C308" s="36" t="n">
        <v>4301031305</v>
      </c>
      <c r="D308" s="745" t="n">
        <v>4607091389845</v>
      </c>
      <c r="E308" s="1062" t="n"/>
      <c r="F308" s="1100" t="n">
        <v>0.35</v>
      </c>
      <c r="G308" s="37" t="n">
        <v>6</v>
      </c>
      <c r="H308" s="1100" t="n">
        <v>2.1</v>
      </c>
      <c r="I308" s="1100" t="n">
        <v>2.2</v>
      </c>
      <c r="J308" s="37" t="n">
        <v>234</v>
      </c>
      <c r="K308" s="37" t="inlineStr">
        <is>
          <t>18</t>
        </is>
      </c>
      <c r="L308" s="37" t="inlineStr"/>
      <c r="M308" s="38" t="inlineStr">
        <is>
          <t>СК2</t>
        </is>
      </c>
      <c r="N308" s="38" t="n"/>
      <c r="O308" s="37" t="n">
        <v>40</v>
      </c>
      <c r="P308" s="1251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/>
      </c>
      <c r="Q308" s="1102" t="n"/>
      <c r="R308" s="1102" t="n"/>
      <c r="S308" s="1102" t="n"/>
      <c r="T308" s="1103" t="n"/>
      <c r="U308" s="39" t="inlineStr"/>
      <c r="V308" s="39" t="inlineStr"/>
      <c r="W308" s="40" t="inlineStr">
        <is>
          <t>кг</t>
        </is>
      </c>
      <c r="X308" s="1104" t="n">
        <v>122.5</v>
      </c>
      <c r="Y308" s="1105">
        <f>IFERROR(IF(X308="",0,CEILING((X308/$H308),1)*$H308),"")</f>
        <v/>
      </c>
      <c r="Z308" s="41">
        <f>IFERROR(IF(Y308=0,"",ROUNDUP(Y308/H308,0)*0.00502),"")</f>
        <v/>
      </c>
      <c r="AA308" s="68" t="inlineStr"/>
      <c r="AB308" s="69" t="inlineStr"/>
      <c r="AC308" s="370" t="inlineStr">
        <is>
          <t>ЕАЭС N RU Д-RU.РА01.В.54243/24</t>
        </is>
      </c>
      <c r="AG308" s="78" t="n"/>
      <c r="AJ308" s="84" t="inlineStr"/>
      <c r="AK308" s="84" t="n">
        <v>0</v>
      </c>
      <c r="BB308" s="371" t="inlineStr">
        <is>
          <t>КИ</t>
        </is>
      </c>
      <c r="BM308" s="78">
        <f>IFERROR(X308*I308/H308,"0")</f>
        <v/>
      </c>
      <c r="BN308" s="78">
        <f>IFERROR(Y308*I308/H308,"0")</f>
        <v/>
      </c>
      <c r="BO308" s="78">
        <f>IFERROR(1/J308*(X308/H308),"0")</f>
        <v/>
      </c>
      <c r="BP308" s="78">
        <f>IFERROR(1/J308*(Y308/H308),"0")</f>
        <v/>
      </c>
    </row>
    <row r="309" ht="27" customHeight="1">
      <c r="A309" s="63" t="inlineStr">
        <is>
          <t>SU003084</t>
        </is>
      </c>
      <c r="B309" s="63" t="inlineStr">
        <is>
          <t>P004230</t>
        </is>
      </c>
      <c r="C309" s="36" t="n">
        <v>4301031306</v>
      </c>
      <c r="D309" s="745" t="n">
        <v>4680115882881</v>
      </c>
      <c r="E309" s="1062" t="n"/>
      <c r="F309" s="1100" t="n">
        <v>0.28</v>
      </c>
      <c r="G309" s="37" t="n">
        <v>6</v>
      </c>
      <c r="H309" s="1100" t="n">
        <v>1.68</v>
      </c>
      <c r="I309" s="1100" t="n">
        <v>1.81</v>
      </c>
      <c r="J309" s="37" t="n">
        <v>234</v>
      </c>
      <c r="K309" s="37" t="inlineStr">
        <is>
          <t>18</t>
        </is>
      </c>
      <c r="L309" s="37" t="inlineStr"/>
      <c r="M309" s="38" t="inlineStr">
        <is>
          <t>СК2</t>
        </is>
      </c>
      <c r="N309" s="38" t="n"/>
      <c r="O309" s="37" t="n">
        <v>40</v>
      </c>
      <c r="P309" s="1252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/>
      </c>
      <c r="Q309" s="1102" t="n"/>
      <c r="R309" s="1102" t="n"/>
      <c r="S309" s="1102" t="n"/>
      <c r="T309" s="1103" t="n"/>
      <c r="U309" s="39" t="inlineStr"/>
      <c r="V309" s="39" t="inlineStr"/>
      <c r="W309" s="40" t="inlineStr">
        <is>
          <t>кг</t>
        </is>
      </c>
      <c r="X309" s="1104" t="n">
        <v>0</v>
      </c>
      <c r="Y309" s="1105">
        <f>IFERROR(IF(X309="",0,CEILING((X309/$H309),1)*$H309),"")</f>
        <v/>
      </c>
      <c r="Z309" s="41">
        <f>IFERROR(IF(Y309=0,"",ROUNDUP(Y309/H309,0)*0.00502),"")</f>
        <v/>
      </c>
      <c r="AA309" s="68" t="inlineStr"/>
      <c r="AB309" s="69" t="inlineStr"/>
      <c r="AC309" s="372" t="inlineStr">
        <is>
          <t>ЕАЭС N RU Д-RU.РА01.В.54243/24</t>
        </is>
      </c>
      <c r="AG309" s="78" t="n"/>
      <c r="AJ309" s="84" t="inlineStr"/>
      <c r="AK309" s="84" t="n">
        <v>0</v>
      </c>
      <c r="BB309" s="373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>
      <c r="A310" s="758" t="n"/>
      <c r="B310" s="1051" t="n"/>
      <c r="C310" s="1051" t="n"/>
      <c r="D310" s="1051" t="n"/>
      <c r="E310" s="1051" t="n"/>
      <c r="F310" s="1051" t="n"/>
      <c r="G310" s="1051" t="n"/>
      <c r="H310" s="1051" t="n"/>
      <c r="I310" s="1051" t="n"/>
      <c r="J310" s="1051" t="n"/>
      <c r="K310" s="1051" t="n"/>
      <c r="L310" s="1051" t="n"/>
      <c r="M310" s="1051" t="n"/>
      <c r="N310" s="1051" t="n"/>
      <c r="O310" s="1111" t="n"/>
      <c r="P310" s="1112" t="inlineStr">
        <is>
          <t>Итого</t>
        </is>
      </c>
      <c r="Q310" s="1069" t="n"/>
      <c r="R310" s="1069" t="n"/>
      <c r="S310" s="1069" t="n"/>
      <c r="T310" s="1069" t="n"/>
      <c r="U310" s="1069" t="n"/>
      <c r="V310" s="1070" t="n"/>
      <c r="W310" s="42" t="inlineStr">
        <is>
          <t>кор</t>
        </is>
      </c>
      <c r="X310" s="1113">
        <f>IFERROR(X308/H308,"0")+IFERROR(X309/H309,"0")</f>
        <v/>
      </c>
      <c r="Y310" s="1113">
        <f>IFERROR(Y308/H308,"0")+IFERROR(Y309/H309,"0")</f>
        <v/>
      </c>
      <c r="Z310" s="1113">
        <f>IFERROR(IF(Z308="",0,Z308),"0")+IFERROR(IF(Z309="",0,Z309),"0")</f>
        <v/>
      </c>
      <c r="AA310" s="1114" t="n"/>
      <c r="AB310" s="1114" t="n"/>
      <c r="AC310" s="1114" t="n"/>
    </row>
    <row r="311">
      <c r="A311" s="1051" t="n"/>
      <c r="B311" s="1051" t="n"/>
      <c r="C311" s="1051" t="n"/>
      <c r="D311" s="1051" t="n"/>
      <c r="E311" s="1051" t="n"/>
      <c r="F311" s="1051" t="n"/>
      <c r="G311" s="1051" t="n"/>
      <c r="H311" s="1051" t="n"/>
      <c r="I311" s="1051" t="n"/>
      <c r="J311" s="1051" t="n"/>
      <c r="K311" s="1051" t="n"/>
      <c r="L311" s="1051" t="n"/>
      <c r="M311" s="1051" t="n"/>
      <c r="N311" s="1051" t="n"/>
      <c r="O311" s="1111" t="n"/>
      <c r="P311" s="1112" t="inlineStr">
        <is>
          <t>Итого</t>
        </is>
      </c>
      <c r="Q311" s="1069" t="n"/>
      <c r="R311" s="1069" t="n"/>
      <c r="S311" s="1069" t="n"/>
      <c r="T311" s="1069" t="n"/>
      <c r="U311" s="1069" t="n"/>
      <c r="V311" s="1070" t="n"/>
      <c r="W311" s="42" t="inlineStr">
        <is>
          <t>кг</t>
        </is>
      </c>
      <c r="X311" s="1113">
        <f>IFERROR(SUM(X308:X309),"0")</f>
        <v/>
      </c>
      <c r="Y311" s="1113">
        <f>IFERROR(SUM(Y308:Y309),"0")</f>
        <v/>
      </c>
      <c r="Z311" s="42" t="n"/>
      <c r="AA311" s="1114" t="n"/>
      <c r="AB311" s="1114" t="n"/>
      <c r="AC311" s="1114" t="n"/>
    </row>
    <row r="312" ht="16.5" customHeight="1">
      <c r="A312" s="743" t="inlineStr">
        <is>
          <t>Филейная</t>
        </is>
      </c>
      <c r="B312" s="1051" t="n"/>
      <c r="C312" s="1051" t="n"/>
      <c r="D312" s="1051" t="n"/>
      <c r="E312" s="1051" t="n"/>
      <c r="F312" s="1051" t="n"/>
      <c r="G312" s="1051" t="n"/>
      <c r="H312" s="1051" t="n"/>
      <c r="I312" s="1051" t="n"/>
      <c r="J312" s="1051" t="n"/>
      <c r="K312" s="1051" t="n"/>
      <c r="L312" s="1051" t="n"/>
      <c r="M312" s="1051" t="n"/>
      <c r="N312" s="1051" t="n"/>
      <c r="O312" s="1051" t="n"/>
      <c r="P312" s="1051" t="n"/>
      <c r="Q312" s="1051" t="n"/>
      <c r="R312" s="1051" t="n"/>
      <c r="S312" s="1051" t="n"/>
      <c r="T312" s="1051" t="n"/>
      <c r="U312" s="1051" t="n"/>
      <c r="V312" s="1051" t="n"/>
      <c r="W312" s="1051" t="n"/>
      <c r="X312" s="1051" t="n"/>
      <c r="Y312" s="1051" t="n"/>
      <c r="Z312" s="1051" t="n"/>
      <c r="AA312" s="743" t="n"/>
      <c r="AB312" s="743" t="n"/>
      <c r="AC312" s="743" t="n"/>
    </row>
    <row r="313" ht="14.25" customHeight="1">
      <c r="A313" s="744" t="inlineStr">
        <is>
          <t>Вареные колбасы</t>
        </is>
      </c>
      <c r="B313" s="1051" t="n"/>
      <c r="C313" s="1051" t="n"/>
      <c r="D313" s="1051" t="n"/>
      <c r="E313" s="1051" t="n"/>
      <c r="F313" s="1051" t="n"/>
      <c r="G313" s="1051" t="n"/>
      <c r="H313" s="1051" t="n"/>
      <c r="I313" s="1051" t="n"/>
      <c r="J313" s="1051" t="n"/>
      <c r="K313" s="1051" t="n"/>
      <c r="L313" s="1051" t="n"/>
      <c r="M313" s="1051" t="n"/>
      <c r="N313" s="1051" t="n"/>
      <c r="O313" s="1051" t="n"/>
      <c r="P313" s="1051" t="n"/>
      <c r="Q313" s="1051" t="n"/>
      <c r="R313" s="1051" t="n"/>
      <c r="S313" s="1051" t="n"/>
      <c r="T313" s="1051" t="n"/>
      <c r="U313" s="1051" t="n"/>
      <c r="V313" s="1051" t="n"/>
      <c r="W313" s="1051" t="n"/>
      <c r="X313" s="1051" t="n"/>
      <c r="Y313" s="1051" t="n"/>
      <c r="Z313" s="1051" t="n"/>
      <c r="AA313" s="744" t="n"/>
      <c r="AB313" s="744" t="n"/>
      <c r="AC313" s="744" t="n"/>
    </row>
    <row r="314" ht="27" customHeight="1">
      <c r="A314" s="63" t="inlineStr">
        <is>
          <t>SU003219</t>
        </is>
      </c>
      <c r="B314" s="63" t="inlineStr">
        <is>
          <t>P003863</t>
        </is>
      </c>
      <c r="C314" s="36" t="n">
        <v>4301011662</v>
      </c>
      <c r="D314" s="745" t="n">
        <v>4680115883703</v>
      </c>
      <c r="E314" s="1062" t="n"/>
      <c r="F314" s="1100" t="n">
        <v>1.35</v>
      </c>
      <c r="G314" s="37" t="n">
        <v>8</v>
      </c>
      <c r="H314" s="1100" t="n">
        <v>10.8</v>
      </c>
      <c r="I314" s="1100" t="n">
        <v>11.235</v>
      </c>
      <c r="J314" s="37" t="n">
        <v>64</v>
      </c>
      <c r="K314" s="37" t="inlineStr">
        <is>
          <t>8</t>
        </is>
      </c>
      <c r="L314" s="37" t="inlineStr"/>
      <c r="M314" s="38" t="inlineStr">
        <is>
          <t>СК1</t>
        </is>
      </c>
      <c r="N314" s="38" t="n"/>
      <c r="O314" s="37" t="n">
        <v>55</v>
      </c>
      <c r="P314" s="1253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/>
      </c>
      <c r="Q314" s="1102" t="n"/>
      <c r="R314" s="1102" t="n"/>
      <c r="S314" s="1102" t="n"/>
      <c r="T314" s="1103" t="n"/>
      <c r="U314" s="39" t="inlineStr"/>
      <c r="V314" s="39" t="inlineStr"/>
      <c r="W314" s="40" t="inlineStr">
        <is>
          <t>кг</t>
        </is>
      </c>
      <c r="X314" s="1104" t="n">
        <v>0</v>
      </c>
      <c r="Y314" s="1105">
        <f>IFERROR(IF(X314="",0,CEILING((X314/$H314),1)*$H314),"")</f>
        <v/>
      </c>
      <c r="Z314" s="41">
        <f>IFERROR(IF(Y314=0,"",ROUNDUP(Y314/H314,0)*0.01898),"")</f>
        <v/>
      </c>
      <c r="AA314" s="68" t="inlineStr">
        <is>
          <t>МАЯК</t>
        </is>
      </c>
      <c r="AB314" s="69" t="inlineStr"/>
      <c r="AC314" s="374" t="inlineStr">
        <is>
          <t>ЕАЭС N RU Д-RU.РА01.В.15337/24</t>
        </is>
      </c>
      <c r="AG314" s="78" t="n"/>
      <c r="AJ314" s="84" t="inlineStr"/>
      <c r="AK314" s="84" t="n">
        <v>0</v>
      </c>
      <c r="BB314" s="375" t="inlineStr">
        <is>
          <t>КИ</t>
        </is>
      </c>
      <c r="BM314" s="78">
        <f>IFERROR(X314*I314/H314,"0")</f>
        <v/>
      </c>
      <c r="BN314" s="78">
        <f>IFERROR(Y314*I314/H314,"0")</f>
        <v/>
      </c>
      <c r="BO314" s="78">
        <f>IFERROR(1/J314*(X314/H314),"0")</f>
        <v/>
      </c>
      <c r="BP314" s="78">
        <f>IFERROR(1/J314*(Y314/H314),"0")</f>
        <v/>
      </c>
    </row>
    <row r="315">
      <c r="A315" s="758" t="n"/>
      <c r="B315" s="1051" t="n"/>
      <c r="C315" s="1051" t="n"/>
      <c r="D315" s="1051" t="n"/>
      <c r="E315" s="1051" t="n"/>
      <c r="F315" s="1051" t="n"/>
      <c r="G315" s="1051" t="n"/>
      <c r="H315" s="1051" t="n"/>
      <c r="I315" s="1051" t="n"/>
      <c r="J315" s="1051" t="n"/>
      <c r="K315" s="1051" t="n"/>
      <c r="L315" s="1051" t="n"/>
      <c r="M315" s="1051" t="n"/>
      <c r="N315" s="1051" t="n"/>
      <c r="O315" s="1111" t="n"/>
      <c r="P315" s="1112" t="inlineStr">
        <is>
          <t>Итого</t>
        </is>
      </c>
      <c r="Q315" s="1069" t="n"/>
      <c r="R315" s="1069" t="n"/>
      <c r="S315" s="1069" t="n"/>
      <c r="T315" s="1069" t="n"/>
      <c r="U315" s="1069" t="n"/>
      <c r="V315" s="1070" t="n"/>
      <c r="W315" s="42" t="inlineStr">
        <is>
          <t>кор</t>
        </is>
      </c>
      <c r="X315" s="1113">
        <f>IFERROR(X314/H314,"0")</f>
        <v/>
      </c>
      <c r="Y315" s="1113">
        <f>IFERROR(Y314/H314,"0")</f>
        <v/>
      </c>
      <c r="Z315" s="1113">
        <f>IFERROR(IF(Z314="",0,Z314),"0")</f>
        <v/>
      </c>
      <c r="AA315" s="1114" t="n"/>
      <c r="AB315" s="1114" t="n"/>
      <c r="AC315" s="1114" t="n"/>
    </row>
    <row r="316">
      <c r="A316" s="1051" t="n"/>
      <c r="B316" s="1051" t="n"/>
      <c r="C316" s="1051" t="n"/>
      <c r="D316" s="1051" t="n"/>
      <c r="E316" s="1051" t="n"/>
      <c r="F316" s="1051" t="n"/>
      <c r="G316" s="1051" t="n"/>
      <c r="H316" s="1051" t="n"/>
      <c r="I316" s="1051" t="n"/>
      <c r="J316" s="1051" t="n"/>
      <c r="K316" s="1051" t="n"/>
      <c r="L316" s="1051" t="n"/>
      <c r="M316" s="1051" t="n"/>
      <c r="N316" s="1051" t="n"/>
      <c r="O316" s="1111" t="n"/>
      <c r="P316" s="1112" t="inlineStr">
        <is>
          <t>Итого</t>
        </is>
      </c>
      <c r="Q316" s="1069" t="n"/>
      <c r="R316" s="1069" t="n"/>
      <c r="S316" s="1069" t="n"/>
      <c r="T316" s="1069" t="n"/>
      <c r="U316" s="1069" t="n"/>
      <c r="V316" s="1070" t="n"/>
      <c r="W316" s="42" t="inlineStr">
        <is>
          <t>кг</t>
        </is>
      </c>
      <c r="X316" s="1113">
        <f>IFERROR(SUM(X314:X314),"0")</f>
        <v/>
      </c>
      <c r="Y316" s="1113">
        <f>IFERROR(SUM(Y314:Y314),"0")</f>
        <v/>
      </c>
      <c r="Z316" s="42" t="n"/>
      <c r="AA316" s="1114" t="n"/>
      <c r="AB316" s="1114" t="n"/>
      <c r="AC316" s="1114" t="n"/>
    </row>
    <row r="317" ht="16.5" customHeight="1">
      <c r="A317" s="743" t="inlineStr">
        <is>
          <t>Бордо</t>
        </is>
      </c>
      <c r="B317" s="1051" t="n"/>
      <c r="C317" s="1051" t="n"/>
      <c r="D317" s="1051" t="n"/>
      <c r="E317" s="1051" t="n"/>
      <c r="F317" s="1051" t="n"/>
      <c r="G317" s="1051" t="n"/>
      <c r="H317" s="1051" t="n"/>
      <c r="I317" s="1051" t="n"/>
      <c r="J317" s="1051" t="n"/>
      <c r="K317" s="1051" t="n"/>
      <c r="L317" s="1051" t="n"/>
      <c r="M317" s="1051" t="n"/>
      <c r="N317" s="1051" t="n"/>
      <c r="O317" s="1051" t="n"/>
      <c r="P317" s="1051" t="n"/>
      <c r="Q317" s="1051" t="n"/>
      <c r="R317" s="1051" t="n"/>
      <c r="S317" s="1051" t="n"/>
      <c r="T317" s="1051" t="n"/>
      <c r="U317" s="1051" t="n"/>
      <c r="V317" s="1051" t="n"/>
      <c r="W317" s="1051" t="n"/>
      <c r="X317" s="1051" t="n"/>
      <c r="Y317" s="1051" t="n"/>
      <c r="Z317" s="1051" t="n"/>
      <c r="AA317" s="743" t="n"/>
      <c r="AB317" s="743" t="n"/>
      <c r="AC317" s="743" t="n"/>
    </row>
    <row r="318" ht="14.25" customHeight="1">
      <c r="A318" s="744" t="inlineStr">
        <is>
          <t>Вареные колбасы</t>
        </is>
      </c>
      <c r="B318" s="1051" t="n"/>
      <c r="C318" s="1051" t="n"/>
      <c r="D318" s="1051" t="n"/>
      <c r="E318" s="1051" t="n"/>
      <c r="F318" s="1051" t="n"/>
      <c r="G318" s="1051" t="n"/>
      <c r="H318" s="1051" t="n"/>
      <c r="I318" s="1051" t="n"/>
      <c r="J318" s="1051" t="n"/>
      <c r="K318" s="1051" t="n"/>
      <c r="L318" s="1051" t="n"/>
      <c r="M318" s="1051" t="n"/>
      <c r="N318" s="1051" t="n"/>
      <c r="O318" s="1051" t="n"/>
      <c r="P318" s="1051" t="n"/>
      <c r="Q318" s="1051" t="n"/>
      <c r="R318" s="1051" t="n"/>
      <c r="S318" s="1051" t="n"/>
      <c r="T318" s="1051" t="n"/>
      <c r="U318" s="1051" t="n"/>
      <c r="V318" s="1051" t="n"/>
      <c r="W318" s="1051" t="n"/>
      <c r="X318" s="1051" t="n"/>
      <c r="Y318" s="1051" t="n"/>
      <c r="Z318" s="1051" t="n"/>
      <c r="AA318" s="744" t="n"/>
      <c r="AB318" s="744" t="n"/>
      <c r="AC318" s="744" t="n"/>
    </row>
    <row r="319" ht="27" customHeight="1">
      <c r="A319" s="63" t="inlineStr">
        <is>
          <t>SU003394</t>
        </is>
      </c>
      <c r="B319" s="63" t="inlineStr">
        <is>
          <t>P004213</t>
        </is>
      </c>
      <c r="C319" s="36" t="n">
        <v>4301012024</v>
      </c>
      <c r="D319" s="745" t="n">
        <v>4680115885615</v>
      </c>
      <c r="E319" s="1062" t="n"/>
      <c r="F319" s="1100" t="n">
        <v>1.35</v>
      </c>
      <c r="G319" s="37" t="n">
        <v>8</v>
      </c>
      <c r="H319" s="1100" t="n">
        <v>10.8</v>
      </c>
      <c r="I319" s="1100" t="n">
        <v>11.235</v>
      </c>
      <c r="J319" s="37" t="n">
        <v>64</v>
      </c>
      <c r="K319" s="37" t="inlineStr">
        <is>
          <t>8</t>
        </is>
      </c>
      <c r="L319" s="37" t="inlineStr"/>
      <c r="M319" s="38" t="inlineStr">
        <is>
          <t>СК3</t>
        </is>
      </c>
      <c r="N319" s="38" t="n"/>
      <c r="O319" s="37" t="n">
        <v>55</v>
      </c>
      <c r="P319" s="1254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/>
      </c>
      <c r="Q319" s="1102" t="n"/>
      <c r="R319" s="1102" t="n"/>
      <c r="S319" s="1102" t="n"/>
      <c r="T319" s="1103" t="n"/>
      <c r="U319" s="39" t="inlineStr"/>
      <c r="V319" s="39" t="inlineStr"/>
      <c r="W319" s="40" t="inlineStr">
        <is>
          <t>кг</t>
        </is>
      </c>
      <c r="X319" s="1104" t="n">
        <v>0</v>
      </c>
      <c r="Y319" s="1105">
        <f>IFERROR(IF(X319="",0,CEILING((X319/$H319),1)*$H319),"")</f>
        <v/>
      </c>
      <c r="Z319" s="41">
        <f>IFERROR(IF(Y319=0,"",ROUNDUP(Y319/H319,0)*0.01898),"")</f>
        <v/>
      </c>
      <c r="AA319" s="68" t="inlineStr"/>
      <c r="AB319" s="69" t="inlineStr"/>
      <c r="AC319" s="376" t="inlineStr">
        <is>
          <t>ЕАЭС N RU Д-RU.РА04.В.92149/24, ЕАЭС N RU Д-RU.РА04.В.92393/24</t>
        </is>
      </c>
      <c r="AG319" s="78" t="n"/>
      <c r="AJ319" s="84" t="inlineStr"/>
      <c r="AK319" s="84" t="n">
        <v>0</v>
      </c>
      <c r="BB319" s="377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27" customHeight="1">
      <c r="A320" s="63" t="inlineStr">
        <is>
          <t>SU003392</t>
        </is>
      </c>
      <c r="B320" s="63" t="inlineStr">
        <is>
          <t>P004289</t>
        </is>
      </c>
      <c r="C320" s="36" t="n">
        <v>4301011911</v>
      </c>
      <c r="D320" s="745" t="n">
        <v>4680115885554</v>
      </c>
      <c r="E320" s="1062" t="n"/>
      <c r="F320" s="1100" t="n">
        <v>1.35</v>
      </c>
      <c r="G320" s="37" t="n">
        <v>8</v>
      </c>
      <c r="H320" s="1100" t="n">
        <v>10.8</v>
      </c>
      <c r="I320" s="1100" t="n">
        <v>11.28</v>
      </c>
      <c r="J320" s="37" t="n">
        <v>48</v>
      </c>
      <c r="K320" s="37" t="inlineStr">
        <is>
          <t>8</t>
        </is>
      </c>
      <c r="L320" s="37" t="inlineStr"/>
      <c r="M320" s="38" t="inlineStr">
        <is>
          <t>ВЗ</t>
        </is>
      </c>
      <c r="N320" s="38" t="n"/>
      <c r="O320" s="37" t="n">
        <v>55</v>
      </c>
      <c r="P320" s="1255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/>
      </c>
      <c r="Q320" s="1102" t="n"/>
      <c r="R320" s="1102" t="n"/>
      <c r="S320" s="1102" t="n"/>
      <c r="T320" s="1103" t="n"/>
      <c r="U320" s="39" t="inlineStr"/>
      <c r="V320" s="39" t="inlineStr"/>
      <c r="W320" s="40" t="inlineStr">
        <is>
          <t>кг</t>
        </is>
      </c>
      <c r="X320" s="1104" t="n">
        <v>0</v>
      </c>
      <c r="Y320" s="1105">
        <f>IFERROR(IF(X320="",0,CEILING((X320/$H320),1)*$H320),"")</f>
        <v/>
      </c>
      <c r="Z320" s="41">
        <f>IFERROR(IF(Y320=0,"",ROUNDUP(Y320/H320,0)*0.02039),"")</f>
        <v/>
      </c>
      <c r="AA320" s="68" t="inlineStr"/>
      <c r="AB320" s="69" t="inlineStr"/>
      <c r="AC320" s="378" t="inlineStr">
        <is>
          <t>ЕАЭС N RU Д-RU.РА04.В.66501/24</t>
        </is>
      </c>
      <c r="AG320" s="78" t="n"/>
      <c r="AJ320" s="84" t="inlineStr"/>
      <c r="AK320" s="84" t="n">
        <v>0</v>
      </c>
      <c r="BB320" s="379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 ht="27" customHeight="1">
      <c r="A321" s="63" t="inlineStr">
        <is>
          <t>SU003392</t>
        </is>
      </c>
      <c r="B321" s="63" t="inlineStr">
        <is>
          <t>P004210</t>
        </is>
      </c>
      <c r="C321" s="36" t="n">
        <v>4301012016</v>
      </c>
      <c r="D321" s="745" t="n">
        <v>4680115885554</v>
      </c>
      <c r="E321" s="1062" t="n"/>
      <c r="F321" s="1100" t="n">
        <v>1.35</v>
      </c>
      <c r="G321" s="37" t="n">
        <v>8</v>
      </c>
      <c r="H321" s="1100" t="n">
        <v>10.8</v>
      </c>
      <c r="I321" s="1100" t="n">
        <v>11.235</v>
      </c>
      <c r="J321" s="37" t="n">
        <v>64</v>
      </c>
      <c r="K321" s="37" t="inlineStr">
        <is>
          <t>8</t>
        </is>
      </c>
      <c r="L321" s="37" t="inlineStr">
        <is>
          <t>Слой, мин. 1</t>
        </is>
      </c>
      <c r="M321" s="38" t="inlineStr">
        <is>
          <t>СК3</t>
        </is>
      </c>
      <c r="N321" s="38" t="n"/>
      <c r="O321" s="37" t="n">
        <v>55</v>
      </c>
      <c r="P321" s="1256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21" s="1102" t="n"/>
      <c r="R321" s="1102" t="n"/>
      <c r="S321" s="1102" t="n"/>
      <c r="T321" s="1103" t="n"/>
      <c r="U321" s="39" t="inlineStr"/>
      <c r="V321" s="39" t="inlineStr"/>
      <c r="W321" s="40" t="inlineStr">
        <is>
          <t>кг</t>
        </is>
      </c>
      <c r="X321" s="1104" t="n">
        <v>0</v>
      </c>
      <c r="Y321" s="1105">
        <f>IFERROR(IF(X321="",0,CEILING((X321/$H321),1)*$H321),"")</f>
        <v/>
      </c>
      <c r="Z321" s="41">
        <f>IFERROR(IF(Y321=0,"",ROUNDUP(Y321/H321,0)*0.01898),"")</f>
        <v/>
      </c>
      <c r="AA321" s="68" t="inlineStr"/>
      <c r="AB321" s="69" t="inlineStr"/>
      <c r="AC321" s="380" t="inlineStr">
        <is>
          <t>ЕАЭС N RU Д-RU.РА04.В.93998/24, ЕАЭС N RU Д-RU.РА04.В.94346/24</t>
        </is>
      </c>
      <c r="AG321" s="78" t="n"/>
      <c r="AJ321" s="84" t="inlineStr">
        <is>
          <t>Слой</t>
        </is>
      </c>
      <c r="AK321" s="84" t="n">
        <v>86.40000000000001</v>
      </c>
      <c r="BB321" s="381" t="inlineStr">
        <is>
          <t>КИ</t>
        </is>
      </c>
      <c r="BM321" s="78">
        <f>IFERROR(X321*I321/H321,"0")</f>
        <v/>
      </c>
      <c r="BN321" s="78">
        <f>IFERROR(Y321*I321/H321,"0")</f>
        <v/>
      </c>
      <c r="BO321" s="78">
        <f>IFERROR(1/J321*(X321/H321),"0")</f>
        <v/>
      </c>
      <c r="BP321" s="78">
        <f>IFERROR(1/J321*(Y321/H321),"0")</f>
        <v/>
      </c>
    </row>
    <row r="322" ht="37.5" customHeight="1">
      <c r="A322" s="63" t="inlineStr">
        <is>
          <t>SU003396</t>
        </is>
      </c>
      <c r="B322" s="63" t="inlineStr">
        <is>
          <t>P004215</t>
        </is>
      </c>
      <c r="C322" s="36" t="n">
        <v>4301011858</v>
      </c>
      <c r="D322" s="745" t="n">
        <v>4680115885646</v>
      </c>
      <c r="E322" s="1062" t="n"/>
      <c r="F322" s="1100" t="n">
        <v>1.35</v>
      </c>
      <c r="G322" s="37" t="n">
        <v>8</v>
      </c>
      <c r="H322" s="1100" t="n">
        <v>10.8</v>
      </c>
      <c r="I322" s="1100" t="n">
        <v>11.235</v>
      </c>
      <c r="J322" s="37" t="n">
        <v>64</v>
      </c>
      <c r="K322" s="37" t="inlineStr">
        <is>
          <t>8</t>
        </is>
      </c>
      <c r="L322" s="37" t="inlineStr"/>
      <c r="M322" s="38" t="inlineStr">
        <is>
          <t>СК1</t>
        </is>
      </c>
      <c r="N322" s="38" t="n"/>
      <c r="O322" s="37" t="n">
        <v>55</v>
      </c>
      <c r="P322" s="1257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/>
      </c>
      <c r="Q322" s="1102" t="n"/>
      <c r="R322" s="1102" t="n"/>
      <c r="S322" s="1102" t="n"/>
      <c r="T322" s="1103" t="n"/>
      <c r="U322" s="39" t="inlineStr"/>
      <c r="V322" s="39" t="inlineStr"/>
      <c r="W322" s="40" t="inlineStr">
        <is>
          <t>кг</t>
        </is>
      </c>
      <c r="X322" s="1104" t="n">
        <v>0</v>
      </c>
      <c r="Y322" s="1105">
        <f>IFERROR(IF(X322="",0,CEILING((X322/$H322),1)*$H322),"")</f>
        <v/>
      </c>
      <c r="Z322" s="41">
        <f>IFERROR(IF(Y322=0,"",ROUNDUP(Y322/H322,0)*0.01898),"")</f>
        <v/>
      </c>
      <c r="AA322" s="68" t="inlineStr"/>
      <c r="AB322" s="69" t="inlineStr"/>
      <c r="AC322" s="382" t="inlineStr">
        <is>
          <t>ЕАЭС N RU Д-RU.РА04.В.89027/24</t>
        </is>
      </c>
      <c r="AG322" s="78" t="n"/>
      <c r="AJ322" s="84" t="inlineStr"/>
      <c r="AK322" s="84" t="n">
        <v>0</v>
      </c>
      <c r="BB322" s="383" t="inlineStr">
        <is>
          <t>КИ</t>
        </is>
      </c>
      <c r="BM322" s="78">
        <f>IFERROR(X322*I322/H322,"0")</f>
        <v/>
      </c>
      <c r="BN322" s="78">
        <f>IFERROR(Y322*I322/H322,"0")</f>
        <v/>
      </c>
      <c r="BO322" s="78">
        <f>IFERROR(1/J322*(X322/H322),"0")</f>
        <v/>
      </c>
      <c r="BP322" s="78">
        <f>IFERROR(1/J322*(Y322/H322),"0")</f>
        <v/>
      </c>
    </row>
    <row r="323" ht="27" customHeight="1">
      <c r="A323" s="63" t="inlineStr">
        <is>
          <t>SU003395</t>
        </is>
      </c>
      <c r="B323" s="63" t="inlineStr">
        <is>
          <t>P004214</t>
        </is>
      </c>
      <c r="C323" s="36" t="n">
        <v>4301011857</v>
      </c>
      <c r="D323" s="745" t="n">
        <v>4680115885622</v>
      </c>
      <c r="E323" s="1062" t="n"/>
      <c r="F323" s="1100" t="n">
        <v>0.4</v>
      </c>
      <c r="G323" s="37" t="n">
        <v>10</v>
      </c>
      <c r="H323" s="1100" t="n">
        <v>4</v>
      </c>
      <c r="I323" s="1100" t="n">
        <v>4.21</v>
      </c>
      <c r="J323" s="37" t="n">
        <v>132</v>
      </c>
      <c r="K323" s="37" t="inlineStr">
        <is>
          <t>12</t>
        </is>
      </c>
      <c r="L323" s="37" t="inlineStr"/>
      <c r="M323" s="38" t="inlineStr">
        <is>
          <t>СК1</t>
        </is>
      </c>
      <c r="N323" s="38" t="n"/>
      <c r="O323" s="37" t="n">
        <v>55</v>
      </c>
      <c r="P323" s="1258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/>
      </c>
      <c r="Q323" s="1102" t="n"/>
      <c r="R323" s="1102" t="n"/>
      <c r="S323" s="1102" t="n"/>
      <c r="T323" s="1103" t="n"/>
      <c r="U323" s="39" t="inlineStr"/>
      <c r="V323" s="39" t="inlineStr"/>
      <c r="W323" s="40" t="inlineStr">
        <is>
          <t>кг</t>
        </is>
      </c>
      <c r="X323" s="1104" t="n">
        <v>0</v>
      </c>
      <c r="Y323" s="1105">
        <f>IFERROR(IF(X323="",0,CEILING((X323/$H323),1)*$H323),"")</f>
        <v/>
      </c>
      <c r="Z323" s="41">
        <f>IFERROR(IF(Y323=0,"",ROUNDUP(Y323/H323,0)*0.00902),"")</f>
        <v/>
      </c>
      <c r="AA323" s="68" t="inlineStr"/>
      <c r="AB323" s="69" t="inlineStr"/>
      <c r="AC323" s="384" t="inlineStr">
        <is>
          <t>ЕАЭС N RU Д-RU.РА04.В.92149/24</t>
        </is>
      </c>
      <c r="AG323" s="78" t="n"/>
      <c r="AJ323" s="84" t="inlineStr"/>
      <c r="AK323" s="84" t="n">
        <v>0</v>
      </c>
      <c r="BB323" s="385" t="inlineStr">
        <is>
          <t>КИ</t>
        </is>
      </c>
      <c r="BM323" s="78">
        <f>IFERROR(X323*I323/H323,"0")</f>
        <v/>
      </c>
      <c r="BN323" s="78">
        <f>IFERROR(Y323*I323/H323,"0")</f>
        <v/>
      </c>
      <c r="BO323" s="78">
        <f>IFERROR(1/J323*(X323/H323),"0")</f>
        <v/>
      </c>
      <c r="BP323" s="78">
        <f>IFERROR(1/J323*(Y323/H323),"0")</f>
        <v/>
      </c>
    </row>
    <row r="324" ht="27" customHeight="1">
      <c r="A324" s="63" t="inlineStr">
        <is>
          <t>SU003393</t>
        </is>
      </c>
      <c r="B324" s="63" t="inlineStr">
        <is>
          <t>P004211</t>
        </is>
      </c>
      <c r="C324" s="36" t="n">
        <v>4301011859</v>
      </c>
      <c r="D324" s="745" t="n">
        <v>4680115885608</v>
      </c>
      <c r="E324" s="1062" t="n"/>
      <c r="F324" s="1100" t="n">
        <v>0.4</v>
      </c>
      <c r="G324" s="37" t="n">
        <v>10</v>
      </c>
      <c r="H324" s="1100" t="n">
        <v>4</v>
      </c>
      <c r="I324" s="1100" t="n">
        <v>4.21</v>
      </c>
      <c r="J324" s="37" t="n">
        <v>132</v>
      </c>
      <c r="K324" s="37" t="inlineStr">
        <is>
          <t>12</t>
        </is>
      </c>
      <c r="L324" s="37" t="inlineStr"/>
      <c r="M324" s="38" t="inlineStr">
        <is>
          <t>СК1</t>
        </is>
      </c>
      <c r="N324" s="38" t="n"/>
      <c r="O324" s="37" t="n">
        <v>55</v>
      </c>
      <c r="P324" s="125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24" s="1102" t="n"/>
      <c r="R324" s="1102" t="n"/>
      <c r="S324" s="1102" t="n"/>
      <c r="T324" s="1103" t="n"/>
      <c r="U324" s="39" t="inlineStr"/>
      <c r="V324" s="39" t="inlineStr"/>
      <c r="W324" s="40" t="inlineStr">
        <is>
          <t>кг</t>
        </is>
      </c>
      <c r="X324" s="1104" t="n">
        <v>0</v>
      </c>
      <c r="Y324" s="1105">
        <f>IFERROR(IF(X324="",0,CEILING((X324/$H324),1)*$H324),"")</f>
        <v/>
      </c>
      <c r="Z324" s="41">
        <f>IFERROR(IF(Y324=0,"",ROUNDUP(Y324/H324,0)*0.00902),"")</f>
        <v/>
      </c>
      <c r="AA324" s="68" t="inlineStr"/>
      <c r="AB324" s="69" t="inlineStr"/>
      <c r="AC324" s="386" t="inlineStr">
        <is>
          <t>ЕАЭС N RU Д-RU.РА04.В.93998/24, ЕАЭС N RU Д-RU.РА04.В.94346/24</t>
        </is>
      </c>
      <c r="AG324" s="78" t="n"/>
      <c r="AJ324" s="84" t="inlineStr"/>
      <c r="AK324" s="84" t="n">
        <v>0</v>
      </c>
      <c r="BB324" s="387" t="inlineStr">
        <is>
          <t>КИ</t>
        </is>
      </c>
      <c r="BM324" s="78">
        <f>IFERROR(X324*I324/H324,"0")</f>
        <v/>
      </c>
      <c r="BN324" s="78">
        <f>IFERROR(Y324*I324/H324,"0")</f>
        <v/>
      </c>
      <c r="BO324" s="78">
        <f>IFERROR(1/J324*(X324/H324),"0")</f>
        <v/>
      </c>
      <c r="BP324" s="78">
        <f>IFERROR(1/J324*(Y324/H324),"0")</f>
        <v/>
      </c>
    </row>
    <row r="325">
      <c r="A325" s="758" t="n"/>
      <c r="B325" s="1051" t="n"/>
      <c r="C325" s="1051" t="n"/>
      <c r="D325" s="1051" t="n"/>
      <c r="E325" s="1051" t="n"/>
      <c r="F325" s="1051" t="n"/>
      <c r="G325" s="1051" t="n"/>
      <c r="H325" s="1051" t="n"/>
      <c r="I325" s="1051" t="n"/>
      <c r="J325" s="1051" t="n"/>
      <c r="K325" s="1051" t="n"/>
      <c r="L325" s="1051" t="n"/>
      <c r="M325" s="1051" t="n"/>
      <c r="N325" s="1051" t="n"/>
      <c r="O325" s="1111" t="n"/>
      <c r="P325" s="1112" t="inlineStr">
        <is>
          <t>Итого</t>
        </is>
      </c>
      <c r="Q325" s="1069" t="n"/>
      <c r="R325" s="1069" t="n"/>
      <c r="S325" s="1069" t="n"/>
      <c r="T325" s="1069" t="n"/>
      <c r="U325" s="1069" t="n"/>
      <c r="V325" s="1070" t="n"/>
      <c r="W325" s="42" t="inlineStr">
        <is>
          <t>кор</t>
        </is>
      </c>
      <c r="X325" s="1113">
        <f>IFERROR(X319/H319,"0")+IFERROR(X320/H320,"0")+IFERROR(X321/H321,"0")+IFERROR(X322/H322,"0")+IFERROR(X323/H323,"0")+IFERROR(X324/H324,"0")</f>
        <v/>
      </c>
      <c r="Y325" s="1113">
        <f>IFERROR(Y319/H319,"0")+IFERROR(Y320/H320,"0")+IFERROR(Y321/H321,"0")+IFERROR(Y322/H322,"0")+IFERROR(Y323/H323,"0")+IFERROR(Y324/H324,"0")</f>
        <v/>
      </c>
      <c r="Z325" s="1113">
        <f>IFERROR(IF(Z319="",0,Z319),"0")+IFERROR(IF(Z320="",0,Z320),"0")+IFERROR(IF(Z321="",0,Z321),"0")+IFERROR(IF(Z322="",0,Z322),"0")+IFERROR(IF(Z323="",0,Z323),"0")+IFERROR(IF(Z324="",0,Z324),"0")</f>
        <v/>
      </c>
      <c r="AA325" s="1114" t="n"/>
      <c r="AB325" s="1114" t="n"/>
      <c r="AC325" s="1114" t="n"/>
    </row>
    <row r="326">
      <c r="A326" s="1051" t="n"/>
      <c r="B326" s="1051" t="n"/>
      <c r="C326" s="1051" t="n"/>
      <c r="D326" s="1051" t="n"/>
      <c r="E326" s="1051" t="n"/>
      <c r="F326" s="1051" t="n"/>
      <c r="G326" s="1051" t="n"/>
      <c r="H326" s="1051" t="n"/>
      <c r="I326" s="1051" t="n"/>
      <c r="J326" s="1051" t="n"/>
      <c r="K326" s="1051" t="n"/>
      <c r="L326" s="1051" t="n"/>
      <c r="M326" s="1051" t="n"/>
      <c r="N326" s="1051" t="n"/>
      <c r="O326" s="1111" t="n"/>
      <c r="P326" s="1112" t="inlineStr">
        <is>
          <t>Итого</t>
        </is>
      </c>
      <c r="Q326" s="1069" t="n"/>
      <c r="R326" s="1069" t="n"/>
      <c r="S326" s="1069" t="n"/>
      <c r="T326" s="1069" t="n"/>
      <c r="U326" s="1069" t="n"/>
      <c r="V326" s="1070" t="n"/>
      <c r="W326" s="42" t="inlineStr">
        <is>
          <t>кг</t>
        </is>
      </c>
      <c r="X326" s="1113">
        <f>IFERROR(SUM(X319:X324),"0")</f>
        <v/>
      </c>
      <c r="Y326" s="1113">
        <f>IFERROR(SUM(Y319:Y324),"0")</f>
        <v/>
      </c>
      <c r="Z326" s="42" t="n"/>
      <c r="AA326" s="1114" t="n"/>
      <c r="AB326" s="1114" t="n"/>
      <c r="AC326" s="1114" t="n"/>
    </row>
    <row r="327" ht="14.25" customHeight="1">
      <c r="A327" s="744" t="inlineStr">
        <is>
          <t>Копченые колбасы</t>
        </is>
      </c>
      <c r="B327" s="1051" t="n"/>
      <c r="C327" s="1051" t="n"/>
      <c r="D327" s="1051" t="n"/>
      <c r="E327" s="1051" t="n"/>
      <c r="F327" s="1051" t="n"/>
      <c r="G327" s="1051" t="n"/>
      <c r="H327" s="1051" t="n"/>
      <c r="I327" s="1051" t="n"/>
      <c r="J327" s="1051" t="n"/>
      <c r="K327" s="1051" t="n"/>
      <c r="L327" s="1051" t="n"/>
      <c r="M327" s="1051" t="n"/>
      <c r="N327" s="1051" t="n"/>
      <c r="O327" s="1051" t="n"/>
      <c r="P327" s="1051" t="n"/>
      <c r="Q327" s="1051" t="n"/>
      <c r="R327" s="1051" t="n"/>
      <c r="S327" s="1051" t="n"/>
      <c r="T327" s="1051" t="n"/>
      <c r="U327" s="1051" t="n"/>
      <c r="V327" s="1051" t="n"/>
      <c r="W327" s="1051" t="n"/>
      <c r="X327" s="1051" t="n"/>
      <c r="Y327" s="1051" t="n"/>
      <c r="Z327" s="1051" t="n"/>
      <c r="AA327" s="744" t="n"/>
      <c r="AB327" s="744" t="n"/>
      <c r="AC327" s="744" t="n"/>
    </row>
    <row r="328" ht="27" customHeight="1">
      <c r="A328" s="63" t="inlineStr">
        <is>
          <t>SU001820</t>
        </is>
      </c>
      <c r="B328" s="63" t="inlineStr">
        <is>
          <t>P001820</t>
        </is>
      </c>
      <c r="C328" s="36" t="n">
        <v>4301030878</v>
      </c>
      <c r="D328" s="745" t="n">
        <v>4607091387193</v>
      </c>
      <c r="E328" s="1062" t="n"/>
      <c r="F328" s="1100" t="n">
        <v>0.7</v>
      </c>
      <c r="G328" s="37" t="n">
        <v>6</v>
      </c>
      <c r="H328" s="1100" t="n">
        <v>4.2</v>
      </c>
      <c r="I328" s="1100" t="n">
        <v>4.47</v>
      </c>
      <c r="J328" s="37" t="n">
        <v>132</v>
      </c>
      <c r="K328" s="37" t="inlineStr">
        <is>
          <t>12</t>
        </is>
      </c>
      <c r="L328" s="37" t="inlineStr"/>
      <c r="M328" s="38" t="inlineStr">
        <is>
          <t>СК2</t>
        </is>
      </c>
      <c r="N328" s="38" t="n"/>
      <c r="O328" s="37" t="n">
        <v>35</v>
      </c>
      <c r="P328" s="126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28" s="1102" t="n"/>
      <c r="R328" s="1102" t="n"/>
      <c r="S328" s="1102" t="n"/>
      <c r="T328" s="1103" t="n"/>
      <c r="U328" s="39" t="inlineStr"/>
      <c r="V328" s="39" t="inlineStr"/>
      <c r="W328" s="40" t="inlineStr">
        <is>
          <t>кг</t>
        </is>
      </c>
      <c r="X328" s="1104" t="n">
        <v>0</v>
      </c>
      <c r="Y328" s="1105">
        <f>IFERROR(IF(X328="",0,CEILING((X328/$H328),1)*$H328),"")</f>
        <v/>
      </c>
      <c r="Z328" s="41">
        <f>IFERROR(IF(Y328=0,"",ROUNDUP(Y328/H328,0)*0.00902),"")</f>
        <v/>
      </c>
      <c r="AA328" s="68" t="inlineStr"/>
      <c r="AB328" s="69" t="inlineStr"/>
      <c r="AC328" s="388" t="inlineStr">
        <is>
          <t>ЕАЭС N RU Д-RU.РА01.В.54347/25</t>
        </is>
      </c>
      <c r="AG328" s="78" t="n"/>
      <c r="AJ328" s="84" t="inlineStr"/>
      <c r="AK328" s="84" t="n">
        <v>0</v>
      </c>
      <c r="BB328" s="389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 ht="27" customHeight="1">
      <c r="A329" s="63" t="inlineStr">
        <is>
          <t>SU001822</t>
        </is>
      </c>
      <c r="B329" s="63" t="inlineStr">
        <is>
          <t>P003013</t>
        </is>
      </c>
      <c r="C329" s="36" t="n">
        <v>4301031153</v>
      </c>
      <c r="D329" s="745" t="n">
        <v>4607091387230</v>
      </c>
      <c r="E329" s="1062" t="n"/>
      <c r="F329" s="1100" t="n">
        <v>0.7</v>
      </c>
      <c r="G329" s="37" t="n">
        <v>6</v>
      </c>
      <c r="H329" s="1100" t="n">
        <v>4.2</v>
      </c>
      <c r="I329" s="1100" t="n">
        <v>4.47</v>
      </c>
      <c r="J329" s="37" t="n">
        <v>132</v>
      </c>
      <c r="K329" s="37" t="inlineStr">
        <is>
          <t>12</t>
        </is>
      </c>
      <c r="L329" s="37" t="inlineStr"/>
      <c r="M329" s="38" t="inlineStr">
        <is>
          <t>СК2</t>
        </is>
      </c>
      <c r="N329" s="38" t="n"/>
      <c r="O329" s="37" t="n">
        <v>40</v>
      </c>
      <c r="P329" s="126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29" s="1102" t="n"/>
      <c r="R329" s="1102" t="n"/>
      <c r="S329" s="1102" t="n"/>
      <c r="T329" s="1103" t="n"/>
      <c r="U329" s="39" t="inlineStr"/>
      <c r="V329" s="39" t="inlineStr"/>
      <c r="W329" s="40" t="inlineStr">
        <is>
          <t>кг</t>
        </is>
      </c>
      <c r="X329" s="1104" t="n">
        <v>0</v>
      </c>
      <c r="Y329" s="1105">
        <f>IFERROR(IF(X329="",0,CEILING((X329/$H329),1)*$H329),"")</f>
        <v/>
      </c>
      <c r="Z329" s="41">
        <f>IFERROR(IF(Y329=0,"",ROUNDUP(Y329/H329,0)*0.00902),"")</f>
        <v/>
      </c>
      <c r="AA329" s="68" t="inlineStr"/>
      <c r="AB329" s="69" t="inlineStr"/>
      <c r="AC329" s="390" t="inlineStr">
        <is>
          <t>ЕАЭС N RU Д-RU.РА01.В.53737/25</t>
        </is>
      </c>
      <c r="AG329" s="78" t="n"/>
      <c r="AJ329" s="84" t="inlineStr"/>
      <c r="AK329" s="84" t="n">
        <v>0</v>
      </c>
      <c r="BB329" s="391" t="inlineStr">
        <is>
          <t>КИ</t>
        </is>
      </c>
      <c r="BM329" s="78">
        <f>IFERROR(X329*I329/H329,"0")</f>
        <v/>
      </c>
      <c r="BN329" s="78">
        <f>IFERROR(Y329*I329/H329,"0")</f>
        <v/>
      </c>
      <c r="BO329" s="78">
        <f>IFERROR(1/J329*(X329/H329),"0")</f>
        <v/>
      </c>
      <c r="BP329" s="78">
        <f>IFERROR(1/J329*(Y329/H329),"0")</f>
        <v/>
      </c>
    </row>
    <row r="330" ht="27" customHeight="1">
      <c r="A330" s="63" t="inlineStr">
        <is>
          <t>SU001801</t>
        </is>
      </c>
      <c r="B330" s="63" t="inlineStr">
        <is>
          <t>P003014</t>
        </is>
      </c>
      <c r="C330" s="36" t="n">
        <v>4301031154</v>
      </c>
      <c r="D330" s="745" t="n">
        <v>4607091387292</v>
      </c>
      <c r="E330" s="1062" t="n"/>
      <c r="F330" s="1100" t="n">
        <v>0.73</v>
      </c>
      <c r="G330" s="37" t="n">
        <v>6</v>
      </c>
      <c r="H330" s="1100" t="n">
        <v>4.38</v>
      </c>
      <c r="I330" s="1100" t="n">
        <v>4.65</v>
      </c>
      <c r="J330" s="37" t="n">
        <v>132</v>
      </c>
      <c r="K330" s="37" t="inlineStr">
        <is>
          <t>12</t>
        </is>
      </c>
      <c r="L330" s="37" t="inlineStr"/>
      <c r="M330" s="38" t="inlineStr">
        <is>
          <t>СК2</t>
        </is>
      </c>
      <c r="N330" s="38" t="n"/>
      <c r="O330" s="37" t="n">
        <v>45</v>
      </c>
      <c r="P330" s="126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30" s="1102" t="n"/>
      <c r="R330" s="1102" t="n"/>
      <c r="S330" s="1102" t="n"/>
      <c r="T330" s="1103" t="n"/>
      <c r="U330" s="39" t="inlineStr"/>
      <c r="V330" s="39" t="inlineStr"/>
      <c r="W330" s="40" t="inlineStr">
        <is>
          <t>кг</t>
        </is>
      </c>
      <c r="X330" s="1104" t="n">
        <v>0</v>
      </c>
      <c r="Y330" s="1105">
        <f>IFERROR(IF(X330="",0,CEILING((X330/$H330),1)*$H330),"")</f>
        <v/>
      </c>
      <c r="Z330" s="41">
        <f>IFERROR(IF(Y330=0,"",ROUNDUP(Y330/H330,0)*0.00902),"")</f>
        <v/>
      </c>
      <c r="AA330" s="68" t="inlineStr"/>
      <c r="AB330" s="69" t="inlineStr"/>
      <c r="AC330" s="392" t="inlineStr">
        <is>
          <t>ЕАЭС N RU Д-RU.РА01.В.53862/25</t>
        </is>
      </c>
      <c r="AG330" s="78" t="n"/>
      <c r="AJ330" s="84" t="inlineStr"/>
      <c r="AK330" s="84" t="n">
        <v>0</v>
      </c>
      <c r="BB330" s="393" t="inlineStr">
        <is>
          <t>КИ</t>
        </is>
      </c>
      <c r="BM330" s="78">
        <f>IFERROR(X330*I330/H330,"0")</f>
        <v/>
      </c>
      <c r="BN330" s="78">
        <f>IFERROR(Y330*I330/H330,"0")</f>
        <v/>
      </c>
      <c r="BO330" s="78">
        <f>IFERROR(1/J330*(X330/H330),"0")</f>
        <v/>
      </c>
      <c r="BP330" s="78">
        <f>IFERROR(1/J330*(Y330/H330),"0")</f>
        <v/>
      </c>
    </row>
    <row r="331" ht="27" customHeight="1">
      <c r="A331" s="63" t="inlineStr">
        <is>
          <t>SU002579</t>
        </is>
      </c>
      <c r="B331" s="63" t="inlineStr">
        <is>
          <t>P003012</t>
        </is>
      </c>
      <c r="C331" s="36" t="n">
        <v>4301031152</v>
      </c>
      <c r="D331" s="745" t="n">
        <v>4607091387285</v>
      </c>
      <c r="E331" s="1062" t="n"/>
      <c r="F331" s="1100" t="n">
        <v>0.35</v>
      </c>
      <c r="G331" s="37" t="n">
        <v>6</v>
      </c>
      <c r="H331" s="1100" t="n">
        <v>2.1</v>
      </c>
      <c r="I331" s="1100" t="n">
        <v>2.23</v>
      </c>
      <c r="J331" s="37" t="n">
        <v>234</v>
      </c>
      <c r="K331" s="37" t="inlineStr">
        <is>
          <t>18</t>
        </is>
      </c>
      <c r="L331" s="37" t="inlineStr"/>
      <c r="M331" s="38" t="inlineStr">
        <is>
          <t>СК2</t>
        </is>
      </c>
      <c r="N331" s="38" t="n"/>
      <c r="O331" s="37" t="n">
        <v>40</v>
      </c>
      <c r="P331" s="126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31" s="1102" t="n"/>
      <c r="R331" s="1102" t="n"/>
      <c r="S331" s="1102" t="n"/>
      <c r="T331" s="1103" t="n"/>
      <c r="U331" s="39" t="inlineStr"/>
      <c r="V331" s="39" t="inlineStr"/>
      <c r="W331" s="40" t="inlineStr">
        <is>
          <t>кг</t>
        </is>
      </c>
      <c r="X331" s="1104" t="n">
        <v>0</v>
      </c>
      <c r="Y331" s="1105">
        <f>IFERROR(IF(X331="",0,CEILING((X331/$H331),1)*$H331),"")</f>
        <v/>
      </c>
      <c r="Z331" s="41">
        <f>IFERROR(IF(Y331=0,"",ROUNDUP(Y331/H331,0)*0.00502),"")</f>
        <v/>
      </c>
      <c r="AA331" s="68" t="inlineStr"/>
      <c r="AB331" s="69" t="inlineStr"/>
      <c r="AC331" s="394" t="inlineStr">
        <is>
          <t>ЕАЭС N RU Д-RU.РА01.В.53737/25</t>
        </is>
      </c>
      <c r="AG331" s="78" t="n"/>
      <c r="AJ331" s="84" t="inlineStr"/>
      <c r="AK331" s="84" t="n">
        <v>0</v>
      </c>
      <c r="BB331" s="395" t="inlineStr">
        <is>
          <t>КИ</t>
        </is>
      </c>
      <c r="BM331" s="78">
        <f>IFERROR(X331*I331/H331,"0")</f>
        <v/>
      </c>
      <c r="BN331" s="78">
        <f>IFERROR(Y331*I331/H331,"0")</f>
        <v/>
      </c>
      <c r="BO331" s="78">
        <f>IFERROR(1/J331*(X331/H331),"0")</f>
        <v/>
      </c>
      <c r="BP331" s="78">
        <f>IFERROR(1/J331*(Y331/H331),"0")</f>
        <v/>
      </c>
    </row>
    <row r="332">
      <c r="A332" s="758" t="n"/>
      <c r="B332" s="1051" t="n"/>
      <c r="C332" s="1051" t="n"/>
      <c r="D332" s="1051" t="n"/>
      <c r="E332" s="1051" t="n"/>
      <c r="F332" s="1051" t="n"/>
      <c r="G332" s="1051" t="n"/>
      <c r="H332" s="1051" t="n"/>
      <c r="I332" s="1051" t="n"/>
      <c r="J332" s="1051" t="n"/>
      <c r="K332" s="1051" t="n"/>
      <c r="L332" s="1051" t="n"/>
      <c r="M332" s="1051" t="n"/>
      <c r="N332" s="1051" t="n"/>
      <c r="O332" s="1111" t="n"/>
      <c r="P332" s="1112" t="inlineStr">
        <is>
          <t>Итого</t>
        </is>
      </c>
      <c r="Q332" s="1069" t="n"/>
      <c r="R332" s="1069" t="n"/>
      <c r="S332" s="1069" t="n"/>
      <c r="T332" s="1069" t="n"/>
      <c r="U332" s="1069" t="n"/>
      <c r="V332" s="1070" t="n"/>
      <c r="W332" s="42" t="inlineStr">
        <is>
          <t>кор</t>
        </is>
      </c>
      <c r="X332" s="1113">
        <f>IFERROR(X328/H328,"0")+IFERROR(X329/H329,"0")+IFERROR(X330/H330,"0")+IFERROR(X331/H331,"0")</f>
        <v/>
      </c>
      <c r="Y332" s="1113">
        <f>IFERROR(Y328/H328,"0")+IFERROR(Y329/H329,"0")+IFERROR(Y330/H330,"0")+IFERROR(Y331/H331,"0")</f>
        <v/>
      </c>
      <c r="Z332" s="1113">
        <f>IFERROR(IF(Z328="",0,Z328),"0")+IFERROR(IF(Z329="",0,Z329),"0")+IFERROR(IF(Z330="",0,Z330),"0")+IFERROR(IF(Z331="",0,Z331),"0")</f>
        <v/>
      </c>
      <c r="AA332" s="1114" t="n"/>
      <c r="AB332" s="1114" t="n"/>
      <c r="AC332" s="1114" t="n"/>
    </row>
    <row r="333">
      <c r="A333" s="1051" t="n"/>
      <c r="B333" s="1051" t="n"/>
      <c r="C333" s="1051" t="n"/>
      <c r="D333" s="1051" t="n"/>
      <c r="E333" s="1051" t="n"/>
      <c r="F333" s="1051" t="n"/>
      <c r="G333" s="1051" t="n"/>
      <c r="H333" s="1051" t="n"/>
      <c r="I333" s="1051" t="n"/>
      <c r="J333" s="1051" t="n"/>
      <c r="K333" s="1051" t="n"/>
      <c r="L333" s="1051" t="n"/>
      <c r="M333" s="1051" t="n"/>
      <c r="N333" s="1051" t="n"/>
      <c r="O333" s="1111" t="n"/>
      <c r="P333" s="1112" t="inlineStr">
        <is>
          <t>Итого</t>
        </is>
      </c>
      <c r="Q333" s="1069" t="n"/>
      <c r="R333" s="1069" t="n"/>
      <c r="S333" s="1069" t="n"/>
      <c r="T333" s="1069" t="n"/>
      <c r="U333" s="1069" t="n"/>
      <c r="V333" s="1070" t="n"/>
      <c r="W333" s="42" t="inlineStr">
        <is>
          <t>кг</t>
        </is>
      </c>
      <c r="X333" s="1113">
        <f>IFERROR(SUM(X328:X331),"0")</f>
        <v/>
      </c>
      <c r="Y333" s="1113">
        <f>IFERROR(SUM(Y328:Y331),"0")</f>
        <v/>
      </c>
      <c r="Z333" s="42" t="n"/>
      <c r="AA333" s="1114" t="n"/>
      <c r="AB333" s="1114" t="n"/>
      <c r="AC333" s="1114" t="n"/>
    </row>
    <row r="334" ht="14.25" customHeight="1">
      <c r="A334" s="744" t="inlineStr">
        <is>
          <t>Сосиски</t>
        </is>
      </c>
      <c r="B334" s="1051" t="n"/>
      <c r="C334" s="1051" t="n"/>
      <c r="D334" s="1051" t="n"/>
      <c r="E334" s="1051" t="n"/>
      <c r="F334" s="1051" t="n"/>
      <c r="G334" s="1051" t="n"/>
      <c r="H334" s="1051" t="n"/>
      <c r="I334" s="1051" t="n"/>
      <c r="J334" s="1051" t="n"/>
      <c r="K334" s="1051" t="n"/>
      <c r="L334" s="1051" t="n"/>
      <c r="M334" s="1051" t="n"/>
      <c r="N334" s="1051" t="n"/>
      <c r="O334" s="1051" t="n"/>
      <c r="P334" s="1051" t="n"/>
      <c r="Q334" s="1051" t="n"/>
      <c r="R334" s="1051" t="n"/>
      <c r="S334" s="1051" t="n"/>
      <c r="T334" s="1051" t="n"/>
      <c r="U334" s="1051" t="n"/>
      <c r="V334" s="1051" t="n"/>
      <c r="W334" s="1051" t="n"/>
      <c r="X334" s="1051" t="n"/>
      <c r="Y334" s="1051" t="n"/>
      <c r="Z334" s="1051" t="n"/>
      <c r="AA334" s="744" t="n"/>
      <c r="AB334" s="744" t="n"/>
      <c r="AC334" s="744" t="n"/>
    </row>
    <row r="335" ht="27" customHeight="1">
      <c r="A335" s="63" t="inlineStr">
        <is>
          <t>SU001340</t>
        </is>
      </c>
      <c r="B335" s="63" t="inlineStr">
        <is>
          <t>P002209</t>
        </is>
      </c>
      <c r="C335" s="36" t="n">
        <v>4301051100</v>
      </c>
      <c r="D335" s="745" t="n">
        <v>4607091387766</v>
      </c>
      <c r="E335" s="1062" t="n"/>
      <c r="F335" s="1100" t="n">
        <v>1.3</v>
      </c>
      <c r="G335" s="37" t="n">
        <v>6</v>
      </c>
      <c r="H335" s="1100" t="n">
        <v>7.8</v>
      </c>
      <c r="I335" s="1100" t="n">
        <v>8.313000000000001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СК3</t>
        </is>
      </c>
      <c r="N335" s="38" t="n"/>
      <c r="O335" s="37" t="n">
        <v>40</v>
      </c>
      <c r="P335" s="1264">
        <f>HYPERLINK("https://abi.ru/products/Охлажденные/Стародворье/Бордо/Сосиски/P002209/","Сосиски Ганноверские Бордо Весовые П/а мгс Баварушка")</f>
        <v/>
      </c>
      <c r="Q335" s="1102" t="n"/>
      <c r="R335" s="1102" t="n"/>
      <c r="S335" s="1102" t="n"/>
      <c r="T335" s="1103" t="n"/>
      <c r="U335" s="39" t="inlineStr"/>
      <c r="V335" s="39" t="inlineStr"/>
      <c r="W335" s="40" t="inlineStr">
        <is>
          <t>кг</t>
        </is>
      </c>
      <c r="X335" s="1104" t="n">
        <v>0</v>
      </c>
      <c r="Y335" s="1105">
        <f>IFERROR(IF(X335="",0,CEILING((X335/$H335),1)*$H335),"")</f>
        <v/>
      </c>
      <c r="Z335" s="41">
        <f>IFERROR(IF(Y335=0,"",ROUNDUP(Y335/H335,0)*0.01898),"")</f>
        <v/>
      </c>
      <c r="AA335" s="68" t="inlineStr"/>
      <c r="AB335" s="69" t="inlineStr"/>
      <c r="AC335" s="396" t="inlineStr">
        <is>
          <t>ЕАЭС N RU Д-RU.РА04.В.49333/24, ЕАЭС № RU Д-RU.АБ75.В.00705/19</t>
        </is>
      </c>
      <c r="AG335" s="78" t="n"/>
      <c r="AJ335" s="84" t="inlineStr"/>
      <c r="AK335" s="84" t="n">
        <v>0</v>
      </c>
      <c r="BB335" s="397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SU001727</t>
        </is>
      </c>
      <c r="B336" s="63" t="inlineStr">
        <is>
          <t>P002205</t>
        </is>
      </c>
      <c r="C336" s="36" t="n">
        <v>4301051818</v>
      </c>
      <c r="D336" s="745" t="n">
        <v>4607091387957</v>
      </c>
      <c r="E336" s="1062" t="n"/>
      <c r="F336" s="1100" t="n">
        <v>1.3</v>
      </c>
      <c r="G336" s="37" t="n">
        <v>6</v>
      </c>
      <c r="H336" s="1100" t="n">
        <v>7.8</v>
      </c>
      <c r="I336" s="1100" t="n">
        <v>8.319000000000001</v>
      </c>
      <c r="J336" s="37" t="n">
        <v>64</v>
      </c>
      <c r="K336" s="37" t="inlineStr">
        <is>
          <t>8</t>
        </is>
      </c>
      <c r="L336" s="37" t="inlineStr"/>
      <c r="M336" s="38" t="inlineStr">
        <is>
          <t>СК3</t>
        </is>
      </c>
      <c r="N336" s="38" t="n"/>
      <c r="O336" s="37" t="n">
        <v>40</v>
      </c>
      <c r="P336" s="1265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36" s="1102" t="n"/>
      <c r="R336" s="1102" t="n"/>
      <c r="S336" s="1102" t="n"/>
      <c r="T336" s="1103" t="n"/>
      <c r="U336" s="39" t="inlineStr"/>
      <c r="V336" s="39" t="inlineStr"/>
      <c r="W336" s="40" t="inlineStr">
        <is>
          <t>кг</t>
        </is>
      </c>
      <c r="X336" s="1104" t="n">
        <v>0</v>
      </c>
      <c r="Y336" s="1105">
        <f>IFERROR(IF(X336="",0,CEILING((X336/$H336),1)*$H336),"")</f>
        <v/>
      </c>
      <c r="Z336" s="41">
        <f>IFERROR(IF(Y336=0,"",ROUNDUP(Y336/H336,0)*0.01898),"")</f>
        <v/>
      </c>
      <c r="AA336" s="68" t="inlineStr"/>
      <c r="AB336" s="69" t="inlineStr"/>
      <c r="AC336" s="398" t="inlineStr">
        <is>
          <t>ЕАЭС N RU Д-RU.РА01.В.53892/25, ЕАЭС N RU Д-RU.РА10.В.03664/24</t>
        </is>
      </c>
      <c r="AG336" s="78" t="n"/>
      <c r="AJ336" s="84" t="inlineStr"/>
      <c r="AK336" s="84" t="n">
        <v>0</v>
      </c>
      <c r="BB336" s="399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 ht="27" customHeight="1">
      <c r="A337" s="63" t="inlineStr">
        <is>
          <t>SU001728</t>
        </is>
      </c>
      <c r="B337" s="63" t="inlineStr">
        <is>
          <t>P002207</t>
        </is>
      </c>
      <c r="C337" s="36" t="n">
        <v>4301051819</v>
      </c>
      <c r="D337" s="745" t="n">
        <v>4607091387964</v>
      </c>
      <c r="E337" s="1062" t="n"/>
      <c r="F337" s="1100" t="n">
        <v>1.35</v>
      </c>
      <c r="G337" s="37" t="n">
        <v>6</v>
      </c>
      <c r="H337" s="1100" t="n">
        <v>8.1</v>
      </c>
      <c r="I337" s="1100" t="n">
        <v>8.601000000000001</v>
      </c>
      <c r="J337" s="37" t="n">
        <v>64</v>
      </c>
      <c r="K337" s="37" t="inlineStr">
        <is>
          <t>8</t>
        </is>
      </c>
      <c r="L337" s="37" t="inlineStr"/>
      <c r="M337" s="38" t="inlineStr">
        <is>
          <t>СК3</t>
        </is>
      </c>
      <c r="N337" s="38" t="n"/>
      <c r="O337" s="37" t="n">
        <v>40</v>
      </c>
      <c r="P337" s="1266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37" s="1102" t="n"/>
      <c r="R337" s="1102" t="n"/>
      <c r="S337" s="1102" t="n"/>
      <c r="T337" s="1103" t="n"/>
      <c r="U337" s="39" t="inlineStr"/>
      <c r="V337" s="39" t="inlineStr"/>
      <c r="W337" s="40" t="inlineStr">
        <is>
          <t>кг</t>
        </is>
      </c>
      <c r="X337" s="1104" t="n">
        <v>0</v>
      </c>
      <c r="Y337" s="1105">
        <f>IFERROR(IF(X337="",0,CEILING((X337/$H337),1)*$H337),"")</f>
        <v/>
      </c>
      <c r="Z337" s="41">
        <f>IFERROR(IF(Y337=0,"",ROUNDUP(Y337/H337,0)*0.01898),"")</f>
        <v/>
      </c>
      <c r="AA337" s="68" t="inlineStr"/>
      <c r="AB337" s="69" t="inlineStr"/>
      <c r="AC337" s="400" t="inlineStr">
        <is>
          <t>ЕАЭС N RU Д-RU.РА01.В.54739/25, ЕАЭС N RU Д-RU.РА10.В.11265/24</t>
        </is>
      </c>
      <c r="AG337" s="78" t="n"/>
      <c r="AJ337" s="84" t="inlineStr"/>
      <c r="AK337" s="84" t="n">
        <v>0</v>
      </c>
      <c r="BB337" s="401" t="inlineStr">
        <is>
          <t>КИ</t>
        </is>
      </c>
      <c r="BM337" s="78">
        <f>IFERROR(X337*I337/H337,"0")</f>
        <v/>
      </c>
      <c r="BN337" s="78">
        <f>IFERROR(Y337*I337/H337,"0")</f>
        <v/>
      </c>
      <c r="BO337" s="78">
        <f>IFERROR(1/J337*(X337/H337),"0")</f>
        <v/>
      </c>
      <c r="BP337" s="78">
        <f>IFERROR(1/J337*(Y337/H337),"0")</f>
        <v/>
      </c>
    </row>
    <row r="338" ht="27" customHeight="1">
      <c r="A338" s="63" t="inlineStr">
        <is>
          <t>SU003333</t>
        </is>
      </c>
      <c r="B338" s="63" t="inlineStr">
        <is>
          <t>P004082</t>
        </is>
      </c>
      <c r="C338" s="36" t="n">
        <v>4301051734</v>
      </c>
      <c r="D338" s="745" t="n">
        <v>4680115884588</v>
      </c>
      <c r="E338" s="1062" t="n"/>
      <c r="F338" s="1100" t="n">
        <v>0.5</v>
      </c>
      <c r="G338" s="37" t="n">
        <v>6</v>
      </c>
      <c r="H338" s="1100" t="n">
        <v>3</v>
      </c>
      <c r="I338" s="1100" t="n">
        <v>3.246</v>
      </c>
      <c r="J338" s="37" t="n">
        <v>182</v>
      </c>
      <c r="K338" s="37" t="inlineStr">
        <is>
          <t>14</t>
        </is>
      </c>
      <c r="L338" s="37" t="inlineStr"/>
      <c r="M338" s="38" t="inlineStr">
        <is>
          <t>СК3</t>
        </is>
      </c>
      <c r="N338" s="38" t="n"/>
      <c r="O338" s="37" t="n">
        <v>40</v>
      </c>
      <c r="P338" s="1267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38" s="1102" t="n"/>
      <c r="R338" s="1102" t="n"/>
      <c r="S338" s="1102" t="n"/>
      <c r="T338" s="1103" t="n"/>
      <c r="U338" s="39" t="inlineStr"/>
      <c r="V338" s="39" t="inlineStr"/>
      <c r="W338" s="40" t="inlineStr">
        <is>
          <t>кг</t>
        </is>
      </c>
      <c r="X338" s="1104" t="n">
        <v>0</v>
      </c>
      <c r="Y338" s="1105">
        <f>IFERROR(IF(X338="",0,CEILING((X338/$H338),1)*$H338),"")</f>
        <v/>
      </c>
      <c r="Z338" s="41">
        <f>IFERROR(IF(Y338=0,"",ROUNDUP(Y338/H338,0)*0.00651),"")</f>
        <v/>
      </c>
      <c r="AA338" s="68" t="inlineStr"/>
      <c r="AB338" s="69" t="inlineStr"/>
      <c r="AC338" s="402" t="inlineStr">
        <is>
          <t>ЕАЭС N RU Д-RU.РА02.В.37037/25, ЕАЭС N RU Д-RU.РА04.В.49333/24</t>
        </is>
      </c>
      <c r="AG338" s="78" t="n"/>
      <c r="AJ338" s="84" t="inlineStr"/>
      <c r="AK338" s="84" t="n">
        <v>0</v>
      </c>
      <c r="BB338" s="403" t="inlineStr">
        <is>
          <t>КИ</t>
        </is>
      </c>
      <c r="BM338" s="78">
        <f>IFERROR(X338*I338/H338,"0")</f>
        <v/>
      </c>
      <c r="BN338" s="78">
        <f>IFERROR(Y338*I338/H338,"0")</f>
        <v/>
      </c>
      <c r="BO338" s="78">
        <f>IFERROR(1/J338*(X338/H338),"0")</f>
        <v/>
      </c>
      <c r="BP338" s="78">
        <f>IFERROR(1/J338*(Y338/H338),"0")</f>
        <v/>
      </c>
    </row>
    <row r="339" ht="27" customHeight="1">
      <c r="A339" s="63" t="inlineStr">
        <is>
          <t>SU001762</t>
        </is>
      </c>
      <c r="B339" s="63" t="inlineStr">
        <is>
          <t>P002208</t>
        </is>
      </c>
      <c r="C339" s="36" t="n">
        <v>4301051578</v>
      </c>
      <c r="D339" s="745" t="n">
        <v>4607091387513</v>
      </c>
      <c r="E339" s="1062" t="n"/>
      <c r="F339" s="1100" t="n">
        <v>0.45</v>
      </c>
      <c r="G339" s="37" t="n">
        <v>6</v>
      </c>
      <c r="H339" s="1100" t="n">
        <v>2.7</v>
      </c>
      <c r="I339" s="1100" t="n">
        <v>2.958</v>
      </c>
      <c r="J339" s="37" t="n">
        <v>182</v>
      </c>
      <c r="K339" s="37" t="inlineStr">
        <is>
          <t>14</t>
        </is>
      </c>
      <c r="L339" s="37" t="inlineStr"/>
      <c r="M339" s="38" t="inlineStr">
        <is>
          <t>СК4</t>
        </is>
      </c>
      <c r="N339" s="38" t="n"/>
      <c r="O339" s="37" t="n">
        <v>40</v>
      </c>
      <c r="P339" s="1268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/>
      </c>
      <c r="Q339" s="1102" t="n"/>
      <c r="R339" s="1102" t="n"/>
      <c r="S339" s="1102" t="n"/>
      <c r="T339" s="1103" t="n"/>
      <c r="U339" s="39" t="inlineStr"/>
      <c r="V339" s="39" t="inlineStr"/>
      <c r="W339" s="40" t="inlineStr">
        <is>
          <t>кг</t>
        </is>
      </c>
      <c r="X339" s="1104" t="n">
        <v>0</v>
      </c>
      <c r="Y339" s="1105">
        <f>IFERROR(IF(X339="",0,CEILING((X339/$H339),1)*$H339),"")</f>
        <v/>
      </c>
      <c r="Z339" s="41">
        <f>IFERROR(IF(Y339=0,"",ROUNDUP(Y339/H339,0)*0.00651),"")</f>
        <v/>
      </c>
      <c r="AA339" s="68" t="inlineStr"/>
      <c r="AB339" s="69" t="inlineStr"/>
      <c r="AC339" s="404" t="inlineStr">
        <is>
          <t>ЕАЭС N RU Д-RU.РА10.В.11265/24, ЕАЭС № RU Д-RU.АБ75.В.00704/19</t>
        </is>
      </c>
      <c r="AG339" s="78" t="n"/>
      <c r="AJ339" s="84" t="inlineStr"/>
      <c r="AK339" s="84" t="n">
        <v>0</v>
      </c>
      <c r="BB339" s="405" t="inlineStr">
        <is>
          <t>КИ</t>
        </is>
      </c>
      <c r="BM339" s="78">
        <f>IFERROR(X339*I339/H339,"0")</f>
        <v/>
      </c>
      <c r="BN339" s="78">
        <f>IFERROR(Y339*I339/H339,"0")</f>
        <v/>
      </c>
      <c r="BO339" s="78">
        <f>IFERROR(1/J339*(X339/H339),"0")</f>
        <v/>
      </c>
      <c r="BP339" s="78">
        <f>IFERROR(1/J339*(Y339/H339),"0")</f>
        <v/>
      </c>
    </row>
    <row r="340">
      <c r="A340" s="758" t="n"/>
      <c r="B340" s="1051" t="n"/>
      <c r="C340" s="1051" t="n"/>
      <c r="D340" s="1051" t="n"/>
      <c r="E340" s="1051" t="n"/>
      <c r="F340" s="1051" t="n"/>
      <c r="G340" s="1051" t="n"/>
      <c r="H340" s="1051" t="n"/>
      <c r="I340" s="1051" t="n"/>
      <c r="J340" s="1051" t="n"/>
      <c r="K340" s="1051" t="n"/>
      <c r="L340" s="1051" t="n"/>
      <c r="M340" s="1051" t="n"/>
      <c r="N340" s="1051" t="n"/>
      <c r="O340" s="1111" t="n"/>
      <c r="P340" s="1112" t="inlineStr">
        <is>
          <t>Итого</t>
        </is>
      </c>
      <c r="Q340" s="1069" t="n"/>
      <c r="R340" s="1069" t="n"/>
      <c r="S340" s="1069" t="n"/>
      <c r="T340" s="1069" t="n"/>
      <c r="U340" s="1069" t="n"/>
      <c r="V340" s="1070" t="n"/>
      <c r="W340" s="42" t="inlineStr">
        <is>
          <t>кор</t>
        </is>
      </c>
      <c r="X340" s="1113">
        <f>IFERROR(X335/H335,"0")+IFERROR(X336/H336,"0")+IFERROR(X337/H337,"0")+IFERROR(X338/H338,"0")+IFERROR(X339/H339,"0")</f>
        <v/>
      </c>
      <c r="Y340" s="1113">
        <f>IFERROR(Y335/H335,"0")+IFERROR(Y336/H336,"0")+IFERROR(Y337/H337,"0")+IFERROR(Y338/H338,"0")+IFERROR(Y339/H339,"0")</f>
        <v/>
      </c>
      <c r="Z340" s="1113">
        <f>IFERROR(IF(Z335="",0,Z335),"0")+IFERROR(IF(Z336="",0,Z336),"0")+IFERROR(IF(Z337="",0,Z337),"0")+IFERROR(IF(Z338="",0,Z338),"0")+IFERROR(IF(Z339="",0,Z339),"0")</f>
        <v/>
      </c>
      <c r="AA340" s="1114" t="n"/>
      <c r="AB340" s="1114" t="n"/>
      <c r="AC340" s="1114" t="n"/>
    </row>
    <row r="341">
      <c r="A341" s="1051" t="n"/>
      <c r="B341" s="1051" t="n"/>
      <c r="C341" s="1051" t="n"/>
      <c r="D341" s="1051" t="n"/>
      <c r="E341" s="1051" t="n"/>
      <c r="F341" s="1051" t="n"/>
      <c r="G341" s="1051" t="n"/>
      <c r="H341" s="1051" t="n"/>
      <c r="I341" s="1051" t="n"/>
      <c r="J341" s="1051" t="n"/>
      <c r="K341" s="1051" t="n"/>
      <c r="L341" s="1051" t="n"/>
      <c r="M341" s="1051" t="n"/>
      <c r="N341" s="1051" t="n"/>
      <c r="O341" s="1111" t="n"/>
      <c r="P341" s="1112" t="inlineStr">
        <is>
          <t>Итого</t>
        </is>
      </c>
      <c r="Q341" s="1069" t="n"/>
      <c r="R341" s="1069" t="n"/>
      <c r="S341" s="1069" t="n"/>
      <c r="T341" s="1069" t="n"/>
      <c r="U341" s="1069" t="n"/>
      <c r="V341" s="1070" t="n"/>
      <c r="W341" s="42" t="inlineStr">
        <is>
          <t>кг</t>
        </is>
      </c>
      <c r="X341" s="1113">
        <f>IFERROR(SUM(X335:X339),"0")</f>
        <v/>
      </c>
      <c r="Y341" s="1113">
        <f>IFERROR(SUM(Y335:Y339),"0")</f>
        <v/>
      </c>
      <c r="Z341" s="42" t="n"/>
      <c r="AA341" s="1114" t="n"/>
      <c r="AB341" s="1114" t="n"/>
      <c r="AC341" s="1114" t="n"/>
    </row>
    <row r="342" ht="14.25" customHeight="1">
      <c r="A342" s="744" t="inlineStr">
        <is>
          <t>Сардельки</t>
        </is>
      </c>
      <c r="B342" s="1051" t="n"/>
      <c r="C342" s="1051" t="n"/>
      <c r="D342" s="1051" t="n"/>
      <c r="E342" s="1051" t="n"/>
      <c r="F342" s="1051" t="n"/>
      <c r="G342" s="1051" t="n"/>
      <c r="H342" s="1051" t="n"/>
      <c r="I342" s="1051" t="n"/>
      <c r="J342" s="1051" t="n"/>
      <c r="K342" s="1051" t="n"/>
      <c r="L342" s="1051" t="n"/>
      <c r="M342" s="1051" t="n"/>
      <c r="N342" s="1051" t="n"/>
      <c r="O342" s="1051" t="n"/>
      <c r="P342" s="1051" t="n"/>
      <c r="Q342" s="1051" t="n"/>
      <c r="R342" s="1051" t="n"/>
      <c r="S342" s="1051" t="n"/>
      <c r="T342" s="1051" t="n"/>
      <c r="U342" s="1051" t="n"/>
      <c r="V342" s="1051" t="n"/>
      <c r="W342" s="1051" t="n"/>
      <c r="X342" s="1051" t="n"/>
      <c r="Y342" s="1051" t="n"/>
      <c r="Z342" s="1051" t="n"/>
      <c r="AA342" s="744" t="n"/>
      <c r="AB342" s="744" t="n"/>
      <c r="AC342" s="744" t="n"/>
    </row>
    <row r="343" ht="27" customHeight="1">
      <c r="A343" s="63" t="inlineStr">
        <is>
          <t>SU001051</t>
        </is>
      </c>
      <c r="B343" s="63" t="inlineStr">
        <is>
          <t>P003997</t>
        </is>
      </c>
      <c r="C343" s="36" t="n">
        <v>4301060387</v>
      </c>
      <c r="D343" s="745" t="n">
        <v>4607091380880</v>
      </c>
      <c r="E343" s="1062" t="n"/>
      <c r="F343" s="1100" t="n">
        <v>1.4</v>
      </c>
      <c r="G343" s="37" t="n">
        <v>6</v>
      </c>
      <c r="H343" s="1100" t="n">
        <v>8.4</v>
      </c>
      <c r="I343" s="1100" t="n">
        <v>8.919</v>
      </c>
      <c r="J343" s="37" t="n">
        <v>64</v>
      </c>
      <c r="K343" s="37" t="inlineStr">
        <is>
          <t>8</t>
        </is>
      </c>
      <c r="L343" s="37" t="inlineStr"/>
      <c r="M343" s="38" t="inlineStr">
        <is>
          <t>СК3</t>
        </is>
      </c>
      <c r="N343" s="38" t="n"/>
      <c r="O343" s="37" t="n">
        <v>30</v>
      </c>
      <c r="P343" s="1269">
        <f>HYPERLINK("https://abi.ru/products/Охлажденные/Стародворье/Бордо/Сардельки/P003997/","Сардельки «Нежные» Весовые NDX мгс ТМ «Стародворье»")</f>
        <v/>
      </c>
      <c r="Q343" s="1102" t="n"/>
      <c r="R343" s="1102" t="n"/>
      <c r="S343" s="1102" t="n"/>
      <c r="T343" s="1103" t="n"/>
      <c r="U343" s="39" t="inlineStr"/>
      <c r="V343" s="39" t="inlineStr"/>
      <c r="W343" s="40" t="inlineStr">
        <is>
          <t>кг</t>
        </is>
      </c>
      <c r="X343" s="1104" t="n">
        <v>0</v>
      </c>
      <c r="Y343" s="1105">
        <f>IFERROR(IF(X343="",0,CEILING((X343/$H343),1)*$H343),"")</f>
        <v/>
      </c>
      <c r="Z343" s="41">
        <f>IFERROR(IF(Y343=0,"",ROUNDUP(Y343/H343,0)*0.01898),"")</f>
        <v/>
      </c>
      <c r="AA343" s="68" t="inlineStr"/>
      <c r="AB343" s="69" t="inlineStr"/>
      <c r="AC343" s="406" t="inlineStr">
        <is>
          <t>ЕАЭС N RU Д-RU.РА01.В.99293/24, ЕАЭС N RU Д-RU.РА01.В.99458/24</t>
        </is>
      </c>
      <c r="AG343" s="78" t="n"/>
      <c r="AJ343" s="84" t="inlineStr"/>
      <c r="AK343" s="84" t="n">
        <v>0</v>
      </c>
      <c r="BB343" s="407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SU000227</t>
        </is>
      </c>
      <c r="B344" s="63" t="inlineStr">
        <is>
          <t>P002536</t>
        </is>
      </c>
      <c r="C344" s="36" t="n">
        <v>4301060406</v>
      </c>
      <c r="D344" s="745" t="n">
        <v>4607091384482</v>
      </c>
      <c r="E344" s="1062" t="n"/>
      <c r="F344" s="1100" t="n">
        <v>1.3</v>
      </c>
      <c r="G344" s="37" t="n">
        <v>6</v>
      </c>
      <c r="H344" s="1100" t="n">
        <v>7.8</v>
      </c>
      <c r="I344" s="1100" t="n">
        <v>8.319000000000001</v>
      </c>
      <c r="J344" s="37" t="n">
        <v>64</v>
      </c>
      <c r="K344" s="37" t="inlineStr">
        <is>
          <t>8</t>
        </is>
      </c>
      <c r="L344" s="37" t="inlineStr"/>
      <c r="M344" s="38" t="inlineStr">
        <is>
          <t>СК3</t>
        </is>
      </c>
      <c r="N344" s="38" t="n"/>
      <c r="O344" s="37" t="n">
        <v>30</v>
      </c>
      <c r="P344" s="127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44" s="1102" t="n"/>
      <c r="R344" s="1102" t="n"/>
      <c r="S344" s="1102" t="n"/>
      <c r="T344" s="1103" t="n"/>
      <c r="U344" s="39" t="inlineStr"/>
      <c r="V344" s="39" t="inlineStr"/>
      <c r="W344" s="40" t="inlineStr">
        <is>
          <t>кг</t>
        </is>
      </c>
      <c r="X344" s="1104" t="n">
        <v>300</v>
      </c>
      <c r="Y344" s="1105">
        <f>IFERROR(IF(X344="",0,CEILING((X344/$H344),1)*$H344),"")</f>
        <v/>
      </c>
      <c r="Z344" s="41">
        <f>IFERROR(IF(Y344=0,"",ROUNDUP(Y344/H344,0)*0.01898),"")</f>
        <v/>
      </c>
      <c r="AA344" s="68" t="inlineStr"/>
      <c r="AB344" s="69" t="inlineStr"/>
      <c r="AC344" s="408" t="inlineStr">
        <is>
          <t>ЕАЭС N RU Д-RU.РА03.В.18017/24, ЕАЭС N RU Д-RU.РА03.В.24110/24</t>
        </is>
      </c>
      <c r="AG344" s="78" t="n"/>
      <c r="AJ344" s="84" t="inlineStr"/>
      <c r="AK344" s="84" t="n">
        <v>0</v>
      </c>
      <c r="BB344" s="409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 ht="16.5" customHeight="1">
      <c r="A345" s="63" t="inlineStr">
        <is>
          <t>SU001430</t>
        </is>
      </c>
      <c r="B345" s="63" t="inlineStr">
        <is>
          <t>P004913</t>
        </is>
      </c>
      <c r="C345" s="36" t="n">
        <v>4301060484</v>
      </c>
      <c r="D345" s="745" t="n">
        <v>4607091380897</v>
      </c>
      <c r="E345" s="1062" t="n"/>
      <c r="F345" s="1100" t="n">
        <v>1.4</v>
      </c>
      <c r="G345" s="37" t="n">
        <v>6</v>
      </c>
      <c r="H345" s="1100" t="n">
        <v>8.4</v>
      </c>
      <c r="I345" s="1100" t="n">
        <v>8.919</v>
      </c>
      <c r="J345" s="37" t="n">
        <v>64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30</v>
      </c>
      <c r="P345" s="127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45" s="1102" t="n"/>
      <c r="R345" s="1102" t="n"/>
      <c r="S345" s="1102" t="n"/>
      <c r="T345" s="1103" t="n"/>
      <c r="U345" s="39" t="inlineStr"/>
      <c r="V345" s="39" t="inlineStr"/>
      <c r="W345" s="40" t="inlineStr">
        <is>
          <t>кг</t>
        </is>
      </c>
      <c r="X345" s="1104" t="n">
        <v>40</v>
      </c>
      <c r="Y345" s="1105">
        <f>IFERROR(IF(X345="",0,CEILING((X345/$H345),1)*$H345),"")</f>
        <v/>
      </c>
      <c r="Z345" s="41">
        <f>IFERROR(IF(Y345=0,"",ROUNDUP(Y345/H345,0)*0.01898),"")</f>
        <v/>
      </c>
      <c r="AA345" s="68" t="inlineStr"/>
      <c r="AB345" s="69" t="inlineStr"/>
      <c r="AC345" s="410" t="inlineStr">
        <is>
          <t>ЕАЭС N RU Д-RU.РА10.В.28304/24</t>
        </is>
      </c>
      <c r="AG345" s="78" t="n"/>
      <c r="AJ345" s="84" t="inlineStr"/>
      <c r="AK345" s="84" t="n">
        <v>0</v>
      </c>
      <c r="BB345" s="411" t="inlineStr">
        <is>
          <t>КИ</t>
        </is>
      </c>
      <c r="BM345" s="78">
        <f>IFERROR(X345*I345/H345,"0")</f>
        <v/>
      </c>
      <c r="BN345" s="78">
        <f>IFERROR(Y345*I345/H345,"0")</f>
        <v/>
      </c>
      <c r="BO345" s="78">
        <f>IFERROR(1/J345*(X345/H345),"0")</f>
        <v/>
      </c>
      <c r="BP345" s="78">
        <f>IFERROR(1/J345*(Y345/H345),"0")</f>
        <v/>
      </c>
    </row>
    <row r="346">
      <c r="A346" s="758" t="n"/>
      <c r="B346" s="1051" t="n"/>
      <c r="C346" s="1051" t="n"/>
      <c r="D346" s="1051" t="n"/>
      <c r="E346" s="1051" t="n"/>
      <c r="F346" s="1051" t="n"/>
      <c r="G346" s="1051" t="n"/>
      <c r="H346" s="1051" t="n"/>
      <c r="I346" s="1051" t="n"/>
      <c r="J346" s="1051" t="n"/>
      <c r="K346" s="1051" t="n"/>
      <c r="L346" s="1051" t="n"/>
      <c r="M346" s="1051" t="n"/>
      <c r="N346" s="1051" t="n"/>
      <c r="O346" s="1111" t="n"/>
      <c r="P346" s="1112" t="inlineStr">
        <is>
          <t>Итого</t>
        </is>
      </c>
      <c r="Q346" s="1069" t="n"/>
      <c r="R346" s="1069" t="n"/>
      <c r="S346" s="1069" t="n"/>
      <c r="T346" s="1069" t="n"/>
      <c r="U346" s="1069" t="n"/>
      <c r="V346" s="1070" t="n"/>
      <c r="W346" s="42" t="inlineStr">
        <is>
          <t>кор</t>
        </is>
      </c>
      <c r="X346" s="1113">
        <f>IFERROR(X343/H343,"0")+IFERROR(X344/H344,"0")+IFERROR(X345/H345,"0")</f>
        <v/>
      </c>
      <c r="Y346" s="1113">
        <f>IFERROR(Y343/H343,"0")+IFERROR(Y344/H344,"0")+IFERROR(Y345/H345,"0")</f>
        <v/>
      </c>
      <c r="Z346" s="1113">
        <f>IFERROR(IF(Z343="",0,Z343),"0")+IFERROR(IF(Z344="",0,Z344),"0")+IFERROR(IF(Z345="",0,Z345),"0")</f>
        <v/>
      </c>
      <c r="AA346" s="1114" t="n"/>
      <c r="AB346" s="1114" t="n"/>
      <c r="AC346" s="1114" t="n"/>
    </row>
    <row r="347">
      <c r="A347" s="1051" t="n"/>
      <c r="B347" s="1051" t="n"/>
      <c r="C347" s="1051" t="n"/>
      <c r="D347" s="1051" t="n"/>
      <c r="E347" s="1051" t="n"/>
      <c r="F347" s="1051" t="n"/>
      <c r="G347" s="1051" t="n"/>
      <c r="H347" s="1051" t="n"/>
      <c r="I347" s="1051" t="n"/>
      <c r="J347" s="1051" t="n"/>
      <c r="K347" s="1051" t="n"/>
      <c r="L347" s="1051" t="n"/>
      <c r="M347" s="1051" t="n"/>
      <c r="N347" s="1051" t="n"/>
      <c r="O347" s="1111" t="n"/>
      <c r="P347" s="1112" t="inlineStr">
        <is>
          <t>Итого</t>
        </is>
      </c>
      <c r="Q347" s="1069" t="n"/>
      <c r="R347" s="1069" t="n"/>
      <c r="S347" s="1069" t="n"/>
      <c r="T347" s="1069" t="n"/>
      <c r="U347" s="1069" t="n"/>
      <c r="V347" s="1070" t="n"/>
      <c r="W347" s="42" t="inlineStr">
        <is>
          <t>кг</t>
        </is>
      </c>
      <c r="X347" s="1113">
        <f>IFERROR(SUM(X343:X345),"0")</f>
        <v/>
      </c>
      <c r="Y347" s="1113">
        <f>IFERROR(SUM(Y343:Y345),"0")</f>
        <v/>
      </c>
      <c r="Z347" s="42" t="n"/>
      <c r="AA347" s="1114" t="n"/>
      <c r="AB347" s="1114" t="n"/>
      <c r="AC347" s="1114" t="n"/>
    </row>
    <row r="348" ht="14.25" customHeight="1">
      <c r="A348" s="744" t="inlineStr">
        <is>
          <t>Сырокопченые колбасы</t>
        </is>
      </c>
      <c r="B348" s="1051" t="n"/>
      <c r="C348" s="1051" t="n"/>
      <c r="D348" s="1051" t="n"/>
      <c r="E348" s="1051" t="n"/>
      <c r="F348" s="1051" t="n"/>
      <c r="G348" s="1051" t="n"/>
      <c r="H348" s="1051" t="n"/>
      <c r="I348" s="1051" t="n"/>
      <c r="J348" s="1051" t="n"/>
      <c r="K348" s="1051" t="n"/>
      <c r="L348" s="1051" t="n"/>
      <c r="M348" s="1051" t="n"/>
      <c r="N348" s="1051" t="n"/>
      <c r="O348" s="1051" t="n"/>
      <c r="P348" s="1051" t="n"/>
      <c r="Q348" s="1051" t="n"/>
      <c r="R348" s="1051" t="n"/>
      <c r="S348" s="1051" t="n"/>
      <c r="T348" s="1051" t="n"/>
      <c r="U348" s="1051" t="n"/>
      <c r="V348" s="1051" t="n"/>
      <c r="W348" s="1051" t="n"/>
      <c r="X348" s="1051" t="n"/>
      <c r="Y348" s="1051" t="n"/>
      <c r="Z348" s="1051" t="n"/>
      <c r="AA348" s="744" t="n"/>
      <c r="AB348" s="744" t="n"/>
      <c r="AC348" s="744" t="n"/>
    </row>
    <row r="349" ht="27" customHeight="1">
      <c r="A349" s="63" t="inlineStr">
        <is>
          <t>SU003915</t>
        </is>
      </c>
      <c r="B349" s="63" t="inlineStr">
        <is>
          <t>P005000</t>
        </is>
      </c>
      <c r="C349" s="36" t="n">
        <v>4301032055</v>
      </c>
      <c r="D349" s="745" t="n">
        <v>4680115886476</v>
      </c>
      <c r="E349" s="1062" t="n"/>
      <c r="F349" s="1100" t="n">
        <v>0.38</v>
      </c>
      <c r="G349" s="37" t="n">
        <v>8</v>
      </c>
      <c r="H349" s="1100" t="n">
        <v>3.04</v>
      </c>
      <c r="I349" s="1100" t="n">
        <v>3.32</v>
      </c>
      <c r="J349" s="37" t="n">
        <v>156</v>
      </c>
      <c r="K349" s="37" t="inlineStr">
        <is>
          <t>12</t>
        </is>
      </c>
      <c r="L349" s="37" t="inlineStr"/>
      <c r="M349" s="38" t="inlineStr">
        <is>
          <t>АК</t>
        </is>
      </c>
      <c r="N349" s="38" t="n"/>
      <c r="O349" s="37" t="n">
        <v>180</v>
      </c>
      <c r="P349" s="1272" t="inlineStr">
        <is>
          <t>С/к колбасы «Гвардейская» Весовой б/о ТМ «Стародворье»</t>
        </is>
      </c>
      <c r="Q349" s="1102" t="n"/>
      <c r="R349" s="1102" t="n"/>
      <c r="S349" s="1102" t="n"/>
      <c r="T349" s="1103" t="n"/>
      <c r="U349" s="39" t="inlineStr"/>
      <c r="V349" s="39" t="inlineStr"/>
      <c r="W349" s="40" t="inlineStr">
        <is>
          <t>кг</t>
        </is>
      </c>
      <c r="X349" s="1104" t="n">
        <v>0</v>
      </c>
      <c r="Y349" s="1105">
        <f>IFERROR(IF(X349="",0,CEILING((X349/$H349),1)*$H349),"")</f>
        <v/>
      </c>
      <c r="Z349" s="41">
        <f>IFERROR(IF(Y349=0,"",ROUNDUP(Y349/H349,0)*0.00753),"")</f>
        <v/>
      </c>
      <c r="AA349" s="68" t="inlineStr"/>
      <c r="AB349" s="69" t="inlineStr"/>
      <c r="AC349" s="412" t="inlineStr">
        <is>
          <t>ЕАЭС N RU Д-RU.РА01.В.12307/25</t>
        </is>
      </c>
      <c r="AG349" s="78" t="n"/>
      <c r="AJ349" s="84" t="inlineStr"/>
      <c r="AK349" s="84" t="n">
        <v>0</v>
      </c>
      <c r="BB349" s="413" t="inlineStr">
        <is>
          <t>КИ</t>
        </is>
      </c>
      <c r="BM349" s="78">
        <f>IFERROR(X349*I349/H349,"0")</f>
        <v/>
      </c>
      <c r="BN349" s="78">
        <f>IFERROR(Y349*I349/H349,"0")</f>
        <v/>
      </c>
      <c r="BO349" s="78">
        <f>IFERROR(1/J349*(X349/H349),"0")</f>
        <v/>
      </c>
      <c r="BP349" s="78">
        <f>IFERROR(1/J349*(Y349/H349),"0")</f>
        <v/>
      </c>
    </row>
    <row r="350" ht="27" customHeight="1">
      <c r="A350" s="63" t="inlineStr">
        <is>
          <t>SU001920</t>
        </is>
      </c>
      <c r="B350" s="63" t="inlineStr">
        <is>
          <t>P001900</t>
        </is>
      </c>
      <c r="C350" s="36" t="n">
        <v>4301030232</v>
      </c>
      <c r="D350" s="745" t="n">
        <v>4607091388374</v>
      </c>
      <c r="E350" s="1062" t="n"/>
      <c r="F350" s="1100" t="n">
        <v>0.38</v>
      </c>
      <c r="G350" s="37" t="n">
        <v>8</v>
      </c>
      <c r="H350" s="1100" t="n">
        <v>3.04</v>
      </c>
      <c r="I350" s="1100" t="n">
        <v>3.29</v>
      </c>
      <c r="J350" s="37" t="n">
        <v>132</v>
      </c>
      <c r="K350" s="37" t="inlineStr">
        <is>
          <t>12</t>
        </is>
      </c>
      <c r="L350" s="37" t="inlineStr"/>
      <c r="M350" s="38" t="inlineStr">
        <is>
          <t>АК</t>
        </is>
      </c>
      <c r="N350" s="38" t="n"/>
      <c r="O350" s="37" t="n">
        <v>180</v>
      </c>
      <c r="P350" s="1273" t="inlineStr">
        <is>
          <t>С/к колбасы Княжеская Бордо Весовые б/о терм/п Стародворье</t>
        </is>
      </c>
      <c r="Q350" s="1102" t="n"/>
      <c r="R350" s="1102" t="n"/>
      <c r="S350" s="1102" t="n"/>
      <c r="T350" s="1103" t="n"/>
      <c r="U350" s="39" t="inlineStr"/>
      <c r="V350" s="39" t="inlineStr"/>
      <c r="W350" s="40" t="inlineStr">
        <is>
          <t>кг</t>
        </is>
      </c>
      <c r="X350" s="1104" t="n">
        <v>0</v>
      </c>
      <c r="Y350" s="1105">
        <f>IFERROR(IF(X350="",0,CEILING((X350/$H350),1)*$H350),"")</f>
        <v/>
      </c>
      <c r="Z350" s="41">
        <f>IFERROR(IF(Y350=0,"",ROUNDUP(Y350/H350,0)*0.00902),"")</f>
        <v/>
      </c>
      <c r="AA350" s="68" t="inlineStr"/>
      <c r="AB350" s="69" t="inlineStr"/>
      <c r="AC350" s="414" t="inlineStr">
        <is>
          <t>ЕАЭС N RU Д-RU.РА01.В.91379</t>
        </is>
      </c>
      <c r="AG350" s="78" t="n"/>
      <c r="AJ350" s="84" t="inlineStr"/>
      <c r="AK350" s="84" t="n">
        <v>0</v>
      </c>
      <c r="BB350" s="415" t="inlineStr">
        <is>
          <t>КИ</t>
        </is>
      </c>
      <c r="BM350" s="78">
        <f>IFERROR(X350*I350/H350,"0")</f>
        <v/>
      </c>
      <c r="BN350" s="78">
        <f>IFERROR(Y350*I350/H350,"0")</f>
        <v/>
      </c>
      <c r="BO350" s="78">
        <f>IFERROR(1/J350*(X350/H350),"0")</f>
        <v/>
      </c>
      <c r="BP350" s="78">
        <f>IFERROR(1/J350*(Y350/H350),"0")</f>
        <v/>
      </c>
    </row>
    <row r="351" ht="27" customHeight="1">
      <c r="A351" s="63" t="inlineStr">
        <is>
          <t>SU002092</t>
        </is>
      </c>
      <c r="B351" s="63" t="inlineStr">
        <is>
          <t>P002290</t>
        </is>
      </c>
      <c r="C351" s="36" t="n">
        <v>4301032015</v>
      </c>
      <c r="D351" s="745" t="n">
        <v>4607091383102</v>
      </c>
      <c r="E351" s="1062" t="n"/>
      <c r="F351" s="1100" t="n">
        <v>0.17</v>
      </c>
      <c r="G351" s="37" t="n">
        <v>15</v>
      </c>
      <c r="H351" s="1100" t="n">
        <v>2.55</v>
      </c>
      <c r="I351" s="1100" t="n">
        <v>2.955</v>
      </c>
      <c r="J351" s="37" t="n">
        <v>182</v>
      </c>
      <c r="K351" s="37" t="inlineStr">
        <is>
          <t>14</t>
        </is>
      </c>
      <c r="L351" s="37" t="inlineStr"/>
      <c r="M351" s="38" t="inlineStr">
        <is>
          <t>АК</t>
        </is>
      </c>
      <c r="N351" s="38" t="n"/>
      <c r="O351" s="37" t="n">
        <v>180</v>
      </c>
      <c r="P351" s="127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51" s="1102" t="n"/>
      <c r="R351" s="1102" t="n"/>
      <c r="S351" s="1102" t="n"/>
      <c r="T351" s="1103" t="n"/>
      <c r="U351" s="39" t="inlineStr"/>
      <c r="V351" s="39" t="inlineStr"/>
      <c r="W351" s="40" t="inlineStr">
        <is>
          <t>кг</t>
        </is>
      </c>
      <c r="X351" s="1104" t="n">
        <v>0</v>
      </c>
      <c r="Y351" s="1105">
        <f>IFERROR(IF(X351="",0,CEILING((X351/$H351),1)*$H351),"")</f>
        <v/>
      </c>
      <c r="Z351" s="41">
        <f>IFERROR(IF(Y351=0,"",ROUNDUP(Y351/H351,0)*0.00651),"")</f>
        <v/>
      </c>
      <c r="AA351" s="68" t="inlineStr"/>
      <c r="AB351" s="69" t="inlineStr"/>
      <c r="AC351" s="416" t="inlineStr">
        <is>
          <t>ЕАЭС N RU Д-RU.РА01.В.73997/20</t>
        </is>
      </c>
      <c r="AG351" s="78" t="n"/>
      <c r="AJ351" s="84" t="inlineStr"/>
      <c r="AK351" s="84" t="n">
        <v>0</v>
      </c>
      <c r="BB351" s="417" t="inlineStr">
        <is>
          <t>КИ</t>
        </is>
      </c>
      <c r="BM351" s="78">
        <f>IFERROR(X351*I351/H351,"0")</f>
        <v/>
      </c>
      <c r="BN351" s="78">
        <f>IFERROR(Y351*I351/H351,"0")</f>
        <v/>
      </c>
      <c r="BO351" s="78">
        <f>IFERROR(1/J351*(X351/H351),"0")</f>
        <v/>
      </c>
      <c r="BP351" s="78">
        <f>IFERROR(1/J351*(Y351/H351),"0")</f>
        <v/>
      </c>
    </row>
    <row r="352" ht="27" customHeight="1">
      <c r="A352" s="63" t="inlineStr">
        <is>
          <t>SU001869</t>
        </is>
      </c>
      <c r="B352" s="63" t="inlineStr">
        <is>
          <t>P001909</t>
        </is>
      </c>
      <c r="C352" s="36" t="n">
        <v>4301030233</v>
      </c>
      <c r="D352" s="745" t="n">
        <v>4607091388404</v>
      </c>
      <c r="E352" s="1062" t="n"/>
      <c r="F352" s="1100" t="n">
        <v>0.17</v>
      </c>
      <c r="G352" s="37" t="n">
        <v>15</v>
      </c>
      <c r="H352" s="1100" t="n">
        <v>2.55</v>
      </c>
      <c r="I352" s="1100" t="n">
        <v>2.88</v>
      </c>
      <c r="J352" s="37" t="n">
        <v>182</v>
      </c>
      <c r="K352" s="37" t="inlineStr">
        <is>
          <t>14</t>
        </is>
      </c>
      <c r="L352" s="37" t="inlineStr"/>
      <c r="M352" s="38" t="inlineStr">
        <is>
          <t>АК</t>
        </is>
      </c>
      <c r="N352" s="38" t="n"/>
      <c r="O352" s="37" t="n">
        <v>180</v>
      </c>
      <c r="P352" s="127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52" s="1102" t="n"/>
      <c r="R352" s="1102" t="n"/>
      <c r="S352" s="1102" t="n"/>
      <c r="T352" s="1103" t="n"/>
      <c r="U352" s="39" t="inlineStr"/>
      <c r="V352" s="39" t="inlineStr"/>
      <c r="W352" s="40" t="inlineStr">
        <is>
          <t>кг</t>
        </is>
      </c>
      <c r="X352" s="1104" t="n">
        <v>85</v>
      </c>
      <c r="Y352" s="1105">
        <f>IFERROR(IF(X352="",0,CEILING((X352/$H352),1)*$H352),"")</f>
        <v/>
      </c>
      <c r="Z352" s="41">
        <f>IFERROR(IF(Y352=0,"",ROUNDUP(Y352/H352,0)*0.00651),"")</f>
        <v/>
      </c>
      <c r="AA352" s="68" t="inlineStr"/>
      <c r="AB352" s="69" t="inlineStr"/>
      <c r="AC352" s="418" t="inlineStr">
        <is>
          <t>ЕАЭС N RU Д-RU.РА01.В.91379</t>
        </is>
      </c>
      <c r="AG352" s="78" t="n"/>
      <c r="AJ352" s="84" t="inlineStr"/>
      <c r="AK352" s="84" t="n">
        <v>0</v>
      </c>
      <c r="BB352" s="419" t="inlineStr">
        <is>
          <t>КИ</t>
        </is>
      </c>
      <c r="BM352" s="78">
        <f>IFERROR(X352*I352/H352,"0")</f>
        <v/>
      </c>
      <c r="BN352" s="78">
        <f>IFERROR(Y352*I352/H352,"0")</f>
        <v/>
      </c>
      <c r="BO352" s="78">
        <f>IFERROR(1/J352*(X352/H352),"0")</f>
        <v/>
      </c>
      <c r="BP352" s="78">
        <f>IFERROR(1/J352*(Y352/H352),"0")</f>
        <v/>
      </c>
    </row>
    <row r="353">
      <c r="A353" s="758" t="n"/>
      <c r="B353" s="1051" t="n"/>
      <c r="C353" s="1051" t="n"/>
      <c r="D353" s="1051" t="n"/>
      <c r="E353" s="1051" t="n"/>
      <c r="F353" s="1051" t="n"/>
      <c r="G353" s="1051" t="n"/>
      <c r="H353" s="1051" t="n"/>
      <c r="I353" s="1051" t="n"/>
      <c r="J353" s="1051" t="n"/>
      <c r="K353" s="1051" t="n"/>
      <c r="L353" s="1051" t="n"/>
      <c r="M353" s="1051" t="n"/>
      <c r="N353" s="1051" t="n"/>
      <c r="O353" s="1111" t="n"/>
      <c r="P353" s="1112" t="inlineStr">
        <is>
          <t>Итого</t>
        </is>
      </c>
      <c r="Q353" s="1069" t="n"/>
      <c r="R353" s="1069" t="n"/>
      <c r="S353" s="1069" t="n"/>
      <c r="T353" s="1069" t="n"/>
      <c r="U353" s="1069" t="n"/>
      <c r="V353" s="1070" t="n"/>
      <c r="W353" s="42" t="inlineStr">
        <is>
          <t>кор</t>
        </is>
      </c>
      <c r="X353" s="1113">
        <f>IFERROR(X349/H349,"0")+IFERROR(X350/H350,"0")+IFERROR(X351/H351,"0")+IFERROR(X352/H352,"0")</f>
        <v/>
      </c>
      <c r="Y353" s="1113">
        <f>IFERROR(Y349/H349,"0")+IFERROR(Y350/H350,"0")+IFERROR(Y351/H351,"0")+IFERROR(Y352/H352,"0")</f>
        <v/>
      </c>
      <c r="Z353" s="1113">
        <f>IFERROR(IF(Z349="",0,Z349),"0")+IFERROR(IF(Z350="",0,Z350),"0")+IFERROR(IF(Z351="",0,Z351),"0")+IFERROR(IF(Z352="",0,Z352),"0")</f>
        <v/>
      </c>
      <c r="AA353" s="1114" t="n"/>
      <c r="AB353" s="1114" t="n"/>
      <c r="AC353" s="1114" t="n"/>
    </row>
    <row r="354">
      <c r="A354" s="1051" t="n"/>
      <c r="B354" s="1051" t="n"/>
      <c r="C354" s="1051" t="n"/>
      <c r="D354" s="1051" t="n"/>
      <c r="E354" s="1051" t="n"/>
      <c r="F354" s="1051" t="n"/>
      <c r="G354" s="1051" t="n"/>
      <c r="H354" s="1051" t="n"/>
      <c r="I354" s="1051" t="n"/>
      <c r="J354" s="1051" t="n"/>
      <c r="K354" s="1051" t="n"/>
      <c r="L354" s="1051" t="n"/>
      <c r="M354" s="1051" t="n"/>
      <c r="N354" s="1051" t="n"/>
      <c r="O354" s="1111" t="n"/>
      <c r="P354" s="1112" t="inlineStr">
        <is>
          <t>Итого</t>
        </is>
      </c>
      <c r="Q354" s="1069" t="n"/>
      <c r="R354" s="1069" t="n"/>
      <c r="S354" s="1069" t="n"/>
      <c r="T354" s="1069" t="n"/>
      <c r="U354" s="1069" t="n"/>
      <c r="V354" s="1070" t="n"/>
      <c r="W354" s="42" t="inlineStr">
        <is>
          <t>кг</t>
        </is>
      </c>
      <c r="X354" s="1113">
        <f>IFERROR(SUM(X349:X352),"0")</f>
        <v/>
      </c>
      <c r="Y354" s="1113">
        <f>IFERROR(SUM(Y349:Y352),"0")</f>
        <v/>
      </c>
      <c r="Z354" s="42" t="n"/>
      <c r="AA354" s="1114" t="n"/>
      <c r="AB354" s="1114" t="n"/>
      <c r="AC354" s="1114" t="n"/>
    </row>
    <row r="355" ht="14.25" customHeight="1">
      <c r="A355" s="744" t="inlineStr">
        <is>
          <t>Паштеты</t>
        </is>
      </c>
      <c r="B355" s="1051" t="n"/>
      <c r="C355" s="1051" t="n"/>
      <c r="D355" s="1051" t="n"/>
      <c r="E355" s="1051" t="n"/>
      <c r="F355" s="1051" t="n"/>
      <c r="G355" s="1051" t="n"/>
      <c r="H355" s="1051" t="n"/>
      <c r="I355" s="1051" t="n"/>
      <c r="J355" s="1051" t="n"/>
      <c r="K355" s="1051" t="n"/>
      <c r="L355" s="1051" t="n"/>
      <c r="M355" s="1051" t="n"/>
      <c r="N355" s="1051" t="n"/>
      <c r="O355" s="1051" t="n"/>
      <c r="P355" s="1051" t="n"/>
      <c r="Q355" s="1051" t="n"/>
      <c r="R355" s="1051" t="n"/>
      <c r="S355" s="1051" t="n"/>
      <c r="T355" s="1051" t="n"/>
      <c r="U355" s="1051" t="n"/>
      <c r="V355" s="1051" t="n"/>
      <c r="W355" s="1051" t="n"/>
      <c r="X355" s="1051" t="n"/>
      <c r="Y355" s="1051" t="n"/>
      <c r="Z355" s="1051" t="n"/>
      <c r="AA355" s="744" t="n"/>
      <c r="AB355" s="744" t="n"/>
      <c r="AC355" s="744" t="n"/>
    </row>
    <row r="356" ht="16.5" customHeight="1">
      <c r="A356" s="63" t="inlineStr">
        <is>
          <t>SU002841</t>
        </is>
      </c>
      <c r="B356" s="63" t="inlineStr">
        <is>
          <t>P003253</t>
        </is>
      </c>
      <c r="C356" s="36" t="n">
        <v>4301180007</v>
      </c>
      <c r="D356" s="745" t="n">
        <v>4680115881808</v>
      </c>
      <c r="E356" s="1062" t="n"/>
      <c r="F356" s="1100" t="n">
        <v>0.1</v>
      </c>
      <c r="G356" s="37" t="n">
        <v>20</v>
      </c>
      <c r="H356" s="1100" t="n">
        <v>2</v>
      </c>
      <c r="I356" s="1100" t="n">
        <v>2.24</v>
      </c>
      <c r="J356" s="37" t="n">
        <v>238</v>
      </c>
      <c r="K356" s="37" t="inlineStr">
        <is>
          <t>14</t>
        </is>
      </c>
      <c r="L356" s="37" t="inlineStr"/>
      <c r="M356" s="38" t="inlineStr">
        <is>
          <t>РК</t>
        </is>
      </c>
      <c r="N356" s="38" t="n"/>
      <c r="O356" s="37" t="n">
        <v>730</v>
      </c>
      <c r="P356" s="127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56" s="1102" t="n"/>
      <c r="R356" s="1102" t="n"/>
      <c r="S356" s="1102" t="n"/>
      <c r="T356" s="1103" t="n"/>
      <c r="U356" s="39" t="inlineStr"/>
      <c r="V356" s="39" t="inlineStr"/>
      <c r="W356" s="40" t="inlineStr">
        <is>
          <t>кг</t>
        </is>
      </c>
      <c r="X356" s="1104" t="n">
        <v>0</v>
      </c>
      <c r="Y356" s="1105">
        <f>IFERROR(IF(X356="",0,CEILING((X356/$H356),1)*$H356),"")</f>
        <v/>
      </c>
      <c r="Z356" s="41">
        <f>IFERROR(IF(Y356=0,"",ROUNDUP(Y356/H356,0)*0.00474),"")</f>
        <v/>
      </c>
      <c r="AA356" s="68" t="inlineStr"/>
      <c r="AB356" s="69" t="inlineStr"/>
      <c r="AC356" s="420" t="inlineStr">
        <is>
          <t>ЕАЭС N RU Д-RU.РА04.В.53299/22</t>
        </is>
      </c>
      <c r="AG356" s="78" t="n"/>
      <c r="AJ356" s="84" t="inlineStr"/>
      <c r="AK356" s="84" t="n">
        <v>0</v>
      </c>
      <c r="BB356" s="421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SU002840</t>
        </is>
      </c>
      <c r="B357" s="63" t="inlineStr">
        <is>
          <t>P003252</t>
        </is>
      </c>
      <c r="C357" s="36" t="n">
        <v>4301180006</v>
      </c>
      <c r="D357" s="745" t="n">
        <v>4680115881822</v>
      </c>
      <c r="E357" s="1062" t="n"/>
      <c r="F357" s="1100" t="n">
        <v>0.1</v>
      </c>
      <c r="G357" s="37" t="n">
        <v>20</v>
      </c>
      <c r="H357" s="1100" t="n">
        <v>2</v>
      </c>
      <c r="I357" s="1100" t="n">
        <v>2.24</v>
      </c>
      <c r="J357" s="37" t="n">
        <v>238</v>
      </c>
      <c r="K357" s="37" t="inlineStr">
        <is>
          <t>14</t>
        </is>
      </c>
      <c r="L357" s="37" t="inlineStr"/>
      <c r="M357" s="38" t="inlineStr">
        <is>
          <t>РК</t>
        </is>
      </c>
      <c r="N357" s="38" t="n"/>
      <c r="O357" s="37" t="n">
        <v>730</v>
      </c>
      <c r="P357" s="127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57" s="1102" t="n"/>
      <c r="R357" s="1102" t="n"/>
      <c r="S357" s="1102" t="n"/>
      <c r="T357" s="1103" t="n"/>
      <c r="U357" s="39" t="inlineStr"/>
      <c r="V357" s="39" t="inlineStr"/>
      <c r="W357" s="40" t="inlineStr">
        <is>
          <t>кг</t>
        </is>
      </c>
      <c r="X357" s="1104" t="n">
        <v>0</v>
      </c>
      <c r="Y357" s="1105">
        <f>IFERROR(IF(X357="",0,CEILING((X357/$H357),1)*$H357),"")</f>
        <v/>
      </c>
      <c r="Z357" s="41">
        <f>IFERROR(IF(Y357=0,"",ROUNDUP(Y357/H357,0)*0.00474),"")</f>
        <v/>
      </c>
      <c r="AA357" s="68" t="inlineStr"/>
      <c r="AB357" s="69" t="inlineStr"/>
      <c r="AC357" s="422" t="inlineStr">
        <is>
          <t>ЕАЭС N RU Д-RU.РА04.В.53299/22</t>
        </is>
      </c>
      <c r="AG357" s="78" t="n"/>
      <c r="AJ357" s="84" t="inlineStr"/>
      <c r="AK357" s="84" t="n">
        <v>0</v>
      </c>
      <c r="BB357" s="423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 ht="27" customHeight="1">
      <c r="A358" s="63" t="inlineStr">
        <is>
          <t>SU002368</t>
        </is>
      </c>
      <c r="B358" s="63" t="inlineStr">
        <is>
          <t>P002648</t>
        </is>
      </c>
      <c r="C358" s="36" t="n">
        <v>4301180001</v>
      </c>
      <c r="D358" s="745" t="n">
        <v>4680115880016</v>
      </c>
      <c r="E358" s="1062" t="n"/>
      <c r="F358" s="1100" t="n">
        <v>0.1</v>
      </c>
      <c r="G358" s="37" t="n">
        <v>20</v>
      </c>
      <c r="H358" s="1100" t="n">
        <v>2</v>
      </c>
      <c r="I358" s="1100" t="n">
        <v>2.24</v>
      </c>
      <c r="J358" s="37" t="n">
        <v>238</v>
      </c>
      <c r="K358" s="37" t="inlineStr">
        <is>
          <t>14</t>
        </is>
      </c>
      <c r="L358" s="37" t="inlineStr"/>
      <c r="M358" s="38" t="inlineStr">
        <is>
          <t>РК</t>
        </is>
      </c>
      <c r="N358" s="38" t="n"/>
      <c r="O358" s="37" t="n">
        <v>730</v>
      </c>
      <c r="P358" s="127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58" s="1102" t="n"/>
      <c r="R358" s="1102" t="n"/>
      <c r="S358" s="1102" t="n"/>
      <c r="T358" s="1103" t="n"/>
      <c r="U358" s="39" t="inlineStr"/>
      <c r="V358" s="39" t="inlineStr"/>
      <c r="W358" s="40" t="inlineStr">
        <is>
          <t>кг</t>
        </is>
      </c>
      <c r="X358" s="1104" t="n">
        <v>0</v>
      </c>
      <c r="Y358" s="1105">
        <f>IFERROR(IF(X358="",0,CEILING((X358/$H358),1)*$H358),"")</f>
        <v/>
      </c>
      <c r="Z358" s="41">
        <f>IFERROR(IF(Y358=0,"",ROUNDUP(Y358/H358,0)*0.00474),"")</f>
        <v/>
      </c>
      <c r="AA358" s="68" t="inlineStr"/>
      <c r="AB358" s="69" t="inlineStr"/>
      <c r="AC358" s="424" t="inlineStr">
        <is>
          <t>ЕАЭС N RU Д-RU.РА04.В.53299/22</t>
        </is>
      </c>
      <c r="AG358" s="78" t="n"/>
      <c r="AJ358" s="84" t="inlineStr"/>
      <c r="AK358" s="84" t="n">
        <v>0</v>
      </c>
      <c r="BB358" s="425" t="inlineStr">
        <is>
          <t>КИ</t>
        </is>
      </c>
      <c r="BM358" s="78">
        <f>IFERROR(X358*I358/H358,"0")</f>
        <v/>
      </c>
      <c r="BN358" s="78">
        <f>IFERROR(Y358*I358/H358,"0")</f>
        <v/>
      </c>
      <c r="BO358" s="78">
        <f>IFERROR(1/J358*(X358/H358),"0")</f>
        <v/>
      </c>
      <c r="BP358" s="78">
        <f>IFERROR(1/J358*(Y358/H358),"0")</f>
        <v/>
      </c>
    </row>
    <row r="359">
      <c r="A359" s="758" t="n"/>
      <c r="B359" s="1051" t="n"/>
      <c r="C359" s="1051" t="n"/>
      <c r="D359" s="1051" t="n"/>
      <c r="E359" s="1051" t="n"/>
      <c r="F359" s="1051" t="n"/>
      <c r="G359" s="1051" t="n"/>
      <c r="H359" s="1051" t="n"/>
      <c r="I359" s="1051" t="n"/>
      <c r="J359" s="1051" t="n"/>
      <c r="K359" s="1051" t="n"/>
      <c r="L359" s="1051" t="n"/>
      <c r="M359" s="1051" t="n"/>
      <c r="N359" s="1051" t="n"/>
      <c r="O359" s="1111" t="n"/>
      <c r="P359" s="1112" t="inlineStr">
        <is>
          <t>Итого</t>
        </is>
      </c>
      <c r="Q359" s="1069" t="n"/>
      <c r="R359" s="1069" t="n"/>
      <c r="S359" s="1069" t="n"/>
      <c r="T359" s="1069" t="n"/>
      <c r="U359" s="1069" t="n"/>
      <c r="V359" s="1070" t="n"/>
      <c r="W359" s="42" t="inlineStr">
        <is>
          <t>кор</t>
        </is>
      </c>
      <c r="X359" s="1113">
        <f>IFERROR(X356/H356,"0")+IFERROR(X357/H357,"0")+IFERROR(X358/H358,"0")</f>
        <v/>
      </c>
      <c r="Y359" s="1113">
        <f>IFERROR(Y356/H356,"0")+IFERROR(Y357/H357,"0")+IFERROR(Y358/H358,"0")</f>
        <v/>
      </c>
      <c r="Z359" s="1113">
        <f>IFERROR(IF(Z356="",0,Z356),"0")+IFERROR(IF(Z357="",0,Z357),"0")+IFERROR(IF(Z358="",0,Z358),"0")</f>
        <v/>
      </c>
      <c r="AA359" s="1114" t="n"/>
      <c r="AB359" s="1114" t="n"/>
      <c r="AC359" s="1114" t="n"/>
    </row>
    <row r="360">
      <c r="A360" s="1051" t="n"/>
      <c r="B360" s="1051" t="n"/>
      <c r="C360" s="1051" t="n"/>
      <c r="D360" s="1051" t="n"/>
      <c r="E360" s="1051" t="n"/>
      <c r="F360" s="1051" t="n"/>
      <c r="G360" s="1051" t="n"/>
      <c r="H360" s="1051" t="n"/>
      <c r="I360" s="1051" t="n"/>
      <c r="J360" s="1051" t="n"/>
      <c r="K360" s="1051" t="n"/>
      <c r="L360" s="1051" t="n"/>
      <c r="M360" s="1051" t="n"/>
      <c r="N360" s="1051" t="n"/>
      <c r="O360" s="1111" t="n"/>
      <c r="P360" s="1112" t="inlineStr">
        <is>
          <t>Итого</t>
        </is>
      </c>
      <c r="Q360" s="1069" t="n"/>
      <c r="R360" s="1069" t="n"/>
      <c r="S360" s="1069" t="n"/>
      <c r="T360" s="1069" t="n"/>
      <c r="U360" s="1069" t="n"/>
      <c r="V360" s="1070" t="n"/>
      <c r="W360" s="42" t="inlineStr">
        <is>
          <t>кг</t>
        </is>
      </c>
      <c r="X360" s="1113">
        <f>IFERROR(SUM(X356:X358),"0")</f>
        <v/>
      </c>
      <c r="Y360" s="1113">
        <f>IFERROR(SUM(Y356:Y358),"0")</f>
        <v/>
      </c>
      <c r="Z360" s="42" t="n"/>
      <c r="AA360" s="1114" t="n"/>
      <c r="AB360" s="1114" t="n"/>
      <c r="AC360" s="1114" t="n"/>
    </row>
    <row r="361" ht="16.5" customHeight="1">
      <c r="A361" s="743" t="inlineStr">
        <is>
          <t>Бавария</t>
        </is>
      </c>
      <c r="B361" s="1051" t="n"/>
      <c r="C361" s="1051" t="n"/>
      <c r="D361" s="1051" t="n"/>
      <c r="E361" s="1051" t="n"/>
      <c r="F361" s="1051" t="n"/>
      <c r="G361" s="1051" t="n"/>
      <c r="H361" s="1051" t="n"/>
      <c r="I361" s="1051" t="n"/>
      <c r="J361" s="1051" t="n"/>
      <c r="K361" s="1051" t="n"/>
      <c r="L361" s="1051" t="n"/>
      <c r="M361" s="1051" t="n"/>
      <c r="N361" s="1051" t="n"/>
      <c r="O361" s="1051" t="n"/>
      <c r="P361" s="1051" t="n"/>
      <c r="Q361" s="1051" t="n"/>
      <c r="R361" s="1051" t="n"/>
      <c r="S361" s="1051" t="n"/>
      <c r="T361" s="1051" t="n"/>
      <c r="U361" s="1051" t="n"/>
      <c r="V361" s="1051" t="n"/>
      <c r="W361" s="1051" t="n"/>
      <c r="X361" s="1051" t="n"/>
      <c r="Y361" s="1051" t="n"/>
      <c r="Z361" s="1051" t="n"/>
      <c r="AA361" s="743" t="n"/>
      <c r="AB361" s="743" t="n"/>
      <c r="AC361" s="743" t="n"/>
    </row>
    <row r="362" ht="14.25" customHeight="1">
      <c r="A362" s="744" t="inlineStr">
        <is>
          <t>Копченые колбасы</t>
        </is>
      </c>
      <c r="B362" s="1051" t="n"/>
      <c r="C362" s="1051" t="n"/>
      <c r="D362" s="1051" t="n"/>
      <c r="E362" s="1051" t="n"/>
      <c r="F362" s="1051" t="n"/>
      <c r="G362" s="1051" t="n"/>
      <c r="H362" s="1051" t="n"/>
      <c r="I362" s="1051" t="n"/>
      <c r="J362" s="1051" t="n"/>
      <c r="K362" s="1051" t="n"/>
      <c r="L362" s="1051" t="n"/>
      <c r="M362" s="1051" t="n"/>
      <c r="N362" s="1051" t="n"/>
      <c r="O362" s="1051" t="n"/>
      <c r="P362" s="1051" t="n"/>
      <c r="Q362" s="1051" t="n"/>
      <c r="R362" s="1051" t="n"/>
      <c r="S362" s="1051" t="n"/>
      <c r="T362" s="1051" t="n"/>
      <c r="U362" s="1051" t="n"/>
      <c r="V362" s="1051" t="n"/>
      <c r="W362" s="1051" t="n"/>
      <c r="X362" s="1051" t="n"/>
      <c r="Y362" s="1051" t="n"/>
      <c r="Z362" s="1051" t="n"/>
      <c r="AA362" s="744" t="n"/>
      <c r="AB362" s="744" t="n"/>
      <c r="AC362" s="744" t="n"/>
    </row>
    <row r="363" ht="27" customHeight="1">
      <c r="A363" s="63" t="inlineStr">
        <is>
          <t>SU002252</t>
        </is>
      </c>
      <c r="B363" s="63" t="inlineStr">
        <is>
          <t>P002461</t>
        </is>
      </c>
      <c r="C363" s="36" t="n">
        <v>4301031066</v>
      </c>
      <c r="D363" s="745" t="n">
        <v>4607091383836</v>
      </c>
      <c r="E363" s="1062" t="n"/>
      <c r="F363" s="1100" t="n">
        <v>0.3</v>
      </c>
      <c r="G363" s="37" t="n">
        <v>6</v>
      </c>
      <c r="H363" s="1100" t="n">
        <v>1.8</v>
      </c>
      <c r="I363" s="1100" t="n">
        <v>2.028</v>
      </c>
      <c r="J363" s="37" t="n">
        <v>182</v>
      </c>
      <c r="K363" s="37" t="inlineStr">
        <is>
          <t>14</t>
        </is>
      </c>
      <c r="L363" s="37" t="inlineStr"/>
      <c r="M363" s="38" t="inlineStr">
        <is>
          <t>СК2</t>
        </is>
      </c>
      <c r="N363" s="38" t="n"/>
      <c r="O363" s="37" t="n">
        <v>40</v>
      </c>
      <c r="P363" s="1279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/>
      </c>
      <c r="Q363" s="1102" t="n"/>
      <c r="R363" s="1102" t="n"/>
      <c r="S363" s="1102" t="n"/>
      <c r="T363" s="1103" t="n"/>
      <c r="U363" s="39" t="inlineStr"/>
      <c r="V363" s="39" t="inlineStr"/>
      <c r="W363" s="40" t="inlineStr">
        <is>
          <t>кг</t>
        </is>
      </c>
      <c r="X363" s="1104" t="n">
        <v>9</v>
      </c>
      <c r="Y363" s="1105">
        <f>IFERROR(IF(X363="",0,CEILING((X363/$H363),1)*$H363),"")</f>
        <v/>
      </c>
      <c r="Z363" s="41">
        <f>IFERROR(IF(Y363=0,"",ROUNDUP(Y363/H363,0)*0.00651),"")</f>
        <v/>
      </c>
      <c r="AA363" s="68" t="inlineStr"/>
      <c r="AB363" s="69" t="inlineStr"/>
      <c r="AC363" s="426" t="inlineStr">
        <is>
          <t>ЕАЭС N RU Д-RU.PA01.B.88489/21</t>
        </is>
      </c>
      <c r="AG363" s="78" t="n"/>
      <c r="AJ363" s="84" t="inlineStr"/>
      <c r="AK363" s="84" t="n">
        <v>0</v>
      </c>
      <c r="BB363" s="427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>
      <c r="A364" s="758" t="n"/>
      <c r="B364" s="1051" t="n"/>
      <c r="C364" s="1051" t="n"/>
      <c r="D364" s="1051" t="n"/>
      <c r="E364" s="1051" t="n"/>
      <c r="F364" s="1051" t="n"/>
      <c r="G364" s="1051" t="n"/>
      <c r="H364" s="1051" t="n"/>
      <c r="I364" s="1051" t="n"/>
      <c r="J364" s="1051" t="n"/>
      <c r="K364" s="1051" t="n"/>
      <c r="L364" s="1051" t="n"/>
      <c r="M364" s="1051" t="n"/>
      <c r="N364" s="1051" t="n"/>
      <c r="O364" s="1111" t="n"/>
      <c r="P364" s="1112" t="inlineStr">
        <is>
          <t>Итого</t>
        </is>
      </c>
      <c r="Q364" s="1069" t="n"/>
      <c r="R364" s="1069" t="n"/>
      <c r="S364" s="1069" t="n"/>
      <c r="T364" s="1069" t="n"/>
      <c r="U364" s="1069" t="n"/>
      <c r="V364" s="1070" t="n"/>
      <c r="W364" s="42" t="inlineStr">
        <is>
          <t>кор</t>
        </is>
      </c>
      <c r="X364" s="1113">
        <f>IFERROR(X363/H363,"0")</f>
        <v/>
      </c>
      <c r="Y364" s="1113">
        <f>IFERROR(Y363/H363,"0")</f>
        <v/>
      </c>
      <c r="Z364" s="1113">
        <f>IFERROR(IF(Z363="",0,Z363),"0")</f>
        <v/>
      </c>
      <c r="AA364" s="1114" t="n"/>
      <c r="AB364" s="1114" t="n"/>
      <c r="AC364" s="1114" t="n"/>
    </row>
    <row r="365">
      <c r="A365" s="1051" t="n"/>
      <c r="B365" s="1051" t="n"/>
      <c r="C365" s="1051" t="n"/>
      <c r="D365" s="1051" t="n"/>
      <c r="E365" s="1051" t="n"/>
      <c r="F365" s="1051" t="n"/>
      <c r="G365" s="1051" t="n"/>
      <c r="H365" s="1051" t="n"/>
      <c r="I365" s="1051" t="n"/>
      <c r="J365" s="1051" t="n"/>
      <c r="K365" s="1051" t="n"/>
      <c r="L365" s="1051" t="n"/>
      <c r="M365" s="1051" t="n"/>
      <c r="N365" s="1051" t="n"/>
      <c r="O365" s="1111" t="n"/>
      <c r="P365" s="1112" t="inlineStr">
        <is>
          <t>Итого</t>
        </is>
      </c>
      <c r="Q365" s="1069" t="n"/>
      <c r="R365" s="1069" t="n"/>
      <c r="S365" s="1069" t="n"/>
      <c r="T365" s="1069" t="n"/>
      <c r="U365" s="1069" t="n"/>
      <c r="V365" s="1070" t="n"/>
      <c r="W365" s="42" t="inlineStr">
        <is>
          <t>кг</t>
        </is>
      </c>
      <c r="X365" s="1113">
        <f>IFERROR(SUM(X363:X363),"0")</f>
        <v/>
      </c>
      <c r="Y365" s="1113">
        <f>IFERROR(SUM(Y363:Y363),"0")</f>
        <v/>
      </c>
      <c r="Z365" s="42" t="n"/>
      <c r="AA365" s="1114" t="n"/>
      <c r="AB365" s="1114" t="n"/>
      <c r="AC365" s="1114" t="n"/>
    </row>
    <row r="366" ht="14.25" customHeight="1">
      <c r="A366" s="744" t="inlineStr">
        <is>
          <t>Сосиски</t>
        </is>
      </c>
      <c r="B366" s="1051" t="n"/>
      <c r="C366" s="1051" t="n"/>
      <c r="D366" s="1051" t="n"/>
      <c r="E366" s="1051" t="n"/>
      <c r="F366" s="1051" t="n"/>
      <c r="G366" s="1051" t="n"/>
      <c r="H366" s="1051" t="n"/>
      <c r="I366" s="1051" t="n"/>
      <c r="J366" s="1051" t="n"/>
      <c r="K366" s="1051" t="n"/>
      <c r="L366" s="1051" t="n"/>
      <c r="M366" s="1051" t="n"/>
      <c r="N366" s="1051" t="n"/>
      <c r="O366" s="1051" t="n"/>
      <c r="P366" s="1051" t="n"/>
      <c r="Q366" s="1051" t="n"/>
      <c r="R366" s="1051" t="n"/>
      <c r="S366" s="1051" t="n"/>
      <c r="T366" s="1051" t="n"/>
      <c r="U366" s="1051" t="n"/>
      <c r="V366" s="1051" t="n"/>
      <c r="W366" s="1051" t="n"/>
      <c r="X366" s="1051" t="n"/>
      <c r="Y366" s="1051" t="n"/>
      <c r="Z366" s="1051" t="n"/>
      <c r="AA366" s="744" t="n"/>
      <c r="AB366" s="744" t="n"/>
      <c r="AC366" s="744" t="n"/>
    </row>
    <row r="367" ht="27" customHeight="1">
      <c r="A367" s="63" t="inlineStr">
        <is>
          <t>SU001835</t>
        </is>
      </c>
      <c r="B367" s="63" t="inlineStr">
        <is>
          <t>P002202</t>
        </is>
      </c>
      <c r="C367" s="36" t="n">
        <v>4301051489</v>
      </c>
      <c r="D367" s="745" t="n">
        <v>4607091387919</v>
      </c>
      <c r="E367" s="1062" t="n"/>
      <c r="F367" s="1100" t="n">
        <v>1.35</v>
      </c>
      <c r="G367" s="37" t="n">
        <v>6</v>
      </c>
      <c r="H367" s="1100" t="n">
        <v>8.1</v>
      </c>
      <c r="I367" s="1100" t="n">
        <v>8.619</v>
      </c>
      <c r="J367" s="37" t="n">
        <v>64</v>
      </c>
      <c r="K367" s="37" t="inlineStr">
        <is>
          <t>8</t>
        </is>
      </c>
      <c r="L367" s="37" t="inlineStr"/>
      <c r="M367" s="38" t="inlineStr">
        <is>
          <t>СК4</t>
        </is>
      </c>
      <c r="N367" s="38" t="n"/>
      <c r="O367" s="37" t="n">
        <v>45</v>
      </c>
      <c r="P367" s="1280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67" s="1102" t="n"/>
      <c r="R367" s="1102" t="n"/>
      <c r="S367" s="1102" t="n"/>
      <c r="T367" s="1103" t="n"/>
      <c r="U367" s="39" t="inlineStr"/>
      <c r="V367" s="39" t="inlineStr"/>
      <c r="W367" s="40" t="inlineStr">
        <is>
          <t>кг</t>
        </is>
      </c>
      <c r="X367" s="1104" t="n">
        <v>0</v>
      </c>
      <c r="Y367" s="1105">
        <f>IFERROR(IF(X367="",0,CEILING((X367/$H367),1)*$H367),"")</f>
        <v/>
      </c>
      <c r="Z367" s="41">
        <f>IFERROR(IF(Y367=0,"",ROUNDUP(Y367/H367,0)*0.01898),"")</f>
        <v/>
      </c>
      <c r="AA367" s="68" t="inlineStr"/>
      <c r="AB367" s="69" t="inlineStr"/>
      <c r="AC367" s="428" t="inlineStr">
        <is>
          <t>ЕАЭС N RU Д-RU.PA01.B.48690/21, ЕАЭС N RU Д-RU.РА04.В.57451/23</t>
        </is>
      </c>
      <c r="AG367" s="78" t="n"/>
      <c r="AJ367" s="84" t="inlineStr"/>
      <c r="AK367" s="84" t="n">
        <v>0</v>
      </c>
      <c r="BB367" s="429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 ht="27" customHeight="1">
      <c r="A368" s="63" t="inlineStr">
        <is>
          <t>SU003167</t>
        </is>
      </c>
      <c r="B368" s="63" t="inlineStr">
        <is>
          <t>P003363</t>
        </is>
      </c>
      <c r="C368" s="36" t="n">
        <v>4301051461</v>
      </c>
      <c r="D368" s="745" t="n">
        <v>4680115883604</v>
      </c>
      <c r="E368" s="1062" t="n"/>
      <c r="F368" s="1100" t="n">
        <v>0.35</v>
      </c>
      <c r="G368" s="37" t="n">
        <v>6</v>
      </c>
      <c r="H368" s="1100" t="n">
        <v>2.1</v>
      </c>
      <c r="I368" s="1100" t="n">
        <v>2.352</v>
      </c>
      <c r="J368" s="37" t="n">
        <v>182</v>
      </c>
      <c r="K368" s="37" t="inlineStr">
        <is>
          <t>14</t>
        </is>
      </c>
      <c r="L368" s="37" t="inlineStr"/>
      <c r="M368" s="38" t="inlineStr">
        <is>
          <t>СК3</t>
        </is>
      </c>
      <c r="N368" s="38" t="n"/>
      <c r="O368" s="37" t="n">
        <v>45</v>
      </c>
      <c r="P368" s="1281">
        <f>HYPERLINK("https://abi.ru/products/Охлажденные/Стародворье/Бавария/Сосиски/P003363/","Сосиски «Баварские» Фикс.вес 0,35 П/а ТМ «Стародворье»")</f>
        <v/>
      </c>
      <c r="Q368" s="1102" t="n"/>
      <c r="R368" s="1102" t="n"/>
      <c r="S368" s="1102" t="n"/>
      <c r="T368" s="1103" t="n"/>
      <c r="U368" s="39" t="inlineStr"/>
      <c r="V368" s="39" t="inlineStr"/>
      <c r="W368" s="40" t="inlineStr">
        <is>
          <t>кг</t>
        </is>
      </c>
      <c r="X368" s="1104" t="n">
        <v>454.9999999999999</v>
      </c>
      <c r="Y368" s="1105">
        <f>IFERROR(IF(X368="",0,CEILING((X368/$H368),1)*$H368),"")</f>
        <v/>
      </c>
      <c r="Z368" s="41">
        <f>IFERROR(IF(Y368=0,"",ROUNDUP(Y368/H368,0)*0.00651),"")</f>
        <v/>
      </c>
      <c r="AA368" s="68" t="inlineStr"/>
      <c r="AB368" s="69" t="inlineStr"/>
      <c r="AC368" s="430" t="inlineStr">
        <is>
          <t>ЕАЭС N RU Д-RU.РА05.В.42328/23, ЕАЭС N RU Д-RU.РА05.В.42627/23</t>
        </is>
      </c>
      <c r="AG368" s="78" t="n"/>
      <c r="AJ368" s="84" t="inlineStr"/>
      <c r="AK368" s="84" t="n">
        <v>0</v>
      </c>
      <c r="BB368" s="431" t="inlineStr">
        <is>
          <t>КИ</t>
        </is>
      </c>
      <c r="BM368" s="78">
        <f>IFERROR(X368*I368/H368,"0")</f>
        <v/>
      </c>
      <c r="BN368" s="78">
        <f>IFERROR(Y368*I368/H368,"0")</f>
        <v/>
      </c>
      <c r="BO368" s="78">
        <f>IFERROR(1/J368*(X368/H368),"0")</f>
        <v/>
      </c>
      <c r="BP368" s="78">
        <f>IFERROR(1/J368*(Y368/H368),"0")</f>
        <v/>
      </c>
    </row>
    <row r="369" ht="27" customHeight="1">
      <c r="A369" s="63" t="inlineStr">
        <is>
          <t>SU003168</t>
        </is>
      </c>
      <c r="B369" s="63" t="inlineStr">
        <is>
          <t>P003364</t>
        </is>
      </c>
      <c r="C369" s="36" t="n">
        <v>4301051864</v>
      </c>
      <c r="D369" s="745" t="n">
        <v>4680115883567</v>
      </c>
      <c r="E369" s="1062" t="n"/>
      <c r="F369" s="1100" t="n">
        <v>0.35</v>
      </c>
      <c r="G369" s="37" t="n">
        <v>6</v>
      </c>
      <c r="H369" s="1100" t="n">
        <v>2.1</v>
      </c>
      <c r="I369" s="1100" t="n">
        <v>2.34</v>
      </c>
      <c r="J369" s="37" t="n">
        <v>182</v>
      </c>
      <c r="K369" s="37" t="inlineStr">
        <is>
          <t>14</t>
        </is>
      </c>
      <c r="L369" s="37" t="inlineStr"/>
      <c r="M369" s="38" t="inlineStr">
        <is>
          <t>СК4</t>
        </is>
      </c>
      <c r="N369" s="38" t="n"/>
      <c r="O369" s="37" t="n">
        <v>40</v>
      </c>
      <c r="P369" s="1282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69" s="1102" t="n"/>
      <c r="R369" s="1102" t="n"/>
      <c r="S369" s="1102" t="n"/>
      <c r="T369" s="1103" t="n"/>
      <c r="U369" s="39" t="inlineStr"/>
      <c r="V369" s="39" t="inlineStr"/>
      <c r="W369" s="40" t="inlineStr">
        <is>
          <t>кг</t>
        </is>
      </c>
      <c r="X369" s="1104" t="n">
        <v>700</v>
      </c>
      <c r="Y369" s="1105">
        <f>IFERROR(IF(X369="",0,CEILING((X369/$H369),1)*$H369),"")</f>
        <v/>
      </c>
      <c r="Z369" s="41">
        <f>IFERROR(IF(Y369=0,"",ROUNDUP(Y369/H369,0)*0.00651),"")</f>
        <v/>
      </c>
      <c r="AA369" s="68" t="inlineStr"/>
      <c r="AB369" s="69" t="inlineStr"/>
      <c r="AC369" s="432" t="inlineStr">
        <is>
          <t>ЕАЭС N RU Д-RU.РА05.В.42915/23</t>
        </is>
      </c>
      <c r="AG369" s="78" t="n"/>
      <c r="AJ369" s="84" t="inlineStr"/>
      <c r="AK369" s="84" t="n">
        <v>0</v>
      </c>
      <c r="BB369" s="433" t="inlineStr">
        <is>
          <t>КИ</t>
        </is>
      </c>
      <c r="BM369" s="78">
        <f>IFERROR(X369*I369/H369,"0")</f>
        <v/>
      </c>
      <c r="BN369" s="78">
        <f>IFERROR(Y369*I369/H369,"0")</f>
        <v/>
      </c>
      <c r="BO369" s="78">
        <f>IFERROR(1/J369*(X369/H369),"0")</f>
        <v/>
      </c>
      <c r="BP369" s="78">
        <f>IFERROR(1/J369*(Y369/H369),"0")</f>
        <v/>
      </c>
    </row>
    <row r="370">
      <c r="A370" s="758" t="n"/>
      <c r="B370" s="1051" t="n"/>
      <c r="C370" s="1051" t="n"/>
      <c r="D370" s="1051" t="n"/>
      <c r="E370" s="1051" t="n"/>
      <c r="F370" s="1051" t="n"/>
      <c r="G370" s="1051" t="n"/>
      <c r="H370" s="1051" t="n"/>
      <c r="I370" s="1051" t="n"/>
      <c r="J370" s="1051" t="n"/>
      <c r="K370" s="1051" t="n"/>
      <c r="L370" s="1051" t="n"/>
      <c r="M370" s="1051" t="n"/>
      <c r="N370" s="1051" t="n"/>
      <c r="O370" s="1111" t="n"/>
      <c r="P370" s="1112" t="inlineStr">
        <is>
          <t>Итого</t>
        </is>
      </c>
      <c r="Q370" s="1069" t="n"/>
      <c r="R370" s="1069" t="n"/>
      <c r="S370" s="1069" t="n"/>
      <c r="T370" s="1069" t="n"/>
      <c r="U370" s="1069" t="n"/>
      <c r="V370" s="1070" t="n"/>
      <c r="W370" s="42" t="inlineStr">
        <is>
          <t>кор</t>
        </is>
      </c>
      <c r="X370" s="1113">
        <f>IFERROR(X367/H367,"0")+IFERROR(X368/H368,"0")+IFERROR(X369/H369,"0")</f>
        <v/>
      </c>
      <c r="Y370" s="1113">
        <f>IFERROR(Y367/H367,"0")+IFERROR(Y368/H368,"0")+IFERROR(Y369/H369,"0")</f>
        <v/>
      </c>
      <c r="Z370" s="1113">
        <f>IFERROR(IF(Z367="",0,Z367),"0")+IFERROR(IF(Z368="",0,Z368),"0")+IFERROR(IF(Z369="",0,Z369),"0")</f>
        <v/>
      </c>
      <c r="AA370" s="1114" t="n"/>
      <c r="AB370" s="1114" t="n"/>
      <c r="AC370" s="1114" t="n"/>
    </row>
    <row r="371">
      <c r="A371" s="1051" t="n"/>
      <c r="B371" s="1051" t="n"/>
      <c r="C371" s="1051" t="n"/>
      <c r="D371" s="1051" t="n"/>
      <c r="E371" s="1051" t="n"/>
      <c r="F371" s="1051" t="n"/>
      <c r="G371" s="1051" t="n"/>
      <c r="H371" s="1051" t="n"/>
      <c r="I371" s="1051" t="n"/>
      <c r="J371" s="1051" t="n"/>
      <c r="K371" s="1051" t="n"/>
      <c r="L371" s="1051" t="n"/>
      <c r="M371" s="1051" t="n"/>
      <c r="N371" s="1051" t="n"/>
      <c r="O371" s="1111" t="n"/>
      <c r="P371" s="1112" t="inlineStr">
        <is>
          <t>Итого</t>
        </is>
      </c>
      <c r="Q371" s="1069" t="n"/>
      <c r="R371" s="1069" t="n"/>
      <c r="S371" s="1069" t="n"/>
      <c r="T371" s="1069" t="n"/>
      <c r="U371" s="1069" t="n"/>
      <c r="V371" s="1070" t="n"/>
      <c r="W371" s="42" t="inlineStr">
        <is>
          <t>кг</t>
        </is>
      </c>
      <c r="X371" s="1113">
        <f>IFERROR(SUM(X367:X369),"0")</f>
        <v/>
      </c>
      <c r="Y371" s="1113">
        <f>IFERROR(SUM(Y367:Y369),"0")</f>
        <v/>
      </c>
      <c r="Z371" s="42" t="n"/>
      <c r="AA371" s="1114" t="n"/>
      <c r="AB371" s="1114" t="n"/>
      <c r="AC371" s="1114" t="n"/>
    </row>
    <row r="372" ht="27.75" customHeight="1">
      <c r="A372" s="742" t="inlineStr">
        <is>
          <t>Особый рецепт</t>
        </is>
      </c>
      <c r="B372" s="1099" t="n"/>
      <c r="C372" s="1099" t="n"/>
      <c r="D372" s="1099" t="n"/>
      <c r="E372" s="1099" t="n"/>
      <c r="F372" s="1099" t="n"/>
      <c r="G372" s="1099" t="n"/>
      <c r="H372" s="1099" t="n"/>
      <c r="I372" s="1099" t="n"/>
      <c r="J372" s="1099" t="n"/>
      <c r="K372" s="1099" t="n"/>
      <c r="L372" s="1099" t="n"/>
      <c r="M372" s="1099" t="n"/>
      <c r="N372" s="1099" t="n"/>
      <c r="O372" s="1099" t="n"/>
      <c r="P372" s="1099" t="n"/>
      <c r="Q372" s="1099" t="n"/>
      <c r="R372" s="1099" t="n"/>
      <c r="S372" s="1099" t="n"/>
      <c r="T372" s="1099" t="n"/>
      <c r="U372" s="1099" t="n"/>
      <c r="V372" s="1099" t="n"/>
      <c r="W372" s="1099" t="n"/>
      <c r="X372" s="1099" t="n"/>
      <c r="Y372" s="1099" t="n"/>
      <c r="Z372" s="1099" t="n"/>
      <c r="AA372" s="54" t="n"/>
      <c r="AB372" s="54" t="n"/>
      <c r="AC372" s="54" t="n"/>
    </row>
    <row r="373" ht="16.5" customHeight="1">
      <c r="A373" s="743" t="inlineStr">
        <is>
          <t>Особая</t>
        </is>
      </c>
      <c r="B373" s="1051" t="n"/>
      <c r="C373" s="1051" t="n"/>
      <c r="D373" s="1051" t="n"/>
      <c r="E373" s="1051" t="n"/>
      <c r="F373" s="1051" t="n"/>
      <c r="G373" s="1051" t="n"/>
      <c r="H373" s="1051" t="n"/>
      <c r="I373" s="1051" t="n"/>
      <c r="J373" s="1051" t="n"/>
      <c r="K373" s="1051" t="n"/>
      <c r="L373" s="1051" t="n"/>
      <c r="M373" s="1051" t="n"/>
      <c r="N373" s="1051" t="n"/>
      <c r="O373" s="1051" t="n"/>
      <c r="P373" s="1051" t="n"/>
      <c r="Q373" s="1051" t="n"/>
      <c r="R373" s="1051" t="n"/>
      <c r="S373" s="1051" t="n"/>
      <c r="T373" s="1051" t="n"/>
      <c r="U373" s="1051" t="n"/>
      <c r="V373" s="1051" t="n"/>
      <c r="W373" s="1051" t="n"/>
      <c r="X373" s="1051" t="n"/>
      <c r="Y373" s="1051" t="n"/>
      <c r="Z373" s="1051" t="n"/>
      <c r="AA373" s="743" t="n"/>
      <c r="AB373" s="743" t="n"/>
      <c r="AC373" s="743" t="n"/>
    </row>
    <row r="374" ht="14.25" customHeight="1">
      <c r="A374" s="744" t="inlineStr">
        <is>
          <t>Вареные колбасы</t>
        </is>
      </c>
      <c r="B374" s="1051" t="n"/>
      <c r="C374" s="1051" t="n"/>
      <c r="D374" s="1051" t="n"/>
      <c r="E374" s="1051" t="n"/>
      <c r="F374" s="1051" t="n"/>
      <c r="G374" s="1051" t="n"/>
      <c r="H374" s="1051" t="n"/>
      <c r="I374" s="1051" t="n"/>
      <c r="J374" s="1051" t="n"/>
      <c r="K374" s="1051" t="n"/>
      <c r="L374" s="1051" t="n"/>
      <c r="M374" s="1051" t="n"/>
      <c r="N374" s="1051" t="n"/>
      <c r="O374" s="1051" t="n"/>
      <c r="P374" s="1051" t="n"/>
      <c r="Q374" s="1051" t="n"/>
      <c r="R374" s="1051" t="n"/>
      <c r="S374" s="1051" t="n"/>
      <c r="T374" s="1051" t="n"/>
      <c r="U374" s="1051" t="n"/>
      <c r="V374" s="1051" t="n"/>
      <c r="W374" s="1051" t="n"/>
      <c r="X374" s="1051" t="n"/>
      <c r="Y374" s="1051" t="n"/>
      <c r="Z374" s="1051" t="n"/>
      <c r="AA374" s="744" t="n"/>
      <c r="AB374" s="744" t="n"/>
      <c r="AC374" s="744" t="n"/>
    </row>
    <row r="375" ht="27" customHeight="1">
      <c r="A375" s="63" t="inlineStr">
        <is>
          <t>SU003422</t>
        </is>
      </c>
      <c r="B375" s="63" t="inlineStr">
        <is>
          <t>P004303</t>
        </is>
      </c>
      <c r="C375" s="36" t="n">
        <v>4301011946</v>
      </c>
      <c r="D375" s="745" t="n">
        <v>4680115884847</v>
      </c>
      <c r="E375" s="1062" t="n"/>
      <c r="F375" s="1100" t="n">
        <v>2.5</v>
      </c>
      <c r="G375" s="37" t="n">
        <v>6</v>
      </c>
      <c r="H375" s="1100" t="n">
        <v>15</v>
      </c>
      <c r="I375" s="1100" t="n">
        <v>15.48</v>
      </c>
      <c r="J375" s="37" t="n">
        <v>48</v>
      </c>
      <c r="K375" s="37" t="inlineStr">
        <is>
          <t>8</t>
        </is>
      </c>
      <c r="L375" s="37" t="inlineStr"/>
      <c r="M375" s="38" t="inlineStr">
        <is>
          <t>ВЗ</t>
        </is>
      </c>
      <c r="N375" s="38" t="n"/>
      <c r="O375" s="37" t="n">
        <v>60</v>
      </c>
      <c r="P375" s="1283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/>
      </c>
      <c r="Q375" s="1102" t="n"/>
      <c r="R375" s="1102" t="n"/>
      <c r="S375" s="1102" t="n"/>
      <c r="T375" s="1103" t="n"/>
      <c r="U375" s="39" t="inlineStr"/>
      <c r="V375" s="39" t="inlineStr"/>
      <c r="W375" s="40" t="inlineStr">
        <is>
          <t>кг</t>
        </is>
      </c>
      <c r="X375" s="1104" t="n">
        <v>0</v>
      </c>
      <c r="Y375" s="1105">
        <f>IFERROR(IF(X375="",0,CEILING((X375/$H375),1)*$H375),"")</f>
        <v/>
      </c>
      <c r="Z375" s="41">
        <f>IFERROR(IF(Y375=0,"",ROUNDUP(Y375/H375,0)*0.02039),"")</f>
        <v/>
      </c>
      <c r="AA375" s="68" t="inlineStr"/>
      <c r="AB375" s="69" t="inlineStr"/>
      <c r="AC375" s="434" t="inlineStr">
        <is>
          <t>ЕАЭС N RU Д-RU.РА02.В.44569/24</t>
        </is>
      </c>
      <c r="AG375" s="78" t="n"/>
      <c r="AJ375" s="84" t="inlineStr"/>
      <c r="AK375" s="84" t="n">
        <v>0</v>
      </c>
      <c r="BB375" s="435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 ht="37.5" customHeight="1">
      <c r="A376" s="63" t="inlineStr">
        <is>
          <t>SU003422</t>
        </is>
      </c>
      <c r="B376" s="63" t="inlineStr">
        <is>
          <t>P004256</t>
        </is>
      </c>
      <c r="C376" s="36" t="n">
        <v>4301011869</v>
      </c>
      <c r="D376" s="745" t="n">
        <v>4680115884847</v>
      </c>
      <c r="E376" s="1062" t="n"/>
      <c r="F376" s="1100" t="n">
        <v>2.5</v>
      </c>
      <c r="G376" s="37" t="n">
        <v>6</v>
      </c>
      <c r="H376" s="1100" t="n">
        <v>15</v>
      </c>
      <c r="I376" s="1100" t="n">
        <v>15.48</v>
      </c>
      <c r="J376" s="37" t="n">
        <v>48</v>
      </c>
      <c r="K376" s="37" t="inlineStr">
        <is>
          <t>8</t>
        </is>
      </c>
      <c r="L376" s="37" t="inlineStr">
        <is>
          <t>Палетта, мин. 1</t>
        </is>
      </c>
      <c r="M376" s="38" t="inlineStr">
        <is>
          <t>СК2</t>
        </is>
      </c>
      <c r="N376" s="38" t="n"/>
      <c r="O376" s="37" t="n">
        <v>60</v>
      </c>
      <c r="P376" s="1284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376" s="1102" t="n"/>
      <c r="R376" s="1102" t="n"/>
      <c r="S376" s="1102" t="n"/>
      <c r="T376" s="1103" t="n"/>
      <c r="U376" s="39" t="inlineStr"/>
      <c r="V376" s="39" t="inlineStr"/>
      <c r="W376" s="40" t="inlineStr">
        <is>
          <t>кг</t>
        </is>
      </c>
      <c r="X376" s="1104" t="n">
        <v>1700</v>
      </c>
      <c r="Y376" s="1105">
        <f>IFERROR(IF(X376="",0,CEILING((X376/$H376),1)*$H376),"")</f>
        <v/>
      </c>
      <c r="Z376" s="41">
        <f>IFERROR(IF(Y376=0,"",ROUNDUP(Y376/H376,0)*0.02175),"")</f>
        <v/>
      </c>
      <c r="AA376" s="68" t="inlineStr"/>
      <c r="AB376" s="69" t="inlineStr"/>
      <c r="AC376" s="436" t="inlineStr">
        <is>
          <t>ЕАЭС N RU Д-RU.РА02.В.61644/24, ЕАЭС N RU Д-RU.РА09.В.97015/24, ЕАЭС N RU Д-RU.РА10.В.04696/24</t>
        </is>
      </c>
      <c r="AG376" s="78" t="n"/>
      <c r="AJ376" s="84" t="inlineStr">
        <is>
          <t>Палетта</t>
        </is>
      </c>
      <c r="AK376" s="84" t="n">
        <v>720</v>
      </c>
      <c r="BB376" s="437" t="inlineStr">
        <is>
          <t>КИ</t>
        </is>
      </c>
      <c r="BM376" s="78">
        <f>IFERROR(X376*I376/H376,"0")</f>
        <v/>
      </c>
      <c r="BN376" s="78">
        <f>IFERROR(Y376*I376/H376,"0")</f>
        <v/>
      </c>
      <c r="BO376" s="78">
        <f>IFERROR(1/J376*(X376/H376),"0")</f>
        <v/>
      </c>
      <c r="BP376" s="78">
        <f>IFERROR(1/J376*(Y376/H376),"0")</f>
        <v/>
      </c>
    </row>
    <row r="377" ht="27" customHeight="1">
      <c r="A377" s="63" t="inlineStr">
        <is>
          <t>SU003423</t>
        </is>
      </c>
      <c r="B377" s="63" t="inlineStr">
        <is>
          <t>P004315</t>
        </is>
      </c>
      <c r="C377" s="36" t="n">
        <v>4301011947</v>
      </c>
      <c r="D377" s="745" t="n">
        <v>4680115884854</v>
      </c>
      <c r="E377" s="1062" t="n"/>
      <c r="F377" s="1100" t="n">
        <v>2.5</v>
      </c>
      <c r="G377" s="37" t="n">
        <v>6</v>
      </c>
      <c r="H377" s="1100" t="n">
        <v>15</v>
      </c>
      <c r="I377" s="1100" t="n">
        <v>15.48</v>
      </c>
      <c r="J377" s="37" t="n">
        <v>48</v>
      </c>
      <c r="K377" s="37" t="inlineStr">
        <is>
          <t>8</t>
        </is>
      </c>
      <c r="L377" s="37" t="inlineStr"/>
      <c r="M377" s="38" t="inlineStr">
        <is>
          <t>ВЗ</t>
        </is>
      </c>
      <c r="N377" s="38" t="n"/>
      <c r="O377" s="37" t="n">
        <v>60</v>
      </c>
      <c r="P377" s="1285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/>
      </c>
      <c r="Q377" s="1102" t="n"/>
      <c r="R377" s="1102" t="n"/>
      <c r="S377" s="1102" t="n"/>
      <c r="T377" s="1103" t="n"/>
      <c r="U377" s="39" t="inlineStr"/>
      <c r="V377" s="39" t="inlineStr"/>
      <c r="W377" s="40" t="inlineStr">
        <is>
          <t>кг</t>
        </is>
      </c>
      <c r="X377" s="1104" t="n">
        <v>0</v>
      </c>
      <c r="Y377" s="1105">
        <f>IFERROR(IF(X377="",0,CEILING((X377/$H377),1)*$H377),"")</f>
        <v/>
      </c>
      <c r="Z377" s="41">
        <f>IFERROR(IF(Y377=0,"",ROUNDUP(Y377/H377,0)*0.02039),"")</f>
        <v/>
      </c>
      <c r="AA377" s="68" t="inlineStr"/>
      <c r="AB377" s="69" t="inlineStr"/>
      <c r="AC377" s="438" t="inlineStr">
        <is>
          <t>ЕАЭС N RU Д-RU.РА02.В.44569/24</t>
        </is>
      </c>
      <c r="AG377" s="78" t="n"/>
      <c r="AJ377" s="84" t="inlineStr"/>
      <c r="AK377" s="84" t="n">
        <v>0</v>
      </c>
      <c r="BB377" s="439" t="inlineStr">
        <is>
          <t>КИ</t>
        </is>
      </c>
      <c r="BM377" s="78">
        <f>IFERROR(X377*I377/H377,"0")</f>
        <v/>
      </c>
      <c r="BN377" s="78">
        <f>IFERROR(Y377*I377/H377,"0")</f>
        <v/>
      </c>
      <c r="BO377" s="78">
        <f>IFERROR(1/J377*(X377/H377),"0")</f>
        <v/>
      </c>
      <c r="BP377" s="78">
        <f>IFERROR(1/J377*(Y377/H377),"0")</f>
        <v/>
      </c>
    </row>
    <row r="378" ht="27" customHeight="1">
      <c r="A378" s="63" t="inlineStr">
        <is>
          <t>SU003423</t>
        </is>
      </c>
      <c r="B378" s="63" t="inlineStr">
        <is>
          <t>P004257</t>
        </is>
      </c>
      <c r="C378" s="36" t="n">
        <v>4301011870</v>
      </c>
      <c r="D378" s="745" t="n">
        <v>4680115884854</v>
      </c>
      <c r="E378" s="1062" t="n"/>
      <c r="F378" s="1100" t="n">
        <v>2.5</v>
      </c>
      <c r="G378" s="37" t="n">
        <v>6</v>
      </c>
      <c r="H378" s="1100" t="n">
        <v>15</v>
      </c>
      <c r="I378" s="1100" t="n">
        <v>15.48</v>
      </c>
      <c r="J378" s="37" t="n">
        <v>48</v>
      </c>
      <c r="K378" s="37" t="inlineStr">
        <is>
          <t>8</t>
        </is>
      </c>
      <c r="L378" s="37" t="inlineStr">
        <is>
          <t>Палетта, мин. 1</t>
        </is>
      </c>
      <c r="M378" s="38" t="inlineStr">
        <is>
          <t>СК2</t>
        </is>
      </c>
      <c r="N378" s="38" t="n"/>
      <c r="O378" s="37" t="n">
        <v>60</v>
      </c>
      <c r="P378" s="1286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378" s="1102" t="n"/>
      <c r="R378" s="1102" t="n"/>
      <c r="S378" s="1102" t="n"/>
      <c r="T378" s="1103" t="n"/>
      <c r="U378" s="39" t="inlineStr"/>
      <c r="V378" s="39" t="inlineStr"/>
      <c r="W378" s="40" t="inlineStr">
        <is>
          <t>кг</t>
        </is>
      </c>
      <c r="X378" s="1104" t="n">
        <v>1600</v>
      </c>
      <c r="Y378" s="1105">
        <f>IFERROR(IF(X378="",0,CEILING((X378/$H378),1)*$H378),"")</f>
        <v/>
      </c>
      <c r="Z378" s="41">
        <f>IFERROR(IF(Y378=0,"",ROUNDUP(Y378/H378,0)*0.02175),"")</f>
        <v/>
      </c>
      <c r="AA378" s="68" t="inlineStr"/>
      <c r="AB378" s="69" t="inlineStr"/>
      <c r="AC378" s="440" t="inlineStr">
        <is>
          <t>ЕАЭС N RU Д-RU.РА02.В.61635/24, ЕАЭС N RU Д-RU.РА09.В.95694/24</t>
        </is>
      </c>
      <c r="AG378" s="78" t="n"/>
      <c r="AJ378" s="84" t="inlineStr">
        <is>
          <t>Палетта</t>
        </is>
      </c>
      <c r="AK378" s="84" t="n">
        <v>720</v>
      </c>
      <c r="BB378" s="44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SU003420</t>
        </is>
      </c>
      <c r="B379" s="63" t="inlineStr">
        <is>
          <t>P004293</t>
        </is>
      </c>
      <c r="C379" s="36" t="n">
        <v>4301011943</v>
      </c>
      <c r="D379" s="745" t="n">
        <v>4680115884830</v>
      </c>
      <c r="E379" s="1062" t="n"/>
      <c r="F379" s="1100" t="n">
        <v>2.5</v>
      </c>
      <c r="G379" s="37" t="n">
        <v>6</v>
      </c>
      <c r="H379" s="1100" t="n">
        <v>15</v>
      </c>
      <c r="I379" s="1100" t="n">
        <v>15.48</v>
      </c>
      <c r="J379" s="37" t="n">
        <v>48</v>
      </c>
      <c r="K379" s="37" t="inlineStr">
        <is>
          <t>8</t>
        </is>
      </c>
      <c r="L379" s="37" t="inlineStr"/>
      <c r="M379" s="38" t="inlineStr">
        <is>
          <t>ВЗ</t>
        </is>
      </c>
      <c r="N379" s="38" t="n"/>
      <c r="O379" s="37" t="n">
        <v>60</v>
      </c>
      <c r="P379" s="1287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/>
      </c>
      <c r="Q379" s="1102" t="n"/>
      <c r="R379" s="1102" t="n"/>
      <c r="S379" s="1102" t="n"/>
      <c r="T379" s="1103" t="n"/>
      <c r="U379" s="39" t="inlineStr"/>
      <c r="V379" s="39" t="inlineStr"/>
      <c r="W379" s="40" t="inlineStr">
        <is>
          <t>кг</t>
        </is>
      </c>
      <c r="X379" s="1104" t="n">
        <v>0</v>
      </c>
      <c r="Y379" s="1105">
        <f>IFERROR(IF(X379="",0,CEILING((X379/$H379),1)*$H379),"")</f>
        <v/>
      </c>
      <c r="Z379" s="41">
        <f>IFERROR(IF(Y379=0,"",ROUNDUP(Y379/H379,0)*0.02039),"")</f>
        <v/>
      </c>
      <c r="AA379" s="68" t="inlineStr"/>
      <c r="AB379" s="69" t="inlineStr"/>
      <c r="AC379" s="442" t="inlineStr">
        <is>
          <t>ЕАЭС N RU Д-RU.РА02.В.44569/24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27" customHeight="1">
      <c r="A380" s="63" t="inlineStr">
        <is>
          <t>SU000251</t>
        </is>
      </c>
      <c r="B380" s="63" t="inlineStr">
        <is>
          <t>P002584</t>
        </is>
      </c>
      <c r="C380" s="36" t="n">
        <v>4301011832</v>
      </c>
      <c r="D380" s="745" t="n">
        <v>4607091383997</v>
      </c>
      <c r="E380" s="1062" t="n"/>
      <c r="F380" s="1100" t="n">
        <v>2.5</v>
      </c>
      <c r="G380" s="37" t="n">
        <v>6</v>
      </c>
      <c r="H380" s="1100" t="n">
        <v>15</v>
      </c>
      <c r="I380" s="1100" t="n">
        <v>15.48</v>
      </c>
      <c r="J380" s="37" t="n">
        <v>48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60</v>
      </c>
      <c r="P380" s="1288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/>
      </c>
      <c r="Q380" s="1102" t="n"/>
      <c r="R380" s="1102" t="n"/>
      <c r="S380" s="1102" t="n"/>
      <c r="T380" s="1103" t="n"/>
      <c r="U380" s="39" t="inlineStr"/>
      <c r="V380" s="39" t="inlineStr"/>
      <c r="W380" s="40" t="inlineStr">
        <is>
          <t>кг</t>
        </is>
      </c>
      <c r="X380" s="1104" t="n">
        <v>100</v>
      </c>
      <c r="Y380" s="1105">
        <f>IFERROR(IF(X380="",0,CEILING((X380/$H380),1)*$H380),"")</f>
        <v/>
      </c>
      <c r="Z380" s="41">
        <f>IFERROR(IF(Y380=0,"",ROUNDUP(Y380/H380,0)*0.02175),"")</f>
        <v/>
      </c>
      <c r="AA380" s="68" t="inlineStr"/>
      <c r="AB380" s="69" t="inlineStr"/>
      <c r="AC380" s="444" t="inlineStr">
        <is>
          <t>ЕАЭС N RU Д-RU.РА09.В.35957/22</t>
        </is>
      </c>
      <c r="AG380" s="78" t="n"/>
      <c r="AJ380" s="84" t="inlineStr"/>
      <c r="AK380" s="84" t="n">
        <v>0</v>
      </c>
      <c r="BB380" s="44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 ht="37.5" customHeight="1">
      <c r="A381" s="63" t="inlineStr">
        <is>
          <t>SU003420</t>
        </is>
      </c>
      <c r="B381" s="63" t="inlineStr">
        <is>
          <t>P004252</t>
        </is>
      </c>
      <c r="C381" s="36" t="n">
        <v>4301011867</v>
      </c>
      <c r="D381" s="745" t="n">
        <v>4680115884830</v>
      </c>
      <c r="E381" s="1062" t="n"/>
      <c r="F381" s="1100" t="n">
        <v>2.5</v>
      </c>
      <c r="G381" s="37" t="n">
        <v>6</v>
      </c>
      <c r="H381" s="1100" t="n">
        <v>15</v>
      </c>
      <c r="I381" s="1100" t="n">
        <v>15.48</v>
      </c>
      <c r="J381" s="37" t="n">
        <v>48</v>
      </c>
      <c r="K381" s="37" t="inlineStr">
        <is>
          <t>8</t>
        </is>
      </c>
      <c r="L381" s="37" t="inlineStr">
        <is>
          <t>Палетта, мин. 1</t>
        </is>
      </c>
      <c r="M381" s="38" t="inlineStr">
        <is>
          <t>СК2</t>
        </is>
      </c>
      <c r="N381" s="38" t="n"/>
      <c r="O381" s="37" t="n">
        <v>60</v>
      </c>
      <c r="P381" s="1289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381" s="1102" t="n"/>
      <c r="R381" s="1102" t="n"/>
      <c r="S381" s="1102" t="n"/>
      <c r="T381" s="1103" t="n"/>
      <c r="U381" s="39" t="inlineStr"/>
      <c r="V381" s="39" t="inlineStr"/>
      <c r="W381" s="40" t="inlineStr">
        <is>
          <t>кг</t>
        </is>
      </c>
      <c r="X381" s="1104" t="n">
        <v>1700</v>
      </c>
      <c r="Y381" s="1105">
        <f>IFERROR(IF(X381="",0,CEILING((X381/$H381),1)*$H381),"")</f>
        <v/>
      </c>
      <c r="Z381" s="41">
        <f>IFERROR(IF(Y381=0,"",ROUNDUP(Y381/H381,0)*0.02175),"")</f>
        <v/>
      </c>
      <c r="AA381" s="68" t="inlineStr"/>
      <c r="AB381" s="69" t="inlineStr"/>
      <c r="AC381" s="446" t="inlineStr">
        <is>
          <t>ЕАЭС N RU Д-RU.РА02.В.61660/24, ЕАЭС N RU Д-RU.РА10.В.85286/23, ЕАЭС N RU Д-RU.РА10.В.85449/23</t>
        </is>
      </c>
      <c r="AG381" s="78" t="n"/>
      <c r="AJ381" s="84" t="inlineStr">
        <is>
          <t>Палетта</t>
        </is>
      </c>
      <c r="AK381" s="84" t="n">
        <v>720</v>
      </c>
      <c r="BB381" s="447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SU002787</t>
        </is>
      </c>
      <c r="B382" s="63" t="inlineStr">
        <is>
          <t>P003189</t>
        </is>
      </c>
      <c r="C382" s="36" t="n">
        <v>4301011433</v>
      </c>
      <c r="D382" s="745" t="n">
        <v>4680115882638</v>
      </c>
      <c r="E382" s="1062" t="n"/>
      <c r="F382" s="1100" t="n">
        <v>0.4</v>
      </c>
      <c r="G382" s="37" t="n">
        <v>10</v>
      </c>
      <c r="H382" s="1100" t="n">
        <v>4</v>
      </c>
      <c r="I382" s="1100" t="n">
        <v>4.21</v>
      </c>
      <c r="J382" s="37" t="n">
        <v>132</v>
      </c>
      <c r="K382" s="37" t="inlineStr">
        <is>
          <t>12</t>
        </is>
      </c>
      <c r="L382" s="37" t="inlineStr"/>
      <c r="M382" s="38" t="inlineStr">
        <is>
          <t>СК1</t>
        </is>
      </c>
      <c r="N382" s="38" t="n"/>
      <c r="O382" s="37" t="n">
        <v>90</v>
      </c>
      <c r="P382" s="129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382" s="1102" t="n"/>
      <c r="R382" s="1102" t="n"/>
      <c r="S382" s="1102" t="n"/>
      <c r="T382" s="1103" t="n"/>
      <c r="U382" s="39" t="inlineStr"/>
      <c r="V382" s="39" t="inlineStr"/>
      <c r="W382" s="40" t="inlineStr">
        <is>
          <t>кг</t>
        </is>
      </c>
      <c r="X382" s="1104" t="n">
        <v>0</v>
      </c>
      <c r="Y382" s="1105">
        <f>IFERROR(IF(X382="",0,CEILING((X382/$H382),1)*$H382),"")</f>
        <v/>
      </c>
      <c r="Z382" s="41">
        <f>IFERROR(IF(Y382=0,"",ROUNDUP(Y382/H382,0)*0.00902),"")</f>
        <v/>
      </c>
      <c r="AA382" s="68" t="inlineStr"/>
      <c r="AB382" s="69" t="inlineStr"/>
      <c r="AC382" s="448" t="inlineStr">
        <is>
          <t>ЕАЭС N RU Д-RU.РА05.В.17033/23</t>
        </is>
      </c>
      <c r="AG382" s="78" t="n"/>
      <c r="AJ382" s="84" t="inlineStr"/>
      <c r="AK382" s="84" t="n">
        <v>0</v>
      </c>
      <c r="BB382" s="449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 ht="27" customHeight="1">
      <c r="A383" s="63" t="inlineStr">
        <is>
          <t>SU003432</t>
        </is>
      </c>
      <c r="B383" s="63" t="inlineStr">
        <is>
          <t>P004347</t>
        </is>
      </c>
      <c r="C383" s="36" t="n">
        <v>4301011952</v>
      </c>
      <c r="D383" s="745" t="n">
        <v>4680115884922</v>
      </c>
      <c r="E383" s="1062" t="n"/>
      <c r="F383" s="1100" t="n">
        <v>0.5</v>
      </c>
      <c r="G383" s="37" t="n">
        <v>10</v>
      </c>
      <c r="H383" s="1100" t="n">
        <v>5</v>
      </c>
      <c r="I383" s="1100" t="n">
        <v>5.21</v>
      </c>
      <c r="J383" s="37" t="n">
        <v>132</v>
      </c>
      <c r="K383" s="37" t="inlineStr">
        <is>
          <t>12</t>
        </is>
      </c>
      <c r="L383" s="37" t="inlineStr"/>
      <c r="M383" s="38" t="inlineStr">
        <is>
          <t>СК2</t>
        </is>
      </c>
      <c r="N383" s="38" t="n"/>
      <c r="O383" s="37" t="n">
        <v>60</v>
      </c>
      <c r="P383" s="129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383" s="1102" t="n"/>
      <c r="R383" s="1102" t="n"/>
      <c r="S383" s="1102" t="n"/>
      <c r="T383" s="1103" t="n"/>
      <c r="U383" s="39" t="inlineStr"/>
      <c r="V383" s="39" t="inlineStr"/>
      <c r="W383" s="40" t="inlineStr">
        <is>
          <t>кг</t>
        </is>
      </c>
      <c r="X383" s="1104" t="n">
        <v>0</v>
      </c>
      <c r="Y383" s="1105">
        <f>IFERROR(IF(X383="",0,CEILING((X383/$H383),1)*$H383),"")</f>
        <v/>
      </c>
      <c r="Z383" s="41">
        <f>IFERROR(IF(Y383=0,"",ROUNDUP(Y383/H383,0)*0.00902),"")</f>
        <v/>
      </c>
      <c r="AA383" s="68" t="inlineStr"/>
      <c r="AB383" s="69" t="inlineStr"/>
      <c r="AC383" s="450" t="inlineStr">
        <is>
          <t>ЕАЭС N RU Д-RU.РА02.В.61635/24, ЕАЭС N RU Д-RU.РА09.В.95694/24</t>
        </is>
      </c>
      <c r="AG383" s="78" t="n"/>
      <c r="AJ383" s="84" t="inlineStr"/>
      <c r="AK383" s="84" t="n">
        <v>0</v>
      </c>
      <c r="BB383" s="451" t="inlineStr">
        <is>
          <t>КИ</t>
        </is>
      </c>
      <c r="BM383" s="78">
        <f>IFERROR(X383*I383/H383,"0")</f>
        <v/>
      </c>
      <c r="BN383" s="78">
        <f>IFERROR(Y383*I383/H383,"0")</f>
        <v/>
      </c>
      <c r="BO383" s="78">
        <f>IFERROR(1/J383*(X383/H383),"0")</f>
        <v/>
      </c>
      <c r="BP383" s="78">
        <f>IFERROR(1/J383*(Y383/H383),"0")</f>
        <v/>
      </c>
    </row>
    <row r="384" ht="37.5" customHeight="1">
      <c r="A384" s="63" t="inlineStr">
        <is>
          <t>SU003421</t>
        </is>
      </c>
      <c r="B384" s="63" t="inlineStr">
        <is>
          <t>P004253</t>
        </is>
      </c>
      <c r="C384" s="36" t="n">
        <v>4301011868</v>
      </c>
      <c r="D384" s="745" t="n">
        <v>4680115884861</v>
      </c>
      <c r="E384" s="1062" t="n"/>
      <c r="F384" s="1100" t="n">
        <v>0.5</v>
      </c>
      <c r="G384" s="37" t="n">
        <v>10</v>
      </c>
      <c r="H384" s="1100" t="n">
        <v>5</v>
      </c>
      <c r="I384" s="1100" t="n">
        <v>5.21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СК2</t>
        </is>
      </c>
      <c r="N384" s="38" t="n"/>
      <c r="O384" s="37" t="n">
        <v>60</v>
      </c>
      <c r="P384" s="129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384" s="1102" t="n"/>
      <c r="R384" s="1102" t="n"/>
      <c r="S384" s="1102" t="n"/>
      <c r="T384" s="1103" t="n"/>
      <c r="U384" s="39" t="inlineStr"/>
      <c r="V384" s="39" t="inlineStr"/>
      <c r="W384" s="40" t="inlineStr">
        <is>
          <t>кг</t>
        </is>
      </c>
      <c r="X384" s="1104" t="n">
        <v>15</v>
      </c>
      <c r="Y384" s="1105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52" t="inlineStr">
        <is>
          <t>ЕАЭС N RU Д-RU.РА02.В.61660/24, ЕАЭС N RU Д-RU.РА10.В.85286/23, ЕАЭС N RU Д-RU.РА10.В.85449/23</t>
        </is>
      </c>
      <c r="AG384" s="78" t="n"/>
      <c r="AJ384" s="84" t="inlineStr"/>
      <c r="AK384" s="84" t="n">
        <v>0</v>
      </c>
      <c r="BB384" s="453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>
      <c r="A385" s="758" t="n"/>
      <c r="B385" s="1051" t="n"/>
      <c r="C385" s="1051" t="n"/>
      <c r="D385" s="1051" t="n"/>
      <c r="E385" s="1051" t="n"/>
      <c r="F385" s="1051" t="n"/>
      <c r="G385" s="1051" t="n"/>
      <c r="H385" s="1051" t="n"/>
      <c r="I385" s="1051" t="n"/>
      <c r="J385" s="1051" t="n"/>
      <c r="K385" s="1051" t="n"/>
      <c r="L385" s="1051" t="n"/>
      <c r="M385" s="1051" t="n"/>
      <c r="N385" s="1051" t="n"/>
      <c r="O385" s="1111" t="n"/>
      <c r="P385" s="1112" t="inlineStr">
        <is>
          <t>Итого</t>
        </is>
      </c>
      <c r="Q385" s="1069" t="n"/>
      <c r="R385" s="1069" t="n"/>
      <c r="S385" s="1069" t="n"/>
      <c r="T385" s="1069" t="n"/>
      <c r="U385" s="1069" t="n"/>
      <c r="V385" s="1070" t="n"/>
      <c r="W385" s="42" t="inlineStr">
        <is>
          <t>кор</t>
        </is>
      </c>
      <c r="X385" s="1113">
        <f>IFERROR(X375/H375,"0")+IFERROR(X376/H376,"0")+IFERROR(X377/H377,"0")+IFERROR(X378/H378,"0")+IFERROR(X379/H379,"0")+IFERROR(X380/H380,"0")+IFERROR(X381/H381,"0")+IFERROR(X382/H382,"0")+IFERROR(X383/H383,"0")+IFERROR(X384/H384,"0")</f>
        <v/>
      </c>
      <c r="Y385" s="1113">
        <f>IFERROR(Y375/H375,"0")+IFERROR(Y376/H376,"0")+IFERROR(Y377/H377,"0")+IFERROR(Y378/H378,"0")+IFERROR(Y379/H379,"0")+IFERROR(Y380/H380,"0")+IFERROR(Y381/H381,"0")+IFERROR(Y382/H382,"0")+IFERROR(Y383/H383,"0")+IFERROR(Y384/H384,"0")</f>
        <v/>
      </c>
      <c r="Z385" s="1113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/>
      </c>
      <c r="AA385" s="1114" t="n"/>
      <c r="AB385" s="1114" t="n"/>
      <c r="AC385" s="1114" t="n"/>
    </row>
    <row r="386">
      <c r="A386" s="1051" t="n"/>
      <c r="B386" s="1051" t="n"/>
      <c r="C386" s="1051" t="n"/>
      <c r="D386" s="1051" t="n"/>
      <c r="E386" s="1051" t="n"/>
      <c r="F386" s="1051" t="n"/>
      <c r="G386" s="1051" t="n"/>
      <c r="H386" s="1051" t="n"/>
      <c r="I386" s="1051" t="n"/>
      <c r="J386" s="1051" t="n"/>
      <c r="K386" s="1051" t="n"/>
      <c r="L386" s="1051" t="n"/>
      <c r="M386" s="1051" t="n"/>
      <c r="N386" s="1051" t="n"/>
      <c r="O386" s="1111" t="n"/>
      <c r="P386" s="1112" t="inlineStr">
        <is>
          <t>Итого</t>
        </is>
      </c>
      <c r="Q386" s="1069" t="n"/>
      <c r="R386" s="1069" t="n"/>
      <c r="S386" s="1069" t="n"/>
      <c r="T386" s="1069" t="n"/>
      <c r="U386" s="1069" t="n"/>
      <c r="V386" s="1070" t="n"/>
      <c r="W386" s="42" t="inlineStr">
        <is>
          <t>кг</t>
        </is>
      </c>
      <c r="X386" s="1113">
        <f>IFERROR(SUM(X375:X384),"0")</f>
        <v/>
      </c>
      <c r="Y386" s="1113">
        <f>IFERROR(SUM(Y375:Y384),"0")</f>
        <v/>
      </c>
      <c r="Z386" s="42" t="n"/>
      <c r="AA386" s="1114" t="n"/>
      <c r="AB386" s="1114" t="n"/>
      <c r="AC386" s="1114" t="n"/>
    </row>
    <row r="387" ht="14.25" customHeight="1">
      <c r="A387" s="744" t="inlineStr">
        <is>
          <t>Ветчины</t>
        </is>
      </c>
      <c r="B387" s="1051" t="n"/>
      <c r="C387" s="1051" t="n"/>
      <c r="D387" s="1051" t="n"/>
      <c r="E387" s="1051" t="n"/>
      <c r="F387" s="1051" t="n"/>
      <c r="G387" s="1051" t="n"/>
      <c r="H387" s="1051" t="n"/>
      <c r="I387" s="1051" t="n"/>
      <c r="J387" s="1051" t="n"/>
      <c r="K387" s="1051" t="n"/>
      <c r="L387" s="1051" t="n"/>
      <c r="M387" s="1051" t="n"/>
      <c r="N387" s="1051" t="n"/>
      <c r="O387" s="1051" t="n"/>
      <c r="P387" s="1051" t="n"/>
      <c r="Q387" s="1051" t="n"/>
      <c r="R387" s="1051" t="n"/>
      <c r="S387" s="1051" t="n"/>
      <c r="T387" s="1051" t="n"/>
      <c r="U387" s="1051" t="n"/>
      <c r="V387" s="1051" t="n"/>
      <c r="W387" s="1051" t="n"/>
      <c r="X387" s="1051" t="n"/>
      <c r="Y387" s="1051" t="n"/>
      <c r="Z387" s="1051" t="n"/>
      <c r="AA387" s="744" t="n"/>
      <c r="AB387" s="744" t="n"/>
      <c r="AC387" s="744" t="n"/>
    </row>
    <row r="388" ht="27" customHeight="1">
      <c r="A388" s="63" t="inlineStr">
        <is>
          <t>SU000126</t>
        </is>
      </c>
      <c r="B388" s="63" t="inlineStr">
        <is>
          <t>P002555</t>
        </is>
      </c>
      <c r="C388" s="36" t="n">
        <v>4301020178</v>
      </c>
      <c r="D388" s="745" t="n">
        <v>4607091383980</v>
      </c>
      <c r="E388" s="1062" t="n"/>
      <c r="F388" s="1100" t="n">
        <v>2.5</v>
      </c>
      <c r="G388" s="37" t="n">
        <v>6</v>
      </c>
      <c r="H388" s="1100" t="n">
        <v>15</v>
      </c>
      <c r="I388" s="1100" t="n">
        <v>15.48</v>
      </c>
      <c r="J388" s="37" t="n">
        <v>48</v>
      </c>
      <c r="K388" s="37" t="inlineStr">
        <is>
          <t>8</t>
        </is>
      </c>
      <c r="L388" s="37" t="inlineStr">
        <is>
          <t>Палетта, мин. 1</t>
        </is>
      </c>
      <c r="M388" s="38" t="inlineStr">
        <is>
          <t>СК1</t>
        </is>
      </c>
      <c r="N388" s="38" t="n"/>
      <c r="O388" s="37" t="n">
        <v>50</v>
      </c>
      <c r="P388" s="129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388" s="1102" t="n"/>
      <c r="R388" s="1102" t="n"/>
      <c r="S388" s="1102" t="n"/>
      <c r="T388" s="1103" t="n"/>
      <c r="U388" s="39" t="inlineStr"/>
      <c r="V388" s="39" t="inlineStr"/>
      <c r="W388" s="40" t="inlineStr">
        <is>
          <t>кг</t>
        </is>
      </c>
      <c r="X388" s="1104" t="n">
        <v>1500</v>
      </c>
      <c r="Y388" s="1105">
        <f>IFERROR(IF(X388="",0,CEILING((X388/$H388),1)*$H388),"")</f>
        <v/>
      </c>
      <c r="Z388" s="41">
        <f>IFERROR(IF(Y388=0,"",ROUNDUP(Y388/H388,0)*0.02175),"")</f>
        <v/>
      </c>
      <c r="AA388" s="68" t="inlineStr"/>
      <c r="AB388" s="69" t="inlineStr"/>
      <c r="AC388" s="454" t="inlineStr">
        <is>
          <t>ЕАЭС № RU Д- RU.АБ75.В.01032/20</t>
        </is>
      </c>
      <c r="AG388" s="78" t="n"/>
      <c r="AJ388" s="84" t="inlineStr">
        <is>
          <t>Палетта</t>
        </is>
      </c>
      <c r="AK388" s="84" t="n">
        <v>720</v>
      </c>
      <c r="BB388" s="455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 ht="27" customHeight="1">
      <c r="A389" s="63" t="inlineStr">
        <is>
          <t>SU002027</t>
        </is>
      </c>
      <c r="B389" s="63" t="inlineStr">
        <is>
          <t>P002556</t>
        </is>
      </c>
      <c r="C389" s="36" t="n">
        <v>4301020179</v>
      </c>
      <c r="D389" s="745" t="n">
        <v>4607091384178</v>
      </c>
      <c r="E389" s="1062" t="n"/>
      <c r="F389" s="1100" t="n">
        <v>0.4</v>
      </c>
      <c r="G389" s="37" t="n">
        <v>10</v>
      </c>
      <c r="H389" s="1100" t="n">
        <v>4</v>
      </c>
      <c r="I389" s="1100" t="n">
        <v>4.21</v>
      </c>
      <c r="J389" s="37" t="n">
        <v>132</v>
      </c>
      <c r="K389" s="37" t="inlineStr">
        <is>
          <t>12</t>
        </is>
      </c>
      <c r="L389" s="37" t="inlineStr"/>
      <c r="M389" s="38" t="inlineStr">
        <is>
          <t>СК1</t>
        </is>
      </c>
      <c r="N389" s="38" t="n"/>
      <c r="O389" s="37" t="n">
        <v>50</v>
      </c>
      <c r="P389" s="129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389" s="1102" t="n"/>
      <c r="R389" s="1102" t="n"/>
      <c r="S389" s="1102" t="n"/>
      <c r="T389" s="1103" t="n"/>
      <c r="U389" s="39" t="inlineStr"/>
      <c r="V389" s="39" t="inlineStr"/>
      <c r="W389" s="40" t="inlineStr">
        <is>
          <t>кг</t>
        </is>
      </c>
      <c r="X389" s="1104" t="n">
        <v>4</v>
      </c>
      <c r="Y389" s="1105">
        <f>IFERROR(IF(X389="",0,CEILING((X389/$H389),1)*$H389),"")</f>
        <v/>
      </c>
      <c r="Z389" s="41">
        <f>IFERROR(IF(Y389=0,"",ROUNDUP(Y389/H389,0)*0.00902),"")</f>
        <v/>
      </c>
      <c r="AA389" s="68" t="inlineStr"/>
      <c r="AB389" s="69" t="inlineStr"/>
      <c r="AC389" s="456" t="inlineStr">
        <is>
          <t>ЕАЭС № RU Д- RU.АБ75.В.01032/20</t>
        </is>
      </c>
      <c r="AG389" s="78" t="n"/>
      <c r="AJ389" s="84" t="inlineStr"/>
      <c r="AK389" s="84" t="n">
        <v>0</v>
      </c>
      <c r="BB389" s="457" t="inlineStr">
        <is>
          <t>КИ</t>
        </is>
      </c>
      <c r="BM389" s="78">
        <f>IFERROR(X389*I389/H389,"0")</f>
        <v/>
      </c>
      <c r="BN389" s="78">
        <f>IFERROR(Y389*I389/H389,"0")</f>
        <v/>
      </c>
      <c r="BO389" s="78">
        <f>IFERROR(1/J389*(X389/H389),"0")</f>
        <v/>
      </c>
      <c r="BP389" s="78">
        <f>IFERROR(1/J389*(Y389/H389),"0")</f>
        <v/>
      </c>
    </row>
    <row r="390">
      <c r="A390" s="758" t="n"/>
      <c r="B390" s="1051" t="n"/>
      <c r="C390" s="1051" t="n"/>
      <c r="D390" s="1051" t="n"/>
      <c r="E390" s="1051" t="n"/>
      <c r="F390" s="1051" t="n"/>
      <c r="G390" s="1051" t="n"/>
      <c r="H390" s="1051" t="n"/>
      <c r="I390" s="1051" t="n"/>
      <c r="J390" s="1051" t="n"/>
      <c r="K390" s="1051" t="n"/>
      <c r="L390" s="1051" t="n"/>
      <c r="M390" s="1051" t="n"/>
      <c r="N390" s="1051" t="n"/>
      <c r="O390" s="1111" t="n"/>
      <c r="P390" s="1112" t="inlineStr">
        <is>
          <t>Итого</t>
        </is>
      </c>
      <c r="Q390" s="1069" t="n"/>
      <c r="R390" s="1069" t="n"/>
      <c r="S390" s="1069" t="n"/>
      <c r="T390" s="1069" t="n"/>
      <c r="U390" s="1069" t="n"/>
      <c r="V390" s="1070" t="n"/>
      <c r="W390" s="42" t="inlineStr">
        <is>
          <t>кор</t>
        </is>
      </c>
      <c r="X390" s="1113">
        <f>IFERROR(X388/H388,"0")+IFERROR(X389/H389,"0")</f>
        <v/>
      </c>
      <c r="Y390" s="1113">
        <f>IFERROR(Y388/H388,"0")+IFERROR(Y389/H389,"0")</f>
        <v/>
      </c>
      <c r="Z390" s="1113">
        <f>IFERROR(IF(Z388="",0,Z388),"0")+IFERROR(IF(Z389="",0,Z389),"0")</f>
        <v/>
      </c>
      <c r="AA390" s="1114" t="n"/>
      <c r="AB390" s="1114" t="n"/>
      <c r="AC390" s="1114" t="n"/>
    </row>
    <row r="391">
      <c r="A391" s="1051" t="n"/>
      <c r="B391" s="1051" t="n"/>
      <c r="C391" s="1051" t="n"/>
      <c r="D391" s="1051" t="n"/>
      <c r="E391" s="1051" t="n"/>
      <c r="F391" s="1051" t="n"/>
      <c r="G391" s="1051" t="n"/>
      <c r="H391" s="1051" t="n"/>
      <c r="I391" s="1051" t="n"/>
      <c r="J391" s="1051" t="n"/>
      <c r="K391" s="1051" t="n"/>
      <c r="L391" s="1051" t="n"/>
      <c r="M391" s="1051" t="n"/>
      <c r="N391" s="1051" t="n"/>
      <c r="O391" s="1111" t="n"/>
      <c r="P391" s="1112" t="inlineStr">
        <is>
          <t>Итого</t>
        </is>
      </c>
      <c r="Q391" s="1069" t="n"/>
      <c r="R391" s="1069" t="n"/>
      <c r="S391" s="1069" t="n"/>
      <c r="T391" s="1069" t="n"/>
      <c r="U391" s="1069" t="n"/>
      <c r="V391" s="1070" t="n"/>
      <c r="W391" s="42" t="inlineStr">
        <is>
          <t>кг</t>
        </is>
      </c>
      <c r="X391" s="1113">
        <f>IFERROR(SUM(X388:X389),"0")</f>
        <v/>
      </c>
      <c r="Y391" s="1113">
        <f>IFERROR(SUM(Y388:Y389),"0")</f>
        <v/>
      </c>
      <c r="Z391" s="42" t="n"/>
      <c r="AA391" s="1114" t="n"/>
      <c r="AB391" s="1114" t="n"/>
      <c r="AC391" s="1114" t="n"/>
    </row>
    <row r="392" ht="14.25" customHeight="1">
      <c r="A392" s="744" t="inlineStr">
        <is>
          <t>Сосиски</t>
        </is>
      </c>
      <c r="B392" s="1051" t="n"/>
      <c r="C392" s="1051" t="n"/>
      <c r="D392" s="1051" t="n"/>
      <c r="E392" s="1051" t="n"/>
      <c r="F392" s="1051" t="n"/>
      <c r="G392" s="1051" t="n"/>
      <c r="H392" s="1051" t="n"/>
      <c r="I392" s="1051" t="n"/>
      <c r="J392" s="1051" t="n"/>
      <c r="K392" s="1051" t="n"/>
      <c r="L392" s="1051" t="n"/>
      <c r="M392" s="1051" t="n"/>
      <c r="N392" s="1051" t="n"/>
      <c r="O392" s="1051" t="n"/>
      <c r="P392" s="1051" t="n"/>
      <c r="Q392" s="1051" t="n"/>
      <c r="R392" s="1051" t="n"/>
      <c r="S392" s="1051" t="n"/>
      <c r="T392" s="1051" t="n"/>
      <c r="U392" s="1051" t="n"/>
      <c r="V392" s="1051" t="n"/>
      <c r="W392" s="1051" t="n"/>
      <c r="X392" s="1051" t="n"/>
      <c r="Y392" s="1051" t="n"/>
      <c r="Z392" s="1051" t="n"/>
      <c r="AA392" s="744" t="n"/>
      <c r="AB392" s="744" t="n"/>
      <c r="AC392" s="744" t="n"/>
    </row>
    <row r="393" ht="27" customHeight="1">
      <c r="A393" s="63" t="inlineStr">
        <is>
          <t>SU003161</t>
        </is>
      </c>
      <c r="B393" s="63" t="inlineStr">
        <is>
          <t>P004847</t>
        </is>
      </c>
      <c r="C393" s="36" t="n">
        <v>4301051903</v>
      </c>
      <c r="D393" s="745" t="n">
        <v>4607091383928</v>
      </c>
      <c r="E393" s="1062" t="n"/>
      <c r="F393" s="1100" t="n">
        <v>1.5</v>
      </c>
      <c r="G393" s="37" t="n">
        <v>6</v>
      </c>
      <c r="H393" s="1100" t="n">
        <v>9</v>
      </c>
      <c r="I393" s="1100" t="n">
        <v>9.525</v>
      </c>
      <c r="J393" s="37" t="n">
        <v>64</v>
      </c>
      <c r="K393" s="37" t="inlineStr">
        <is>
          <t>8</t>
        </is>
      </c>
      <c r="L393" s="37" t="inlineStr"/>
      <c r="M393" s="38" t="inlineStr">
        <is>
          <t>СК3</t>
        </is>
      </c>
      <c r="N393" s="38" t="n"/>
      <c r="O393" s="37" t="n">
        <v>40</v>
      </c>
      <c r="P393" s="1295" t="inlineStr">
        <is>
          <t>Сосиски «Датские» Весовой п/а ТМ «Особый рецепт»</t>
        </is>
      </c>
      <c r="Q393" s="1102" t="n"/>
      <c r="R393" s="1102" t="n"/>
      <c r="S393" s="1102" t="n"/>
      <c r="T393" s="1103" t="n"/>
      <c r="U393" s="39" t="inlineStr"/>
      <c r="V393" s="39" t="inlineStr"/>
      <c r="W393" s="40" t="inlineStr">
        <is>
          <t>кг</t>
        </is>
      </c>
      <c r="X393" s="1104" t="n">
        <v>0</v>
      </c>
      <c r="Y393" s="1105">
        <f>IFERROR(IF(X393="",0,CEILING((X393/$H393),1)*$H393),"")</f>
        <v/>
      </c>
      <c r="Z393" s="41">
        <f>IFERROR(IF(Y393=0,"",ROUNDUP(Y393/H393,0)*0.01898),"")</f>
        <v/>
      </c>
      <c r="AA393" s="68" t="inlineStr"/>
      <c r="AB393" s="69" t="inlineStr"/>
      <c r="AC393" s="458" t="inlineStr">
        <is>
          <t>ЕАЭС N RU Д-RU.РА01.В.87343/24, ЕАЭС N RU Д-RU.РА01.В.87437/24</t>
        </is>
      </c>
      <c r="AG393" s="78" t="n"/>
      <c r="AJ393" s="84" t="inlineStr"/>
      <c r="AK393" s="84" t="n">
        <v>0</v>
      </c>
      <c r="BB393" s="45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 ht="27" customHeight="1">
      <c r="A394" s="63" t="inlineStr">
        <is>
          <t>SU000246</t>
        </is>
      </c>
      <c r="B394" s="63" t="inlineStr">
        <is>
          <t>P004843</t>
        </is>
      </c>
      <c r="C394" s="36" t="n">
        <v>4301051897</v>
      </c>
      <c r="D394" s="745" t="n">
        <v>4607091384260</v>
      </c>
      <c r="E394" s="1062" t="n"/>
      <c r="F394" s="1100" t="n">
        <v>1.5</v>
      </c>
      <c r="G394" s="37" t="n">
        <v>6</v>
      </c>
      <c r="H394" s="1100" t="n">
        <v>9</v>
      </c>
      <c r="I394" s="1100" t="n">
        <v>9.519</v>
      </c>
      <c r="J394" s="37" t="n">
        <v>64</v>
      </c>
      <c r="K394" s="37" t="inlineStr">
        <is>
          <t>8</t>
        </is>
      </c>
      <c r="L394" s="37" t="inlineStr"/>
      <c r="M394" s="38" t="inlineStr">
        <is>
          <t>СК3</t>
        </is>
      </c>
      <c r="N394" s="38" t="n"/>
      <c r="O394" s="37" t="n">
        <v>40</v>
      </c>
      <c r="P394" s="1296" t="inlineStr">
        <is>
          <t>Сосиски «Молочные оригинальные» Весовой п/а ТМ «Особый рецепт»</t>
        </is>
      </c>
      <c r="Q394" s="1102" t="n"/>
      <c r="R394" s="1102" t="n"/>
      <c r="S394" s="1102" t="n"/>
      <c r="T394" s="1103" t="n"/>
      <c r="U394" s="39" t="inlineStr"/>
      <c r="V394" s="39" t="inlineStr"/>
      <c r="W394" s="40" t="inlineStr">
        <is>
          <t>кг</t>
        </is>
      </c>
      <c r="X394" s="1104" t="n">
        <v>40</v>
      </c>
      <c r="Y394" s="1105">
        <f>IFERROR(IF(X394="",0,CEILING((X394/$H394),1)*$H394),"")</f>
        <v/>
      </c>
      <c r="Z394" s="41">
        <f>IFERROR(IF(Y394=0,"",ROUNDUP(Y394/H394,0)*0.01898),"")</f>
        <v/>
      </c>
      <c r="AA394" s="68" t="inlineStr"/>
      <c r="AB394" s="69" t="inlineStr"/>
      <c r="AC394" s="460" t="inlineStr">
        <is>
          <t>ЕАЭС N RU Д-RU.РА03.В.23071/24, ЕАЭС N RU Д-RU.РА03.В.25758/24</t>
        </is>
      </c>
      <c r="AG394" s="78" t="n"/>
      <c r="AJ394" s="84" t="inlineStr"/>
      <c r="AK394" s="84" t="n">
        <v>0</v>
      </c>
      <c r="BB394" s="461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>
      <c r="A395" s="758" t="n"/>
      <c r="B395" s="1051" t="n"/>
      <c r="C395" s="1051" t="n"/>
      <c r="D395" s="1051" t="n"/>
      <c r="E395" s="1051" t="n"/>
      <c r="F395" s="1051" t="n"/>
      <c r="G395" s="1051" t="n"/>
      <c r="H395" s="1051" t="n"/>
      <c r="I395" s="1051" t="n"/>
      <c r="J395" s="1051" t="n"/>
      <c r="K395" s="1051" t="n"/>
      <c r="L395" s="1051" t="n"/>
      <c r="M395" s="1051" t="n"/>
      <c r="N395" s="1051" t="n"/>
      <c r="O395" s="1111" t="n"/>
      <c r="P395" s="1112" t="inlineStr">
        <is>
          <t>Итого</t>
        </is>
      </c>
      <c r="Q395" s="1069" t="n"/>
      <c r="R395" s="1069" t="n"/>
      <c r="S395" s="1069" t="n"/>
      <c r="T395" s="1069" t="n"/>
      <c r="U395" s="1069" t="n"/>
      <c r="V395" s="1070" t="n"/>
      <c r="W395" s="42" t="inlineStr">
        <is>
          <t>кор</t>
        </is>
      </c>
      <c r="X395" s="1113">
        <f>IFERROR(X393/H393,"0")+IFERROR(X394/H394,"0")</f>
        <v/>
      </c>
      <c r="Y395" s="1113">
        <f>IFERROR(Y393/H393,"0")+IFERROR(Y394/H394,"0")</f>
        <v/>
      </c>
      <c r="Z395" s="1113">
        <f>IFERROR(IF(Z393="",0,Z393),"0")+IFERROR(IF(Z394="",0,Z394),"0")</f>
        <v/>
      </c>
      <c r="AA395" s="1114" t="n"/>
      <c r="AB395" s="1114" t="n"/>
      <c r="AC395" s="1114" t="n"/>
    </row>
    <row r="396">
      <c r="A396" s="1051" t="n"/>
      <c r="B396" s="1051" t="n"/>
      <c r="C396" s="1051" t="n"/>
      <c r="D396" s="1051" t="n"/>
      <c r="E396" s="1051" t="n"/>
      <c r="F396" s="1051" t="n"/>
      <c r="G396" s="1051" t="n"/>
      <c r="H396" s="1051" t="n"/>
      <c r="I396" s="1051" t="n"/>
      <c r="J396" s="1051" t="n"/>
      <c r="K396" s="1051" t="n"/>
      <c r="L396" s="1051" t="n"/>
      <c r="M396" s="1051" t="n"/>
      <c r="N396" s="1051" t="n"/>
      <c r="O396" s="1111" t="n"/>
      <c r="P396" s="1112" t="inlineStr">
        <is>
          <t>Итого</t>
        </is>
      </c>
      <c r="Q396" s="1069" t="n"/>
      <c r="R396" s="1069" t="n"/>
      <c r="S396" s="1069" t="n"/>
      <c r="T396" s="1069" t="n"/>
      <c r="U396" s="1069" t="n"/>
      <c r="V396" s="1070" t="n"/>
      <c r="W396" s="42" t="inlineStr">
        <is>
          <t>кг</t>
        </is>
      </c>
      <c r="X396" s="1113">
        <f>IFERROR(SUM(X393:X394),"0")</f>
        <v/>
      </c>
      <c r="Y396" s="1113">
        <f>IFERROR(SUM(Y393:Y394),"0")</f>
        <v/>
      </c>
      <c r="Z396" s="42" t="n"/>
      <c r="AA396" s="1114" t="n"/>
      <c r="AB396" s="1114" t="n"/>
      <c r="AC396" s="1114" t="n"/>
    </row>
    <row r="397" ht="14.25" customHeight="1">
      <c r="A397" s="744" t="inlineStr">
        <is>
          <t>Сардельки</t>
        </is>
      </c>
      <c r="B397" s="1051" t="n"/>
      <c r="C397" s="1051" t="n"/>
      <c r="D397" s="1051" t="n"/>
      <c r="E397" s="1051" t="n"/>
      <c r="F397" s="1051" t="n"/>
      <c r="G397" s="1051" t="n"/>
      <c r="H397" s="1051" t="n"/>
      <c r="I397" s="1051" t="n"/>
      <c r="J397" s="1051" t="n"/>
      <c r="K397" s="1051" t="n"/>
      <c r="L397" s="1051" t="n"/>
      <c r="M397" s="1051" t="n"/>
      <c r="N397" s="1051" t="n"/>
      <c r="O397" s="1051" t="n"/>
      <c r="P397" s="1051" t="n"/>
      <c r="Q397" s="1051" t="n"/>
      <c r="R397" s="1051" t="n"/>
      <c r="S397" s="1051" t="n"/>
      <c r="T397" s="1051" t="n"/>
      <c r="U397" s="1051" t="n"/>
      <c r="V397" s="1051" t="n"/>
      <c r="W397" s="1051" t="n"/>
      <c r="X397" s="1051" t="n"/>
      <c r="Y397" s="1051" t="n"/>
      <c r="Z397" s="1051" t="n"/>
      <c r="AA397" s="744" t="n"/>
      <c r="AB397" s="744" t="n"/>
      <c r="AC397" s="744" t="n"/>
    </row>
    <row r="398" ht="27" customHeight="1">
      <c r="A398" s="63" t="inlineStr">
        <is>
          <t>SU002287</t>
        </is>
      </c>
      <c r="B398" s="63" t="inlineStr">
        <is>
          <t>P004845</t>
        </is>
      </c>
      <c r="C398" s="36" t="n">
        <v>4301060439</v>
      </c>
      <c r="D398" s="745" t="n">
        <v>4607091384673</v>
      </c>
      <c r="E398" s="1062" t="n"/>
      <c r="F398" s="1100" t="n">
        <v>1.5</v>
      </c>
      <c r="G398" s="37" t="n">
        <v>6</v>
      </c>
      <c r="H398" s="1100" t="n">
        <v>9</v>
      </c>
      <c r="I398" s="1100" t="n">
        <v>9.519</v>
      </c>
      <c r="J398" s="37" t="n">
        <v>64</v>
      </c>
      <c r="K398" s="37" t="inlineStr">
        <is>
          <t>8</t>
        </is>
      </c>
      <c r="L398" s="37" t="inlineStr"/>
      <c r="M398" s="38" t="inlineStr">
        <is>
          <t>СК3</t>
        </is>
      </c>
      <c r="N398" s="38" t="n"/>
      <c r="O398" s="37" t="n">
        <v>30</v>
      </c>
      <c r="P398" s="1297" t="inlineStr">
        <is>
          <t>Сардельки «Сочные» Весовой п/а ТМ «Особый рецепт»</t>
        </is>
      </c>
      <c r="Q398" s="1102" t="n"/>
      <c r="R398" s="1102" t="n"/>
      <c r="S398" s="1102" t="n"/>
      <c r="T398" s="1103" t="n"/>
      <c r="U398" s="39" t="inlineStr"/>
      <c r="V398" s="39" t="inlineStr"/>
      <c r="W398" s="40" t="inlineStr">
        <is>
          <t>кг</t>
        </is>
      </c>
      <c r="X398" s="1104" t="n">
        <v>0</v>
      </c>
      <c r="Y398" s="1105">
        <f>IFERROR(IF(X398="",0,CEILING((X398/$H398),1)*$H398),"")</f>
        <v/>
      </c>
      <c r="Z398" s="41">
        <f>IFERROR(IF(Y398=0,"",ROUNDUP(Y398/H398,0)*0.01898),"")</f>
        <v/>
      </c>
      <c r="AA398" s="68" t="inlineStr"/>
      <c r="AB398" s="69" t="inlineStr"/>
      <c r="AC398" s="462" t="inlineStr">
        <is>
          <t>ЕАЭС N RU Д-RU.РА01.В.87692/24, ЕАЭС N RU Д-RU.РА01.В.87698/24</t>
        </is>
      </c>
      <c r="AG398" s="78" t="n"/>
      <c r="AJ398" s="84" t="inlineStr"/>
      <c r="AK398" s="84" t="n">
        <v>0</v>
      </c>
      <c r="BB398" s="46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>
      <c r="A399" s="758" t="n"/>
      <c r="B399" s="1051" t="n"/>
      <c r="C399" s="1051" t="n"/>
      <c r="D399" s="1051" t="n"/>
      <c r="E399" s="1051" t="n"/>
      <c r="F399" s="1051" t="n"/>
      <c r="G399" s="1051" t="n"/>
      <c r="H399" s="1051" t="n"/>
      <c r="I399" s="1051" t="n"/>
      <c r="J399" s="1051" t="n"/>
      <c r="K399" s="1051" t="n"/>
      <c r="L399" s="1051" t="n"/>
      <c r="M399" s="1051" t="n"/>
      <c r="N399" s="1051" t="n"/>
      <c r="O399" s="1111" t="n"/>
      <c r="P399" s="1112" t="inlineStr">
        <is>
          <t>Итого</t>
        </is>
      </c>
      <c r="Q399" s="1069" t="n"/>
      <c r="R399" s="1069" t="n"/>
      <c r="S399" s="1069" t="n"/>
      <c r="T399" s="1069" t="n"/>
      <c r="U399" s="1069" t="n"/>
      <c r="V399" s="1070" t="n"/>
      <c r="W399" s="42" t="inlineStr">
        <is>
          <t>кор</t>
        </is>
      </c>
      <c r="X399" s="1113">
        <f>IFERROR(X398/H398,"0")</f>
        <v/>
      </c>
      <c r="Y399" s="1113">
        <f>IFERROR(Y398/H398,"0")</f>
        <v/>
      </c>
      <c r="Z399" s="1113">
        <f>IFERROR(IF(Z398="",0,Z398),"0")</f>
        <v/>
      </c>
      <c r="AA399" s="1114" t="n"/>
      <c r="AB399" s="1114" t="n"/>
      <c r="AC399" s="1114" t="n"/>
    </row>
    <row r="400">
      <c r="A400" s="1051" t="n"/>
      <c r="B400" s="1051" t="n"/>
      <c r="C400" s="1051" t="n"/>
      <c r="D400" s="1051" t="n"/>
      <c r="E400" s="1051" t="n"/>
      <c r="F400" s="1051" t="n"/>
      <c r="G400" s="1051" t="n"/>
      <c r="H400" s="1051" t="n"/>
      <c r="I400" s="1051" t="n"/>
      <c r="J400" s="1051" t="n"/>
      <c r="K400" s="1051" t="n"/>
      <c r="L400" s="1051" t="n"/>
      <c r="M400" s="1051" t="n"/>
      <c r="N400" s="1051" t="n"/>
      <c r="O400" s="1111" t="n"/>
      <c r="P400" s="1112" t="inlineStr">
        <is>
          <t>Итого</t>
        </is>
      </c>
      <c r="Q400" s="1069" t="n"/>
      <c r="R400" s="1069" t="n"/>
      <c r="S400" s="1069" t="n"/>
      <c r="T400" s="1069" t="n"/>
      <c r="U400" s="1069" t="n"/>
      <c r="V400" s="1070" t="n"/>
      <c r="W400" s="42" t="inlineStr">
        <is>
          <t>кг</t>
        </is>
      </c>
      <c r="X400" s="1113">
        <f>IFERROR(SUM(X398:X398),"0")</f>
        <v/>
      </c>
      <c r="Y400" s="1113">
        <f>IFERROR(SUM(Y398:Y398),"0")</f>
        <v/>
      </c>
      <c r="Z400" s="42" t="n"/>
      <c r="AA400" s="1114" t="n"/>
      <c r="AB400" s="1114" t="n"/>
      <c r="AC400" s="1114" t="n"/>
    </row>
    <row r="401" ht="16.5" customHeight="1">
      <c r="A401" s="743" t="inlineStr">
        <is>
          <t>Особая Без свинины</t>
        </is>
      </c>
      <c r="B401" s="1051" t="n"/>
      <c r="C401" s="1051" t="n"/>
      <c r="D401" s="1051" t="n"/>
      <c r="E401" s="1051" t="n"/>
      <c r="F401" s="1051" t="n"/>
      <c r="G401" s="1051" t="n"/>
      <c r="H401" s="1051" t="n"/>
      <c r="I401" s="1051" t="n"/>
      <c r="J401" s="1051" t="n"/>
      <c r="K401" s="1051" t="n"/>
      <c r="L401" s="1051" t="n"/>
      <c r="M401" s="1051" t="n"/>
      <c r="N401" s="1051" t="n"/>
      <c r="O401" s="1051" t="n"/>
      <c r="P401" s="1051" t="n"/>
      <c r="Q401" s="1051" t="n"/>
      <c r="R401" s="1051" t="n"/>
      <c r="S401" s="1051" t="n"/>
      <c r="T401" s="1051" t="n"/>
      <c r="U401" s="1051" t="n"/>
      <c r="V401" s="1051" t="n"/>
      <c r="W401" s="1051" t="n"/>
      <c r="X401" s="1051" t="n"/>
      <c r="Y401" s="1051" t="n"/>
      <c r="Z401" s="1051" t="n"/>
      <c r="AA401" s="743" t="n"/>
      <c r="AB401" s="743" t="n"/>
      <c r="AC401" s="743" t="n"/>
    </row>
    <row r="402" ht="14.25" customHeight="1">
      <c r="A402" s="744" t="inlineStr">
        <is>
          <t>Вареные колбасы</t>
        </is>
      </c>
      <c r="B402" s="1051" t="n"/>
      <c r="C402" s="1051" t="n"/>
      <c r="D402" s="1051" t="n"/>
      <c r="E402" s="1051" t="n"/>
      <c r="F402" s="1051" t="n"/>
      <c r="G402" s="1051" t="n"/>
      <c r="H402" s="1051" t="n"/>
      <c r="I402" s="1051" t="n"/>
      <c r="J402" s="1051" t="n"/>
      <c r="K402" s="1051" t="n"/>
      <c r="L402" s="1051" t="n"/>
      <c r="M402" s="1051" t="n"/>
      <c r="N402" s="1051" t="n"/>
      <c r="O402" s="1051" t="n"/>
      <c r="P402" s="1051" t="n"/>
      <c r="Q402" s="1051" t="n"/>
      <c r="R402" s="1051" t="n"/>
      <c r="S402" s="1051" t="n"/>
      <c r="T402" s="1051" t="n"/>
      <c r="U402" s="1051" t="n"/>
      <c r="V402" s="1051" t="n"/>
      <c r="W402" s="1051" t="n"/>
      <c r="X402" s="1051" t="n"/>
      <c r="Y402" s="1051" t="n"/>
      <c r="Z402" s="1051" t="n"/>
      <c r="AA402" s="744" t="n"/>
      <c r="AB402" s="744" t="n"/>
      <c r="AC402" s="744" t="n"/>
    </row>
    <row r="403" ht="27" customHeight="1">
      <c r="A403" s="63" t="inlineStr">
        <is>
          <t>SU002899</t>
        </is>
      </c>
      <c r="B403" s="63" t="inlineStr">
        <is>
          <t>P003323</t>
        </is>
      </c>
      <c r="C403" s="36" t="n">
        <v>4301011483</v>
      </c>
      <c r="D403" s="745" t="n">
        <v>4680115881907</v>
      </c>
      <c r="E403" s="1062" t="n"/>
      <c r="F403" s="1100" t="n">
        <v>1.8</v>
      </c>
      <c r="G403" s="37" t="n">
        <v>6</v>
      </c>
      <c r="H403" s="1100" t="n">
        <v>10.8</v>
      </c>
      <c r="I403" s="1100" t="n">
        <v>11.235</v>
      </c>
      <c r="J403" s="37" t="n">
        <v>64</v>
      </c>
      <c r="K403" s="37" t="inlineStr">
        <is>
          <t>8</t>
        </is>
      </c>
      <c r="L403" s="37" t="inlineStr"/>
      <c r="M403" s="38" t="inlineStr">
        <is>
          <t>СК2</t>
        </is>
      </c>
      <c r="N403" s="38" t="n"/>
      <c r="O403" s="37" t="n">
        <v>60</v>
      </c>
      <c r="P403" s="1298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/>
      </c>
      <c r="Q403" s="1102" t="n"/>
      <c r="R403" s="1102" t="n"/>
      <c r="S403" s="1102" t="n"/>
      <c r="T403" s="1103" t="n"/>
      <c r="U403" s="39" t="inlineStr"/>
      <c r="V403" s="39" t="inlineStr"/>
      <c r="W403" s="40" t="inlineStr">
        <is>
          <t>кг</t>
        </is>
      </c>
      <c r="X403" s="1104" t="n">
        <v>0</v>
      </c>
      <c r="Y403" s="1105">
        <f>IFERROR(IF(X403="",0,CEILING((X403/$H403),1)*$H403),"")</f>
        <v/>
      </c>
      <c r="Z403" s="41">
        <f>IFERROR(IF(Y403=0,"",ROUNDUP(Y403/H403,0)*0.01898),"")</f>
        <v/>
      </c>
      <c r="AA403" s="68" t="inlineStr"/>
      <c r="AB403" s="69" t="inlineStr"/>
      <c r="AC403" s="464" t="inlineStr">
        <is>
          <t>ЕАЭС N RU Д-RU.РА03.В.86680/22</t>
        </is>
      </c>
      <c r="AG403" s="78" t="n"/>
      <c r="AJ403" s="84" t="inlineStr"/>
      <c r="AK403" s="84" t="n">
        <v>0</v>
      </c>
      <c r="BB403" s="465" t="inlineStr">
        <is>
          <t>КИ</t>
        </is>
      </c>
      <c r="BM403" s="78">
        <f>IFERROR(X403*I403/H403,"0")</f>
        <v/>
      </c>
      <c r="BN403" s="78">
        <f>IFERROR(Y403*I403/H403,"0")</f>
        <v/>
      </c>
      <c r="BO403" s="78">
        <f>IFERROR(1/J403*(X403/H403),"0")</f>
        <v/>
      </c>
      <c r="BP403" s="78">
        <f>IFERROR(1/J403*(Y403/H403),"0")</f>
        <v/>
      </c>
    </row>
    <row r="404" ht="37.5" customHeight="1">
      <c r="A404" s="63" t="inlineStr">
        <is>
          <t>SU002899</t>
        </is>
      </c>
      <c r="B404" s="63" t="inlineStr">
        <is>
          <t>P004261</t>
        </is>
      </c>
      <c r="C404" s="36" t="n">
        <v>4301011873</v>
      </c>
      <c r="D404" s="745" t="n">
        <v>4680115881907</v>
      </c>
      <c r="E404" s="1062" t="n"/>
      <c r="F404" s="1100" t="n">
        <v>1.8</v>
      </c>
      <c r="G404" s="37" t="n">
        <v>6</v>
      </c>
      <c r="H404" s="1100" t="n">
        <v>10.8</v>
      </c>
      <c r="I404" s="1100" t="n">
        <v>11.235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СК2</t>
        </is>
      </c>
      <c r="N404" s="38" t="n"/>
      <c r="O404" s="37" t="n">
        <v>60</v>
      </c>
      <c r="P404" s="1299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/>
      </c>
      <c r="Q404" s="1102" t="n"/>
      <c r="R404" s="1102" t="n"/>
      <c r="S404" s="1102" t="n"/>
      <c r="T404" s="1103" t="n"/>
      <c r="U404" s="39" t="inlineStr"/>
      <c r="V404" s="39" t="inlineStr"/>
      <c r="W404" s="40" t="inlineStr">
        <is>
          <t>кг</t>
        </is>
      </c>
      <c r="X404" s="1104" t="n">
        <v>0</v>
      </c>
      <c r="Y404" s="1105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66" t="inlineStr">
        <is>
          <t>ЕАЭС N RU Д-RU.РА01.В.47907/24, ЕАЭС N RU Д-RU.РА09.В.95878/24, ЕАЭС N RU Д-RU.РА10.В.10927/24</t>
        </is>
      </c>
      <c r="AG404" s="78" t="n"/>
      <c r="AJ404" s="84" t="inlineStr"/>
      <c r="AK404" s="84" t="n">
        <v>0</v>
      </c>
      <c r="BB404" s="46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37.5" customHeight="1">
      <c r="A405" s="63" t="inlineStr">
        <is>
          <t>SU003424</t>
        </is>
      </c>
      <c r="B405" s="63" t="inlineStr">
        <is>
          <t>P004259</t>
        </is>
      </c>
      <c r="C405" s="36" t="n">
        <v>4301011874</v>
      </c>
      <c r="D405" s="745" t="n">
        <v>4680115884892</v>
      </c>
      <c r="E405" s="1062" t="n"/>
      <c r="F405" s="1100" t="n">
        <v>1.8</v>
      </c>
      <c r="G405" s="37" t="n">
        <v>6</v>
      </c>
      <c r="H405" s="1100" t="n">
        <v>10.8</v>
      </c>
      <c r="I405" s="1100" t="n">
        <v>11.235</v>
      </c>
      <c r="J405" s="37" t="n">
        <v>64</v>
      </c>
      <c r="K405" s="37" t="inlineStr">
        <is>
          <t>8</t>
        </is>
      </c>
      <c r="L405" s="37" t="inlineStr"/>
      <c r="M405" s="38" t="inlineStr">
        <is>
          <t>СК2</t>
        </is>
      </c>
      <c r="N405" s="38" t="n"/>
      <c r="O405" s="37" t="n">
        <v>60</v>
      </c>
      <c r="P405" s="1300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/>
      </c>
      <c r="Q405" s="1102" t="n"/>
      <c r="R405" s="1102" t="n"/>
      <c r="S405" s="1102" t="n"/>
      <c r="T405" s="1103" t="n"/>
      <c r="U405" s="39" t="inlineStr"/>
      <c r="V405" s="39" t="inlineStr"/>
      <c r="W405" s="40" t="inlineStr">
        <is>
          <t>кг</t>
        </is>
      </c>
      <c r="X405" s="1104" t="n">
        <v>0</v>
      </c>
      <c r="Y405" s="1105">
        <f>IFERROR(IF(X405="",0,CEILING((X405/$H405),1)*$H405),"")</f>
        <v/>
      </c>
      <c r="Z405" s="41">
        <f>IFERROR(IF(Y405=0,"",ROUNDUP(Y405/H405,0)*0.01898),"")</f>
        <v/>
      </c>
      <c r="AA405" s="68" t="inlineStr"/>
      <c r="AB405" s="69" t="inlineStr"/>
      <c r="AC405" s="468" t="inlineStr">
        <is>
          <t>ЕАЭС N RU Д-RU.РА03.В.31251/24, ЕАЭС N RU Д-RU.РА09.В.96881/24, ЕАЭС N RU Д-RU.РА10.В.04488/24</t>
        </is>
      </c>
      <c r="AG405" s="78" t="n"/>
      <c r="AJ405" s="84" t="inlineStr"/>
      <c r="AK405" s="84" t="n">
        <v>0</v>
      </c>
      <c r="BB405" s="46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37.5" customHeight="1">
      <c r="A406" s="63" t="inlineStr">
        <is>
          <t>SU003425</t>
        </is>
      </c>
      <c r="B406" s="63" t="inlineStr">
        <is>
          <t>P004273</t>
        </is>
      </c>
      <c r="C406" s="36" t="n">
        <v>4301011875</v>
      </c>
      <c r="D406" s="745" t="n">
        <v>4680115884885</v>
      </c>
      <c r="E406" s="1062" t="n"/>
      <c r="F406" s="1100" t="n">
        <v>0.8</v>
      </c>
      <c r="G406" s="37" t="n">
        <v>15</v>
      </c>
      <c r="H406" s="1100" t="n">
        <v>12</v>
      </c>
      <c r="I406" s="1100" t="n">
        <v>12.435</v>
      </c>
      <c r="J406" s="37" t="n">
        <v>64</v>
      </c>
      <c r="K406" s="37" t="inlineStr">
        <is>
          <t>8</t>
        </is>
      </c>
      <c r="L406" s="37" t="inlineStr"/>
      <c r="M406" s="38" t="inlineStr">
        <is>
          <t>СК2</t>
        </is>
      </c>
      <c r="N406" s="38" t="n"/>
      <c r="O406" s="37" t="n">
        <v>60</v>
      </c>
      <c r="P406" s="130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06" s="1102" t="n"/>
      <c r="R406" s="1102" t="n"/>
      <c r="S406" s="1102" t="n"/>
      <c r="T406" s="1103" t="n"/>
      <c r="U406" s="39" t="inlineStr"/>
      <c r="V406" s="39" t="inlineStr"/>
      <c r="W406" s="40" t="inlineStr">
        <is>
          <t>кг</t>
        </is>
      </c>
      <c r="X406" s="1104" t="n">
        <v>40</v>
      </c>
      <c r="Y406" s="1105">
        <f>IFERROR(IF(X406="",0,CEILING((X406/$H406),1)*$H406),"")</f>
        <v/>
      </c>
      <c r="Z406" s="41">
        <f>IFERROR(IF(Y406=0,"",ROUNDUP(Y406/H406,0)*0.01898),"")</f>
        <v/>
      </c>
      <c r="AA406" s="68" t="inlineStr"/>
      <c r="AB406" s="69" t="inlineStr"/>
      <c r="AC406" s="470" t="inlineStr">
        <is>
          <t>ЕАЭС N RU Д-RU.РА03.В.31251/24, ЕАЭС N RU Д-RU.РА09.В.96881/24, ЕАЭС N RU Д-RU.РА10.В.04488/24</t>
        </is>
      </c>
      <c r="AG406" s="78" t="n"/>
      <c r="AJ406" s="84" t="inlineStr"/>
      <c r="AK406" s="84" t="n">
        <v>0</v>
      </c>
      <c r="BB406" s="47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 ht="37.5" customHeight="1">
      <c r="A407" s="63" t="inlineStr">
        <is>
          <t>SU003426</t>
        </is>
      </c>
      <c r="B407" s="63" t="inlineStr">
        <is>
          <t>P004258</t>
        </is>
      </c>
      <c r="C407" s="36" t="n">
        <v>4301011871</v>
      </c>
      <c r="D407" s="745" t="n">
        <v>4680115884908</v>
      </c>
      <c r="E407" s="1062" t="n"/>
      <c r="F407" s="1100" t="n">
        <v>0.4</v>
      </c>
      <c r="G407" s="37" t="n">
        <v>10</v>
      </c>
      <c r="H407" s="1100" t="n">
        <v>4</v>
      </c>
      <c r="I407" s="1100" t="n">
        <v>4.21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СК2</t>
        </is>
      </c>
      <c r="N407" s="38" t="n"/>
      <c r="O407" s="37" t="n">
        <v>60</v>
      </c>
      <c r="P407" s="130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07" s="1102" t="n"/>
      <c r="R407" s="1102" t="n"/>
      <c r="S407" s="1102" t="n"/>
      <c r="T407" s="1103" t="n"/>
      <c r="U407" s="39" t="inlineStr"/>
      <c r="V407" s="39" t="inlineStr"/>
      <c r="W407" s="40" t="inlineStr">
        <is>
          <t>кг</t>
        </is>
      </c>
      <c r="X407" s="1104" t="n">
        <v>0</v>
      </c>
      <c r="Y407" s="1105">
        <f>IFERROR(IF(X407="",0,CEILING((X407/$H407),1)*$H407),"")</f>
        <v/>
      </c>
      <c r="Z407" s="41">
        <f>IFERROR(IF(Y407=0,"",ROUNDUP(Y407/H407,0)*0.00902),"")</f>
        <v/>
      </c>
      <c r="AA407" s="68" t="inlineStr"/>
      <c r="AB407" s="69" t="inlineStr"/>
      <c r="AC407" s="472" t="inlineStr">
        <is>
          <t>ЕАЭС N RU Д-RU.РА03.В.31251/24, ЕАЭС N RU Д-RU.РА09.В.96881/24, ЕАЭС N RU Д-RU.РА10.В.04488/24</t>
        </is>
      </c>
      <c r="AG407" s="78" t="n"/>
      <c r="AJ407" s="84" t="inlineStr"/>
      <c r="AK407" s="84" t="n">
        <v>0</v>
      </c>
      <c r="BB407" s="473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>
      <c r="A408" s="758" t="n"/>
      <c r="B408" s="1051" t="n"/>
      <c r="C408" s="1051" t="n"/>
      <c r="D408" s="1051" t="n"/>
      <c r="E408" s="1051" t="n"/>
      <c r="F408" s="1051" t="n"/>
      <c r="G408" s="1051" t="n"/>
      <c r="H408" s="1051" t="n"/>
      <c r="I408" s="1051" t="n"/>
      <c r="J408" s="1051" t="n"/>
      <c r="K408" s="1051" t="n"/>
      <c r="L408" s="1051" t="n"/>
      <c r="M408" s="1051" t="n"/>
      <c r="N408" s="1051" t="n"/>
      <c r="O408" s="1111" t="n"/>
      <c r="P408" s="1112" t="inlineStr">
        <is>
          <t>Итого</t>
        </is>
      </c>
      <c r="Q408" s="1069" t="n"/>
      <c r="R408" s="1069" t="n"/>
      <c r="S408" s="1069" t="n"/>
      <c r="T408" s="1069" t="n"/>
      <c r="U408" s="1069" t="n"/>
      <c r="V408" s="1070" t="n"/>
      <c r="W408" s="42" t="inlineStr">
        <is>
          <t>кор</t>
        </is>
      </c>
      <c r="X408" s="1113">
        <f>IFERROR(X403/H403,"0")+IFERROR(X404/H404,"0")+IFERROR(X405/H405,"0")+IFERROR(X406/H406,"0")+IFERROR(X407/H407,"0")</f>
        <v/>
      </c>
      <c r="Y408" s="1113">
        <f>IFERROR(Y403/H403,"0")+IFERROR(Y404/H404,"0")+IFERROR(Y405/H405,"0")+IFERROR(Y406/H406,"0")+IFERROR(Y407/H407,"0")</f>
        <v/>
      </c>
      <c r="Z408" s="1113">
        <f>IFERROR(IF(Z403="",0,Z403),"0")+IFERROR(IF(Z404="",0,Z404),"0")+IFERROR(IF(Z405="",0,Z405),"0")+IFERROR(IF(Z406="",0,Z406),"0")+IFERROR(IF(Z407="",0,Z407),"0")</f>
        <v/>
      </c>
      <c r="AA408" s="1114" t="n"/>
      <c r="AB408" s="1114" t="n"/>
      <c r="AC408" s="1114" t="n"/>
    </row>
    <row r="409">
      <c r="A409" s="1051" t="n"/>
      <c r="B409" s="1051" t="n"/>
      <c r="C409" s="1051" t="n"/>
      <c r="D409" s="1051" t="n"/>
      <c r="E409" s="1051" t="n"/>
      <c r="F409" s="1051" t="n"/>
      <c r="G409" s="1051" t="n"/>
      <c r="H409" s="1051" t="n"/>
      <c r="I409" s="1051" t="n"/>
      <c r="J409" s="1051" t="n"/>
      <c r="K409" s="1051" t="n"/>
      <c r="L409" s="1051" t="n"/>
      <c r="M409" s="1051" t="n"/>
      <c r="N409" s="1051" t="n"/>
      <c r="O409" s="1111" t="n"/>
      <c r="P409" s="1112" t="inlineStr">
        <is>
          <t>Итого</t>
        </is>
      </c>
      <c r="Q409" s="1069" t="n"/>
      <c r="R409" s="1069" t="n"/>
      <c r="S409" s="1069" t="n"/>
      <c r="T409" s="1069" t="n"/>
      <c r="U409" s="1069" t="n"/>
      <c r="V409" s="1070" t="n"/>
      <c r="W409" s="42" t="inlineStr">
        <is>
          <t>кг</t>
        </is>
      </c>
      <c r="X409" s="1113">
        <f>IFERROR(SUM(X403:X407),"0")</f>
        <v/>
      </c>
      <c r="Y409" s="1113">
        <f>IFERROR(SUM(Y403:Y407),"0")</f>
        <v/>
      </c>
      <c r="Z409" s="42" t="n"/>
      <c r="AA409" s="1114" t="n"/>
      <c r="AB409" s="1114" t="n"/>
      <c r="AC409" s="1114" t="n"/>
    </row>
    <row r="410" ht="14.25" customHeight="1">
      <c r="A410" s="744" t="inlineStr">
        <is>
          <t>Копченые колбасы</t>
        </is>
      </c>
      <c r="B410" s="1051" t="n"/>
      <c r="C410" s="1051" t="n"/>
      <c r="D410" s="1051" t="n"/>
      <c r="E410" s="1051" t="n"/>
      <c r="F410" s="1051" t="n"/>
      <c r="G410" s="1051" t="n"/>
      <c r="H410" s="1051" t="n"/>
      <c r="I410" s="1051" t="n"/>
      <c r="J410" s="1051" t="n"/>
      <c r="K410" s="1051" t="n"/>
      <c r="L410" s="1051" t="n"/>
      <c r="M410" s="1051" t="n"/>
      <c r="N410" s="1051" t="n"/>
      <c r="O410" s="1051" t="n"/>
      <c r="P410" s="1051" t="n"/>
      <c r="Q410" s="1051" t="n"/>
      <c r="R410" s="1051" t="n"/>
      <c r="S410" s="1051" t="n"/>
      <c r="T410" s="1051" t="n"/>
      <c r="U410" s="1051" t="n"/>
      <c r="V410" s="1051" t="n"/>
      <c r="W410" s="1051" t="n"/>
      <c r="X410" s="1051" t="n"/>
      <c r="Y410" s="1051" t="n"/>
      <c r="Z410" s="1051" t="n"/>
      <c r="AA410" s="744" t="n"/>
      <c r="AB410" s="744" t="n"/>
      <c r="AC410" s="744" t="n"/>
    </row>
    <row r="411" ht="27" customHeight="1">
      <c r="A411" s="63" t="inlineStr">
        <is>
          <t>SU002360</t>
        </is>
      </c>
      <c r="B411" s="63" t="inlineStr">
        <is>
          <t>P004227</t>
        </is>
      </c>
      <c r="C411" s="36" t="n">
        <v>4301031303</v>
      </c>
      <c r="D411" s="745" t="n">
        <v>4607091384802</v>
      </c>
      <c r="E411" s="1062" t="n"/>
      <c r="F411" s="1100" t="n">
        <v>0.73</v>
      </c>
      <c r="G411" s="37" t="n">
        <v>6</v>
      </c>
      <c r="H411" s="1100" t="n">
        <v>4.38</v>
      </c>
      <c r="I411" s="1100" t="n">
        <v>4.65</v>
      </c>
      <c r="J411" s="37" t="n">
        <v>132</v>
      </c>
      <c r="K411" s="37" t="inlineStr">
        <is>
          <t>12</t>
        </is>
      </c>
      <c r="L411" s="37" t="inlineStr"/>
      <c r="M411" s="38" t="inlineStr">
        <is>
          <t>СК2</t>
        </is>
      </c>
      <c r="N411" s="38" t="n"/>
      <c r="O411" s="37" t="n">
        <v>35</v>
      </c>
      <c r="P411" s="1303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/>
      </c>
      <c r="Q411" s="1102" t="n"/>
      <c r="R411" s="1102" t="n"/>
      <c r="S411" s="1102" t="n"/>
      <c r="T411" s="1103" t="n"/>
      <c r="U411" s="39" t="inlineStr"/>
      <c r="V411" s="39" t="inlineStr"/>
      <c r="W411" s="40" t="inlineStr">
        <is>
          <t>кг</t>
        </is>
      </c>
      <c r="X411" s="1104" t="n">
        <v>0</v>
      </c>
      <c r="Y411" s="1105">
        <f>IFERROR(IF(X411="",0,CEILING((X411/$H411),1)*$H411),"")</f>
        <v/>
      </c>
      <c r="Z411" s="41">
        <f>IFERROR(IF(Y411=0,"",ROUNDUP(Y411/H411,0)*0.00902),"")</f>
        <v/>
      </c>
      <c r="AA411" s="68" t="inlineStr"/>
      <c r="AB411" s="69" t="inlineStr"/>
      <c r="AC411" s="474" t="inlineStr">
        <is>
          <t>ЕАЭС N RU Д-RU.РА02.В.61652/24</t>
        </is>
      </c>
      <c r="AG411" s="78" t="n"/>
      <c r="AJ411" s="84" t="inlineStr"/>
      <c r="AK411" s="84" t="n">
        <v>0</v>
      </c>
      <c r="BB411" s="475" t="inlineStr">
        <is>
          <t>КИ</t>
        </is>
      </c>
      <c r="BM411" s="78">
        <f>IFERROR(X411*I411/H411,"0")</f>
        <v/>
      </c>
      <c r="BN411" s="78">
        <f>IFERROR(Y411*I411/H411,"0")</f>
        <v/>
      </c>
      <c r="BO411" s="78">
        <f>IFERROR(1/J411*(X411/H411),"0")</f>
        <v/>
      </c>
      <c r="BP411" s="78">
        <f>IFERROR(1/J411*(Y411/H411),"0")</f>
        <v/>
      </c>
    </row>
    <row r="412" ht="27" customHeight="1">
      <c r="A412" s="63" t="inlineStr">
        <is>
          <t>SU002361</t>
        </is>
      </c>
      <c r="B412" s="63" t="inlineStr">
        <is>
          <t>P004228</t>
        </is>
      </c>
      <c r="C412" s="36" t="n">
        <v>4301031304</v>
      </c>
      <c r="D412" s="745" t="n">
        <v>4607091384826</v>
      </c>
      <c r="E412" s="1062" t="n"/>
      <c r="F412" s="1100" t="n">
        <v>0.35</v>
      </c>
      <c r="G412" s="37" t="n">
        <v>8</v>
      </c>
      <c r="H412" s="1100" t="n">
        <v>2.8</v>
      </c>
      <c r="I412" s="1100" t="n">
        <v>2.98</v>
      </c>
      <c r="J412" s="37" t="n">
        <v>234</v>
      </c>
      <c r="K412" s="37" t="inlineStr">
        <is>
          <t>18</t>
        </is>
      </c>
      <c r="L412" s="37" t="inlineStr"/>
      <c r="M412" s="38" t="inlineStr">
        <is>
          <t>СК2</t>
        </is>
      </c>
      <c r="N412" s="38" t="n"/>
      <c r="O412" s="37" t="n">
        <v>35</v>
      </c>
      <c r="P412" s="1304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/>
      </c>
      <c r="Q412" s="1102" t="n"/>
      <c r="R412" s="1102" t="n"/>
      <c r="S412" s="1102" t="n"/>
      <c r="T412" s="1103" t="n"/>
      <c r="U412" s="39" t="inlineStr"/>
      <c r="V412" s="39" t="inlineStr"/>
      <c r="W412" s="40" t="inlineStr">
        <is>
          <t>кг</t>
        </is>
      </c>
      <c r="X412" s="1104" t="n">
        <v>0</v>
      </c>
      <c r="Y412" s="1105">
        <f>IFERROR(IF(X412="",0,CEILING((X412/$H412),1)*$H412),"")</f>
        <v/>
      </c>
      <c r="Z412" s="41">
        <f>IFERROR(IF(Y412=0,"",ROUNDUP(Y412/H412,0)*0.00502),"")</f>
        <v/>
      </c>
      <c r="AA412" s="68" t="inlineStr"/>
      <c r="AB412" s="69" t="inlineStr"/>
      <c r="AC412" s="476" t="inlineStr">
        <is>
          <t>ЕАЭС N RU Д-RU.РА02.В.61652/24</t>
        </is>
      </c>
      <c r="AG412" s="78" t="n"/>
      <c r="AJ412" s="84" t="inlineStr"/>
      <c r="AK412" s="84" t="n">
        <v>0</v>
      </c>
      <c r="BB412" s="477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>
      <c r="A413" s="758" t="n"/>
      <c r="B413" s="1051" t="n"/>
      <c r="C413" s="1051" t="n"/>
      <c r="D413" s="1051" t="n"/>
      <c r="E413" s="1051" t="n"/>
      <c r="F413" s="1051" t="n"/>
      <c r="G413" s="1051" t="n"/>
      <c r="H413" s="1051" t="n"/>
      <c r="I413" s="1051" t="n"/>
      <c r="J413" s="1051" t="n"/>
      <c r="K413" s="1051" t="n"/>
      <c r="L413" s="1051" t="n"/>
      <c r="M413" s="1051" t="n"/>
      <c r="N413" s="1051" t="n"/>
      <c r="O413" s="1111" t="n"/>
      <c r="P413" s="1112" t="inlineStr">
        <is>
          <t>Итого</t>
        </is>
      </c>
      <c r="Q413" s="1069" t="n"/>
      <c r="R413" s="1069" t="n"/>
      <c r="S413" s="1069" t="n"/>
      <c r="T413" s="1069" t="n"/>
      <c r="U413" s="1069" t="n"/>
      <c r="V413" s="1070" t="n"/>
      <c r="W413" s="42" t="inlineStr">
        <is>
          <t>кор</t>
        </is>
      </c>
      <c r="X413" s="1113">
        <f>IFERROR(X411/H411,"0")+IFERROR(X412/H412,"0")</f>
        <v/>
      </c>
      <c r="Y413" s="1113">
        <f>IFERROR(Y411/H411,"0")+IFERROR(Y412/H412,"0")</f>
        <v/>
      </c>
      <c r="Z413" s="1113">
        <f>IFERROR(IF(Z411="",0,Z411),"0")+IFERROR(IF(Z412="",0,Z412),"0")</f>
        <v/>
      </c>
      <c r="AA413" s="1114" t="n"/>
      <c r="AB413" s="1114" t="n"/>
      <c r="AC413" s="1114" t="n"/>
    </row>
    <row r="414">
      <c r="A414" s="1051" t="n"/>
      <c r="B414" s="1051" t="n"/>
      <c r="C414" s="1051" t="n"/>
      <c r="D414" s="1051" t="n"/>
      <c r="E414" s="1051" t="n"/>
      <c r="F414" s="1051" t="n"/>
      <c r="G414" s="1051" t="n"/>
      <c r="H414" s="1051" t="n"/>
      <c r="I414" s="1051" t="n"/>
      <c r="J414" s="1051" t="n"/>
      <c r="K414" s="1051" t="n"/>
      <c r="L414" s="1051" t="n"/>
      <c r="M414" s="1051" t="n"/>
      <c r="N414" s="1051" t="n"/>
      <c r="O414" s="1111" t="n"/>
      <c r="P414" s="1112" t="inlineStr">
        <is>
          <t>Итого</t>
        </is>
      </c>
      <c r="Q414" s="1069" t="n"/>
      <c r="R414" s="1069" t="n"/>
      <c r="S414" s="1069" t="n"/>
      <c r="T414" s="1069" t="n"/>
      <c r="U414" s="1069" t="n"/>
      <c r="V414" s="1070" t="n"/>
      <c r="W414" s="42" t="inlineStr">
        <is>
          <t>кг</t>
        </is>
      </c>
      <c r="X414" s="1113">
        <f>IFERROR(SUM(X411:X412),"0")</f>
        <v/>
      </c>
      <c r="Y414" s="1113">
        <f>IFERROR(SUM(Y411:Y412),"0")</f>
        <v/>
      </c>
      <c r="Z414" s="42" t="n"/>
      <c r="AA414" s="1114" t="n"/>
      <c r="AB414" s="1114" t="n"/>
      <c r="AC414" s="1114" t="n"/>
    </row>
    <row r="415" ht="14.25" customHeight="1">
      <c r="A415" s="744" t="inlineStr">
        <is>
          <t>Сосиски</t>
        </is>
      </c>
      <c r="B415" s="1051" t="n"/>
      <c r="C415" s="1051" t="n"/>
      <c r="D415" s="1051" t="n"/>
      <c r="E415" s="1051" t="n"/>
      <c r="F415" s="1051" t="n"/>
      <c r="G415" s="1051" t="n"/>
      <c r="H415" s="1051" t="n"/>
      <c r="I415" s="1051" t="n"/>
      <c r="J415" s="1051" t="n"/>
      <c r="K415" s="1051" t="n"/>
      <c r="L415" s="1051" t="n"/>
      <c r="M415" s="1051" t="n"/>
      <c r="N415" s="1051" t="n"/>
      <c r="O415" s="1051" t="n"/>
      <c r="P415" s="1051" t="n"/>
      <c r="Q415" s="1051" t="n"/>
      <c r="R415" s="1051" t="n"/>
      <c r="S415" s="1051" t="n"/>
      <c r="T415" s="1051" t="n"/>
      <c r="U415" s="1051" t="n"/>
      <c r="V415" s="1051" t="n"/>
      <c r="W415" s="1051" t="n"/>
      <c r="X415" s="1051" t="n"/>
      <c r="Y415" s="1051" t="n"/>
      <c r="Z415" s="1051" t="n"/>
      <c r="AA415" s="744" t="n"/>
      <c r="AB415" s="744" t="n"/>
      <c r="AC415" s="744" t="n"/>
    </row>
    <row r="416" ht="27" customHeight="1">
      <c r="A416" s="63" t="inlineStr">
        <is>
          <t>SU002074</t>
        </is>
      </c>
      <c r="B416" s="63" t="inlineStr">
        <is>
          <t>P004844</t>
        </is>
      </c>
      <c r="C416" s="36" t="n">
        <v>4301051899</v>
      </c>
      <c r="D416" s="745" t="n">
        <v>4607091384246</v>
      </c>
      <c r="E416" s="1062" t="n"/>
      <c r="F416" s="1100" t="n">
        <v>1.5</v>
      </c>
      <c r="G416" s="37" t="n">
        <v>6</v>
      </c>
      <c r="H416" s="1100" t="n">
        <v>9</v>
      </c>
      <c r="I416" s="1100" t="n">
        <v>9.519</v>
      </c>
      <c r="J416" s="37" t="n">
        <v>64</v>
      </c>
      <c r="K416" s="37" t="inlineStr">
        <is>
          <t>8</t>
        </is>
      </c>
      <c r="L416" s="37" t="inlineStr"/>
      <c r="M416" s="38" t="inlineStr">
        <is>
          <t>СК3</t>
        </is>
      </c>
      <c r="N416" s="38" t="n"/>
      <c r="O416" s="37" t="n">
        <v>40</v>
      </c>
      <c r="P416" s="1305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16" s="1102" t="n"/>
      <c r="R416" s="1102" t="n"/>
      <c r="S416" s="1102" t="n"/>
      <c r="T416" s="1103" t="n"/>
      <c r="U416" s="39" t="inlineStr"/>
      <c r="V416" s="39" t="inlineStr"/>
      <c r="W416" s="40" t="inlineStr">
        <is>
          <t>кг</t>
        </is>
      </c>
      <c r="X416" s="1104" t="n">
        <v>0</v>
      </c>
      <c r="Y416" s="1105">
        <f>IFERROR(IF(X416="",0,CEILING((X416/$H416),1)*$H416),"")</f>
        <v/>
      </c>
      <c r="Z416" s="41">
        <f>IFERROR(IF(Y416=0,"",ROUNDUP(Y416/H416,0)*0.01898),"")</f>
        <v/>
      </c>
      <c r="AA416" s="68" t="inlineStr"/>
      <c r="AB416" s="69" t="inlineStr"/>
      <c r="AC416" s="478" t="inlineStr">
        <is>
          <t>ЕАЭС N RU Д-RU.РА03.В.21982/24, ЕАЭС N RU Д-RU.РА03.В.22955/24</t>
        </is>
      </c>
      <c r="AG416" s="78" t="n"/>
      <c r="AJ416" s="84" t="inlineStr"/>
      <c r="AK416" s="84" t="n">
        <v>0</v>
      </c>
      <c r="BB416" s="479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37.5" customHeight="1">
      <c r="A417" s="63" t="inlineStr">
        <is>
          <t>SU002896</t>
        </is>
      </c>
      <c r="B417" s="63" t="inlineStr">
        <is>
          <t>P004848</t>
        </is>
      </c>
      <c r="C417" s="36" t="n">
        <v>4301051901</v>
      </c>
      <c r="D417" s="745" t="n">
        <v>4680115881976</v>
      </c>
      <c r="E417" s="1062" t="n"/>
      <c r="F417" s="1100" t="n">
        <v>1.5</v>
      </c>
      <c r="G417" s="37" t="n">
        <v>6</v>
      </c>
      <c r="H417" s="1100" t="n">
        <v>9</v>
      </c>
      <c r="I417" s="1100" t="n">
        <v>9.435</v>
      </c>
      <c r="J417" s="37" t="n">
        <v>64</v>
      </c>
      <c r="K417" s="37" t="inlineStr">
        <is>
          <t>8</t>
        </is>
      </c>
      <c r="L417" s="37" t="inlineStr"/>
      <c r="M417" s="38" t="inlineStr">
        <is>
          <t>СК3</t>
        </is>
      </c>
      <c r="N417" s="38" t="n"/>
      <c r="O417" s="37" t="n">
        <v>40</v>
      </c>
      <c r="P417" s="1306" t="inlineStr">
        <is>
          <t>Сосиски «Сочные без свинины» Весовой п/а ТМ «Особый рецепт»</t>
        </is>
      </c>
      <c r="Q417" s="1102" t="n"/>
      <c r="R417" s="1102" t="n"/>
      <c r="S417" s="1102" t="n"/>
      <c r="T417" s="1103" t="n"/>
      <c r="U417" s="39" t="inlineStr"/>
      <c r="V417" s="39" t="inlineStr"/>
      <c r="W417" s="40" t="inlineStr">
        <is>
          <t>кг</t>
        </is>
      </c>
      <c r="X417" s="1104" t="n">
        <v>0</v>
      </c>
      <c r="Y417" s="1105">
        <f>IFERROR(IF(X417="",0,CEILING((X417/$H417),1)*$H417),"")</f>
        <v/>
      </c>
      <c r="Z417" s="41">
        <f>IFERROR(IF(Y417=0,"",ROUNDUP(Y417/H417,0)*0.01898),"")</f>
        <v/>
      </c>
      <c r="AA417" s="68" t="inlineStr"/>
      <c r="AB417" s="69" t="inlineStr"/>
      <c r="AC417" s="480" t="inlineStr">
        <is>
          <t>ЕАЭС N RU Д-RU.РА03.В.99662/23, ЕАЭС N RU Д-RU.РА03.В.99705/23, ЕАЭС N RU Д-RU.РА10.В.84789/23</t>
        </is>
      </c>
      <c r="AG417" s="78" t="n"/>
      <c r="AJ417" s="84" t="inlineStr"/>
      <c r="AK417" s="84" t="n">
        <v>0</v>
      </c>
      <c r="BB417" s="481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SU002205</t>
        </is>
      </c>
      <c r="B418" s="63" t="inlineStr">
        <is>
          <t>P002694</t>
        </is>
      </c>
      <c r="C418" s="36" t="n">
        <v>4301051297</v>
      </c>
      <c r="D418" s="745" t="n">
        <v>4607091384253</v>
      </c>
      <c r="E418" s="1062" t="n"/>
      <c r="F418" s="1100" t="n">
        <v>0.4</v>
      </c>
      <c r="G418" s="37" t="n">
        <v>6</v>
      </c>
      <c r="H418" s="1100" t="n">
        <v>2.4</v>
      </c>
      <c r="I418" s="1100" t="n">
        <v>2.664</v>
      </c>
      <c r="J418" s="37" t="n">
        <v>182</v>
      </c>
      <c r="K418" s="37" t="inlineStr">
        <is>
          <t>14</t>
        </is>
      </c>
      <c r="L418" s="37" t="inlineStr"/>
      <c r="M418" s="38" t="inlineStr">
        <is>
          <t>СК2</t>
        </is>
      </c>
      <c r="N418" s="38" t="n"/>
      <c r="O418" s="37" t="n">
        <v>40</v>
      </c>
      <c r="P418" s="1307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/>
      </c>
      <c r="Q418" s="1102" t="n"/>
      <c r="R418" s="1102" t="n"/>
      <c r="S418" s="1102" t="n"/>
      <c r="T418" s="1103" t="n"/>
      <c r="U418" s="39" t="inlineStr"/>
      <c r="V418" s="39" t="inlineStr"/>
      <c r="W418" s="40" t="inlineStr">
        <is>
          <t>кг</t>
        </is>
      </c>
      <c r="X418" s="1104" t="n">
        <v>0</v>
      </c>
      <c r="Y418" s="1105">
        <f>IFERROR(IF(X418="",0,CEILING((X418/$H418),1)*$H418),"")</f>
        <v/>
      </c>
      <c r="Z418" s="41">
        <f>IFERROR(IF(Y418=0,"",ROUNDUP(Y418/H418,0)*0.00651),"")</f>
        <v/>
      </c>
      <c r="AA418" s="68" t="inlineStr"/>
      <c r="AB418" s="69" t="inlineStr"/>
      <c r="AC418" s="482" t="inlineStr">
        <is>
          <t>ЕАЭС N RU Д-RU.РА01.В.58934/20</t>
        </is>
      </c>
      <c r="AG418" s="78" t="n"/>
      <c r="AJ418" s="84" t="inlineStr"/>
      <c r="AK418" s="84" t="n">
        <v>0</v>
      </c>
      <c r="BB418" s="483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27" customHeight="1">
      <c r="A419" s="63" t="inlineStr">
        <is>
          <t>SU002205</t>
        </is>
      </c>
      <c r="B419" s="63" t="inlineStr">
        <is>
          <t>P003969</t>
        </is>
      </c>
      <c r="C419" s="36" t="n">
        <v>4301051660</v>
      </c>
      <c r="D419" s="745" t="n">
        <v>4607091384253</v>
      </c>
      <c r="E419" s="1062" t="n"/>
      <c r="F419" s="1100" t="n">
        <v>0.4</v>
      </c>
      <c r="G419" s="37" t="n">
        <v>6</v>
      </c>
      <c r="H419" s="1100" t="n">
        <v>2.4</v>
      </c>
      <c r="I419" s="1100" t="n">
        <v>2.664</v>
      </c>
      <c r="J419" s="37" t="n">
        <v>182</v>
      </c>
      <c r="K419" s="37" t="inlineStr">
        <is>
          <t>14</t>
        </is>
      </c>
      <c r="L419" s="37" t="inlineStr"/>
      <c r="M419" s="38" t="inlineStr">
        <is>
          <t>СК3</t>
        </is>
      </c>
      <c r="N419" s="38" t="n"/>
      <c r="O419" s="37" t="n">
        <v>40</v>
      </c>
      <c r="P419" s="1308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19" s="1102" t="n"/>
      <c r="R419" s="1102" t="n"/>
      <c r="S419" s="1102" t="n"/>
      <c r="T419" s="1103" t="n"/>
      <c r="U419" s="39" t="inlineStr"/>
      <c r="V419" s="39" t="inlineStr"/>
      <c r="W419" s="40" t="inlineStr">
        <is>
          <t>кг</t>
        </is>
      </c>
      <c r="X419" s="1104" t="n">
        <v>0</v>
      </c>
      <c r="Y419" s="1105">
        <f>IFERROR(IF(X419="",0,CEILING((X419/$H419),1)*$H419),"")</f>
        <v/>
      </c>
      <c r="Z419" s="41">
        <f>IFERROR(IF(Y419=0,"",ROUNDUP(Y419/H419,0)*0.00651),"")</f>
        <v/>
      </c>
      <c r="AA419" s="68" t="inlineStr"/>
      <c r="AB419" s="69" t="inlineStr"/>
      <c r="AC419" s="484" t="inlineStr">
        <is>
          <t>ЕАЭС N RU Д-RU.РА03.В.21982/24, ЕАЭС N RU Д-RU.РА03.В.22955/24</t>
        </is>
      </c>
      <c r="AG419" s="78" t="n"/>
      <c r="AJ419" s="84" t="inlineStr"/>
      <c r="AK419" s="84" t="n">
        <v>0</v>
      </c>
      <c r="BB419" s="485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 ht="27" customHeight="1">
      <c r="A420" s="63" t="inlineStr">
        <is>
          <t>SU002895</t>
        </is>
      </c>
      <c r="B420" s="63" t="inlineStr">
        <is>
          <t>P003329</t>
        </is>
      </c>
      <c r="C420" s="36" t="n">
        <v>4301051444</v>
      </c>
      <c r="D420" s="745" t="n">
        <v>4680115881969</v>
      </c>
      <c r="E420" s="1062" t="n"/>
      <c r="F420" s="1100" t="n">
        <v>0.4</v>
      </c>
      <c r="G420" s="37" t="n">
        <v>6</v>
      </c>
      <c r="H420" s="1100" t="n">
        <v>2.4</v>
      </c>
      <c r="I420" s="1100" t="n">
        <v>2.58</v>
      </c>
      <c r="J420" s="37" t="n">
        <v>182</v>
      </c>
      <c r="K420" s="37" t="inlineStr">
        <is>
          <t>14</t>
        </is>
      </c>
      <c r="L420" s="37" t="inlineStr"/>
      <c r="M420" s="38" t="inlineStr">
        <is>
          <t>СК2</t>
        </is>
      </c>
      <c r="N420" s="38" t="n"/>
      <c r="O420" s="37" t="n">
        <v>40</v>
      </c>
      <c r="P420" s="1309">
        <f>HYPERLINK("https://abi.ru/products/Охлажденные/Особый рецепт/Особая Без свинины/Сосиски/P003329/","Сосиски «Сочные без свинины» ф/в 0,4 кг ТМ «Особый рецепт»")</f>
        <v/>
      </c>
      <c r="Q420" s="1102" t="n"/>
      <c r="R420" s="1102" t="n"/>
      <c r="S420" s="1102" t="n"/>
      <c r="T420" s="1103" t="n"/>
      <c r="U420" s="39" t="inlineStr"/>
      <c r="V420" s="39" t="inlineStr"/>
      <c r="W420" s="40" t="inlineStr">
        <is>
          <t>кг</t>
        </is>
      </c>
      <c r="X420" s="1104" t="n">
        <v>0</v>
      </c>
      <c r="Y420" s="1105">
        <f>IFERROR(IF(X420="",0,CEILING((X420/$H420),1)*$H420),"")</f>
        <v/>
      </c>
      <c r="Z420" s="41">
        <f>IFERROR(IF(Y420=0,"",ROUNDUP(Y420/H420,0)*0.00651),"")</f>
        <v/>
      </c>
      <c r="AA420" s="68" t="inlineStr"/>
      <c r="AB420" s="69" t="inlineStr"/>
      <c r="AC420" s="486" t="inlineStr">
        <is>
          <t>ЕАЭС N RU Д-RU.РА03.В.99662/23, ЕАЭС N RU Д-RU.РА03.В.99695/23</t>
        </is>
      </c>
      <c r="AG420" s="78" t="n"/>
      <c r="AJ420" s="84" t="inlineStr"/>
      <c r="AK420" s="84" t="n">
        <v>0</v>
      </c>
      <c r="BB420" s="487" t="inlineStr">
        <is>
          <t>КИ</t>
        </is>
      </c>
      <c r="BM420" s="78">
        <f>IFERROR(X420*I420/H420,"0")</f>
        <v/>
      </c>
      <c r="BN420" s="78">
        <f>IFERROR(Y420*I420/H420,"0")</f>
        <v/>
      </c>
      <c r="BO420" s="78">
        <f>IFERROR(1/J420*(X420/H420),"0")</f>
        <v/>
      </c>
      <c r="BP420" s="78">
        <f>IFERROR(1/J420*(Y420/H420),"0")</f>
        <v/>
      </c>
    </row>
    <row r="421">
      <c r="A421" s="758" t="n"/>
      <c r="B421" s="1051" t="n"/>
      <c r="C421" s="1051" t="n"/>
      <c r="D421" s="1051" t="n"/>
      <c r="E421" s="1051" t="n"/>
      <c r="F421" s="1051" t="n"/>
      <c r="G421" s="1051" t="n"/>
      <c r="H421" s="1051" t="n"/>
      <c r="I421" s="1051" t="n"/>
      <c r="J421" s="1051" t="n"/>
      <c r="K421" s="1051" t="n"/>
      <c r="L421" s="1051" t="n"/>
      <c r="M421" s="1051" t="n"/>
      <c r="N421" s="1051" t="n"/>
      <c r="O421" s="1111" t="n"/>
      <c r="P421" s="1112" t="inlineStr">
        <is>
          <t>Итого</t>
        </is>
      </c>
      <c r="Q421" s="1069" t="n"/>
      <c r="R421" s="1069" t="n"/>
      <c r="S421" s="1069" t="n"/>
      <c r="T421" s="1069" t="n"/>
      <c r="U421" s="1069" t="n"/>
      <c r="V421" s="1070" t="n"/>
      <c r="W421" s="42" t="inlineStr">
        <is>
          <t>кор</t>
        </is>
      </c>
      <c r="X421" s="1113">
        <f>IFERROR(X416/H416,"0")+IFERROR(X417/H417,"0")+IFERROR(X418/H418,"0")+IFERROR(X419/H419,"0")+IFERROR(X420/H420,"0")</f>
        <v/>
      </c>
      <c r="Y421" s="1113">
        <f>IFERROR(Y416/H416,"0")+IFERROR(Y417/H417,"0")+IFERROR(Y418/H418,"0")+IFERROR(Y419/H419,"0")+IFERROR(Y420/H420,"0")</f>
        <v/>
      </c>
      <c r="Z421" s="1113">
        <f>IFERROR(IF(Z416="",0,Z416),"0")+IFERROR(IF(Z417="",0,Z417),"0")+IFERROR(IF(Z418="",0,Z418),"0")+IFERROR(IF(Z419="",0,Z419),"0")+IFERROR(IF(Z420="",0,Z420),"0")</f>
        <v/>
      </c>
      <c r="AA421" s="1114" t="n"/>
      <c r="AB421" s="1114" t="n"/>
      <c r="AC421" s="1114" t="n"/>
    </row>
    <row r="422">
      <c r="A422" s="1051" t="n"/>
      <c r="B422" s="1051" t="n"/>
      <c r="C422" s="1051" t="n"/>
      <c r="D422" s="1051" t="n"/>
      <c r="E422" s="1051" t="n"/>
      <c r="F422" s="1051" t="n"/>
      <c r="G422" s="1051" t="n"/>
      <c r="H422" s="1051" t="n"/>
      <c r="I422" s="1051" t="n"/>
      <c r="J422" s="1051" t="n"/>
      <c r="K422" s="1051" t="n"/>
      <c r="L422" s="1051" t="n"/>
      <c r="M422" s="1051" t="n"/>
      <c r="N422" s="1051" t="n"/>
      <c r="O422" s="1111" t="n"/>
      <c r="P422" s="1112" t="inlineStr">
        <is>
          <t>Итого</t>
        </is>
      </c>
      <c r="Q422" s="1069" t="n"/>
      <c r="R422" s="1069" t="n"/>
      <c r="S422" s="1069" t="n"/>
      <c r="T422" s="1069" t="n"/>
      <c r="U422" s="1069" t="n"/>
      <c r="V422" s="1070" t="n"/>
      <c r="W422" s="42" t="inlineStr">
        <is>
          <t>кг</t>
        </is>
      </c>
      <c r="X422" s="1113">
        <f>IFERROR(SUM(X416:X420),"0")</f>
        <v/>
      </c>
      <c r="Y422" s="1113">
        <f>IFERROR(SUM(Y416:Y420),"0")</f>
        <v/>
      </c>
      <c r="Z422" s="42" t="n"/>
      <c r="AA422" s="1114" t="n"/>
      <c r="AB422" s="1114" t="n"/>
      <c r="AC422" s="1114" t="n"/>
    </row>
    <row r="423" ht="14.25" customHeight="1">
      <c r="A423" s="744" t="inlineStr">
        <is>
          <t>Сардельки</t>
        </is>
      </c>
      <c r="B423" s="1051" t="n"/>
      <c r="C423" s="1051" t="n"/>
      <c r="D423" s="1051" t="n"/>
      <c r="E423" s="1051" t="n"/>
      <c r="F423" s="1051" t="n"/>
      <c r="G423" s="1051" t="n"/>
      <c r="H423" s="1051" t="n"/>
      <c r="I423" s="1051" t="n"/>
      <c r="J423" s="1051" t="n"/>
      <c r="K423" s="1051" t="n"/>
      <c r="L423" s="1051" t="n"/>
      <c r="M423" s="1051" t="n"/>
      <c r="N423" s="1051" t="n"/>
      <c r="O423" s="1051" t="n"/>
      <c r="P423" s="1051" t="n"/>
      <c r="Q423" s="1051" t="n"/>
      <c r="R423" s="1051" t="n"/>
      <c r="S423" s="1051" t="n"/>
      <c r="T423" s="1051" t="n"/>
      <c r="U423" s="1051" t="n"/>
      <c r="V423" s="1051" t="n"/>
      <c r="W423" s="1051" t="n"/>
      <c r="X423" s="1051" t="n"/>
      <c r="Y423" s="1051" t="n"/>
      <c r="Z423" s="1051" t="n"/>
      <c r="AA423" s="744" t="n"/>
      <c r="AB423" s="744" t="n"/>
      <c r="AC423" s="744" t="n"/>
    </row>
    <row r="424" ht="27" customHeight="1">
      <c r="A424" s="63" t="inlineStr">
        <is>
          <t>SU002472</t>
        </is>
      </c>
      <c r="B424" s="63" t="inlineStr">
        <is>
          <t>P004846</t>
        </is>
      </c>
      <c r="C424" s="36" t="n">
        <v>4301060441</v>
      </c>
      <c r="D424" s="745" t="n">
        <v>4607091389357</v>
      </c>
      <c r="E424" s="1062" t="n"/>
      <c r="F424" s="1100" t="n">
        <v>1.5</v>
      </c>
      <c r="G424" s="37" t="n">
        <v>6</v>
      </c>
      <c r="H424" s="1100" t="n">
        <v>9</v>
      </c>
      <c r="I424" s="1100" t="n">
        <v>9.435</v>
      </c>
      <c r="J424" s="37" t="n">
        <v>64</v>
      </c>
      <c r="K424" s="37" t="inlineStr">
        <is>
          <t>8</t>
        </is>
      </c>
      <c r="L424" s="37" t="inlineStr"/>
      <c r="M424" s="38" t="inlineStr">
        <is>
          <t>СК3</t>
        </is>
      </c>
      <c r="N424" s="38" t="n"/>
      <c r="O424" s="37" t="n">
        <v>40</v>
      </c>
      <c r="P424" s="1310" t="inlineStr">
        <is>
          <t>Сардельки «Левантские» Весовой п/а ТМ «Особый рецепт»</t>
        </is>
      </c>
      <c r="Q424" s="1102" t="n"/>
      <c r="R424" s="1102" t="n"/>
      <c r="S424" s="1102" t="n"/>
      <c r="T424" s="1103" t="n"/>
      <c r="U424" s="39" t="inlineStr"/>
      <c r="V424" s="39" t="inlineStr"/>
      <c r="W424" s="40" t="inlineStr">
        <is>
          <t>кг</t>
        </is>
      </c>
      <c r="X424" s="1104" t="n">
        <v>0</v>
      </c>
      <c r="Y424" s="1105">
        <f>IFERROR(IF(X424="",0,CEILING((X424/$H424),1)*$H424),"")</f>
        <v/>
      </c>
      <c r="Z424" s="41">
        <f>IFERROR(IF(Y424=0,"",ROUNDUP(Y424/H424,0)*0.01898),"")</f>
        <v/>
      </c>
      <c r="AA424" s="68" t="inlineStr"/>
      <c r="AB424" s="69" t="inlineStr"/>
      <c r="AC424" s="488" t="inlineStr">
        <is>
          <t>ЕАЭС N RU Д-RU.РА01.В.99587/24, ЕАЭС N RU Д-RU.РА01.В.99708/24</t>
        </is>
      </c>
      <c r="AG424" s="78" t="n"/>
      <c r="AJ424" s="84" t="inlineStr"/>
      <c r="AK424" s="84" t="n">
        <v>0</v>
      </c>
      <c r="BB424" s="489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>
      <c r="A425" s="758" t="n"/>
      <c r="B425" s="1051" t="n"/>
      <c r="C425" s="1051" t="n"/>
      <c r="D425" s="1051" t="n"/>
      <c r="E425" s="1051" t="n"/>
      <c r="F425" s="1051" t="n"/>
      <c r="G425" s="1051" t="n"/>
      <c r="H425" s="1051" t="n"/>
      <c r="I425" s="1051" t="n"/>
      <c r="J425" s="1051" t="n"/>
      <c r="K425" s="1051" t="n"/>
      <c r="L425" s="1051" t="n"/>
      <c r="M425" s="1051" t="n"/>
      <c r="N425" s="1051" t="n"/>
      <c r="O425" s="1111" t="n"/>
      <c r="P425" s="1112" t="inlineStr">
        <is>
          <t>Итого</t>
        </is>
      </c>
      <c r="Q425" s="1069" t="n"/>
      <c r="R425" s="1069" t="n"/>
      <c r="S425" s="1069" t="n"/>
      <c r="T425" s="1069" t="n"/>
      <c r="U425" s="1069" t="n"/>
      <c r="V425" s="1070" t="n"/>
      <c r="W425" s="42" t="inlineStr">
        <is>
          <t>кор</t>
        </is>
      </c>
      <c r="X425" s="1113">
        <f>IFERROR(X424/H424,"0")</f>
        <v/>
      </c>
      <c r="Y425" s="1113">
        <f>IFERROR(Y424/H424,"0")</f>
        <v/>
      </c>
      <c r="Z425" s="1113">
        <f>IFERROR(IF(Z424="",0,Z424),"0")</f>
        <v/>
      </c>
      <c r="AA425" s="1114" t="n"/>
      <c r="AB425" s="1114" t="n"/>
      <c r="AC425" s="1114" t="n"/>
    </row>
    <row r="426">
      <c r="A426" s="1051" t="n"/>
      <c r="B426" s="1051" t="n"/>
      <c r="C426" s="1051" t="n"/>
      <c r="D426" s="1051" t="n"/>
      <c r="E426" s="1051" t="n"/>
      <c r="F426" s="1051" t="n"/>
      <c r="G426" s="1051" t="n"/>
      <c r="H426" s="1051" t="n"/>
      <c r="I426" s="1051" t="n"/>
      <c r="J426" s="1051" t="n"/>
      <c r="K426" s="1051" t="n"/>
      <c r="L426" s="1051" t="n"/>
      <c r="M426" s="1051" t="n"/>
      <c r="N426" s="1051" t="n"/>
      <c r="O426" s="1111" t="n"/>
      <c r="P426" s="1112" t="inlineStr">
        <is>
          <t>Итого</t>
        </is>
      </c>
      <c r="Q426" s="1069" t="n"/>
      <c r="R426" s="1069" t="n"/>
      <c r="S426" s="1069" t="n"/>
      <c r="T426" s="1069" t="n"/>
      <c r="U426" s="1069" t="n"/>
      <c r="V426" s="1070" t="n"/>
      <c r="W426" s="42" t="inlineStr">
        <is>
          <t>кг</t>
        </is>
      </c>
      <c r="X426" s="1113">
        <f>IFERROR(SUM(X424:X424),"0")</f>
        <v/>
      </c>
      <c r="Y426" s="1113">
        <f>IFERROR(SUM(Y424:Y424),"0")</f>
        <v/>
      </c>
      <c r="Z426" s="42" t="n"/>
      <c r="AA426" s="1114" t="n"/>
      <c r="AB426" s="1114" t="n"/>
      <c r="AC426" s="1114" t="n"/>
    </row>
    <row r="427" ht="27.75" customHeight="1">
      <c r="A427" s="742" t="inlineStr">
        <is>
          <t>Баварушка</t>
        </is>
      </c>
      <c r="B427" s="1099" t="n"/>
      <c r="C427" s="1099" t="n"/>
      <c r="D427" s="1099" t="n"/>
      <c r="E427" s="1099" t="n"/>
      <c r="F427" s="1099" t="n"/>
      <c r="G427" s="1099" t="n"/>
      <c r="H427" s="1099" t="n"/>
      <c r="I427" s="1099" t="n"/>
      <c r="J427" s="1099" t="n"/>
      <c r="K427" s="1099" t="n"/>
      <c r="L427" s="1099" t="n"/>
      <c r="M427" s="1099" t="n"/>
      <c r="N427" s="1099" t="n"/>
      <c r="O427" s="1099" t="n"/>
      <c r="P427" s="1099" t="n"/>
      <c r="Q427" s="1099" t="n"/>
      <c r="R427" s="1099" t="n"/>
      <c r="S427" s="1099" t="n"/>
      <c r="T427" s="1099" t="n"/>
      <c r="U427" s="1099" t="n"/>
      <c r="V427" s="1099" t="n"/>
      <c r="W427" s="1099" t="n"/>
      <c r="X427" s="1099" t="n"/>
      <c r="Y427" s="1099" t="n"/>
      <c r="Z427" s="1099" t="n"/>
      <c r="AA427" s="54" t="n"/>
      <c r="AB427" s="54" t="n"/>
      <c r="AC427" s="54" t="n"/>
    </row>
    <row r="428" ht="16.5" customHeight="1">
      <c r="A428" s="743" t="inlineStr">
        <is>
          <t>Филейбургская</t>
        </is>
      </c>
      <c r="B428" s="1051" t="n"/>
      <c r="C428" s="1051" t="n"/>
      <c r="D428" s="1051" t="n"/>
      <c r="E428" s="1051" t="n"/>
      <c r="F428" s="1051" t="n"/>
      <c r="G428" s="1051" t="n"/>
      <c r="H428" s="1051" t="n"/>
      <c r="I428" s="1051" t="n"/>
      <c r="J428" s="1051" t="n"/>
      <c r="K428" s="1051" t="n"/>
      <c r="L428" s="1051" t="n"/>
      <c r="M428" s="1051" t="n"/>
      <c r="N428" s="1051" t="n"/>
      <c r="O428" s="1051" t="n"/>
      <c r="P428" s="1051" t="n"/>
      <c r="Q428" s="1051" t="n"/>
      <c r="R428" s="1051" t="n"/>
      <c r="S428" s="1051" t="n"/>
      <c r="T428" s="1051" t="n"/>
      <c r="U428" s="1051" t="n"/>
      <c r="V428" s="1051" t="n"/>
      <c r="W428" s="1051" t="n"/>
      <c r="X428" s="1051" t="n"/>
      <c r="Y428" s="1051" t="n"/>
      <c r="Z428" s="1051" t="n"/>
      <c r="AA428" s="743" t="n"/>
      <c r="AB428" s="743" t="n"/>
      <c r="AC428" s="743" t="n"/>
    </row>
    <row r="429" ht="14.25" customHeight="1">
      <c r="A429" s="744" t="inlineStr">
        <is>
          <t>Копченые колбасы</t>
        </is>
      </c>
      <c r="B429" s="1051" t="n"/>
      <c r="C429" s="1051" t="n"/>
      <c r="D429" s="1051" t="n"/>
      <c r="E429" s="1051" t="n"/>
      <c r="F429" s="1051" t="n"/>
      <c r="G429" s="1051" t="n"/>
      <c r="H429" s="1051" t="n"/>
      <c r="I429" s="1051" t="n"/>
      <c r="J429" s="1051" t="n"/>
      <c r="K429" s="1051" t="n"/>
      <c r="L429" s="1051" t="n"/>
      <c r="M429" s="1051" t="n"/>
      <c r="N429" s="1051" t="n"/>
      <c r="O429" s="1051" t="n"/>
      <c r="P429" s="1051" t="n"/>
      <c r="Q429" s="1051" t="n"/>
      <c r="R429" s="1051" t="n"/>
      <c r="S429" s="1051" t="n"/>
      <c r="T429" s="1051" t="n"/>
      <c r="U429" s="1051" t="n"/>
      <c r="V429" s="1051" t="n"/>
      <c r="W429" s="1051" t="n"/>
      <c r="X429" s="1051" t="n"/>
      <c r="Y429" s="1051" t="n"/>
      <c r="Z429" s="1051" t="n"/>
      <c r="AA429" s="744" t="n"/>
      <c r="AB429" s="744" t="n"/>
      <c r="AC429" s="744" t="n"/>
    </row>
    <row r="430" ht="27" customHeight="1">
      <c r="A430" s="63" t="inlineStr">
        <is>
          <t>SU002614</t>
        </is>
      </c>
      <c r="B430" s="63" t="inlineStr">
        <is>
          <t>P004898</t>
        </is>
      </c>
      <c r="C430" s="36" t="n">
        <v>4301031405</v>
      </c>
      <c r="D430" s="745" t="n">
        <v>4680115886100</v>
      </c>
      <c r="E430" s="1062" t="n"/>
      <c r="F430" s="1100" t="n">
        <v>0.9</v>
      </c>
      <c r="G430" s="37" t="n">
        <v>6</v>
      </c>
      <c r="H430" s="1100" t="n">
        <v>5.4</v>
      </c>
      <c r="I430" s="1100" t="n">
        <v>5.61</v>
      </c>
      <c r="J430" s="37" t="n">
        <v>132</v>
      </c>
      <c r="K430" s="37" t="inlineStr">
        <is>
          <t>12</t>
        </is>
      </c>
      <c r="L430" s="37" t="inlineStr"/>
      <c r="M430" s="38" t="inlineStr">
        <is>
          <t>СК2</t>
        </is>
      </c>
      <c r="N430" s="38" t="n"/>
      <c r="O430" s="37" t="n">
        <v>50</v>
      </c>
      <c r="P430" s="1311" t="inlineStr">
        <is>
          <t>Копченые колбасы «Салями Филейбургская зернистая» Весовой фиброуз ТМ «Баварушка»</t>
        </is>
      </c>
      <c r="Q430" s="1102" t="n"/>
      <c r="R430" s="1102" t="n"/>
      <c r="S430" s="1102" t="n"/>
      <c r="T430" s="1103" t="n"/>
      <c r="U430" s="39" t="inlineStr"/>
      <c r="V430" s="39" t="inlineStr"/>
      <c r="W430" s="40" t="inlineStr">
        <is>
          <t>кг</t>
        </is>
      </c>
      <c r="X430" s="1104" t="n">
        <v>10</v>
      </c>
      <c r="Y430" s="1105">
        <f>IFERROR(IF(X430="",0,CEILING((X430/$H430),1)*$H430),"")</f>
        <v/>
      </c>
      <c r="Z430" s="41">
        <f>IFERROR(IF(Y430=0,"",ROUNDUP(Y430/H430,0)*0.00902),"")</f>
        <v/>
      </c>
      <c r="AA430" s="68" t="inlineStr"/>
      <c r="AB430" s="69" t="inlineStr"/>
      <c r="AC430" s="490" t="inlineStr">
        <is>
          <t>ЕАЭС N RU Д-RU.РА02.В.65596/23</t>
        </is>
      </c>
      <c r="AG430" s="78" t="n"/>
      <c r="AJ430" s="84" t="inlineStr"/>
      <c r="AK430" s="84" t="n">
        <v>0</v>
      </c>
      <c r="BB430" s="491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SU002615</t>
        </is>
      </c>
      <c r="B431" s="63" t="inlineStr">
        <is>
          <t>P004687</t>
        </is>
      </c>
      <c r="C431" s="36" t="n">
        <v>4301031382</v>
      </c>
      <c r="D431" s="745" t="n">
        <v>4680115886117</v>
      </c>
      <c r="E431" s="1062" t="n"/>
      <c r="F431" s="1100" t="n">
        <v>0.9</v>
      </c>
      <c r="G431" s="37" t="n">
        <v>6</v>
      </c>
      <c r="H431" s="1100" t="n">
        <v>5.4</v>
      </c>
      <c r="I431" s="1100" t="n">
        <v>5.61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СК2</t>
        </is>
      </c>
      <c r="N431" s="38" t="n"/>
      <c r="O431" s="37" t="n">
        <v>50</v>
      </c>
      <c r="P431" s="1312" t="inlineStr">
        <is>
          <t>Копченые колбасы «Филейбургская с душистым чесноком» Весовой фиброуз ТМ «Баварушка»</t>
        </is>
      </c>
      <c r="Q431" s="1102" t="n"/>
      <c r="R431" s="1102" t="n"/>
      <c r="S431" s="1102" t="n"/>
      <c r="T431" s="1103" t="n"/>
      <c r="U431" s="39" t="inlineStr"/>
      <c r="V431" s="39" t="inlineStr"/>
      <c r="W431" s="40" t="inlineStr">
        <is>
          <t>кг</t>
        </is>
      </c>
      <c r="X431" s="1104" t="n">
        <v>0</v>
      </c>
      <c r="Y431" s="1105">
        <f>IFERROR(IF(X431="",0,CEILING((X431/$H431),1)*$H431),"")</f>
        <v/>
      </c>
      <c r="Z431" s="41">
        <f>IFERROR(IF(Y431=0,"",ROUNDUP(Y431/H431,0)*0.00902),"")</f>
        <v/>
      </c>
      <c r="AA431" s="68" t="inlineStr"/>
      <c r="AB431" s="69" t="inlineStr"/>
      <c r="AC431" s="492" t="inlineStr">
        <is>
          <t>ЕАЭС N RU Д-RU.РА02.В.66942/23</t>
        </is>
      </c>
      <c r="AG431" s="78" t="n"/>
      <c r="AJ431" s="84" t="inlineStr"/>
      <c r="AK431" s="84" t="n">
        <v>0</v>
      </c>
      <c r="BB431" s="493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 ht="27" customHeight="1">
      <c r="A432" s="63" t="inlineStr">
        <is>
          <t>SU002615</t>
        </is>
      </c>
      <c r="B432" s="63" t="inlineStr">
        <is>
          <t>P004899</t>
        </is>
      </c>
      <c r="C432" s="36" t="n">
        <v>4301031406</v>
      </c>
      <c r="D432" s="745" t="n">
        <v>4680115886117</v>
      </c>
      <c r="E432" s="1062" t="n"/>
      <c r="F432" s="1100" t="n">
        <v>0.9</v>
      </c>
      <c r="G432" s="37" t="n">
        <v>6</v>
      </c>
      <c r="H432" s="1100" t="n">
        <v>5.4</v>
      </c>
      <c r="I432" s="1100" t="n">
        <v>5.61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СК2</t>
        </is>
      </c>
      <c r="N432" s="38" t="n"/>
      <c r="O432" s="37" t="n">
        <v>50</v>
      </c>
      <c r="P432" s="1313" t="inlineStr">
        <is>
          <t>Копченые колбасы «Филейбургская с душистым чесноком» Весовой фиброуз ТМ «Баварушка»</t>
        </is>
      </c>
      <c r="Q432" s="1102" t="n"/>
      <c r="R432" s="1102" t="n"/>
      <c r="S432" s="1102" t="n"/>
      <c r="T432" s="1103" t="n"/>
      <c r="U432" s="39" t="inlineStr"/>
      <c r="V432" s="39" t="inlineStr"/>
      <c r="W432" s="40" t="inlineStr">
        <is>
          <t>кг</t>
        </is>
      </c>
      <c r="X432" s="1104" t="n">
        <v>0</v>
      </c>
      <c r="Y432" s="1105">
        <f>IFERROR(IF(X432="",0,CEILING((X432/$H432),1)*$H432),"")</f>
        <v/>
      </c>
      <c r="Z432" s="41">
        <f>IFERROR(IF(Y432=0,"",ROUNDUP(Y432/H432,0)*0.00902),"")</f>
        <v/>
      </c>
      <c r="AA432" s="68" t="inlineStr"/>
      <c r="AB432" s="69" t="inlineStr"/>
      <c r="AC432" s="494" t="inlineStr">
        <is>
          <t>ЕАЭС N RU Д-RU.РА02.В.66942/23</t>
        </is>
      </c>
      <c r="AG432" s="78" t="n"/>
      <c r="AJ432" s="84" t="inlineStr"/>
      <c r="AK432" s="84" t="n">
        <v>0</v>
      </c>
      <c r="BB432" s="495" t="inlineStr">
        <is>
          <t>КИ</t>
        </is>
      </c>
      <c r="BM432" s="78">
        <f>IFERROR(X432*I432/H432,"0")</f>
        <v/>
      </c>
      <c r="BN432" s="78">
        <f>IFERROR(Y432*I432/H432,"0")</f>
        <v/>
      </c>
      <c r="BO432" s="78">
        <f>IFERROR(1/J432*(X432/H432),"0")</f>
        <v/>
      </c>
      <c r="BP432" s="78">
        <f>IFERROR(1/J432*(Y432/H432),"0")</f>
        <v/>
      </c>
    </row>
    <row r="433" ht="27" customHeight="1">
      <c r="A433" s="63" t="inlineStr">
        <is>
          <t>SU002613</t>
        </is>
      </c>
      <c r="B433" s="63" t="inlineStr">
        <is>
          <t>P004895</t>
        </is>
      </c>
      <c r="C433" s="36" t="n">
        <v>4301031402</v>
      </c>
      <c r="D433" s="745" t="n">
        <v>4680115886124</v>
      </c>
      <c r="E433" s="1062" t="n"/>
      <c r="F433" s="1100" t="n">
        <v>0.9</v>
      </c>
      <c r="G433" s="37" t="n">
        <v>6</v>
      </c>
      <c r="H433" s="1100" t="n">
        <v>5.4</v>
      </c>
      <c r="I433" s="1100" t="n">
        <v>5.61</v>
      </c>
      <c r="J433" s="37" t="n">
        <v>132</v>
      </c>
      <c r="K433" s="37" t="inlineStr">
        <is>
          <t>12</t>
        </is>
      </c>
      <c r="L433" s="37" t="inlineStr"/>
      <c r="M433" s="38" t="inlineStr">
        <is>
          <t>СК2</t>
        </is>
      </c>
      <c r="N433" s="38" t="n"/>
      <c r="O433" s="37" t="n">
        <v>50</v>
      </c>
      <c r="P433" s="1314" t="inlineStr">
        <is>
          <t>Копченые колбасы «Филейбургская с сочным окороком» Весовой фиброуз ТМ «Баварушка»</t>
        </is>
      </c>
      <c r="Q433" s="1102" t="n"/>
      <c r="R433" s="1102" t="n"/>
      <c r="S433" s="1102" t="n"/>
      <c r="T433" s="1103" t="n"/>
      <c r="U433" s="39" t="inlineStr"/>
      <c r="V433" s="39" t="inlineStr"/>
      <c r="W433" s="40" t="inlineStr">
        <is>
          <t>кг</t>
        </is>
      </c>
      <c r="X433" s="1104" t="n">
        <v>10</v>
      </c>
      <c r="Y433" s="1105">
        <f>IFERROR(IF(X433="",0,CEILING((X433/$H433),1)*$H433),"")</f>
        <v/>
      </c>
      <c r="Z433" s="41">
        <f>IFERROR(IF(Y433=0,"",ROUNDUP(Y433/H433,0)*0.00902),"")</f>
        <v/>
      </c>
      <c r="AA433" s="68" t="inlineStr"/>
      <c r="AB433" s="69" t="inlineStr"/>
      <c r="AC433" s="496" t="inlineStr">
        <is>
          <t>ЕАЭС N RU Д-RU.РА02.В.66906/23</t>
        </is>
      </c>
      <c r="AG433" s="78" t="n"/>
      <c r="AJ433" s="84" t="inlineStr"/>
      <c r="AK433" s="84" t="n">
        <v>0</v>
      </c>
      <c r="BB433" s="497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 ht="27" customHeight="1">
      <c r="A434" s="63" t="inlineStr">
        <is>
          <t>SU003083</t>
        </is>
      </c>
      <c r="B434" s="63" t="inlineStr">
        <is>
          <t>P004353</t>
        </is>
      </c>
      <c r="C434" s="36" t="n">
        <v>4301031335</v>
      </c>
      <c r="D434" s="745" t="n">
        <v>4680115883147</v>
      </c>
      <c r="E434" s="1062" t="n"/>
      <c r="F434" s="1100" t="n">
        <v>0.28</v>
      </c>
      <c r="G434" s="37" t="n">
        <v>6</v>
      </c>
      <c r="H434" s="1100" t="n">
        <v>1.68</v>
      </c>
      <c r="I434" s="1100" t="n">
        <v>1.81</v>
      </c>
      <c r="J434" s="37" t="n">
        <v>234</v>
      </c>
      <c r="K434" s="37" t="inlineStr">
        <is>
          <t>18</t>
        </is>
      </c>
      <c r="L434" s="37" t="inlineStr"/>
      <c r="M434" s="38" t="inlineStr">
        <is>
          <t>СК2</t>
        </is>
      </c>
      <c r="N434" s="38" t="n"/>
      <c r="O434" s="37" t="n">
        <v>50</v>
      </c>
      <c r="P434" s="1315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/>
      </c>
      <c r="Q434" s="1102" t="n"/>
      <c r="R434" s="1102" t="n"/>
      <c r="S434" s="1102" t="n"/>
      <c r="T434" s="1103" t="n"/>
      <c r="U434" s="39" t="inlineStr"/>
      <c r="V434" s="39" t="inlineStr"/>
      <c r="W434" s="40" t="inlineStr">
        <is>
          <t>кг</t>
        </is>
      </c>
      <c r="X434" s="1104" t="n">
        <v>0</v>
      </c>
      <c r="Y434" s="1105">
        <f>IFERROR(IF(X434="",0,CEILING((X434/$H434),1)*$H434),"")</f>
        <v/>
      </c>
      <c r="Z434" s="41">
        <f>IFERROR(IF(Y434=0,"",ROUNDUP(Y434/H434,0)*0.00502),"")</f>
        <v/>
      </c>
      <c r="AA434" s="68" t="inlineStr"/>
      <c r="AB434" s="69" t="inlineStr"/>
      <c r="AC434" s="498" t="inlineStr">
        <is>
          <t>ЕАЭС N RU Д-RU.РА02.В.65596/23</t>
        </is>
      </c>
      <c r="AG434" s="78" t="n"/>
      <c r="AJ434" s="84" t="inlineStr"/>
      <c r="AK434" s="84" t="n">
        <v>0</v>
      </c>
      <c r="BB434" s="499" t="inlineStr">
        <is>
          <t>КИ</t>
        </is>
      </c>
      <c r="BM434" s="78">
        <f>IFERROR(X434*I434/H434,"0")</f>
        <v/>
      </c>
      <c r="BN434" s="78">
        <f>IFERROR(Y434*I434/H434,"0")</f>
        <v/>
      </c>
      <c r="BO434" s="78">
        <f>IFERROR(1/J434*(X434/H434),"0")</f>
        <v/>
      </c>
      <c r="BP434" s="78">
        <f>IFERROR(1/J434*(Y434/H434),"0")</f>
        <v/>
      </c>
    </row>
    <row r="435" ht="27" customHeight="1">
      <c r="A435" s="63" t="inlineStr">
        <is>
          <t>SU003083</t>
        </is>
      </c>
      <c r="B435" s="63" t="inlineStr">
        <is>
          <t>P004543</t>
        </is>
      </c>
      <c r="C435" s="36" t="n">
        <v>4301031366</v>
      </c>
      <c r="D435" s="745" t="n">
        <v>4680115883147</v>
      </c>
      <c r="E435" s="1062" t="n"/>
      <c r="F435" s="1100" t="n">
        <v>0.28</v>
      </c>
      <c r="G435" s="37" t="n">
        <v>6</v>
      </c>
      <c r="H435" s="1100" t="n">
        <v>1.68</v>
      </c>
      <c r="I435" s="1100" t="n">
        <v>1.81</v>
      </c>
      <c r="J435" s="37" t="n">
        <v>234</v>
      </c>
      <c r="K435" s="37" t="inlineStr">
        <is>
          <t>18</t>
        </is>
      </c>
      <c r="L435" s="37" t="inlineStr"/>
      <c r="M435" s="38" t="inlineStr">
        <is>
          <t>СК2</t>
        </is>
      </c>
      <c r="N435" s="38" t="n"/>
      <c r="O435" s="37" t="n">
        <v>50</v>
      </c>
      <c r="P435" s="1316" t="inlineStr">
        <is>
          <t>В/к колбасы «Салями Филейбургская зернистая» срез Фикс.вес 0,28 фиброуз ТМ «Баварушка»</t>
        </is>
      </c>
      <c r="Q435" s="1102" t="n"/>
      <c r="R435" s="1102" t="n"/>
      <c r="S435" s="1102" t="n"/>
      <c r="T435" s="1103" t="n"/>
      <c r="U435" s="39" t="inlineStr"/>
      <c r="V435" s="39" t="inlineStr"/>
      <c r="W435" s="40" t="inlineStr">
        <is>
          <t>кг</t>
        </is>
      </c>
      <c r="X435" s="1104" t="n">
        <v>0</v>
      </c>
      <c r="Y435" s="1105">
        <f>IFERROR(IF(X435="",0,CEILING((X435/$H435),1)*$H435),"")</f>
        <v/>
      </c>
      <c r="Z435" s="41">
        <f>IFERROR(IF(Y435=0,"",ROUNDUP(Y435/H435,0)*0.00502),"")</f>
        <v/>
      </c>
      <c r="AA435" s="68" t="inlineStr"/>
      <c r="AB435" s="69" t="inlineStr"/>
      <c r="AC435" s="500" t="inlineStr">
        <is>
          <t>ЕАЭС N RU Д-RU.РА02.В.65596/23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27" customHeight="1">
      <c r="A436" s="63" t="inlineStr">
        <is>
          <t>SU002538</t>
        </is>
      </c>
      <c r="B436" s="63" t="inlineStr">
        <is>
          <t>P004517</t>
        </is>
      </c>
      <c r="C436" s="36" t="n">
        <v>4301031362</v>
      </c>
      <c r="D436" s="745" t="n">
        <v>4607091384338</v>
      </c>
      <c r="E436" s="1062" t="n"/>
      <c r="F436" s="1100" t="n">
        <v>0.35</v>
      </c>
      <c r="G436" s="37" t="n">
        <v>6</v>
      </c>
      <c r="H436" s="1100" t="n">
        <v>2.1</v>
      </c>
      <c r="I436" s="1100" t="n">
        <v>2.23</v>
      </c>
      <c r="J436" s="37" t="n">
        <v>234</v>
      </c>
      <c r="K436" s="37" t="inlineStr">
        <is>
          <t>18</t>
        </is>
      </c>
      <c r="L436" s="37" t="inlineStr"/>
      <c r="M436" s="38" t="inlineStr">
        <is>
          <t>СК2</t>
        </is>
      </c>
      <c r="N436" s="38" t="n"/>
      <c r="O436" s="37" t="n">
        <v>50</v>
      </c>
      <c r="P436" s="1317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36" s="1102" t="n"/>
      <c r="R436" s="1102" t="n"/>
      <c r="S436" s="1102" t="n"/>
      <c r="T436" s="1103" t="n"/>
      <c r="U436" s="39" t="inlineStr"/>
      <c r="V436" s="39" t="inlineStr"/>
      <c r="W436" s="40" t="inlineStr">
        <is>
          <t>кг</t>
        </is>
      </c>
      <c r="X436" s="1104" t="n">
        <v>122.5</v>
      </c>
      <c r="Y436" s="1105">
        <f>IFERROR(IF(X436="",0,CEILING((X436/$H436),1)*$H436),"")</f>
        <v/>
      </c>
      <c r="Z436" s="41">
        <f>IFERROR(IF(Y436=0,"",ROUNDUP(Y436/H436,0)*0.00502),"")</f>
        <v/>
      </c>
      <c r="AA436" s="68" t="inlineStr"/>
      <c r="AB436" s="69" t="inlineStr"/>
      <c r="AC436" s="502" t="inlineStr">
        <is>
          <t>ЕАЭС N RU Д-RU.РА02.В.65596/23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 ht="37.5" customHeight="1">
      <c r="A437" s="63" t="inlineStr">
        <is>
          <t>SU002602</t>
        </is>
      </c>
      <c r="B437" s="63" t="inlineStr">
        <is>
          <t>P004518</t>
        </is>
      </c>
      <c r="C437" s="36" t="n">
        <v>4301031361</v>
      </c>
      <c r="D437" s="745" t="n">
        <v>4607091389524</v>
      </c>
      <c r="E437" s="1062" t="n"/>
      <c r="F437" s="1100" t="n">
        <v>0.35</v>
      </c>
      <c r="G437" s="37" t="n">
        <v>6</v>
      </c>
      <c r="H437" s="1100" t="n">
        <v>2.1</v>
      </c>
      <c r="I437" s="1100" t="n">
        <v>2.23</v>
      </c>
      <c r="J437" s="37" t="n">
        <v>234</v>
      </c>
      <c r="K437" s="37" t="inlineStr">
        <is>
          <t>18</t>
        </is>
      </c>
      <c r="L437" s="37" t="inlineStr"/>
      <c r="M437" s="38" t="inlineStr">
        <is>
          <t>СК2</t>
        </is>
      </c>
      <c r="N437" s="38" t="n"/>
      <c r="O437" s="37" t="n">
        <v>50</v>
      </c>
      <c r="P437" s="1318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/>
      </c>
      <c r="Q437" s="1102" t="n"/>
      <c r="R437" s="1102" t="n"/>
      <c r="S437" s="1102" t="n"/>
      <c r="T437" s="1103" t="n"/>
      <c r="U437" s="39" t="inlineStr"/>
      <c r="V437" s="39" t="inlineStr"/>
      <c r="W437" s="40" t="inlineStr">
        <is>
          <t>кг</t>
        </is>
      </c>
      <c r="X437" s="1104" t="n">
        <v>0</v>
      </c>
      <c r="Y437" s="1105">
        <f>IFERROR(IF(X437="",0,CEILING((X437/$H437),1)*$H437),"")</f>
        <v/>
      </c>
      <c r="Z437" s="41">
        <f>IFERROR(IF(Y437=0,"",ROUNDUP(Y437/H437,0)*0.00502),"")</f>
        <v/>
      </c>
      <c r="AA437" s="68" t="inlineStr"/>
      <c r="AB437" s="69" t="inlineStr"/>
      <c r="AC437" s="504" t="inlineStr">
        <is>
          <t>ЕАЭС N RU Д-RU.РА02.В.65693/23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>
        <f>IFERROR(X437*I437/H437,"0")</f>
        <v/>
      </c>
      <c r="BN437" s="78">
        <f>IFERROR(Y437*I437/H437,"0")</f>
        <v/>
      </c>
      <c r="BO437" s="78">
        <f>IFERROR(1/J437*(X437/H437),"0")</f>
        <v/>
      </c>
      <c r="BP437" s="78">
        <f>IFERROR(1/J437*(Y437/H437),"0")</f>
        <v/>
      </c>
    </row>
    <row r="438" ht="27" customHeight="1">
      <c r="A438" s="63" t="inlineStr">
        <is>
          <t>SU003080</t>
        </is>
      </c>
      <c r="B438" s="63" t="inlineStr">
        <is>
          <t>P004355</t>
        </is>
      </c>
      <c r="C438" s="36" t="n">
        <v>4301031337</v>
      </c>
      <c r="D438" s="745" t="n">
        <v>4680115883161</v>
      </c>
      <c r="E438" s="1062" t="n"/>
      <c r="F438" s="1100" t="n">
        <v>0.28</v>
      </c>
      <c r="G438" s="37" t="n">
        <v>6</v>
      </c>
      <c r="H438" s="1100" t="n">
        <v>1.68</v>
      </c>
      <c r="I438" s="1100" t="n">
        <v>1.81</v>
      </c>
      <c r="J438" s="37" t="n">
        <v>234</v>
      </c>
      <c r="K438" s="37" t="inlineStr">
        <is>
          <t>18</t>
        </is>
      </c>
      <c r="L438" s="37" t="inlineStr"/>
      <c r="M438" s="38" t="inlineStr">
        <is>
          <t>СК2</t>
        </is>
      </c>
      <c r="N438" s="38" t="n"/>
      <c r="O438" s="37" t="n">
        <v>50</v>
      </c>
      <c r="P438" s="1319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/>
      </c>
      <c r="Q438" s="1102" t="n"/>
      <c r="R438" s="1102" t="n"/>
      <c r="S438" s="1102" t="n"/>
      <c r="T438" s="1103" t="n"/>
      <c r="U438" s="39" t="inlineStr"/>
      <c r="V438" s="39" t="inlineStr"/>
      <c r="W438" s="40" t="inlineStr">
        <is>
          <t>кг</t>
        </is>
      </c>
      <c r="X438" s="1104" t="n">
        <v>0</v>
      </c>
      <c r="Y438" s="1105">
        <f>IFERROR(IF(X438="",0,CEILING((X438/$H438),1)*$H438),"")</f>
        <v/>
      </c>
      <c r="Z438" s="41">
        <f>IFERROR(IF(Y438=0,"",ROUNDUP(Y438/H438,0)*0.00502),"")</f>
        <v/>
      </c>
      <c r="AA438" s="68" t="inlineStr"/>
      <c r="AB438" s="69" t="inlineStr"/>
      <c r="AC438" s="506" t="inlineStr">
        <is>
          <t>ЕАЭС N RU Д-RU.РА02.В.65750/23</t>
        </is>
      </c>
      <c r="AG438" s="78" t="n"/>
      <c r="AJ438" s="84" t="inlineStr"/>
      <c r="AK438" s="84" t="n">
        <v>0</v>
      </c>
      <c r="BB438" s="507" t="inlineStr">
        <is>
          <t>КИ</t>
        </is>
      </c>
      <c r="BM438" s="78">
        <f>IFERROR(X438*I438/H438,"0")</f>
        <v/>
      </c>
      <c r="BN438" s="78">
        <f>IFERROR(Y438*I438/H438,"0")</f>
        <v/>
      </c>
      <c r="BO438" s="78">
        <f>IFERROR(1/J438*(X438/H438),"0")</f>
        <v/>
      </c>
      <c r="BP438" s="78">
        <f>IFERROR(1/J438*(Y438/H438),"0")</f>
        <v/>
      </c>
    </row>
    <row r="439" ht="27" customHeight="1">
      <c r="A439" s="63" t="inlineStr">
        <is>
          <t>SU003080</t>
        </is>
      </c>
      <c r="B439" s="63" t="inlineStr">
        <is>
          <t>P004525</t>
        </is>
      </c>
      <c r="C439" s="36" t="n">
        <v>4301031364</v>
      </c>
      <c r="D439" s="745" t="n">
        <v>4680115883161</v>
      </c>
      <c r="E439" s="1062" t="n"/>
      <c r="F439" s="1100" t="n">
        <v>0.28</v>
      </c>
      <c r="G439" s="37" t="n">
        <v>6</v>
      </c>
      <c r="H439" s="1100" t="n">
        <v>1.68</v>
      </c>
      <c r="I439" s="1100" t="n">
        <v>1.81</v>
      </c>
      <c r="J439" s="37" t="n">
        <v>234</v>
      </c>
      <c r="K439" s="37" t="inlineStr">
        <is>
          <t>18</t>
        </is>
      </c>
      <c r="L439" s="37" t="inlineStr"/>
      <c r="M439" s="38" t="inlineStr">
        <is>
          <t>СК2</t>
        </is>
      </c>
      <c r="N439" s="38" t="n"/>
      <c r="O439" s="37" t="n">
        <v>50</v>
      </c>
      <c r="P439" s="132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9" s="1102" t="n"/>
      <c r="R439" s="1102" t="n"/>
      <c r="S439" s="1102" t="n"/>
      <c r="T439" s="1103" t="n"/>
      <c r="U439" s="39" t="inlineStr"/>
      <c r="V439" s="39" t="inlineStr"/>
      <c r="W439" s="40" t="inlineStr">
        <is>
          <t>кг</t>
        </is>
      </c>
      <c r="X439" s="1104" t="n">
        <v>0</v>
      </c>
      <c r="Y439" s="1105">
        <f>IFERROR(IF(X439="",0,CEILING((X439/$H439),1)*$H439),"")</f>
        <v/>
      </c>
      <c r="Z439" s="41">
        <f>IFERROR(IF(Y439=0,"",ROUNDUP(Y439/H439,0)*0.00502),"")</f>
        <v/>
      </c>
      <c r="AA439" s="68" t="inlineStr"/>
      <c r="AB439" s="69" t="inlineStr"/>
      <c r="AC439" s="508" t="inlineStr">
        <is>
          <t>ЕАЭС N RU Д-RU.РА02.В.65750/23</t>
        </is>
      </c>
      <c r="AG439" s="78" t="n"/>
      <c r="AJ439" s="84" t="inlineStr"/>
      <c r="AK439" s="84" t="n">
        <v>0</v>
      </c>
      <c r="BB439" s="509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 ht="27" customHeight="1">
      <c r="A440" s="63" t="inlineStr">
        <is>
          <t>SU002606</t>
        </is>
      </c>
      <c r="B440" s="63" t="inlineStr">
        <is>
          <t>P004521</t>
        </is>
      </c>
      <c r="C440" s="36" t="n">
        <v>4301031358</v>
      </c>
      <c r="D440" s="745" t="n">
        <v>4607091389531</v>
      </c>
      <c r="E440" s="1062" t="n"/>
      <c r="F440" s="1100" t="n">
        <v>0.35</v>
      </c>
      <c r="G440" s="37" t="n">
        <v>6</v>
      </c>
      <c r="H440" s="1100" t="n">
        <v>2.1</v>
      </c>
      <c r="I440" s="1100" t="n">
        <v>2.23</v>
      </c>
      <c r="J440" s="37" t="n">
        <v>234</v>
      </c>
      <c r="K440" s="37" t="inlineStr">
        <is>
          <t>18</t>
        </is>
      </c>
      <c r="L440" s="37" t="inlineStr"/>
      <c r="M440" s="38" t="inlineStr">
        <is>
          <t>СК2</t>
        </is>
      </c>
      <c r="N440" s="38" t="n"/>
      <c r="O440" s="37" t="n">
        <v>50</v>
      </c>
      <c r="P440" s="132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0" s="1102" t="n"/>
      <c r="R440" s="1102" t="n"/>
      <c r="S440" s="1102" t="n"/>
      <c r="T440" s="1103" t="n"/>
      <c r="U440" s="39" t="inlineStr"/>
      <c r="V440" s="39" t="inlineStr"/>
      <c r="W440" s="40" t="inlineStr">
        <is>
          <t>кг</t>
        </is>
      </c>
      <c r="X440" s="1104" t="n">
        <v>52.5</v>
      </c>
      <c r="Y440" s="1105">
        <f>IFERROR(IF(X440="",0,CEILING((X440/$H440),1)*$H440),"")</f>
        <v/>
      </c>
      <c r="Z440" s="41">
        <f>IFERROR(IF(Y440=0,"",ROUNDUP(Y440/H440,0)*0.00502),"")</f>
        <v/>
      </c>
      <c r="AA440" s="68" t="inlineStr"/>
      <c r="AB440" s="69" t="inlineStr"/>
      <c r="AC440" s="510" t="inlineStr">
        <is>
          <t>ЕАЭС N RU Д-RU.РА02.В.66890/23</t>
        </is>
      </c>
      <c r="AG440" s="78" t="n"/>
      <c r="AJ440" s="84" t="inlineStr"/>
      <c r="AK440" s="84" t="n">
        <v>0</v>
      </c>
      <c r="BB440" s="511" t="inlineStr">
        <is>
          <t>КИ</t>
        </is>
      </c>
      <c r="BM440" s="78">
        <f>IFERROR(X440*I440/H440,"0")</f>
        <v/>
      </c>
      <c r="BN440" s="78">
        <f>IFERROR(Y440*I440/H440,"0")</f>
        <v/>
      </c>
      <c r="BO440" s="78">
        <f>IFERROR(1/J440*(X440/H440),"0")</f>
        <v/>
      </c>
      <c r="BP440" s="78">
        <f>IFERROR(1/J440*(Y440/H440),"0")</f>
        <v/>
      </c>
    </row>
    <row r="441" ht="37.5" customHeight="1">
      <c r="A441" s="63" t="inlineStr">
        <is>
          <t>SU002603</t>
        </is>
      </c>
      <c r="B441" s="63" t="inlineStr">
        <is>
          <t>P004519</t>
        </is>
      </c>
      <c r="C441" s="36" t="n">
        <v>4301031360</v>
      </c>
      <c r="D441" s="745" t="n">
        <v>4607091384345</v>
      </c>
      <c r="E441" s="1062" t="n"/>
      <c r="F441" s="1100" t="n">
        <v>0.35</v>
      </c>
      <c r="G441" s="37" t="n">
        <v>6</v>
      </c>
      <c r="H441" s="1100" t="n">
        <v>2.1</v>
      </c>
      <c r="I441" s="1100" t="n">
        <v>2.23</v>
      </c>
      <c r="J441" s="37" t="n">
        <v>234</v>
      </c>
      <c r="K441" s="37" t="inlineStr">
        <is>
          <t>18</t>
        </is>
      </c>
      <c r="L441" s="37" t="inlineStr"/>
      <c r="M441" s="38" t="inlineStr">
        <is>
          <t>СК2</t>
        </is>
      </c>
      <c r="N441" s="38" t="n"/>
      <c r="O441" s="37" t="n">
        <v>50</v>
      </c>
      <c r="P441" s="132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1" s="1102" t="n"/>
      <c r="R441" s="1102" t="n"/>
      <c r="S441" s="1102" t="n"/>
      <c r="T441" s="1103" t="n"/>
      <c r="U441" s="39" t="inlineStr"/>
      <c r="V441" s="39" t="inlineStr"/>
      <c r="W441" s="40" t="inlineStr">
        <is>
          <t>кг</t>
        </is>
      </c>
      <c r="X441" s="1104" t="n">
        <v>0</v>
      </c>
      <c r="Y441" s="1105">
        <f>IFERROR(IF(X441="",0,CEILING((X441/$H441),1)*$H441),"")</f>
        <v/>
      </c>
      <c r="Z441" s="41">
        <f>IFERROR(IF(Y441=0,"",ROUNDUP(Y441/H441,0)*0.00502),"")</f>
        <v/>
      </c>
      <c r="AA441" s="68" t="inlineStr"/>
      <c r="AB441" s="69" t="inlineStr"/>
      <c r="AC441" s="512" t="inlineStr">
        <is>
          <t>ЕАЭС N RU Д-RU.РА02.В.65750/23</t>
        </is>
      </c>
      <c r="AG441" s="78" t="n"/>
      <c r="AJ441" s="84" t="inlineStr"/>
      <c r="AK441" s="84" t="n">
        <v>0</v>
      </c>
      <c r="BB441" s="513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>
      <c r="A442" s="758" t="n"/>
      <c r="B442" s="1051" t="n"/>
      <c r="C442" s="1051" t="n"/>
      <c r="D442" s="1051" t="n"/>
      <c r="E442" s="1051" t="n"/>
      <c r="F442" s="1051" t="n"/>
      <c r="G442" s="1051" t="n"/>
      <c r="H442" s="1051" t="n"/>
      <c r="I442" s="1051" t="n"/>
      <c r="J442" s="1051" t="n"/>
      <c r="K442" s="1051" t="n"/>
      <c r="L442" s="1051" t="n"/>
      <c r="M442" s="1051" t="n"/>
      <c r="N442" s="1051" t="n"/>
      <c r="O442" s="1111" t="n"/>
      <c r="P442" s="1112" t="inlineStr">
        <is>
          <t>Итого</t>
        </is>
      </c>
      <c r="Q442" s="1069" t="n"/>
      <c r="R442" s="1069" t="n"/>
      <c r="S442" s="1069" t="n"/>
      <c r="T442" s="1069" t="n"/>
      <c r="U442" s="1069" t="n"/>
      <c r="V442" s="1070" t="n"/>
      <c r="W442" s="42" t="inlineStr">
        <is>
          <t>кор</t>
        </is>
      </c>
      <c r="X442" s="111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/>
      </c>
      <c r="Y442" s="111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/>
      </c>
      <c r="Z442" s="111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/>
      </c>
      <c r="AA442" s="1114" t="n"/>
      <c r="AB442" s="1114" t="n"/>
      <c r="AC442" s="1114" t="n"/>
    </row>
    <row r="443">
      <c r="A443" s="1051" t="n"/>
      <c r="B443" s="1051" t="n"/>
      <c r="C443" s="1051" t="n"/>
      <c r="D443" s="1051" t="n"/>
      <c r="E443" s="1051" t="n"/>
      <c r="F443" s="1051" t="n"/>
      <c r="G443" s="1051" t="n"/>
      <c r="H443" s="1051" t="n"/>
      <c r="I443" s="1051" t="n"/>
      <c r="J443" s="1051" t="n"/>
      <c r="K443" s="1051" t="n"/>
      <c r="L443" s="1051" t="n"/>
      <c r="M443" s="1051" t="n"/>
      <c r="N443" s="1051" t="n"/>
      <c r="O443" s="1111" t="n"/>
      <c r="P443" s="1112" t="inlineStr">
        <is>
          <t>Итого</t>
        </is>
      </c>
      <c r="Q443" s="1069" t="n"/>
      <c r="R443" s="1069" t="n"/>
      <c r="S443" s="1069" t="n"/>
      <c r="T443" s="1069" t="n"/>
      <c r="U443" s="1069" t="n"/>
      <c r="V443" s="1070" t="n"/>
      <c r="W443" s="42" t="inlineStr">
        <is>
          <t>кг</t>
        </is>
      </c>
      <c r="X443" s="1113">
        <f>IFERROR(SUM(X430:X441),"0")</f>
        <v/>
      </c>
      <c r="Y443" s="1113">
        <f>IFERROR(SUM(Y430:Y441),"0")</f>
        <v/>
      </c>
      <c r="Z443" s="42" t="n"/>
      <c r="AA443" s="1114" t="n"/>
      <c r="AB443" s="1114" t="n"/>
      <c r="AC443" s="1114" t="n"/>
    </row>
    <row r="444" ht="14.25" customHeight="1">
      <c r="A444" s="744" t="inlineStr">
        <is>
          <t>Сосиски</t>
        </is>
      </c>
      <c r="B444" s="1051" t="n"/>
      <c r="C444" s="1051" t="n"/>
      <c r="D444" s="1051" t="n"/>
      <c r="E444" s="1051" t="n"/>
      <c r="F444" s="1051" t="n"/>
      <c r="G444" s="1051" t="n"/>
      <c r="H444" s="1051" t="n"/>
      <c r="I444" s="1051" t="n"/>
      <c r="J444" s="1051" t="n"/>
      <c r="K444" s="1051" t="n"/>
      <c r="L444" s="1051" t="n"/>
      <c r="M444" s="1051" t="n"/>
      <c r="N444" s="1051" t="n"/>
      <c r="O444" s="1051" t="n"/>
      <c r="P444" s="1051" t="n"/>
      <c r="Q444" s="1051" t="n"/>
      <c r="R444" s="1051" t="n"/>
      <c r="S444" s="1051" t="n"/>
      <c r="T444" s="1051" t="n"/>
      <c r="U444" s="1051" t="n"/>
      <c r="V444" s="1051" t="n"/>
      <c r="W444" s="1051" t="n"/>
      <c r="X444" s="1051" t="n"/>
      <c r="Y444" s="1051" t="n"/>
      <c r="Z444" s="1051" t="n"/>
      <c r="AA444" s="744" t="n"/>
      <c r="AB444" s="744" t="n"/>
      <c r="AC444" s="744" t="n"/>
    </row>
    <row r="445" ht="27" customHeight="1">
      <c r="A445" s="63" t="inlineStr">
        <is>
          <t>SU002285</t>
        </is>
      </c>
      <c r="B445" s="63" t="inlineStr">
        <is>
          <t>P002969</t>
        </is>
      </c>
      <c r="C445" s="36" t="n">
        <v>4301051284</v>
      </c>
      <c r="D445" s="745" t="n">
        <v>4607091384352</v>
      </c>
      <c r="E445" s="1062" t="n"/>
      <c r="F445" s="1100" t="n">
        <v>0.6</v>
      </c>
      <c r="G445" s="37" t="n">
        <v>4</v>
      </c>
      <c r="H445" s="1100" t="n">
        <v>2.4</v>
      </c>
      <c r="I445" s="1100" t="n">
        <v>2.646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СК3</t>
        </is>
      </c>
      <c r="N445" s="38" t="n"/>
      <c r="O445" s="37" t="n">
        <v>45</v>
      </c>
      <c r="P445" s="132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45" s="1102" t="n"/>
      <c r="R445" s="1102" t="n"/>
      <c r="S445" s="1102" t="n"/>
      <c r="T445" s="1103" t="n"/>
      <c r="U445" s="39" t="inlineStr"/>
      <c r="V445" s="39" t="inlineStr"/>
      <c r="W445" s="40" t="inlineStr">
        <is>
          <t>кг</t>
        </is>
      </c>
      <c r="X445" s="1104" t="n">
        <v>0</v>
      </c>
      <c r="Y445" s="1105">
        <f>IFERROR(IF(X445="",0,CEILING((X445/$H445),1)*$H445),"")</f>
        <v/>
      </c>
      <c r="Z445" s="41">
        <f>IFERROR(IF(Y445=0,"",ROUNDUP(Y445/H445,0)*0.00902),"")</f>
        <v/>
      </c>
      <c r="AA445" s="68" t="inlineStr"/>
      <c r="AB445" s="69" t="inlineStr"/>
      <c r="AC445" s="514" t="inlineStr">
        <is>
          <t>ЕАЭС N RU Д-RU.РА02.В.28328/22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 ht="27" customHeight="1">
      <c r="A446" s="63" t="inlineStr">
        <is>
          <t>SU002557</t>
        </is>
      </c>
      <c r="B446" s="63" t="inlineStr">
        <is>
          <t>P003318</t>
        </is>
      </c>
      <c r="C446" s="36" t="n">
        <v>4301051431</v>
      </c>
      <c r="D446" s="745" t="n">
        <v>4607091389654</v>
      </c>
      <c r="E446" s="1062" t="n"/>
      <c r="F446" s="1100" t="n">
        <v>0.33</v>
      </c>
      <c r="G446" s="37" t="n">
        <v>6</v>
      </c>
      <c r="H446" s="1100" t="n">
        <v>1.98</v>
      </c>
      <c r="I446" s="1100" t="n">
        <v>2.238</v>
      </c>
      <c r="J446" s="37" t="n">
        <v>182</v>
      </c>
      <c r="K446" s="37" t="inlineStr">
        <is>
          <t>14</t>
        </is>
      </c>
      <c r="L446" s="37" t="inlineStr"/>
      <c r="M446" s="38" t="inlineStr">
        <is>
          <t>СК3</t>
        </is>
      </c>
      <c r="N446" s="38" t="n"/>
      <c r="O446" s="37" t="n">
        <v>45</v>
      </c>
      <c r="P446" s="132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46" s="1102" t="n"/>
      <c r="R446" s="1102" t="n"/>
      <c r="S446" s="1102" t="n"/>
      <c r="T446" s="1103" t="n"/>
      <c r="U446" s="39" t="inlineStr"/>
      <c r="V446" s="39" t="inlineStr"/>
      <c r="W446" s="40" t="inlineStr">
        <is>
          <t>кг</t>
        </is>
      </c>
      <c r="X446" s="1104" t="n">
        <v>0</v>
      </c>
      <c r="Y446" s="1105">
        <f>IFERROR(IF(X446="",0,CEILING((X446/$H446),1)*$H446),"")</f>
        <v/>
      </c>
      <c r="Z446" s="41">
        <f>IFERROR(IF(Y446=0,"",ROUNDUP(Y446/H446,0)*0.00651),"")</f>
        <v/>
      </c>
      <c r="AA446" s="68" t="inlineStr"/>
      <c r="AB446" s="69" t="inlineStr"/>
      <c r="AC446" s="516" t="inlineStr">
        <is>
          <t>ЕАЭС N RU Д-RU.РА01.В.79709/21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58" t="n"/>
      <c r="B447" s="1051" t="n"/>
      <c r="C447" s="1051" t="n"/>
      <c r="D447" s="1051" t="n"/>
      <c r="E447" s="1051" t="n"/>
      <c r="F447" s="1051" t="n"/>
      <c r="G447" s="1051" t="n"/>
      <c r="H447" s="1051" t="n"/>
      <c r="I447" s="1051" t="n"/>
      <c r="J447" s="1051" t="n"/>
      <c r="K447" s="1051" t="n"/>
      <c r="L447" s="1051" t="n"/>
      <c r="M447" s="1051" t="n"/>
      <c r="N447" s="1051" t="n"/>
      <c r="O447" s="1111" t="n"/>
      <c r="P447" s="1112" t="inlineStr">
        <is>
          <t>Итого</t>
        </is>
      </c>
      <c r="Q447" s="1069" t="n"/>
      <c r="R447" s="1069" t="n"/>
      <c r="S447" s="1069" t="n"/>
      <c r="T447" s="1069" t="n"/>
      <c r="U447" s="1069" t="n"/>
      <c r="V447" s="1070" t="n"/>
      <c r="W447" s="42" t="inlineStr">
        <is>
          <t>кор</t>
        </is>
      </c>
      <c r="X447" s="1113">
        <f>IFERROR(X445/H445,"0")+IFERROR(X446/H446,"0")</f>
        <v/>
      </c>
      <c r="Y447" s="1113">
        <f>IFERROR(Y445/H445,"0")+IFERROR(Y446/H446,"0")</f>
        <v/>
      </c>
      <c r="Z447" s="1113">
        <f>IFERROR(IF(Z445="",0,Z445),"0")+IFERROR(IF(Z446="",0,Z446),"0")</f>
        <v/>
      </c>
      <c r="AA447" s="1114" t="n"/>
      <c r="AB447" s="1114" t="n"/>
      <c r="AC447" s="1114" t="n"/>
    </row>
    <row r="448">
      <c r="A448" s="1051" t="n"/>
      <c r="B448" s="1051" t="n"/>
      <c r="C448" s="1051" t="n"/>
      <c r="D448" s="1051" t="n"/>
      <c r="E448" s="1051" t="n"/>
      <c r="F448" s="1051" t="n"/>
      <c r="G448" s="1051" t="n"/>
      <c r="H448" s="1051" t="n"/>
      <c r="I448" s="1051" t="n"/>
      <c r="J448" s="1051" t="n"/>
      <c r="K448" s="1051" t="n"/>
      <c r="L448" s="1051" t="n"/>
      <c r="M448" s="1051" t="n"/>
      <c r="N448" s="1051" t="n"/>
      <c r="O448" s="1111" t="n"/>
      <c r="P448" s="1112" t="inlineStr">
        <is>
          <t>Итого</t>
        </is>
      </c>
      <c r="Q448" s="1069" t="n"/>
      <c r="R448" s="1069" t="n"/>
      <c r="S448" s="1069" t="n"/>
      <c r="T448" s="1069" t="n"/>
      <c r="U448" s="1069" t="n"/>
      <c r="V448" s="1070" t="n"/>
      <c r="W448" s="42" t="inlineStr">
        <is>
          <t>кг</t>
        </is>
      </c>
      <c r="X448" s="1113">
        <f>IFERROR(SUM(X445:X446),"0")</f>
        <v/>
      </c>
      <c r="Y448" s="1113">
        <f>IFERROR(SUM(Y445:Y446),"0")</f>
        <v/>
      </c>
      <c r="Z448" s="42" t="n"/>
      <c r="AA448" s="1114" t="n"/>
      <c r="AB448" s="1114" t="n"/>
      <c r="AC448" s="1114" t="n"/>
    </row>
    <row r="449" ht="16.5" customHeight="1">
      <c r="A449" s="743" t="inlineStr">
        <is>
          <t>Балыкбургская</t>
        </is>
      </c>
      <c r="B449" s="1051" t="n"/>
      <c r="C449" s="1051" t="n"/>
      <c r="D449" s="1051" t="n"/>
      <c r="E449" s="1051" t="n"/>
      <c r="F449" s="1051" t="n"/>
      <c r="G449" s="1051" t="n"/>
      <c r="H449" s="1051" t="n"/>
      <c r="I449" s="1051" t="n"/>
      <c r="J449" s="1051" t="n"/>
      <c r="K449" s="1051" t="n"/>
      <c r="L449" s="1051" t="n"/>
      <c r="M449" s="1051" t="n"/>
      <c r="N449" s="1051" t="n"/>
      <c r="O449" s="1051" t="n"/>
      <c r="P449" s="1051" t="n"/>
      <c r="Q449" s="1051" t="n"/>
      <c r="R449" s="1051" t="n"/>
      <c r="S449" s="1051" t="n"/>
      <c r="T449" s="1051" t="n"/>
      <c r="U449" s="1051" t="n"/>
      <c r="V449" s="1051" t="n"/>
      <c r="W449" s="1051" t="n"/>
      <c r="X449" s="1051" t="n"/>
      <c r="Y449" s="1051" t="n"/>
      <c r="Z449" s="1051" t="n"/>
      <c r="AA449" s="743" t="n"/>
      <c r="AB449" s="743" t="n"/>
      <c r="AC449" s="743" t="n"/>
    </row>
    <row r="450" ht="14.25" customHeight="1">
      <c r="A450" s="744" t="inlineStr">
        <is>
          <t>Ветчины</t>
        </is>
      </c>
      <c r="B450" s="1051" t="n"/>
      <c r="C450" s="1051" t="n"/>
      <c r="D450" s="1051" t="n"/>
      <c r="E450" s="1051" t="n"/>
      <c r="F450" s="1051" t="n"/>
      <c r="G450" s="1051" t="n"/>
      <c r="H450" s="1051" t="n"/>
      <c r="I450" s="1051" t="n"/>
      <c r="J450" s="1051" t="n"/>
      <c r="K450" s="1051" t="n"/>
      <c r="L450" s="1051" t="n"/>
      <c r="M450" s="1051" t="n"/>
      <c r="N450" s="1051" t="n"/>
      <c r="O450" s="1051" t="n"/>
      <c r="P450" s="1051" t="n"/>
      <c r="Q450" s="1051" t="n"/>
      <c r="R450" s="1051" t="n"/>
      <c r="S450" s="1051" t="n"/>
      <c r="T450" s="1051" t="n"/>
      <c r="U450" s="1051" t="n"/>
      <c r="V450" s="1051" t="n"/>
      <c r="W450" s="1051" t="n"/>
      <c r="X450" s="1051" t="n"/>
      <c r="Y450" s="1051" t="n"/>
      <c r="Z450" s="1051" t="n"/>
      <c r="AA450" s="744" t="n"/>
      <c r="AB450" s="744" t="n"/>
      <c r="AC450" s="744" t="n"/>
    </row>
    <row r="451" ht="27" customHeight="1">
      <c r="A451" s="63" t="inlineStr">
        <is>
          <t>SU003500</t>
        </is>
      </c>
      <c r="B451" s="63" t="inlineStr">
        <is>
          <t>P004400</t>
        </is>
      </c>
      <c r="C451" s="36" t="n">
        <v>4301020319</v>
      </c>
      <c r="D451" s="745" t="n">
        <v>4680115885240</v>
      </c>
      <c r="E451" s="1062" t="n"/>
      <c r="F451" s="1100" t="n">
        <v>0.35</v>
      </c>
      <c r="G451" s="37" t="n">
        <v>6</v>
      </c>
      <c r="H451" s="1100" t="n">
        <v>2.1</v>
      </c>
      <c r="I451" s="1100" t="n">
        <v>2.31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СК2</t>
        </is>
      </c>
      <c r="N451" s="38" t="n"/>
      <c r="O451" s="37" t="n">
        <v>40</v>
      </c>
      <c r="P451" s="132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1" s="1102" t="n"/>
      <c r="R451" s="1102" t="n"/>
      <c r="S451" s="1102" t="n"/>
      <c r="T451" s="1103" t="n"/>
      <c r="U451" s="39" t="inlineStr"/>
      <c r="V451" s="39" t="inlineStr"/>
      <c r="W451" s="40" t="inlineStr">
        <is>
          <t>кг</t>
        </is>
      </c>
      <c r="X451" s="1104" t="n">
        <v>0</v>
      </c>
      <c r="Y451" s="1105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18" t="inlineStr">
        <is>
          <t>ЕАЭС N RU Д-RU.РА01.В.42181/22</t>
        </is>
      </c>
      <c r="AG451" s="78" t="n"/>
      <c r="AJ451" s="84" t="inlineStr"/>
      <c r="AK451" s="84" t="n">
        <v>0</v>
      </c>
      <c r="BB451" s="519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SU002319</t>
        </is>
      </c>
      <c r="B452" s="63" t="inlineStr">
        <is>
          <t>P004389</t>
        </is>
      </c>
      <c r="C452" s="36" t="n">
        <v>4301020315</v>
      </c>
      <c r="D452" s="745" t="n">
        <v>4607091389364</v>
      </c>
      <c r="E452" s="1062" t="n"/>
      <c r="F452" s="1100" t="n">
        <v>0.42</v>
      </c>
      <c r="G452" s="37" t="n">
        <v>6</v>
      </c>
      <c r="H452" s="1100" t="n">
        <v>2.52</v>
      </c>
      <c r="I452" s="1100" t="n">
        <v>2.73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СК2</t>
        </is>
      </c>
      <c r="N452" s="38" t="n"/>
      <c r="O452" s="37" t="n">
        <v>40</v>
      </c>
      <c r="P452" s="1326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/>
      </c>
      <c r="Q452" s="1102" t="n"/>
      <c r="R452" s="1102" t="n"/>
      <c r="S452" s="1102" t="n"/>
      <c r="T452" s="1103" t="n"/>
      <c r="U452" s="39" t="inlineStr"/>
      <c r="V452" s="39" t="inlineStr"/>
      <c r="W452" s="40" t="inlineStr">
        <is>
          <t>кг</t>
        </is>
      </c>
      <c r="X452" s="1104" t="n">
        <v>0</v>
      </c>
      <c r="Y452" s="1105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20" t="inlineStr">
        <is>
          <t>ЕАЭС N RU Д-RU.РА04.В.08736/24, ЕАЭС N RU Д-RU.РА04.В.08946/24</t>
        </is>
      </c>
      <c r="AG452" s="78" t="n"/>
      <c r="AJ452" s="84" t="inlineStr"/>
      <c r="AK452" s="84" t="n">
        <v>0</v>
      </c>
      <c r="BB452" s="521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58" t="n"/>
      <c r="B453" s="1051" t="n"/>
      <c r="C453" s="1051" t="n"/>
      <c r="D453" s="1051" t="n"/>
      <c r="E453" s="1051" t="n"/>
      <c r="F453" s="1051" t="n"/>
      <c r="G453" s="1051" t="n"/>
      <c r="H453" s="1051" t="n"/>
      <c r="I453" s="1051" t="n"/>
      <c r="J453" s="1051" t="n"/>
      <c r="K453" s="1051" t="n"/>
      <c r="L453" s="1051" t="n"/>
      <c r="M453" s="1051" t="n"/>
      <c r="N453" s="1051" t="n"/>
      <c r="O453" s="1111" t="n"/>
      <c r="P453" s="1112" t="inlineStr">
        <is>
          <t>Итого</t>
        </is>
      </c>
      <c r="Q453" s="1069" t="n"/>
      <c r="R453" s="1069" t="n"/>
      <c r="S453" s="1069" t="n"/>
      <c r="T453" s="1069" t="n"/>
      <c r="U453" s="1069" t="n"/>
      <c r="V453" s="1070" t="n"/>
      <c r="W453" s="42" t="inlineStr">
        <is>
          <t>кор</t>
        </is>
      </c>
      <c r="X453" s="1113">
        <f>IFERROR(X451/H451,"0")+IFERROR(X452/H452,"0")</f>
        <v/>
      </c>
      <c r="Y453" s="1113">
        <f>IFERROR(Y451/H451,"0")+IFERROR(Y452/H452,"0")</f>
        <v/>
      </c>
      <c r="Z453" s="1113">
        <f>IFERROR(IF(Z451="",0,Z451),"0")+IFERROR(IF(Z452="",0,Z452),"0")</f>
        <v/>
      </c>
      <c r="AA453" s="1114" t="n"/>
      <c r="AB453" s="1114" t="n"/>
      <c r="AC453" s="1114" t="n"/>
    </row>
    <row r="454">
      <c r="A454" s="1051" t="n"/>
      <c r="B454" s="1051" t="n"/>
      <c r="C454" s="1051" t="n"/>
      <c r="D454" s="1051" t="n"/>
      <c r="E454" s="1051" t="n"/>
      <c r="F454" s="1051" t="n"/>
      <c r="G454" s="1051" t="n"/>
      <c r="H454" s="1051" t="n"/>
      <c r="I454" s="1051" t="n"/>
      <c r="J454" s="1051" t="n"/>
      <c r="K454" s="1051" t="n"/>
      <c r="L454" s="1051" t="n"/>
      <c r="M454" s="1051" t="n"/>
      <c r="N454" s="1051" t="n"/>
      <c r="O454" s="1111" t="n"/>
      <c r="P454" s="1112" t="inlineStr">
        <is>
          <t>Итого</t>
        </is>
      </c>
      <c r="Q454" s="1069" t="n"/>
      <c r="R454" s="1069" t="n"/>
      <c r="S454" s="1069" t="n"/>
      <c r="T454" s="1069" t="n"/>
      <c r="U454" s="1069" t="n"/>
      <c r="V454" s="1070" t="n"/>
      <c r="W454" s="42" t="inlineStr">
        <is>
          <t>кг</t>
        </is>
      </c>
      <c r="X454" s="1113">
        <f>IFERROR(SUM(X451:X452),"0")</f>
        <v/>
      </c>
      <c r="Y454" s="1113">
        <f>IFERROR(SUM(Y451:Y452),"0")</f>
        <v/>
      </c>
      <c r="Z454" s="42" t="n"/>
      <c r="AA454" s="1114" t="n"/>
      <c r="AB454" s="1114" t="n"/>
      <c r="AC454" s="1114" t="n"/>
    </row>
    <row r="455" ht="14.25" customHeight="1">
      <c r="A455" s="744" t="inlineStr">
        <is>
          <t>Копченые колбасы</t>
        </is>
      </c>
      <c r="B455" s="1051" t="n"/>
      <c r="C455" s="1051" t="n"/>
      <c r="D455" s="1051" t="n"/>
      <c r="E455" s="1051" t="n"/>
      <c r="F455" s="1051" t="n"/>
      <c r="G455" s="1051" t="n"/>
      <c r="H455" s="1051" t="n"/>
      <c r="I455" s="1051" t="n"/>
      <c r="J455" s="1051" t="n"/>
      <c r="K455" s="1051" t="n"/>
      <c r="L455" s="1051" t="n"/>
      <c r="M455" s="1051" t="n"/>
      <c r="N455" s="1051" t="n"/>
      <c r="O455" s="1051" t="n"/>
      <c r="P455" s="1051" t="n"/>
      <c r="Q455" s="1051" t="n"/>
      <c r="R455" s="1051" t="n"/>
      <c r="S455" s="1051" t="n"/>
      <c r="T455" s="1051" t="n"/>
      <c r="U455" s="1051" t="n"/>
      <c r="V455" s="1051" t="n"/>
      <c r="W455" s="1051" t="n"/>
      <c r="X455" s="1051" t="n"/>
      <c r="Y455" s="1051" t="n"/>
      <c r="Z455" s="1051" t="n"/>
      <c r="AA455" s="744" t="n"/>
      <c r="AB455" s="744" t="n"/>
      <c r="AC455" s="744" t="n"/>
    </row>
    <row r="456" ht="27" customHeight="1">
      <c r="A456" s="63" t="inlineStr">
        <is>
          <t>SU002612</t>
        </is>
      </c>
      <c r="B456" s="63" t="inlineStr">
        <is>
          <t>P004896</t>
        </is>
      </c>
      <c r="C456" s="36" t="n">
        <v>4301031403</v>
      </c>
      <c r="D456" s="745" t="n">
        <v>4680115886094</v>
      </c>
      <c r="E456" s="1062" t="n"/>
      <c r="F456" s="1100" t="n">
        <v>0.9</v>
      </c>
      <c r="G456" s="37" t="n">
        <v>6</v>
      </c>
      <c r="H456" s="1100" t="n">
        <v>5.4</v>
      </c>
      <c r="I456" s="1100" t="n">
        <v>5.61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СК1</t>
        </is>
      </c>
      <c r="N456" s="38" t="n"/>
      <c r="O456" s="37" t="n">
        <v>50</v>
      </c>
      <c r="P456" s="1327" t="inlineStr">
        <is>
          <t>Копченые колбасы «Балыкбургская» Весовой фиброуз ТМ «Баварушка»</t>
        </is>
      </c>
      <c r="Q456" s="1102" t="n"/>
      <c r="R456" s="1102" t="n"/>
      <c r="S456" s="1102" t="n"/>
      <c r="T456" s="1103" t="n"/>
      <c r="U456" s="39" t="inlineStr"/>
      <c r="V456" s="39" t="inlineStr"/>
      <c r="W456" s="40" t="inlineStr">
        <is>
          <t>кг</t>
        </is>
      </c>
      <c r="X456" s="1104" t="n">
        <v>10</v>
      </c>
      <c r="Y456" s="1105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22" t="inlineStr">
        <is>
          <t>ЕАЭС N RU Д-RU.РА02.В.65356/23, ЕАЭС N RU Д-RU.РА02.В.66890/23</t>
        </is>
      </c>
      <c r="AG456" s="78" t="n"/>
      <c r="AJ456" s="84" t="inlineStr"/>
      <c r="AK456" s="84" t="n">
        <v>0</v>
      </c>
      <c r="BB456" s="523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 ht="27" customHeight="1">
      <c r="A457" s="63" t="inlineStr">
        <is>
          <t>SU002545</t>
        </is>
      </c>
      <c r="B457" s="63" t="inlineStr">
        <is>
          <t>P004516</t>
        </is>
      </c>
      <c r="C457" s="36" t="n">
        <v>4301031363</v>
      </c>
      <c r="D457" s="745" t="n">
        <v>4607091389425</v>
      </c>
      <c r="E457" s="1062" t="n"/>
      <c r="F457" s="1100" t="n">
        <v>0.35</v>
      </c>
      <c r="G457" s="37" t="n">
        <v>6</v>
      </c>
      <c r="H457" s="1100" t="n">
        <v>2.1</v>
      </c>
      <c r="I457" s="1100" t="n">
        <v>2.23</v>
      </c>
      <c r="J457" s="37" t="n">
        <v>234</v>
      </c>
      <c r="K457" s="37" t="inlineStr">
        <is>
          <t>18</t>
        </is>
      </c>
      <c r="L457" s="37" t="inlineStr"/>
      <c r="M457" s="38" t="inlineStr">
        <is>
          <t>СК2</t>
        </is>
      </c>
      <c r="N457" s="38" t="n"/>
      <c r="O457" s="37" t="n">
        <v>50</v>
      </c>
      <c r="P457" s="1328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/>
      </c>
      <c r="Q457" s="1102" t="n"/>
      <c r="R457" s="1102" t="n"/>
      <c r="S457" s="1102" t="n"/>
      <c r="T457" s="1103" t="n"/>
      <c r="U457" s="39" t="inlineStr"/>
      <c r="V457" s="39" t="inlineStr"/>
      <c r="W457" s="40" t="inlineStr">
        <is>
          <t>кг</t>
        </is>
      </c>
      <c r="X457" s="1104" t="n">
        <v>0</v>
      </c>
      <c r="Y457" s="1105">
        <f>IFERROR(IF(X457="",0,CEILING((X457/$H457),1)*$H457),"")</f>
        <v/>
      </c>
      <c r="Z457" s="41">
        <f>IFERROR(IF(Y457=0,"",ROUNDUP(Y457/H457,0)*0.00502),"")</f>
        <v/>
      </c>
      <c r="AA457" s="68" t="inlineStr"/>
      <c r="AB457" s="69" t="inlineStr"/>
      <c r="AC457" s="524" t="inlineStr">
        <is>
          <t>ЕАЭС N RU Д-RU.РА02.В.65449/23</t>
        </is>
      </c>
      <c r="AG457" s="78" t="n"/>
      <c r="AJ457" s="84" t="inlineStr"/>
      <c r="AK457" s="84" t="n">
        <v>0</v>
      </c>
      <c r="BB457" s="525" t="inlineStr">
        <is>
          <t>КИ</t>
        </is>
      </c>
      <c r="BM457" s="78">
        <f>IFERROR(X457*I457/H457,"0")</f>
        <v/>
      </c>
      <c r="BN457" s="78">
        <f>IFERROR(Y457*I457/H457,"0")</f>
        <v/>
      </c>
      <c r="BO457" s="78">
        <f>IFERROR(1/J457*(X457/H457),"0")</f>
        <v/>
      </c>
      <c r="BP457" s="78">
        <f>IFERROR(1/J457*(Y457/H457),"0")</f>
        <v/>
      </c>
    </row>
    <row r="458" ht="27" customHeight="1">
      <c r="A458" s="63" t="inlineStr">
        <is>
          <t>SU002726</t>
        </is>
      </c>
      <c r="B458" s="63" t="inlineStr">
        <is>
          <t>P004546</t>
        </is>
      </c>
      <c r="C458" s="36" t="n">
        <v>4301031373</v>
      </c>
      <c r="D458" s="745" t="n">
        <v>4680115880771</v>
      </c>
      <c r="E458" s="1062" t="n"/>
      <c r="F458" s="1100" t="n">
        <v>0.28</v>
      </c>
      <c r="G458" s="37" t="n">
        <v>6</v>
      </c>
      <c r="H458" s="1100" t="n">
        <v>1.68</v>
      </c>
      <c r="I458" s="1100" t="n">
        <v>1.81</v>
      </c>
      <c r="J458" s="37" t="n">
        <v>234</v>
      </c>
      <c r="K458" s="37" t="inlineStr">
        <is>
          <t>18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329" t="inlineStr">
        <is>
          <t>В/к колбасы Балыкбургская с копченым балыком срез Балыкбургская Фикс.вес 0,28 фиброуз в/у Баварушка</t>
        </is>
      </c>
      <c r="Q458" s="1102" t="n"/>
      <c r="R458" s="1102" t="n"/>
      <c r="S458" s="1102" t="n"/>
      <c r="T458" s="1103" t="n"/>
      <c r="U458" s="39" t="inlineStr"/>
      <c r="V458" s="39" t="inlineStr"/>
      <c r="W458" s="40" t="inlineStr">
        <is>
          <t>кг</t>
        </is>
      </c>
      <c r="X458" s="1104" t="n">
        <v>0</v>
      </c>
      <c r="Y458" s="1105">
        <f>IFERROR(IF(X458="",0,CEILING((X458/$H458),1)*$H458),"")</f>
        <v/>
      </c>
      <c r="Z458" s="41">
        <f>IFERROR(IF(Y458=0,"",ROUNDUP(Y458/H458,0)*0.00502),"")</f>
        <v/>
      </c>
      <c r="AA458" s="68" t="inlineStr"/>
      <c r="AB458" s="69" t="inlineStr"/>
      <c r="AC458" s="526" t="inlineStr">
        <is>
          <t>ЕАЭС N RU Д-RU.РА02.В.66822/23</t>
        </is>
      </c>
      <c r="AG458" s="78" t="n"/>
      <c r="AJ458" s="84" t="inlineStr"/>
      <c r="AK458" s="84" t="n">
        <v>0</v>
      </c>
      <c r="BB458" s="52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SU002604</t>
        </is>
      </c>
      <c r="B459" s="63" t="inlineStr">
        <is>
          <t>P004520</t>
        </is>
      </c>
      <c r="C459" s="36" t="n">
        <v>4301031359</v>
      </c>
      <c r="D459" s="745" t="n">
        <v>4607091389500</v>
      </c>
      <c r="E459" s="1062" t="n"/>
      <c r="F459" s="1100" t="n">
        <v>0.35</v>
      </c>
      <c r="G459" s="37" t="n">
        <v>6</v>
      </c>
      <c r="H459" s="1100" t="n">
        <v>2.1</v>
      </c>
      <c r="I459" s="1100" t="n">
        <v>2.23</v>
      </c>
      <c r="J459" s="37" t="n">
        <v>234</v>
      </c>
      <c r="K459" s="37" t="inlineStr">
        <is>
          <t>18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330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59" s="1102" t="n"/>
      <c r="R459" s="1102" t="n"/>
      <c r="S459" s="1102" t="n"/>
      <c r="T459" s="1103" t="n"/>
      <c r="U459" s="39" t="inlineStr"/>
      <c r="V459" s="39" t="inlineStr"/>
      <c r="W459" s="40" t="inlineStr">
        <is>
          <t>кг</t>
        </is>
      </c>
      <c r="X459" s="1104" t="n">
        <v>0</v>
      </c>
      <c r="Y459" s="1105">
        <f>IFERROR(IF(X459="",0,CEILING((X459/$H459),1)*$H459),"")</f>
        <v/>
      </c>
      <c r="Z459" s="41">
        <f>IFERROR(IF(Y459=0,"",ROUNDUP(Y459/H459,0)*0.00502),"")</f>
        <v/>
      </c>
      <c r="AA459" s="68" t="inlineStr"/>
      <c r="AB459" s="69" t="inlineStr"/>
      <c r="AC459" s="528" t="inlineStr">
        <is>
          <t>ЕАЭС N RU Д-RU.РА02.В.66822/23</t>
        </is>
      </c>
      <c r="AG459" s="78" t="n"/>
      <c r="AJ459" s="84" t="inlineStr"/>
      <c r="AK459" s="84" t="n">
        <v>0</v>
      </c>
      <c r="BB459" s="52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>
      <c r="A460" s="758" t="n"/>
      <c r="B460" s="1051" t="n"/>
      <c r="C460" s="1051" t="n"/>
      <c r="D460" s="1051" t="n"/>
      <c r="E460" s="1051" t="n"/>
      <c r="F460" s="1051" t="n"/>
      <c r="G460" s="1051" t="n"/>
      <c r="H460" s="1051" t="n"/>
      <c r="I460" s="1051" t="n"/>
      <c r="J460" s="1051" t="n"/>
      <c r="K460" s="1051" t="n"/>
      <c r="L460" s="1051" t="n"/>
      <c r="M460" s="1051" t="n"/>
      <c r="N460" s="1051" t="n"/>
      <c r="O460" s="1111" t="n"/>
      <c r="P460" s="1112" t="inlineStr">
        <is>
          <t>Итого</t>
        </is>
      </c>
      <c r="Q460" s="1069" t="n"/>
      <c r="R460" s="1069" t="n"/>
      <c r="S460" s="1069" t="n"/>
      <c r="T460" s="1069" t="n"/>
      <c r="U460" s="1069" t="n"/>
      <c r="V460" s="1070" t="n"/>
      <c r="W460" s="42" t="inlineStr">
        <is>
          <t>кор</t>
        </is>
      </c>
      <c r="X460" s="1113">
        <f>IFERROR(X456/H456,"0")+IFERROR(X457/H457,"0")+IFERROR(X458/H458,"0")+IFERROR(X459/H459,"0")</f>
        <v/>
      </c>
      <c r="Y460" s="1113">
        <f>IFERROR(Y456/H456,"0")+IFERROR(Y457/H457,"0")+IFERROR(Y458/H458,"0")+IFERROR(Y459/H459,"0")</f>
        <v/>
      </c>
      <c r="Z460" s="1113">
        <f>IFERROR(IF(Z456="",0,Z456),"0")+IFERROR(IF(Z457="",0,Z457),"0")+IFERROR(IF(Z458="",0,Z458),"0")+IFERROR(IF(Z459="",0,Z459),"0")</f>
        <v/>
      </c>
      <c r="AA460" s="1114" t="n"/>
      <c r="AB460" s="1114" t="n"/>
      <c r="AC460" s="1114" t="n"/>
    </row>
    <row r="461">
      <c r="A461" s="1051" t="n"/>
      <c r="B461" s="1051" t="n"/>
      <c r="C461" s="1051" t="n"/>
      <c r="D461" s="1051" t="n"/>
      <c r="E461" s="1051" t="n"/>
      <c r="F461" s="1051" t="n"/>
      <c r="G461" s="1051" t="n"/>
      <c r="H461" s="1051" t="n"/>
      <c r="I461" s="1051" t="n"/>
      <c r="J461" s="1051" t="n"/>
      <c r="K461" s="1051" t="n"/>
      <c r="L461" s="1051" t="n"/>
      <c r="M461" s="1051" t="n"/>
      <c r="N461" s="1051" t="n"/>
      <c r="O461" s="1111" t="n"/>
      <c r="P461" s="1112" t="inlineStr">
        <is>
          <t>Итого</t>
        </is>
      </c>
      <c r="Q461" s="1069" t="n"/>
      <c r="R461" s="1069" t="n"/>
      <c r="S461" s="1069" t="n"/>
      <c r="T461" s="1069" t="n"/>
      <c r="U461" s="1069" t="n"/>
      <c r="V461" s="1070" t="n"/>
      <c r="W461" s="42" t="inlineStr">
        <is>
          <t>кг</t>
        </is>
      </c>
      <c r="X461" s="1113">
        <f>IFERROR(SUM(X456:X459),"0")</f>
        <v/>
      </c>
      <c r="Y461" s="1113">
        <f>IFERROR(SUM(Y456:Y459),"0")</f>
        <v/>
      </c>
      <c r="Z461" s="42" t="n"/>
      <c r="AA461" s="1114" t="n"/>
      <c r="AB461" s="1114" t="n"/>
      <c r="AC461" s="1114" t="n"/>
    </row>
    <row r="462" ht="16.5" customHeight="1">
      <c r="A462" s="743" t="inlineStr">
        <is>
          <t>Краковюрст</t>
        </is>
      </c>
      <c r="B462" s="1051" t="n"/>
      <c r="C462" s="1051" t="n"/>
      <c r="D462" s="1051" t="n"/>
      <c r="E462" s="1051" t="n"/>
      <c r="F462" s="1051" t="n"/>
      <c r="G462" s="1051" t="n"/>
      <c r="H462" s="1051" t="n"/>
      <c r="I462" s="1051" t="n"/>
      <c r="J462" s="1051" t="n"/>
      <c r="K462" s="1051" t="n"/>
      <c r="L462" s="1051" t="n"/>
      <c r="M462" s="1051" t="n"/>
      <c r="N462" s="1051" t="n"/>
      <c r="O462" s="1051" t="n"/>
      <c r="P462" s="1051" t="n"/>
      <c r="Q462" s="1051" t="n"/>
      <c r="R462" s="1051" t="n"/>
      <c r="S462" s="1051" t="n"/>
      <c r="T462" s="1051" t="n"/>
      <c r="U462" s="1051" t="n"/>
      <c r="V462" s="1051" t="n"/>
      <c r="W462" s="1051" t="n"/>
      <c r="X462" s="1051" t="n"/>
      <c r="Y462" s="1051" t="n"/>
      <c r="Z462" s="1051" t="n"/>
      <c r="AA462" s="743" t="n"/>
      <c r="AB462" s="743" t="n"/>
      <c r="AC462" s="743" t="n"/>
    </row>
    <row r="463" ht="14.25" customHeight="1">
      <c r="A463" s="744" t="inlineStr">
        <is>
          <t>Копченые колбасы</t>
        </is>
      </c>
      <c r="B463" s="1051" t="n"/>
      <c r="C463" s="1051" t="n"/>
      <c r="D463" s="1051" t="n"/>
      <c r="E463" s="1051" t="n"/>
      <c r="F463" s="1051" t="n"/>
      <c r="G463" s="1051" t="n"/>
      <c r="H463" s="1051" t="n"/>
      <c r="I463" s="1051" t="n"/>
      <c r="J463" s="1051" t="n"/>
      <c r="K463" s="1051" t="n"/>
      <c r="L463" s="1051" t="n"/>
      <c r="M463" s="1051" t="n"/>
      <c r="N463" s="1051" t="n"/>
      <c r="O463" s="1051" t="n"/>
      <c r="P463" s="1051" t="n"/>
      <c r="Q463" s="1051" t="n"/>
      <c r="R463" s="1051" t="n"/>
      <c r="S463" s="1051" t="n"/>
      <c r="T463" s="1051" t="n"/>
      <c r="U463" s="1051" t="n"/>
      <c r="V463" s="1051" t="n"/>
      <c r="W463" s="1051" t="n"/>
      <c r="X463" s="1051" t="n"/>
      <c r="Y463" s="1051" t="n"/>
      <c r="Z463" s="1051" t="n"/>
      <c r="AA463" s="744" t="n"/>
      <c r="AB463" s="744" t="n"/>
      <c r="AC463" s="744" t="n"/>
    </row>
    <row r="464" ht="27" customHeight="1">
      <c r="A464" s="63" t="inlineStr">
        <is>
          <t>SU003345</t>
        </is>
      </c>
      <c r="B464" s="63" t="inlineStr">
        <is>
          <t>P004143</t>
        </is>
      </c>
      <c r="C464" s="36" t="n">
        <v>4301031294</v>
      </c>
      <c r="D464" s="745" t="n">
        <v>4680115885189</v>
      </c>
      <c r="E464" s="1062" t="n"/>
      <c r="F464" s="1100" t="n">
        <v>0.2</v>
      </c>
      <c r="G464" s="37" t="n">
        <v>6</v>
      </c>
      <c r="H464" s="1100" t="n">
        <v>1.2</v>
      </c>
      <c r="I464" s="1100" t="n">
        <v>1.372</v>
      </c>
      <c r="J464" s="37" t="n">
        <v>234</v>
      </c>
      <c r="K464" s="37" t="inlineStr">
        <is>
          <t>18</t>
        </is>
      </c>
      <c r="L464" s="37" t="inlineStr"/>
      <c r="M464" s="38" t="inlineStr">
        <is>
          <t>СК2</t>
        </is>
      </c>
      <c r="N464" s="38" t="n"/>
      <c r="O464" s="37" t="n">
        <v>40</v>
      </c>
      <c r="P464" s="1331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/>
      </c>
      <c r="Q464" s="1102" t="n"/>
      <c r="R464" s="1102" t="n"/>
      <c r="S464" s="1102" t="n"/>
      <c r="T464" s="1103" t="n"/>
      <c r="U464" s="39" t="inlineStr"/>
      <c r="V464" s="39" t="inlineStr"/>
      <c r="W464" s="40" t="inlineStr">
        <is>
          <t>кг</t>
        </is>
      </c>
      <c r="X464" s="1104" t="n">
        <v>6</v>
      </c>
      <c r="Y464" s="1105">
        <f>IFERROR(IF(X464="",0,CEILING((X464/$H464),1)*$H464),"")</f>
        <v/>
      </c>
      <c r="Z464" s="41">
        <f>IFERROR(IF(Y464=0,"",ROUNDUP(Y464/H464,0)*0.00502),"")</f>
        <v/>
      </c>
      <c r="AA464" s="68" t="inlineStr"/>
      <c r="AB464" s="69" t="inlineStr"/>
      <c r="AC464" s="530" t="inlineStr">
        <is>
          <t>ЕАЭС N RU Д-RU.РА06.В.80913/22</t>
        </is>
      </c>
      <c r="AG464" s="78" t="n"/>
      <c r="AJ464" s="84" t="inlineStr"/>
      <c r="AK464" s="84" t="n">
        <v>0</v>
      </c>
      <c r="BB464" s="531" t="inlineStr">
        <is>
          <t>КИ</t>
        </is>
      </c>
      <c r="BM464" s="78">
        <f>IFERROR(X464*I464/H464,"0")</f>
        <v/>
      </c>
      <c r="BN464" s="78">
        <f>IFERROR(Y464*I464/H464,"0")</f>
        <v/>
      </c>
      <c r="BO464" s="78">
        <f>IFERROR(1/J464*(X464/H464),"0")</f>
        <v/>
      </c>
      <c r="BP464" s="78">
        <f>IFERROR(1/J464*(Y464/H464),"0")</f>
        <v/>
      </c>
    </row>
    <row r="465" ht="27" customHeight="1">
      <c r="A465" s="63" t="inlineStr">
        <is>
          <t>SU003342</t>
        </is>
      </c>
      <c r="B465" s="63" t="inlineStr">
        <is>
          <t>P004452</t>
        </is>
      </c>
      <c r="C465" s="36" t="n">
        <v>4301031347</v>
      </c>
      <c r="D465" s="745" t="n">
        <v>4680115885110</v>
      </c>
      <c r="E465" s="1062" t="n"/>
      <c r="F465" s="1100" t="n">
        <v>0.2</v>
      </c>
      <c r="G465" s="37" t="n">
        <v>6</v>
      </c>
      <c r="H465" s="1100" t="n">
        <v>1.2</v>
      </c>
      <c r="I465" s="1100" t="n">
        <v>2.1</v>
      </c>
      <c r="J465" s="37" t="n">
        <v>182</v>
      </c>
      <c r="K465" s="37" t="inlineStr">
        <is>
          <t>14</t>
        </is>
      </c>
      <c r="L465" s="37" t="inlineStr"/>
      <c r="M465" s="38" t="inlineStr">
        <is>
          <t>СК2</t>
        </is>
      </c>
      <c r="N465" s="38" t="n"/>
      <c r="O465" s="37" t="n">
        <v>50</v>
      </c>
      <c r="P465" s="1332" t="inlineStr">
        <is>
          <t>Копченые колбасы «Краковюрст с изысканными пряностями копченые» ф/в 0,2 NDX ТМ «Баварушка»</t>
        </is>
      </c>
      <c r="Q465" s="1102" t="n"/>
      <c r="R465" s="1102" t="n"/>
      <c r="S465" s="1102" t="n"/>
      <c r="T465" s="1103" t="n"/>
      <c r="U465" s="39" t="inlineStr"/>
      <c r="V465" s="39" t="inlineStr"/>
      <c r="W465" s="40" t="inlineStr">
        <is>
          <t>кг</t>
        </is>
      </c>
      <c r="X465" s="1104" t="n">
        <v>10</v>
      </c>
      <c r="Y465" s="1105">
        <f>IFERROR(IF(X465="",0,CEILING((X465/$H465),1)*$H465),"")</f>
        <v/>
      </c>
      <c r="Z465" s="41">
        <f>IFERROR(IF(Y465=0,"",ROUNDUP(Y465/H465,0)*0.00651),"")</f>
        <v/>
      </c>
      <c r="AA465" s="68" t="inlineStr"/>
      <c r="AB465" s="69" t="inlineStr"/>
      <c r="AC465" s="532" t="inlineStr">
        <is>
          <t>ЕАЭС N RU Д-RU.РА03.В.17780/24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>
        <f>IFERROR(X465*I465/H465,"0")</f>
        <v/>
      </c>
      <c r="BN465" s="78">
        <f>IFERROR(Y465*I465/H465,"0")</f>
        <v/>
      </c>
      <c r="BO465" s="78">
        <f>IFERROR(1/J465*(X465/H465),"0")</f>
        <v/>
      </c>
      <c r="BP465" s="78">
        <f>IFERROR(1/J465*(Y465/H465),"0")</f>
        <v/>
      </c>
    </row>
    <row r="466">
      <c r="A466" s="758" t="n"/>
      <c r="B466" s="1051" t="n"/>
      <c r="C466" s="1051" t="n"/>
      <c r="D466" s="1051" t="n"/>
      <c r="E466" s="1051" t="n"/>
      <c r="F466" s="1051" t="n"/>
      <c r="G466" s="1051" t="n"/>
      <c r="H466" s="1051" t="n"/>
      <c r="I466" s="1051" t="n"/>
      <c r="J466" s="1051" t="n"/>
      <c r="K466" s="1051" t="n"/>
      <c r="L466" s="1051" t="n"/>
      <c r="M466" s="1051" t="n"/>
      <c r="N466" s="1051" t="n"/>
      <c r="O466" s="1111" t="n"/>
      <c r="P466" s="1112" t="inlineStr">
        <is>
          <t>Итого</t>
        </is>
      </c>
      <c r="Q466" s="1069" t="n"/>
      <c r="R466" s="1069" t="n"/>
      <c r="S466" s="1069" t="n"/>
      <c r="T466" s="1069" t="n"/>
      <c r="U466" s="1069" t="n"/>
      <c r="V466" s="1070" t="n"/>
      <c r="W466" s="42" t="inlineStr">
        <is>
          <t>кор</t>
        </is>
      </c>
      <c r="X466" s="1113">
        <f>IFERROR(X464/H464,"0")+IFERROR(X465/H465,"0")</f>
        <v/>
      </c>
      <c r="Y466" s="1113">
        <f>IFERROR(Y464/H464,"0")+IFERROR(Y465/H465,"0")</f>
        <v/>
      </c>
      <c r="Z466" s="1113">
        <f>IFERROR(IF(Z464="",0,Z464),"0")+IFERROR(IF(Z465="",0,Z465),"0")</f>
        <v/>
      </c>
      <c r="AA466" s="1114" t="n"/>
      <c r="AB466" s="1114" t="n"/>
      <c r="AC466" s="1114" t="n"/>
    </row>
    <row r="467">
      <c r="A467" s="1051" t="n"/>
      <c r="B467" s="1051" t="n"/>
      <c r="C467" s="1051" t="n"/>
      <c r="D467" s="1051" t="n"/>
      <c r="E467" s="1051" t="n"/>
      <c r="F467" s="1051" t="n"/>
      <c r="G467" s="1051" t="n"/>
      <c r="H467" s="1051" t="n"/>
      <c r="I467" s="1051" t="n"/>
      <c r="J467" s="1051" t="n"/>
      <c r="K467" s="1051" t="n"/>
      <c r="L467" s="1051" t="n"/>
      <c r="M467" s="1051" t="n"/>
      <c r="N467" s="1051" t="n"/>
      <c r="O467" s="1111" t="n"/>
      <c r="P467" s="1112" t="inlineStr">
        <is>
          <t>Итого</t>
        </is>
      </c>
      <c r="Q467" s="1069" t="n"/>
      <c r="R467" s="1069" t="n"/>
      <c r="S467" s="1069" t="n"/>
      <c r="T467" s="1069" t="n"/>
      <c r="U467" s="1069" t="n"/>
      <c r="V467" s="1070" t="n"/>
      <c r="W467" s="42" t="inlineStr">
        <is>
          <t>кг</t>
        </is>
      </c>
      <c r="X467" s="1113">
        <f>IFERROR(SUM(X464:X465),"0")</f>
        <v/>
      </c>
      <c r="Y467" s="1113">
        <f>IFERROR(SUM(Y464:Y465),"0")</f>
        <v/>
      </c>
      <c r="Z467" s="42" t="n"/>
      <c r="AA467" s="1114" t="n"/>
      <c r="AB467" s="1114" t="n"/>
      <c r="AC467" s="1114" t="n"/>
    </row>
    <row r="468" ht="16.5" customHeight="1">
      <c r="A468" s="743" t="inlineStr">
        <is>
          <t>Бюргерсы</t>
        </is>
      </c>
      <c r="B468" s="1051" t="n"/>
      <c r="C468" s="1051" t="n"/>
      <c r="D468" s="1051" t="n"/>
      <c r="E468" s="1051" t="n"/>
      <c r="F468" s="1051" t="n"/>
      <c r="G468" s="1051" t="n"/>
      <c r="H468" s="1051" t="n"/>
      <c r="I468" s="1051" t="n"/>
      <c r="J468" s="1051" t="n"/>
      <c r="K468" s="1051" t="n"/>
      <c r="L468" s="1051" t="n"/>
      <c r="M468" s="1051" t="n"/>
      <c r="N468" s="1051" t="n"/>
      <c r="O468" s="1051" t="n"/>
      <c r="P468" s="1051" t="n"/>
      <c r="Q468" s="1051" t="n"/>
      <c r="R468" s="1051" t="n"/>
      <c r="S468" s="1051" t="n"/>
      <c r="T468" s="1051" t="n"/>
      <c r="U468" s="1051" t="n"/>
      <c r="V468" s="1051" t="n"/>
      <c r="W468" s="1051" t="n"/>
      <c r="X468" s="1051" t="n"/>
      <c r="Y468" s="1051" t="n"/>
      <c r="Z468" s="1051" t="n"/>
      <c r="AA468" s="743" t="n"/>
      <c r="AB468" s="743" t="n"/>
      <c r="AC468" s="743" t="n"/>
    </row>
    <row r="469" ht="14.25" customHeight="1">
      <c r="A469" s="744" t="inlineStr">
        <is>
          <t>Копченые колбасы</t>
        </is>
      </c>
      <c r="B469" s="1051" t="n"/>
      <c r="C469" s="1051" t="n"/>
      <c r="D469" s="1051" t="n"/>
      <c r="E469" s="1051" t="n"/>
      <c r="F469" s="1051" t="n"/>
      <c r="G469" s="1051" t="n"/>
      <c r="H469" s="1051" t="n"/>
      <c r="I469" s="1051" t="n"/>
      <c r="J469" s="1051" t="n"/>
      <c r="K469" s="1051" t="n"/>
      <c r="L469" s="1051" t="n"/>
      <c r="M469" s="1051" t="n"/>
      <c r="N469" s="1051" t="n"/>
      <c r="O469" s="1051" t="n"/>
      <c r="P469" s="1051" t="n"/>
      <c r="Q469" s="1051" t="n"/>
      <c r="R469" s="1051" t="n"/>
      <c r="S469" s="1051" t="n"/>
      <c r="T469" s="1051" t="n"/>
      <c r="U469" s="1051" t="n"/>
      <c r="V469" s="1051" t="n"/>
      <c r="W469" s="1051" t="n"/>
      <c r="X469" s="1051" t="n"/>
      <c r="Y469" s="1051" t="n"/>
      <c r="Z469" s="1051" t="n"/>
      <c r="AA469" s="744" t="n"/>
      <c r="AB469" s="744" t="n"/>
      <c r="AC469" s="744" t="n"/>
    </row>
    <row r="470" ht="27" customHeight="1">
      <c r="A470" s="63" t="inlineStr">
        <is>
          <t>SU003132</t>
        </is>
      </c>
      <c r="B470" s="63" t="inlineStr">
        <is>
          <t>P003718</t>
        </is>
      </c>
      <c r="C470" s="36" t="n">
        <v>4301031261</v>
      </c>
      <c r="D470" s="745" t="n">
        <v>4680115885103</v>
      </c>
      <c r="E470" s="1062" t="n"/>
      <c r="F470" s="1100" t="n">
        <v>0.27</v>
      </c>
      <c r="G470" s="37" t="n">
        <v>6</v>
      </c>
      <c r="H470" s="1100" t="n">
        <v>1.62</v>
      </c>
      <c r="I470" s="1100" t="n">
        <v>1.8</v>
      </c>
      <c r="J470" s="37" t="n">
        <v>182</v>
      </c>
      <c r="K470" s="37" t="inlineStr">
        <is>
          <t>14</t>
        </is>
      </c>
      <c r="L470" s="37" t="inlineStr"/>
      <c r="M470" s="38" t="inlineStr">
        <is>
          <t>СК2</t>
        </is>
      </c>
      <c r="N470" s="38" t="n"/>
      <c r="O470" s="37" t="n">
        <v>40</v>
      </c>
      <c r="P470" s="1333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/>
      </c>
      <c r="Q470" s="1102" t="n"/>
      <c r="R470" s="1102" t="n"/>
      <c r="S470" s="1102" t="n"/>
      <c r="T470" s="1103" t="n"/>
      <c r="U470" s="39" t="inlineStr"/>
      <c r="V470" s="39" t="inlineStr"/>
      <c r="W470" s="40" t="inlineStr">
        <is>
          <t>кг</t>
        </is>
      </c>
      <c r="X470" s="1104" t="n">
        <v>0</v>
      </c>
      <c r="Y470" s="1105">
        <f>IFERROR(IF(X470="",0,CEILING((X470/$H470),1)*$H470),"")</f>
        <v/>
      </c>
      <c r="Z470" s="41">
        <f>IFERROR(IF(Y470=0,"",ROUNDUP(Y470/H470,0)*0.00651),"")</f>
        <v/>
      </c>
      <c r="AA470" s="68" t="inlineStr"/>
      <c r="AB470" s="69" t="inlineStr"/>
      <c r="AC470" s="534" t="inlineStr">
        <is>
          <t>ЕАЭС N RU Д-RU.РА02.В.61667/24</t>
        </is>
      </c>
      <c r="AG470" s="78" t="n"/>
      <c r="AJ470" s="84" t="inlineStr"/>
      <c r="AK470" s="84" t="n">
        <v>0</v>
      </c>
      <c r="BB470" s="535" t="inlineStr">
        <is>
          <t>КИ</t>
        </is>
      </c>
      <c r="BM470" s="78">
        <f>IFERROR(X470*I470/H470,"0")</f>
        <v/>
      </c>
      <c r="BN470" s="78">
        <f>IFERROR(Y470*I470/H470,"0")</f>
        <v/>
      </c>
      <c r="BO470" s="78">
        <f>IFERROR(1/J470*(X470/H470),"0")</f>
        <v/>
      </c>
      <c r="BP470" s="78">
        <f>IFERROR(1/J470*(Y470/H470),"0")</f>
        <v/>
      </c>
    </row>
    <row r="471">
      <c r="A471" s="758" t="n"/>
      <c r="B471" s="1051" t="n"/>
      <c r="C471" s="1051" t="n"/>
      <c r="D471" s="1051" t="n"/>
      <c r="E471" s="1051" t="n"/>
      <c r="F471" s="1051" t="n"/>
      <c r="G471" s="1051" t="n"/>
      <c r="H471" s="1051" t="n"/>
      <c r="I471" s="1051" t="n"/>
      <c r="J471" s="1051" t="n"/>
      <c r="K471" s="1051" t="n"/>
      <c r="L471" s="1051" t="n"/>
      <c r="M471" s="1051" t="n"/>
      <c r="N471" s="1051" t="n"/>
      <c r="O471" s="1111" t="n"/>
      <c r="P471" s="1112" t="inlineStr">
        <is>
          <t>Итого</t>
        </is>
      </c>
      <c r="Q471" s="1069" t="n"/>
      <c r="R471" s="1069" t="n"/>
      <c r="S471" s="1069" t="n"/>
      <c r="T471" s="1069" t="n"/>
      <c r="U471" s="1069" t="n"/>
      <c r="V471" s="1070" t="n"/>
      <c r="W471" s="42" t="inlineStr">
        <is>
          <t>кор</t>
        </is>
      </c>
      <c r="X471" s="1113">
        <f>IFERROR(X470/H470,"0")</f>
        <v/>
      </c>
      <c r="Y471" s="1113">
        <f>IFERROR(Y470/H470,"0")</f>
        <v/>
      </c>
      <c r="Z471" s="1113">
        <f>IFERROR(IF(Z470="",0,Z470),"0")</f>
        <v/>
      </c>
      <c r="AA471" s="1114" t="n"/>
      <c r="AB471" s="1114" t="n"/>
      <c r="AC471" s="1114" t="n"/>
    </row>
    <row r="472">
      <c r="A472" s="1051" t="n"/>
      <c r="B472" s="1051" t="n"/>
      <c r="C472" s="1051" t="n"/>
      <c r="D472" s="1051" t="n"/>
      <c r="E472" s="1051" t="n"/>
      <c r="F472" s="1051" t="n"/>
      <c r="G472" s="1051" t="n"/>
      <c r="H472" s="1051" t="n"/>
      <c r="I472" s="1051" t="n"/>
      <c r="J472" s="1051" t="n"/>
      <c r="K472" s="1051" t="n"/>
      <c r="L472" s="1051" t="n"/>
      <c r="M472" s="1051" t="n"/>
      <c r="N472" s="1051" t="n"/>
      <c r="O472" s="1111" t="n"/>
      <c r="P472" s="1112" t="inlineStr">
        <is>
          <t>Итого</t>
        </is>
      </c>
      <c r="Q472" s="1069" t="n"/>
      <c r="R472" s="1069" t="n"/>
      <c r="S472" s="1069" t="n"/>
      <c r="T472" s="1069" t="n"/>
      <c r="U472" s="1069" t="n"/>
      <c r="V472" s="1070" t="n"/>
      <c r="W472" s="42" t="inlineStr">
        <is>
          <t>кг</t>
        </is>
      </c>
      <c r="X472" s="1113">
        <f>IFERROR(SUM(X470:X470),"0")</f>
        <v/>
      </c>
      <c r="Y472" s="1113">
        <f>IFERROR(SUM(Y470:Y470),"0")</f>
        <v/>
      </c>
      <c r="Z472" s="42" t="n"/>
      <c r="AA472" s="1114" t="n"/>
      <c r="AB472" s="1114" t="n"/>
      <c r="AC472" s="1114" t="n"/>
    </row>
    <row r="473" ht="14.25" customHeight="1">
      <c r="A473" s="744" t="inlineStr">
        <is>
          <t>Сардельки</t>
        </is>
      </c>
      <c r="B473" s="1051" t="n"/>
      <c r="C473" s="1051" t="n"/>
      <c r="D473" s="1051" t="n"/>
      <c r="E473" s="1051" t="n"/>
      <c r="F473" s="1051" t="n"/>
      <c r="G473" s="1051" t="n"/>
      <c r="H473" s="1051" t="n"/>
      <c r="I473" s="1051" t="n"/>
      <c r="J473" s="1051" t="n"/>
      <c r="K473" s="1051" t="n"/>
      <c r="L473" s="1051" t="n"/>
      <c r="M473" s="1051" t="n"/>
      <c r="N473" s="1051" t="n"/>
      <c r="O473" s="1051" t="n"/>
      <c r="P473" s="1051" t="n"/>
      <c r="Q473" s="1051" t="n"/>
      <c r="R473" s="1051" t="n"/>
      <c r="S473" s="1051" t="n"/>
      <c r="T473" s="1051" t="n"/>
      <c r="U473" s="1051" t="n"/>
      <c r="V473" s="1051" t="n"/>
      <c r="W473" s="1051" t="n"/>
      <c r="X473" s="1051" t="n"/>
      <c r="Y473" s="1051" t="n"/>
      <c r="Z473" s="1051" t="n"/>
      <c r="AA473" s="744" t="n"/>
      <c r="AB473" s="744" t="n"/>
      <c r="AC473" s="744" t="n"/>
    </row>
    <row r="474" ht="27" customHeight="1">
      <c r="A474" s="63" t="inlineStr">
        <is>
          <t>SU002437</t>
        </is>
      </c>
      <c r="B474" s="63" t="inlineStr">
        <is>
          <t>P004446</t>
        </is>
      </c>
      <c r="C474" s="36" t="n">
        <v>4301060412</v>
      </c>
      <c r="D474" s="745" t="n">
        <v>4680115885509</v>
      </c>
      <c r="E474" s="1062" t="n"/>
      <c r="F474" s="1100" t="n">
        <v>0.27</v>
      </c>
      <c r="G474" s="37" t="n">
        <v>6</v>
      </c>
      <c r="H474" s="1100" t="n">
        <v>1.62</v>
      </c>
      <c r="I474" s="1100" t="n">
        <v>1.866</v>
      </c>
      <c r="J474" s="37" t="n">
        <v>182</v>
      </c>
      <c r="K474" s="37" t="inlineStr">
        <is>
          <t>14</t>
        </is>
      </c>
      <c r="L474" s="37" t="inlineStr"/>
      <c r="M474" s="38" t="inlineStr">
        <is>
          <t>СК2</t>
        </is>
      </c>
      <c r="N474" s="38" t="n"/>
      <c r="O474" s="37" t="n">
        <v>35</v>
      </c>
      <c r="P474" s="1334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/>
      </c>
      <c r="Q474" s="1102" t="n"/>
      <c r="R474" s="1102" t="n"/>
      <c r="S474" s="1102" t="n"/>
      <c r="T474" s="1103" t="n"/>
      <c r="U474" s="39" t="inlineStr"/>
      <c r="V474" s="39" t="inlineStr"/>
      <c r="W474" s="40" t="inlineStr">
        <is>
          <t>кг</t>
        </is>
      </c>
      <c r="X474" s="1104" t="n">
        <v>0</v>
      </c>
      <c r="Y474" s="1105">
        <f>IFERROR(IF(X474="",0,CEILING((X474/$H474),1)*$H474),"")</f>
        <v/>
      </c>
      <c r="Z474" s="41">
        <f>IFERROR(IF(Y474=0,"",ROUNDUP(Y474/H474,0)*0.00651),"")</f>
        <v/>
      </c>
      <c r="AA474" s="68" t="inlineStr"/>
      <c r="AB474" s="69" t="inlineStr"/>
      <c r="AC474" s="536" t="inlineStr">
        <is>
          <t>ЕАЭС N RU Д-RU.РА03.В.30457/24, ЕАЭС N RU Д-RU.РА10.В.25148/24</t>
        </is>
      </c>
      <c r="AG474" s="78" t="n"/>
      <c r="AJ474" s="84" t="inlineStr"/>
      <c r="AK474" s="84" t="n">
        <v>0</v>
      </c>
      <c r="BB474" s="537" t="inlineStr">
        <is>
          <t>КИ</t>
        </is>
      </c>
      <c r="BM474" s="78">
        <f>IFERROR(X474*I474/H474,"0")</f>
        <v/>
      </c>
      <c r="BN474" s="78">
        <f>IFERROR(Y474*I474/H474,"0")</f>
        <v/>
      </c>
      <c r="BO474" s="78">
        <f>IFERROR(1/J474*(X474/H474),"0")</f>
        <v/>
      </c>
      <c r="BP474" s="78">
        <f>IFERROR(1/J474*(Y474/H474),"0")</f>
        <v/>
      </c>
    </row>
    <row r="475">
      <c r="A475" s="758" t="n"/>
      <c r="B475" s="1051" t="n"/>
      <c r="C475" s="1051" t="n"/>
      <c r="D475" s="1051" t="n"/>
      <c r="E475" s="1051" t="n"/>
      <c r="F475" s="1051" t="n"/>
      <c r="G475" s="1051" t="n"/>
      <c r="H475" s="1051" t="n"/>
      <c r="I475" s="1051" t="n"/>
      <c r="J475" s="1051" t="n"/>
      <c r="K475" s="1051" t="n"/>
      <c r="L475" s="1051" t="n"/>
      <c r="M475" s="1051" t="n"/>
      <c r="N475" s="1051" t="n"/>
      <c r="O475" s="1111" t="n"/>
      <c r="P475" s="1112" t="inlineStr">
        <is>
          <t>Итого</t>
        </is>
      </c>
      <c r="Q475" s="1069" t="n"/>
      <c r="R475" s="1069" t="n"/>
      <c r="S475" s="1069" t="n"/>
      <c r="T475" s="1069" t="n"/>
      <c r="U475" s="1069" t="n"/>
      <c r="V475" s="1070" t="n"/>
      <c r="W475" s="42" t="inlineStr">
        <is>
          <t>кор</t>
        </is>
      </c>
      <c r="X475" s="1113">
        <f>IFERROR(X474/H474,"0")</f>
        <v/>
      </c>
      <c r="Y475" s="1113">
        <f>IFERROR(Y474/H474,"0")</f>
        <v/>
      </c>
      <c r="Z475" s="1113">
        <f>IFERROR(IF(Z474="",0,Z474),"0")</f>
        <v/>
      </c>
      <c r="AA475" s="1114" t="n"/>
      <c r="AB475" s="1114" t="n"/>
      <c r="AC475" s="1114" t="n"/>
    </row>
    <row r="476">
      <c r="A476" s="1051" t="n"/>
      <c r="B476" s="1051" t="n"/>
      <c r="C476" s="1051" t="n"/>
      <c r="D476" s="1051" t="n"/>
      <c r="E476" s="1051" t="n"/>
      <c r="F476" s="1051" t="n"/>
      <c r="G476" s="1051" t="n"/>
      <c r="H476" s="1051" t="n"/>
      <c r="I476" s="1051" t="n"/>
      <c r="J476" s="1051" t="n"/>
      <c r="K476" s="1051" t="n"/>
      <c r="L476" s="1051" t="n"/>
      <c r="M476" s="1051" t="n"/>
      <c r="N476" s="1051" t="n"/>
      <c r="O476" s="1111" t="n"/>
      <c r="P476" s="1112" t="inlineStr">
        <is>
          <t>Итого</t>
        </is>
      </c>
      <c r="Q476" s="1069" t="n"/>
      <c r="R476" s="1069" t="n"/>
      <c r="S476" s="1069" t="n"/>
      <c r="T476" s="1069" t="n"/>
      <c r="U476" s="1069" t="n"/>
      <c r="V476" s="1070" t="n"/>
      <c r="W476" s="42" t="inlineStr">
        <is>
          <t>кг</t>
        </is>
      </c>
      <c r="X476" s="1113">
        <f>IFERROR(SUM(X474:X474),"0")</f>
        <v/>
      </c>
      <c r="Y476" s="1113">
        <f>IFERROR(SUM(Y474:Y474),"0")</f>
        <v/>
      </c>
      <c r="Z476" s="42" t="n"/>
      <c r="AA476" s="1114" t="n"/>
      <c r="AB476" s="1114" t="n"/>
      <c r="AC476" s="1114" t="n"/>
    </row>
    <row r="477" ht="27.75" customHeight="1">
      <c r="A477" s="742" t="inlineStr">
        <is>
          <t>Дугушка</t>
        </is>
      </c>
      <c r="B477" s="1099" t="n"/>
      <c r="C477" s="1099" t="n"/>
      <c r="D477" s="1099" t="n"/>
      <c r="E477" s="1099" t="n"/>
      <c r="F477" s="1099" t="n"/>
      <c r="G477" s="1099" t="n"/>
      <c r="H477" s="1099" t="n"/>
      <c r="I477" s="1099" t="n"/>
      <c r="J477" s="1099" t="n"/>
      <c r="K477" s="1099" t="n"/>
      <c r="L477" s="1099" t="n"/>
      <c r="M477" s="1099" t="n"/>
      <c r="N477" s="1099" t="n"/>
      <c r="O477" s="1099" t="n"/>
      <c r="P477" s="1099" t="n"/>
      <c r="Q477" s="1099" t="n"/>
      <c r="R477" s="1099" t="n"/>
      <c r="S477" s="1099" t="n"/>
      <c r="T477" s="1099" t="n"/>
      <c r="U477" s="1099" t="n"/>
      <c r="V477" s="1099" t="n"/>
      <c r="W477" s="1099" t="n"/>
      <c r="X477" s="1099" t="n"/>
      <c r="Y477" s="1099" t="n"/>
      <c r="Z477" s="1099" t="n"/>
      <c r="AA477" s="54" t="n"/>
      <c r="AB477" s="54" t="n"/>
      <c r="AC477" s="54" t="n"/>
    </row>
    <row r="478" ht="16.5" customHeight="1">
      <c r="A478" s="743" t="inlineStr">
        <is>
          <t>Дугушка</t>
        </is>
      </c>
      <c r="B478" s="1051" t="n"/>
      <c r="C478" s="1051" t="n"/>
      <c r="D478" s="1051" t="n"/>
      <c r="E478" s="1051" t="n"/>
      <c r="F478" s="1051" t="n"/>
      <c r="G478" s="1051" t="n"/>
      <c r="H478" s="1051" t="n"/>
      <c r="I478" s="1051" t="n"/>
      <c r="J478" s="1051" t="n"/>
      <c r="K478" s="1051" t="n"/>
      <c r="L478" s="1051" t="n"/>
      <c r="M478" s="1051" t="n"/>
      <c r="N478" s="1051" t="n"/>
      <c r="O478" s="1051" t="n"/>
      <c r="P478" s="1051" t="n"/>
      <c r="Q478" s="1051" t="n"/>
      <c r="R478" s="1051" t="n"/>
      <c r="S478" s="1051" t="n"/>
      <c r="T478" s="1051" t="n"/>
      <c r="U478" s="1051" t="n"/>
      <c r="V478" s="1051" t="n"/>
      <c r="W478" s="1051" t="n"/>
      <c r="X478" s="1051" t="n"/>
      <c r="Y478" s="1051" t="n"/>
      <c r="Z478" s="1051" t="n"/>
      <c r="AA478" s="743" t="n"/>
      <c r="AB478" s="743" t="n"/>
      <c r="AC478" s="743" t="n"/>
    </row>
    <row r="479" ht="14.25" customHeight="1">
      <c r="A479" s="744" t="inlineStr">
        <is>
          <t>Вареные колбасы</t>
        </is>
      </c>
      <c r="B479" s="1051" t="n"/>
      <c r="C479" s="1051" t="n"/>
      <c r="D479" s="1051" t="n"/>
      <c r="E479" s="1051" t="n"/>
      <c r="F479" s="1051" t="n"/>
      <c r="G479" s="1051" t="n"/>
      <c r="H479" s="1051" t="n"/>
      <c r="I479" s="1051" t="n"/>
      <c r="J479" s="1051" t="n"/>
      <c r="K479" s="1051" t="n"/>
      <c r="L479" s="1051" t="n"/>
      <c r="M479" s="1051" t="n"/>
      <c r="N479" s="1051" t="n"/>
      <c r="O479" s="1051" t="n"/>
      <c r="P479" s="1051" t="n"/>
      <c r="Q479" s="1051" t="n"/>
      <c r="R479" s="1051" t="n"/>
      <c r="S479" s="1051" t="n"/>
      <c r="T479" s="1051" t="n"/>
      <c r="U479" s="1051" t="n"/>
      <c r="V479" s="1051" t="n"/>
      <c r="W479" s="1051" t="n"/>
      <c r="X479" s="1051" t="n"/>
      <c r="Y479" s="1051" t="n"/>
      <c r="Z479" s="1051" t="n"/>
      <c r="AA479" s="744" t="n"/>
      <c r="AB479" s="744" t="n"/>
      <c r="AC479" s="744" t="n"/>
    </row>
    <row r="480" ht="27" customHeight="1">
      <c r="A480" s="63" t="inlineStr">
        <is>
          <t>SU002011</t>
        </is>
      </c>
      <c r="B480" s="63" t="inlineStr">
        <is>
          <t>P004028</t>
        </is>
      </c>
      <c r="C480" s="36" t="n">
        <v>4301011795</v>
      </c>
      <c r="D480" s="745" t="n">
        <v>4607091389067</v>
      </c>
      <c r="E480" s="1062" t="n"/>
      <c r="F480" s="1100" t="n">
        <v>0.88</v>
      </c>
      <c r="G480" s="37" t="n">
        <v>6</v>
      </c>
      <c r="H480" s="1100" t="n">
        <v>5.28</v>
      </c>
      <c r="I480" s="1100" t="n">
        <v>5.64</v>
      </c>
      <c r="J480" s="37" t="n">
        <v>104</v>
      </c>
      <c r="K480" s="37" t="inlineStr">
        <is>
          <t>8</t>
        </is>
      </c>
      <c r="L480" s="37" t="inlineStr"/>
      <c r="M480" s="38" t="inlineStr">
        <is>
          <t>СК1</t>
        </is>
      </c>
      <c r="N480" s="38" t="n"/>
      <c r="O480" s="37" t="n">
        <v>60</v>
      </c>
      <c r="P480" s="1335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0" s="1102" t="n"/>
      <c r="R480" s="1102" t="n"/>
      <c r="S480" s="1102" t="n"/>
      <c r="T480" s="1103" t="n"/>
      <c r="U480" s="39" t="inlineStr"/>
      <c r="V480" s="39" t="inlineStr"/>
      <c r="W480" s="40" t="inlineStr">
        <is>
          <t>кг</t>
        </is>
      </c>
      <c r="X480" s="1104" t="n">
        <v>50</v>
      </c>
      <c r="Y480" s="1105">
        <f>IFERROR(IF(X480="",0,CEILING((X480/$H480),1)*$H480),"")</f>
        <v/>
      </c>
      <c r="Z480" s="41">
        <f>IFERROR(IF(Y480=0,"",ROUNDUP(Y480/H480,0)*0.01196),"")</f>
        <v/>
      </c>
      <c r="AA480" s="68" t="inlineStr"/>
      <c r="AB480" s="69" t="inlineStr"/>
      <c r="AC480" s="538" t="inlineStr">
        <is>
          <t>ЕАЭС N RU Д-RU.РА02.В.51456/25</t>
        </is>
      </c>
      <c r="AG480" s="78" t="n"/>
      <c r="AJ480" s="84" t="inlineStr"/>
      <c r="AK480" s="84" t="n">
        <v>0</v>
      </c>
      <c r="BB480" s="539" t="inlineStr">
        <is>
          <t>КИ</t>
        </is>
      </c>
      <c r="BM480" s="78">
        <f>IFERROR(X480*I480/H480,"0")</f>
        <v/>
      </c>
      <c r="BN480" s="78">
        <f>IFERROR(Y480*I480/H480,"0")</f>
        <v/>
      </c>
      <c r="BO480" s="78">
        <f>IFERROR(1/J480*(X480/H480),"0")</f>
        <v/>
      </c>
      <c r="BP480" s="78">
        <f>IFERROR(1/J480*(Y480/H480),"0")</f>
        <v/>
      </c>
    </row>
    <row r="481" ht="27" customHeight="1">
      <c r="A481" s="63" t="inlineStr">
        <is>
          <t>SU002182</t>
        </is>
      </c>
      <c r="B481" s="63" t="inlineStr">
        <is>
          <t>P004406</t>
        </is>
      </c>
      <c r="C481" s="36" t="n">
        <v>4301011961</v>
      </c>
      <c r="D481" s="745" t="n">
        <v>4680115885271</v>
      </c>
      <c r="E481" s="1062" t="n"/>
      <c r="F481" s="1100" t="n">
        <v>0.88</v>
      </c>
      <c r="G481" s="37" t="n">
        <v>6</v>
      </c>
      <c r="H481" s="1100" t="n">
        <v>5.28</v>
      </c>
      <c r="I481" s="1100" t="n">
        <v>5.64</v>
      </c>
      <c r="J481" s="37" t="n">
        <v>104</v>
      </c>
      <c r="K481" s="37" t="inlineStr">
        <is>
          <t>8</t>
        </is>
      </c>
      <c r="L481" s="37" t="inlineStr"/>
      <c r="M481" s="38" t="inlineStr">
        <is>
          <t>СК1</t>
        </is>
      </c>
      <c r="N481" s="38" t="n"/>
      <c r="O481" s="37" t="n">
        <v>60</v>
      </c>
      <c r="P481" s="1336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1" s="1102" t="n"/>
      <c r="R481" s="1102" t="n"/>
      <c r="S481" s="1102" t="n"/>
      <c r="T481" s="1103" t="n"/>
      <c r="U481" s="39" t="inlineStr"/>
      <c r="V481" s="39" t="inlineStr"/>
      <c r="W481" s="40" t="inlineStr">
        <is>
          <t>кг</t>
        </is>
      </c>
      <c r="X481" s="1104" t="n">
        <v>0</v>
      </c>
      <c r="Y481" s="1105">
        <f>IFERROR(IF(X481="",0,CEILING((X481/$H481),1)*$H481),"")</f>
        <v/>
      </c>
      <c r="Z481" s="41">
        <f>IFERROR(IF(Y481=0,"",ROUNDUP(Y481/H481,0)*0.01196),"")</f>
        <v/>
      </c>
      <c r="AA481" s="68" t="inlineStr"/>
      <c r="AB481" s="69" t="inlineStr"/>
      <c r="AC481" s="540" t="inlineStr">
        <is>
          <t>ЕАЭС N RU Д-RU.РА02.В.51764/24</t>
        </is>
      </c>
      <c r="AG481" s="78" t="n"/>
      <c r="AJ481" s="84" t="inlineStr"/>
      <c r="AK481" s="84" t="n">
        <v>0</v>
      </c>
      <c r="BB481" s="541" t="inlineStr">
        <is>
          <t>КИ</t>
        </is>
      </c>
      <c r="BM481" s="78">
        <f>IFERROR(X481*I481/H481,"0")</f>
        <v/>
      </c>
      <c r="BN481" s="78">
        <f>IFERROR(Y481*I481/H481,"0")</f>
        <v/>
      </c>
      <c r="BO481" s="78">
        <f>IFERROR(1/J481*(X481/H481),"0")</f>
        <v/>
      </c>
      <c r="BP481" s="78">
        <f>IFERROR(1/J481*(Y481/H481),"0")</f>
        <v/>
      </c>
    </row>
    <row r="482" ht="27" customHeight="1">
      <c r="A482" s="63" t="inlineStr">
        <is>
          <t>SU002634</t>
        </is>
      </c>
      <c r="B482" s="63" t="inlineStr">
        <is>
          <t>P002989</t>
        </is>
      </c>
      <c r="C482" s="36" t="n">
        <v>4301011376</v>
      </c>
      <c r="D482" s="745" t="n">
        <v>4680115885226</v>
      </c>
      <c r="E482" s="1062" t="n"/>
      <c r="F482" s="1100" t="n">
        <v>0.88</v>
      </c>
      <c r="G482" s="37" t="n">
        <v>6</v>
      </c>
      <c r="H482" s="1100" t="n">
        <v>5.28</v>
      </c>
      <c r="I482" s="1100" t="n">
        <v>5.64</v>
      </c>
      <c r="J482" s="37" t="n">
        <v>104</v>
      </c>
      <c r="K482" s="37" t="inlineStr">
        <is>
          <t>8</t>
        </is>
      </c>
      <c r="L482" s="37" t="inlineStr"/>
      <c r="M482" s="38" t="inlineStr">
        <is>
          <t>СК3</t>
        </is>
      </c>
      <c r="N482" s="38" t="n"/>
      <c r="O482" s="37" t="n">
        <v>60</v>
      </c>
      <c r="P482" s="1337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2" s="1102" t="n"/>
      <c r="R482" s="1102" t="n"/>
      <c r="S482" s="1102" t="n"/>
      <c r="T482" s="1103" t="n"/>
      <c r="U482" s="39" t="inlineStr"/>
      <c r="V482" s="39" t="inlineStr"/>
      <c r="W482" s="40" t="inlineStr">
        <is>
          <t>кг</t>
        </is>
      </c>
      <c r="X482" s="1104" t="n">
        <v>120</v>
      </c>
      <c r="Y482" s="1105">
        <f>IFERROR(IF(X482="",0,CEILING((X482/$H482),1)*$H482),"")</f>
        <v/>
      </c>
      <c r="Z482" s="41">
        <f>IFERROR(IF(Y482=0,"",ROUNDUP(Y482/H482,0)*0.01196),"")</f>
        <v/>
      </c>
      <c r="AA482" s="68" t="inlineStr"/>
      <c r="AB482" s="69" t="inlineStr"/>
      <c r="AC482" s="542" t="inlineStr">
        <is>
          <t>ЕАЭС N RU Д-RU.РА03.В.56116/24</t>
        </is>
      </c>
      <c r="AG482" s="78" t="n"/>
      <c r="AJ482" s="84" t="inlineStr"/>
      <c r="AK482" s="84" t="n">
        <v>0</v>
      </c>
      <c r="BB482" s="543" t="inlineStr">
        <is>
          <t>КИ</t>
        </is>
      </c>
      <c r="BM482" s="78">
        <f>IFERROR(X482*I482/H482,"0")</f>
        <v/>
      </c>
      <c r="BN482" s="78">
        <f>IFERROR(Y482*I482/H482,"0")</f>
        <v/>
      </c>
      <c r="BO482" s="78">
        <f>IFERROR(1/J482*(X482/H482),"0")</f>
        <v/>
      </c>
      <c r="BP482" s="78">
        <f>IFERROR(1/J482*(Y482/H482),"0")</f>
        <v/>
      </c>
    </row>
    <row r="483" ht="27" customHeight="1">
      <c r="A483" s="63" t="inlineStr">
        <is>
          <t>SU002010</t>
        </is>
      </c>
      <c r="B483" s="63" t="inlineStr">
        <is>
          <t>P004030</t>
        </is>
      </c>
      <c r="C483" s="36" t="n">
        <v>4301011771</v>
      </c>
      <c r="D483" s="745" t="n">
        <v>4607091389104</v>
      </c>
      <c r="E483" s="1062" t="n"/>
      <c r="F483" s="1100" t="n">
        <v>0.88</v>
      </c>
      <c r="G483" s="37" t="n">
        <v>6</v>
      </c>
      <c r="H483" s="1100" t="n">
        <v>5.28</v>
      </c>
      <c r="I483" s="1100" t="n">
        <v>5.64</v>
      </c>
      <c r="J483" s="37" t="n">
        <v>104</v>
      </c>
      <c r="K483" s="37" t="inlineStr">
        <is>
          <t>8</t>
        </is>
      </c>
      <c r="L483" s="37" t="inlineStr"/>
      <c r="M483" s="38" t="inlineStr">
        <is>
          <t>СК1</t>
        </is>
      </c>
      <c r="N483" s="38" t="n"/>
      <c r="O483" s="37" t="n">
        <v>60</v>
      </c>
      <c r="P483" s="1338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83" s="1102" t="n"/>
      <c r="R483" s="1102" t="n"/>
      <c r="S483" s="1102" t="n"/>
      <c r="T483" s="1103" t="n"/>
      <c r="U483" s="39" t="inlineStr"/>
      <c r="V483" s="39" t="inlineStr"/>
      <c r="W483" s="40" t="inlineStr">
        <is>
          <t>кг</t>
        </is>
      </c>
      <c r="X483" s="1104" t="n">
        <v>150</v>
      </c>
      <c r="Y483" s="1105">
        <f>IFERROR(IF(X483="",0,CEILING((X483/$H483),1)*$H483),"")</f>
        <v/>
      </c>
      <c r="Z483" s="41">
        <f>IFERROR(IF(Y483=0,"",ROUNDUP(Y483/H483,0)*0.01196),"")</f>
        <v/>
      </c>
      <c r="AA483" s="68" t="inlineStr"/>
      <c r="AB483" s="69" t="inlineStr"/>
      <c r="AC483" s="544" t="inlineStr">
        <is>
          <t>ЕАЭС N RU Д-RU.РА07.В.78433/22</t>
        </is>
      </c>
      <c r="AG483" s="78" t="n"/>
      <c r="AJ483" s="84" t="inlineStr"/>
      <c r="AK483" s="84" t="n">
        <v>0</v>
      </c>
      <c r="BB483" s="545" t="inlineStr">
        <is>
          <t>КИ</t>
        </is>
      </c>
      <c r="BM483" s="78">
        <f>IFERROR(X483*I483/H483,"0")</f>
        <v/>
      </c>
      <c r="BN483" s="78">
        <f>IFERROR(Y483*I483/H483,"0")</f>
        <v/>
      </c>
      <c r="BO483" s="78">
        <f>IFERROR(1/J483*(X483/H483),"0")</f>
        <v/>
      </c>
      <c r="BP483" s="78">
        <f>IFERROR(1/J483*(Y483/H483),"0")</f>
        <v/>
      </c>
    </row>
    <row r="484" ht="16.5" customHeight="1">
      <c r="A484" s="63" t="inlineStr">
        <is>
          <t>SU002999</t>
        </is>
      </c>
      <c r="B484" s="63" t="inlineStr">
        <is>
          <t>P004045</t>
        </is>
      </c>
      <c r="C484" s="36" t="n">
        <v>4301011799</v>
      </c>
      <c r="D484" s="745" t="n">
        <v>4680115884519</v>
      </c>
      <c r="E484" s="1062" t="n"/>
      <c r="F484" s="1100" t="n">
        <v>0.88</v>
      </c>
      <c r="G484" s="37" t="n">
        <v>6</v>
      </c>
      <c r="H484" s="1100" t="n">
        <v>5.28</v>
      </c>
      <c r="I484" s="1100" t="n">
        <v>5.64</v>
      </c>
      <c r="J484" s="37" t="n">
        <v>104</v>
      </c>
      <c r="K484" s="37" t="inlineStr">
        <is>
          <t>8</t>
        </is>
      </c>
      <c r="L484" s="37" t="inlineStr"/>
      <c r="M484" s="38" t="inlineStr">
        <is>
          <t>СК3</t>
        </is>
      </c>
      <c r="N484" s="38" t="n"/>
      <c r="O484" s="37" t="n">
        <v>60</v>
      </c>
      <c r="P484" s="1339">
        <f>HYPERLINK("https://abi.ru/products/Охлажденные/Дугушка/Дугушка/Вареные колбасы/P004045/","Вареные колбасы «Русская ГОСТ» Весовой п/а ТМ «Дугушка»")</f>
        <v/>
      </c>
      <c r="Q484" s="1102" t="n"/>
      <c r="R484" s="1102" t="n"/>
      <c r="S484" s="1102" t="n"/>
      <c r="T484" s="1103" t="n"/>
      <c r="U484" s="39" t="inlineStr"/>
      <c r="V484" s="39" t="inlineStr"/>
      <c r="W484" s="40" t="inlineStr">
        <is>
          <t>кг</t>
        </is>
      </c>
      <c r="X484" s="1104" t="n">
        <v>0</v>
      </c>
      <c r="Y484" s="1105">
        <f>IFERROR(IF(X484="",0,CEILING((X484/$H484),1)*$H484),"")</f>
        <v/>
      </c>
      <c r="Z484" s="41">
        <f>IFERROR(IF(Y484=0,"",ROUNDUP(Y484/H484,0)*0.01196),"")</f>
        <v/>
      </c>
      <c r="AA484" s="68" t="inlineStr"/>
      <c r="AB484" s="69" t="inlineStr"/>
      <c r="AC484" s="546" t="inlineStr">
        <is>
          <t>ЕАЭС N RU Д-RU.РА10.В.31672/23</t>
        </is>
      </c>
      <c r="AG484" s="78" t="n"/>
      <c r="AJ484" s="84" t="inlineStr"/>
      <c r="AK484" s="84" t="n">
        <v>0</v>
      </c>
      <c r="BB484" s="547" t="inlineStr">
        <is>
          <t>КИ</t>
        </is>
      </c>
      <c r="BM484" s="78">
        <f>IFERROR(X484*I484/H484,"0")</f>
        <v/>
      </c>
      <c r="BN484" s="78">
        <f>IFERROR(Y484*I484/H484,"0")</f>
        <v/>
      </c>
      <c r="BO484" s="78">
        <f>IFERROR(1/J484*(X484/H484),"0")</f>
        <v/>
      </c>
      <c r="BP484" s="78">
        <f>IFERROR(1/J484*(Y484/H484),"0")</f>
        <v/>
      </c>
    </row>
    <row r="485" ht="27" customHeight="1">
      <c r="A485" s="63" t="inlineStr">
        <is>
          <t>SU003847</t>
        </is>
      </c>
      <c r="B485" s="63" t="inlineStr">
        <is>
          <t>P004917</t>
        </is>
      </c>
      <c r="C485" s="36" t="n">
        <v>4301012125</v>
      </c>
      <c r="D485" s="745" t="n">
        <v>4680115886391</v>
      </c>
      <c r="E485" s="1062" t="n"/>
      <c r="F485" s="1100" t="n">
        <v>0.4</v>
      </c>
      <c r="G485" s="37" t="n">
        <v>6</v>
      </c>
      <c r="H485" s="1100" t="n">
        <v>2.4</v>
      </c>
      <c r="I485" s="1100" t="n">
        <v>2.58</v>
      </c>
      <c r="J485" s="37" t="n">
        <v>182</v>
      </c>
      <c r="K485" s="37" t="inlineStr">
        <is>
          <t>14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340" t="inlineStr">
        <is>
          <t>Вареные колбасы «Докторская» ГОСТ 23670-2019 Фикс.вес 0,4 полиамид ТМ «Стародворье»</t>
        </is>
      </c>
      <c r="Q485" s="1102" t="n"/>
      <c r="R485" s="1102" t="n"/>
      <c r="S485" s="1102" t="n"/>
      <c r="T485" s="1103" t="n"/>
      <c r="U485" s="39" t="inlineStr"/>
      <c r="V485" s="39" t="inlineStr"/>
      <c r="W485" s="40" t="inlineStr">
        <is>
          <t>кг</t>
        </is>
      </c>
      <c r="X485" s="1104" t="n">
        <v>0</v>
      </c>
      <c r="Y485" s="1105">
        <f>IFERROR(IF(X485="",0,CEILING((X485/$H485),1)*$H485),"")</f>
        <v/>
      </c>
      <c r="Z485" s="41">
        <f>IFERROR(IF(Y485=0,"",ROUNDUP(Y485/H485,0)*0.00651),"")</f>
        <v/>
      </c>
      <c r="AA485" s="68" t="inlineStr"/>
      <c r="AB485" s="69" t="inlineStr"/>
      <c r="AC485" s="548" t="inlineStr">
        <is>
          <t>ЕАЭС N RU Д-RU.РА02.В.51456/25</t>
        </is>
      </c>
      <c r="AG485" s="78" t="n"/>
      <c r="AJ485" s="84" t="inlineStr"/>
      <c r="AK485" s="84" t="n">
        <v>0</v>
      </c>
      <c r="BB485" s="549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27" customHeight="1">
      <c r="A486" s="63" t="inlineStr">
        <is>
          <t>SU002632</t>
        </is>
      </c>
      <c r="B486" s="63" t="inlineStr">
        <is>
          <t>P004689</t>
        </is>
      </c>
      <c r="C486" s="36" t="n">
        <v>4301012035</v>
      </c>
      <c r="D486" s="745" t="n">
        <v>4680115880603</v>
      </c>
      <c r="E486" s="1062" t="n"/>
      <c r="F486" s="1100" t="n">
        <v>0.6</v>
      </c>
      <c r="G486" s="37" t="n">
        <v>8</v>
      </c>
      <c r="H486" s="1100" t="n">
        <v>4.8</v>
      </c>
      <c r="I486" s="1100" t="n">
        <v>6.93</v>
      </c>
      <c r="J486" s="37" t="n">
        <v>132</v>
      </c>
      <c r="K486" s="37" t="inlineStr">
        <is>
          <t>12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341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86" s="1102" t="n"/>
      <c r="R486" s="1102" t="n"/>
      <c r="S486" s="1102" t="n"/>
      <c r="T486" s="1103" t="n"/>
      <c r="U486" s="39" t="inlineStr"/>
      <c r="V486" s="39" t="inlineStr"/>
      <c r="W486" s="40" t="inlineStr">
        <is>
          <t>кг</t>
        </is>
      </c>
      <c r="X486" s="1104" t="n">
        <v>0</v>
      </c>
      <c r="Y486" s="1105">
        <f>IFERROR(IF(X486="",0,CEILING((X486/$H486),1)*$H486),"")</f>
        <v/>
      </c>
      <c r="Z486" s="41">
        <f>IFERROR(IF(Y486=0,"",ROUNDUP(Y486/H486,0)*0.00902),"")</f>
        <v/>
      </c>
      <c r="AA486" s="68" t="inlineStr"/>
      <c r="AB486" s="69" t="inlineStr"/>
      <c r="AC486" s="550" t="inlineStr">
        <is>
          <t>ЕАЭС N RU Д-RU.РА02.В.51456/25</t>
        </is>
      </c>
      <c r="AG486" s="78" t="n"/>
      <c r="AJ486" s="84" t="inlineStr"/>
      <c r="AK486" s="84" t="n">
        <v>0</v>
      </c>
      <c r="BB486" s="551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SU002632</t>
        </is>
      </c>
      <c r="B487" s="63" t="inlineStr">
        <is>
          <t>P004043</t>
        </is>
      </c>
      <c r="C487" s="36" t="n">
        <v>4301011778</v>
      </c>
      <c r="D487" s="745" t="n">
        <v>4680115880603</v>
      </c>
      <c r="E487" s="1062" t="n"/>
      <c r="F487" s="1100" t="n">
        <v>0.6</v>
      </c>
      <c r="G487" s="37" t="n">
        <v>6</v>
      </c>
      <c r="H487" s="1100" t="n">
        <v>3.6</v>
      </c>
      <c r="I487" s="1100" t="n">
        <v>3.81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342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/>
      </c>
      <c r="Q487" s="1102" t="n"/>
      <c r="R487" s="1102" t="n"/>
      <c r="S487" s="1102" t="n"/>
      <c r="T487" s="1103" t="n"/>
      <c r="U487" s="39" t="inlineStr"/>
      <c r="V487" s="39" t="inlineStr"/>
      <c r="W487" s="40" t="inlineStr">
        <is>
          <t>кг</t>
        </is>
      </c>
      <c r="X487" s="1104" t="n">
        <v>78</v>
      </c>
      <c r="Y487" s="1105">
        <f>IFERROR(IF(X487="",0,CEILING((X487/$H487),1)*$H487),"")</f>
        <v/>
      </c>
      <c r="Z487" s="41">
        <f>IFERROR(IF(Y487=0,"",ROUNDUP(Y487/H487,0)*0.00902),"")</f>
        <v/>
      </c>
      <c r="AA487" s="68" t="inlineStr"/>
      <c r="AB487" s="69" t="inlineStr"/>
      <c r="AC487" s="552" t="inlineStr">
        <is>
          <t>ЕАЭС N RU Д-RU.РА02.В.51456/25</t>
        </is>
      </c>
      <c r="AG487" s="78" t="n"/>
      <c r="AJ487" s="84" t="inlineStr"/>
      <c r="AK487" s="84" t="n">
        <v>0</v>
      </c>
      <c r="BB487" s="553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SU002635</t>
        </is>
      </c>
      <c r="B488" s="63" t="inlineStr">
        <is>
          <t>P004690</t>
        </is>
      </c>
      <c r="C488" s="36" t="n">
        <v>4301012036</v>
      </c>
      <c r="D488" s="745" t="n">
        <v>4680115882782</v>
      </c>
      <c r="E488" s="1062" t="n"/>
      <c r="F488" s="1100" t="n">
        <v>0.6</v>
      </c>
      <c r="G488" s="37" t="n">
        <v>8</v>
      </c>
      <c r="H488" s="1100" t="n">
        <v>4.8</v>
      </c>
      <c r="I488" s="1100" t="n">
        <v>6.96</v>
      </c>
      <c r="J488" s="37" t="n">
        <v>120</v>
      </c>
      <c r="K488" s="37" t="inlineStr">
        <is>
          <t>12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343">
        <f>HYPERLINK("https://abi.ru/products/Охлажденные/Дугушка/Дугушка/Вареные колбасы/P004690/","Вареные колбасы «Дугушка со шпиком» Фикс.вес 0,6 П/а ТМ «Дугушка»")</f>
        <v/>
      </c>
      <c r="Q488" s="1102" t="n"/>
      <c r="R488" s="1102" t="n"/>
      <c r="S488" s="1102" t="n"/>
      <c r="T488" s="1103" t="n"/>
      <c r="U488" s="39" t="inlineStr"/>
      <c r="V488" s="39" t="inlineStr"/>
      <c r="W488" s="40" t="inlineStr">
        <is>
          <t>кг</t>
        </is>
      </c>
      <c r="X488" s="1104" t="n">
        <v>0</v>
      </c>
      <c r="Y488" s="1105">
        <f>IFERROR(IF(X488="",0,CEILING((X488/$H488),1)*$H488),"")</f>
        <v/>
      </c>
      <c r="Z488" s="41">
        <f>IFERROR(IF(Y488=0,"",ROUNDUP(Y488/H488,0)*0.00937),"")</f>
        <v/>
      </c>
      <c r="AA488" s="68" t="inlineStr"/>
      <c r="AB488" s="69" t="inlineStr"/>
      <c r="AC488" s="554" t="inlineStr">
        <is>
          <t>ЕАЭС N RU Д-RU.РА02.В.51764/24</t>
        </is>
      </c>
      <c r="AG488" s="78" t="n"/>
      <c r="AJ488" s="84" t="inlineStr"/>
      <c r="AK488" s="84" t="n">
        <v>0</v>
      </c>
      <c r="BB488" s="555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27" customHeight="1">
      <c r="A489" s="63" t="inlineStr">
        <is>
          <t>SU003810</t>
        </is>
      </c>
      <c r="B489" s="63" t="inlineStr">
        <is>
          <t>P004851</t>
        </is>
      </c>
      <c r="C489" s="36" t="n">
        <v>4301012055</v>
      </c>
      <c r="D489" s="745" t="n">
        <v>4680115886469</v>
      </c>
      <c r="E489" s="1062" t="n"/>
      <c r="F489" s="1100" t="n">
        <v>0.55</v>
      </c>
      <c r="G489" s="37" t="n">
        <v>8</v>
      </c>
      <c r="H489" s="1100" t="n">
        <v>4.4</v>
      </c>
      <c r="I489" s="1100" t="n">
        <v>4.61</v>
      </c>
      <c r="J489" s="37" t="n">
        <v>132</v>
      </c>
      <c r="K489" s="37" t="inlineStr">
        <is>
          <t>12</t>
        </is>
      </c>
      <c r="L489" s="37" t="inlineStr"/>
      <c r="M489" s="38" t="inlineStr">
        <is>
          <t>СК1</t>
        </is>
      </c>
      <c r="N489" s="38" t="n"/>
      <c r="O489" s="37" t="n">
        <v>60</v>
      </c>
      <c r="P489" s="1344" t="inlineStr">
        <is>
          <t>Вареные колбасы «Дугушка Стародворская» Фикс.вес 0,55 п/а ТМ «Стародворье»</t>
        </is>
      </c>
      <c r="Q489" s="1102" t="n"/>
      <c r="R489" s="1102" t="n"/>
      <c r="S489" s="1102" t="n"/>
      <c r="T489" s="1103" t="n"/>
      <c r="U489" s="39" t="inlineStr"/>
      <c r="V489" s="39" t="inlineStr"/>
      <c r="W489" s="40" t="inlineStr">
        <is>
          <t>кг</t>
        </is>
      </c>
      <c r="X489" s="1104" t="n">
        <v>0</v>
      </c>
      <c r="Y489" s="1105">
        <f>IFERROR(IF(X489="",0,CEILING((X489/$H489),1)*$H489),"")</f>
        <v/>
      </c>
      <c r="Z489" s="41">
        <f>IFERROR(IF(Y489=0,"",ROUNDUP(Y489/H489,0)*0.00902),"")</f>
        <v/>
      </c>
      <c r="AA489" s="68" t="inlineStr"/>
      <c r="AB489" s="69" t="inlineStr"/>
      <c r="AC489" s="556" t="inlineStr">
        <is>
          <t>ЕАЭС N RU Д-RU.РА03.В.56116/24</t>
        </is>
      </c>
      <c r="AG489" s="78" t="n"/>
      <c r="AJ489" s="84" t="inlineStr"/>
      <c r="AK489" s="84" t="n">
        <v>0</v>
      </c>
      <c r="BB489" s="557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SU003812</t>
        </is>
      </c>
      <c r="B490" s="63" t="inlineStr">
        <is>
          <t>P004853</t>
        </is>
      </c>
      <c r="C490" s="36" t="n">
        <v>4301012057</v>
      </c>
      <c r="D490" s="745" t="n">
        <v>4680115886483</v>
      </c>
      <c r="E490" s="1062" t="n"/>
      <c r="F490" s="1100" t="n">
        <v>0.55</v>
      </c>
      <c r="G490" s="37" t="n">
        <v>8</v>
      </c>
      <c r="H490" s="1100" t="n">
        <v>4.4</v>
      </c>
      <c r="I490" s="1100" t="n">
        <v>4.61</v>
      </c>
      <c r="J490" s="37" t="n">
        <v>132</v>
      </c>
      <c r="K490" s="37" t="inlineStr">
        <is>
          <t>12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345" t="inlineStr">
        <is>
          <t>Вареные колбасы «Молочная» ГОСТ 23670-2019 Фикс.вес 0,55 п/а ТМ «Стародворье»</t>
        </is>
      </c>
      <c r="Q490" s="1102" t="n"/>
      <c r="R490" s="1102" t="n"/>
      <c r="S490" s="1102" t="n"/>
      <c r="T490" s="1103" t="n"/>
      <c r="U490" s="39" t="inlineStr"/>
      <c r="V490" s="39" t="inlineStr"/>
      <c r="W490" s="40" t="inlineStr">
        <is>
          <t>кг</t>
        </is>
      </c>
      <c r="X490" s="1104" t="n">
        <v>0</v>
      </c>
      <c r="Y490" s="1105">
        <f>IFERROR(IF(X490="",0,CEILING((X490/$H490),1)*$H490),"")</f>
        <v/>
      </c>
      <c r="Z490" s="41">
        <f>IFERROR(IF(Y490=0,"",ROUNDUP(Y490/H490,0)*0.00902),"")</f>
        <v/>
      </c>
      <c r="AA490" s="68" t="inlineStr"/>
      <c r="AB490" s="69" t="inlineStr"/>
      <c r="AC490" s="558" t="inlineStr">
        <is>
          <t>ЕАЭС N RU Д-RU.РА10.В.33801/23</t>
        </is>
      </c>
      <c r="AG490" s="78" t="n"/>
      <c r="AJ490" s="84" t="inlineStr"/>
      <c r="AK490" s="84" t="n">
        <v>0</v>
      </c>
      <c r="BB490" s="559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SU003786</t>
        </is>
      </c>
      <c r="B491" s="63" t="inlineStr">
        <is>
          <t>P004752</t>
        </is>
      </c>
      <c r="C491" s="36" t="n">
        <v>4301012050</v>
      </c>
      <c r="D491" s="745" t="n">
        <v>4680115885479</v>
      </c>
      <c r="E491" s="1062" t="n"/>
      <c r="F491" s="1100" t="n">
        <v>0.4</v>
      </c>
      <c r="G491" s="37" t="n">
        <v>6</v>
      </c>
      <c r="H491" s="1100" t="n">
        <v>2.4</v>
      </c>
      <c r="I491" s="1100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СК1</t>
        </is>
      </c>
      <c r="N491" s="38" t="n"/>
      <c r="O491" s="37" t="n">
        <v>60</v>
      </c>
      <c r="P491" s="1346" t="inlineStr">
        <is>
          <t>Вареные колбасы «Молочная Дугушка» Фикс.вес 0,4 полиамид ТМ «Дугушка»</t>
        </is>
      </c>
      <c r="Q491" s="1102" t="n"/>
      <c r="R491" s="1102" t="n"/>
      <c r="S491" s="1102" t="n"/>
      <c r="T491" s="1103" t="n"/>
      <c r="U491" s="39" t="inlineStr"/>
      <c r="V491" s="39" t="inlineStr"/>
      <c r="W491" s="40" t="inlineStr">
        <is>
          <t>кг</t>
        </is>
      </c>
      <c r="X491" s="1104" t="n">
        <v>0</v>
      </c>
      <c r="Y491" s="1105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60" t="inlineStr">
        <is>
          <t>ЕАЭС N RU Д-RU.РА07.В.78433/22</t>
        </is>
      </c>
      <c r="AG491" s="78" t="n"/>
      <c r="AJ491" s="84" t="inlineStr"/>
      <c r="AK491" s="84" t="n">
        <v>0</v>
      </c>
      <c r="BB491" s="561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SU002631</t>
        </is>
      </c>
      <c r="B492" s="63" t="inlineStr">
        <is>
          <t>P004688</t>
        </is>
      </c>
      <c r="C492" s="36" t="n">
        <v>4301012034</v>
      </c>
      <c r="D492" s="745" t="n">
        <v>4607091389982</v>
      </c>
      <c r="E492" s="1062" t="n"/>
      <c r="F492" s="1100" t="n">
        <v>0.6</v>
      </c>
      <c r="G492" s="37" t="n">
        <v>8</v>
      </c>
      <c r="H492" s="1100" t="n">
        <v>4.8</v>
      </c>
      <c r="I492" s="1100" t="n">
        <v>6.96</v>
      </c>
      <c r="J492" s="37" t="n">
        <v>120</v>
      </c>
      <c r="K492" s="37" t="inlineStr">
        <is>
          <t>12</t>
        </is>
      </c>
      <c r="L492" s="37" t="inlineStr"/>
      <c r="M492" s="38" t="inlineStr">
        <is>
          <t>СК1</t>
        </is>
      </c>
      <c r="N492" s="38" t="n"/>
      <c r="O492" s="37" t="n">
        <v>60</v>
      </c>
      <c r="P492" s="134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2" s="1102" t="n"/>
      <c r="R492" s="1102" t="n"/>
      <c r="S492" s="1102" t="n"/>
      <c r="T492" s="1103" t="n"/>
      <c r="U492" s="39" t="inlineStr"/>
      <c r="V492" s="39" t="inlineStr"/>
      <c r="W492" s="40" t="inlineStr">
        <is>
          <t>кг</t>
        </is>
      </c>
      <c r="X492" s="1104" t="n">
        <v>0</v>
      </c>
      <c r="Y492" s="1105">
        <f>IFERROR(IF(X492="",0,CEILING((X492/$H492),1)*$H492),"")</f>
        <v/>
      </c>
      <c r="Z492" s="41">
        <f>IFERROR(IF(Y492=0,"",ROUNDUP(Y492/H492,0)*0.00937),"")</f>
        <v/>
      </c>
      <c r="AA492" s="68" t="inlineStr"/>
      <c r="AB492" s="69" t="inlineStr"/>
      <c r="AC492" s="562" t="inlineStr">
        <is>
          <t>ЕАЭС N RU Д-RU.РА07.В.78433/22</t>
        </is>
      </c>
      <c r="AG492" s="78" t="n"/>
      <c r="AJ492" s="84" t="inlineStr"/>
      <c r="AK492" s="84" t="n">
        <v>0</v>
      </c>
      <c r="BB492" s="563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P004048</t>
        </is>
      </c>
      <c r="C493" s="36" t="n">
        <v>4301011784</v>
      </c>
      <c r="D493" s="745" t="n">
        <v>4607091389982</v>
      </c>
      <c r="E493" s="1062" t="n"/>
      <c r="F493" s="1100" t="n">
        <v>0.6</v>
      </c>
      <c r="G493" s="37" t="n">
        <v>6</v>
      </c>
      <c r="H493" s="1100" t="n">
        <v>3.6</v>
      </c>
      <c r="I493" s="1100" t="n">
        <v>3.81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348">
        <f>HYPERLINK("https://abi.ru/products/Охлажденные/Дугушка/Дугушка/Вареные колбасы/P004048/","Вареные колбасы «Молочная Дугушка» Фикс.вес 0,6 П/а ТМ «Дугушка»")</f>
        <v/>
      </c>
      <c r="Q493" s="1102" t="n"/>
      <c r="R493" s="1102" t="n"/>
      <c r="S493" s="1102" t="n"/>
      <c r="T493" s="1103" t="n"/>
      <c r="U493" s="39" t="inlineStr"/>
      <c r="V493" s="39" t="inlineStr"/>
      <c r="W493" s="40" t="inlineStr">
        <is>
          <t>кг</t>
        </is>
      </c>
      <c r="X493" s="1104" t="n">
        <v>156</v>
      </c>
      <c r="Y493" s="1105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64" t="inlineStr">
        <is>
          <t>ЕАЭС N RU Д-RU.РА07.В.78433/22</t>
        </is>
      </c>
      <c r="AG493" s="78" t="n"/>
      <c r="AJ493" s="84" t="inlineStr"/>
      <c r="AK493" s="84" t="n">
        <v>0</v>
      </c>
      <c r="BB493" s="565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 ht="27" customHeight="1">
      <c r="A494" s="63" t="inlineStr">
        <is>
          <t>SU003813</t>
        </is>
      </c>
      <c r="B494" s="63" t="inlineStr">
        <is>
          <t>P004854</t>
        </is>
      </c>
      <c r="C494" s="36" t="n">
        <v>4301012058</v>
      </c>
      <c r="D494" s="745" t="n">
        <v>4680115886490</v>
      </c>
      <c r="E494" s="1062" t="n"/>
      <c r="F494" s="1100" t="n">
        <v>0.55</v>
      </c>
      <c r="G494" s="37" t="n">
        <v>8</v>
      </c>
      <c r="H494" s="1100" t="n">
        <v>4.4</v>
      </c>
      <c r="I494" s="1100" t="n">
        <v>4.61</v>
      </c>
      <c r="J494" s="37" t="n">
        <v>132</v>
      </c>
      <c r="K494" s="37" t="inlineStr">
        <is>
          <t>12</t>
        </is>
      </c>
      <c r="L494" s="37" t="inlineStr"/>
      <c r="M494" s="38" t="inlineStr">
        <is>
          <t>СК1</t>
        </is>
      </c>
      <c r="N494" s="38" t="n"/>
      <c r="O494" s="37" t="n">
        <v>60</v>
      </c>
      <c r="P494" s="1349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/>
      </c>
      <c r="Q494" s="1102" t="n"/>
      <c r="R494" s="1102" t="n"/>
      <c r="S494" s="1102" t="n"/>
      <c r="T494" s="1103" t="n"/>
      <c r="U494" s="39" t="inlineStr"/>
      <c r="V494" s="39" t="inlineStr"/>
      <c r="W494" s="40" t="inlineStr">
        <is>
          <t>кг</t>
        </is>
      </c>
      <c r="X494" s="1104" t="n">
        <v>0</v>
      </c>
      <c r="Y494" s="1105">
        <f>IFERROR(IF(X494="",0,CEILING((X494/$H494),1)*$H494),"")</f>
        <v/>
      </c>
      <c r="Z494" s="41">
        <f>IFERROR(IF(Y494=0,"",ROUNDUP(Y494/H494,0)*0.00902),"")</f>
        <v/>
      </c>
      <c r="AA494" s="68" t="inlineStr"/>
      <c r="AB494" s="69" t="inlineStr"/>
      <c r="AC494" s="566" t="inlineStr">
        <is>
          <t>ЕАЭС N RU Д-RU.РА10.В.31672/23</t>
        </is>
      </c>
      <c r="AG494" s="78" t="n"/>
      <c r="AJ494" s="84" t="inlineStr"/>
      <c r="AK494" s="84" t="n">
        <v>0</v>
      </c>
      <c r="BB494" s="567" t="inlineStr">
        <is>
          <t>КИ</t>
        </is>
      </c>
      <c r="BM494" s="78">
        <f>IFERROR(X494*I494/H494,"0")</f>
        <v/>
      </c>
      <c r="BN494" s="78">
        <f>IFERROR(Y494*I494/H494,"0")</f>
        <v/>
      </c>
      <c r="BO494" s="78">
        <f>IFERROR(1/J494*(X494/H494),"0")</f>
        <v/>
      </c>
      <c r="BP494" s="78">
        <f>IFERROR(1/J494*(Y494/H494),"0")</f>
        <v/>
      </c>
    </row>
    <row r="495">
      <c r="A495" s="758" t="n"/>
      <c r="B495" s="1051" t="n"/>
      <c r="C495" s="1051" t="n"/>
      <c r="D495" s="1051" t="n"/>
      <c r="E495" s="1051" t="n"/>
      <c r="F495" s="1051" t="n"/>
      <c r="G495" s="1051" t="n"/>
      <c r="H495" s="1051" t="n"/>
      <c r="I495" s="1051" t="n"/>
      <c r="J495" s="1051" t="n"/>
      <c r="K495" s="1051" t="n"/>
      <c r="L495" s="1051" t="n"/>
      <c r="M495" s="1051" t="n"/>
      <c r="N495" s="1051" t="n"/>
      <c r="O495" s="1111" t="n"/>
      <c r="P495" s="1112" t="inlineStr">
        <is>
          <t>Итого</t>
        </is>
      </c>
      <c r="Q495" s="1069" t="n"/>
      <c r="R495" s="1069" t="n"/>
      <c r="S495" s="1069" t="n"/>
      <c r="T495" s="1069" t="n"/>
      <c r="U495" s="1069" t="n"/>
      <c r="V495" s="1070" t="n"/>
      <c r="W495" s="42" t="inlineStr">
        <is>
          <t>кор</t>
        </is>
      </c>
      <c r="X495" s="1113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/>
      </c>
      <c r="Y495" s="1113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/>
      </c>
      <c r="Z495" s="1113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/>
      </c>
      <c r="AA495" s="1114" t="n"/>
      <c r="AB495" s="1114" t="n"/>
      <c r="AC495" s="1114" t="n"/>
    </row>
    <row r="496">
      <c r="A496" s="1051" t="n"/>
      <c r="B496" s="1051" t="n"/>
      <c r="C496" s="1051" t="n"/>
      <c r="D496" s="1051" t="n"/>
      <c r="E496" s="1051" t="n"/>
      <c r="F496" s="1051" t="n"/>
      <c r="G496" s="1051" t="n"/>
      <c r="H496" s="1051" t="n"/>
      <c r="I496" s="1051" t="n"/>
      <c r="J496" s="1051" t="n"/>
      <c r="K496" s="1051" t="n"/>
      <c r="L496" s="1051" t="n"/>
      <c r="M496" s="1051" t="n"/>
      <c r="N496" s="1051" t="n"/>
      <c r="O496" s="1111" t="n"/>
      <c r="P496" s="1112" t="inlineStr">
        <is>
          <t>Итого</t>
        </is>
      </c>
      <c r="Q496" s="1069" t="n"/>
      <c r="R496" s="1069" t="n"/>
      <c r="S496" s="1069" t="n"/>
      <c r="T496" s="1069" t="n"/>
      <c r="U496" s="1069" t="n"/>
      <c r="V496" s="1070" t="n"/>
      <c r="W496" s="42" t="inlineStr">
        <is>
          <t>кг</t>
        </is>
      </c>
      <c r="X496" s="1113">
        <f>IFERROR(SUM(X480:X494),"0")</f>
        <v/>
      </c>
      <c r="Y496" s="1113">
        <f>IFERROR(SUM(Y480:Y494),"0")</f>
        <v/>
      </c>
      <c r="Z496" s="42" t="n"/>
      <c r="AA496" s="1114" t="n"/>
      <c r="AB496" s="1114" t="n"/>
      <c r="AC496" s="1114" t="n"/>
    </row>
    <row r="497" ht="14.25" customHeight="1">
      <c r="A497" s="744" t="inlineStr">
        <is>
          <t>Ветчины</t>
        </is>
      </c>
      <c r="B497" s="1051" t="n"/>
      <c r="C497" s="1051" t="n"/>
      <c r="D497" s="1051" t="n"/>
      <c r="E497" s="1051" t="n"/>
      <c r="F497" s="1051" t="n"/>
      <c r="G497" s="1051" t="n"/>
      <c r="H497" s="1051" t="n"/>
      <c r="I497" s="1051" t="n"/>
      <c r="J497" s="1051" t="n"/>
      <c r="K497" s="1051" t="n"/>
      <c r="L497" s="1051" t="n"/>
      <c r="M497" s="1051" t="n"/>
      <c r="N497" s="1051" t="n"/>
      <c r="O497" s="1051" t="n"/>
      <c r="P497" s="1051" t="n"/>
      <c r="Q497" s="1051" t="n"/>
      <c r="R497" s="1051" t="n"/>
      <c r="S497" s="1051" t="n"/>
      <c r="T497" s="1051" t="n"/>
      <c r="U497" s="1051" t="n"/>
      <c r="V497" s="1051" t="n"/>
      <c r="W497" s="1051" t="n"/>
      <c r="X497" s="1051" t="n"/>
      <c r="Y497" s="1051" t="n"/>
      <c r="Z497" s="1051" t="n"/>
      <c r="AA497" s="744" t="n"/>
      <c r="AB497" s="744" t="n"/>
      <c r="AC497" s="744" t="n"/>
    </row>
    <row r="498" ht="16.5" customHeight="1">
      <c r="A498" s="63" t="inlineStr">
        <is>
          <t>SU002035</t>
        </is>
      </c>
      <c r="B498" s="63" t="inlineStr">
        <is>
          <t>P004460</t>
        </is>
      </c>
      <c r="C498" s="36" t="n">
        <v>4301020334</v>
      </c>
      <c r="D498" s="745" t="n">
        <v>4607091388930</v>
      </c>
      <c r="E498" s="1062" t="n"/>
      <c r="F498" s="1100" t="n">
        <v>0.88</v>
      </c>
      <c r="G498" s="37" t="n">
        <v>6</v>
      </c>
      <c r="H498" s="1100" t="n">
        <v>5.28</v>
      </c>
      <c r="I498" s="1100" t="n">
        <v>5.64</v>
      </c>
      <c r="J498" s="37" t="n">
        <v>104</v>
      </c>
      <c r="K498" s="37" t="inlineStr">
        <is>
          <t>8</t>
        </is>
      </c>
      <c r="L498" s="37" t="inlineStr"/>
      <c r="M498" s="38" t="inlineStr">
        <is>
          <t>СК3</t>
        </is>
      </c>
      <c r="N498" s="38" t="n"/>
      <c r="O498" s="37" t="n">
        <v>70</v>
      </c>
      <c r="P498" s="1350" t="inlineStr">
        <is>
          <t>Ветчины Дугушка Дугушка Вес б/о Дугушка</t>
        </is>
      </c>
      <c r="Q498" s="1102" t="n"/>
      <c r="R498" s="1102" t="n"/>
      <c r="S498" s="1102" t="n"/>
      <c r="T498" s="1103" t="n"/>
      <c r="U498" s="39" t="inlineStr"/>
      <c r="V498" s="39" t="inlineStr"/>
      <c r="W498" s="40" t="inlineStr">
        <is>
          <t>кг</t>
        </is>
      </c>
      <c r="X498" s="1104" t="n">
        <v>0</v>
      </c>
      <c r="Y498" s="1105">
        <f>IFERROR(IF(X498="",0,CEILING((X498/$H498),1)*$H498),"")</f>
        <v/>
      </c>
      <c r="Z498" s="41">
        <f>IFERROR(IF(Y498=0,"",ROUNDUP(Y498/H498,0)*0.01196),"")</f>
        <v/>
      </c>
      <c r="AA498" s="68" t="inlineStr"/>
      <c r="AB498" s="69" t="inlineStr"/>
      <c r="AC498" s="568" t="inlineStr">
        <is>
          <t>ЕАЭС N RU Д-RU.РА04.В.71599/24</t>
        </is>
      </c>
      <c r="AG498" s="78" t="n"/>
      <c r="AJ498" s="84" t="inlineStr"/>
      <c r="AK498" s="84" t="n">
        <v>0</v>
      </c>
      <c r="BB498" s="569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SU002035</t>
        </is>
      </c>
      <c r="B499" s="63" t="inlineStr">
        <is>
          <t>P003146</t>
        </is>
      </c>
      <c r="C499" s="36" t="n">
        <v>4301020222</v>
      </c>
      <c r="D499" s="745" t="n">
        <v>4607091388930</v>
      </c>
      <c r="E499" s="1062" t="n"/>
      <c r="F499" s="1100" t="n">
        <v>0.88</v>
      </c>
      <c r="G499" s="37" t="n">
        <v>6</v>
      </c>
      <c r="H499" s="1100" t="n">
        <v>5.28</v>
      </c>
      <c r="I499" s="1100" t="n">
        <v>5.64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СК1</t>
        </is>
      </c>
      <c r="N499" s="38" t="n"/>
      <c r="O499" s="37" t="n">
        <v>55</v>
      </c>
      <c r="P499" s="1351">
        <f>HYPERLINK("https://abi.ru/products/Охлажденные/Дугушка/Дугушка/Ветчины/P003146/","Ветчины Дугушка Дугушка Вес б/о Дугушка")</f>
        <v/>
      </c>
      <c r="Q499" s="1102" t="n"/>
      <c r="R499" s="1102" t="n"/>
      <c r="S499" s="1102" t="n"/>
      <c r="T499" s="1103" t="n"/>
      <c r="U499" s="39" t="inlineStr"/>
      <c r="V499" s="39" t="inlineStr"/>
      <c r="W499" s="40" t="inlineStr">
        <is>
          <t>кг</t>
        </is>
      </c>
      <c r="X499" s="1104" t="n">
        <v>150</v>
      </c>
      <c r="Y499" s="1105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70" t="inlineStr">
        <is>
          <t>ЕАЭС N RU Д-RU.РА08.В.10027/22</t>
        </is>
      </c>
      <c r="AG499" s="78" t="n"/>
      <c r="AJ499" s="84" t="inlineStr"/>
      <c r="AK499" s="84" t="n">
        <v>0</v>
      </c>
      <c r="BB499" s="571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16.5" customHeight="1">
      <c r="A500" s="63" t="inlineStr">
        <is>
          <t>SU003742</t>
        </is>
      </c>
      <c r="B500" s="63" t="inlineStr">
        <is>
          <t>P004757</t>
        </is>
      </c>
      <c r="C500" s="36" t="n">
        <v>4301020384</v>
      </c>
      <c r="D500" s="745" t="n">
        <v>4680115886407</v>
      </c>
      <c r="E500" s="1062" t="n"/>
      <c r="F500" s="1100" t="n">
        <v>0.4</v>
      </c>
      <c r="G500" s="37" t="n">
        <v>6</v>
      </c>
      <c r="H500" s="1100" t="n">
        <v>2.4</v>
      </c>
      <c r="I500" s="1100" t="n">
        <v>2.58</v>
      </c>
      <c r="J500" s="37" t="n">
        <v>182</v>
      </c>
      <c r="K500" s="37" t="inlineStr">
        <is>
          <t>14</t>
        </is>
      </c>
      <c r="L500" s="37" t="inlineStr"/>
      <c r="M500" s="38" t="inlineStr">
        <is>
          <t>СК3</t>
        </is>
      </c>
      <c r="N500" s="38" t="n"/>
      <c r="O500" s="37" t="n">
        <v>70</v>
      </c>
      <c r="P500" s="1352" t="inlineStr">
        <is>
          <t>Ветчины «Дугушка» Фикс.вес 0,4 полиамид ТМ «Стародворье»</t>
        </is>
      </c>
      <c r="Q500" s="1102" t="n"/>
      <c r="R500" s="1102" t="n"/>
      <c r="S500" s="1102" t="n"/>
      <c r="T500" s="1103" t="n"/>
      <c r="U500" s="39" t="inlineStr"/>
      <c r="V500" s="39" t="inlineStr"/>
      <c r="W500" s="40" t="inlineStr">
        <is>
          <t>кг</t>
        </is>
      </c>
      <c r="X500" s="1104" t="n">
        <v>0</v>
      </c>
      <c r="Y500" s="1105">
        <f>IFERROR(IF(X500="",0,CEILING((X500/$H500),1)*$H500),"")</f>
        <v/>
      </c>
      <c r="Z500" s="41">
        <f>IFERROR(IF(Y500=0,"",ROUNDUP(Y500/H500,0)*0.00651),"")</f>
        <v/>
      </c>
      <c r="AA500" s="68" t="inlineStr"/>
      <c r="AB500" s="69" t="inlineStr"/>
      <c r="AC500" s="572" t="inlineStr">
        <is>
          <t>ЕАЭС N RU Д-RU.РА04.В.71599/24</t>
        </is>
      </c>
      <c r="AG500" s="78" t="n"/>
      <c r="AJ500" s="84" t="inlineStr"/>
      <c r="AK500" s="84" t="n">
        <v>0</v>
      </c>
      <c r="BB500" s="573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16.5" customHeight="1">
      <c r="A501" s="63" t="inlineStr">
        <is>
          <t>SU002643</t>
        </is>
      </c>
      <c r="B501" s="63" t="inlineStr">
        <is>
          <t>P004923</t>
        </is>
      </c>
      <c r="C501" s="36" t="n">
        <v>4301020385</v>
      </c>
      <c r="D501" s="745" t="n">
        <v>4680115880054</v>
      </c>
      <c r="E501" s="1062" t="n"/>
      <c r="F501" s="1100" t="n">
        <v>0.6</v>
      </c>
      <c r="G501" s="37" t="n">
        <v>8</v>
      </c>
      <c r="H501" s="1100" t="n">
        <v>4.8</v>
      </c>
      <c r="I501" s="1100" t="n">
        <v>6.93</v>
      </c>
      <c r="J501" s="37" t="n">
        <v>132</v>
      </c>
      <c r="K501" s="37" t="inlineStr">
        <is>
          <t>12</t>
        </is>
      </c>
      <c r="L501" s="37" t="inlineStr"/>
      <c r="M501" s="38" t="inlineStr">
        <is>
          <t>СК1</t>
        </is>
      </c>
      <c r="N501" s="38" t="n"/>
      <c r="O501" s="37" t="n">
        <v>70</v>
      </c>
      <c r="P501" s="1353" t="inlineStr">
        <is>
          <t>Ветчины «Дугушка» Фикс.вес 0,6 полиамид ТМ «Дугушка»</t>
        </is>
      </c>
      <c r="Q501" s="1102" t="n"/>
      <c r="R501" s="1102" t="n"/>
      <c r="S501" s="1102" t="n"/>
      <c r="T501" s="1103" t="n"/>
      <c r="U501" s="39" t="inlineStr"/>
      <c r="V501" s="39" t="inlineStr"/>
      <c r="W501" s="40" t="inlineStr">
        <is>
          <t>кг</t>
        </is>
      </c>
      <c r="X501" s="1104" t="n">
        <v>0</v>
      </c>
      <c r="Y501" s="1105">
        <f>IFERROR(IF(X501="",0,CEILING((X501/$H501),1)*$H501),"")</f>
        <v/>
      </c>
      <c r="Z501" s="41">
        <f>IFERROR(IF(Y501=0,"",ROUNDUP(Y501/H501,0)*0.00902),"")</f>
        <v/>
      </c>
      <c r="AA501" s="68" t="inlineStr"/>
      <c r="AB501" s="69" t="inlineStr"/>
      <c r="AC501" s="574" t="inlineStr">
        <is>
          <t>ЕАЭС N RU Д-RU.РА04.В.71599/24</t>
        </is>
      </c>
      <c r="AG501" s="78" t="n"/>
      <c r="AJ501" s="84" t="inlineStr"/>
      <c r="AK501" s="84" t="n">
        <v>0</v>
      </c>
      <c r="BB501" s="575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>
      <c r="A502" s="758" t="n"/>
      <c r="B502" s="1051" t="n"/>
      <c r="C502" s="1051" t="n"/>
      <c r="D502" s="1051" t="n"/>
      <c r="E502" s="1051" t="n"/>
      <c r="F502" s="1051" t="n"/>
      <c r="G502" s="1051" t="n"/>
      <c r="H502" s="1051" t="n"/>
      <c r="I502" s="1051" t="n"/>
      <c r="J502" s="1051" t="n"/>
      <c r="K502" s="1051" t="n"/>
      <c r="L502" s="1051" t="n"/>
      <c r="M502" s="1051" t="n"/>
      <c r="N502" s="1051" t="n"/>
      <c r="O502" s="1111" t="n"/>
      <c r="P502" s="1112" t="inlineStr">
        <is>
          <t>Итого</t>
        </is>
      </c>
      <c r="Q502" s="1069" t="n"/>
      <c r="R502" s="1069" t="n"/>
      <c r="S502" s="1069" t="n"/>
      <c r="T502" s="1069" t="n"/>
      <c r="U502" s="1069" t="n"/>
      <c r="V502" s="1070" t="n"/>
      <c r="W502" s="42" t="inlineStr">
        <is>
          <t>кор</t>
        </is>
      </c>
      <c r="X502" s="1113">
        <f>IFERROR(X498/H498,"0")+IFERROR(X499/H499,"0")+IFERROR(X500/H500,"0")+IFERROR(X501/H501,"0")</f>
        <v/>
      </c>
      <c r="Y502" s="1113">
        <f>IFERROR(Y498/H498,"0")+IFERROR(Y499/H499,"0")+IFERROR(Y500/H500,"0")+IFERROR(Y501/H501,"0")</f>
        <v/>
      </c>
      <c r="Z502" s="1113">
        <f>IFERROR(IF(Z498="",0,Z498),"0")+IFERROR(IF(Z499="",0,Z499),"0")+IFERROR(IF(Z500="",0,Z500),"0")+IFERROR(IF(Z501="",0,Z501),"0")</f>
        <v/>
      </c>
      <c r="AA502" s="1114" t="n"/>
      <c r="AB502" s="1114" t="n"/>
      <c r="AC502" s="1114" t="n"/>
    </row>
    <row r="503">
      <c r="A503" s="1051" t="n"/>
      <c r="B503" s="1051" t="n"/>
      <c r="C503" s="1051" t="n"/>
      <c r="D503" s="1051" t="n"/>
      <c r="E503" s="1051" t="n"/>
      <c r="F503" s="1051" t="n"/>
      <c r="G503" s="1051" t="n"/>
      <c r="H503" s="1051" t="n"/>
      <c r="I503" s="1051" t="n"/>
      <c r="J503" s="1051" t="n"/>
      <c r="K503" s="1051" t="n"/>
      <c r="L503" s="1051" t="n"/>
      <c r="M503" s="1051" t="n"/>
      <c r="N503" s="1051" t="n"/>
      <c r="O503" s="1111" t="n"/>
      <c r="P503" s="1112" t="inlineStr">
        <is>
          <t>Итого</t>
        </is>
      </c>
      <c r="Q503" s="1069" t="n"/>
      <c r="R503" s="1069" t="n"/>
      <c r="S503" s="1069" t="n"/>
      <c r="T503" s="1069" t="n"/>
      <c r="U503" s="1069" t="n"/>
      <c r="V503" s="1070" t="n"/>
      <c r="W503" s="42" t="inlineStr">
        <is>
          <t>кг</t>
        </is>
      </c>
      <c r="X503" s="1113">
        <f>IFERROR(SUM(X498:X501),"0")</f>
        <v/>
      </c>
      <c r="Y503" s="1113">
        <f>IFERROR(SUM(Y498:Y501),"0")</f>
        <v/>
      </c>
      <c r="Z503" s="42" t="n"/>
      <c r="AA503" s="1114" t="n"/>
      <c r="AB503" s="1114" t="n"/>
      <c r="AC503" s="1114" t="n"/>
    </row>
    <row r="504" ht="14.25" customHeight="1">
      <c r="A504" s="744" t="inlineStr">
        <is>
          <t>Копченые колбасы</t>
        </is>
      </c>
      <c r="B504" s="1051" t="n"/>
      <c r="C504" s="1051" t="n"/>
      <c r="D504" s="1051" t="n"/>
      <c r="E504" s="1051" t="n"/>
      <c r="F504" s="1051" t="n"/>
      <c r="G504" s="1051" t="n"/>
      <c r="H504" s="1051" t="n"/>
      <c r="I504" s="1051" t="n"/>
      <c r="J504" s="1051" t="n"/>
      <c r="K504" s="1051" t="n"/>
      <c r="L504" s="1051" t="n"/>
      <c r="M504" s="1051" t="n"/>
      <c r="N504" s="1051" t="n"/>
      <c r="O504" s="1051" t="n"/>
      <c r="P504" s="1051" t="n"/>
      <c r="Q504" s="1051" t="n"/>
      <c r="R504" s="1051" t="n"/>
      <c r="S504" s="1051" t="n"/>
      <c r="T504" s="1051" t="n"/>
      <c r="U504" s="1051" t="n"/>
      <c r="V504" s="1051" t="n"/>
      <c r="W504" s="1051" t="n"/>
      <c r="X504" s="1051" t="n"/>
      <c r="Y504" s="1051" t="n"/>
      <c r="Z504" s="1051" t="n"/>
      <c r="AA504" s="744" t="n"/>
      <c r="AB504" s="744" t="n"/>
      <c r="AC504" s="744" t="n"/>
    </row>
    <row r="505" ht="27" customHeight="1">
      <c r="A505" s="63" t="inlineStr">
        <is>
          <t>SU002150</t>
        </is>
      </c>
      <c r="B505" s="63" t="inlineStr">
        <is>
          <t>P004465</t>
        </is>
      </c>
      <c r="C505" s="36" t="n">
        <v>4301031349</v>
      </c>
      <c r="D505" s="745" t="n">
        <v>4680115883116</v>
      </c>
      <c r="E505" s="1062" t="n"/>
      <c r="F505" s="1100" t="n">
        <v>0.88</v>
      </c>
      <c r="G505" s="37" t="n">
        <v>6</v>
      </c>
      <c r="H505" s="1100" t="n">
        <v>5.28</v>
      </c>
      <c r="I505" s="1100" t="n">
        <v>5.64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СК1</t>
        </is>
      </c>
      <c r="N505" s="38" t="n"/>
      <c r="O505" s="37" t="n">
        <v>70</v>
      </c>
      <c r="P505" s="1354" t="inlineStr">
        <is>
          <t>В/к колбасы «Рубленая Запеченная» Весовые Вектор ТМ «Дугушка»</t>
        </is>
      </c>
      <c r="Q505" s="1102" t="n"/>
      <c r="R505" s="1102" t="n"/>
      <c r="S505" s="1102" t="n"/>
      <c r="T505" s="1103" t="n"/>
      <c r="U505" s="39" t="inlineStr"/>
      <c r="V505" s="39" t="inlineStr"/>
      <c r="W505" s="40" t="inlineStr">
        <is>
          <t>кг</t>
        </is>
      </c>
      <c r="X505" s="1104" t="n">
        <v>30</v>
      </c>
      <c r="Y505" s="1105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76" t="inlineStr">
        <is>
          <t>ЕАЭС N RU Д-RU.РА04.В.72302/24</t>
        </is>
      </c>
      <c r="AG505" s="78" t="n"/>
      <c r="AJ505" s="84" t="inlineStr"/>
      <c r="AK505" s="84" t="n">
        <v>0</v>
      </c>
      <c r="BB505" s="577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SU002158</t>
        </is>
      </c>
      <c r="B506" s="63" t="inlineStr">
        <is>
          <t>P004466</t>
        </is>
      </c>
      <c r="C506" s="36" t="n">
        <v>4301031350</v>
      </c>
      <c r="D506" s="745" t="n">
        <v>4680115883093</v>
      </c>
      <c r="E506" s="1062" t="n"/>
      <c r="F506" s="1100" t="n">
        <v>0.88</v>
      </c>
      <c r="G506" s="37" t="n">
        <v>6</v>
      </c>
      <c r="H506" s="1100" t="n">
        <v>5.28</v>
      </c>
      <c r="I506" s="1100" t="n">
        <v>5.64</v>
      </c>
      <c r="J506" s="37" t="n">
        <v>104</v>
      </c>
      <c r="K506" s="37" t="inlineStr">
        <is>
          <t>8</t>
        </is>
      </c>
      <c r="L506" s="37" t="inlineStr"/>
      <c r="M506" s="38" t="inlineStr">
        <is>
          <t>СК2</t>
        </is>
      </c>
      <c r="N506" s="38" t="n"/>
      <c r="O506" s="37" t="n">
        <v>70</v>
      </c>
      <c r="P506" s="1355" t="inlineStr">
        <is>
          <t>В/к колбасы «Салями Запеченая» Весовые ТМ «Дугушка»</t>
        </is>
      </c>
      <c r="Q506" s="1102" t="n"/>
      <c r="R506" s="1102" t="n"/>
      <c r="S506" s="1102" t="n"/>
      <c r="T506" s="1103" t="n"/>
      <c r="U506" s="39" t="inlineStr"/>
      <c r="V506" s="39" t="inlineStr"/>
      <c r="W506" s="40" t="inlineStr">
        <is>
          <t>кг</t>
        </is>
      </c>
      <c r="X506" s="1104" t="n">
        <v>60</v>
      </c>
      <c r="Y506" s="1105">
        <f>IFERROR(IF(X506="",0,CEILING((X506/$H506),1)*$H506),"")</f>
        <v/>
      </c>
      <c r="Z506" s="41">
        <f>IFERROR(IF(Y506=0,"",ROUNDUP(Y506/H506,0)*0.01196),"")</f>
        <v/>
      </c>
      <c r="AA506" s="68" t="inlineStr"/>
      <c r="AB506" s="69" t="inlineStr"/>
      <c r="AC506" s="578" t="inlineStr">
        <is>
          <t>ЕАЭС N RU Д-RU.РА04.В.71173/24</t>
        </is>
      </c>
      <c r="AG506" s="78" t="n"/>
      <c r="AJ506" s="84" t="inlineStr"/>
      <c r="AK506" s="84" t="n">
        <v>0</v>
      </c>
      <c r="BB506" s="579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SU002151</t>
        </is>
      </c>
      <c r="B507" s="63" t="inlineStr">
        <is>
          <t>P004470</t>
        </is>
      </c>
      <c r="C507" s="36" t="n">
        <v>4301031353</v>
      </c>
      <c r="D507" s="745" t="n">
        <v>4680115883109</v>
      </c>
      <c r="E507" s="1062" t="n"/>
      <c r="F507" s="1100" t="n">
        <v>0.88</v>
      </c>
      <c r="G507" s="37" t="n">
        <v>6</v>
      </c>
      <c r="H507" s="1100" t="n">
        <v>5.28</v>
      </c>
      <c r="I507" s="1100" t="n">
        <v>5.64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356" t="inlineStr">
        <is>
          <t>В/к колбасы «Сервелат Запеченный» Весовые Вектор ТМ «Дугушка»</t>
        </is>
      </c>
      <c r="Q507" s="1102" t="n"/>
      <c r="R507" s="1102" t="n"/>
      <c r="S507" s="1102" t="n"/>
      <c r="T507" s="1103" t="n"/>
      <c r="U507" s="39" t="inlineStr"/>
      <c r="V507" s="39" t="inlineStr"/>
      <c r="W507" s="40" t="inlineStr">
        <is>
          <t>кг</t>
        </is>
      </c>
      <c r="X507" s="1104" t="n">
        <v>120</v>
      </c>
      <c r="Y507" s="1105">
        <f>IFERROR(IF(X507="",0,CEILING((X507/$H507),1)*$H507),"")</f>
        <v/>
      </c>
      <c r="Z507" s="41">
        <f>IFERROR(IF(Y507=0,"",ROUNDUP(Y507/H507,0)*0.01196),"")</f>
        <v/>
      </c>
      <c r="AA507" s="68" t="inlineStr"/>
      <c r="AB507" s="69" t="inlineStr"/>
      <c r="AC507" s="580" t="inlineStr">
        <is>
          <t>ЕАЭС N RU Д-RU.РА04.В.71301/24</t>
        </is>
      </c>
      <c r="AG507" s="78" t="n"/>
      <c r="AJ507" s="84" t="inlineStr"/>
      <c r="AK507" s="84" t="n">
        <v>0</v>
      </c>
      <c r="BB507" s="581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SU003848</t>
        </is>
      </c>
      <c r="B508" s="63" t="inlineStr">
        <is>
          <t>P004918</t>
        </is>
      </c>
      <c r="C508" s="36" t="n">
        <v>4301031409</v>
      </c>
      <c r="D508" s="745" t="n">
        <v>4680115886438</v>
      </c>
      <c r="E508" s="1062" t="n"/>
      <c r="F508" s="1100" t="n">
        <v>0.4</v>
      </c>
      <c r="G508" s="37" t="n">
        <v>6</v>
      </c>
      <c r="H508" s="1100" t="n">
        <v>2.4</v>
      </c>
      <c r="I508" s="1100" t="n">
        <v>2.58</v>
      </c>
      <c r="J508" s="37" t="n">
        <v>182</v>
      </c>
      <c r="K508" s="37" t="inlineStr">
        <is>
          <t>14</t>
        </is>
      </c>
      <c r="L508" s="37" t="inlineStr"/>
      <c r="M508" s="38" t="inlineStr">
        <is>
          <t>СК1</t>
        </is>
      </c>
      <c r="N508" s="38" t="n"/>
      <c r="O508" s="37" t="n">
        <v>70</v>
      </c>
      <c r="P508" s="1357" t="inlineStr">
        <is>
          <t>В/к колбасы «Рубленая запеченная» Фикс.вес 0,4 полиамид ТМ «Стародворье»</t>
        </is>
      </c>
      <c r="Q508" s="1102" t="n"/>
      <c r="R508" s="1102" t="n"/>
      <c r="S508" s="1102" t="n"/>
      <c r="T508" s="1103" t="n"/>
      <c r="U508" s="39" t="inlineStr"/>
      <c r="V508" s="39" t="inlineStr"/>
      <c r="W508" s="40" t="inlineStr">
        <is>
          <t>кг</t>
        </is>
      </c>
      <c r="X508" s="1104" t="n">
        <v>0</v>
      </c>
      <c r="Y508" s="1105">
        <f>IFERROR(IF(X508="",0,CEILING((X508/$H508),1)*$H508),"")</f>
        <v/>
      </c>
      <c r="Z508" s="41">
        <f>IFERROR(IF(Y508=0,"",ROUNDUP(Y508/H508,0)*0.00651),"")</f>
        <v/>
      </c>
      <c r="AA508" s="68" t="inlineStr"/>
      <c r="AB508" s="69" t="inlineStr"/>
      <c r="AC508" s="582" t="inlineStr">
        <is>
          <t>ЕАЭС N RU Д-RU.РА04.В.72302/24</t>
        </is>
      </c>
      <c r="AG508" s="78" t="n"/>
      <c r="AJ508" s="84" t="inlineStr"/>
      <c r="AK508" s="84" t="n">
        <v>0</v>
      </c>
      <c r="BB508" s="583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SU002916</t>
        </is>
      </c>
      <c r="B509" s="63" t="inlineStr">
        <is>
          <t>P004468</t>
        </is>
      </c>
      <c r="C509" s="36" t="n">
        <v>4301031351</v>
      </c>
      <c r="D509" s="745" t="n">
        <v>4680115882072</v>
      </c>
      <c r="E509" s="1062" t="n"/>
      <c r="F509" s="1100" t="n">
        <v>0.6</v>
      </c>
      <c r="G509" s="37" t="n">
        <v>6</v>
      </c>
      <c r="H509" s="1100" t="n">
        <v>3.6</v>
      </c>
      <c r="I509" s="1100" t="n">
        <v>3.81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СК1</t>
        </is>
      </c>
      <c r="N509" s="38" t="n"/>
      <c r="O509" s="37" t="n">
        <v>70</v>
      </c>
      <c r="P509" s="1358" t="inlineStr">
        <is>
          <t>В/к колбасы «Рубленая Запеченная» Фикс.вес 0,6 Вектор ТМ «Дугушка»</t>
        </is>
      </c>
      <c r="Q509" s="1102" t="n"/>
      <c r="R509" s="1102" t="n"/>
      <c r="S509" s="1102" t="n"/>
      <c r="T509" s="1103" t="n"/>
      <c r="U509" s="39" t="inlineStr"/>
      <c r="V509" s="39" t="inlineStr"/>
      <c r="W509" s="40" t="inlineStr">
        <is>
          <t>кг</t>
        </is>
      </c>
      <c r="X509" s="1104" t="n">
        <v>0</v>
      </c>
      <c r="Y509" s="1105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584" t="inlineStr">
        <is>
          <t>ЕАЭС N RU Д-RU.РА04.В.72302/24</t>
        </is>
      </c>
      <c r="AG509" s="78" t="n"/>
      <c r="AJ509" s="84" t="inlineStr"/>
      <c r="AK509" s="84" t="n">
        <v>0</v>
      </c>
      <c r="BB509" s="585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 ht="27" customHeight="1">
      <c r="A510" s="63" t="inlineStr">
        <is>
          <t>SU002916</t>
        </is>
      </c>
      <c r="B510" s="63" t="inlineStr">
        <is>
          <t>P004692</t>
        </is>
      </c>
      <c r="C510" s="36" t="n">
        <v>4301031383</v>
      </c>
      <c r="D510" s="745" t="n">
        <v>4680115882072</v>
      </c>
      <c r="E510" s="1062" t="n"/>
      <c r="F510" s="1100" t="n">
        <v>0.6</v>
      </c>
      <c r="G510" s="37" t="n">
        <v>8</v>
      </c>
      <c r="H510" s="1100" t="n">
        <v>4.8</v>
      </c>
      <c r="I510" s="1100" t="n">
        <v>6.96</v>
      </c>
      <c r="J510" s="37" t="n">
        <v>120</v>
      </c>
      <c r="K510" s="37" t="inlineStr">
        <is>
          <t>12</t>
        </is>
      </c>
      <c r="L510" s="37" t="inlineStr"/>
      <c r="M510" s="38" t="inlineStr">
        <is>
          <t>СК1</t>
        </is>
      </c>
      <c r="N510" s="38" t="n"/>
      <c r="O510" s="37" t="n">
        <v>60</v>
      </c>
      <c r="P510" s="1359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/>
      </c>
      <c r="Q510" s="1102" t="n"/>
      <c r="R510" s="1102" t="n"/>
      <c r="S510" s="1102" t="n"/>
      <c r="T510" s="1103" t="n"/>
      <c r="U510" s="39" t="inlineStr"/>
      <c r="V510" s="39" t="inlineStr"/>
      <c r="W510" s="40" t="inlineStr">
        <is>
          <t>кг</t>
        </is>
      </c>
      <c r="X510" s="1104" t="n">
        <v>0</v>
      </c>
      <c r="Y510" s="1105">
        <f>IFERROR(IF(X510="",0,CEILING((X510/$H510),1)*$H510),"")</f>
        <v/>
      </c>
      <c r="Z510" s="41">
        <f>IFERROR(IF(Y510=0,"",ROUNDUP(Y510/H510,0)*0.00937),"")</f>
        <v/>
      </c>
      <c r="AA510" s="68" t="inlineStr"/>
      <c r="AB510" s="69" t="inlineStr"/>
      <c r="AC510" s="586" t="inlineStr">
        <is>
          <t>ЕАЭС N RU Д-RU.РА05.В.41862/23</t>
        </is>
      </c>
      <c r="AG510" s="78" t="n"/>
      <c r="AJ510" s="84" t="inlineStr"/>
      <c r="AK510" s="84" t="n">
        <v>0</v>
      </c>
      <c r="BB510" s="587" t="inlineStr">
        <is>
          <t>КИ</t>
        </is>
      </c>
      <c r="BM510" s="78">
        <f>IFERROR(X510*I510/H510,"0")</f>
        <v/>
      </c>
      <c r="BN510" s="78">
        <f>IFERROR(Y510*I510/H510,"0")</f>
        <v/>
      </c>
      <c r="BO510" s="78">
        <f>IFERROR(1/J510*(X510/H510),"0")</f>
        <v/>
      </c>
      <c r="BP510" s="78">
        <f>IFERROR(1/J510*(Y510/H510),"0")</f>
        <v/>
      </c>
    </row>
    <row r="511" ht="27" customHeight="1">
      <c r="A511" s="63" t="inlineStr">
        <is>
          <t>SU002916</t>
        </is>
      </c>
      <c r="B511" s="63" t="inlineStr">
        <is>
          <t>P004934</t>
        </is>
      </c>
      <c r="C511" s="36" t="n">
        <v>4301031419</v>
      </c>
      <c r="D511" s="745" t="n">
        <v>4680115882072</v>
      </c>
      <c r="E511" s="1062" t="n"/>
      <c r="F511" s="1100" t="n">
        <v>0.6</v>
      </c>
      <c r="G511" s="37" t="n">
        <v>8</v>
      </c>
      <c r="H511" s="1100" t="n">
        <v>4.8</v>
      </c>
      <c r="I511" s="1100" t="n">
        <v>6.93</v>
      </c>
      <c r="J511" s="37" t="n">
        <v>132</v>
      </c>
      <c r="K511" s="37" t="inlineStr">
        <is>
          <t>12</t>
        </is>
      </c>
      <c r="L511" s="37" t="inlineStr"/>
      <c r="M511" s="38" t="inlineStr">
        <is>
          <t>СК1</t>
        </is>
      </c>
      <c r="N511" s="38" t="n"/>
      <c r="O511" s="37" t="n">
        <v>70</v>
      </c>
      <c r="P511" s="1360" t="inlineStr">
        <is>
          <t>В/к колбасы «Рубленая Запеченная» Фикс.вес 0,6 вектор ТМ «Дугушка»</t>
        </is>
      </c>
      <c r="Q511" s="1102" t="n"/>
      <c r="R511" s="1102" t="n"/>
      <c r="S511" s="1102" t="n"/>
      <c r="T511" s="1103" t="n"/>
      <c r="U511" s="39" t="inlineStr"/>
      <c r="V511" s="39" t="inlineStr"/>
      <c r="W511" s="40" t="inlineStr">
        <is>
          <t>кг</t>
        </is>
      </c>
      <c r="X511" s="1104" t="n">
        <v>78</v>
      </c>
      <c r="Y511" s="1105">
        <f>IFERROR(IF(X511="",0,CEILING((X511/$H511),1)*$H511),"")</f>
        <v/>
      </c>
      <c r="Z511" s="41">
        <f>IFERROR(IF(Y511=0,"",ROUNDUP(Y511/H511,0)*0.00902),"")</f>
        <v/>
      </c>
      <c r="AA511" s="68" t="inlineStr"/>
      <c r="AB511" s="69" t="inlineStr"/>
      <c r="AC511" s="588" t="inlineStr">
        <is>
          <t>ЕАЭС N RU Д-RU.РА04.В.72302/24</t>
        </is>
      </c>
      <c r="AG511" s="78" t="n"/>
      <c r="AJ511" s="84" t="inlineStr"/>
      <c r="AK511" s="84" t="n">
        <v>0</v>
      </c>
      <c r="BB511" s="589" t="inlineStr">
        <is>
          <t>КИ</t>
        </is>
      </c>
      <c r="BM511" s="78">
        <f>IFERROR(X511*I511/H511,"0")</f>
        <v/>
      </c>
      <c r="BN511" s="78">
        <f>IFERROR(Y511*I511/H511,"0")</f>
        <v/>
      </c>
      <c r="BO511" s="78">
        <f>IFERROR(1/J511*(X511/H511),"0")</f>
        <v/>
      </c>
      <c r="BP511" s="78">
        <f>IFERROR(1/J511*(Y511/H511),"0")</f>
        <v/>
      </c>
    </row>
    <row r="512" ht="27" customHeight="1">
      <c r="A512" s="63" t="inlineStr">
        <is>
          <t>SU002919</t>
        </is>
      </c>
      <c r="B512" s="63" t="inlineStr">
        <is>
          <t>P003635</t>
        </is>
      </c>
      <c r="C512" s="36" t="n">
        <v>4301031251</v>
      </c>
      <c r="D512" s="745" t="n">
        <v>4680115882102</v>
      </c>
      <c r="E512" s="1062" t="n"/>
      <c r="F512" s="1100" t="n">
        <v>0.6</v>
      </c>
      <c r="G512" s="37" t="n">
        <v>6</v>
      </c>
      <c r="H512" s="1100" t="n">
        <v>3.6</v>
      </c>
      <c r="I512" s="1100" t="n">
        <v>3.81</v>
      </c>
      <c r="J512" s="37" t="n">
        <v>132</v>
      </c>
      <c r="K512" s="37" t="inlineStr">
        <is>
          <t>12</t>
        </is>
      </c>
      <c r="L512" s="37" t="inlineStr"/>
      <c r="M512" s="38" t="inlineStr">
        <is>
          <t>СК2</t>
        </is>
      </c>
      <c r="N512" s="38" t="n"/>
      <c r="O512" s="37" t="n">
        <v>60</v>
      </c>
      <c r="P512" s="1361">
        <f>HYPERLINK("https://abi.ru/products/Охлажденные/Дугушка/Дугушка/Копченые колбасы/P003635/","В/к колбасы «Салями Запеченая» Фикс.вес 0,6 Вектор ТМ «Дугушка»")</f>
        <v/>
      </c>
      <c r="Q512" s="1102" t="n"/>
      <c r="R512" s="1102" t="n"/>
      <c r="S512" s="1102" t="n"/>
      <c r="T512" s="1103" t="n"/>
      <c r="U512" s="39" t="inlineStr"/>
      <c r="V512" s="39" t="inlineStr"/>
      <c r="W512" s="40" t="inlineStr">
        <is>
          <t>кг</t>
        </is>
      </c>
      <c r="X512" s="1104" t="n">
        <v>24</v>
      </c>
      <c r="Y512" s="1105">
        <f>IFERROR(IF(X512="",0,CEILING((X512/$H512),1)*$H512),"")</f>
        <v/>
      </c>
      <c r="Z512" s="41">
        <f>IFERROR(IF(Y512=0,"",ROUNDUP(Y512/H512,0)*0.00902),"")</f>
        <v/>
      </c>
      <c r="AA512" s="68" t="inlineStr"/>
      <c r="AB512" s="69" t="inlineStr"/>
      <c r="AC512" s="590" t="inlineStr">
        <is>
          <t>ЕАЭС № RU Д-RU.РА01.В.04512/20</t>
        </is>
      </c>
      <c r="AG512" s="78" t="n"/>
      <c r="AJ512" s="84" t="inlineStr"/>
      <c r="AK512" s="84" t="n">
        <v>0</v>
      </c>
      <c r="BB512" s="591" t="inlineStr">
        <is>
          <t>КИ</t>
        </is>
      </c>
      <c r="BM512" s="78">
        <f>IFERROR(X512*I512/H512,"0")</f>
        <v/>
      </c>
      <c r="BN512" s="78">
        <f>IFERROR(Y512*I512/H512,"0")</f>
        <v/>
      </c>
      <c r="BO512" s="78">
        <f>IFERROR(1/J512*(X512/H512),"0")</f>
        <v/>
      </c>
      <c r="BP512" s="78">
        <f>IFERROR(1/J512*(Y512/H512),"0")</f>
        <v/>
      </c>
    </row>
    <row r="513" ht="27" customHeight="1">
      <c r="A513" s="63" t="inlineStr">
        <is>
          <t>SU002919</t>
        </is>
      </c>
      <c r="B513" s="63" t="inlineStr">
        <is>
          <t>P004930</t>
        </is>
      </c>
      <c r="C513" s="36" t="n">
        <v>4301031418</v>
      </c>
      <c r="D513" s="745" t="n">
        <v>4680115882102</v>
      </c>
      <c r="E513" s="1062" t="n"/>
      <c r="F513" s="1100" t="n">
        <v>0.6</v>
      </c>
      <c r="G513" s="37" t="n">
        <v>8</v>
      </c>
      <c r="H513" s="1100" t="n">
        <v>4.8</v>
      </c>
      <c r="I513" s="1100" t="n">
        <v>6.69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СК2</t>
        </is>
      </c>
      <c r="N513" s="38" t="n"/>
      <c r="O513" s="37" t="n">
        <v>70</v>
      </c>
      <c r="P513" s="1362" t="inlineStr">
        <is>
          <t>Копченые колбасы «Салями Запеченая» Фикс.вес 0,6 вектор ТМ «Стародворье»</t>
        </is>
      </c>
      <c r="Q513" s="1102" t="n"/>
      <c r="R513" s="1102" t="n"/>
      <c r="S513" s="1102" t="n"/>
      <c r="T513" s="1103" t="n"/>
      <c r="U513" s="39" t="inlineStr"/>
      <c r="V513" s="39" t="inlineStr"/>
      <c r="W513" s="40" t="inlineStr">
        <is>
          <t>кг</t>
        </is>
      </c>
      <c r="X513" s="1104" t="n">
        <v>0</v>
      </c>
      <c r="Y513" s="1105">
        <f>IFERROR(IF(X513="",0,CEILING((X513/$H513),1)*$H513),"")</f>
        <v/>
      </c>
      <c r="Z513" s="41">
        <f>IFERROR(IF(Y513=0,"",ROUNDUP(Y513/H513,0)*0.00902),"")</f>
        <v/>
      </c>
      <c r="AA513" s="68" t="inlineStr"/>
      <c r="AB513" s="69" t="inlineStr"/>
      <c r="AC513" s="592" t="inlineStr">
        <is>
          <t>ЕАЭС N RU Д-RU.РА04.В.71173/24</t>
        </is>
      </c>
      <c r="AG513" s="78" t="n"/>
      <c r="AJ513" s="84" t="inlineStr"/>
      <c r="AK513" s="84" t="n">
        <v>0</v>
      </c>
      <c r="BB513" s="593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 ht="27" customHeight="1">
      <c r="A514" s="63" t="inlineStr">
        <is>
          <t>SU002918</t>
        </is>
      </c>
      <c r="B514" s="63" t="inlineStr">
        <is>
          <t>P004693</t>
        </is>
      </c>
      <c r="C514" s="36" t="n">
        <v>4301031384</v>
      </c>
      <c r="D514" s="745" t="n">
        <v>4680115882096</v>
      </c>
      <c r="E514" s="1062" t="n"/>
      <c r="F514" s="1100" t="n">
        <v>0.6</v>
      </c>
      <c r="G514" s="37" t="n">
        <v>8</v>
      </c>
      <c r="H514" s="1100" t="n">
        <v>4.8</v>
      </c>
      <c r="I514" s="1100" t="n">
        <v>6.69</v>
      </c>
      <c r="J514" s="37" t="n">
        <v>120</v>
      </c>
      <c r="K514" s="37" t="inlineStr">
        <is>
          <t>12</t>
        </is>
      </c>
      <c r="L514" s="37" t="inlineStr"/>
      <c r="M514" s="38" t="inlineStr">
        <is>
          <t>СК2</t>
        </is>
      </c>
      <c r="N514" s="38" t="n"/>
      <c r="O514" s="37" t="n">
        <v>60</v>
      </c>
      <c r="P514" s="1363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/>
      </c>
      <c r="Q514" s="1102" t="n"/>
      <c r="R514" s="1102" t="n"/>
      <c r="S514" s="1102" t="n"/>
      <c r="T514" s="1103" t="n"/>
      <c r="U514" s="39" t="inlineStr"/>
      <c r="V514" s="39" t="inlineStr"/>
      <c r="W514" s="40" t="inlineStr">
        <is>
          <t>кг</t>
        </is>
      </c>
      <c r="X514" s="1104" t="n">
        <v>0</v>
      </c>
      <c r="Y514" s="1105">
        <f>IFERROR(IF(X514="",0,CEILING((X514/$H514),1)*$H514),"")</f>
        <v/>
      </c>
      <c r="Z514" s="41">
        <f>IFERROR(IF(Y514=0,"",ROUNDUP(Y514/H514,0)*0.00937),"")</f>
        <v/>
      </c>
      <c r="AA514" s="68" t="inlineStr"/>
      <c r="AB514" s="69" t="inlineStr"/>
      <c r="AC514" s="594" t="inlineStr">
        <is>
          <t>ЕАЭС N RU Д-RU.РА04.В.71301/24</t>
        </is>
      </c>
      <c r="AG514" s="78" t="n"/>
      <c r="AJ514" s="84" t="inlineStr"/>
      <c r="AK514" s="84" t="n">
        <v>0</v>
      </c>
      <c r="BB514" s="595" t="inlineStr">
        <is>
          <t>КИ</t>
        </is>
      </c>
      <c r="BM514" s="78">
        <f>IFERROR(X514*I514/H514,"0")</f>
        <v/>
      </c>
      <c r="BN514" s="78">
        <f>IFERROR(Y514*I514/H514,"0")</f>
        <v/>
      </c>
      <c r="BO514" s="78">
        <f>IFERROR(1/J514*(X514/H514),"0")</f>
        <v/>
      </c>
      <c r="BP514" s="78">
        <f>IFERROR(1/J514*(Y514/H514),"0")</f>
        <v/>
      </c>
    </row>
    <row r="515" ht="27" customHeight="1">
      <c r="A515" s="63" t="inlineStr">
        <is>
          <t>SU002918</t>
        </is>
      </c>
      <c r="B515" s="63" t="inlineStr">
        <is>
          <t>P003637</t>
        </is>
      </c>
      <c r="C515" s="36" t="n">
        <v>4301031253</v>
      </c>
      <c r="D515" s="745" t="n">
        <v>4680115882096</v>
      </c>
      <c r="E515" s="1062" t="n"/>
      <c r="F515" s="1100" t="n">
        <v>0.6</v>
      </c>
      <c r="G515" s="37" t="n">
        <v>6</v>
      </c>
      <c r="H515" s="1100" t="n">
        <v>3.6</v>
      </c>
      <c r="I515" s="1100" t="n">
        <v>3.81</v>
      </c>
      <c r="J515" s="37" t="n">
        <v>132</v>
      </c>
      <c r="K515" s="37" t="inlineStr">
        <is>
          <t>12</t>
        </is>
      </c>
      <c r="L515" s="37" t="inlineStr"/>
      <c r="M515" s="38" t="inlineStr">
        <is>
          <t>СК2</t>
        </is>
      </c>
      <c r="N515" s="38" t="n"/>
      <c r="O515" s="37" t="n">
        <v>60</v>
      </c>
      <c r="P515" s="1364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/>
      </c>
      <c r="Q515" s="1102" t="n"/>
      <c r="R515" s="1102" t="n"/>
      <c r="S515" s="1102" t="n"/>
      <c r="T515" s="1103" t="n"/>
      <c r="U515" s="39" t="inlineStr"/>
      <c r="V515" s="39" t="inlineStr"/>
      <c r="W515" s="40" t="inlineStr">
        <is>
          <t>кг</t>
        </is>
      </c>
      <c r="X515" s="1104" t="n">
        <v>138</v>
      </c>
      <c r="Y515" s="1105">
        <f>IFERROR(IF(X515="",0,CEILING((X515/$H515),1)*$H515),"")</f>
        <v/>
      </c>
      <c r="Z515" s="41">
        <f>IFERROR(IF(Y515=0,"",ROUNDUP(Y515/H515,0)*0.00902),"")</f>
        <v/>
      </c>
      <c r="AA515" s="68" t="inlineStr"/>
      <c r="AB515" s="69" t="inlineStr"/>
      <c r="AC515" s="596" t="inlineStr">
        <is>
          <t>ЕАЭС N RU Д-RU.РА01.В.81823/20</t>
        </is>
      </c>
      <c r="AG515" s="78" t="n"/>
      <c r="AJ515" s="84" t="inlineStr"/>
      <c r="AK515" s="84" t="n">
        <v>0</v>
      </c>
      <c r="BB515" s="597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 ht="27" customHeight="1">
      <c r="A516" s="63" t="inlineStr">
        <is>
          <t>SU002918</t>
        </is>
      </c>
      <c r="B516" s="63" t="inlineStr">
        <is>
          <t>P004929</t>
        </is>
      </c>
      <c r="C516" s="36" t="n">
        <v>4301031417</v>
      </c>
      <c r="D516" s="745" t="n">
        <v>4680115882096</v>
      </c>
      <c r="E516" s="1062" t="n"/>
      <c r="F516" s="1100" t="n">
        <v>0.6</v>
      </c>
      <c r="G516" s="37" t="n">
        <v>8</v>
      </c>
      <c r="H516" s="1100" t="n">
        <v>4.8</v>
      </c>
      <c r="I516" s="1100" t="n">
        <v>6.69</v>
      </c>
      <c r="J516" s="37" t="n">
        <v>132</v>
      </c>
      <c r="K516" s="37" t="inlineStr">
        <is>
          <t>12</t>
        </is>
      </c>
      <c r="L516" s="37" t="inlineStr"/>
      <c r="M516" s="38" t="inlineStr">
        <is>
          <t>СК2</t>
        </is>
      </c>
      <c r="N516" s="38" t="n"/>
      <c r="O516" s="37" t="n">
        <v>70</v>
      </c>
      <c r="P516" s="1365" t="inlineStr">
        <is>
          <t>В/к колбасы «Сервелат Запеченный» Фикс.вес 0,6 вектор ТМ «Стародворье»</t>
        </is>
      </c>
      <c r="Q516" s="1102" t="n"/>
      <c r="R516" s="1102" t="n"/>
      <c r="S516" s="1102" t="n"/>
      <c r="T516" s="1103" t="n"/>
      <c r="U516" s="39" t="inlineStr"/>
      <c r="V516" s="39" t="inlineStr"/>
      <c r="W516" s="40" t="inlineStr">
        <is>
          <t>кг</t>
        </is>
      </c>
      <c r="X516" s="1104" t="n">
        <v>0</v>
      </c>
      <c r="Y516" s="1105">
        <f>IFERROR(IF(X516="",0,CEILING((X516/$H516),1)*$H516),"")</f>
        <v/>
      </c>
      <c r="Z516" s="41">
        <f>IFERROR(IF(Y516=0,"",ROUNDUP(Y516/H516,0)*0.00902),"")</f>
        <v/>
      </c>
      <c r="AA516" s="68" t="inlineStr"/>
      <c r="AB516" s="69" t="inlineStr"/>
      <c r="AC516" s="598" t="inlineStr">
        <is>
          <t>ЕАЭС N RU Д-RU.РА04.В.71301/24</t>
        </is>
      </c>
      <c r="AG516" s="78" t="n"/>
      <c r="AJ516" s="84" t="inlineStr"/>
      <c r="AK516" s="84" t="n">
        <v>0</v>
      </c>
      <c r="BB516" s="599" t="inlineStr">
        <is>
          <t>КИ</t>
        </is>
      </c>
      <c r="BM516" s="78">
        <f>IFERROR(X516*I516/H516,"0")</f>
        <v/>
      </c>
      <c r="BN516" s="78">
        <f>IFERROR(Y516*I516/H516,"0")</f>
        <v/>
      </c>
      <c r="BO516" s="78">
        <f>IFERROR(1/J516*(X516/H516),"0")</f>
        <v/>
      </c>
      <c r="BP516" s="78">
        <f>IFERROR(1/J516*(Y516/H516),"0")</f>
        <v/>
      </c>
    </row>
    <row r="517">
      <c r="A517" s="758" t="n"/>
      <c r="B517" s="1051" t="n"/>
      <c r="C517" s="1051" t="n"/>
      <c r="D517" s="1051" t="n"/>
      <c r="E517" s="1051" t="n"/>
      <c r="F517" s="1051" t="n"/>
      <c r="G517" s="1051" t="n"/>
      <c r="H517" s="1051" t="n"/>
      <c r="I517" s="1051" t="n"/>
      <c r="J517" s="1051" t="n"/>
      <c r="K517" s="1051" t="n"/>
      <c r="L517" s="1051" t="n"/>
      <c r="M517" s="1051" t="n"/>
      <c r="N517" s="1051" t="n"/>
      <c r="O517" s="1111" t="n"/>
      <c r="P517" s="1112" t="inlineStr">
        <is>
          <t>Итого</t>
        </is>
      </c>
      <c r="Q517" s="1069" t="n"/>
      <c r="R517" s="1069" t="n"/>
      <c r="S517" s="1069" t="n"/>
      <c r="T517" s="1069" t="n"/>
      <c r="U517" s="1069" t="n"/>
      <c r="V517" s="1070" t="n"/>
      <c r="W517" s="42" t="inlineStr">
        <is>
          <t>кор</t>
        </is>
      </c>
      <c r="X517" s="1113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/>
      </c>
      <c r="Y517" s="1113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/>
      </c>
      <c r="Z517" s="111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/>
      </c>
      <c r="AA517" s="1114" t="n"/>
      <c r="AB517" s="1114" t="n"/>
      <c r="AC517" s="1114" t="n"/>
    </row>
    <row r="518">
      <c r="A518" s="1051" t="n"/>
      <c r="B518" s="1051" t="n"/>
      <c r="C518" s="1051" t="n"/>
      <c r="D518" s="1051" t="n"/>
      <c r="E518" s="1051" t="n"/>
      <c r="F518" s="1051" t="n"/>
      <c r="G518" s="1051" t="n"/>
      <c r="H518" s="1051" t="n"/>
      <c r="I518" s="1051" t="n"/>
      <c r="J518" s="1051" t="n"/>
      <c r="K518" s="1051" t="n"/>
      <c r="L518" s="1051" t="n"/>
      <c r="M518" s="1051" t="n"/>
      <c r="N518" s="1051" t="n"/>
      <c r="O518" s="1111" t="n"/>
      <c r="P518" s="1112" t="inlineStr">
        <is>
          <t>Итого</t>
        </is>
      </c>
      <c r="Q518" s="1069" t="n"/>
      <c r="R518" s="1069" t="n"/>
      <c r="S518" s="1069" t="n"/>
      <c r="T518" s="1069" t="n"/>
      <c r="U518" s="1069" t="n"/>
      <c r="V518" s="1070" t="n"/>
      <c r="W518" s="42" t="inlineStr">
        <is>
          <t>кг</t>
        </is>
      </c>
      <c r="X518" s="1113">
        <f>IFERROR(SUM(X505:X516),"0")</f>
        <v/>
      </c>
      <c r="Y518" s="1113">
        <f>IFERROR(SUM(Y505:Y516),"0")</f>
        <v/>
      </c>
      <c r="Z518" s="42" t="n"/>
      <c r="AA518" s="1114" t="n"/>
      <c r="AB518" s="1114" t="n"/>
      <c r="AC518" s="1114" t="n"/>
    </row>
    <row r="519" ht="14.25" customHeight="1">
      <c r="A519" s="744" t="inlineStr">
        <is>
          <t>Сосиски</t>
        </is>
      </c>
      <c r="B519" s="1051" t="n"/>
      <c r="C519" s="1051" t="n"/>
      <c r="D519" s="1051" t="n"/>
      <c r="E519" s="1051" t="n"/>
      <c r="F519" s="1051" t="n"/>
      <c r="G519" s="1051" t="n"/>
      <c r="H519" s="1051" t="n"/>
      <c r="I519" s="1051" t="n"/>
      <c r="J519" s="1051" t="n"/>
      <c r="K519" s="1051" t="n"/>
      <c r="L519" s="1051" t="n"/>
      <c r="M519" s="1051" t="n"/>
      <c r="N519" s="1051" t="n"/>
      <c r="O519" s="1051" t="n"/>
      <c r="P519" s="1051" t="n"/>
      <c r="Q519" s="1051" t="n"/>
      <c r="R519" s="1051" t="n"/>
      <c r="S519" s="1051" t="n"/>
      <c r="T519" s="1051" t="n"/>
      <c r="U519" s="1051" t="n"/>
      <c r="V519" s="1051" t="n"/>
      <c r="W519" s="1051" t="n"/>
      <c r="X519" s="1051" t="n"/>
      <c r="Y519" s="1051" t="n"/>
      <c r="Z519" s="1051" t="n"/>
      <c r="AA519" s="744" t="n"/>
      <c r="AB519" s="744" t="n"/>
      <c r="AC519" s="744" t="n"/>
    </row>
    <row r="520" ht="16.5" customHeight="1">
      <c r="A520" s="63" t="inlineStr">
        <is>
          <t>SU002218</t>
        </is>
      </c>
      <c r="B520" s="63" t="inlineStr">
        <is>
          <t>P002854</t>
        </is>
      </c>
      <c r="C520" s="36" t="n">
        <v>4301051232</v>
      </c>
      <c r="D520" s="745" t="n">
        <v>4607091383409</v>
      </c>
      <c r="E520" s="1062" t="n"/>
      <c r="F520" s="1100" t="n">
        <v>1.3</v>
      </c>
      <c r="G520" s="37" t="n">
        <v>6</v>
      </c>
      <c r="H520" s="1100" t="n">
        <v>7.8</v>
      </c>
      <c r="I520" s="1100" t="n">
        <v>8.301</v>
      </c>
      <c r="J520" s="37" t="n">
        <v>64</v>
      </c>
      <c r="K520" s="37" t="inlineStr">
        <is>
          <t>8</t>
        </is>
      </c>
      <c r="L520" s="37" t="inlineStr"/>
      <c r="M520" s="38" t="inlineStr">
        <is>
          <t>СК3</t>
        </is>
      </c>
      <c r="N520" s="38" t="n"/>
      <c r="O520" s="37" t="n">
        <v>45</v>
      </c>
      <c r="P520" s="1366">
        <f>HYPERLINK("https://abi.ru/products/Охлажденные/Дугушка/Дугушка/Сосиски/P002854/","Сосиски «Молочные Дугушки» Весовые П/а мгс ТМ «Дугушка»")</f>
        <v/>
      </c>
      <c r="Q520" s="1102" t="n"/>
      <c r="R520" s="1102" t="n"/>
      <c r="S520" s="1102" t="n"/>
      <c r="T520" s="1103" t="n"/>
      <c r="U520" s="39" t="inlineStr"/>
      <c r="V520" s="39" t="inlineStr"/>
      <c r="W520" s="40" t="inlineStr">
        <is>
          <t>кг</t>
        </is>
      </c>
      <c r="X520" s="1104" t="n">
        <v>0</v>
      </c>
      <c r="Y520" s="1105">
        <f>IFERROR(IF(X520="",0,CEILING((X520/$H520),1)*$H520),"")</f>
        <v/>
      </c>
      <c r="Z520" s="41">
        <f>IFERROR(IF(Y520=0,"",ROUNDUP(Y520/H520,0)*0.01898),"")</f>
        <v/>
      </c>
      <c r="AA520" s="68" t="inlineStr"/>
      <c r="AB520" s="69" t="inlineStr"/>
      <c r="AC520" s="600" t="inlineStr">
        <is>
          <t>ЕАЭС N RU Д-RU.РА11.В.11513/23</t>
        </is>
      </c>
      <c r="AG520" s="78" t="n"/>
      <c r="AJ520" s="84" t="inlineStr"/>
      <c r="AK520" s="84" t="n">
        <v>0</v>
      </c>
      <c r="BB520" s="601" t="inlineStr">
        <is>
          <t>КИ</t>
        </is>
      </c>
      <c r="BM520" s="78">
        <f>IFERROR(X520*I520/H520,"0")</f>
        <v/>
      </c>
      <c r="BN520" s="78">
        <f>IFERROR(Y520*I520/H520,"0")</f>
        <v/>
      </c>
      <c r="BO520" s="78">
        <f>IFERROR(1/J520*(X520/H520),"0")</f>
        <v/>
      </c>
      <c r="BP520" s="78">
        <f>IFERROR(1/J520*(Y520/H520),"0")</f>
        <v/>
      </c>
    </row>
    <row r="521" ht="27" customHeight="1">
      <c r="A521" s="63" t="inlineStr">
        <is>
          <t>SU002219</t>
        </is>
      </c>
      <c r="B521" s="63" t="inlineStr">
        <is>
          <t>P002855</t>
        </is>
      </c>
      <c r="C521" s="36" t="n">
        <v>4301051231</v>
      </c>
      <c r="D521" s="745" t="n">
        <v>4607091383416</v>
      </c>
      <c r="E521" s="1062" t="n"/>
      <c r="F521" s="1100" t="n">
        <v>1.3</v>
      </c>
      <c r="G521" s="37" t="n">
        <v>6</v>
      </c>
      <c r="H521" s="1100" t="n">
        <v>7.8</v>
      </c>
      <c r="I521" s="1100" t="n">
        <v>8.301</v>
      </c>
      <c r="J521" s="37" t="n">
        <v>64</v>
      </c>
      <c r="K521" s="37" t="inlineStr">
        <is>
          <t>8</t>
        </is>
      </c>
      <c r="L521" s="37" t="inlineStr"/>
      <c r="M521" s="38" t="inlineStr">
        <is>
          <t>СК2</t>
        </is>
      </c>
      <c r="N521" s="38" t="n"/>
      <c r="O521" s="37" t="n">
        <v>45</v>
      </c>
      <c r="P521" s="1367">
        <f>HYPERLINK("https://abi.ru/products/Охлажденные/Дугушка/Дугушка/Сосиски/P002855/","Сосиски «Сливочные Дугушки» Весовые П/а мгс ТМ «Дугушка»")</f>
        <v/>
      </c>
      <c r="Q521" s="1102" t="n"/>
      <c r="R521" s="1102" t="n"/>
      <c r="S521" s="1102" t="n"/>
      <c r="T521" s="1103" t="n"/>
      <c r="U521" s="39" t="inlineStr"/>
      <c r="V521" s="39" t="inlineStr"/>
      <c r="W521" s="40" t="inlineStr">
        <is>
          <t>кг</t>
        </is>
      </c>
      <c r="X521" s="1104" t="n">
        <v>0</v>
      </c>
      <c r="Y521" s="1105">
        <f>IFERROR(IF(X521="",0,CEILING((X521/$H521),1)*$H521),"")</f>
        <v/>
      </c>
      <c r="Z521" s="41">
        <f>IFERROR(IF(Y521=0,"",ROUNDUP(Y521/H521,0)*0.01898),"")</f>
        <v/>
      </c>
      <c r="AA521" s="68" t="inlineStr"/>
      <c r="AB521" s="69" t="inlineStr"/>
      <c r="AC521" s="602" t="inlineStr">
        <is>
          <t>ЕАЭС N RU Д-RU.РА10.В.10687/23, ЕАЭС № RU Д-RU.РА01.В.93655/20</t>
        </is>
      </c>
      <c r="AG521" s="78" t="n"/>
      <c r="AJ521" s="84" t="inlineStr"/>
      <c r="AK521" s="84" t="n">
        <v>0</v>
      </c>
      <c r="BB521" s="603" t="inlineStr">
        <is>
          <t>КИ</t>
        </is>
      </c>
      <c r="BM521" s="78">
        <f>IFERROR(X521*I521/H521,"0")</f>
        <v/>
      </c>
      <c r="BN521" s="78">
        <f>IFERROR(Y521*I521/H521,"0")</f>
        <v/>
      </c>
      <c r="BO521" s="78">
        <f>IFERROR(1/J521*(X521/H521),"0")</f>
        <v/>
      </c>
      <c r="BP521" s="78">
        <f>IFERROR(1/J521*(Y521/H521),"0")</f>
        <v/>
      </c>
    </row>
    <row r="522" ht="27" customHeight="1">
      <c r="A522" s="63" t="inlineStr">
        <is>
          <t>SU002146</t>
        </is>
      </c>
      <c r="B522" s="63" t="inlineStr">
        <is>
          <t>P002319</t>
        </is>
      </c>
      <c r="C522" s="36" t="n">
        <v>4301051064</v>
      </c>
      <c r="D522" s="745" t="n">
        <v>4680115883536</v>
      </c>
      <c r="E522" s="1062" t="n"/>
      <c r="F522" s="1100" t="n">
        <v>0.3</v>
      </c>
      <c r="G522" s="37" t="n">
        <v>6</v>
      </c>
      <c r="H522" s="1100" t="n">
        <v>1.8</v>
      </c>
      <c r="I522" s="1100" t="n">
        <v>2.046</v>
      </c>
      <c r="J522" s="37" t="n">
        <v>182</v>
      </c>
      <c r="K522" s="37" t="inlineStr">
        <is>
          <t>14</t>
        </is>
      </c>
      <c r="L522" s="37" t="inlineStr"/>
      <c r="M522" s="38" t="inlineStr">
        <is>
          <t>СК3</t>
        </is>
      </c>
      <c r="N522" s="38" t="n"/>
      <c r="O522" s="37" t="n">
        <v>45</v>
      </c>
      <c r="P522" s="1368">
        <f>HYPERLINK("https://abi.ru/products/Охлажденные/Дугушка/Дугушка/Сосиски/P002319/","Сосиски «Молочные Дугушки» ф/в 0,3 амицел ТМ «Дугушка»")</f>
        <v/>
      </c>
      <c r="Q522" s="1102" t="n"/>
      <c r="R522" s="1102" t="n"/>
      <c r="S522" s="1102" t="n"/>
      <c r="T522" s="1103" t="n"/>
      <c r="U522" s="39" t="inlineStr"/>
      <c r="V522" s="39" t="inlineStr"/>
      <c r="W522" s="40" t="inlineStr">
        <is>
          <t>кг</t>
        </is>
      </c>
      <c r="X522" s="1104" t="n">
        <v>0</v>
      </c>
      <c r="Y522" s="1105">
        <f>IFERROR(IF(X522="",0,CEILING((X522/$H522),1)*$H522),"")</f>
        <v/>
      </c>
      <c r="Z522" s="41">
        <f>IFERROR(IF(Y522=0,"",ROUNDUP(Y522/H522,0)*0.00651),"")</f>
        <v/>
      </c>
      <c r="AA522" s="68" t="inlineStr"/>
      <c r="AB522" s="69" t="inlineStr"/>
      <c r="AC522" s="604" t="inlineStr">
        <is>
          <t>ЕАЭС N RU Д-RU.РА04.В.51196/23, ЕАЭС N RU Д-RU.РА10.В.04165/24</t>
        </is>
      </c>
      <c r="AG522" s="78" t="n"/>
      <c r="AJ522" s="84" t="inlineStr"/>
      <c r="AK522" s="84" t="n">
        <v>0</v>
      </c>
      <c r="BB522" s="605" t="inlineStr">
        <is>
          <t>КИ</t>
        </is>
      </c>
      <c r="BM522" s="78">
        <f>IFERROR(X522*I522/H522,"0")</f>
        <v/>
      </c>
      <c r="BN522" s="78">
        <f>IFERROR(Y522*I522/H522,"0")</f>
        <v/>
      </c>
      <c r="BO522" s="78">
        <f>IFERROR(1/J522*(X522/H522),"0")</f>
        <v/>
      </c>
      <c r="BP522" s="78">
        <f>IFERROR(1/J522*(Y522/H522),"0")</f>
        <v/>
      </c>
    </row>
    <row r="523">
      <c r="A523" s="758" t="n"/>
      <c r="B523" s="1051" t="n"/>
      <c r="C523" s="1051" t="n"/>
      <c r="D523" s="1051" t="n"/>
      <c r="E523" s="1051" t="n"/>
      <c r="F523" s="1051" t="n"/>
      <c r="G523" s="1051" t="n"/>
      <c r="H523" s="1051" t="n"/>
      <c r="I523" s="1051" t="n"/>
      <c r="J523" s="1051" t="n"/>
      <c r="K523" s="1051" t="n"/>
      <c r="L523" s="1051" t="n"/>
      <c r="M523" s="1051" t="n"/>
      <c r="N523" s="1051" t="n"/>
      <c r="O523" s="1111" t="n"/>
      <c r="P523" s="1112" t="inlineStr">
        <is>
          <t>Итого</t>
        </is>
      </c>
      <c r="Q523" s="1069" t="n"/>
      <c r="R523" s="1069" t="n"/>
      <c r="S523" s="1069" t="n"/>
      <c r="T523" s="1069" t="n"/>
      <c r="U523" s="1069" t="n"/>
      <c r="V523" s="1070" t="n"/>
      <c r="W523" s="42" t="inlineStr">
        <is>
          <t>кор</t>
        </is>
      </c>
      <c r="X523" s="1113">
        <f>IFERROR(X520/H520,"0")+IFERROR(X521/H521,"0")+IFERROR(X522/H522,"0")</f>
        <v/>
      </c>
      <c r="Y523" s="1113">
        <f>IFERROR(Y520/H520,"0")+IFERROR(Y521/H521,"0")+IFERROR(Y522/H522,"0")</f>
        <v/>
      </c>
      <c r="Z523" s="1113">
        <f>IFERROR(IF(Z520="",0,Z520),"0")+IFERROR(IF(Z521="",0,Z521),"0")+IFERROR(IF(Z522="",0,Z522),"0")</f>
        <v/>
      </c>
      <c r="AA523" s="1114" t="n"/>
      <c r="AB523" s="1114" t="n"/>
      <c r="AC523" s="1114" t="n"/>
    </row>
    <row r="524">
      <c r="A524" s="1051" t="n"/>
      <c r="B524" s="1051" t="n"/>
      <c r="C524" s="1051" t="n"/>
      <c r="D524" s="1051" t="n"/>
      <c r="E524" s="1051" t="n"/>
      <c r="F524" s="1051" t="n"/>
      <c r="G524" s="1051" t="n"/>
      <c r="H524" s="1051" t="n"/>
      <c r="I524" s="1051" t="n"/>
      <c r="J524" s="1051" t="n"/>
      <c r="K524" s="1051" t="n"/>
      <c r="L524" s="1051" t="n"/>
      <c r="M524" s="1051" t="n"/>
      <c r="N524" s="1051" t="n"/>
      <c r="O524" s="1111" t="n"/>
      <c r="P524" s="1112" t="inlineStr">
        <is>
          <t>Итого</t>
        </is>
      </c>
      <c r="Q524" s="1069" t="n"/>
      <c r="R524" s="1069" t="n"/>
      <c r="S524" s="1069" t="n"/>
      <c r="T524" s="1069" t="n"/>
      <c r="U524" s="1069" t="n"/>
      <c r="V524" s="1070" t="n"/>
      <c r="W524" s="42" t="inlineStr">
        <is>
          <t>кг</t>
        </is>
      </c>
      <c r="X524" s="1113">
        <f>IFERROR(SUM(X520:X522),"0")</f>
        <v/>
      </c>
      <c r="Y524" s="1113">
        <f>IFERROR(SUM(Y520:Y522),"0")</f>
        <v/>
      </c>
      <c r="Z524" s="42" t="n"/>
      <c r="AA524" s="1114" t="n"/>
      <c r="AB524" s="1114" t="n"/>
      <c r="AC524" s="1114" t="n"/>
    </row>
    <row r="525" ht="14.25" customHeight="1">
      <c r="A525" s="744" t="inlineStr">
        <is>
          <t>Сардельки</t>
        </is>
      </c>
      <c r="B525" s="1051" t="n"/>
      <c r="C525" s="1051" t="n"/>
      <c r="D525" s="1051" t="n"/>
      <c r="E525" s="1051" t="n"/>
      <c r="F525" s="1051" t="n"/>
      <c r="G525" s="1051" t="n"/>
      <c r="H525" s="1051" t="n"/>
      <c r="I525" s="1051" t="n"/>
      <c r="J525" s="1051" t="n"/>
      <c r="K525" s="1051" t="n"/>
      <c r="L525" s="1051" t="n"/>
      <c r="M525" s="1051" t="n"/>
      <c r="N525" s="1051" t="n"/>
      <c r="O525" s="1051" t="n"/>
      <c r="P525" s="1051" t="n"/>
      <c r="Q525" s="1051" t="n"/>
      <c r="R525" s="1051" t="n"/>
      <c r="S525" s="1051" t="n"/>
      <c r="T525" s="1051" t="n"/>
      <c r="U525" s="1051" t="n"/>
      <c r="V525" s="1051" t="n"/>
      <c r="W525" s="1051" t="n"/>
      <c r="X525" s="1051" t="n"/>
      <c r="Y525" s="1051" t="n"/>
      <c r="Z525" s="1051" t="n"/>
      <c r="AA525" s="744" t="n"/>
      <c r="AB525" s="744" t="n"/>
      <c r="AC525" s="744" t="n"/>
    </row>
    <row r="526" ht="37.5" customHeight="1">
      <c r="A526" s="63" t="inlineStr">
        <is>
          <t>SU003136</t>
        </is>
      </c>
      <c r="B526" s="63" t="inlineStr">
        <is>
          <t>P003722</t>
        </is>
      </c>
      <c r="C526" s="36" t="n">
        <v>4301060363</v>
      </c>
      <c r="D526" s="745" t="n">
        <v>4680115885035</v>
      </c>
      <c r="E526" s="1062" t="n"/>
      <c r="F526" s="1100" t="n">
        <v>1</v>
      </c>
      <c r="G526" s="37" t="n">
        <v>4</v>
      </c>
      <c r="H526" s="1100" t="n">
        <v>4</v>
      </c>
      <c r="I526" s="1100" t="n">
        <v>4.416</v>
      </c>
      <c r="J526" s="37" t="n">
        <v>104</v>
      </c>
      <c r="K526" s="37" t="inlineStr">
        <is>
          <t>8</t>
        </is>
      </c>
      <c r="L526" s="37" t="inlineStr"/>
      <c r="M526" s="38" t="inlineStr">
        <is>
          <t>СК2</t>
        </is>
      </c>
      <c r="N526" s="38" t="n"/>
      <c r="O526" s="37" t="n">
        <v>35</v>
      </c>
      <c r="P526" s="1369">
        <f>HYPERLINK("https://abi.ru/products/Охлажденные/Дугушка/Дугушка/Сардельки/P003722/","Сардельки «Дугушки» Весовой н/о ТМ «Дугушка»")</f>
        <v/>
      </c>
      <c r="Q526" s="1102" t="n"/>
      <c r="R526" s="1102" t="n"/>
      <c r="S526" s="1102" t="n"/>
      <c r="T526" s="1103" t="n"/>
      <c r="U526" s="39" t="inlineStr"/>
      <c r="V526" s="39" t="inlineStr"/>
      <c r="W526" s="40" t="inlineStr">
        <is>
          <t>кг</t>
        </is>
      </c>
      <c r="X526" s="1104" t="n">
        <v>0</v>
      </c>
      <c r="Y526" s="1105">
        <f>IFERROR(IF(X526="",0,CEILING((X526/$H526),1)*$H526),"")</f>
        <v/>
      </c>
      <c r="Z526" s="41">
        <f>IFERROR(IF(Y526=0,"",ROUNDUP(Y526/H526,0)*0.01196),"")</f>
        <v/>
      </c>
      <c r="AA526" s="68" t="inlineStr"/>
      <c r="AB526" s="69" t="inlineStr"/>
      <c r="AC526" s="606" t="inlineStr">
        <is>
          <t>ЕАЭС N RU Д-RU.РА02.В.61682/24, ЕАЭС N RU Д-RU.РА10.В.25236/24, ЕАЭС N RU Д-RU.РА10.В.25345/24</t>
        </is>
      </c>
      <c r="AG526" s="78" t="n"/>
      <c r="AJ526" s="84" t="inlineStr"/>
      <c r="AK526" s="84" t="n">
        <v>0</v>
      </c>
      <c r="BB526" s="607" t="inlineStr">
        <is>
          <t>КИ</t>
        </is>
      </c>
      <c r="BM526" s="78">
        <f>IFERROR(X526*I526/H526,"0")</f>
        <v/>
      </c>
      <c r="BN526" s="78">
        <f>IFERROR(Y526*I526/H526,"0")</f>
        <v/>
      </c>
      <c r="BO526" s="78">
        <f>IFERROR(1/J526*(X526/H526),"0")</f>
        <v/>
      </c>
      <c r="BP526" s="78">
        <f>IFERROR(1/J526*(Y526/H526),"0")</f>
        <v/>
      </c>
    </row>
    <row r="527" ht="37.5" customHeight="1">
      <c r="A527" s="63" t="inlineStr">
        <is>
          <t>SU003687</t>
        </is>
      </c>
      <c r="B527" s="63" t="inlineStr">
        <is>
          <t>P004680</t>
        </is>
      </c>
      <c r="C527" s="36" t="n">
        <v>4301060436</v>
      </c>
      <c r="D527" s="745" t="n">
        <v>4680115885936</v>
      </c>
      <c r="E527" s="1062" t="n"/>
      <c r="F527" s="1100" t="n">
        <v>1.3</v>
      </c>
      <c r="G527" s="37" t="n">
        <v>6</v>
      </c>
      <c r="H527" s="1100" t="n">
        <v>7.8</v>
      </c>
      <c r="I527" s="1100" t="n">
        <v>8.234999999999999</v>
      </c>
      <c r="J527" s="37" t="n">
        <v>64</v>
      </c>
      <c r="K527" s="37" t="inlineStr">
        <is>
          <t>8</t>
        </is>
      </c>
      <c r="L527" s="37" t="inlineStr"/>
      <c r="M527" s="38" t="inlineStr">
        <is>
          <t>СК2</t>
        </is>
      </c>
      <c r="N527" s="38" t="n"/>
      <c r="O527" s="37" t="n">
        <v>35</v>
      </c>
      <c r="P527" s="1370" t="inlineStr">
        <is>
          <t>Сардельки «Дугушки» Весовой черева ТМ «Стародворье»</t>
        </is>
      </c>
      <c r="Q527" s="1102" t="n"/>
      <c r="R527" s="1102" t="n"/>
      <c r="S527" s="1102" t="n"/>
      <c r="T527" s="1103" t="n"/>
      <c r="U527" s="39" t="inlineStr"/>
      <c r="V527" s="39" t="inlineStr"/>
      <c r="W527" s="40" t="inlineStr">
        <is>
          <t>кг</t>
        </is>
      </c>
      <c r="X527" s="1104" t="n">
        <v>0</v>
      </c>
      <c r="Y527" s="1105">
        <f>IFERROR(IF(X527="",0,CEILING((X527/$H527),1)*$H527),"")</f>
        <v/>
      </c>
      <c r="Z527" s="41">
        <f>IFERROR(IF(Y527=0,"",ROUNDUP(Y527/H527,0)*0.01898),"")</f>
        <v/>
      </c>
      <c r="AA527" s="68" t="inlineStr"/>
      <c r="AB527" s="69" t="inlineStr"/>
      <c r="AC527" s="608" t="inlineStr">
        <is>
          <t>ЕАЭС N RU Д-RU.РА02.В.61682/24, ЕАЭС N RU Д-RU.РА10.В.25236/24, ЕАЭС N RU Д-RU.РА10.В.25345/24</t>
        </is>
      </c>
      <c r="AG527" s="78" t="n"/>
      <c r="AJ527" s="84" t="inlineStr"/>
      <c r="AK527" s="84" t="n">
        <v>0</v>
      </c>
      <c r="BB527" s="609" t="inlineStr">
        <is>
          <t>КИ</t>
        </is>
      </c>
      <c r="BM527" s="78">
        <f>IFERROR(X527*I527/H527,"0")</f>
        <v/>
      </c>
      <c r="BN527" s="78">
        <f>IFERROR(Y527*I527/H527,"0")</f>
        <v/>
      </c>
      <c r="BO527" s="78">
        <f>IFERROR(1/J527*(X527/H527),"0")</f>
        <v/>
      </c>
      <c r="BP527" s="78">
        <f>IFERROR(1/J527*(Y527/H527),"0")</f>
        <v/>
      </c>
    </row>
    <row r="528">
      <c r="A528" s="758" t="n"/>
      <c r="B528" s="1051" t="n"/>
      <c r="C528" s="1051" t="n"/>
      <c r="D528" s="1051" t="n"/>
      <c r="E528" s="1051" t="n"/>
      <c r="F528" s="1051" t="n"/>
      <c r="G528" s="1051" t="n"/>
      <c r="H528" s="1051" t="n"/>
      <c r="I528" s="1051" t="n"/>
      <c r="J528" s="1051" t="n"/>
      <c r="K528" s="1051" t="n"/>
      <c r="L528" s="1051" t="n"/>
      <c r="M528" s="1051" t="n"/>
      <c r="N528" s="1051" t="n"/>
      <c r="O528" s="1111" t="n"/>
      <c r="P528" s="1112" t="inlineStr">
        <is>
          <t>Итого</t>
        </is>
      </c>
      <c r="Q528" s="1069" t="n"/>
      <c r="R528" s="1069" t="n"/>
      <c r="S528" s="1069" t="n"/>
      <c r="T528" s="1069" t="n"/>
      <c r="U528" s="1069" t="n"/>
      <c r="V528" s="1070" t="n"/>
      <c r="W528" s="42" t="inlineStr">
        <is>
          <t>кор</t>
        </is>
      </c>
      <c r="X528" s="1113">
        <f>IFERROR(X526/H526,"0")+IFERROR(X527/H527,"0")</f>
        <v/>
      </c>
      <c r="Y528" s="1113">
        <f>IFERROR(Y526/H526,"0")+IFERROR(Y527/H527,"0")</f>
        <v/>
      </c>
      <c r="Z528" s="1113">
        <f>IFERROR(IF(Z526="",0,Z526),"0")+IFERROR(IF(Z527="",0,Z527),"0")</f>
        <v/>
      </c>
      <c r="AA528" s="1114" t="n"/>
      <c r="AB528" s="1114" t="n"/>
      <c r="AC528" s="1114" t="n"/>
    </row>
    <row r="529">
      <c r="A529" s="1051" t="n"/>
      <c r="B529" s="1051" t="n"/>
      <c r="C529" s="1051" t="n"/>
      <c r="D529" s="1051" t="n"/>
      <c r="E529" s="1051" t="n"/>
      <c r="F529" s="1051" t="n"/>
      <c r="G529" s="1051" t="n"/>
      <c r="H529" s="1051" t="n"/>
      <c r="I529" s="1051" t="n"/>
      <c r="J529" s="1051" t="n"/>
      <c r="K529" s="1051" t="n"/>
      <c r="L529" s="1051" t="n"/>
      <c r="M529" s="1051" t="n"/>
      <c r="N529" s="1051" t="n"/>
      <c r="O529" s="1111" t="n"/>
      <c r="P529" s="1112" t="inlineStr">
        <is>
          <t>Итого</t>
        </is>
      </c>
      <c r="Q529" s="1069" t="n"/>
      <c r="R529" s="1069" t="n"/>
      <c r="S529" s="1069" t="n"/>
      <c r="T529" s="1069" t="n"/>
      <c r="U529" s="1069" t="n"/>
      <c r="V529" s="1070" t="n"/>
      <c r="W529" s="42" t="inlineStr">
        <is>
          <t>кг</t>
        </is>
      </c>
      <c r="X529" s="1113">
        <f>IFERROR(SUM(X526:X527),"0")</f>
        <v/>
      </c>
      <c r="Y529" s="1113">
        <f>IFERROR(SUM(Y526:Y527),"0")</f>
        <v/>
      </c>
      <c r="Z529" s="42" t="n"/>
      <c r="AA529" s="1114" t="n"/>
      <c r="AB529" s="1114" t="n"/>
      <c r="AC529" s="1114" t="n"/>
    </row>
    <row r="530" ht="27.75" customHeight="1">
      <c r="A530" s="742" t="inlineStr">
        <is>
          <t>Зареченские продукты</t>
        </is>
      </c>
      <c r="B530" s="1099" t="n"/>
      <c r="C530" s="1099" t="n"/>
      <c r="D530" s="1099" t="n"/>
      <c r="E530" s="1099" t="n"/>
      <c r="F530" s="1099" t="n"/>
      <c r="G530" s="1099" t="n"/>
      <c r="H530" s="1099" t="n"/>
      <c r="I530" s="1099" t="n"/>
      <c r="J530" s="1099" t="n"/>
      <c r="K530" s="1099" t="n"/>
      <c r="L530" s="1099" t="n"/>
      <c r="M530" s="1099" t="n"/>
      <c r="N530" s="1099" t="n"/>
      <c r="O530" s="1099" t="n"/>
      <c r="P530" s="1099" t="n"/>
      <c r="Q530" s="1099" t="n"/>
      <c r="R530" s="1099" t="n"/>
      <c r="S530" s="1099" t="n"/>
      <c r="T530" s="1099" t="n"/>
      <c r="U530" s="1099" t="n"/>
      <c r="V530" s="1099" t="n"/>
      <c r="W530" s="1099" t="n"/>
      <c r="X530" s="1099" t="n"/>
      <c r="Y530" s="1099" t="n"/>
      <c r="Z530" s="1099" t="n"/>
      <c r="AA530" s="54" t="n"/>
      <c r="AB530" s="54" t="n"/>
      <c r="AC530" s="54" t="n"/>
    </row>
    <row r="531" ht="16.5" customHeight="1">
      <c r="A531" s="743" t="inlineStr">
        <is>
          <t>Зареченские продукты</t>
        </is>
      </c>
      <c r="B531" s="1051" t="n"/>
      <c r="C531" s="1051" t="n"/>
      <c r="D531" s="1051" t="n"/>
      <c r="E531" s="1051" t="n"/>
      <c r="F531" s="1051" t="n"/>
      <c r="G531" s="1051" t="n"/>
      <c r="H531" s="1051" t="n"/>
      <c r="I531" s="1051" t="n"/>
      <c r="J531" s="1051" t="n"/>
      <c r="K531" s="1051" t="n"/>
      <c r="L531" s="1051" t="n"/>
      <c r="M531" s="1051" t="n"/>
      <c r="N531" s="1051" t="n"/>
      <c r="O531" s="1051" t="n"/>
      <c r="P531" s="1051" t="n"/>
      <c r="Q531" s="1051" t="n"/>
      <c r="R531" s="1051" t="n"/>
      <c r="S531" s="1051" t="n"/>
      <c r="T531" s="1051" t="n"/>
      <c r="U531" s="1051" t="n"/>
      <c r="V531" s="1051" t="n"/>
      <c r="W531" s="1051" t="n"/>
      <c r="X531" s="1051" t="n"/>
      <c r="Y531" s="1051" t="n"/>
      <c r="Z531" s="1051" t="n"/>
      <c r="AA531" s="743" t="n"/>
      <c r="AB531" s="743" t="n"/>
      <c r="AC531" s="743" t="n"/>
    </row>
    <row r="532" ht="14.25" customHeight="1">
      <c r="A532" s="744" t="inlineStr">
        <is>
          <t>Вареные колбасы</t>
        </is>
      </c>
      <c r="B532" s="1051" t="n"/>
      <c r="C532" s="1051" t="n"/>
      <c r="D532" s="1051" t="n"/>
      <c r="E532" s="1051" t="n"/>
      <c r="F532" s="1051" t="n"/>
      <c r="G532" s="1051" t="n"/>
      <c r="H532" s="1051" t="n"/>
      <c r="I532" s="1051" t="n"/>
      <c r="J532" s="1051" t="n"/>
      <c r="K532" s="1051" t="n"/>
      <c r="L532" s="1051" t="n"/>
      <c r="M532" s="1051" t="n"/>
      <c r="N532" s="1051" t="n"/>
      <c r="O532" s="1051" t="n"/>
      <c r="P532" s="1051" t="n"/>
      <c r="Q532" s="1051" t="n"/>
      <c r="R532" s="1051" t="n"/>
      <c r="S532" s="1051" t="n"/>
      <c r="T532" s="1051" t="n"/>
      <c r="U532" s="1051" t="n"/>
      <c r="V532" s="1051" t="n"/>
      <c r="W532" s="1051" t="n"/>
      <c r="X532" s="1051" t="n"/>
      <c r="Y532" s="1051" t="n"/>
      <c r="Z532" s="1051" t="n"/>
      <c r="AA532" s="744" t="n"/>
      <c r="AB532" s="744" t="n"/>
      <c r="AC532" s="744" t="n"/>
    </row>
    <row r="533" ht="27" customHeight="1">
      <c r="A533" s="63" t="inlineStr">
        <is>
          <t>SU003290</t>
        </is>
      </c>
      <c r="B533" s="63" t="inlineStr">
        <is>
          <t>P004000</t>
        </is>
      </c>
      <c r="C533" s="36" t="n">
        <v>4301011763</v>
      </c>
      <c r="D533" s="745" t="n">
        <v>4640242181011</v>
      </c>
      <c r="E533" s="1062" t="n"/>
      <c r="F533" s="1100" t="n">
        <v>1.35</v>
      </c>
      <c r="G533" s="37" t="n">
        <v>8</v>
      </c>
      <c r="H533" s="1100" t="n">
        <v>10.8</v>
      </c>
      <c r="I533" s="1100" t="n">
        <v>11.235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55</v>
      </c>
      <c r="P533" s="1371" t="inlineStr">
        <is>
          <t>Вареные колбасы «Молочная» Весовой п/а ТМ «Зареченские»</t>
        </is>
      </c>
      <c r="Q533" s="1102" t="n"/>
      <c r="R533" s="1102" t="n"/>
      <c r="S533" s="1102" t="n"/>
      <c r="T533" s="1103" t="n"/>
      <c r="U533" s="39" t="inlineStr"/>
      <c r="V533" s="39" t="inlineStr"/>
      <c r="W533" s="40" t="inlineStr">
        <is>
          <t>кг</t>
        </is>
      </c>
      <c r="X533" s="1104" t="n">
        <v>0</v>
      </c>
      <c r="Y533" s="1105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10" t="inlineStr">
        <is>
          <t>ЕАЭС N RU Д-RU.РА10.В.50054/23</t>
        </is>
      </c>
      <c r="AG533" s="78" t="n"/>
      <c r="AJ533" s="84" t="inlineStr"/>
      <c r="AK533" s="84" t="n">
        <v>0</v>
      </c>
      <c r="BB533" s="61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 ht="27" customHeight="1">
      <c r="A534" s="63" t="inlineStr">
        <is>
          <t>SU002807</t>
        </is>
      </c>
      <c r="B534" s="63" t="inlineStr">
        <is>
          <t>P003583</t>
        </is>
      </c>
      <c r="C534" s="36" t="n">
        <v>4301011585</v>
      </c>
      <c r="D534" s="745" t="n">
        <v>4640242180441</v>
      </c>
      <c r="E534" s="1062" t="n"/>
      <c r="F534" s="1100" t="n">
        <v>1.5</v>
      </c>
      <c r="G534" s="37" t="n">
        <v>8</v>
      </c>
      <c r="H534" s="1100" t="n">
        <v>12</v>
      </c>
      <c r="I534" s="1100" t="n">
        <v>12.435</v>
      </c>
      <c r="J534" s="37" t="n">
        <v>64</v>
      </c>
      <c r="K534" s="37" t="inlineStr">
        <is>
          <t>8</t>
        </is>
      </c>
      <c r="L534" s="37" t="inlineStr"/>
      <c r="M534" s="38" t="inlineStr">
        <is>
          <t>СК1</t>
        </is>
      </c>
      <c r="N534" s="38" t="n"/>
      <c r="O534" s="37" t="n">
        <v>50</v>
      </c>
      <c r="P534" s="1372" t="inlineStr">
        <is>
          <t>Вареные колбасы «Муромская» Весовой п/а ТМ «Зареченские»</t>
        </is>
      </c>
      <c r="Q534" s="1102" t="n"/>
      <c r="R534" s="1102" t="n"/>
      <c r="S534" s="1102" t="n"/>
      <c r="T534" s="1103" t="n"/>
      <c r="U534" s="39" t="inlineStr"/>
      <c r="V534" s="39" t="inlineStr"/>
      <c r="W534" s="40" t="inlineStr">
        <is>
          <t>кг</t>
        </is>
      </c>
      <c r="X534" s="1104" t="n">
        <v>0</v>
      </c>
      <c r="Y534" s="1105">
        <f>IFERROR(IF(X534="",0,CEILING((X534/$H534),1)*$H534),"")</f>
        <v/>
      </c>
      <c r="Z534" s="41">
        <f>IFERROR(IF(Y534=0,"",ROUNDUP(Y534/H534,0)*0.01898),"")</f>
        <v/>
      </c>
      <c r="AA534" s="68" t="inlineStr"/>
      <c r="AB534" s="69" t="inlineStr"/>
      <c r="AC534" s="612" t="inlineStr">
        <is>
          <t>ЕАЭС N RU Д-RU.РА05.В.98227/23</t>
        </is>
      </c>
      <c r="AG534" s="78" t="n"/>
      <c r="AJ534" s="84" t="inlineStr"/>
      <c r="AK534" s="84" t="n">
        <v>0</v>
      </c>
      <c r="BB534" s="613" t="inlineStr">
        <is>
          <t>КИ</t>
        </is>
      </c>
      <c r="BM534" s="78">
        <f>IFERROR(X534*I534/H534,"0")</f>
        <v/>
      </c>
      <c r="BN534" s="78">
        <f>IFERROR(Y534*I534/H534,"0")</f>
        <v/>
      </c>
      <c r="BO534" s="78">
        <f>IFERROR(1/J534*(X534/H534),"0")</f>
        <v/>
      </c>
      <c r="BP534" s="78">
        <f>IFERROR(1/J534*(Y534/H534),"0")</f>
        <v/>
      </c>
    </row>
    <row r="535" ht="27" customHeight="1">
      <c r="A535" s="63" t="inlineStr">
        <is>
          <t>SU002808</t>
        </is>
      </c>
      <c r="B535" s="63" t="inlineStr">
        <is>
          <t>P003582</t>
        </is>
      </c>
      <c r="C535" s="36" t="n">
        <v>4301011584</v>
      </c>
      <c r="D535" s="745" t="n">
        <v>4640242180564</v>
      </c>
      <c r="E535" s="1062" t="n"/>
      <c r="F535" s="1100" t="n">
        <v>1.5</v>
      </c>
      <c r="G535" s="37" t="n">
        <v>8</v>
      </c>
      <c r="H535" s="1100" t="n">
        <v>12</v>
      </c>
      <c r="I535" s="1100" t="n">
        <v>12.435</v>
      </c>
      <c r="J535" s="37" t="n">
        <v>64</v>
      </c>
      <c r="K535" s="37" t="inlineStr">
        <is>
          <t>8</t>
        </is>
      </c>
      <c r="L535" s="37" t="inlineStr"/>
      <c r="M535" s="38" t="inlineStr">
        <is>
          <t>СК1</t>
        </is>
      </c>
      <c r="N535" s="38" t="n"/>
      <c r="O535" s="37" t="n">
        <v>50</v>
      </c>
      <c r="P535" s="1373" t="inlineStr">
        <is>
          <t>Вареные колбасы «Нежная» НТУ Весовые П/а ТМ «Зареченские»</t>
        </is>
      </c>
      <c r="Q535" s="1102" t="n"/>
      <c r="R535" s="1102" t="n"/>
      <c r="S535" s="1102" t="n"/>
      <c r="T535" s="1103" t="n"/>
      <c r="U535" s="39" t="inlineStr"/>
      <c r="V535" s="39" t="inlineStr"/>
      <c r="W535" s="40" t="inlineStr">
        <is>
          <t>кг</t>
        </is>
      </c>
      <c r="X535" s="1104" t="n">
        <v>10</v>
      </c>
      <c r="Y535" s="1105">
        <f>IFERROR(IF(X535="",0,CEILING((X535/$H535),1)*$H535),"")</f>
        <v/>
      </c>
      <c r="Z535" s="41">
        <f>IFERROR(IF(Y535=0,"",ROUNDUP(Y535/H535,0)*0.01898),"")</f>
        <v/>
      </c>
      <c r="AA535" s="68" t="inlineStr"/>
      <c r="AB535" s="69" t="inlineStr"/>
      <c r="AC535" s="614" t="inlineStr">
        <is>
          <t>ЕАЭС N RU Д-RU.РА05.В.95257/23</t>
        </is>
      </c>
      <c r="AG535" s="78" t="n"/>
      <c r="AJ535" s="84" t="inlineStr"/>
      <c r="AK535" s="84" t="n">
        <v>0</v>
      </c>
      <c r="BB535" s="615" t="inlineStr">
        <is>
          <t>КИ</t>
        </is>
      </c>
      <c r="BM535" s="78">
        <f>IFERROR(X535*I535/H535,"0")</f>
        <v/>
      </c>
      <c r="BN535" s="78">
        <f>IFERROR(Y535*I535/H535,"0")</f>
        <v/>
      </c>
      <c r="BO535" s="78">
        <f>IFERROR(1/J535*(X535/H535),"0")</f>
        <v/>
      </c>
      <c r="BP535" s="78">
        <f>IFERROR(1/J535*(Y535/H535),"0")</f>
        <v/>
      </c>
    </row>
    <row r="536" ht="27" customHeight="1">
      <c r="A536" s="63" t="inlineStr">
        <is>
          <t>SU003289</t>
        </is>
      </c>
      <c r="B536" s="63" t="inlineStr">
        <is>
          <t>P003999</t>
        </is>
      </c>
      <c r="C536" s="36" t="n">
        <v>4301011762</v>
      </c>
      <c r="D536" s="745" t="n">
        <v>4640242180922</v>
      </c>
      <c r="E536" s="1062" t="n"/>
      <c r="F536" s="1100" t="n">
        <v>1.35</v>
      </c>
      <c r="G536" s="37" t="n">
        <v>8</v>
      </c>
      <c r="H536" s="1100" t="n">
        <v>10.8</v>
      </c>
      <c r="I536" s="1100" t="n">
        <v>11.235</v>
      </c>
      <c r="J536" s="37" t="n">
        <v>64</v>
      </c>
      <c r="K536" s="37" t="inlineStr">
        <is>
          <t>8</t>
        </is>
      </c>
      <c r="L536" s="37" t="inlineStr"/>
      <c r="M536" s="38" t="inlineStr">
        <is>
          <t>СК1</t>
        </is>
      </c>
      <c r="N536" s="38" t="n"/>
      <c r="O536" s="37" t="n">
        <v>55</v>
      </c>
      <c r="P536" s="1374" t="inlineStr">
        <is>
          <t>Вареные колбасы «Нежная со шпиком» Весовой п/а ТМ «Зареченские»</t>
        </is>
      </c>
      <c r="Q536" s="1102" t="n"/>
      <c r="R536" s="1102" t="n"/>
      <c r="S536" s="1102" t="n"/>
      <c r="T536" s="1103" t="n"/>
      <c r="U536" s="39" t="inlineStr"/>
      <c r="V536" s="39" t="inlineStr"/>
      <c r="W536" s="40" t="inlineStr">
        <is>
          <t>кг</t>
        </is>
      </c>
      <c r="X536" s="1104" t="n">
        <v>0</v>
      </c>
      <c r="Y536" s="1105">
        <f>IFERROR(IF(X536="",0,CEILING((X536/$H536),1)*$H536),"")</f>
        <v/>
      </c>
      <c r="Z536" s="41">
        <f>IFERROR(IF(Y536=0,"",ROUNDUP(Y536/H536,0)*0.01898),"")</f>
        <v/>
      </c>
      <c r="AA536" s="68" t="inlineStr"/>
      <c r="AB536" s="69" t="inlineStr"/>
      <c r="AC536" s="616" t="inlineStr">
        <is>
          <t>ЕАЭС N RU Д-RU.РА10.В.53840/23</t>
        </is>
      </c>
      <c r="AG536" s="78" t="n"/>
      <c r="AJ536" s="84" t="inlineStr"/>
      <c r="AK536" s="84" t="n">
        <v>0</v>
      </c>
      <c r="BB536" s="617" t="inlineStr">
        <is>
          <t>КИ</t>
        </is>
      </c>
      <c r="BM536" s="78">
        <f>IFERROR(X536*I536/H536,"0")</f>
        <v/>
      </c>
      <c r="BN536" s="78">
        <f>IFERROR(Y536*I536/H536,"0")</f>
        <v/>
      </c>
      <c r="BO536" s="78">
        <f>IFERROR(1/J536*(X536/H536),"0")</f>
        <v/>
      </c>
      <c r="BP536" s="78">
        <f>IFERROR(1/J536*(Y536/H536),"0")</f>
        <v/>
      </c>
    </row>
    <row r="537" ht="27" customHeight="1">
      <c r="A537" s="63" t="inlineStr">
        <is>
          <t>SU002974</t>
        </is>
      </c>
      <c r="B537" s="63" t="inlineStr">
        <is>
          <t>P003426</t>
        </is>
      </c>
      <c r="C537" s="36" t="n">
        <v>4301011551</v>
      </c>
      <c r="D537" s="745" t="n">
        <v>4640242180038</v>
      </c>
      <c r="E537" s="1062" t="n"/>
      <c r="F537" s="1100" t="n">
        <v>0.4</v>
      </c>
      <c r="G537" s="37" t="n">
        <v>10</v>
      </c>
      <c r="H537" s="1100" t="n">
        <v>4</v>
      </c>
      <c r="I537" s="1100" t="n">
        <v>4.21</v>
      </c>
      <c r="J537" s="37" t="n">
        <v>132</v>
      </c>
      <c r="K537" s="37" t="inlineStr">
        <is>
          <t>12</t>
        </is>
      </c>
      <c r="L537" s="37" t="inlineStr"/>
      <c r="M537" s="38" t="inlineStr">
        <is>
          <t>СК1</t>
        </is>
      </c>
      <c r="N537" s="38" t="n"/>
      <c r="O537" s="37" t="n">
        <v>50</v>
      </c>
      <c r="P537" s="1375" t="inlineStr">
        <is>
          <t>Вареные колбасы «Нежная» ф/в 0,4 п/а ТМ «Зареченские»</t>
        </is>
      </c>
      <c r="Q537" s="1102" t="n"/>
      <c r="R537" s="1102" t="n"/>
      <c r="S537" s="1102" t="n"/>
      <c r="T537" s="1103" t="n"/>
      <c r="U537" s="39" t="inlineStr"/>
      <c r="V537" s="39" t="inlineStr"/>
      <c r="W537" s="40" t="inlineStr">
        <is>
          <t>кг</t>
        </is>
      </c>
      <c r="X537" s="1104" t="n">
        <v>0</v>
      </c>
      <c r="Y537" s="1105">
        <f>IFERROR(IF(X537="",0,CEILING((X537/$H537),1)*$H537),"")</f>
        <v/>
      </c>
      <c r="Z537" s="41">
        <f>IFERROR(IF(Y537=0,"",ROUNDUP(Y537/H537,0)*0.00902),"")</f>
        <v/>
      </c>
      <c r="AA537" s="68" t="inlineStr"/>
      <c r="AB537" s="69" t="inlineStr"/>
      <c r="AC537" s="618" t="inlineStr">
        <is>
          <t>ЕАЭС N RU Д-RU.РА05.В.95257/23</t>
        </is>
      </c>
      <c r="AG537" s="78" t="n"/>
      <c r="AJ537" s="84" t="inlineStr"/>
      <c r="AK537" s="84" t="n">
        <v>0</v>
      </c>
      <c r="BB537" s="619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 ht="27" customHeight="1">
      <c r="A538" s="63" t="inlineStr">
        <is>
          <t>SU003295</t>
        </is>
      </c>
      <c r="B538" s="63" t="inlineStr">
        <is>
          <t>P004004</t>
        </is>
      </c>
      <c r="C538" s="36" t="n">
        <v>4301011765</v>
      </c>
      <c r="D538" s="745" t="n">
        <v>4640242181172</v>
      </c>
      <c r="E538" s="1062" t="n"/>
      <c r="F538" s="1100" t="n">
        <v>0.4</v>
      </c>
      <c r="G538" s="37" t="n">
        <v>10</v>
      </c>
      <c r="H538" s="1100" t="n">
        <v>4</v>
      </c>
      <c r="I538" s="1100" t="n">
        <v>4.21</v>
      </c>
      <c r="J538" s="37" t="n">
        <v>132</v>
      </c>
      <c r="K538" s="37" t="inlineStr">
        <is>
          <t>12</t>
        </is>
      </c>
      <c r="L538" s="37" t="inlineStr"/>
      <c r="M538" s="38" t="inlineStr">
        <is>
          <t>СК1</t>
        </is>
      </c>
      <c r="N538" s="38" t="n"/>
      <c r="O538" s="37" t="n">
        <v>55</v>
      </c>
      <c r="P538" s="1376" t="inlineStr">
        <is>
          <t>Вареные колбасы «Нежная со шпиком» Фикс.вес 0,4 п/а ТМ «Зареченские»</t>
        </is>
      </c>
      <c r="Q538" s="1102" t="n"/>
      <c r="R538" s="1102" t="n"/>
      <c r="S538" s="1102" t="n"/>
      <c r="T538" s="1103" t="n"/>
      <c r="U538" s="39" t="inlineStr"/>
      <c r="V538" s="39" t="inlineStr"/>
      <c r="W538" s="40" t="inlineStr">
        <is>
          <t>кг</t>
        </is>
      </c>
      <c r="X538" s="1104" t="n">
        <v>0</v>
      </c>
      <c r="Y538" s="1105">
        <f>IFERROR(IF(X538="",0,CEILING((X538/$H538),1)*$H538),"")</f>
        <v/>
      </c>
      <c r="Z538" s="41">
        <f>IFERROR(IF(Y538=0,"",ROUNDUP(Y538/H538,0)*0.00902),"")</f>
        <v/>
      </c>
      <c r="AA538" s="68" t="inlineStr"/>
      <c r="AB538" s="69" t="inlineStr"/>
      <c r="AC538" s="620" t="inlineStr">
        <is>
          <t>ЕАЭС N RU Д-RU.РА10.В.53840/23</t>
        </is>
      </c>
      <c r="AG538" s="78" t="n"/>
      <c r="AJ538" s="84" t="inlineStr"/>
      <c r="AK538" s="84" t="n">
        <v>0</v>
      </c>
      <c r="BB538" s="621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58" t="n"/>
      <c r="B539" s="1051" t="n"/>
      <c r="C539" s="1051" t="n"/>
      <c r="D539" s="1051" t="n"/>
      <c r="E539" s="1051" t="n"/>
      <c r="F539" s="1051" t="n"/>
      <c r="G539" s="1051" t="n"/>
      <c r="H539" s="1051" t="n"/>
      <c r="I539" s="1051" t="n"/>
      <c r="J539" s="1051" t="n"/>
      <c r="K539" s="1051" t="n"/>
      <c r="L539" s="1051" t="n"/>
      <c r="M539" s="1051" t="n"/>
      <c r="N539" s="1051" t="n"/>
      <c r="O539" s="1111" t="n"/>
      <c r="P539" s="1112" t="inlineStr">
        <is>
          <t>Итого</t>
        </is>
      </c>
      <c r="Q539" s="1069" t="n"/>
      <c r="R539" s="1069" t="n"/>
      <c r="S539" s="1069" t="n"/>
      <c r="T539" s="1069" t="n"/>
      <c r="U539" s="1069" t="n"/>
      <c r="V539" s="1070" t="n"/>
      <c r="W539" s="42" t="inlineStr">
        <is>
          <t>кор</t>
        </is>
      </c>
      <c r="X539" s="1113">
        <f>IFERROR(X533/H533,"0")+IFERROR(X534/H534,"0")+IFERROR(X535/H535,"0")+IFERROR(X536/H536,"0")+IFERROR(X537/H537,"0")+IFERROR(X538/H538,"0")</f>
        <v/>
      </c>
      <c r="Y539" s="1113">
        <f>IFERROR(Y533/H533,"0")+IFERROR(Y534/H534,"0")+IFERROR(Y535/H535,"0")+IFERROR(Y536/H536,"0")+IFERROR(Y537/H537,"0")+IFERROR(Y538/H538,"0")</f>
        <v/>
      </c>
      <c r="Z539" s="1113">
        <f>IFERROR(IF(Z533="",0,Z533),"0")+IFERROR(IF(Z534="",0,Z534),"0")+IFERROR(IF(Z535="",0,Z535),"0")+IFERROR(IF(Z536="",0,Z536),"0")+IFERROR(IF(Z537="",0,Z537),"0")+IFERROR(IF(Z538="",0,Z538),"0")</f>
        <v/>
      </c>
      <c r="AA539" s="1114" t="n"/>
      <c r="AB539" s="1114" t="n"/>
      <c r="AC539" s="1114" t="n"/>
    </row>
    <row r="540">
      <c r="A540" s="1051" t="n"/>
      <c r="B540" s="1051" t="n"/>
      <c r="C540" s="1051" t="n"/>
      <c r="D540" s="1051" t="n"/>
      <c r="E540" s="1051" t="n"/>
      <c r="F540" s="1051" t="n"/>
      <c r="G540" s="1051" t="n"/>
      <c r="H540" s="1051" t="n"/>
      <c r="I540" s="1051" t="n"/>
      <c r="J540" s="1051" t="n"/>
      <c r="K540" s="1051" t="n"/>
      <c r="L540" s="1051" t="n"/>
      <c r="M540" s="1051" t="n"/>
      <c r="N540" s="1051" t="n"/>
      <c r="O540" s="1111" t="n"/>
      <c r="P540" s="1112" t="inlineStr">
        <is>
          <t>Итого</t>
        </is>
      </c>
      <c r="Q540" s="1069" t="n"/>
      <c r="R540" s="1069" t="n"/>
      <c r="S540" s="1069" t="n"/>
      <c r="T540" s="1069" t="n"/>
      <c r="U540" s="1069" t="n"/>
      <c r="V540" s="1070" t="n"/>
      <c r="W540" s="42" t="inlineStr">
        <is>
          <t>кг</t>
        </is>
      </c>
      <c r="X540" s="1113">
        <f>IFERROR(SUM(X533:X538),"0")</f>
        <v/>
      </c>
      <c r="Y540" s="1113">
        <f>IFERROR(SUM(Y533:Y538),"0")</f>
        <v/>
      </c>
      <c r="Z540" s="42" t="n"/>
      <c r="AA540" s="1114" t="n"/>
      <c r="AB540" s="1114" t="n"/>
      <c r="AC540" s="1114" t="n"/>
    </row>
    <row r="541" ht="14.25" customHeight="1">
      <c r="A541" s="744" t="inlineStr">
        <is>
          <t>Ветчины</t>
        </is>
      </c>
      <c r="B541" s="1051" t="n"/>
      <c r="C541" s="1051" t="n"/>
      <c r="D541" s="1051" t="n"/>
      <c r="E541" s="1051" t="n"/>
      <c r="F541" s="1051" t="n"/>
      <c r="G541" s="1051" t="n"/>
      <c r="H541" s="1051" t="n"/>
      <c r="I541" s="1051" t="n"/>
      <c r="J541" s="1051" t="n"/>
      <c r="K541" s="1051" t="n"/>
      <c r="L541" s="1051" t="n"/>
      <c r="M541" s="1051" t="n"/>
      <c r="N541" s="1051" t="n"/>
      <c r="O541" s="1051" t="n"/>
      <c r="P541" s="1051" t="n"/>
      <c r="Q541" s="1051" t="n"/>
      <c r="R541" s="1051" t="n"/>
      <c r="S541" s="1051" t="n"/>
      <c r="T541" s="1051" t="n"/>
      <c r="U541" s="1051" t="n"/>
      <c r="V541" s="1051" t="n"/>
      <c r="W541" s="1051" t="n"/>
      <c r="X541" s="1051" t="n"/>
      <c r="Y541" s="1051" t="n"/>
      <c r="Z541" s="1051" t="n"/>
      <c r="AA541" s="744" t="n"/>
      <c r="AB541" s="744" t="n"/>
      <c r="AC541" s="744" t="n"/>
    </row>
    <row r="542" ht="27" customHeight="1">
      <c r="A542" s="63" t="inlineStr">
        <is>
          <t>SU002806</t>
        </is>
      </c>
      <c r="B542" s="63" t="inlineStr">
        <is>
          <t>P003591</t>
        </is>
      </c>
      <c r="C542" s="36" t="n">
        <v>4301020269</v>
      </c>
      <c r="D542" s="745" t="n">
        <v>4640242180519</v>
      </c>
      <c r="E542" s="1062" t="n"/>
      <c r="F542" s="1100" t="n">
        <v>1.35</v>
      </c>
      <c r="G542" s="37" t="n">
        <v>8</v>
      </c>
      <c r="H542" s="1100" t="n">
        <v>10.8</v>
      </c>
      <c r="I542" s="1100" t="n">
        <v>11.235</v>
      </c>
      <c r="J542" s="37" t="n">
        <v>64</v>
      </c>
      <c r="K542" s="37" t="inlineStr">
        <is>
          <t>8</t>
        </is>
      </c>
      <c r="L542" s="37" t="inlineStr"/>
      <c r="M542" s="38" t="inlineStr">
        <is>
          <t>СК3</t>
        </is>
      </c>
      <c r="N542" s="38" t="n"/>
      <c r="O542" s="37" t="n">
        <v>50</v>
      </c>
      <c r="P542" s="1377" t="inlineStr">
        <is>
          <t>Ветчины «Нежная» Весовой п/а ТМ «Зареченские»</t>
        </is>
      </c>
      <c r="Q542" s="1102" t="n"/>
      <c r="R542" s="1102" t="n"/>
      <c r="S542" s="1102" t="n"/>
      <c r="T542" s="1103" t="n"/>
      <c r="U542" s="39" t="inlineStr"/>
      <c r="V542" s="39" t="inlineStr"/>
      <c r="W542" s="40" t="inlineStr">
        <is>
          <t>кг</t>
        </is>
      </c>
      <c r="X542" s="1104" t="n">
        <v>0</v>
      </c>
      <c r="Y542" s="1105">
        <f>IFERROR(IF(X542="",0,CEILING((X542/$H542),1)*$H542),"")</f>
        <v/>
      </c>
      <c r="Z542" s="41">
        <f>IFERROR(IF(Y542=0,"",ROUNDUP(Y542/H542,0)*0.01898),"")</f>
        <v/>
      </c>
      <c r="AA542" s="68" t="inlineStr"/>
      <c r="AB542" s="69" t="inlineStr"/>
      <c r="AC542" s="622" t="inlineStr">
        <is>
          <t>ЕАЭС № RU Д-RU.РА01.В.93655/20</t>
        </is>
      </c>
      <c r="AG542" s="78" t="n"/>
      <c r="AJ542" s="84" t="inlineStr"/>
      <c r="AK542" s="84" t="n">
        <v>0</v>
      </c>
      <c r="BB542" s="623" t="inlineStr">
        <is>
          <t>КИ</t>
        </is>
      </c>
      <c r="BM542" s="78">
        <f>IFERROR(X542*I542/H542,"0")</f>
        <v/>
      </c>
      <c r="BN542" s="78">
        <f>IFERROR(Y542*I542/H542,"0")</f>
        <v/>
      </c>
      <c r="BO542" s="78">
        <f>IFERROR(1/J542*(X542/H542),"0")</f>
        <v/>
      </c>
      <c r="BP542" s="78">
        <f>IFERROR(1/J542*(Y542/H542),"0")</f>
        <v/>
      </c>
    </row>
    <row r="543" ht="27" customHeight="1">
      <c r="A543" s="63" t="inlineStr">
        <is>
          <t>SU002806</t>
        </is>
      </c>
      <c r="B543" s="63" t="inlineStr">
        <is>
          <t>P005012</t>
        </is>
      </c>
      <c r="C543" s="36" t="n">
        <v>4301020400</v>
      </c>
      <c r="D543" s="745" t="n">
        <v>4640242180519</v>
      </c>
      <c r="E543" s="1062" t="n"/>
      <c r="F543" s="1100" t="n">
        <v>1.5</v>
      </c>
      <c r="G543" s="37" t="n">
        <v>8</v>
      </c>
      <c r="H543" s="1100" t="n">
        <v>12</v>
      </c>
      <c r="I543" s="1100" t="n">
        <v>12.435</v>
      </c>
      <c r="J543" s="37" t="n">
        <v>64</v>
      </c>
      <c r="K543" s="37" t="inlineStr">
        <is>
          <t>8</t>
        </is>
      </c>
      <c r="L543" s="37" t="inlineStr"/>
      <c r="M543" s="38" t="inlineStr">
        <is>
          <t>СК1</t>
        </is>
      </c>
      <c r="N543" s="38" t="n"/>
      <c r="O543" s="37" t="n">
        <v>50</v>
      </c>
      <c r="P543" s="1378" t="inlineStr">
        <is>
          <t>Ветчины «Нежная» Весовой п/а ТМ «Зареченские продукты»</t>
        </is>
      </c>
      <c r="Q543" s="1102" t="n"/>
      <c r="R543" s="1102" t="n"/>
      <c r="S543" s="1102" t="n"/>
      <c r="T543" s="1103" t="n"/>
      <c r="U543" s="39" t="inlineStr"/>
      <c r="V543" s="39" t="inlineStr"/>
      <c r="W543" s="40" t="inlineStr">
        <is>
          <t>кг</t>
        </is>
      </c>
      <c r="X543" s="1104" t="n">
        <v>0</v>
      </c>
      <c r="Y543" s="1105">
        <f>IFERROR(IF(X543="",0,CEILING((X543/$H543),1)*$H543),"")</f>
        <v/>
      </c>
      <c r="Z543" s="41">
        <f>IFERROR(IF(Y543=0,"",ROUNDUP(Y543/H543,0)*0.01898),"")</f>
        <v/>
      </c>
      <c r="AA543" s="68" t="inlineStr"/>
      <c r="AB543" s="69" t="inlineStr"/>
      <c r="AC543" s="624" t="inlineStr">
        <is>
          <t>ЕАЭС N RU Д-RU.РА05.В.93655/23</t>
        </is>
      </c>
      <c r="AG543" s="78" t="n"/>
      <c r="AJ543" s="84" t="inlineStr"/>
      <c r="AK543" s="84" t="n">
        <v>0</v>
      </c>
      <c r="BB543" s="625" t="inlineStr">
        <is>
          <t>КИ</t>
        </is>
      </c>
      <c r="BM543" s="78">
        <f>IFERROR(X543*I543/H543,"0")</f>
        <v/>
      </c>
      <c r="BN543" s="78">
        <f>IFERROR(Y543*I543/H543,"0")</f>
        <v/>
      </c>
      <c r="BO543" s="78">
        <f>IFERROR(1/J543*(X543/H543),"0")</f>
        <v/>
      </c>
      <c r="BP543" s="78">
        <f>IFERROR(1/J543*(Y543/H543),"0")</f>
        <v/>
      </c>
    </row>
    <row r="544" ht="27" customHeight="1">
      <c r="A544" s="63" t="inlineStr">
        <is>
          <t>SU002811</t>
        </is>
      </c>
      <c r="B544" s="63" t="inlineStr">
        <is>
          <t>P003588</t>
        </is>
      </c>
      <c r="C544" s="36" t="n">
        <v>4301020260</v>
      </c>
      <c r="D544" s="745" t="n">
        <v>4640242180526</v>
      </c>
      <c r="E544" s="1062" t="n"/>
      <c r="F544" s="1100" t="n">
        <v>1.8</v>
      </c>
      <c r="G544" s="37" t="n">
        <v>6</v>
      </c>
      <c r="H544" s="1100" t="n">
        <v>10.8</v>
      </c>
      <c r="I544" s="1100" t="n">
        <v>11.235</v>
      </c>
      <c r="J544" s="37" t="n">
        <v>64</v>
      </c>
      <c r="K544" s="37" t="inlineStr">
        <is>
          <t>8</t>
        </is>
      </c>
      <c r="L544" s="37" t="inlineStr"/>
      <c r="M544" s="38" t="inlineStr">
        <is>
          <t>СК1</t>
        </is>
      </c>
      <c r="N544" s="38" t="n"/>
      <c r="O544" s="37" t="n">
        <v>50</v>
      </c>
      <c r="P544" s="1379" t="inlineStr">
        <is>
          <t>Ветчины «Нежная» Весовой п/а ТМ «Зареченские» большой батон</t>
        </is>
      </c>
      <c r="Q544" s="1102" t="n"/>
      <c r="R544" s="1102" t="n"/>
      <c r="S544" s="1102" t="n"/>
      <c r="T544" s="1103" t="n"/>
      <c r="U544" s="39" t="inlineStr"/>
      <c r="V544" s="39" t="inlineStr"/>
      <c r="W544" s="40" t="inlineStr">
        <is>
          <t>кг</t>
        </is>
      </c>
      <c r="X544" s="1104" t="n">
        <v>0</v>
      </c>
      <c r="Y544" s="1105">
        <f>IFERROR(IF(X544="",0,CEILING((X544/$H544),1)*$H544),"")</f>
        <v/>
      </c>
      <c r="Z544" s="41">
        <f>IFERROR(IF(Y544=0,"",ROUNDUP(Y544/H544,0)*0.01898),"")</f>
        <v/>
      </c>
      <c r="AA544" s="68" t="inlineStr"/>
      <c r="AB544" s="69" t="inlineStr"/>
      <c r="AC544" s="626" t="inlineStr">
        <is>
          <t>ЕАЭС № RU Д-RU.РА01.В.93655/20</t>
        </is>
      </c>
      <c r="AG544" s="78" t="n"/>
      <c r="AJ544" s="84" t="inlineStr"/>
      <c r="AK544" s="84" t="n">
        <v>0</v>
      </c>
      <c r="BB544" s="627" t="inlineStr">
        <is>
          <t>КИ</t>
        </is>
      </c>
      <c r="BM544" s="78">
        <f>IFERROR(X544*I544/H544,"0")</f>
        <v/>
      </c>
      <c r="BN544" s="78">
        <f>IFERROR(Y544*I544/H544,"0")</f>
        <v/>
      </c>
      <c r="BO544" s="78">
        <f>IFERROR(1/J544*(X544/H544),"0")</f>
        <v/>
      </c>
      <c r="BP544" s="78">
        <f>IFERROR(1/J544*(Y544/H544),"0")</f>
        <v/>
      </c>
    </row>
    <row r="545" ht="27" customHeight="1">
      <c r="A545" s="63" t="inlineStr">
        <is>
          <t>SU003398</t>
        </is>
      </c>
      <c r="B545" s="63" t="inlineStr">
        <is>
          <t>P004217</t>
        </is>
      </c>
      <c r="C545" s="36" t="n">
        <v>4301020309</v>
      </c>
      <c r="D545" s="745" t="n">
        <v>4640242180090</v>
      </c>
      <c r="E545" s="1062" t="n"/>
      <c r="F545" s="1100" t="n">
        <v>1.35</v>
      </c>
      <c r="G545" s="37" t="n">
        <v>8</v>
      </c>
      <c r="H545" s="1100" t="n">
        <v>10.8</v>
      </c>
      <c r="I545" s="1100" t="n">
        <v>11.235</v>
      </c>
      <c r="J545" s="37" t="n">
        <v>64</v>
      </c>
      <c r="K545" s="37" t="inlineStr">
        <is>
          <t>8</t>
        </is>
      </c>
      <c r="L545" s="37" t="inlineStr"/>
      <c r="M545" s="38" t="inlineStr">
        <is>
          <t>СК1</t>
        </is>
      </c>
      <c r="N545" s="38" t="n"/>
      <c r="O545" s="37" t="n">
        <v>50</v>
      </c>
      <c r="P545" s="1380" t="inlineStr">
        <is>
          <t>Ветчины «Рубленая» Весовой п/а ТМ «Зареченские»</t>
        </is>
      </c>
      <c r="Q545" s="1102" t="n"/>
      <c r="R545" s="1102" t="n"/>
      <c r="S545" s="1102" t="n"/>
      <c r="T545" s="1103" t="n"/>
      <c r="U545" s="39" t="inlineStr"/>
      <c r="V545" s="39" t="inlineStr"/>
      <c r="W545" s="40" t="inlineStr">
        <is>
          <t>кг</t>
        </is>
      </c>
      <c r="X545" s="1104" t="n">
        <v>0</v>
      </c>
      <c r="Y545" s="1105">
        <f>IFERROR(IF(X545="",0,CEILING((X545/$H545),1)*$H545),"")</f>
        <v/>
      </c>
      <c r="Z545" s="41">
        <f>IFERROR(IF(Y545=0,"",ROUNDUP(Y545/H545,0)*0.01898),"")</f>
        <v/>
      </c>
      <c r="AA545" s="68" t="inlineStr"/>
      <c r="AB545" s="69" t="inlineStr"/>
      <c r="AC545" s="628" t="inlineStr">
        <is>
          <t>ЕАЭС N RU Д-RU.РА01.В.73138/24</t>
        </is>
      </c>
      <c r="AG545" s="78" t="n"/>
      <c r="AJ545" s="84" t="inlineStr"/>
      <c r="AK545" s="84" t="n">
        <v>0</v>
      </c>
      <c r="BB545" s="629" t="inlineStr">
        <is>
          <t>КИ</t>
        </is>
      </c>
      <c r="BM545" s="78">
        <f>IFERROR(X545*I545/H545,"0")</f>
        <v/>
      </c>
      <c r="BN545" s="78">
        <f>IFERROR(Y545*I545/H545,"0")</f>
        <v/>
      </c>
      <c r="BO545" s="78">
        <f>IFERROR(1/J545*(X545/H545),"0")</f>
        <v/>
      </c>
      <c r="BP545" s="78">
        <f>IFERROR(1/J545*(Y545/H545),"0")</f>
        <v/>
      </c>
    </row>
    <row r="546" ht="27" customHeight="1">
      <c r="A546" s="63" t="inlineStr">
        <is>
          <t>SU003298</t>
        </is>
      </c>
      <c r="B546" s="63" t="inlineStr">
        <is>
          <t>P004003</t>
        </is>
      </c>
      <c r="C546" s="36" t="n">
        <v>4301020295</v>
      </c>
      <c r="D546" s="745" t="n">
        <v>4640242181363</v>
      </c>
      <c r="E546" s="1062" t="n"/>
      <c r="F546" s="1100" t="n">
        <v>0.4</v>
      </c>
      <c r="G546" s="37" t="n">
        <v>10</v>
      </c>
      <c r="H546" s="1100" t="n">
        <v>4</v>
      </c>
      <c r="I546" s="1100" t="n">
        <v>4.21</v>
      </c>
      <c r="J546" s="37" t="n">
        <v>132</v>
      </c>
      <c r="K546" s="37" t="inlineStr">
        <is>
          <t>12</t>
        </is>
      </c>
      <c r="L546" s="37" t="inlineStr"/>
      <c r="M546" s="38" t="inlineStr">
        <is>
          <t>СК1</t>
        </is>
      </c>
      <c r="N546" s="38" t="n"/>
      <c r="O546" s="37" t="n">
        <v>50</v>
      </c>
      <c r="P546" s="1381" t="inlineStr">
        <is>
          <t>Ветчины «Рубленая» Фикс.вес 0,4 п/а ТМ «Зареченские»</t>
        </is>
      </c>
      <c r="Q546" s="1102" t="n"/>
      <c r="R546" s="1102" t="n"/>
      <c r="S546" s="1102" t="n"/>
      <c r="T546" s="1103" t="n"/>
      <c r="U546" s="39" t="inlineStr"/>
      <c r="V546" s="39" t="inlineStr"/>
      <c r="W546" s="40" t="inlineStr">
        <is>
          <t>кг</t>
        </is>
      </c>
      <c r="X546" s="1104" t="n">
        <v>0</v>
      </c>
      <c r="Y546" s="1105">
        <f>IFERROR(IF(X546="",0,CEILING((X546/$H546),1)*$H546),"")</f>
        <v/>
      </c>
      <c r="Z546" s="41">
        <f>IFERROR(IF(Y546=0,"",ROUNDUP(Y546/H546,0)*0.00902),"")</f>
        <v/>
      </c>
      <c r="AA546" s="68" t="inlineStr"/>
      <c r="AB546" s="69" t="inlineStr"/>
      <c r="AC546" s="630" t="inlineStr">
        <is>
          <t>ЕАЭС N RU Д-RU.РА01.В.73138/24</t>
        </is>
      </c>
      <c r="AG546" s="78" t="n"/>
      <c r="AJ546" s="84" t="inlineStr"/>
      <c r="AK546" s="84" t="n">
        <v>0</v>
      </c>
      <c r="BB546" s="631" t="inlineStr">
        <is>
          <t>КИ</t>
        </is>
      </c>
      <c r="BM546" s="78">
        <f>IFERROR(X546*I546/H546,"0")</f>
        <v/>
      </c>
      <c r="BN546" s="78">
        <f>IFERROR(Y546*I546/H546,"0")</f>
        <v/>
      </c>
      <c r="BO546" s="78">
        <f>IFERROR(1/J546*(X546/H546),"0")</f>
        <v/>
      </c>
      <c r="BP546" s="78">
        <f>IFERROR(1/J546*(Y546/H546),"0")</f>
        <v/>
      </c>
    </row>
    <row r="547">
      <c r="A547" s="758" t="n"/>
      <c r="B547" s="1051" t="n"/>
      <c r="C547" s="1051" t="n"/>
      <c r="D547" s="1051" t="n"/>
      <c r="E547" s="1051" t="n"/>
      <c r="F547" s="1051" t="n"/>
      <c r="G547" s="1051" t="n"/>
      <c r="H547" s="1051" t="n"/>
      <c r="I547" s="1051" t="n"/>
      <c r="J547" s="1051" t="n"/>
      <c r="K547" s="1051" t="n"/>
      <c r="L547" s="1051" t="n"/>
      <c r="M547" s="1051" t="n"/>
      <c r="N547" s="1051" t="n"/>
      <c r="O547" s="1111" t="n"/>
      <c r="P547" s="1112" t="inlineStr">
        <is>
          <t>Итого</t>
        </is>
      </c>
      <c r="Q547" s="1069" t="n"/>
      <c r="R547" s="1069" t="n"/>
      <c r="S547" s="1069" t="n"/>
      <c r="T547" s="1069" t="n"/>
      <c r="U547" s="1069" t="n"/>
      <c r="V547" s="1070" t="n"/>
      <c r="W547" s="42" t="inlineStr">
        <is>
          <t>кор</t>
        </is>
      </c>
      <c r="X547" s="1113">
        <f>IFERROR(X542/H542,"0")+IFERROR(X543/H543,"0")+IFERROR(X544/H544,"0")+IFERROR(X545/H545,"0")+IFERROR(X546/H546,"0")</f>
        <v/>
      </c>
      <c r="Y547" s="1113">
        <f>IFERROR(Y542/H542,"0")+IFERROR(Y543/H543,"0")+IFERROR(Y544/H544,"0")+IFERROR(Y545/H545,"0")+IFERROR(Y546/H546,"0")</f>
        <v/>
      </c>
      <c r="Z547" s="1113">
        <f>IFERROR(IF(Z542="",0,Z542),"0")+IFERROR(IF(Z543="",0,Z543),"0")+IFERROR(IF(Z544="",0,Z544),"0")+IFERROR(IF(Z545="",0,Z545),"0")+IFERROR(IF(Z546="",0,Z546),"0")</f>
        <v/>
      </c>
      <c r="AA547" s="1114" t="n"/>
      <c r="AB547" s="1114" t="n"/>
      <c r="AC547" s="1114" t="n"/>
    </row>
    <row r="548">
      <c r="A548" s="1051" t="n"/>
      <c r="B548" s="1051" t="n"/>
      <c r="C548" s="1051" t="n"/>
      <c r="D548" s="1051" t="n"/>
      <c r="E548" s="1051" t="n"/>
      <c r="F548" s="1051" t="n"/>
      <c r="G548" s="1051" t="n"/>
      <c r="H548" s="1051" t="n"/>
      <c r="I548" s="1051" t="n"/>
      <c r="J548" s="1051" t="n"/>
      <c r="K548" s="1051" t="n"/>
      <c r="L548" s="1051" t="n"/>
      <c r="M548" s="1051" t="n"/>
      <c r="N548" s="1051" t="n"/>
      <c r="O548" s="1111" t="n"/>
      <c r="P548" s="1112" t="inlineStr">
        <is>
          <t>Итого</t>
        </is>
      </c>
      <c r="Q548" s="1069" t="n"/>
      <c r="R548" s="1069" t="n"/>
      <c r="S548" s="1069" t="n"/>
      <c r="T548" s="1069" t="n"/>
      <c r="U548" s="1069" t="n"/>
      <c r="V548" s="1070" t="n"/>
      <c r="W548" s="42" t="inlineStr">
        <is>
          <t>кг</t>
        </is>
      </c>
      <c r="X548" s="1113">
        <f>IFERROR(SUM(X542:X546),"0")</f>
        <v/>
      </c>
      <c r="Y548" s="1113">
        <f>IFERROR(SUM(Y542:Y546),"0")</f>
        <v/>
      </c>
      <c r="Z548" s="42" t="n"/>
      <c r="AA548" s="1114" t="n"/>
      <c r="AB548" s="1114" t="n"/>
      <c r="AC548" s="1114" t="n"/>
    </row>
    <row r="549" ht="14.25" customHeight="1">
      <c r="A549" s="744" t="inlineStr">
        <is>
          <t>Копченые колбасы</t>
        </is>
      </c>
      <c r="B549" s="1051" t="n"/>
      <c r="C549" s="1051" t="n"/>
      <c r="D549" s="1051" t="n"/>
      <c r="E549" s="1051" t="n"/>
      <c r="F549" s="1051" t="n"/>
      <c r="G549" s="1051" t="n"/>
      <c r="H549" s="1051" t="n"/>
      <c r="I549" s="1051" t="n"/>
      <c r="J549" s="1051" t="n"/>
      <c r="K549" s="1051" t="n"/>
      <c r="L549" s="1051" t="n"/>
      <c r="M549" s="1051" t="n"/>
      <c r="N549" s="1051" t="n"/>
      <c r="O549" s="1051" t="n"/>
      <c r="P549" s="1051" t="n"/>
      <c r="Q549" s="1051" t="n"/>
      <c r="R549" s="1051" t="n"/>
      <c r="S549" s="1051" t="n"/>
      <c r="T549" s="1051" t="n"/>
      <c r="U549" s="1051" t="n"/>
      <c r="V549" s="1051" t="n"/>
      <c r="W549" s="1051" t="n"/>
      <c r="X549" s="1051" t="n"/>
      <c r="Y549" s="1051" t="n"/>
      <c r="Z549" s="1051" t="n"/>
      <c r="AA549" s="744" t="n"/>
      <c r="AB549" s="744" t="n"/>
      <c r="AC549" s="744" t="n"/>
    </row>
    <row r="550" ht="27" customHeight="1">
      <c r="A550" s="63" t="inlineStr">
        <is>
          <t>SU002805</t>
        </is>
      </c>
      <c r="B550" s="63" t="inlineStr">
        <is>
          <t>P003584</t>
        </is>
      </c>
      <c r="C550" s="36" t="n">
        <v>4301031280</v>
      </c>
      <c r="D550" s="745" t="n">
        <v>4640242180816</v>
      </c>
      <c r="E550" s="1062" t="n"/>
      <c r="F550" s="1100" t="n">
        <v>0.7</v>
      </c>
      <c r="G550" s="37" t="n">
        <v>6</v>
      </c>
      <c r="H550" s="1100" t="n">
        <v>4.2</v>
      </c>
      <c r="I550" s="1100" t="n">
        <v>4.47</v>
      </c>
      <c r="J550" s="37" t="n">
        <v>132</v>
      </c>
      <c r="K550" s="37" t="inlineStr">
        <is>
          <t>12</t>
        </is>
      </c>
      <c r="L550" s="37" t="inlineStr"/>
      <c r="M550" s="38" t="inlineStr">
        <is>
          <t>СК2</t>
        </is>
      </c>
      <c r="N550" s="38" t="n"/>
      <c r="O550" s="37" t="n">
        <v>40</v>
      </c>
      <c r="P550" s="1382" t="inlineStr">
        <is>
          <t>Копченые колбасы «Сервелат Пражский» Весовой фиброуз ТМ «Зареченские»</t>
        </is>
      </c>
      <c r="Q550" s="1102" t="n"/>
      <c r="R550" s="1102" t="n"/>
      <c r="S550" s="1102" t="n"/>
      <c r="T550" s="1103" t="n"/>
      <c r="U550" s="39" t="inlineStr"/>
      <c r="V550" s="39" t="inlineStr"/>
      <c r="W550" s="40" t="inlineStr">
        <is>
          <t>кг</t>
        </is>
      </c>
      <c r="X550" s="1104" t="n">
        <v>0</v>
      </c>
      <c r="Y550" s="1105">
        <f>IFERROR(IF(X550="",0,CEILING((X550/$H550),1)*$H550),"")</f>
        <v/>
      </c>
      <c r="Z550" s="41">
        <f>IFERROR(IF(Y550=0,"",ROUNDUP(Y550/H550,0)*0.00902),"")</f>
        <v/>
      </c>
      <c r="AA550" s="68" t="inlineStr"/>
      <c r="AB550" s="69" t="inlineStr"/>
      <c r="AC550" s="632" t="inlineStr">
        <is>
          <t>ЕАЭС N RU Д-RU.РА05.В.95896/23</t>
        </is>
      </c>
      <c r="AG550" s="78" t="n"/>
      <c r="AJ550" s="84" t="inlineStr"/>
      <c r="AK550" s="84" t="n">
        <v>0</v>
      </c>
      <c r="BB550" s="633" t="inlineStr">
        <is>
          <t>КИ</t>
        </is>
      </c>
      <c r="BM550" s="78">
        <f>IFERROR(X550*I550/H550,"0")</f>
        <v/>
      </c>
      <c r="BN550" s="78">
        <f>IFERROR(Y550*I550/H550,"0")</f>
        <v/>
      </c>
      <c r="BO550" s="78">
        <f>IFERROR(1/J550*(X550/H550),"0")</f>
        <v/>
      </c>
      <c r="BP550" s="78">
        <f>IFERROR(1/J550*(Y550/H550),"0")</f>
        <v/>
      </c>
    </row>
    <row r="551" ht="27" customHeight="1">
      <c r="A551" s="63" t="inlineStr">
        <is>
          <t>SU002809</t>
        </is>
      </c>
      <c r="B551" s="63" t="inlineStr">
        <is>
          <t>P003586</t>
        </is>
      </c>
      <c r="C551" s="36" t="n">
        <v>4301031244</v>
      </c>
      <c r="D551" s="745" t="n">
        <v>4640242180595</v>
      </c>
      <c r="E551" s="1062" t="n"/>
      <c r="F551" s="1100" t="n">
        <v>0.7</v>
      </c>
      <c r="G551" s="37" t="n">
        <v>6</v>
      </c>
      <c r="H551" s="1100" t="n">
        <v>4.2</v>
      </c>
      <c r="I551" s="1100" t="n">
        <v>4.47</v>
      </c>
      <c r="J551" s="37" t="n">
        <v>132</v>
      </c>
      <c r="K551" s="37" t="inlineStr">
        <is>
          <t>12</t>
        </is>
      </c>
      <c r="L551" s="37" t="inlineStr"/>
      <c r="M551" s="38" t="inlineStr">
        <is>
          <t>СК2</t>
        </is>
      </c>
      <c r="N551" s="38" t="n"/>
      <c r="O551" s="37" t="n">
        <v>40</v>
      </c>
      <c r="P551" s="1383" t="inlineStr">
        <is>
          <t>В/к колбасы «Сервелат Рижский» НТУ Весовые Фиброуз в/у ТМ «Зареченские»</t>
        </is>
      </c>
      <c r="Q551" s="1102" t="n"/>
      <c r="R551" s="1102" t="n"/>
      <c r="S551" s="1102" t="n"/>
      <c r="T551" s="1103" t="n"/>
      <c r="U551" s="39" t="inlineStr"/>
      <c r="V551" s="39" t="inlineStr"/>
      <c r="W551" s="40" t="inlineStr">
        <is>
          <t>кг</t>
        </is>
      </c>
      <c r="X551" s="1104" t="n">
        <v>0</v>
      </c>
      <c r="Y551" s="1105">
        <f>IFERROR(IF(X551="",0,CEILING((X551/$H551),1)*$H551),"")</f>
        <v/>
      </c>
      <c r="Z551" s="41">
        <f>IFERROR(IF(Y551=0,"",ROUNDUP(Y551/H551,0)*0.00902),"")</f>
        <v/>
      </c>
      <c r="AA551" s="68" t="inlineStr"/>
      <c r="AB551" s="69" t="inlineStr"/>
      <c r="AC551" s="634" t="inlineStr">
        <is>
          <t>ЕАЭС N RU Д-RU.РА05.В.94332/23</t>
        </is>
      </c>
      <c r="AG551" s="78" t="n"/>
      <c r="AJ551" s="84" t="inlineStr"/>
      <c r="AK551" s="84" t="n">
        <v>0</v>
      </c>
      <c r="BB551" s="635" t="inlineStr">
        <is>
          <t>КИ</t>
        </is>
      </c>
      <c r="BM551" s="78">
        <f>IFERROR(X551*I551/H551,"0")</f>
        <v/>
      </c>
      <c r="BN551" s="78">
        <f>IFERROR(Y551*I551/H551,"0")</f>
        <v/>
      </c>
      <c r="BO551" s="78">
        <f>IFERROR(1/J551*(X551/H551),"0")</f>
        <v/>
      </c>
      <c r="BP551" s="78">
        <f>IFERROR(1/J551*(Y551/H551),"0")</f>
        <v/>
      </c>
    </row>
    <row r="552" ht="27" customHeight="1">
      <c r="A552" s="63" t="inlineStr">
        <is>
          <t>SU003303</t>
        </is>
      </c>
      <c r="B552" s="63" t="inlineStr">
        <is>
          <t>P004010</t>
        </is>
      </c>
      <c r="C552" s="36" t="n">
        <v>4301031289</v>
      </c>
      <c r="D552" s="745" t="n">
        <v>4640242181615</v>
      </c>
      <c r="E552" s="1062" t="n"/>
      <c r="F552" s="1100" t="n">
        <v>0.7</v>
      </c>
      <c r="G552" s="37" t="n">
        <v>6</v>
      </c>
      <c r="H552" s="1100" t="n">
        <v>4.2</v>
      </c>
      <c r="I552" s="1100" t="n">
        <v>4.41</v>
      </c>
      <c r="J552" s="37" t="n">
        <v>132</v>
      </c>
      <c r="K552" s="37" t="inlineStr">
        <is>
          <t>12</t>
        </is>
      </c>
      <c r="L552" s="37" t="inlineStr"/>
      <c r="M552" s="38" t="inlineStr">
        <is>
          <t>СК2</t>
        </is>
      </c>
      <c r="N552" s="38" t="n"/>
      <c r="O552" s="37" t="n">
        <v>45</v>
      </c>
      <c r="P552" s="1384" t="inlineStr">
        <is>
          <t>В/к колбасы «Салями Мясная » Весовой Айцел ТМ «Зареченские»</t>
        </is>
      </c>
      <c r="Q552" s="1102" t="n"/>
      <c r="R552" s="1102" t="n"/>
      <c r="S552" s="1102" t="n"/>
      <c r="T552" s="1103" t="n"/>
      <c r="U552" s="39" t="inlineStr"/>
      <c r="V552" s="39" t="inlineStr"/>
      <c r="W552" s="40" t="inlineStr">
        <is>
          <t>кг</t>
        </is>
      </c>
      <c r="X552" s="1104" t="n">
        <v>0</v>
      </c>
      <c r="Y552" s="1105">
        <f>IFERROR(IF(X552="",0,CEILING((X552/$H552),1)*$H552),"")</f>
        <v/>
      </c>
      <c r="Z552" s="41">
        <f>IFERROR(IF(Y552=0,"",ROUNDUP(Y552/H552,0)*0.00902),"")</f>
        <v/>
      </c>
      <c r="AA552" s="68" t="inlineStr"/>
      <c r="AB552" s="69" t="inlineStr"/>
      <c r="AC552" s="636" t="inlineStr">
        <is>
          <t>ЕАЭС N RU Д-RU.РА04.В.24528/24</t>
        </is>
      </c>
      <c r="AG552" s="78" t="n"/>
      <c r="AJ552" s="84" t="inlineStr"/>
      <c r="AK552" s="84" t="n">
        <v>0</v>
      </c>
      <c r="BB552" s="637" t="inlineStr">
        <is>
          <t>КИ</t>
        </is>
      </c>
      <c r="BM552" s="78">
        <f>IFERROR(X552*I552/H552,"0")</f>
        <v/>
      </c>
      <c r="BN552" s="78">
        <f>IFERROR(Y552*I552/H552,"0")</f>
        <v/>
      </c>
      <c r="BO552" s="78">
        <f>IFERROR(1/J552*(X552/H552),"0")</f>
        <v/>
      </c>
      <c r="BP552" s="78">
        <f>IFERROR(1/J552*(Y552/H552),"0")</f>
        <v/>
      </c>
    </row>
    <row r="553" ht="27" customHeight="1">
      <c r="A553" s="63" t="inlineStr">
        <is>
          <t>SU003299</t>
        </is>
      </c>
      <c r="B553" s="63" t="inlineStr">
        <is>
          <t>P004005</t>
        </is>
      </c>
      <c r="C553" s="36" t="n">
        <v>4301031285</v>
      </c>
      <c r="D553" s="745" t="n">
        <v>4640242181639</v>
      </c>
      <c r="E553" s="1062" t="n"/>
      <c r="F553" s="1100" t="n">
        <v>0.7</v>
      </c>
      <c r="G553" s="37" t="n">
        <v>6</v>
      </c>
      <c r="H553" s="1100" t="n">
        <v>4.2</v>
      </c>
      <c r="I553" s="1100" t="n">
        <v>4.41</v>
      </c>
      <c r="J553" s="37" t="n">
        <v>132</v>
      </c>
      <c r="K553" s="37" t="inlineStr">
        <is>
          <t>12</t>
        </is>
      </c>
      <c r="L553" s="37" t="inlineStr"/>
      <c r="M553" s="38" t="inlineStr">
        <is>
          <t>СК2</t>
        </is>
      </c>
      <c r="N553" s="38" t="n"/>
      <c r="O553" s="37" t="n">
        <v>45</v>
      </c>
      <c r="P553" s="1385" t="inlineStr">
        <is>
          <t>В/к колбасы «Сервелат Мясной с ароматными пряностями» Весовой Айцел ТМ «Зареченские»</t>
        </is>
      </c>
      <c r="Q553" s="1102" t="n"/>
      <c r="R553" s="1102" t="n"/>
      <c r="S553" s="1102" t="n"/>
      <c r="T553" s="1103" t="n"/>
      <c r="U553" s="39" t="inlineStr"/>
      <c r="V553" s="39" t="inlineStr"/>
      <c r="W553" s="40" t="inlineStr">
        <is>
          <t>кг</t>
        </is>
      </c>
      <c r="X553" s="1104" t="n">
        <v>0</v>
      </c>
      <c r="Y553" s="1105">
        <f>IFERROR(IF(X553="",0,CEILING((X553/$H553),1)*$H553),"")</f>
        <v/>
      </c>
      <c r="Z553" s="41">
        <f>IFERROR(IF(Y553=0,"",ROUNDUP(Y553/H553,0)*0.00902),"")</f>
        <v/>
      </c>
      <c r="AA553" s="68" t="inlineStr"/>
      <c r="AB553" s="69" t="inlineStr"/>
      <c r="AC553" s="638" t="inlineStr">
        <is>
          <t>ЕАЭС N RU Д-RU.РА04.В.24720/24</t>
        </is>
      </c>
      <c r="AG553" s="78" t="n"/>
      <c r="AJ553" s="84" t="inlineStr"/>
      <c r="AK553" s="84" t="n">
        <v>0</v>
      </c>
      <c r="BB553" s="639" t="inlineStr">
        <is>
          <t>КИ</t>
        </is>
      </c>
      <c r="BM553" s="78">
        <f>IFERROR(X553*I553/H553,"0")</f>
        <v/>
      </c>
      <c r="BN553" s="78">
        <f>IFERROR(Y553*I553/H553,"0")</f>
        <v/>
      </c>
      <c r="BO553" s="78">
        <f>IFERROR(1/J553*(X553/H553),"0")</f>
        <v/>
      </c>
      <c r="BP553" s="78">
        <f>IFERROR(1/J553*(Y553/H553),"0")</f>
        <v/>
      </c>
    </row>
    <row r="554" ht="27" customHeight="1">
      <c r="A554" s="63" t="inlineStr">
        <is>
          <t>SU003301</t>
        </is>
      </c>
      <c r="B554" s="63" t="inlineStr">
        <is>
          <t>P004007</t>
        </is>
      </c>
      <c r="C554" s="36" t="n">
        <v>4301031287</v>
      </c>
      <c r="D554" s="745" t="n">
        <v>4640242181622</v>
      </c>
      <c r="E554" s="1062" t="n"/>
      <c r="F554" s="1100" t="n">
        <v>0.7</v>
      </c>
      <c r="G554" s="37" t="n">
        <v>6</v>
      </c>
      <c r="H554" s="1100" t="n">
        <v>4.2</v>
      </c>
      <c r="I554" s="1100" t="n">
        <v>4.41</v>
      </c>
      <c r="J554" s="37" t="n">
        <v>132</v>
      </c>
      <c r="K554" s="37" t="inlineStr">
        <is>
          <t>12</t>
        </is>
      </c>
      <c r="L554" s="37" t="inlineStr"/>
      <c r="M554" s="38" t="inlineStr">
        <is>
          <t>СК2</t>
        </is>
      </c>
      <c r="N554" s="38" t="n"/>
      <c r="O554" s="37" t="n">
        <v>45</v>
      </c>
      <c r="P554" s="1386" t="inlineStr">
        <is>
          <t>В/к колбасы «Сервелат Мясной с душистым чесноком» Весовой Айцел ТМ «Зареченские»</t>
        </is>
      </c>
      <c r="Q554" s="1102" t="n"/>
      <c r="R554" s="1102" t="n"/>
      <c r="S554" s="1102" t="n"/>
      <c r="T554" s="1103" t="n"/>
      <c r="U554" s="39" t="inlineStr"/>
      <c r="V554" s="39" t="inlineStr"/>
      <c r="W554" s="40" t="inlineStr">
        <is>
          <t>кг</t>
        </is>
      </c>
      <c r="X554" s="1104" t="n">
        <v>0</v>
      </c>
      <c r="Y554" s="1105">
        <f>IFERROR(IF(X554="",0,CEILING((X554/$H554),1)*$H554),"")</f>
        <v/>
      </c>
      <c r="Z554" s="41">
        <f>IFERROR(IF(Y554=0,"",ROUNDUP(Y554/H554,0)*0.00902),"")</f>
        <v/>
      </c>
      <c r="AA554" s="68" t="inlineStr"/>
      <c r="AB554" s="69" t="inlineStr"/>
      <c r="AC554" s="640" t="inlineStr">
        <is>
          <t>ЕАЭС N RU Д-RU.РА04.В.24352/24</t>
        </is>
      </c>
      <c r="AG554" s="78" t="n"/>
      <c r="AJ554" s="84" t="inlineStr"/>
      <c r="AK554" s="84" t="n">
        <v>0</v>
      </c>
      <c r="BB554" s="641" t="inlineStr">
        <is>
          <t>КИ</t>
        </is>
      </c>
      <c r="BM554" s="78">
        <f>IFERROR(X554*I554/H554,"0")</f>
        <v/>
      </c>
      <c r="BN554" s="78">
        <f>IFERROR(Y554*I554/H554,"0")</f>
        <v/>
      </c>
      <c r="BO554" s="78">
        <f>IFERROR(1/J554*(X554/H554),"0")</f>
        <v/>
      </c>
      <c r="BP554" s="78">
        <f>IFERROR(1/J554*(Y554/H554),"0")</f>
        <v/>
      </c>
    </row>
    <row r="555" ht="27" customHeight="1">
      <c r="A555" s="63" t="inlineStr">
        <is>
          <t>SU002855</t>
        </is>
      </c>
      <c r="B555" s="63" t="inlineStr">
        <is>
          <t>P003261</t>
        </is>
      </c>
      <c r="C555" s="36" t="n">
        <v>4301031203</v>
      </c>
      <c r="D555" s="745" t="n">
        <v>4640242180908</v>
      </c>
      <c r="E555" s="1062" t="n"/>
      <c r="F555" s="1100" t="n">
        <v>0.28</v>
      </c>
      <c r="G555" s="37" t="n">
        <v>6</v>
      </c>
      <c r="H555" s="1100" t="n">
        <v>1.68</v>
      </c>
      <c r="I555" s="1100" t="n">
        <v>1.81</v>
      </c>
      <c r="J555" s="37" t="n">
        <v>234</v>
      </c>
      <c r="K555" s="37" t="inlineStr">
        <is>
          <t>18</t>
        </is>
      </c>
      <c r="L555" s="37" t="inlineStr"/>
      <c r="M555" s="38" t="inlineStr">
        <is>
          <t>СК2</t>
        </is>
      </c>
      <c r="N555" s="38" t="n"/>
      <c r="O555" s="37" t="n">
        <v>40</v>
      </c>
      <c r="P555" s="1387" t="inlineStr">
        <is>
          <t>Копченые колбасы «Сервелат Пражский» срез Фикс.вес 0,28 фиброуз в/у ТМ «Зареченские»</t>
        </is>
      </c>
      <c r="Q555" s="1102" t="n"/>
      <c r="R555" s="1102" t="n"/>
      <c r="S555" s="1102" t="n"/>
      <c r="T555" s="1103" t="n"/>
      <c r="U555" s="39" t="inlineStr"/>
      <c r="V555" s="39" t="inlineStr"/>
      <c r="W555" s="40" t="inlineStr">
        <is>
          <t>кг</t>
        </is>
      </c>
      <c r="X555" s="1104" t="n">
        <v>0</v>
      </c>
      <c r="Y555" s="1105">
        <f>IFERROR(IF(X555="",0,CEILING((X555/$H555),1)*$H555),"")</f>
        <v/>
      </c>
      <c r="Z555" s="41">
        <f>IFERROR(IF(Y555=0,"",ROUNDUP(Y555/H555,0)*0.00502),"")</f>
        <v/>
      </c>
      <c r="AA555" s="68" t="inlineStr"/>
      <c r="AB555" s="69" t="inlineStr"/>
      <c r="AC555" s="642" t="inlineStr">
        <is>
          <t>ЕАЭС N RU Д-RU.РА05.В.95896/23</t>
        </is>
      </c>
      <c r="AG555" s="78" t="n"/>
      <c r="AJ555" s="84" t="inlineStr"/>
      <c r="AK555" s="84" t="n">
        <v>0</v>
      </c>
      <c r="BB555" s="643" t="inlineStr">
        <is>
          <t>КИ</t>
        </is>
      </c>
      <c r="BM555" s="78">
        <f>IFERROR(X555*I555/H555,"0")</f>
        <v/>
      </c>
      <c r="BN555" s="78">
        <f>IFERROR(Y555*I555/H555,"0")</f>
        <v/>
      </c>
      <c r="BO555" s="78">
        <f>IFERROR(1/J555*(X555/H555),"0")</f>
        <v/>
      </c>
      <c r="BP555" s="78">
        <f>IFERROR(1/J555*(Y555/H555),"0")</f>
        <v/>
      </c>
    </row>
    <row r="556" ht="27" customHeight="1">
      <c r="A556" s="63" t="inlineStr">
        <is>
          <t>SU002856</t>
        </is>
      </c>
      <c r="B556" s="63" t="inlineStr">
        <is>
          <t>P003257</t>
        </is>
      </c>
      <c r="C556" s="36" t="n">
        <v>4301031200</v>
      </c>
      <c r="D556" s="745" t="n">
        <v>4640242180489</v>
      </c>
      <c r="E556" s="1062" t="n"/>
      <c r="F556" s="1100" t="n">
        <v>0.28</v>
      </c>
      <c r="G556" s="37" t="n">
        <v>6</v>
      </c>
      <c r="H556" s="1100" t="n">
        <v>1.68</v>
      </c>
      <c r="I556" s="1100" t="n">
        <v>1.84</v>
      </c>
      <c r="J556" s="37" t="n">
        <v>234</v>
      </c>
      <c r="K556" s="37" t="inlineStr">
        <is>
          <t>18</t>
        </is>
      </c>
      <c r="L556" s="37" t="inlineStr"/>
      <c r="M556" s="38" t="inlineStr">
        <is>
          <t>СК2</t>
        </is>
      </c>
      <c r="N556" s="38" t="n"/>
      <c r="O556" s="37" t="n">
        <v>40</v>
      </c>
      <c r="P556" s="1388" t="inlineStr">
        <is>
          <t>В/к колбасы «Сервелат Рижский» срез Фикс.вес 0,28 Фиброуз в/у ТМ «Зареченские»</t>
        </is>
      </c>
      <c r="Q556" s="1102" t="n"/>
      <c r="R556" s="1102" t="n"/>
      <c r="S556" s="1102" t="n"/>
      <c r="T556" s="1103" t="n"/>
      <c r="U556" s="39" t="inlineStr"/>
      <c r="V556" s="39" t="inlineStr"/>
      <c r="W556" s="40" t="inlineStr">
        <is>
          <t>кг</t>
        </is>
      </c>
      <c r="X556" s="1104" t="n">
        <v>0</v>
      </c>
      <c r="Y556" s="1105">
        <f>IFERROR(IF(X556="",0,CEILING((X556/$H556),1)*$H556),"")</f>
        <v/>
      </c>
      <c r="Z556" s="41">
        <f>IFERROR(IF(Y556=0,"",ROUNDUP(Y556/H556,0)*0.00502),"")</f>
        <v/>
      </c>
      <c r="AA556" s="68" t="inlineStr"/>
      <c r="AB556" s="69" t="inlineStr"/>
      <c r="AC556" s="644" t="inlineStr">
        <is>
          <t>ЕАЭС N RU Д-RU.РА05.В.94332/23</t>
        </is>
      </c>
      <c r="AG556" s="78" t="n"/>
      <c r="AJ556" s="84" t="inlineStr"/>
      <c r="AK556" s="84" t="n">
        <v>0</v>
      </c>
      <c r="BB556" s="645" t="inlineStr">
        <is>
          <t>КИ</t>
        </is>
      </c>
      <c r="BM556" s="78">
        <f>IFERROR(X556*I556/H556,"0")</f>
        <v/>
      </c>
      <c r="BN556" s="78">
        <f>IFERROR(Y556*I556/H556,"0")</f>
        <v/>
      </c>
      <c r="BO556" s="78">
        <f>IFERROR(1/J556*(X556/H556),"0")</f>
        <v/>
      </c>
      <c r="BP556" s="78">
        <f>IFERROR(1/J556*(Y556/H556),"0")</f>
        <v/>
      </c>
    </row>
    <row r="557">
      <c r="A557" s="758" t="n"/>
      <c r="B557" s="1051" t="n"/>
      <c r="C557" s="1051" t="n"/>
      <c r="D557" s="1051" t="n"/>
      <c r="E557" s="1051" t="n"/>
      <c r="F557" s="1051" t="n"/>
      <c r="G557" s="1051" t="n"/>
      <c r="H557" s="1051" t="n"/>
      <c r="I557" s="1051" t="n"/>
      <c r="J557" s="1051" t="n"/>
      <c r="K557" s="1051" t="n"/>
      <c r="L557" s="1051" t="n"/>
      <c r="M557" s="1051" t="n"/>
      <c r="N557" s="1051" t="n"/>
      <c r="O557" s="1111" t="n"/>
      <c r="P557" s="1112" t="inlineStr">
        <is>
          <t>Итого</t>
        </is>
      </c>
      <c r="Q557" s="1069" t="n"/>
      <c r="R557" s="1069" t="n"/>
      <c r="S557" s="1069" t="n"/>
      <c r="T557" s="1069" t="n"/>
      <c r="U557" s="1069" t="n"/>
      <c r="V557" s="1070" t="n"/>
      <c r="W557" s="42" t="inlineStr">
        <is>
          <t>кор</t>
        </is>
      </c>
      <c r="X557" s="1113">
        <f>IFERROR(X550/H550,"0")+IFERROR(X551/H551,"0")+IFERROR(X552/H552,"0")+IFERROR(X553/H553,"0")+IFERROR(X554/H554,"0")+IFERROR(X555/H555,"0")+IFERROR(X556/H556,"0")</f>
        <v/>
      </c>
      <c r="Y557" s="1113">
        <f>IFERROR(Y550/H550,"0")+IFERROR(Y551/H551,"0")+IFERROR(Y552/H552,"0")+IFERROR(Y553/H553,"0")+IFERROR(Y554/H554,"0")+IFERROR(Y555/H555,"0")+IFERROR(Y556/H556,"0")</f>
        <v/>
      </c>
      <c r="Z557" s="1113">
        <f>IFERROR(IF(Z550="",0,Z550),"0")+IFERROR(IF(Z551="",0,Z551),"0")+IFERROR(IF(Z552="",0,Z552),"0")+IFERROR(IF(Z553="",0,Z553),"0")+IFERROR(IF(Z554="",0,Z554),"0")+IFERROR(IF(Z555="",0,Z555),"0")+IFERROR(IF(Z556="",0,Z556),"0")</f>
        <v/>
      </c>
      <c r="AA557" s="1114" t="n"/>
      <c r="AB557" s="1114" t="n"/>
      <c r="AC557" s="1114" t="n"/>
    </row>
    <row r="558">
      <c r="A558" s="1051" t="n"/>
      <c r="B558" s="1051" t="n"/>
      <c r="C558" s="1051" t="n"/>
      <c r="D558" s="1051" t="n"/>
      <c r="E558" s="1051" t="n"/>
      <c r="F558" s="1051" t="n"/>
      <c r="G558" s="1051" t="n"/>
      <c r="H558" s="1051" t="n"/>
      <c r="I558" s="1051" t="n"/>
      <c r="J558" s="1051" t="n"/>
      <c r="K558" s="1051" t="n"/>
      <c r="L558" s="1051" t="n"/>
      <c r="M558" s="1051" t="n"/>
      <c r="N558" s="1051" t="n"/>
      <c r="O558" s="1111" t="n"/>
      <c r="P558" s="1112" t="inlineStr">
        <is>
          <t>Итого</t>
        </is>
      </c>
      <c r="Q558" s="1069" t="n"/>
      <c r="R558" s="1069" t="n"/>
      <c r="S558" s="1069" t="n"/>
      <c r="T558" s="1069" t="n"/>
      <c r="U558" s="1069" t="n"/>
      <c r="V558" s="1070" t="n"/>
      <c r="W558" s="42" t="inlineStr">
        <is>
          <t>кг</t>
        </is>
      </c>
      <c r="X558" s="1113">
        <f>IFERROR(SUM(X550:X556),"0")</f>
        <v/>
      </c>
      <c r="Y558" s="1113">
        <f>IFERROR(SUM(Y550:Y556),"0")</f>
        <v/>
      </c>
      <c r="Z558" s="42" t="n"/>
      <c r="AA558" s="1114" t="n"/>
      <c r="AB558" s="1114" t="n"/>
      <c r="AC558" s="1114" t="n"/>
    </row>
    <row r="559" ht="14.25" customHeight="1">
      <c r="A559" s="744" t="inlineStr">
        <is>
          <t>Сосиски</t>
        </is>
      </c>
      <c r="B559" s="1051" t="n"/>
      <c r="C559" s="1051" t="n"/>
      <c r="D559" s="1051" t="n"/>
      <c r="E559" s="1051" t="n"/>
      <c r="F559" s="1051" t="n"/>
      <c r="G559" s="1051" t="n"/>
      <c r="H559" s="1051" t="n"/>
      <c r="I559" s="1051" t="n"/>
      <c r="J559" s="1051" t="n"/>
      <c r="K559" s="1051" t="n"/>
      <c r="L559" s="1051" t="n"/>
      <c r="M559" s="1051" t="n"/>
      <c r="N559" s="1051" t="n"/>
      <c r="O559" s="1051" t="n"/>
      <c r="P559" s="1051" t="n"/>
      <c r="Q559" s="1051" t="n"/>
      <c r="R559" s="1051" t="n"/>
      <c r="S559" s="1051" t="n"/>
      <c r="T559" s="1051" t="n"/>
      <c r="U559" s="1051" t="n"/>
      <c r="V559" s="1051" t="n"/>
      <c r="W559" s="1051" t="n"/>
      <c r="X559" s="1051" t="n"/>
      <c r="Y559" s="1051" t="n"/>
      <c r="Z559" s="1051" t="n"/>
      <c r="AA559" s="744" t="n"/>
      <c r="AB559" s="744" t="n"/>
      <c r="AC559" s="744" t="n"/>
    </row>
    <row r="560" ht="27" customHeight="1">
      <c r="A560" s="63" t="inlineStr">
        <is>
          <t>SU002655</t>
        </is>
      </c>
      <c r="B560" s="63" t="inlineStr">
        <is>
          <t>P004737</t>
        </is>
      </c>
      <c r="C560" s="36" t="n">
        <v>4301051887</v>
      </c>
      <c r="D560" s="745" t="n">
        <v>4640242180533</v>
      </c>
      <c r="E560" s="1062" t="n"/>
      <c r="F560" s="1100" t="n">
        <v>1.3</v>
      </c>
      <c r="G560" s="37" t="n">
        <v>6</v>
      </c>
      <c r="H560" s="1100" t="n">
        <v>7.8</v>
      </c>
      <c r="I560" s="1100" t="n">
        <v>8.319000000000001</v>
      </c>
      <c r="J560" s="37" t="n">
        <v>64</v>
      </c>
      <c r="K560" s="37" t="inlineStr">
        <is>
          <t>8</t>
        </is>
      </c>
      <c r="L560" s="37" t="inlineStr"/>
      <c r="M560" s="38" t="inlineStr">
        <is>
          <t>СК3</t>
        </is>
      </c>
      <c r="N560" s="38" t="n"/>
      <c r="O560" s="37" t="n">
        <v>45</v>
      </c>
      <c r="P560" s="1389" t="inlineStr">
        <is>
          <t>Сосиски «Датские» Весовой п/а ТМ «Зареченские продукты»</t>
        </is>
      </c>
      <c r="Q560" s="1102" t="n"/>
      <c r="R560" s="1102" t="n"/>
      <c r="S560" s="1102" t="n"/>
      <c r="T560" s="1103" t="n"/>
      <c r="U560" s="39" t="inlineStr"/>
      <c r="V560" s="39" t="inlineStr"/>
      <c r="W560" s="40" t="inlineStr">
        <is>
          <t>кг</t>
        </is>
      </c>
      <c r="X560" s="1104" t="n">
        <v>0</v>
      </c>
      <c r="Y560" s="1105">
        <f>IFERROR(IF(X560="",0,CEILING((X560/$H560),1)*$H560),"")</f>
        <v/>
      </c>
      <c r="Z560" s="41">
        <f>IFERROR(IF(Y560=0,"",ROUNDUP(Y560/H560,0)*0.01898),"")</f>
        <v/>
      </c>
      <c r="AA560" s="68" t="inlineStr"/>
      <c r="AB560" s="69" t="inlineStr"/>
      <c r="AC560" s="646" t="inlineStr">
        <is>
          <t>ЕАЭС N RU Д-RU.РА05.В.94085/23</t>
        </is>
      </c>
      <c r="AG560" s="78" t="n"/>
      <c r="AJ560" s="84" t="inlineStr"/>
      <c r="AK560" s="84" t="n">
        <v>0</v>
      </c>
      <c r="BB560" s="647" t="inlineStr">
        <is>
          <t>КИ</t>
        </is>
      </c>
      <c r="BM560" s="78">
        <f>IFERROR(X560*I560/H560,"0")</f>
        <v/>
      </c>
      <c r="BN560" s="78">
        <f>IFERROR(Y560*I560/H560,"0")</f>
        <v/>
      </c>
      <c r="BO560" s="78">
        <f>IFERROR(1/J560*(X560/H560),"0")</f>
        <v/>
      </c>
      <c r="BP560" s="78">
        <f>IFERROR(1/J560*(Y560/H560),"0")</f>
        <v/>
      </c>
    </row>
    <row r="561" ht="27" customHeight="1">
      <c r="A561" s="63" t="inlineStr">
        <is>
          <t>SU002655</t>
        </is>
      </c>
      <c r="B561" s="63" t="inlineStr">
        <is>
          <t>P004991</t>
        </is>
      </c>
      <c r="C561" s="36" t="n">
        <v>4301052046</v>
      </c>
      <c r="D561" s="745" t="n">
        <v>4640242180533</v>
      </c>
      <c r="E561" s="1062" t="n"/>
      <c r="F561" s="1100" t="n">
        <v>1.5</v>
      </c>
      <c r="G561" s="37" t="n">
        <v>6</v>
      </c>
      <c r="H561" s="1100" t="n">
        <v>9</v>
      </c>
      <c r="I561" s="1100" t="n">
        <v>9.519</v>
      </c>
      <c r="J561" s="37" t="n">
        <v>64</v>
      </c>
      <c r="K561" s="37" t="inlineStr">
        <is>
          <t>8</t>
        </is>
      </c>
      <c r="L561" s="37" t="inlineStr"/>
      <c r="M561" s="38" t="inlineStr">
        <is>
          <t>СК4</t>
        </is>
      </c>
      <c r="N561" s="38" t="n"/>
      <c r="O561" s="37" t="n">
        <v>45</v>
      </c>
      <c r="P561" s="1390" t="inlineStr">
        <is>
          <t>Сосиски «Датские» Весовой п/а ТМ «Зареченские продукты»</t>
        </is>
      </c>
      <c r="Q561" s="1102" t="n"/>
      <c r="R561" s="1102" t="n"/>
      <c r="S561" s="1102" t="n"/>
      <c r="T561" s="1103" t="n"/>
      <c r="U561" s="39" t="inlineStr"/>
      <c r="V561" s="39" t="inlineStr"/>
      <c r="W561" s="40" t="inlineStr">
        <is>
          <t>кг</t>
        </is>
      </c>
      <c r="X561" s="1104" t="n">
        <v>1400</v>
      </c>
      <c r="Y561" s="1105">
        <f>IFERROR(IF(X561="",0,CEILING((X561/$H561),1)*$H561),"")</f>
        <v/>
      </c>
      <c r="Z561" s="41">
        <f>IFERROR(IF(Y561=0,"",ROUNDUP(Y561/H561,0)*0.01898),"")</f>
        <v/>
      </c>
      <c r="AA561" s="68" t="inlineStr"/>
      <c r="AB561" s="69" t="inlineStr"/>
      <c r="AC561" s="648" t="inlineStr">
        <is>
          <t>ЕАЭС N RU Д-RU.РА05.В.94085/23</t>
        </is>
      </c>
      <c r="AG561" s="78" t="n"/>
      <c r="AJ561" s="84" t="inlineStr"/>
      <c r="AK561" s="84" t="n">
        <v>0</v>
      </c>
      <c r="BB561" s="649" t="inlineStr">
        <is>
          <t>КИ</t>
        </is>
      </c>
      <c r="BM561" s="78">
        <f>IFERROR(X561*I561/H561,"0")</f>
        <v/>
      </c>
      <c r="BN561" s="78">
        <f>IFERROR(Y561*I561/H561,"0")</f>
        <v/>
      </c>
      <c r="BO561" s="78">
        <f>IFERROR(1/J561*(X561/H561),"0")</f>
        <v/>
      </c>
      <c r="BP561" s="78">
        <f>IFERROR(1/J561*(Y561/H561),"0")</f>
        <v/>
      </c>
    </row>
    <row r="562" ht="27" customHeight="1">
      <c r="A562" s="63" t="inlineStr">
        <is>
          <t>SU002803</t>
        </is>
      </c>
      <c r="B562" s="63" t="inlineStr">
        <is>
          <t>P004738</t>
        </is>
      </c>
      <c r="C562" s="36" t="n">
        <v>4301051933</v>
      </c>
      <c r="D562" s="745" t="n">
        <v>4640242180540</v>
      </c>
      <c r="E562" s="1062" t="n"/>
      <c r="F562" s="1100" t="n">
        <v>1.3</v>
      </c>
      <c r="G562" s="37" t="n">
        <v>6</v>
      </c>
      <c r="H562" s="1100" t="n">
        <v>7.8</v>
      </c>
      <c r="I562" s="1100" t="n">
        <v>8.319000000000001</v>
      </c>
      <c r="J562" s="37" t="n">
        <v>64</v>
      </c>
      <c r="K562" s="37" t="inlineStr">
        <is>
          <t>8</t>
        </is>
      </c>
      <c r="L562" s="37" t="inlineStr"/>
      <c r="M562" s="38" t="inlineStr">
        <is>
          <t>СК3</t>
        </is>
      </c>
      <c r="N562" s="38" t="n"/>
      <c r="O562" s="37" t="n">
        <v>45</v>
      </c>
      <c r="P562" s="1391" t="inlineStr">
        <is>
          <t>Сосиски «Сочные» Весовой п/а ТМ «Зареченские продукты»</t>
        </is>
      </c>
      <c r="Q562" s="1102" t="n"/>
      <c r="R562" s="1102" t="n"/>
      <c r="S562" s="1102" t="n"/>
      <c r="T562" s="1103" t="n"/>
      <c r="U562" s="39" t="inlineStr"/>
      <c r="V562" s="39" t="inlineStr"/>
      <c r="W562" s="40" t="inlineStr">
        <is>
          <t>кг</t>
        </is>
      </c>
      <c r="X562" s="1104" t="n">
        <v>0</v>
      </c>
      <c r="Y562" s="1105">
        <f>IFERROR(IF(X562="",0,CEILING((X562/$H562),1)*$H562),"")</f>
        <v/>
      </c>
      <c r="Z562" s="41">
        <f>IFERROR(IF(Y562=0,"",ROUNDUP(Y562/H562,0)*0.01898),"")</f>
        <v/>
      </c>
      <c r="AA562" s="68" t="inlineStr"/>
      <c r="AB562" s="69" t="inlineStr"/>
      <c r="AC562" s="650" t="inlineStr">
        <is>
          <t>ЕАЭС N RU Д-RU.РА05.В.94245/23</t>
        </is>
      </c>
      <c r="AG562" s="78" t="n"/>
      <c r="AJ562" s="84" t="inlineStr"/>
      <c r="AK562" s="84" t="n">
        <v>0</v>
      </c>
      <c r="BB562" s="651" t="inlineStr">
        <is>
          <t>КИ</t>
        </is>
      </c>
      <c r="BM562" s="78">
        <f>IFERROR(X562*I562/H562,"0")</f>
        <v/>
      </c>
      <c r="BN562" s="78">
        <f>IFERROR(Y562*I562/H562,"0")</f>
        <v/>
      </c>
      <c r="BO562" s="78">
        <f>IFERROR(1/J562*(X562/H562),"0")</f>
        <v/>
      </c>
      <c r="BP562" s="78">
        <f>IFERROR(1/J562*(Y562/H562),"0")</f>
        <v/>
      </c>
    </row>
    <row r="563" ht="27" customHeight="1">
      <c r="A563" s="63" t="inlineStr">
        <is>
          <t>SU002812</t>
        </is>
      </c>
      <c r="B563" s="63" t="inlineStr">
        <is>
          <t>P004879</t>
        </is>
      </c>
      <c r="C563" s="36" t="n">
        <v>4301051920</v>
      </c>
      <c r="D563" s="745" t="n">
        <v>4640242181233</v>
      </c>
      <c r="E563" s="1062" t="n"/>
      <c r="F563" s="1100" t="n">
        <v>0.3</v>
      </c>
      <c r="G563" s="37" t="n">
        <v>6</v>
      </c>
      <c r="H563" s="1100" t="n">
        <v>1.8</v>
      </c>
      <c r="I563" s="1100" t="n">
        <v>2.064</v>
      </c>
      <c r="J563" s="37" t="n">
        <v>182</v>
      </c>
      <c r="K563" s="37" t="inlineStr">
        <is>
          <t>14</t>
        </is>
      </c>
      <c r="L563" s="37" t="inlineStr"/>
      <c r="M563" s="38" t="inlineStr">
        <is>
          <t>СК4</t>
        </is>
      </c>
      <c r="N563" s="38" t="n"/>
      <c r="O563" s="37" t="n">
        <v>45</v>
      </c>
      <c r="P563" s="1392" t="inlineStr">
        <is>
          <t>Сосиски «Датские» Фикс.вес 0,3 п/а ТМ «Зареченские продукты»</t>
        </is>
      </c>
      <c r="Q563" s="1102" t="n"/>
      <c r="R563" s="1102" t="n"/>
      <c r="S563" s="1102" t="n"/>
      <c r="T563" s="1103" t="n"/>
      <c r="U563" s="39" t="inlineStr"/>
      <c r="V563" s="39" t="inlineStr"/>
      <c r="W563" s="40" t="inlineStr">
        <is>
          <t>кг</t>
        </is>
      </c>
      <c r="X563" s="1104" t="n">
        <v>0</v>
      </c>
      <c r="Y563" s="1105">
        <f>IFERROR(IF(X563="",0,CEILING((X563/$H563),1)*$H563),"")</f>
        <v/>
      </c>
      <c r="Z563" s="41">
        <f>IFERROR(IF(Y563=0,"",ROUNDUP(Y563/H563,0)*0.00651),"")</f>
        <v/>
      </c>
      <c r="AA563" s="68" t="inlineStr"/>
      <c r="AB563" s="69" t="inlineStr"/>
      <c r="AC563" s="652" t="inlineStr">
        <is>
          <t>ЕАЭС N RU Д-RU.РА05.В.94085/23</t>
        </is>
      </c>
      <c r="AG563" s="78" t="n"/>
      <c r="AJ563" s="84" t="inlineStr"/>
      <c r="AK563" s="84" t="n">
        <v>0</v>
      </c>
      <c r="BB563" s="653" t="inlineStr">
        <is>
          <t>КИ</t>
        </is>
      </c>
      <c r="BM563" s="78">
        <f>IFERROR(X563*I563/H563,"0")</f>
        <v/>
      </c>
      <c r="BN563" s="78">
        <f>IFERROR(Y563*I563/H563,"0")</f>
        <v/>
      </c>
      <c r="BO563" s="78">
        <f>IFERROR(1/J563*(X563/H563),"0")</f>
        <v/>
      </c>
      <c r="BP563" s="78">
        <f>IFERROR(1/J563*(Y563/H563),"0")</f>
        <v/>
      </c>
    </row>
    <row r="564" ht="27" customHeight="1">
      <c r="A564" s="63" t="inlineStr">
        <is>
          <t>SU002922</t>
        </is>
      </c>
      <c r="B564" s="63" t="inlineStr">
        <is>
          <t>P004880</t>
        </is>
      </c>
      <c r="C564" s="36" t="n">
        <v>4301051921</v>
      </c>
      <c r="D564" s="745" t="n">
        <v>4640242181226</v>
      </c>
      <c r="E564" s="1062" t="n"/>
      <c r="F564" s="1100" t="n">
        <v>0.3</v>
      </c>
      <c r="G564" s="37" t="n">
        <v>6</v>
      </c>
      <c r="H564" s="1100" t="n">
        <v>1.8</v>
      </c>
      <c r="I564" s="1100" t="n">
        <v>2.052</v>
      </c>
      <c r="J564" s="37" t="n">
        <v>182</v>
      </c>
      <c r="K564" s="37" t="inlineStr">
        <is>
          <t>14</t>
        </is>
      </c>
      <c r="L564" s="37" t="inlineStr"/>
      <c r="M564" s="38" t="inlineStr">
        <is>
          <t>СК4</t>
        </is>
      </c>
      <c r="N564" s="38" t="n"/>
      <c r="O564" s="37" t="n">
        <v>45</v>
      </c>
      <c r="P564" s="1393" t="inlineStr">
        <is>
          <t>Сосиски «Сочные» Фикс.вес 0,3 п/а ТМ «Зареченские продукты»</t>
        </is>
      </c>
      <c r="Q564" s="1102" t="n"/>
      <c r="R564" s="1102" t="n"/>
      <c r="S564" s="1102" t="n"/>
      <c r="T564" s="1103" t="n"/>
      <c r="U564" s="39" t="inlineStr"/>
      <c r="V564" s="39" t="inlineStr"/>
      <c r="W564" s="40" t="inlineStr">
        <is>
          <t>кг</t>
        </is>
      </c>
      <c r="X564" s="1104" t="n">
        <v>0</v>
      </c>
      <c r="Y564" s="1105">
        <f>IFERROR(IF(X564="",0,CEILING((X564/$H564),1)*$H564),"")</f>
        <v/>
      </c>
      <c r="Z564" s="41">
        <f>IFERROR(IF(Y564=0,"",ROUNDUP(Y564/H564,0)*0.00651),"")</f>
        <v/>
      </c>
      <c r="AA564" s="68" t="inlineStr"/>
      <c r="AB564" s="69" t="inlineStr"/>
      <c r="AC564" s="654" t="inlineStr">
        <is>
          <t>ЕАЭС N RU Д-RU.РА05.В.94245/23</t>
        </is>
      </c>
      <c r="AG564" s="78" t="n"/>
      <c r="AJ564" s="84" t="inlineStr"/>
      <c r="AK564" s="84" t="n">
        <v>0</v>
      </c>
      <c r="BB564" s="655" t="inlineStr">
        <is>
          <t>КИ</t>
        </is>
      </c>
      <c r="BM564" s="78">
        <f>IFERROR(X564*I564/H564,"0")</f>
        <v/>
      </c>
      <c r="BN564" s="78">
        <f>IFERROR(Y564*I564/H564,"0")</f>
        <v/>
      </c>
      <c r="BO564" s="78">
        <f>IFERROR(1/J564*(X564/H564),"0")</f>
        <v/>
      </c>
      <c r="BP564" s="78">
        <f>IFERROR(1/J564*(Y564/H564),"0")</f>
        <v/>
      </c>
    </row>
    <row r="565">
      <c r="A565" s="758" t="n"/>
      <c r="B565" s="1051" t="n"/>
      <c r="C565" s="1051" t="n"/>
      <c r="D565" s="1051" t="n"/>
      <c r="E565" s="1051" t="n"/>
      <c r="F565" s="1051" t="n"/>
      <c r="G565" s="1051" t="n"/>
      <c r="H565" s="1051" t="n"/>
      <c r="I565" s="1051" t="n"/>
      <c r="J565" s="1051" t="n"/>
      <c r="K565" s="1051" t="n"/>
      <c r="L565" s="1051" t="n"/>
      <c r="M565" s="1051" t="n"/>
      <c r="N565" s="1051" t="n"/>
      <c r="O565" s="1111" t="n"/>
      <c r="P565" s="1112" t="inlineStr">
        <is>
          <t>Итого</t>
        </is>
      </c>
      <c r="Q565" s="1069" t="n"/>
      <c r="R565" s="1069" t="n"/>
      <c r="S565" s="1069" t="n"/>
      <c r="T565" s="1069" t="n"/>
      <c r="U565" s="1069" t="n"/>
      <c r="V565" s="1070" t="n"/>
      <c r="W565" s="42" t="inlineStr">
        <is>
          <t>кор</t>
        </is>
      </c>
      <c r="X565" s="1113">
        <f>IFERROR(X560/H560,"0")+IFERROR(X561/H561,"0")+IFERROR(X562/H562,"0")+IFERROR(X563/H563,"0")+IFERROR(X564/H564,"0")</f>
        <v/>
      </c>
      <c r="Y565" s="1113">
        <f>IFERROR(Y560/H560,"0")+IFERROR(Y561/H561,"0")+IFERROR(Y562/H562,"0")+IFERROR(Y563/H563,"0")+IFERROR(Y564/H564,"0")</f>
        <v/>
      </c>
      <c r="Z565" s="1113">
        <f>IFERROR(IF(Z560="",0,Z560),"0")+IFERROR(IF(Z561="",0,Z561),"0")+IFERROR(IF(Z562="",0,Z562),"0")+IFERROR(IF(Z563="",0,Z563),"0")+IFERROR(IF(Z564="",0,Z564),"0")</f>
        <v/>
      </c>
      <c r="AA565" s="1114" t="n"/>
      <c r="AB565" s="1114" t="n"/>
      <c r="AC565" s="1114" t="n"/>
    </row>
    <row r="566">
      <c r="A566" s="1051" t="n"/>
      <c r="B566" s="1051" t="n"/>
      <c r="C566" s="1051" t="n"/>
      <c r="D566" s="1051" t="n"/>
      <c r="E566" s="1051" t="n"/>
      <c r="F566" s="1051" t="n"/>
      <c r="G566" s="1051" t="n"/>
      <c r="H566" s="1051" t="n"/>
      <c r="I566" s="1051" t="n"/>
      <c r="J566" s="1051" t="n"/>
      <c r="K566" s="1051" t="n"/>
      <c r="L566" s="1051" t="n"/>
      <c r="M566" s="1051" t="n"/>
      <c r="N566" s="1051" t="n"/>
      <c r="O566" s="1111" t="n"/>
      <c r="P566" s="1112" t="inlineStr">
        <is>
          <t>Итого</t>
        </is>
      </c>
      <c r="Q566" s="1069" t="n"/>
      <c r="R566" s="1069" t="n"/>
      <c r="S566" s="1069" t="n"/>
      <c r="T566" s="1069" t="n"/>
      <c r="U566" s="1069" t="n"/>
      <c r="V566" s="1070" t="n"/>
      <c r="W566" s="42" t="inlineStr">
        <is>
          <t>кг</t>
        </is>
      </c>
      <c r="X566" s="1113">
        <f>IFERROR(SUM(X560:X564),"0")</f>
        <v/>
      </c>
      <c r="Y566" s="1113">
        <f>IFERROR(SUM(Y560:Y564),"0")</f>
        <v/>
      </c>
      <c r="Z566" s="42" t="n"/>
      <c r="AA566" s="1114" t="n"/>
      <c r="AB566" s="1114" t="n"/>
      <c r="AC566" s="1114" t="n"/>
    </row>
    <row r="567" ht="14.25" customHeight="1">
      <c r="A567" s="744" t="inlineStr">
        <is>
          <t>Сардельки</t>
        </is>
      </c>
      <c r="B567" s="1051" t="n"/>
      <c r="C567" s="1051" t="n"/>
      <c r="D567" s="1051" t="n"/>
      <c r="E567" s="1051" t="n"/>
      <c r="F567" s="1051" t="n"/>
      <c r="G567" s="1051" t="n"/>
      <c r="H567" s="1051" t="n"/>
      <c r="I567" s="1051" t="n"/>
      <c r="J567" s="1051" t="n"/>
      <c r="K567" s="1051" t="n"/>
      <c r="L567" s="1051" t="n"/>
      <c r="M567" s="1051" t="n"/>
      <c r="N567" s="1051" t="n"/>
      <c r="O567" s="1051" t="n"/>
      <c r="P567" s="1051" t="n"/>
      <c r="Q567" s="1051" t="n"/>
      <c r="R567" s="1051" t="n"/>
      <c r="S567" s="1051" t="n"/>
      <c r="T567" s="1051" t="n"/>
      <c r="U567" s="1051" t="n"/>
      <c r="V567" s="1051" t="n"/>
      <c r="W567" s="1051" t="n"/>
      <c r="X567" s="1051" t="n"/>
      <c r="Y567" s="1051" t="n"/>
      <c r="Z567" s="1051" t="n"/>
      <c r="AA567" s="744" t="n"/>
      <c r="AB567" s="744" t="n"/>
      <c r="AC567" s="744" t="n"/>
    </row>
    <row r="568" ht="27" customHeight="1">
      <c r="A568" s="63" t="inlineStr">
        <is>
          <t>SU002970</t>
        </is>
      </c>
      <c r="B568" s="63" t="inlineStr">
        <is>
          <t>P004319</t>
        </is>
      </c>
      <c r="C568" s="36" t="n">
        <v>4301060485</v>
      </c>
      <c r="D568" s="745" t="n">
        <v>4640242180120</v>
      </c>
      <c r="E568" s="1062" t="n"/>
      <c r="F568" s="1100" t="n">
        <v>1.3</v>
      </c>
      <c r="G568" s="37" t="n">
        <v>6</v>
      </c>
      <c r="H568" s="1100" t="n">
        <v>7.8</v>
      </c>
      <c r="I568" s="1100" t="n">
        <v>8.234999999999999</v>
      </c>
      <c r="J568" s="37" t="n">
        <v>64</v>
      </c>
      <c r="K568" s="37" t="inlineStr">
        <is>
          <t>8</t>
        </is>
      </c>
      <c r="L568" s="37" t="inlineStr"/>
      <c r="M568" s="38" t="inlineStr">
        <is>
          <t>СК3</t>
        </is>
      </c>
      <c r="N568" s="38" t="n"/>
      <c r="O568" s="37" t="n">
        <v>40</v>
      </c>
      <c r="P568" s="1394" t="inlineStr">
        <is>
          <t>Сардельки «Зареченские» Весовой NDX ТМ «Зареченские» HR</t>
        </is>
      </c>
      <c r="Q568" s="1102" t="n"/>
      <c r="R568" s="1102" t="n"/>
      <c r="S568" s="1102" t="n"/>
      <c r="T568" s="1103" t="n"/>
      <c r="U568" s="39" t="inlineStr"/>
      <c r="V568" s="39" t="inlineStr"/>
      <c r="W568" s="40" t="inlineStr">
        <is>
          <t>кг</t>
        </is>
      </c>
      <c r="X568" s="1104" t="n">
        <v>0</v>
      </c>
      <c r="Y568" s="1105">
        <f>IFERROR(IF(X568="",0,CEILING((X568/$H568),1)*$H568),"")</f>
        <v/>
      </c>
      <c r="Z568" s="41">
        <f>IFERROR(IF(Y568=0,"",ROUNDUP(Y568/H568,0)*0.01898),"")</f>
        <v/>
      </c>
      <c r="AA568" s="68" t="inlineStr"/>
      <c r="AB568" s="69" t="inlineStr"/>
      <c r="AC568" s="656" t="inlineStr">
        <is>
          <t>ЕАЭС N RU Д-RU.РА05.В.10039/23</t>
        </is>
      </c>
      <c r="AG568" s="78" t="n"/>
      <c r="AJ568" s="84" t="inlineStr"/>
      <c r="AK568" s="84" t="n">
        <v>0</v>
      </c>
      <c r="BB568" s="657" t="inlineStr">
        <is>
          <t>КИ</t>
        </is>
      </c>
      <c r="BM568" s="78">
        <f>IFERROR(X568*I568/H568,"0")</f>
        <v/>
      </c>
      <c r="BN568" s="78">
        <f>IFERROR(Y568*I568/H568,"0")</f>
        <v/>
      </c>
      <c r="BO568" s="78">
        <f>IFERROR(1/J568*(X568/H568),"0")</f>
        <v/>
      </c>
      <c r="BP568" s="78">
        <f>IFERROR(1/J568*(Y568/H568),"0")</f>
        <v/>
      </c>
    </row>
    <row r="569" ht="27" customHeight="1">
      <c r="A569" s="63" t="inlineStr">
        <is>
          <t>SU002970</t>
        </is>
      </c>
      <c r="B569" s="63" t="inlineStr">
        <is>
          <t>P004925</t>
        </is>
      </c>
      <c r="C569" s="36" t="n">
        <v>4301060496</v>
      </c>
      <c r="D569" s="745" t="n">
        <v>4640242180120</v>
      </c>
      <c r="E569" s="1062" t="n"/>
      <c r="F569" s="1100" t="n">
        <v>1.5</v>
      </c>
      <c r="G569" s="37" t="n">
        <v>6</v>
      </c>
      <c r="H569" s="1100" t="n">
        <v>9</v>
      </c>
      <c r="I569" s="1100" t="n">
        <v>9.435</v>
      </c>
      <c r="J569" s="37" t="n">
        <v>64</v>
      </c>
      <c r="K569" s="37" t="inlineStr">
        <is>
          <t>8</t>
        </is>
      </c>
      <c r="L569" s="37" t="inlineStr"/>
      <c r="M569" s="38" t="inlineStr">
        <is>
          <t>СК4</t>
        </is>
      </c>
      <c r="N569" s="38" t="n"/>
      <c r="O569" s="37" t="n">
        <v>40</v>
      </c>
      <c r="P569" s="1395" t="inlineStr">
        <is>
          <t>Сардельки «Зареченские» Весовой полиамид ТМ «Зареченские продукты»</t>
        </is>
      </c>
      <c r="Q569" s="1102" t="n"/>
      <c r="R569" s="1102" t="n"/>
      <c r="S569" s="1102" t="n"/>
      <c r="T569" s="1103" t="n"/>
      <c r="U569" s="39" t="inlineStr"/>
      <c r="V569" s="39" t="inlineStr"/>
      <c r="W569" s="40" t="inlineStr">
        <is>
          <t>кг</t>
        </is>
      </c>
      <c r="X569" s="1104" t="n">
        <v>0</v>
      </c>
      <c r="Y569" s="1105">
        <f>IFERROR(IF(X569="",0,CEILING((X569/$H569),1)*$H569),"")</f>
        <v/>
      </c>
      <c r="Z569" s="41">
        <f>IFERROR(IF(Y569=0,"",ROUNDUP(Y569/H569,0)*0.01898),"")</f>
        <v/>
      </c>
      <c r="AA569" s="68" t="inlineStr"/>
      <c r="AB569" s="69" t="inlineStr"/>
      <c r="AC569" s="658" t="inlineStr">
        <is>
          <t>ЕАЭС N RU Д-RU.РА05.В.10039/23</t>
        </is>
      </c>
      <c r="AG569" s="78" t="n"/>
      <c r="AJ569" s="84" t="inlineStr"/>
      <c r="AK569" s="84" t="n">
        <v>0</v>
      </c>
      <c r="BB569" s="659" t="inlineStr">
        <is>
          <t>КИ</t>
        </is>
      </c>
      <c r="BM569" s="78">
        <f>IFERROR(X569*I569/H569,"0")</f>
        <v/>
      </c>
      <c r="BN569" s="78">
        <f>IFERROR(Y569*I569/H569,"0")</f>
        <v/>
      </c>
      <c r="BO569" s="78">
        <f>IFERROR(1/J569*(X569/H569),"0")</f>
        <v/>
      </c>
      <c r="BP569" s="78">
        <f>IFERROR(1/J569*(Y569/H569),"0")</f>
        <v/>
      </c>
    </row>
    <row r="570" ht="27" customHeight="1">
      <c r="A570" s="63" t="inlineStr">
        <is>
          <t>SU002971</t>
        </is>
      </c>
      <c r="B570" s="63" t="inlineStr">
        <is>
          <t>P004320</t>
        </is>
      </c>
      <c r="C570" s="36" t="n">
        <v>4301060486</v>
      </c>
      <c r="D570" s="745" t="n">
        <v>4640242180137</v>
      </c>
      <c r="E570" s="1062" t="n"/>
      <c r="F570" s="1100" t="n">
        <v>1.3</v>
      </c>
      <c r="G570" s="37" t="n">
        <v>6</v>
      </c>
      <c r="H570" s="1100" t="n">
        <v>7.8</v>
      </c>
      <c r="I570" s="1100" t="n">
        <v>8.234999999999999</v>
      </c>
      <c r="J570" s="37" t="n">
        <v>64</v>
      </c>
      <c r="K570" s="37" t="inlineStr">
        <is>
          <t>8</t>
        </is>
      </c>
      <c r="L570" s="37" t="inlineStr"/>
      <c r="M570" s="38" t="inlineStr">
        <is>
          <t>СК3</t>
        </is>
      </c>
      <c r="N570" s="38" t="n"/>
      <c r="O570" s="37" t="n">
        <v>40</v>
      </c>
      <c r="P570" s="1396" t="inlineStr">
        <is>
          <t>Сардельки «Шпикачки Зареченские» Весовой NDX ТМ «Зареченские» HR</t>
        </is>
      </c>
      <c r="Q570" s="1102" t="n"/>
      <c r="R570" s="1102" t="n"/>
      <c r="S570" s="1102" t="n"/>
      <c r="T570" s="1103" t="n"/>
      <c r="U570" s="39" t="inlineStr"/>
      <c r="V570" s="39" t="inlineStr"/>
      <c r="W570" s="40" t="inlineStr">
        <is>
          <t>кг</t>
        </is>
      </c>
      <c r="X570" s="1104" t="n">
        <v>0</v>
      </c>
      <c r="Y570" s="1105">
        <f>IFERROR(IF(X570="",0,CEILING((X570/$H570),1)*$H570),"")</f>
        <v/>
      </c>
      <c r="Z570" s="41">
        <f>IFERROR(IF(Y570=0,"",ROUNDUP(Y570/H570,0)*0.01898),"")</f>
        <v/>
      </c>
      <c r="AA570" s="68" t="inlineStr"/>
      <c r="AB570" s="69" t="inlineStr"/>
      <c r="AC570" s="660" t="inlineStr">
        <is>
          <t>ЕАЭС N RU Д-RU.РА05.В.12010/23</t>
        </is>
      </c>
      <c r="AG570" s="78" t="n"/>
      <c r="AJ570" s="84" t="inlineStr"/>
      <c r="AK570" s="84" t="n">
        <v>0</v>
      </c>
      <c r="BB570" s="661" t="inlineStr">
        <is>
          <t>КИ</t>
        </is>
      </c>
      <c r="BM570" s="78">
        <f>IFERROR(X570*I570/H570,"0")</f>
        <v/>
      </c>
      <c r="BN570" s="78">
        <f>IFERROR(Y570*I570/H570,"0")</f>
        <v/>
      </c>
      <c r="BO570" s="78">
        <f>IFERROR(1/J570*(X570/H570),"0")</f>
        <v/>
      </c>
      <c r="BP570" s="78">
        <f>IFERROR(1/J570*(Y570/H570),"0")</f>
        <v/>
      </c>
    </row>
    <row r="571" ht="27" customHeight="1">
      <c r="A571" s="63" t="inlineStr">
        <is>
          <t>SU002971</t>
        </is>
      </c>
      <c r="B571" s="63" t="inlineStr">
        <is>
          <t>P004927</t>
        </is>
      </c>
      <c r="C571" s="36" t="n">
        <v>4301060498</v>
      </c>
      <c r="D571" s="745" t="n">
        <v>4640242180137</v>
      </c>
      <c r="E571" s="1062" t="n"/>
      <c r="F571" s="1100" t="n">
        <v>1.5</v>
      </c>
      <c r="G571" s="37" t="n">
        <v>6</v>
      </c>
      <c r="H571" s="1100" t="n">
        <v>9</v>
      </c>
      <c r="I571" s="1100" t="n">
        <v>9.435</v>
      </c>
      <c r="J571" s="37" t="n">
        <v>64</v>
      </c>
      <c r="K571" s="37" t="inlineStr">
        <is>
          <t>8</t>
        </is>
      </c>
      <c r="L571" s="37" t="inlineStr"/>
      <c r="M571" s="38" t="inlineStr">
        <is>
          <t>СК4</t>
        </is>
      </c>
      <c r="N571" s="38" t="n"/>
      <c r="O571" s="37" t="n">
        <v>40</v>
      </c>
      <c r="P571" s="1397" t="inlineStr">
        <is>
          <t>Сардельки «Шпикачки Зареченские» Весовой полиамид ТМ «Зареченские продукты»</t>
        </is>
      </c>
      <c r="Q571" s="1102" t="n"/>
      <c r="R571" s="1102" t="n"/>
      <c r="S571" s="1102" t="n"/>
      <c r="T571" s="1103" t="n"/>
      <c r="U571" s="39" t="inlineStr"/>
      <c r="V571" s="39" t="inlineStr"/>
      <c r="W571" s="40" t="inlineStr">
        <is>
          <t>кг</t>
        </is>
      </c>
      <c r="X571" s="1104" t="n">
        <v>0</v>
      </c>
      <c r="Y571" s="1105">
        <f>IFERROR(IF(X571="",0,CEILING((X571/$H571),1)*$H571),"")</f>
        <v/>
      </c>
      <c r="Z571" s="41">
        <f>IFERROR(IF(Y571=0,"",ROUNDUP(Y571/H571,0)*0.01898),"")</f>
        <v/>
      </c>
      <c r="AA571" s="68" t="inlineStr"/>
      <c r="AB571" s="69" t="inlineStr"/>
      <c r="AC571" s="662" t="inlineStr">
        <is>
          <t>ЕАЭС N RU Д-RU.РА05.В.12010/23</t>
        </is>
      </c>
      <c r="AG571" s="78" t="n"/>
      <c r="AJ571" s="84" t="inlineStr"/>
      <c r="AK571" s="84" t="n">
        <v>0</v>
      </c>
      <c r="BB571" s="663" t="inlineStr">
        <is>
          <t>КИ</t>
        </is>
      </c>
      <c r="BM571" s="78">
        <f>IFERROR(X571*I571/H571,"0")</f>
        <v/>
      </c>
      <c r="BN571" s="78">
        <f>IFERROR(Y571*I571/H571,"0")</f>
        <v/>
      </c>
      <c r="BO571" s="78">
        <f>IFERROR(1/J571*(X571/H571),"0")</f>
        <v/>
      </c>
      <c r="BP571" s="78">
        <f>IFERROR(1/J571*(Y571/H571),"0")</f>
        <v/>
      </c>
    </row>
    <row r="572">
      <c r="A572" s="758" t="n"/>
      <c r="B572" s="1051" t="n"/>
      <c r="C572" s="1051" t="n"/>
      <c r="D572" s="1051" t="n"/>
      <c r="E572" s="1051" t="n"/>
      <c r="F572" s="1051" t="n"/>
      <c r="G572" s="1051" t="n"/>
      <c r="H572" s="1051" t="n"/>
      <c r="I572" s="1051" t="n"/>
      <c r="J572" s="1051" t="n"/>
      <c r="K572" s="1051" t="n"/>
      <c r="L572" s="1051" t="n"/>
      <c r="M572" s="1051" t="n"/>
      <c r="N572" s="1051" t="n"/>
      <c r="O572" s="1111" t="n"/>
      <c r="P572" s="1112" t="inlineStr">
        <is>
          <t>Итого</t>
        </is>
      </c>
      <c r="Q572" s="1069" t="n"/>
      <c r="R572" s="1069" t="n"/>
      <c r="S572" s="1069" t="n"/>
      <c r="T572" s="1069" t="n"/>
      <c r="U572" s="1069" t="n"/>
      <c r="V572" s="1070" t="n"/>
      <c r="W572" s="42" t="inlineStr">
        <is>
          <t>кор</t>
        </is>
      </c>
      <c r="X572" s="1113">
        <f>IFERROR(X568/H568,"0")+IFERROR(X569/H569,"0")+IFERROR(X570/H570,"0")+IFERROR(X571/H571,"0")</f>
        <v/>
      </c>
      <c r="Y572" s="1113">
        <f>IFERROR(Y568/H568,"0")+IFERROR(Y569/H569,"0")+IFERROR(Y570/H570,"0")+IFERROR(Y571/H571,"0")</f>
        <v/>
      </c>
      <c r="Z572" s="1113">
        <f>IFERROR(IF(Z568="",0,Z568),"0")+IFERROR(IF(Z569="",0,Z569),"0")+IFERROR(IF(Z570="",0,Z570),"0")+IFERROR(IF(Z571="",0,Z571),"0")</f>
        <v/>
      </c>
      <c r="AA572" s="1114" t="n"/>
      <c r="AB572" s="1114" t="n"/>
      <c r="AC572" s="1114" t="n"/>
    </row>
    <row r="573">
      <c r="A573" s="1051" t="n"/>
      <c r="B573" s="1051" t="n"/>
      <c r="C573" s="1051" t="n"/>
      <c r="D573" s="1051" t="n"/>
      <c r="E573" s="1051" t="n"/>
      <c r="F573" s="1051" t="n"/>
      <c r="G573" s="1051" t="n"/>
      <c r="H573" s="1051" t="n"/>
      <c r="I573" s="1051" t="n"/>
      <c r="J573" s="1051" t="n"/>
      <c r="K573" s="1051" t="n"/>
      <c r="L573" s="1051" t="n"/>
      <c r="M573" s="1051" t="n"/>
      <c r="N573" s="1051" t="n"/>
      <c r="O573" s="1111" t="n"/>
      <c r="P573" s="1112" t="inlineStr">
        <is>
          <t>Итого</t>
        </is>
      </c>
      <c r="Q573" s="1069" t="n"/>
      <c r="R573" s="1069" t="n"/>
      <c r="S573" s="1069" t="n"/>
      <c r="T573" s="1069" t="n"/>
      <c r="U573" s="1069" t="n"/>
      <c r="V573" s="1070" t="n"/>
      <c r="W573" s="42" t="inlineStr">
        <is>
          <t>кг</t>
        </is>
      </c>
      <c r="X573" s="1113">
        <f>IFERROR(SUM(X568:X571),"0")</f>
        <v/>
      </c>
      <c r="Y573" s="1113">
        <f>IFERROR(SUM(Y568:Y571),"0")</f>
        <v/>
      </c>
      <c r="Z573" s="42" t="n"/>
      <c r="AA573" s="1114" t="n"/>
      <c r="AB573" s="1114" t="n"/>
      <c r="AC573" s="1114" t="n"/>
    </row>
    <row r="574" ht="16.5" customHeight="1">
      <c r="A574" s="743" t="inlineStr">
        <is>
          <t>Зареченские продукты Светофор</t>
        </is>
      </c>
      <c r="B574" s="1051" t="n"/>
      <c r="C574" s="1051" t="n"/>
      <c r="D574" s="1051" t="n"/>
      <c r="E574" s="1051" t="n"/>
      <c r="F574" s="1051" t="n"/>
      <c r="G574" s="1051" t="n"/>
      <c r="H574" s="1051" t="n"/>
      <c r="I574" s="1051" t="n"/>
      <c r="J574" s="1051" t="n"/>
      <c r="K574" s="1051" t="n"/>
      <c r="L574" s="1051" t="n"/>
      <c r="M574" s="1051" t="n"/>
      <c r="N574" s="1051" t="n"/>
      <c r="O574" s="1051" t="n"/>
      <c r="P574" s="1051" t="n"/>
      <c r="Q574" s="1051" t="n"/>
      <c r="R574" s="1051" t="n"/>
      <c r="S574" s="1051" t="n"/>
      <c r="T574" s="1051" t="n"/>
      <c r="U574" s="1051" t="n"/>
      <c r="V574" s="1051" t="n"/>
      <c r="W574" s="1051" t="n"/>
      <c r="X574" s="1051" t="n"/>
      <c r="Y574" s="1051" t="n"/>
      <c r="Z574" s="1051" t="n"/>
      <c r="AA574" s="743" t="n"/>
      <c r="AB574" s="743" t="n"/>
      <c r="AC574" s="743" t="n"/>
    </row>
    <row r="575" ht="14.25" customHeight="1">
      <c r="A575" s="744" t="inlineStr">
        <is>
          <t>Вареные колбасы</t>
        </is>
      </c>
      <c r="B575" s="1051" t="n"/>
      <c r="C575" s="1051" t="n"/>
      <c r="D575" s="1051" t="n"/>
      <c r="E575" s="1051" t="n"/>
      <c r="F575" s="1051" t="n"/>
      <c r="G575" s="1051" t="n"/>
      <c r="H575" s="1051" t="n"/>
      <c r="I575" s="1051" t="n"/>
      <c r="J575" s="1051" t="n"/>
      <c r="K575" s="1051" t="n"/>
      <c r="L575" s="1051" t="n"/>
      <c r="M575" s="1051" t="n"/>
      <c r="N575" s="1051" t="n"/>
      <c r="O575" s="1051" t="n"/>
      <c r="P575" s="1051" t="n"/>
      <c r="Q575" s="1051" t="n"/>
      <c r="R575" s="1051" t="n"/>
      <c r="S575" s="1051" t="n"/>
      <c r="T575" s="1051" t="n"/>
      <c r="U575" s="1051" t="n"/>
      <c r="V575" s="1051" t="n"/>
      <c r="W575" s="1051" t="n"/>
      <c r="X575" s="1051" t="n"/>
      <c r="Y575" s="1051" t="n"/>
      <c r="Z575" s="1051" t="n"/>
      <c r="AA575" s="744" t="n"/>
      <c r="AB575" s="744" t="n"/>
      <c r="AC575" s="744" t="n"/>
    </row>
    <row r="576" ht="27" customHeight="1">
      <c r="A576" s="63" t="inlineStr">
        <is>
          <t>SU002963</t>
        </is>
      </c>
      <c r="B576" s="63" t="inlineStr">
        <is>
          <t>P004322</t>
        </is>
      </c>
      <c r="C576" s="36" t="n">
        <v>4301011951</v>
      </c>
      <c r="D576" s="745" t="n">
        <v>4640242180045</v>
      </c>
      <c r="E576" s="1062" t="n"/>
      <c r="F576" s="1100" t="n">
        <v>1.5</v>
      </c>
      <c r="G576" s="37" t="n">
        <v>8</v>
      </c>
      <c r="H576" s="1100" t="n">
        <v>12</v>
      </c>
      <c r="I576" s="1100" t="n">
        <v>12.435</v>
      </c>
      <c r="J576" s="37" t="n">
        <v>64</v>
      </c>
      <c r="K576" s="37" t="inlineStr">
        <is>
          <t>8</t>
        </is>
      </c>
      <c r="L576" s="37" t="inlineStr"/>
      <c r="M576" s="38" t="inlineStr">
        <is>
          <t>СК1</t>
        </is>
      </c>
      <c r="N576" s="38" t="n"/>
      <c r="O576" s="37" t="n">
        <v>55</v>
      </c>
      <c r="P576" s="1398" t="inlineStr">
        <is>
          <t>Вареные колбасы «Молочная классическая» Весовой п/а ТМ «Зареченские» HR</t>
        </is>
      </c>
      <c r="Q576" s="1102" t="n"/>
      <c r="R576" s="1102" t="n"/>
      <c r="S576" s="1102" t="n"/>
      <c r="T576" s="1103" t="n"/>
      <c r="U576" s="39" t="inlineStr"/>
      <c r="V576" s="39" t="inlineStr"/>
      <c r="W576" s="40" t="inlineStr">
        <is>
          <t>кг</t>
        </is>
      </c>
      <c r="X576" s="1104" t="n">
        <v>0</v>
      </c>
      <c r="Y576" s="1105">
        <f>IFERROR(IF(X576="",0,CEILING((X576/$H576),1)*$H576),"")</f>
        <v/>
      </c>
      <c r="Z576" s="41">
        <f>IFERROR(IF(Y576=0,"",ROUNDUP(Y576/H576,0)*0.01898),"")</f>
        <v/>
      </c>
      <c r="AA576" s="68" t="inlineStr"/>
      <c r="AB576" s="69" t="inlineStr"/>
      <c r="AC576" s="664" t="inlineStr">
        <is>
          <t>ЕАЭС N RU Д-RU.РА05.В.10282/23</t>
        </is>
      </c>
      <c r="AG576" s="78" t="n"/>
      <c r="AJ576" s="84" t="inlineStr"/>
      <c r="AK576" s="84" t="n">
        <v>0</v>
      </c>
      <c r="BB576" s="665" t="inlineStr">
        <is>
          <t>КИ</t>
        </is>
      </c>
      <c r="BM576" s="78">
        <f>IFERROR(X576*I576/H576,"0")</f>
        <v/>
      </c>
      <c r="BN576" s="78">
        <f>IFERROR(Y576*I576/H576,"0")</f>
        <v/>
      </c>
      <c r="BO576" s="78">
        <f>IFERROR(1/J576*(X576/H576),"0")</f>
        <v/>
      </c>
      <c r="BP576" s="78">
        <f>IFERROR(1/J576*(Y576/H576),"0")</f>
        <v/>
      </c>
    </row>
    <row r="577">
      <c r="A577" s="758" t="n"/>
      <c r="B577" s="1051" t="n"/>
      <c r="C577" s="1051" t="n"/>
      <c r="D577" s="1051" t="n"/>
      <c r="E577" s="1051" t="n"/>
      <c r="F577" s="1051" t="n"/>
      <c r="G577" s="1051" t="n"/>
      <c r="H577" s="1051" t="n"/>
      <c r="I577" s="1051" t="n"/>
      <c r="J577" s="1051" t="n"/>
      <c r="K577" s="1051" t="n"/>
      <c r="L577" s="1051" t="n"/>
      <c r="M577" s="1051" t="n"/>
      <c r="N577" s="1051" t="n"/>
      <c r="O577" s="1111" t="n"/>
      <c r="P577" s="1112" t="inlineStr">
        <is>
          <t>Итого</t>
        </is>
      </c>
      <c r="Q577" s="1069" t="n"/>
      <c r="R577" s="1069" t="n"/>
      <c r="S577" s="1069" t="n"/>
      <c r="T577" s="1069" t="n"/>
      <c r="U577" s="1069" t="n"/>
      <c r="V577" s="1070" t="n"/>
      <c r="W577" s="42" t="inlineStr">
        <is>
          <t>кор</t>
        </is>
      </c>
      <c r="X577" s="1113">
        <f>IFERROR(X576/H576,"0")</f>
        <v/>
      </c>
      <c r="Y577" s="1113">
        <f>IFERROR(Y576/H576,"0")</f>
        <v/>
      </c>
      <c r="Z577" s="1113">
        <f>IFERROR(IF(Z576="",0,Z576),"0")</f>
        <v/>
      </c>
      <c r="AA577" s="1114" t="n"/>
      <c r="AB577" s="1114" t="n"/>
      <c r="AC577" s="1114" t="n"/>
    </row>
    <row r="578">
      <c r="A578" s="1051" t="n"/>
      <c r="B578" s="1051" t="n"/>
      <c r="C578" s="1051" t="n"/>
      <c r="D578" s="1051" t="n"/>
      <c r="E578" s="1051" t="n"/>
      <c r="F578" s="1051" t="n"/>
      <c r="G578" s="1051" t="n"/>
      <c r="H578" s="1051" t="n"/>
      <c r="I578" s="1051" t="n"/>
      <c r="J578" s="1051" t="n"/>
      <c r="K578" s="1051" t="n"/>
      <c r="L578" s="1051" t="n"/>
      <c r="M578" s="1051" t="n"/>
      <c r="N578" s="1051" t="n"/>
      <c r="O578" s="1111" t="n"/>
      <c r="P578" s="1112" t="inlineStr">
        <is>
          <t>Итого</t>
        </is>
      </c>
      <c r="Q578" s="1069" t="n"/>
      <c r="R578" s="1069" t="n"/>
      <c r="S578" s="1069" t="n"/>
      <c r="T578" s="1069" t="n"/>
      <c r="U578" s="1069" t="n"/>
      <c r="V578" s="1070" t="n"/>
      <c r="W578" s="42" t="inlineStr">
        <is>
          <t>кг</t>
        </is>
      </c>
      <c r="X578" s="1113">
        <f>IFERROR(SUM(X576:X576),"0")</f>
        <v/>
      </c>
      <c r="Y578" s="1113">
        <f>IFERROR(SUM(Y576:Y576),"0")</f>
        <v/>
      </c>
      <c r="Z578" s="42" t="n"/>
      <c r="AA578" s="1114" t="n"/>
      <c r="AB578" s="1114" t="n"/>
      <c r="AC578" s="1114" t="n"/>
    </row>
    <row r="579" ht="14.25" customHeight="1">
      <c r="A579" s="744" t="inlineStr">
        <is>
          <t>Ветчины</t>
        </is>
      </c>
      <c r="B579" s="1051" t="n"/>
      <c r="C579" s="1051" t="n"/>
      <c r="D579" s="1051" t="n"/>
      <c r="E579" s="1051" t="n"/>
      <c r="F579" s="1051" t="n"/>
      <c r="G579" s="1051" t="n"/>
      <c r="H579" s="1051" t="n"/>
      <c r="I579" s="1051" t="n"/>
      <c r="J579" s="1051" t="n"/>
      <c r="K579" s="1051" t="n"/>
      <c r="L579" s="1051" t="n"/>
      <c r="M579" s="1051" t="n"/>
      <c r="N579" s="1051" t="n"/>
      <c r="O579" s="1051" t="n"/>
      <c r="P579" s="1051" t="n"/>
      <c r="Q579" s="1051" t="n"/>
      <c r="R579" s="1051" t="n"/>
      <c r="S579" s="1051" t="n"/>
      <c r="T579" s="1051" t="n"/>
      <c r="U579" s="1051" t="n"/>
      <c r="V579" s="1051" t="n"/>
      <c r="W579" s="1051" t="n"/>
      <c r="X579" s="1051" t="n"/>
      <c r="Y579" s="1051" t="n"/>
      <c r="Z579" s="1051" t="n"/>
      <c r="AA579" s="744" t="n"/>
      <c r="AB579" s="744" t="n"/>
      <c r="AC579" s="744" t="n"/>
    </row>
    <row r="580" ht="27" customHeight="1">
      <c r="A580" s="63" t="inlineStr">
        <is>
          <t>SU002967</t>
        </is>
      </c>
      <c r="B580" s="63" t="inlineStr">
        <is>
          <t>P004317</t>
        </is>
      </c>
      <c r="C580" s="36" t="n">
        <v>4301020314</v>
      </c>
      <c r="D580" s="745" t="n">
        <v>4640242180090</v>
      </c>
      <c r="E580" s="1062" t="n"/>
      <c r="F580" s="1100" t="n">
        <v>1.5</v>
      </c>
      <c r="G580" s="37" t="n">
        <v>8</v>
      </c>
      <c r="H580" s="1100" t="n">
        <v>12</v>
      </c>
      <c r="I580" s="1100" t="n">
        <v>12.435</v>
      </c>
      <c r="J580" s="37" t="n">
        <v>64</v>
      </c>
      <c r="K580" s="37" t="inlineStr">
        <is>
          <t>8</t>
        </is>
      </c>
      <c r="L580" s="37" t="inlineStr"/>
      <c r="M580" s="38" t="inlineStr">
        <is>
          <t>СК1</t>
        </is>
      </c>
      <c r="N580" s="38" t="n"/>
      <c r="O580" s="37" t="n">
        <v>50</v>
      </c>
      <c r="P580" s="1399" t="inlineStr">
        <is>
          <t>Ветчины «Рубленая» Весовой п/а ТМ «Зареченские» НТУ HR</t>
        </is>
      </c>
      <c r="Q580" s="1102" t="n"/>
      <c r="R580" s="1102" t="n"/>
      <c r="S580" s="1102" t="n"/>
      <c r="T580" s="1103" t="n"/>
      <c r="U580" s="39" t="inlineStr"/>
      <c r="V580" s="39" t="inlineStr"/>
      <c r="W580" s="40" t="inlineStr">
        <is>
          <t>кг</t>
        </is>
      </c>
      <c r="X580" s="1104" t="n">
        <v>0</v>
      </c>
      <c r="Y580" s="1105">
        <f>IFERROR(IF(X580="",0,CEILING((X580/$H580),1)*$H580),"")</f>
        <v/>
      </c>
      <c r="Z580" s="41">
        <f>IFERROR(IF(Y580=0,"",ROUNDUP(Y580/H580,0)*0.01898),"")</f>
        <v/>
      </c>
      <c r="AA580" s="68" t="inlineStr"/>
      <c r="AB580" s="69" t="inlineStr"/>
      <c r="AC580" s="666" t="inlineStr">
        <is>
          <t>ЕАЭС N RU Д-RU.РА05.В.11990/23</t>
        </is>
      </c>
      <c r="AG580" s="78" t="n"/>
      <c r="AJ580" s="84" t="inlineStr"/>
      <c r="AK580" s="84" t="n">
        <v>0</v>
      </c>
      <c r="BB580" s="667" t="inlineStr">
        <is>
          <t>КИ</t>
        </is>
      </c>
      <c r="BM580" s="78">
        <f>IFERROR(X580*I580/H580,"0")</f>
        <v/>
      </c>
      <c r="BN580" s="78">
        <f>IFERROR(Y580*I580/H580,"0")</f>
        <v/>
      </c>
      <c r="BO580" s="78">
        <f>IFERROR(1/J580*(X580/H580),"0")</f>
        <v/>
      </c>
      <c r="BP580" s="78">
        <f>IFERROR(1/J580*(Y580/H580),"0")</f>
        <v/>
      </c>
    </row>
    <row r="581">
      <c r="A581" s="758" t="n"/>
      <c r="B581" s="1051" t="n"/>
      <c r="C581" s="1051" t="n"/>
      <c r="D581" s="1051" t="n"/>
      <c r="E581" s="1051" t="n"/>
      <c r="F581" s="1051" t="n"/>
      <c r="G581" s="1051" t="n"/>
      <c r="H581" s="1051" t="n"/>
      <c r="I581" s="1051" t="n"/>
      <c r="J581" s="1051" t="n"/>
      <c r="K581" s="1051" t="n"/>
      <c r="L581" s="1051" t="n"/>
      <c r="M581" s="1051" t="n"/>
      <c r="N581" s="1051" t="n"/>
      <c r="O581" s="1111" t="n"/>
      <c r="P581" s="1112" t="inlineStr">
        <is>
          <t>Итого</t>
        </is>
      </c>
      <c r="Q581" s="1069" t="n"/>
      <c r="R581" s="1069" t="n"/>
      <c r="S581" s="1069" t="n"/>
      <c r="T581" s="1069" t="n"/>
      <c r="U581" s="1069" t="n"/>
      <c r="V581" s="1070" t="n"/>
      <c r="W581" s="42" t="inlineStr">
        <is>
          <t>кор</t>
        </is>
      </c>
      <c r="X581" s="1113">
        <f>IFERROR(X580/H580,"0")</f>
        <v/>
      </c>
      <c r="Y581" s="1113">
        <f>IFERROR(Y580/H580,"0")</f>
        <v/>
      </c>
      <c r="Z581" s="1113">
        <f>IFERROR(IF(Z580="",0,Z580),"0")</f>
        <v/>
      </c>
      <c r="AA581" s="1114" t="n"/>
      <c r="AB581" s="1114" t="n"/>
      <c r="AC581" s="1114" t="n"/>
    </row>
    <row r="582">
      <c r="A582" s="1051" t="n"/>
      <c r="B582" s="1051" t="n"/>
      <c r="C582" s="1051" t="n"/>
      <c r="D582" s="1051" t="n"/>
      <c r="E582" s="1051" t="n"/>
      <c r="F582" s="1051" t="n"/>
      <c r="G582" s="1051" t="n"/>
      <c r="H582" s="1051" t="n"/>
      <c r="I582" s="1051" t="n"/>
      <c r="J582" s="1051" t="n"/>
      <c r="K582" s="1051" t="n"/>
      <c r="L582" s="1051" t="n"/>
      <c r="M582" s="1051" t="n"/>
      <c r="N582" s="1051" t="n"/>
      <c r="O582" s="1111" t="n"/>
      <c r="P582" s="1112" t="inlineStr">
        <is>
          <t>Итого</t>
        </is>
      </c>
      <c r="Q582" s="1069" t="n"/>
      <c r="R582" s="1069" t="n"/>
      <c r="S582" s="1069" t="n"/>
      <c r="T582" s="1069" t="n"/>
      <c r="U582" s="1069" t="n"/>
      <c r="V582" s="1070" t="n"/>
      <c r="W582" s="42" t="inlineStr">
        <is>
          <t>кг</t>
        </is>
      </c>
      <c r="X582" s="1113">
        <f>IFERROR(SUM(X580:X580),"0")</f>
        <v/>
      </c>
      <c r="Y582" s="1113">
        <f>IFERROR(SUM(Y580:Y580),"0")</f>
        <v/>
      </c>
      <c r="Z582" s="42" t="n"/>
      <c r="AA582" s="1114" t="n"/>
      <c r="AB582" s="1114" t="n"/>
      <c r="AC582" s="1114" t="n"/>
    </row>
    <row r="583" ht="14.25" customHeight="1">
      <c r="A583" s="744" t="inlineStr">
        <is>
          <t>Копченые колбасы</t>
        </is>
      </c>
      <c r="B583" s="1051" t="n"/>
      <c r="C583" s="1051" t="n"/>
      <c r="D583" s="1051" t="n"/>
      <c r="E583" s="1051" t="n"/>
      <c r="F583" s="1051" t="n"/>
      <c r="G583" s="1051" t="n"/>
      <c r="H583" s="1051" t="n"/>
      <c r="I583" s="1051" t="n"/>
      <c r="J583" s="1051" t="n"/>
      <c r="K583" s="1051" t="n"/>
      <c r="L583" s="1051" t="n"/>
      <c r="M583" s="1051" t="n"/>
      <c r="N583" s="1051" t="n"/>
      <c r="O583" s="1051" t="n"/>
      <c r="P583" s="1051" t="n"/>
      <c r="Q583" s="1051" t="n"/>
      <c r="R583" s="1051" t="n"/>
      <c r="S583" s="1051" t="n"/>
      <c r="T583" s="1051" t="n"/>
      <c r="U583" s="1051" t="n"/>
      <c r="V583" s="1051" t="n"/>
      <c r="W583" s="1051" t="n"/>
      <c r="X583" s="1051" t="n"/>
      <c r="Y583" s="1051" t="n"/>
      <c r="Z583" s="1051" t="n"/>
      <c r="AA583" s="744" t="n"/>
      <c r="AB583" s="744" t="n"/>
      <c r="AC583" s="744" t="n"/>
    </row>
    <row r="584" ht="27" customHeight="1">
      <c r="A584" s="63" t="inlineStr">
        <is>
          <t>SU002965</t>
        </is>
      </c>
      <c r="B584" s="63" t="inlineStr">
        <is>
          <t>P004318</t>
        </is>
      </c>
      <c r="C584" s="36" t="n">
        <v>4301031321</v>
      </c>
      <c r="D584" s="745" t="n">
        <v>4640242180076</v>
      </c>
      <c r="E584" s="1062" t="n"/>
      <c r="F584" s="1100" t="n">
        <v>0.7</v>
      </c>
      <c r="G584" s="37" t="n">
        <v>6</v>
      </c>
      <c r="H584" s="1100" t="n">
        <v>4.2</v>
      </c>
      <c r="I584" s="1100" t="n">
        <v>4.41</v>
      </c>
      <c r="J584" s="37" t="n">
        <v>132</v>
      </c>
      <c r="K584" s="37" t="inlineStr">
        <is>
          <t>12</t>
        </is>
      </c>
      <c r="L584" s="37" t="inlineStr"/>
      <c r="M584" s="38" t="inlineStr">
        <is>
          <t>СК2</t>
        </is>
      </c>
      <c r="N584" s="38" t="n"/>
      <c r="O584" s="37" t="n">
        <v>40</v>
      </c>
      <c r="P584" s="1400" t="inlineStr">
        <is>
          <t>В/к колбасы «Сервелат Зернистый» Весовой фиброуз ТМ «Зареченские» HR</t>
        </is>
      </c>
      <c r="Q584" s="1102" t="n"/>
      <c r="R584" s="1102" t="n"/>
      <c r="S584" s="1102" t="n"/>
      <c r="T584" s="1103" t="n"/>
      <c r="U584" s="39" t="inlineStr"/>
      <c r="V584" s="39" t="inlineStr"/>
      <c r="W584" s="40" t="inlineStr">
        <is>
          <t>кг</t>
        </is>
      </c>
      <c r="X584" s="1104" t="n">
        <v>0</v>
      </c>
      <c r="Y584" s="1105">
        <f>IFERROR(IF(X584="",0,CEILING((X584/$H584),1)*$H584),"")</f>
        <v/>
      </c>
      <c r="Z584" s="41">
        <f>IFERROR(IF(Y584=0,"",ROUNDUP(Y584/H584,0)*0.00902),"")</f>
        <v/>
      </c>
      <c r="AA584" s="68" t="inlineStr"/>
      <c r="AB584" s="69" t="inlineStr"/>
      <c r="AC584" s="668" t="inlineStr">
        <is>
          <t>ЕАЭС N RU Д-RU.РА05.В.12077/23</t>
        </is>
      </c>
      <c r="AG584" s="78" t="n"/>
      <c r="AJ584" s="84" t="inlineStr"/>
      <c r="AK584" s="84" t="n">
        <v>0</v>
      </c>
      <c r="BB584" s="669" t="inlineStr">
        <is>
          <t>КИ</t>
        </is>
      </c>
      <c r="BM584" s="78">
        <f>IFERROR(X584*I584/H584,"0")</f>
        <v/>
      </c>
      <c r="BN584" s="78">
        <f>IFERROR(Y584*I584/H584,"0")</f>
        <v/>
      </c>
      <c r="BO584" s="78">
        <f>IFERROR(1/J584*(X584/H584),"0")</f>
        <v/>
      </c>
      <c r="BP584" s="78">
        <f>IFERROR(1/J584*(Y584/H584),"0")</f>
        <v/>
      </c>
    </row>
    <row r="585">
      <c r="A585" s="758" t="n"/>
      <c r="B585" s="1051" t="n"/>
      <c r="C585" s="1051" t="n"/>
      <c r="D585" s="1051" t="n"/>
      <c r="E585" s="1051" t="n"/>
      <c r="F585" s="1051" t="n"/>
      <c r="G585" s="1051" t="n"/>
      <c r="H585" s="1051" t="n"/>
      <c r="I585" s="1051" t="n"/>
      <c r="J585" s="1051" t="n"/>
      <c r="K585" s="1051" t="n"/>
      <c r="L585" s="1051" t="n"/>
      <c r="M585" s="1051" t="n"/>
      <c r="N585" s="1051" t="n"/>
      <c r="O585" s="1111" t="n"/>
      <c r="P585" s="1112" t="inlineStr">
        <is>
          <t>Итого</t>
        </is>
      </c>
      <c r="Q585" s="1069" t="n"/>
      <c r="R585" s="1069" t="n"/>
      <c r="S585" s="1069" t="n"/>
      <c r="T585" s="1069" t="n"/>
      <c r="U585" s="1069" t="n"/>
      <c r="V585" s="1070" t="n"/>
      <c r="W585" s="42" t="inlineStr">
        <is>
          <t>кор</t>
        </is>
      </c>
      <c r="X585" s="1113">
        <f>IFERROR(X584/H584,"0")</f>
        <v/>
      </c>
      <c r="Y585" s="1113">
        <f>IFERROR(Y584/H584,"0")</f>
        <v/>
      </c>
      <c r="Z585" s="1113">
        <f>IFERROR(IF(Z584="",0,Z584),"0")</f>
        <v/>
      </c>
      <c r="AA585" s="1114" t="n"/>
      <c r="AB585" s="1114" t="n"/>
      <c r="AC585" s="1114" t="n"/>
    </row>
    <row r="586">
      <c r="A586" s="1051" t="n"/>
      <c r="B586" s="1051" t="n"/>
      <c r="C586" s="1051" t="n"/>
      <c r="D586" s="1051" t="n"/>
      <c r="E586" s="1051" t="n"/>
      <c r="F586" s="1051" t="n"/>
      <c r="G586" s="1051" t="n"/>
      <c r="H586" s="1051" t="n"/>
      <c r="I586" s="1051" t="n"/>
      <c r="J586" s="1051" t="n"/>
      <c r="K586" s="1051" t="n"/>
      <c r="L586" s="1051" t="n"/>
      <c r="M586" s="1051" t="n"/>
      <c r="N586" s="1051" t="n"/>
      <c r="O586" s="1111" t="n"/>
      <c r="P586" s="1112" t="inlineStr">
        <is>
          <t>Итого</t>
        </is>
      </c>
      <c r="Q586" s="1069" t="n"/>
      <c r="R586" s="1069" t="n"/>
      <c r="S586" s="1069" t="n"/>
      <c r="T586" s="1069" t="n"/>
      <c r="U586" s="1069" t="n"/>
      <c r="V586" s="1070" t="n"/>
      <c r="W586" s="42" t="inlineStr">
        <is>
          <t>кг</t>
        </is>
      </c>
      <c r="X586" s="1113">
        <f>IFERROR(SUM(X584:X584),"0")</f>
        <v/>
      </c>
      <c r="Y586" s="1113">
        <f>IFERROR(SUM(Y584:Y584),"0")</f>
        <v/>
      </c>
      <c r="Z586" s="42" t="n"/>
      <c r="AA586" s="1114" t="n"/>
      <c r="AB586" s="1114" t="n"/>
      <c r="AC586" s="1114" t="n"/>
    </row>
    <row r="587" ht="14.25" customHeight="1">
      <c r="A587" s="744" t="inlineStr">
        <is>
          <t>Сосиски</t>
        </is>
      </c>
      <c r="B587" s="1051" t="n"/>
      <c r="C587" s="1051" t="n"/>
      <c r="D587" s="1051" t="n"/>
      <c r="E587" s="1051" t="n"/>
      <c r="F587" s="1051" t="n"/>
      <c r="G587" s="1051" t="n"/>
      <c r="H587" s="1051" t="n"/>
      <c r="I587" s="1051" t="n"/>
      <c r="J587" s="1051" t="n"/>
      <c r="K587" s="1051" t="n"/>
      <c r="L587" s="1051" t="n"/>
      <c r="M587" s="1051" t="n"/>
      <c r="N587" s="1051" t="n"/>
      <c r="O587" s="1051" t="n"/>
      <c r="P587" s="1051" t="n"/>
      <c r="Q587" s="1051" t="n"/>
      <c r="R587" s="1051" t="n"/>
      <c r="S587" s="1051" t="n"/>
      <c r="T587" s="1051" t="n"/>
      <c r="U587" s="1051" t="n"/>
      <c r="V587" s="1051" t="n"/>
      <c r="W587" s="1051" t="n"/>
      <c r="X587" s="1051" t="n"/>
      <c r="Y587" s="1051" t="n"/>
      <c r="Z587" s="1051" t="n"/>
      <c r="AA587" s="744" t="n"/>
      <c r="AB587" s="744" t="n"/>
      <c r="AC587" s="744" t="n"/>
    </row>
    <row r="588" ht="27" customHeight="1">
      <c r="A588" s="63" t="inlineStr">
        <is>
          <t>SU002969</t>
        </is>
      </c>
      <c r="B588" s="63" t="inlineStr">
        <is>
          <t>P003414</t>
        </is>
      </c>
      <c r="C588" s="36" t="n">
        <v>4301051914</v>
      </c>
      <c r="D588" s="745" t="n">
        <v>4640242180113</v>
      </c>
      <c r="E588" s="1062" t="n"/>
      <c r="F588" s="1100" t="n">
        <v>1.5</v>
      </c>
      <c r="G588" s="37" t="n">
        <v>6</v>
      </c>
      <c r="H588" s="1100" t="n">
        <v>9</v>
      </c>
      <c r="I588" s="1100" t="n">
        <v>9.435</v>
      </c>
      <c r="J588" s="37" t="n">
        <v>64</v>
      </c>
      <c r="K588" s="37" t="inlineStr">
        <is>
          <t>8</t>
        </is>
      </c>
      <c r="L588" s="37" t="inlineStr"/>
      <c r="M588" s="38" t="inlineStr">
        <is>
          <t>СК4</t>
        </is>
      </c>
      <c r="N588" s="38" t="n"/>
      <c r="O588" s="37" t="n">
        <v>45</v>
      </c>
      <c r="P588" s="1401" t="inlineStr">
        <is>
          <t>Сосиски «Баварские с сыром» Весовой п/а ТМ «Зареченские»</t>
        </is>
      </c>
      <c r="Q588" s="1102" t="n"/>
      <c r="R588" s="1102" t="n"/>
      <c r="S588" s="1102" t="n"/>
      <c r="T588" s="1103" t="n"/>
      <c r="U588" s="39" t="inlineStr"/>
      <c r="V588" s="39" t="inlineStr"/>
      <c r="W588" s="40" t="inlineStr">
        <is>
          <t>кг</t>
        </is>
      </c>
      <c r="X588" s="1104" t="n">
        <v>0</v>
      </c>
      <c r="Y588" s="1105">
        <f>IFERROR(IF(X588="",0,CEILING((X588/$H588),1)*$H588),"")</f>
        <v/>
      </c>
      <c r="Z588" s="41">
        <f>IFERROR(IF(Y588=0,"",ROUNDUP(Y588/H588,0)*0.01898),"")</f>
        <v/>
      </c>
      <c r="AA588" s="68" t="inlineStr"/>
      <c r="AB588" s="69" t="inlineStr"/>
      <c r="AC588" s="670" t="inlineStr">
        <is>
          <t>ЕАЭС N RU Д-RU.РА05.В.10196/23</t>
        </is>
      </c>
      <c r="AG588" s="78" t="n"/>
      <c r="AJ588" s="84" t="inlineStr"/>
      <c r="AK588" s="84" t="n">
        <v>0</v>
      </c>
      <c r="BB588" s="671" t="inlineStr">
        <is>
          <t>КИ</t>
        </is>
      </c>
      <c r="BM588" s="78">
        <f>IFERROR(X588*I588/H588,"0")</f>
        <v/>
      </c>
      <c r="BN588" s="78">
        <f>IFERROR(Y588*I588/H588,"0")</f>
        <v/>
      </c>
      <c r="BO588" s="78">
        <f>IFERROR(1/J588*(X588/H588),"0")</f>
        <v/>
      </c>
      <c r="BP588" s="78">
        <f>IFERROR(1/J588*(Y588/H588),"0")</f>
        <v/>
      </c>
    </row>
    <row r="589">
      <c r="A589" s="758" t="n"/>
      <c r="B589" s="1051" t="n"/>
      <c r="C589" s="1051" t="n"/>
      <c r="D589" s="1051" t="n"/>
      <c r="E589" s="1051" t="n"/>
      <c r="F589" s="1051" t="n"/>
      <c r="G589" s="1051" t="n"/>
      <c r="H589" s="1051" t="n"/>
      <c r="I589" s="1051" t="n"/>
      <c r="J589" s="1051" t="n"/>
      <c r="K589" s="1051" t="n"/>
      <c r="L589" s="1051" t="n"/>
      <c r="M589" s="1051" t="n"/>
      <c r="N589" s="1051" t="n"/>
      <c r="O589" s="1111" t="n"/>
      <c r="P589" s="1112" t="inlineStr">
        <is>
          <t>Итого</t>
        </is>
      </c>
      <c r="Q589" s="1069" t="n"/>
      <c r="R589" s="1069" t="n"/>
      <c r="S589" s="1069" t="n"/>
      <c r="T589" s="1069" t="n"/>
      <c r="U589" s="1069" t="n"/>
      <c r="V589" s="1070" t="n"/>
      <c r="W589" s="42" t="inlineStr">
        <is>
          <t>кор</t>
        </is>
      </c>
      <c r="X589" s="1113">
        <f>IFERROR(X588/H588,"0")</f>
        <v/>
      </c>
      <c r="Y589" s="1113">
        <f>IFERROR(Y588/H588,"0")</f>
        <v/>
      </c>
      <c r="Z589" s="1113">
        <f>IFERROR(IF(Z588="",0,Z588),"0")</f>
        <v/>
      </c>
      <c r="AA589" s="1114" t="n"/>
      <c r="AB589" s="1114" t="n"/>
      <c r="AC589" s="1114" t="n"/>
    </row>
    <row r="590">
      <c r="A590" s="1051" t="n"/>
      <c r="B590" s="1051" t="n"/>
      <c r="C590" s="1051" t="n"/>
      <c r="D590" s="1051" t="n"/>
      <c r="E590" s="1051" t="n"/>
      <c r="F590" s="1051" t="n"/>
      <c r="G590" s="1051" t="n"/>
      <c r="H590" s="1051" t="n"/>
      <c r="I590" s="1051" t="n"/>
      <c r="J590" s="1051" t="n"/>
      <c r="K590" s="1051" t="n"/>
      <c r="L590" s="1051" t="n"/>
      <c r="M590" s="1051" t="n"/>
      <c r="N590" s="1051" t="n"/>
      <c r="O590" s="1111" t="n"/>
      <c r="P590" s="1112" t="inlineStr">
        <is>
          <t>Итого</t>
        </is>
      </c>
      <c r="Q590" s="1069" t="n"/>
      <c r="R590" s="1069" t="n"/>
      <c r="S590" s="1069" t="n"/>
      <c r="T590" s="1069" t="n"/>
      <c r="U590" s="1069" t="n"/>
      <c r="V590" s="1070" t="n"/>
      <c r="W590" s="42" t="inlineStr">
        <is>
          <t>кг</t>
        </is>
      </c>
      <c r="X590" s="1113">
        <f>IFERROR(SUM(X588:X588),"0")</f>
        <v/>
      </c>
      <c r="Y590" s="1113">
        <f>IFERROR(SUM(Y588:Y588),"0")</f>
        <v/>
      </c>
      <c r="Z590" s="42" t="n"/>
      <c r="AA590" s="1114" t="n"/>
      <c r="AB590" s="1114" t="n"/>
      <c r="AC590" s="1114" t="n"/>
    </row>
    <row r="591" ht="15" customHeight="1">
      <c r="A591" s="1049" t="n"/>
      <c r="B591" s="1051" t="n"/>
      <c r="C591" s="1051" t="n"/>
      <c r="D591" s="1051" t="n"/>
      <c r="E591" s="1051" t="n"/>
      <c r="F591" s="1051" t="n"/>
      <c r="G591" s="1051" t="n"/>
      <c r="H591" s="1051" t="n"/>
      <c r="I591" s="1051" t="n"/>
      <c r="J591" s="1051" t="n"/>
      <c r="K591" s="1051" t="n"/>
      <c r="L591" s="1051" t="n"/>
      <c r="M591" s="1051" t="n"/>
      <c r="N591" s="1051" t="n"/>
      <c r="O591" s="1059" t="n"/>
      <c r="P591" s="1402" t="inlineStr">
        <is>
          <t>ИТОГО НЕТТО</t>
        </is>
      </c>
      <c r="Q591" s="1054" t="n"/>
      <c r="R591" s="1054" t="n"/>
      <c r="S591" s="1054" t="n"/>
      <c r="T591" s="1054" t="n"/>
      <c r="U591" s="1054" t="n"/>
      <c r="V591" s="1055" t="n"/>
      <c r="W591" s="42" t="inlineStr">
        <is>
          <t>кг</t>
        </is>
      </c>
      <c r="X591" s="1113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/>
      </c>
      <c r="Y591" s="1113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/>
      </c>
      <c r="Z591" s="42" t="n"/>
      <c r="AA591" s="1114" t="n"/>
      <c r="AB591" s="1114" t="n"/>
      <c r="AC591" s="1114" t="n"/>
    </row>
    <row r="592">
      <c r="A592" s="1051" t="n"/>
      <c r="B592" s="1051" t="n"/>
      <c r="C592" s="1051" t="n"/>
      <c r="D592" s="1051" t="n"/>
      <c r="E592" s="1051" t="n"/>
      <c r="F592" s="1051" t="n"/>
      <c r="G592" s="1051" t="n"/>
      <c r="H592" s="1051" t="n"/>
      <c r="I592" s="1051" t="n"/>
      <c r="J592" s="1051" t="n"/>
      <c r="K592" s="1051" t="n"/>
      <c r="L592" s="1051" t="n"/>
      <c r="M592" s="1051" t="n"/>
      <c r="N592" s="1051" t="n"/>
      <c r="O592" s="1059" t="n"/>
      <c r="P592" s="1402" t="inlineStr">
        <is>
          <t>ИТОГО БРУТТО</t>
        </is>
      </c>
      <c r="Q592" s="1054" t="n"/>
      <c r="R592" s="1054" t="n"/>
      <c r="S592" s="1054" t="n"/>
      <c r="T592" s="1054" t="n"/>
      <c r="U592" s="1054" t="n"/>
      <c r="V592" s="1055" t="n"/>
      <c r="W592" s="42" t="inlineStr">
        <is>
          <t>кг</t>
        </is>
      </c>
      <c r="X592" s="1113">
        <f>IFERROR(SUM(BM22:BM588),"0")</f>
        <v/>
      </c>
      <c r="Y592" s="1113">
        <f>IFERROR(SUM(BN22:BN588),"0")</f>
        <v/>
      </c>
      <c r="Z592" s="42" t="n"/>
      <c r="AA592" s="1114" t="n"/>
      <c r="AB592" s="1114" t="n"/>
      <c r="AC592" s="1114" t="n"/>
    </row>
    <row r="593">
      <c r="A593" s="1051" t="n"/>
      <c r="B593" s="1051" t="n"/>
      <c r="C593" s="1051" t="n"/>
      <c r="D593" s="1051" t="n"/>
      <c r="E593" s="1051" t="n"/>
      <c r="F593" s="1051" t="n"/>
      <c r="G593" s="1051" t="n"/>
      <c r="H593" s="1051" t="n"/>
      <c r="I593" s="1051" t="n"/>
      <c r="J593" s="1051" t="n"/>
      <c r="K593" s="1051" t="n"/>
      <c r="L593" s="1051" t="n"/>
      <c r="M593" s="1051" t="n"/>
      <c r="N593" s="1051" t="n"/>
      <c r="O593" s="1059" t="n"/>
      <c r="P593" s="1402" t="inlineStr">
        <is>
          <t>Кол-во паллет</t>
        </is>
      </c>
      <c r="Q593" s="1054" t="n"/>
      <c r="R593" s="1054" t="n"/>
      <c r="S593" s="1054" t="n"/>
      <c r="T593" s="1054" t="n"/>
      <c r="U593" s="1054" t="n"/>
      <c r="V593" s="1055" t="n"/>
      <c r="W593" s="42" t="inlineStr">
        <is>
          <t>шт</t>
        </is>
      </c>
      <c r="X593" s="44">
        <f>ROUNDUP(SUM(BO22:BO588),0)</f>
        <v/>
      </c>
      <c r="Y593" s="44">
        <f>ROUNDUP(SUM(BP22:BP588),0)</f>
        <v/>
      </c>
      <c r="Z593" s="42" t="n"/>
      <c r="AA593" s="1114" t="n"/>
      <c r="AB593" s="1114" t="n"/>
      <c r="AC593" s="1114" t="n"/>
    </row>
    <row r="594">
      <c r="A594" s="1051" t="n"/>
      <c r="B594" s="1051" t="n"/>
      <c r="C594" s="1051" t="n"/>
      <c r="D594" s="1051" t="n"/>
      <c r="E594" s="1051" t="n"/>
      <c r="F594" s="1051" t="n"/>
      <c r="G594" s="1051" t="n"/>
      <c r="H594" s="1051" t="n"/>
      <c r="I594" s="1051" t="n"/>
      <c r="J594" s="1051" t="n"/>
      <c r="K594" s="1051" t="n"/>
      <c r="L594" s="1051" t="n"/>
      <c r="M594" s="1051" t="n"/>
      <c r="N594" s="1051" t="n"/>
      <c r="O594" s="1059" t="n"/>
      <c r="P594" s="1402" t="inlineStr">
        <is>
          <t>Вес брутто  с паллетами</t>
        </is>
      </c>
      <c r="Q594" s="1054" t="n"/>
      <c r="R594" s="1054" t="n"/>
      <c r="S594" s="1054" t="n"/>
      <c r="T594" s="1054" t="n"/>
      <c r="U594" s="1054" t="n"/>
      <c r="V594" s="1055" t="n"/>
      <c r="W594" s="42" t="inlineStr">
        <is>
          <t>кг</t>
        </is>
      </c>
      <c r="X594" s="1113">
        <f>GrossWeightTotal+PalletQtyTotal*25</f>
        <v/>
      </c>
      <c r="Y594" s="1113">
        <f>GrossWeightTotalR+PalletQtyTotalR*25</f>
        <v/>
      </c>
      <c r="Z594" s="42" t="n"/>
      <c r="AA594" s="1114" t="n"/>
      <c r="AB594" s="1114" t="n"/>
      <c r="AC594" s="1114" t="n"/>
    </row>
    <row r="595">
      <c r="A595" s="1051" t="n"/>
      <c r="B595" s="1051" t="n"/>
      <c r="C595" s="1051" t="n"/>
      <c r="D595" s="1051" t="n"/>
      <c r="E595" s="1051" t="n"/>
      <c r="F595" s="1051" t="n"/>
      <c r="G595" s="1051" t="n"/>
      <c r="H595" s="1051" t="n"/>
      <c r="I595" s="1051" t="n"/>
      <c r="J595" s="1051" t="n"/>
      <c r="K595" s="1051" t="n"/>
      <c r="L595" s="1051" t="n"/>
      <c r="M595" s="1051" t="n"/>
      <c r="N595" s="1051" t="n"/>
      <c r="O595" s="1059" t="n"/>
      <c r="P595" s="1402" t="inlineStr">
        <is>
          <t>Кол-во коробок</t>
        </is>
      </c>
      <c r="Q595" s="1054" t="n"/>
      <c r="R595" s="1054" t="n"/>
      <c r="S595" s="1054" t="n"/>
      <c r="T595" s="1054" t="n"/>
      <c r="U595" s="1054" t="n"/>
      <c r="V595" s="1055" t="n"/>
      <c r="W595" s="42" t="inlineStr">
        <is>
          <t>шт</t>
        </is>
      </c>
      <c r="X595" s="1113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/>
      </c>
      <c r="Y595" s="1113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/>
      </c>
      <c r="Z595" s="42" t="n"/>
      <c r="AA595" s="1114" t="n"/>
      <c r="AB595" s="1114" t="n"/>
      <c r="AC595" s="1114" t="n"/>
    </row>
    <row r="596" ht="14.25" customHeight="1">
      <c r="A596" s="1051" t="n"/>
      <c r="B596" s="1051" t="n"/>
      <c r="C596" s="1051" t="n"/>
      <c r="D596" s="1051" t="n"/>
      <c r="E596" s="1051" t="n"/>
      <c r="F596" s="1051" t="n"/>
      <c r="G596" s="1051" t="n"/>
      <c r="H596" s="1051" t="n"/>
      <c r="I596" s="1051" t="n"/>
      <c r="J596" s="1051" t="n"/>
      <c r="K596" s="1051" t="n"/>
      <c r="L596" s="1051" t="n"/>
      <c r="M596" s="1051" t="n"/>
      <c r="N596" s="1051" t="n"/>
      <c r="O596" s="1059" t="n"/>
      <c r="P596" s="1402" t="inlineStr">
        <is>
          <t>Объем заказа</t>
        </is>
      </c>
      <c r="Q596" s="1054" t="n"/>
      <c r="R596" s="1054" t="n"/>
      <c r="S596" s="1054" t="n"/>
      <c r="T596" s="1054" t="n"/>
      <c r="U596" s="1054" t="n"/>
      <c r="V596" s="1055" t="n"/>
      <c r="W596" s="45" t="inlineStr">
        <is>
          <t>м3</t>
        </is>
      </c>
      <c r="X596" s="42" t="n"/>
      <c r="Y596" s="42" t="n"/>
      <c r="Z596" s="42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/>
      </c>
      <c r="AA596" s="1114" t="n"/>
      <c r="AB596" s="1114" t="n"/>
      <c r="AC596" s="1114" t="n"/>
    </row>
    <row r="597" ht="13.5" customHeight="1" thickBot="1"/>
    <row r="598" ht="27" customHeight="1" thickBot="1" thickTop="1">
      <c r="A598" s="46" t="inlineStr">
        <is>
          <t>ТОРГОВАЯ МАРКА</t>
        </is>
      </c>
      <c r="B598" s="1050" t="inlineStr">
        <is>
          <t>Ядрена копоть</t>
        </is>
      </c>
      <c r="C598" s="1050" t="inlineStr">
        <is>
          <t>Вязанка</t>
        </is>
      </c>
      <c r="D598" s="1403" t="n"/>
      <c r="E598" s="1403" t="n"/>
      <c r="F598" s="1403" t="n"/>
      <c r="G598" s="1403" t="n"/>
      <c r="H598" s="1404" t="n"/>
      <c r="I598" s="1050" t="inlineStr">
        <is>
          <t>Стародворье</t>
        </is>
      </c>
      <c r="J598" s="1403" t="n"/>
      <c r="K598" s="1403" t="n"/>
      <c r="L598" s="1403" t="n"/>
      <c r="M598" s="1403" t="n"/>
      <c r="N598" s="1403" t="n"/>
      <c r="O598" s="1403" t="n"/>
      <c r="P598" s="1403" t="n"/>
      <c r="Q598" s="1403" t="n"/>
      <c r="R598" s="1403" t="n"/>
      <c r="S598" s="1403" t="n"/>
      <c r="T598" s="1403" t="n"/>
      <c r="U598" s="1403" t="n"/>
      <c r="V598" s="1404" t="n"/>
      <c r="W598" s="1050" t="inlineStr">
        <is>
          <t>Особый рецепт</t>
        </is>
      </c>
      <c r="X598" s="1404" t="n"/>
      <c r="Y598" s="1050" t="inlineStr">
        <is>
          <t>Баварушка</t>
        </is>
      </c>
      <c r="Z598" s="1403" t="n"/>
      <c r="AA598" s="1403" t="n"/>
      <c r="AB598" s="1404" t="n"/>
      <c r="AC598" s="1050" t="inlineStr">
        <is>
          <t>Дугушка</t>
        </is>
      </c>
      <c r="AD598" s="1050" t="inlineStr">
        <is>
          <t>Зареченские продукты</t>
        </is>
      </c>
      <c r="AE598" s="1404" t="n"/>
      <c r="AF598" s="1051" t="n"/>
    </row>
    <row r="599" ht="14.25" customHeight="1" thickTop="1">
      <c r="A599" s="1052" t="inlineStr">
        <is>
          <t>СЕРИЯ</t>
        </is>
      </c>
      <c r="B599" s="1050" t="inlineStr">
        <is>
          <t>Ядрена копоть</t>
        </is>
      </c>
      <c r="C599" s="1050" t="inlineStr">
        <is>
          <t>ГОСТ</t>
        </is>
      </c>
      <c r="D599" s="1050" t="inlineStr">
        <is>
          <t>Филейская</t>
        </is>
      </c>
      <c r="E599" s="1050" t="inlineStr">
        <is>
          <t>Молокуша</t>
        </is>
      </c>
      <c r="F599" s="1050" t="inlineStr">
        <is>
          <t>Сливушка</t>
        </is>
      </c>
      <c r="G599" s="1050" t="inlineStr">
        <is>
          <t>Халяль</t>
        </is>
      </c>
      <c r="H599" s="1050" t="inlineStr">
        <is>
          <t>Вязанка</t>
        </is>
      </c>
      <c r="I599" s="1050" t="inlineStr">
        <is>
          <t>Мясорубская</t>
        </is>
      </c>
      <c r="J599" s="1050" t="inlineStr">
        <is>
          <t>Сочинка</t>
        </is>
      </c>
      <c r="K599" s="1050" t="inlineStr">
        <is>
          <t>Стародворская</t>
        </is>
      </c>
      <c r="L599" s="1050" t="inlineStr">
        <is>
          <t>Филедворская по-стародворски</t>
        </is>
      </c>
      <c r="M599" s="1050" t="inlineStr">
        <is>
          <t>Филедворская Золоченная в печи</t>
        </is>
      </c>
      <c r="N599" s="1051" t="n"/>
      <c r="O599" s="1050" t="inlineStr">
        <is>
          <t>Стародворская Золоченная в печи</t>
        </is>
      </c>
      <c r="P599" s="1050" t="inlineStr">
        <is>
          <t>Сочинка по-баварски</t>
        </is>
      </c>
      <c r="Q599" s="1050" t="inlineStr">
        <is>
          <t>Стародворская EDLP/EDPP</t>
        </is>
      </c>
      <c r="R599" s="1050" t="inlineStr">
        <is>
          <t>Царедворская EDLP/EDPP</t>
        </is>
      </c>
      <c r="S599" s="1050" t="inlineStr">
        <is>
          <t>Филедворская EDLP/EDPP</t>
        </is>
      </c>
      <c r="T599" s="1050" t="inlineStr">
        <is>
          <t>Филейная</t>
        </is>
      </c>
      <c r="U599" s="1050" t="inlineStr">
        <is>
          <t>Бордо</t>
        </is>
      </c>
      <c r="V599" s="1050" t="inlineStr">
        <is>
          <t>Бавария</t>
        </is>
      </c>
      <c r="W599" s="1050" t="inlineStr">
        <is>
          <t>Особая</t>
        </is>
      </c>
      <c r="X599" s="1050" t="inlineStr">
        <is>
          <t>Особая Без свинины</t>
        </is>
      </c>
      <c r="Y599" s="1050" t="inlineStr">
        <is>
          <t>Филейбургская</t>
        </is>
      </c>
      <c r="Z599" s="1050" t="inlineStr">
        <is>
          <t>Балыкбургская</t>
        </is>
      </c>
      <c r="AA599" s="1050" t="inlineStr">
        <is>
          <t>Краковюрст</t>
        </is>
      </c>
      <c r="AB599" s="1050" t="inlineStr">
        <is>
          <t>Бюргерсы</t>
        </is>
      </c>
      <c r="AC599" s="1050" t="inlineStr">
        <is>
          <t>Дугушка</t>
        </is>
      </c>
      <c r="AD599" s="1050" t="inlineStr">
        <is>
          <t>Зареченские продукты</t>
        </is>
      </c>
      <c r="AE599" s="1050" t="inlineStr">
        <is>
          <t>Зареченские продукты Светофор</t>
        </is>
      </c>
      <c r="AF599" s="1051" t="n"/>
    </row>
    <row r="600" ht="13.5" customHeight="1" thickBot="1">
      <c r="A600" s="1405" t="n"/>
      <c r="B600" s="1406" t="n"/>
      <c r="C600" s="1406" t="n"/>
      <c r="D600" s="1406" t="n"/>
      <c r="E600" s="1406" t="n"/>
      <c r="F600" s="1406" t="n"/>
      <c r="G600" s="1406" t="n"/>
      <c r="H600" s="1406" t="n"/>
      <c r="I600" s="1406" t="n"/>
      <c r="J600" s="1406" t="n"/>
      <c r="K600" s="1406" t="n"/>
      <c r="L600" s="1406" t="n"/>
      <c r="M600" s="1406" t="n"/>
      <c r="N600" s="1051" t="n"/>
      <c r="O600" s="1406" t="n"/>
      <c r="P600" s="1406" t="n"/>
      <c r="Q600" s="1406" t="n"/>
      <c r="R600" s="1406" t="n"/>
      <c r="S600" s="1406" t="n"/>
      <c r="T600" s="1406" t="n"/>
      <c r="U600" s="1406" t="n"/>
      <c r="V600" s="1406" t="n"/>
      <c r="W600" s="1406" t="n"/>
      <c r="X600" s="1406" t="n"/>
      <c r="Y600" s="1406" t="n"/>
      <c r="Z600" s="1406" t="n"/>
      <c r="AA600" s="1406" t="n"/>
      <c r="AB600" s="1406" t="n"/>
      <c r="AC600" s="1406" t="n"/>
      <c r="AD600" s="1406" t="n"/>
      <c r="AE600" s="1406" t="n"/>
      <c r="AF600" s="1051" t="n"/>
    </row>
    <row r="601" ht="18" customHeight="1" thickBot="1" thickTop="1">
      <c r="A601" s="46" t="inlineStr">
        <is>
          <t>ИТОГО, кг</t>
        </is>
      </c>
      <c r="B601" s="52">
        <f>IFERROR(Y22*1,"0")+IFERROR(Y23*1,"0")+IFERROR(Y24*1,"0")+IFERROR(Y25*1,"0")+IFERROR(Y26*1,"0")+IFERROR(Y27*1,"0")+IFERROR(Y31*1,"0")</f>
        <v/>
      </c>
      <c r="C601" s="52">
        <f>IFERROR(Y37*1,"0")+IFERROR(Y38*1,"0")+IFERROR(Y39*1,"0")+IFERROR(Y40*1,"0")+IFERROR(Y44*1,"0")</f>
        <v/>
      </c>
      <c r="D601" s="52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/>
      </c>
      <c r="E601" s="52">
        <f>IFERROR(Y87*1,"0")+IFERROR(Y88*1,"0")+IFERROR(Y89*1,"0")+IFERROR(Y93*1,"0")+IFERROR(Y94*1,"0")+IFERROR(Y95*1,"0")+IFERROR(Y96*1,"0")+IFERROR(Y97*1,"0")+IFERROR(Y98*1,"0")+IFERROR(Y99*1,"0")+IFERROR(Y100*1,"0")+IFERROR(Y101*1,"0")</f>
        <v/>
      </c>
      <c r="F601" s="52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/>
      </c>
      <c r="G601" s="52">
        <f>IFERROR(Y137*1,"0")+IFERROR(Y138*1,"0")+IFERROR(Y142*1,"0")+IFERROR(Y143*1,"0")+IFERROR(Y147*1,"0")+IFERROR(Y148*1,"0")</f>
        <v/>
      </c>
      <c r="H601" s="52">
        <f>IFERROR(Y153*1,"0")+IFERROR(Y157*1,"0")+IFERROR(Y158*1,"0")+IFERROR(Y159*1,"0")+IFERROR(Y160*1,"0")+IFERROR(Y164*1,"0")</f>
        <v/>
      </c>
      <c r="I601" s="52">
        <f>IFERROR(Y170*1,"0")+IFERROR(Y174*1,"0")+IFERROR(Y175*1,"0")+IFERROR(Y176*1,"0")+IFERROR(Y177*1,"0")+IFERROR(Y178*1,"0")+IFERROR(Y179*1,"0")+IFERROR(Y180*1,"0")+IFERROR(Y181*1,"0")+IFERROR(Y182*1,"0")+IFERROR(Y186*1,"0")</f>
        <v/>
      </c>
      <c r="J6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/>
      </c>
      <c r="K601" s="52">
        <f>IFERROR(Y230*1,"0")+IFERROR(Y231*1,"0")+IFERROR(Y232*1,"0")+IFERROR(Y233*1,"0")+IFERROR(Y234*1,"0")+IFERROR(Y235*1,"0")+IFERROR(Y236*1,"0")+IFERROR(Y237*1,"0")+IFERROR(Y241*1,"0")+IFERROR(Y242*1,"0")+IFERROR(Y246*1,"0")+IFERROR(Y250*1,"0")</f>
        <v/>
      </c>
      <c r="L601" s="52">
        <f>IFERROR(Y255*1,"0")+IFERROR(Y256*1,"0")+IFERROR(Y257*1,"0")+IFERROR(Y258*1,"0")+IFERROR(Y259*1,"0")+IFERROR(Y260*1,"0")</f>
        <v/>
      </c>
      <c r="M601" s="52">
        <f>IFERROR(Y265*1,"0")</f>
        <v/>
      </c>
      <c r="N601" s="1051" t="n"/>
      <c r="O601" s="52">
        <f>IFERROR(Y270*1,"0")+IFERROR(Y271*1,"0")+IFERROR(Y272*1,"0")</f>
        <v/>
      </c>
      <c r="P601" s="52">
        <f>IFERROR(Y277*1,"0")+IFERROR(Y278*1,"0")+IFERROR(Y279*1,"0")+IFERROR(Y280*1,"0")+IFERROR(Y281*1,"0")</f>
        <v/>
      </c>
      <c r="Q601" s="52">
        <f>IFERROR(Y286*1,"0")+IFERROR(Y290*1,"0")+IFERROR(Y294*1,"0")</f>
        <v/>
      </c>
      <c r="R601" s="52">
        <f>IFERROR(Y299*1,"0")</f>
        <v/>
      </c>
      <c r="S601" s="52">
        <f>IFERROR(Y304*1,"0")+IFERROR(Y308*1,"0")+IFERROR(Y309*1,"0")</f>
        <v/>
      </c>
      <c r="T601" s="52">
        <f>IFERROR(Y314*1,"0")</f>
        <v/>
      </c>
      <c r="U601" s="52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/>
      </c>
      <c r="V601" s="52">
        <f>IFERROR(Y363*1,"0")+IFERROR(Y367*1,"0")+IFERROR(Y368*1,"0")+IFERROR(Y369*1,"0")</f>
        <v/>
      </c>
      <c r="W601" s="52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/>
      </c>
      <c r="X601" s="52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/>
      </c>
      <c r="Y601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/>
      </c>
      <c r="Z601" s="52">
        <f>IFERROR(Y451*1,"0")+IFERROR(Y452*1,"0")+IFERROR(Y456*1,"0")+IFERROR(Y457*1,"0")+IFERROR(Y458*1,"0")+IFERROR(Y459*1,"0")</f>
        <v/>
      </c>
      <c r="AA601" s="52">
        <f>IFERROR(Y464*1,"0")+IFERROR(Y465*1,"0")</f>
        <v/>
      </c>
      <c r="AB601" s="52">
        <f>IFERROR(Y470*1,"0")+IFERROR(Y474*1,"0")</f>
        <v/>
      </c>
      <c r="AC601" s="52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/>
      </c>
      <c r="AD601" s="52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/>
      </c>
      <c r="AE601" s="52">
        <f>IFERROR(Y576*1,"0")+IFERROR(Y580*1,"0")+IFERROR(Y584*1,"0")+IFERROR(Y588*1,"0")</f>
        <v/>
      </c>
      <c r="AF601" s="1051" t="n"/>
    </row>
    <row r="60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IAJWy13EmvscPTUGCE4nwQ==" formatRows="1" sort="0" spinCount="100000" hashValue="oj7hWUDhsL1FHlqS8sm+hhXcIEB0RW1G9VKzHmy0m23DeGGIrG+qdIRTSV9B9fvI0IWJzw9ojJELGEYPS5nhvg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1054"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B599:B600"/>
    <mergeCell ref="D485:E485"/>
    <mergeCell ref="P149:V149"/>
    <mergeCell ref="D599:D600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P172:V172"/>
    <mergeCell ref="P150:V150"/>
    <mergeCell ref="P28:V28"/>
    <mergeCell ref="P221:V221"/>
    <mergeCell ref="P326:V326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L599:L600"/>
    <mergeCell ref="P257:T257"/>
    <mergeCell ref="P80:T80"/>
    <mergeCell ref="Z17:Z18"/>
    <mergeCell ref="P29:V29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116:V116"/>
    <mergeCell ref="P32:V32"/>
    <mergeCell ref="P103:V103"/>
    <mergeCell ref="P134:V134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130:Z130"/>
    <mergeCell ref="P78:V78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D542:E542"/>
    <mergeCell ref="P71:T71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</mergeCells>
  <conditionalFormatting sqref="A8:N8 A9:C10 H10:N10 J9:N9 P9:R13">
    <cfRule type="expression" priority="15" dxfId="3" stopIfTrue="1">
      <formula>IF($V$5="самовывоз",1,0)</formula>
    </cfRule>
  </conditionalFormatting>
  <conditionalFormatting sqref="H9:I9">
    <cfRule type="expression" priority="8" dxfId="3" stopIfTrue="1">
      <formula>IF($V$5="самовывоз",1,0)</formula>
    </cfRule>
  </conditionalFormatting>
  <conditionalFormatting sqref="F9:G9">
    <cfRule type="expression" priority="7" dxfId="3" stopIfTrue="1">
      <formula>IF($V$5="самовывоз",1,0)</formula>
    </cfRule>
  </conditionalFormatting>
  <conditionalFormatting sqref="F10:G10">
    <cfRule type="expression" priority="6" dxfId="3" stopIfTrue="1">
      <formula>IF($V$5="самовывоз",1,0)</formula>
    </cfRule>
  </conditionalFormatting>
  <conditionalFormatting sqref="D9:E9">
    <cfRule type="expression" priority="5" dxfId="3" stopIfTrue="1">
      <formula>IF($V$5="самовывоз",1,0)</formula>
    </cfRule>
  </conditionalFormatting>
  <conditionalFormatting sqref="D10:E10">
    <cfRule type="expression" priority="4" dxfId="3" stopIfTrue="1">
      <formula>IF($V$5="самовывоз",1,0)</formula>
    </cfRule>
  </conditionalFormatting>
  <conditionalFormatting sqref="P5 P6:R6 P8">
    <cfRule type="expression" priority="3" dxfId="0" stopIfTrue="1">
      <formula>IF($V$5="доставка",1,0)</formula>
    </cfRule>
  </conditionalFormatting>
  <conditionalFormatting sqref="Q5:R5">
    <cfRule type="expression" priority="2" dxfId="0" stopIfTrue="1">
      <formula>IF($V$5="доставка",1,0)</formula>
    </cfRule>
  </conditionalFormatting>
  <conditionalFormatting sqref="Q8:R8">
    <cfRule type="expression" priority="1" dxfId="0" stopIfTrue="1">
      <formula>IF($V$5="доставка",1,0)</formula>
    </cfRule>
  </conditionalFormatting>
  <dataValidations xWindow="697" yWindow="616" count="19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CHOOSE($D$7,UnloadAdressList0001)</formula1>
    </dataValidation>
    <dataValidation sqref="X38 X50 X54 X61 X89 X124 X280 X376 X378 X381 X388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IF(AK38&gt;0,OR(X38=0,AND(IF(X38-AK38&gt;=0,TRUE,FALSE),X38&gt;0,IF(X38/(H38*J38)=ROUND(X38/(H38*J38),0),TRUE,FALSE))),FALSE)</formula1>
    </dataValidation>
    <dataValidation sqref="X321" showDropDown="0" showInputMessage="1" showErrorMessage="1" allowBlank="0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type="custom">
      <formula1>IF(AK321&gt;0,OR(X321=0,AND(IF(X321-AK321&gt;=0,TRUE,FALSE),X321&gt;0,IF(X321/(H321*K321)=ROUND(X321/(H321*K321),0),TRUE,FALSE))),FALSE)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0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КСК ТРЕЙД, ООО, Крым Респ, Симферополь г, Генерала Васильева ул, д. 44В, литера Ж, пом 5,</t>
        </is>
      </c>
      <c r="C6" s="53" t="inlineStr">
        <is>
          <t>590943_1</t>
        </is>
      </c>
      <c r="D6" s="53" t="inlineStr">
        <is>
          <t>1</t>
        </is>
      </c>
      <c r="E6" s="53" t="inlineStr"/>
    </row>
    <row r="8">
      <c r="B8" s="53" t="inlineStr">
        <is>
          <t>295051Российская Федерация, Крым Респ, Симферополь г, Генерала Васильева ул, д. 44В, литера Ж, пом 5,</t>
        </is>
      </c>
      <c r="C8" s="53" t="inlineStr">
        <is>
          <t>590943_1</t>
        </is>
      </c>
      <c r="D8" s="53" t="inlineStr"/>
      <c r="E8" s="53" t="inlineStr"/>
    </row>
    <row r="10">
      <c r="B10" s="53" t="inlineStr">
        <is>
          <t>CFR</t>
        </is>
      </c>
      <c r="C10" s="53" t="inlineStr"/>
      <c r="D10" s="53" t="inlineStr"/>
      <c r="E10" s="53" t="inlineStr"/>
    </row>
    <row r="11">
      <c r="B11" s="53" t="inlineStr">
        <is>
          <t>CIF</t>
        </is>
      </c>
      <c r="C11" s="53" t="inlineStr"/>
      <c r="D11" s="53" t="inlineStr"/>
      <c r="E11" s="53" t="inlineStr"/>
    </row>
    <row r="12">
      <c r="B12" s="53" t="inlineStr">
        <is>
          <t>CIP</t>
        </is>
      </c>
      <c r="C12" s="53" t="inlineStr"/>
      <c r="D12" s="53" t="inlineStr"/>
      <c r="E12" s="53" t="inlineStr"/>
    </row>
    <row r="13">
      <c r="B13" s="53" t="inlineStr">
        <is>
          <t>CPT</t>
        </is>
      </c>
      <c r="C13" s="53" t="inlineStr"/>
      <c r="D13" s="53" t="inlineStr"/>
      <c r="E13" s="53" t="inlineStr"/>
    </row>
    <row r="14">
      <c r="B14" s="53" t="inlineStr">
        <is>
          <t>DAP</t>
        </is>
      </c>
      <c r="C14" s="53" t="inlineStr"/>
      <c r="D14" s="53" t="inlineStr"/>
      <c r="E14" s="53" t="inlineStr"/>
    </row>
    <row r="15">
      <c r="B15" s="53" t="inlineStr">
        <is>
          <t>DAT</t>
        </is>
      </c>
      <c r="C15" s="53" t="inlineStr"/>
      <c r="D15" s="53" t="inlineStr"/>
      <c r="E15" s="53" t="inlineStr"/>
    </row>
    <row r="16">
      <c r="B16" s="53" t="inlineStr">
        <is>
          <t>DDP</t>
        </is>
      </c>
      <c r="C16" s="53" t="inlineStr"/>
      <c r="D16" s="53" t="inlineStr"/>
      <c r="E16" s="53" t="inlineStr"/>
    </row>
    <row r="17">
      <c r="B17" s="53" t="inlineStr">
        <is>
          <t>EXW</t>
        </is>
      </c>
      <c r="C17" s="53" t="inlineStr"/>
      <c r="D17" s="53" t="inlineStr"/>
      <c r="E17" s="53" t="inlineStr"/>
    </row>
    <row r="18">
      <c r="B18" s="53" t="inlineStr">
        <is>
          <t>FAS</t>
        </is>
      </c>
      <c r="C18" s="53" t="inlineStr"/>
      <c r="D18" s="53" t="inlineStr"/>
      <c r="E18" s="53" t="inlineStr"/>
    </row>
    <row r="19">
      <c r="B19" s="53" t="inlineStr">
        <is>
          <t>FCA</t>
        </is>
      </c>
      <c r="C19" s="53" t="inlineStr"/>
      <c r="D19" s="53" t="inlineStr"/>
      <c r="E19" s="53" t="inlineStr"/>
    </row>
    <row r="20">
      <c r="B20" s="53" t="inlineStr">
        <is>
          <t>FOB</t>
        </is>
      </c>
      <c r="C20" s="53" t="inlineStr"/>
      <c r="D20" s="53" t="inlineStr"/>
      <c r="E20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EBRD6PYPsjPnMul/xbJvpw==" formatRows="1" sort="0" spinCount="100000" hashValue="9TWMU0CXLM1eb5Q5zj+eucgior2sN8sDEqmuDStA/E+5VlmzkCD5wdd/yY3CRUbchDM1g+fXBJQOEGxoQEpMV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2025-04-11T12:22:40Z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