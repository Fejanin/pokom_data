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0468B62A-A83F-402B-BFB6-F26ADFDF98F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BO512" i="1"/>
  <c r="BM512" i="1"/>
  <c r="Y512" i="1"/>
  <c r="P512" i="1"/>
  <c r="BP511" i="1"/>
  <c r="BO511" i="1"/>
  <c r="BN511" i="1"/>
  <c r="BM511" i="1"/>
  <c r="Z511" i="1"/>
  <c r="Y511" i="1"/>
  <c r="BP510" i="1"/>
  <c r="BO510" i="1"/>
  <c r="BN510" i="1"/>
  <c r="BM510" i="1"/>
  <c r="Z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P499" i="1"/>
  <c r="BO498" i="1"/>
  <c r="BM498" i="1"/>
  <c r="Y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AB601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Z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BO241" i="1"/>
  <c r="BM241" i="1"/>
  <c r="Y241" i="1"/>
  <c r="P241" i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H601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BP119" i="1"/>
  <c r="BO119" i="1"/>
  <c r="BN119" i="1"/>
  <c r="BM119" i="1"/>
  <c r="Z119" i="1"/>
  <c r="Y119" i="1"/>
  <c r="Y128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A9" i="1"/>
  <c r="A10" i="1" s="1"/>
  <c r="D7" i="1"/>
  <c r="Q6" i="1"/>
  <c r="P2" i="1"/>
  <c r="Z77" i="1" l="1"/>
  <c r="Z149" i="1"/>
  <c r="Z55" i="1"/>
  <c r="Z128" i="1"/>
  <c r="F9" i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2" i="1"/>
  <c r="BP157" i="1"/>
  <c r="BN157" i="1"/>
  <c r="Z157" i="1"/>
  <c r="Z161" i="1" s="1"/>
  <c r="Y161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42" i="1"/>
  <c r="BN242" i="1"/>
  <c r="Z242" i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BP278" i="1"/>
  <c r="BN278" i="1"/>
  <c r="Z278" i="1"/>
  <c r="Z282" i="1" s="1"/>
  <c r="Y282" i="1"/>
  <c r="BP309" i="1"/>
  <c r="BN309" i="1"/>
  <c r="Z309" i="1"/>
  <c r="Z310" i="1" s="1"/>
  <c r="Y311" i="1"/>
  <c r="T601" i="1"/>
  <c r="Y315" i="1"/>
  <c r="BP314" i="1"/>
  <c r="BN314" i="1"/>
  <c r="Z314" i="1"/>
  <c r="Z315" i="1" s="1"/>
  <c r="Y316" i="1"/>
  <c r="U601" i="1"/>
  <c r="Y325" i="1"/>
  <c r="BP319" i="1"/>
  <c r="BN319" i="1"/>
  <c r="Z319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Z28" i="1" s="1"/>
  <c r="BN23" i="1"/>
  <c r="Y592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Z41" i="1" s="1"/>
  <c r="BN37" i="1"/>
  <c r="BP37" i="1"/>
  <c r="Y593" i="1" s="1"/>
  <c r="Z39" i="1"/>
  <c r="BN39" i="1"/>
  <c r="Y42" i="1"/>
  <c r="D601" i="1"/>
  <c r="Z50" i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21" i="1"/>
  <c r="BN121" i="1"/>
  <c r="Z124" i="1"/>
  <c r="BN124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Z148" i="1"/>
  <c r="BN148" i="1"/>
  <c r="Z153" i="1"/>
  <c r="Z154" i="1" s="1"/>
  <c r="BN153" i="1"/>
  <c r="BP153" i="1"/>
  <c r="Y154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Y243" i="1"/>
  <c r="BP241" i="1"/>
  <c r="BN241" i="1"/>
  <c r="Z241" i="1"/>
  <c r="BP257" i="1"/>
  <c r="BN257" i="1"/>
  <c r="Z257" i="1"/>
  <c r="Y261" i="1"/>
  <c r="Z273" i="1"/>
  <c r="BP271" i="1"/>
  <c r="BN271" i="1"/>
  <c r="Z271" i="1"/>
  <c r="BP280" i="1"/>
  <c r="BN280" i="1"/>
  <c r="Z280" i="1"/>
  <c r="Y310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BP320" i="1"/>
  <c r="BN32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Y467" i="1"/>
  <c r="Y472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03" i="1"/>
  <c r="BP498" i="1"/>
  <c r="BN498" i="1"/>
  <c r="Z498" i="1"/>
  <c r="Z502" i="1" s="1"/>
  <c r="BP506" i="1"/>
  <c r="BN506" i="1"/>
  <c r="Z506" i="1"/>
  <c r="BP508" i="1"/>
  <c r="BN508" i="1"/>
  <c r="Z508" i="1"/>
  <c r="BP512" i="1"/>
  <c r="BN512" i="1"/>
  <c r="Z512" i="1"/>
  <c r="BP515" i="1"/>
  <c r="BN515" i="1"/>
  <c r="Z515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Y594" i="1" l="1"/>
  <c r="Z565" i="1"/>
  <c r="Z385" i="1"/>
  <c r="Z325" i="1"/>
  <c r="Z547" i="1"/>
  <c r="Z517" i="1"/>
  <c r="Z442" i="1"/>
  <c r="Z332" i="1"/>
  <c r="Z243" i="1"/>
  <c r="Z221" i="1"/>
  <c r="Z110" i="1"/>
  <c r="Z83" i="1"/>
  <c r="Z596" i="1" s="1"/>
  <c r="Y595" i="1"/>
  <c r="Z408" i="1"/>
  <c r="Z370" i="1"/>
  <c r="Z261" i="1"/>
  <c r="Y591" i="1"/>
</calcChain>
</file>

<file path=xl/sharedStrings.xml><?xml version="1.0" encoding="utf-8"?>
<sst xmlns="http://schemas.openxmlformats.org/spreadsheetml/2006/main" count="2730" uniqueCount="967">
  <si>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</si>
  <si>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</si>
  <si>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</si>
  <si>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</si>
  <si>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</si>
  <si>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</si>
  <si>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</si>
  <si>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</si>
  <si>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</si>
  <si>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</si>
  <si>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</si>
  <si>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</si>
  <si>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</si>
  <si>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</si>
  <si>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</si>
  <si>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</si>
  <si>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</si>
  <si>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</si>
  <si>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</si>
  <si>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</si>
  <si>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</si>
  <si>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</si>
  <si>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</si>
  <si>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</si>
  <si>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</si>
  <si>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</si>
  <si>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</si>
  <si>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</si>
  <si>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</si>
  <si>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</si>
  <si>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</si>
  <si>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</si>
  <si>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</si>
  <si>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</si>
  <si>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</si>
  <si>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</si>
  <si>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</si>
  <si>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</si>
  <si>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</si>
  <si>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</si>
  <si>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</si>
  <si>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</si>
  <si>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</si>
  <si>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</si>
  <si>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</si>
  <si>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</si>
  <si>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</si>
  <si>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</si>
  <si>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</si>
  <si>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</si>
  <si>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</si>
  <si>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</si>
  <si>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</si>
  <si>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</si>
  <si>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</si>
  <si>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</si>
  <si>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</si>
  <si>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</si>
  <si>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</si>
  <si>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</si>
  <si>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</si>
  <si>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</si>
  <si>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</si>
  <si>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</si>
  <si>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</si>
  <si>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</si>
  <si>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</si>
  <si>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</si>
  <si>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</si>
  <si>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</si>
  <si>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</si>
  <si>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</si>
  <si>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</si>
  <si>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</si>
  <si>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</si>
  <si>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</si>
  <si>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</si>
  <si>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</si>
  <si>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</si>
  <si>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</si>
  <si>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</si>
  <si>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</si>
  <si>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</si>
  <si>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</si>
  <si>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</si>
  <si>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</si>
  <si>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</si>
  <si>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</si>
  <si>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</si>
  <si>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</si>
  <si>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</si>
  <si>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</si>
  <si>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</si>
  <si>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</si>
  <si>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</si>
  <si>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</si>
  <si>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</si>
  <si>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</si>
  <si>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</si>
  <si>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</si>
  <si>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</si>
  <si>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</si>
  <si>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</si>
  <si>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</si>
  <si>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</si>
  <si>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</si>
  <si>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</si>
  <si>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</si>
  <si>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</si>
  <si>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</si>
  <si>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</si>
  <si>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</si>
  <si>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</si>
  <si>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</si>
  <si>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</si>
  <si>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</si>
  <si>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</si>
  <si>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</si>
  <si>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</si>
  <si>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</si>
  <si>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</si>
  <si>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</si>
  <si>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</si>
  <si>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</si>
  <si>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</si>
  <si>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</si>
  <si>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</si>
  <si>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</si>
  <si>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</si>
  <si>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</si>
  <si>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</si>
  <si>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</si>
  <si>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</si>
  <si>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</si>
  <si>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</si>
  <si>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</si>
  <si>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</si>
  <si>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</si>
  <si>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</si>
  <si>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</si>
  <si>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</si>
  <si>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</si>
  <si>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</si>
  <si>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</si>
  <si>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</si>
  <si>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</si>
  <si>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</si>
  <si>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</si>
  <si>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</si>
  <si>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</si>
  <si>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</si>
  <si>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</si>
  <si>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</si>
  <si>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</si>
  <si>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</si>
  <si>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</si>
  <si>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</si>
  <si>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</si>
  <si>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</si>
  <si>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</si>
  <si>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</si>
  <si>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</si>
  <si>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</si>
  <si>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</si>
  <si>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</si>
  <si>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</si>
  <si>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</si>
  <si>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</si>
  <si>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</si>
  <si>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</si>
  <si>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</si>
  <si>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</si>
  <si>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</si>
  <si>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</si>
  <si>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</si>
  <si>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</si>
  <si>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</si>
  <si>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</si>
  <si>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</si>
  <si>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</si>
  <si>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</si>
  <si>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</si>
  <si>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</si>
  <si>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</si>
  <si>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</si>
  <si>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</si>
  <si>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</si>
  <si>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</si>
  <si>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</si>
  <si>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</si>
  <si>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</si>
  <si>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</si>
  <si>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</si>
  <si>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</si>
  <si>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</si>
  <si>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</si>
  <si>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</si>
  <si>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</si>
  <si>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</si>
  <si>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</si>
  <si>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</si>
  <si>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</si>
  <si>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</si>
  <si>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</si>
  <si>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</si>
  <si>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</si>
  <si>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</si>
  <si>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</si>
  <si>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</si>
  <si>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</si>
  <si>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</si>
  <si>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</si>
  <si>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</si>
  <si>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</si>
  <si>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</si>
  <si>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</si>
  <si>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</si>
  <si>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</si>
  <si>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</si>
  <si>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</si>
  <si>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</si>
  <si>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</si>
  <si>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</si>
  <si>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</si>
  <si>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</si>
  <si>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</si>
  <si>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</si>
  <si>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</si>
  <si>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</si>
  <si>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</si>
  <si>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</si>
  <si>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</si>
  <si>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</si>
  <si>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</si>
  <si>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</si>
  <si>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</si>
  <si>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</si>
  <si>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</si>
  <si>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</si>
  <si>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</si>
  <si>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</si>
  <si>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</si>
  <si>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</si>
  <si>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</si>
  <si>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</si>
  <si>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</si>
  <si>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</si>
  <si>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</si>
  <si>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</si>
  <si>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</si>
  <si>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</si>
  <si>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</si>
  <si>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</si>
  <si>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</si>
  <si>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</si>
  <si>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</si>
  <si>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</si>
  <si>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</si>
  <si>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</si>
  <si>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</si>
  <si>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</si>
  <si>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</si>
  <si>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</si>
  <si>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</si>
  <si>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</si>
  <si>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</si>
  <si>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</si>
  <si>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</si>
  <si>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</si>
  <si>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</si>
  <si>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</si>
  <si>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</si>
  <si>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</si>
  <si>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</si>
  <si>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</si>
  <si>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</si>
  <si>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</si>
  <si>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</si>
  <si>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</si>
  <si>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</si>
  <si>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</si>
  <si>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</si>
  <si>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</si>
  <si>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</si>
  <si>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</si>
  <si>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</si>
  <si>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</si>
  <si>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</si>
  <si>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</si>
  <si>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</si>
  <si>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</si>
  <si>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</si>
  <si>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</si>
  <si>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</si>
  <si>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</si>
  <si>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</si>
  <si>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</si>
  <si>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</si>
  <si>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</si>
  <si>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</si>
  <si>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</si>
  <si>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</si>
  <si>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</si>
  <si>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</si>
  <si>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</si>
  <si>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</si>
  <si>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</si>
  <si>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</si>
  <si>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</si>
  <si>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</si>
  <si>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</si>
  <si>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</si>
  <si>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</si>
  <si>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</si>
  <si>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</si>
  <si>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</si>
  <si>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</si>
  <si>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</si>
  <si>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</si>
  <si>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</si>
  <si>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</si>
  <si>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</si>
  <si>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</si>
  <si>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</si>
  <si>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</si>
  <si>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</si>
  <si>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</si>
  <si>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</si>
  <si>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</si>
  <si>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</si>
  <si>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</si>
  <si>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</si>
  <si>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</si>
  <si>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</si>
  <si>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</si>
  <si>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</si>
  <si>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</si>
  <si>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</si>
  <si>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</si>
  <si>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</si>
  <si>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</si>
  <si>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</si>
  <si>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</si>
  <si>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</si>
  <si>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</si>
  <si>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</si>
  <si>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</si>
  <si>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</si>
  <si>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</si>
  <si>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</si>
  <si>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</si>
  <si>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</si>
  <si>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</si>
  <si>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</si>
  <si>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</si>
  <si>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</si>
  <si>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</si>
  <si>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</si>
  <si>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</si>
  <si>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</si>
  <si>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</si>
  <si>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</si>
  <si>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</si>
  <si>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</si>
  <si>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</si>
  <si>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</si>
  <si>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</si>
  <si>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</si>
  <si>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</si>
  <si>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</si>
  <si>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</si>
  <si>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</si>
  <si>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</si>
  <si>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</si>
  <si>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</si>
  <si>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</si>
  <si>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</si>
  <si>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</si>
  <si>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</si>
  <si>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</si>
  <si>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</si>
  <si>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</si>
  <si>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</si>
  <si>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</si>
  <si>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</si>
  <si>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</si>
  <si>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</si>
  <si>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</si>
  <si>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</si>
  <si>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</si>
  <si>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</si>
  <si>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</si>
  <si>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</si>
  <si>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</si>
  <si>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</si>
  <si>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</si>
  <si>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Д-RU.РА01.В.54559/25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</si>
  <si>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</si>
  <si>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</si>
  <si>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</si>
  <si>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</si>
  <si>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</si>
  <si>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</si>
  <si>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</si>
  <si>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</si>
  <si>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</si>
  <si>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</si>
  <si>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</si>
  <si>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</si>
  <si>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</si>
  <si>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</si>
  <si>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</si>
  <si>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</si>
  <si>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</si>
  <si>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</si>
  <si>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</si>
  <si>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</si>
  <si>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</si>
  <si>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</si>
  <si>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</si>
  <si>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</si>
  <si>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</si>
  <si>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</si>
  <si>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</si>
  <si>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</si>
  <si>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</si>
  <si>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</si>
  <si>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</si>
  <si>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</si>
  <si>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</si>
  <si>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</si>
  <si>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</si>
  <si>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</si>
  <si>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</si>
  <si>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</si>
  <si>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</si>
  <si>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</si>
  <si>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</si>
  <si>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</si>
  <si>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</si>
  <si>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</si>
  <si>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</si>
  <si>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</si>
  <si>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</si>
  <si>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</si>
  <si>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</si>
  <si>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</si>
  <si>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</si>
  <si>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</si>
  <si>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</si>
  <si>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</si>
  <si>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</si>
  <si>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</si>
  <si>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</si>
  <si>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</si>
  <si>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</si>
  <si>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</si>
  <si>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</si>
  <si>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</si>
  <si>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</si>
  <si>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</si>
  <si>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</si>
  <si>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</si>
  <si>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</si>
  <si>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</si>
  <si>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</si>
  <si>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</si>
  <si>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</si>
  <si>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</si>
  <si>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</si>
  <si>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</si>
  <si>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</si>
  <si>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</si>
  <si>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</si>
  <si>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</si>
  <si>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</si>
  <si>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</si>
  <si>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</si>
  <si>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</si>
  <si>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</si>
  <si>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</si>
  <si>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</si>
  <si>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</si>
  <si>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</si>
  <si>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</si>
  <si>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</si>
  <si>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</si>
  <si>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</si>
  <si>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</si>
  <si>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</si>
  <si>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</si>
  <si>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</si>
  <si>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</si>
  <si>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</si>
  <si>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</si>
  <si>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</si>
  <si>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</si>
  <si>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</si>
  <si>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Слой, мин. 1</t>
  </si>
  <si>
    <t>ЕАЭС N RU Д-RU.РА04.В.93998/24, ЕАЭС N RU Д-RU.РА04.В.94346/24</t>
  </si>
  <si>
    <t>Слой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</si>
  <si>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</si>
  <si>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</si>
  <si>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</si>
  <si>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</si>
  <si>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</si>
  <si>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</si>
  <si>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</si>
  <si>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</si>
  <si>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</si>
  <si>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</si>
  <si>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</si>
  <si>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</si>
  <si>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</si>
  <si>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</si>
  <si>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</si>
  <si>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</si>
  <si>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</si>
  <si>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</si>
  <si>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</si>
  <si>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</si>
  <si>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</si>
  <si>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</si>
  <si>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</si>
  <si>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</si>
  <si>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</si>
  <si>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</si>
  <si>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</si>
  <si>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</si>
  <si>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</si>
  <si>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</si>
  <si>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</si>
  <si>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</si>
  <si>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</si>
  <si>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</si>
  <si>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</si>
  <si>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</si>
  <si>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</si>
  <si>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</si>
  <si>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</si>
  <si>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</si>
  <si>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</si>
  <si>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</si>
  <si>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</si>
  <si>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</si>
  <si>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</si>
  <si>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</si>
  <si>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</si>
  <si>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</si>
  <si>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</si>
  <si>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</si>
  <si>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</si>
  <si>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</si>
  <si>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</si>
  <si>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</si>
  <si>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</si>
  <si>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</si>
  <si>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</si>
  <si>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</si>
  <si>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</si>
  <si>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</si>
  <si>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</si>
  <si>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</si>
  <si>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</si>
  <si>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</si>
  <si>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</si>
  <si>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</si>
  <si>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</si>
  <si>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</si>
  <si>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</si>
  <si>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</si>
  <si>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</si>
  <si>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</si>
  <si>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</si>
  <si>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</si>
  <si>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</si>
  <si>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</si>
  <si>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</si>
  <si>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</si>
  <si>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</si>
  <si>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</si>
  <si>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</si>
  <si>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</si>
  <si>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</si>
  <si>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</si>
  <si>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</si>
  <si>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</si>
  <si>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</si>
  <si>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</si>
  <si>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</si>
  <si>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</si>
  <si>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</si>
  <si>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SU000251</t>
  </si>
  <si>
    <t>P002584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</si>
  <si>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</si>
  <si>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</si>
  <si>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</si>
  <si>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</si>
  <si>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</si>
  <si>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</si>
  <si>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</si>
  <si>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</si>
  <si>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</si>
  <si>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</si>
  <si>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</si>
  <si>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</si>
  <si>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</si>
  <si>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</si>
  <si>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</si>
  <si>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</si>
  <si>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</si>
  <si>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</si>
  <si>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</si>
  <si>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</si>
  <si>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</si>
  <si>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</si>
  <si>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</si>
  <si>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</si>
  <si>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</si>
  <si>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</si>
  <si>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</si>
  <si>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</si>
  <si>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</si>
  <si>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</si>
  <si>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</si>
  <si>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</si>
  <si>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</si>
  <si>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</si>
  <si>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</si>
  <si>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</si>
  <si>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</si>
  <si>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</si>
  <si>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</si>
  <si>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</si>
  <si>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</si>
  <si>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</si>
  <si>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</si>
  <si>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</si>
  <si>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</si>
  <si>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</si>
  <si>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</si>
  <si>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</si>
  <si>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</si>
  <si>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</si>
  <si>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</si>
  <si>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</si>
  <si>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</si>
  <si>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</si>
  <si>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</si>
  <si>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</si>
  <si>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</si>
  <si>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</si>
  <si>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</si>
  <si>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</si>
  <si>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</si>
  <si>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</si>
  <si>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</si>
  <si>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</si>
  <si>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</si>
  <si>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</si>
  <si>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</si>
  <si>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</si>
  <si>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</si>
  <si>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</si>
  <si>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</si>
  <si>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</si>
  <si>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</si>
  <si>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</si>
  <si>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</si>
  <si>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</si>
  <si>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</si>
  <si>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</si>
  <si>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</si>
  <si>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</si>
  <si>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</si>
  <si>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</si>
  <si>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</si>
  <si>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</si>
  <si>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</si>
  <si>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</si>
  <si>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</si>
  <si>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</si>
  <si>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</si>
  <si>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</si>
  <si>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</si>
  <si>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</si>
  <si>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</si>
  <si>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</si>
  <si>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</si>
  <si>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</si>
  <si>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</si>
  <si>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</si>
  <si>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</si>
  <si>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</si>
  <si>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</si>
  <si>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</si>
  <si>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</si>
  <si>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</si>
  <si>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</si>
  <si>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</si>
  <si>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</si>
  <si>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</si>
  <si>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</si>
  <si>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</si>
  <si>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</si>
  <si>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</si>
  <si>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</si>
  <si>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</si>
  <si>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</si>
  <si>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</si>
  <si>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</si>
  <si>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</si>
  <si>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</si>
  <si>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</si>
  <si>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</si>
  <si>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</si>
  <si>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</si>
  <si>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</si>
  <si>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</si>
  <si>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</si>
  <si>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</si>
  <si>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</si>
  <si>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</si>
  <si>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</si>
  <si>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</si>
  <si>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</si>
  <si>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</si>
  <si>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</si>
  <si>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</si>
  <si>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</si>
  <si>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</si>
  <si>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</si>
  <si>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</si>
  <si>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</si>
  <si>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</si>
  <si>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</si>
  <si>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</si>
  <si>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</si>
  <si>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</si>
  <si>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</si>
  <si>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</si>
  <si>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</si>
  <si>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</si>
  <si>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</si>
  <si>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</si>
  <si>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</si>
  <si>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</si>
  <si>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</si>
  <si>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</si>
  <si>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</si>
  <si>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</si>
  <si>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</si>
  <si>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</si>
  <si>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</si>
  <si>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</si>
  <si>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</si>
  <si>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</si>
  <si>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</si>
  <si>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</si>
  <si>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</si>
  <si>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</si>
  <si>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</si>
  <si>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</si>
  <si>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</si>
  <si>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</si>
  <si>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</si>
  <si>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</si>
  <si>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</si>
  <si>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</si>
  <si>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</si>
  <si>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</si>
  <si>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</si>
  <si>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</si>
  <si>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</si>
  <si>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</si>
  <si>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</si>
  <si>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</si>
  <si>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</si>
  <si>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</si>
  <si>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</si>
  <si>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</si>
  <si>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</si>
  <si>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</si>
  <si>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</si>
  <si>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</si>
  <si>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</si>
  <si>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</si>
  <si>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</si>
  <si>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</si>
  <si>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</si>
  <si>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</si>
  <si>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</si>
  <si>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</si>
  <si>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</si>
  <si>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</si>
  <si>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</si>
  <si>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</si>
  <si>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</si>
  <si>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</si>
  <si>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</si>
  <si>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</si>
  <si>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</si>
  <si>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</si>
  <si>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</si>
  <si>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</si>
  <si>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</si>
  <si>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</si>
  <si>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</si>
  <si>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</si>
  <si>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</si>
  <si>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</si>
  <si>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P004693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</si>
  <si>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</si>
  <si>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</si>
  <si>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</si>
  <si>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</si>
  <si>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</si>
  <si>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</si>
  <si>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</si>
  <si>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</si>
  <si>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</si>
  <si>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</si>
  <si>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</si>
  <si>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</si>
  <si>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</si>
  <si>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</si>
  <si>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</si>
  <si>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</si>
  <si>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</si>
  <si>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</si>
  <si>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</si>
  <si>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</si>
  <si>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</si>
  <si>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</si>
  <si>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</si>
  <si>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</si>
  <si>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</si>
  <si>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</si>
  <si>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</si>
  <si>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</si>
  <si>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</si>
  <si>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</si>
  <si>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</si>
  <si>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</si>
  <si>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</si>
  <si>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</si>
  <si>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</si>
  <si>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</si>
  <si>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</si>
  <si>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</si>
  <si>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</si>
  <si>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</si>
  <si>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</si>
  <si>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</si>
  <si>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</si>
  <si>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</si>
  <si>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</si>
  <si>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</si>
  <si>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</si>
  <si>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</si>
  <si>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</si>
  <si>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</si>
  <si>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</si>
  <si>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</si>
  <si>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</si>
  <si>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</si>
  <si>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</si>
  <si>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</si>
  <si>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</si>
  <si>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</si>
  <si>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</si>
  <si>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</si>
  <si>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</si>
  <si>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</si>
  <si>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</si>
  <si>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</si>
  <si>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</si>
  <si>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</si>
  <si>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</si>
  <si>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</si>
  <si>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</si>
  <si>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</si>
  <si>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</si>
  <si>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</si>
  <si>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</si>
  <si>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</si>
  <si>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</si>
  <si>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</si>
  <si>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</si>
  <si>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</si>
  <si>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</si>
  <si>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</si>
  <si>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</si>
  <si>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</si>
  <si>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</si>
  <si>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</si>
  <si>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</si>
  <si>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</si>
  <si>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P004737</t>
  </si>
  <si>
    <t>Сосиски «Датские» Весовой п/а ТМ «Зареченские продукты»</t>
  </si>
  <si>
    <t>ЕАЭС N RU Д-RU.РА05.В.94085/23</t>
  </si>
  <si>
    <t>P004991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</si>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</sst>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2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45760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Воскресенье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1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 t="s">
        <v>19</v>
      </c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20</v>
      </c>
      <c r="Q8" s="811">
        <v>0.375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22</v>
      </c>
      <c r="Q10" s="855"/>
      <c r="R10" s="856"/>
      <c r="U10" s="24" t="s">
        <v>23</v>
      </c>
      <c r="V10" s="706" t="s">
        <v>24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8"/>
      <c r="R11" s="799"/>
      <c r="U11" s="24" t="s">
        <v>27</v>
      </c>
      <c r="V11" s="965" t="s">
        <v>28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29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30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31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32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33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34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36</v>
      </c>
      <c r="B17" s="702" t="s">
        <v>37</v>
      </c>
      <c r="C17" s="819" t="s">
        <v>38</v>
      </c>
      <c r="D17" s="702" t="s">
        <v>39</v>
      </c>
      <c r="E17" s="771"/>
      <c r="F17" s="702" t="s">
        <v>40</v>
      </c>
      <c r="G17" s="702" t="s">
        <v>41</v>
      </c>
      <c r="H17" s="702" t="s">
        <v>42</v>
      </c>
      <c r="I17" s="702" t="s">
        <v>43</v>
      </c>
      <c r="J17" s="702" t="s">
        <v>44</v>
      </c>
      <c r="K17" s="702" t="s">
        <v>45</v>
      </c>
      <c r="L17" s="702" t="s">
        <v>46</v>
      </c>
      <c r="M17" s="702" t="s">
        <v>47</v>
      </c>
      <c r="N17" s="702" t="s">
        <v>48</v>
      </c>
      <c r="O17" s="702" t="s">
        <v>49</v>
      </c>
      <c r="P17" s="702" t="s">
        <v>50</v>
      </c>
      <c r="Q17" s="770"/>
      <c r="R17" s="770"/>
      <c r="S17" s="770"/>
      <c r="T17" s="771"/>
      <c r="U17" s="1036" t="s">
        <v>51</v>
      </c>
      <c r="V17" s="802"/>
      <c r="W17" s="702" t="s">
        <v>52</v>
      </c>
      <c r="X17" s="702" t="s">
        <v>53</v>
      </c>
      <c r="Y17" s="1037" t="s">
        <v>54</v>
      </c>
      <c r="Z17" s="940" t="s">
        <v>55</v>
      </c>
      <c r="AA17" s="915" t="s">
        <v>56</v>
      </c>
      <c r="AB17" s="915" t="s">
        <v>57</v>
      </c>
      <c r="AC17" s="915" t="s">
        <v>58</v>
      </c>
      <c r="AD17" s="915" t="s">
        <v>59</v>
      </c>
      <c r="AE17" s="996"/>
      <c r="AF17" s="997"/>
      <c r="AG17" s="66"/>
      <c r="BD17" s="65" t="s">
        <v>60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61</v>
      </c>
      <c r="V18" s="67" t="s">
        <v>62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63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64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69</v>
      </c>
      <c r="X22" s="663">
        <v>18</v>
      </c>
      <c r="Y22" s="664">
        <f t="shared" ref="Y22:Y27" si="0">IFERROR(IF(X22="",0,CEILING((X22/$H22),1)*$H22),"")</f>
        <v>18</v>
      </c>
      <c r="Z22" s="36">
        <f t="shared" ref="Z22:Z27" si="1">IFERROR(IF(Y22=0,"",ROUNDUP(Y22/H22,0)*0.00651),"")</f>
        <v>6.5100000000000005E-2</v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31.8</v>
      </c>
      <c r="BN22" s="64">
        <f t="shared" ref="BN22:BN27" si="3">IFERROR(Y22*I22/H22,"0")</f>
        <v>31.8</v>
      </c>
      <c r="BO22" s="64">
        <f t="shared" ref="BO22:BO27" si="4">IFERROR(1/J22*(X22/H22),"0")</f>
        <v>5.4945054945054951E-2</v>
      </c>
      <c r="BP22" s="64">
        <f t="shared" ref="BP22:BP27" si="5">IFERROR(1/J22*(Y22/H22),"0")</f>
        <v>5.4945054945054951E-2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7" t="s">
        <v>76</v>
      </c>
      <c r="Q24" s="670"/>
      <c r="R24" s="670"/>
      <c r="S24" s="670"/>
      <c r="T24" s="671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78</v>
      </c>
      <c r="B25" s="54" t="s">
        <v>79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2" t="s">
        <v>80</v>
      </c>
      <c r="Q25" s="670"/>
      <c r="R25" s="670"/>
      <c r="S25" s="670"/>
      <c r="T25" s="671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82</v>
      </c>
      <c r="B26" s="54" t="s">
        <v>83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85</v>
      </c>
      <c r="B27" s="54" t="s">
        <v>86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10</v>
      </c>
      <c r="Y28" s="665">
        <f>IFERROR(Y22/H22,"0")+IFERROR(Y23/H23,"0")+IFERROR(Y24/H24,"0")+IFERROR(Y25/H25,"0")+IFERROR(Y26/H26,"0")+IFERROR(Y27/H27,"0")</f>
        <v>10</v>
      </c>
      <c r="Z28" s="665">
        <f>IFERROR(IF(Z22="",0,Z22),"0")+IFERROR(IF(Z23="",0,Z23),"0")+IFERROR(IF(Z24="",0,Z24),"0")+IFERROR(IF(Z25="",0,Z25),"0")+IFERROR(IF(Z26="",0,Z26),"0")+IFERROR(IF(Z27="",0,Z27),"0")</f>
        <v>6.5100000000000005E-2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18</v>
      </c>
      <c r="Y29" s="665">
        <f>IFERROR(SUM(Y22:Y27),"0")</f>
        <v>18</v>
      </c>
      <c r="Z29" s="37"/>
      <c r="AA29" s="666"/>
      <c r="AB29" s="666"/>
      <c r="AC29" s="666"/>
    </row>
    <row r="30" spans="1:68" ht="14.25" customHeight="1" x14ac:dyDescent="0.25">
      <c r="A30" s="679" t="s">
        <v>90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91</v>
      </c>
      <c r="B31" s="54" t="s">
        <v>92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97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98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69</v>
      </c>
      <c r="X37" s="663">
        <v>160</v>
      </c>
      <c r="Y37" s="664">
        <f>IFERROR(IF(X37="",0,CEILING((X37/$H37),1)*$H37),"")</f>
        <v>162</v>
      </c>
      <c r="Z37" s="36">
        <f>IFERROR(IF(Y37=0,"",ROUNDUP(Y37/H37,0)*0.01898),"")</f>
        <v>0.28470000000000001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166.44444444444443</v>
      </c>
      <c r="BN37" s="64">
        <f>IFERROR(Y37*I37/H37,"0")</f>
        <v>168.52499999999998</v>
      </c>
      <c r="BO37" s="64">
        <f>IFERROR(1/J37*(X37/H37),"0")</f>
        <v>0.23148148148148145</v>
      </c>
      <c r="BP37" s="64">
        <f>IFERROR(1/J37*(Y37/H37),"0")</f>
        <v>0.23437499999999997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69</v>
      </c>
      <c r="X38" s="663">
        <v>320</v>
      </c>
      <c r="Y38" s="664">
        <f>IFERROR(IF(X38="",0,CEILING((X38/$H38),1)*$H38),"")</f>
        <v>320</v>
      </c>
      <c r="Z38" s="36">
        <f>IFERROR(IF(Y38=0,"",ROUNDUP(Y38/H38,0)*0.00902),"")</f>
        <v>0.72160000000000002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336.8</v>
      </c>
      <c r="BN38" s="64">
        <f>IFERROR(Y38*I38/H38,"0")</f>
        <v>336.8</v>
      </c>
      <c r="BO38" s="64">
        <f>IFERROR(1/J38*(X38/H38),"0")</f>
        <v>0.60606060606060608</v>
      </c>
      <c r="BP38" s="64">
        <f>IFERROR(1/J38*(Y38/H38),"0")</f>
        <v>0.60606060606060608</v>
      </c>
    </row>
    <row r="39" spans="1:68" ht="27" customHeight="1" x14ac:dyDescent="0.25">
      <c r="A39" s="54" t="s">
        <v>110</v>
      </c>
      <c r="B39" s="54" t="s">
        <v>111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112</v>
      </c>
      <c r="B40" s="54" t="s">
        <v>113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94.81481481481481</v>
      </c>
      <c r="Y41" s="665">
        <f>IFERROR(Y37/H37,"0")+IFERROR(Y38/H38,"0")+IFERROR(Y39/H39,"0")+IFERROR(Y40/H40,"0")</f>
        <v>95</v>
      </c>
      <c r="Z41" s="665">
        <f>IFERROR(IF(Z37="",0,Z37),"0")+IFERROR(IF(Z38="",0,Z38),"0")+IFERROR(IF(Z39="",0,Z39),"0")+IFERROR(IF(Z40="",0,Z40),"0")</f>
        <v>1.0063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480</v>
      </c>
      <c r="Y42" s="665">
        <f>IFERROR(SUM(Y37:Y40),"0")</f>
        <v>482</v>
      </c>
      <c r="Z42" s="37"/>
      <c r="AA42" s="666"/>
      <c r="AB42" s="666"/>
      <c r="AC42" s="666"/>
    </row>
    <row r="43" spans="1:68" ht="14.25" customHeight="1" x14ac:dyDescent="0.25">
      <c r="A43" s="679" t="s">
        <v>64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115</v>
      </c>
      <c r="B44" s="54" t="s">
        <v>116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118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119</v>
      </c>
      <c r="B49" s="54" t="s">
        <v>120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69</v>
      </c>
      <c r="X50" s="663">
        <v>320</v>
      </c>
      <c r="Y50" s="664">
        <f t="shared" si="6"/>
        <v>324</v>
      </c>
      <c r="Z50" s="36">
        <f>IFERROR(IF(Y50=0,"",ROUNDUP(Y50/H50,0)*0.01898),"")</f>
        <v>0.56940000000000002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332.88888888888886</v>
      </c>
      <c r="BN50" s="64">
        <f t="shared" si="8"/>
        <v>337.04999999999995</v>
      </c>
      <c r="BO50" s="64">
        <f t="shared" si="9"/>
        <v>0.46296296296296291</v>
      </c>
      <c r="BP50" s="64">
        <f t="shared" si="10"/>
        <v>0.46874999999999994</v>
      </c>
    </row>
    <row r="51" spans="1:68" ht="27" customHeight="1" x14ac:dyDescent="0.25">
      <c r="A51" s="54" t="s">
        <v>125</v>
      </c>
      <c r="B51" s="54" t="s">
        <v>126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128</v>
      </c>
      <c r="B52" s="54" t="s">
        <v>129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130</v>
      </c>
      <c r="B53" s="54" t="s">
        <v>131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69</v>
      </c>
      <c r="X54" s="663">
        <v>450</v>
      </c>
      <c r="Y54" s="664">
        <f t="shared" si="6"/>
        <v>450</v>
      </c>
      <c r="Z54" s="36">
        <f>IFERROR(IF(Y54=0,"",ROUNDUP(Y54/H54,0)*0.00902),"")</f>
        <v>0.90200000000000002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471</v>
      </c>
      <c r="BN54" s="64">
        <f t="shared" si="8"/>
        <v>471</v>
      </c>
      <c r="BO54" s="64">
        <f t="shared" si="9"/>
        <v>0.75757575757575757</v>
      </c>
      <c r="BP54" s="64">
        <f t="shared" si="10"/>
        <v>0.75757575757575757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129.62962962962962</v>
      </c>
      <c r="Y55" s="665">
        <f>IFERROR(Y49/H49,"0")+IFERROR(Y50/H50,"0")+IFERROR(Y51/H51,"0")+IFERROR(Y52/H52,"0")+IFERROR(Y53/H53,"0")+IFERROR(Y54/H54,"0")</f>
        <v>130</v>
      </c>
      <c r="Z55" s="665">
        <f>IFERROR(IF(Z49="",0,Z49),"0")+IFERROR(IF(Z50="",0,Z50),"0")+IFERROR(IF(Z51="",0,Z51),"0")+IFERROR(IF(Z52="",0,Z52),"0")+IFERROR(IF(Z53="",0,Z53),"0")+IFERROR(IF(Z54="",0,Z54),"0")</f>
        <v>1.4714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770</v>
      </c>
      <c r="Y56" s="665">
        <f>IFERROR(SUM(Y49:Y54),"0")</f>
        <v>774</v>
      </c>
      <c r="Z56" s="37"/>
      <c r="AA56" s="666"/>
      <c r="AB56" s="666"/>
      <c r="AC56" s="666"/>
    </row>
    <row r="57" spans="1:68" ht="14.25" customHeight="1" x14ac:dyDescent="0.25">
      <c r="A57" s="679" t="s">
        <v>136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69</v>
      </c>
      <c r="X58" s="663">
        <v>70</v>
      </c>
      <c r="Y58" s="664">
        <f>IFERROR(IF(X58="",0,CEILING((X58/$H58),1)*$H58),"")</f>
        <v>75.600000000000009</v>
      </c>
      <c r="Z58" s="36">
        <f>IFERROR(IF(Y58=0,"",ROUNDUP(Y58/H58,0)*0.01898),"")</f>
        <v>0.13286000000000001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72.819444444444429</v>
      </c>
      <c r="BN58" s="64">
        <f>IFERROR(Y58*I58/H58,"0")</f>
        <v>78.64500000000001</v>
      </c>
      <c r="BO58" s="64">
        <f>IFERROR(1/J58*(X58/H58),"0")</f>
        <v>0.10127314814814814</v>
      </c>
      <c r="BP58" s="64">
        <f>IFERROR(1/J58*(Y58/H58),"0")</f>
        <v>0.109375</v>
      </c>
    </row>
    <row r="59" spans="1:68" ht="27" customHeight="1" x14ac:dyDescent="0.25">
      <c r="A59" s="54" t="s">
        <v>140</v>
      </c>
      <c r="B59" s="54" t="s">
        <v>141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143</v>
      </c>
      <c r="B60" s="54" t="s">
        <v>144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69</v>
      </c>
      <c r="X61" s="663">
        <v>135</v>
      </c>
      <c r="Y61" s="664">
        <f>IFERROR(IF(X61="",0,CEILING((X61/$H61),1)*$H61),"")</f>
        <v>135</v>
      </c>
      <c r="Z61" s="36">
        <f>IFERROR(IF(Y61=0,"",ROUNDUP(Y61/H61,0)*0.00651),"")</f>
        <v>0.32550000000000001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144</v>
      </c>
      <c r="BN61" s="64">
        <f>IFERROR(Y61*I61/H61,"0")</f>
        <v>144</v>
      </c>
      <c r="BO61" s="64">
        <f>IFERROR(1/J61*(X61/H61),"0")</f>
        <v>0.27472527472527475</v>
      </c>
      <c r="BP61" s="64">
        <f>IFERROR(1/J61*(Y61/H61),"0")</f>
        <v>0.27472527472527475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56.481481481481481</v>
      </c>
      <c r="Y62" s="665">
        <f>IFERROR(Y58/H58,"0")+IFERROR(Y59/H59,"0")+IFERROR(Y60/H60,"0")+IFERROR(Y61/H61,"0")</f>
        <v>57</v>
      </c>
      <c r="Z62" s="665">
        <f>IFERROR(IF(Z58="",0,Z58),"0")+IFERROR(IF(Z59="",0,Z59),"0")+IFERROR(IF(Z60="",0,Z60),"0")+IFERROR(IF(Z61="",0,Z61),"0")</f>
        <v>0.45835999999999999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205</v>
      </c>
      <c r="Y63" s="665">
        <f>IFERROR(SUM(Y58:Y61),"0")</f>
        <v>210.60000000000002</v>
      </c>
      <c r="Z63" s="37"/>
      <c r="AA63" s="666"/>
      <c r="AB63" s="666"/>
      <c r="AC63" s="666"/>
    </row>
    <row r="64" spans="1:68" ht="14.25" customHeight="1" x14ac:dyDescent="0.25">
      <c r="A64" s="679" t="s">
        <v>147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148</v>
      </c>
      <c r="B65" s="54" t="s">
        <v>149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155</v>
      </c>
      <c r="B67" s="54" t="s">
        <v>156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64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158</v>
      </c>
      <c r="B71" s="54" t="s">
        <v>159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164</v>
      </c>
      <c r="B73" s="54" t="s">
        <v>165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167</v>
      </c>
      <c r="B74" s="54" t="s">
        <v>168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169</v>
      </c>
      <c r="B75" s="54" t="s">
        <v>170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171</v>
      </c>
      <c r="B76" s="54" t="s">
        <v>172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173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174</v>
      </c>
      <c r="B80" s="54" t="s">
        <v>175</v>
      </c>
      <c r="C80" s="31">
        <v>4301060366</v>
      </c>
      <c r="D80" s="667">
        <v>4680115881532</v>
      </c>
      <c r="E80" s="668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0"/>
      <c r="R80" s="670"/>
      <c r="S80" s="670"/>
      <c r="T80" s="671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174</v>
      </c>
      <c r="B81" s="54" t="s">
        <v>177</v>
      </c>
      <c r="C81" s="31">
        <v>4301060371</v>
      </c>
      <c r="D81" s="667">
        <v>4680115881532</v>
      </c>
      <c r="E81" s="668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0"/>
      <c r="R81" s="670"/>
      <c r="S81" s="670"/>
      <c r="T81" s="671"/>
      <c r="U81" s="34"/>
      <c r="V81" s="34"/>
      <c r="W81" s="35" t="s">
        <v>69</v>
      </c>
      <c r="X81" s="663">
        <v>20</v>
      </c>
      <c r="Y81" s="664">
        <f>IFERROR(IF(X81="",0,CEILING((X81/$H81),1)*$H81),"")</f>
        <v>25.200000000000003</v>
      </c>
      <c r="Z81" s="36">
        <f>IFERROR(IF(Y81=0,"",ROUNDUP(Y81/H81,0)*0.01898),"")</f>
        <v>5.6940000000000004E-2</v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21.235714285714284</v>
      </c>
      <c r="BN81" s="64">
        <f>IFERROR(Y81*I81/H81,"0")</f>
        <v>26.757000000000001</v>
      </c>
      <c r="BO81" s="64">
        <f>IFERROR(1/J81*(X81/H81),"0")</f>
        <v>3.7202380952380952E-2</v>
      </c>
      <c r="BP81" s="64">
        <f>IFERROR(1/J81*(Y81/H81),"0")</f>
        <v>4.6875E-2</v>
      </c>
    </row>
    <row r="82" spans="1:68" ht="27" customHeight="1" x14ac:dyDescent="0.25">
      <c r="A82" s="54" t="s">
        <v>178</v>
      </c>
      <c r="B82" s="54" t="s">
        <v>179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2.3809523809523809</v>
      </c>
      <c r="Y83" s="665">
        <f>IFERROR(Y80/H80,"0")+IFERROR(Y81/H81,"0")+IFERROR(Y82/H82,"0")</f>
        <v>3</v>
      </c>
      <c r="Z83" s="665">
        <f>IFERROR(IF(Z80="",0,Z80),"0")+IFERROR(IF(Z81="",0,Z81),"0")+IFERROR(IF(Z82="",0,Z82),"0")</f>
        <v>5.6940000000000004E-2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20</v>
      </c>
      <c r="Y84" s="665">
        <f>IFERROR(SUM(Y80:Y82),"0")</f>
        <v>25.200000000000003</v>
      </c>
      <c r="Z84" s="37"/>
      <c r="AA84" s="666"/>
      <c r="AB84" s="666"/>
      <c r="AC84" s="666"/>
    </row>
    <row r="85" spans="1:68" ht="16.5" customHeight="1" x14ac:dyDescent="0.25">
      <c r="A85" s="716" t="s">
        <v>181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98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69</v>
      </c>
      <c r="X87" s="663">
        <v>200</v>
      </c>
      <c r="Y87" s="664">
        <f>IFERROR(IF(X87="",0,CEILING((X87/$H87),1)*$H87),"")</f>
        <v>205.20000000000002</v>
      </c>
      <c r="Z87" s="36">
        <f>IFERROR(IF(Y87=0,"",ROUNDUP(Y87/H87,0)*0.01898),"")</f>
        <v>0.36062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208.05555555555554</v>
      </c>
      <c r="BN87" s="64">
        <f>IFERROR(Y87*I87/H87,"0")</f>
        <v>213.46499999999997</v>
      </c>
      <c r="BO87" s="64">
        <f>IFERROR(1/J87*(X87/H87),"0")</f>
        <v>0.28935185185185186</v>
      </c>
      <c r="BP87" s="64">
        <f>IFERROR(1/J87*(Y87/H87),"0")</f>
        <v>0.296875</v>
      </c>
    </row>
    <row r="88" spans="1:68" ht="16.5" customHeight="1" x14ac:dyDescent="0.25">
      <c r="A88" s="54" t="s">
        <v>185</v>
      </c>
      <c r="B88" s="54" t="s">
        <v>186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69</v>
      </c>
      <c r="X89" s="663">
        <v>450</v>
      </c>
      <c r="Y89" s="664">
        <f>IFERROR(IF(X89="",0,CEILING((X89/$H89),1)*$H89),"")</f>
        <v>450</v>
      </c>
      <c r="Z89" s="36">
        <f>IFERROR(IF(Y89=0,"",ROUNDUP(Y89/H89,0)*0.00902),"")</f>
        <v>0.90200000000000002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471</v>
      </c>
      <c r="BN89" s="64">
        <f>IFERROR(Y89*I89/H89,"0")</f>
        <v>471</v>
      </c>
      <c r="BO89" s="64">
        <f>IFERROR(1/J89*(X89/H89),"0")</f>
        <v>0.75757575757575757</v>
      </c>
      <c r="BP89" s="64">
        <f>IFERROR(1/J89*(Y89/H89),"0")</f>
        <v>0.75757575757575757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118.51851851851852</v>
      </c>
      <c r="Y90" s="665">
        <f>IFERROR(Y87/H87,"0")+IFERROR(Y88/H88,"0")+IFERROR(Y89/H89,"0")</f>
        <v>119</v>
      </c>
      <c r="Z90" s="665">
        <f>IFERROR(IF(Z87="",0,Z87),"0")+IFERROR(IF(Z88="",0,Z88),"0")+IFERROR(IF(Z89="",0,Z89),"0")</f>
        <v>1.2626200000000001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650</v>
      </c>
      <c r="Y91" s="665">
        <f>IFERROR(SUM(Y87:Y89),"0")</f>
        <v>655.20000000000005</v>
      </c>
      <c r="Z91" s="37"/>
      <c r="AA91" s="666"/>
      <c r="AB91" s="666"/>
      <c r="AC91" s="666"/>
    </row>
    <row r="92" spans="1:68" ht="14.25" customHeight="1" x14ac:dyDescent="0.25">
      <c r="A92" s="679" t="s">
        <v>64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67">
        <v>4607091386967</v>
      </c>
      <c r="E93" s="668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0"/>
      <c r="R93" s="670"/>
      <c r="S93" s="670"/>
      <c r="T93" s="671"/>
      <c r="U93" s="34"/>
      <c r="V93" s="34"/>
      <c r="W93" s="35" t="s">
        <v>69</v>
      </c>
      <c r="X93" s="663">
        <v>110</v>
      </c>
      <c r="Y93" s="664">
        <f t="shared" ref="Y93:Y101" si="16">IFERROR(IF(X93="",0,CEILING((X93/$H93),1)*$H93),"")</f>
        <v>117.60000000000001</v>
      </c>
      <c r="Z93" s="36">
        <f>IFERROR(IF(Y93=0,"",ROUNDUP(Y93/H93,0)*0.01898),"")</f>
        <v>0.26572000000000001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116.79642857142856</v>
      </c>
      <c r="BN93" s="64">
        <f t="shared" ref="BN93:BN101" si="18">IFERROR(Y93*I93/H93,"0")</f>
        <v>124.86600000000001</v>
      </c>
      <c r="BO93" s="64">
        <f t="shared" ref="BO93:BO101" si="19">IFERROR(1/J93*(X93/H93),"0")</f>
        <v>0.20461309523809523</v>
      </c>
      <c r="BP93" s="64">
        <f t="shared" ref="BP93:BP101" si="20">IFERROR(1/J93*(Y93/H93),"0")</f>
        <v>0.21875</v>
      </c>
    </row>
    <row r="94" spans="1:68" ht="27" customHeight="1" x14ac:dyDescent="0.25">
      <c r="A94" s="54" t="s">
        <v>190</v>
      </c>
      <c r="B94" s="54" t="s">
        <v>193</v>
      </c>
      <c r="C94" s="31">
        <v>4301051437</v>
      </c>
      <c r="D94" s="667">
        <v>4607091386967</v>
      </c>
      <c r="E94" s="668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0"/>
      <c r="R94" s="670"/>
      <c r="S94" s="670"/>
      <c r="T94" s="671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190</v>
      </c>
      <c r="B95" s="54" t="s">
        <v>194</v>
      </c>
      <c r="C95" s="31">
        <v>4301051712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41" t="s">
        <v>195</v>
      </c>
      <c r="Q95" s="670"/>
      <c r="R95" s="670"/>
      <c r="S95" s="670"/>
      <c r="T95" s="671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197</v>
      </c>
      <c r="B96" s="54" t="s">
        <v>198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906" t="s">
        <v>199</v>
      </c>
      <c r="Q96" s="670"/>
      <c r="R96" s="670"/>
      <c r="S96" s="670"/>
      <c r="T96" s="671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201</v>
      </c>
      <c r="B97" s="54" t="s">
        <v>202</v>
      </c>
      <c r="C97" s="31">
        <v>4301052039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6" t="s">
        <v>203</v>
      </c>
      <c r="Q97" s="670"/>
      <c r="R97" s="670"/>
      <c r="S97" s="670"/>
      <c r="T97" s="671"/>
      <c r="U97" s="34"/>
      <c r="V97" s="34"/>
      <c r="W97" s="35" t="s">
        <v>69</v>
      </c>
      <c r="X97" s="663">
        <v>630</v>
      </c>
      <c r="Y97" s="664">
        <f t="shared" si="16"/>
        <v>631.80000000000007</v>
      </c>
      <c r="Z97" s="36">
        <f>IFERROR(IF(Y97=0,"",ROUNDUP(Y97/H97,0)*0.00651),"")</f>
        <v>1.5233400000000001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688.8</v>
      </c>
      <c r="BN97" s="64">
        <f t="shared" si="18"/>
        <v>690.76800000000003</v>
      </c>
      <c r="BO97" s="64">
        <f t="shared" si="19"/>
        <v>1.2820512820512819</v>
      </c>
      <c r="BP97" s="64">
        <f t="shared" si="20"/>
        <v>1.2857142857142858</v>
      </c>
    </row>
    <row r="98" spans="1:68" ht="16.5" customHeight="1" x14ac:dyDescent="0.25">
      <c r="A98" s="54" t="s">
        <v>201</v>
      </c>
      <c r="B98" s="54" t="s">
        <v>204</v>
      </c>
      <c r="C98" s="31">
        <v>4301051718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132</v>
      </c>
      <c r="N98" s="33"/>
      <c r="O98" s="32">
        <v>45</v>
      </c>
      <c r="P98" s="943" t="s">
        <v>205</v>
      </c>
      <c r="Q98" s="670"/>
      <c r="R98" s="670"/>
      <c r="S98" s="670"/>
      <c r="T98" s="671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196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206</v>
      </c>
      <c r="B99" s="54" t="s">
        <v>207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209</v>
      </c>
      <c r="B100" s="54" t="s">
        <v>210</v>
      </c>
      <c r="C100" s="31">
        <v>4301051439</v>
      </c>
      <c r="D100" s="667">
        <v>4680115880214</v>
      </c>
      <c r="E100" s="668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26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0"/>
      <c r="R100" s="670"/>
      <c r="S100" s="670"/>
      <c r="T100" s="671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209</v>
      </c>
      <c r="B101" s="54" t="s">
        <v>211</v>
      </c>
      <c r="C101" s="31">
        <v>4301051687</v>
      </c>
      <c r="D101" s="667">
        <v>4680115880214</v>
      </c>
      <c r="E101" s="668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1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0"/>
      <c r="R101" s="670"/>
      <c r="S101" s="670"/>
      <c r="T101" s="671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246.42857142857142</v>
      </c>
      <c r="Y102" s="665">
        <f>IFERROR(Y93/H93,"0")+IFERROR(Y94/H94,"0")+IFERROR(Y95/H95,"0")+IFERROR(Y96/H96,"0")+IFERROR(Y97/H97,"0")+IFERROR(Y98/H98,"0")+IFERROR(Y99/H99,"0")+IFERROR(Y100/H100,"0")+IFERROR(Y101/H101,"0")</f>
        <v>248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1.7890600000000001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740</v>
      </c>
      <c r="Y103" s="665">
        <f>IFERROR(SUM(Y93:Y101),"0")</f>
        <v>749.40000000000009</v>
      </c>
      <c r="Z103" s="37"/>
      <c r="AA103" s="666"/>
      <c r="AB103" s="666"/>
      <c r="AC103" s="666"/>
    </row>
    <row r="104" spans="1:68" ht="16.5" customHeight="1" x14ac:dyDescent="0.25">
      <c r="A104" s="716" t="s">
        <v>212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98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69</v>
      </c>
      <c r="X106" s="663">
        <v>60</v>
      </c>
      <c r="Y106" s="664">
        <f>IFERROR(IF(X106="",0,CEILING((X106/$H106),1)*$H106),"")</f>
        <v>64.800000000000011</v>
      </c>
      <c r="Z106" s="36">
        <f>IFERROR(IF(Y106=0,"",ROUNDUP(Y106/H106,0)*0.01898),"")</f>
        <v>0.11388000000000001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62.416666666666657</v>
      </c>
      <c r="BN106" s="64">
        <f>IFERROR(Y106*I106/H106,"0")</f>
        <v>67.410000000000011</v>
      </c>
      <c r="BO106" s="64">
        <f>IFERROR(1/J106*(X106/H106),"0")</f>
        <v>8.6805555555555552E-2</v>
      </c>
      <c r="BP106" s="64">
        <f>IFERROR(1/J106*(Y106/H106),"0")</f>
        <v>9.3750000000000014E-2</v>
      </c>
    </row>
    <row r="107" spans="1:68" ht="16.5" customHeight="1" x14ac:dyDescent="0.25">
      <c r="A107" s="54" t="s">
        <v>216</v>
      </c>
      <c r="B107" s="54" t="s">
        <v>217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69</v>
      </c>
      <c r="X108" s="663">
        <v>382.5</v>
      </c>
      <c r="Y108" s="664">
        <f>IFERROR(IF(X108="",0,CEILING((X108/$H108),1)*$H108),"")</f>
        <v>382.5</v>
      </c>
      <c r="Z108" s="36">
        <f>IFERROR(IF(Y108=0,"",ROUNDUP(Y108/H108,0)*0.00902),"")</f>
        <v>0.76670000000000005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400.35</v>
      </c>
      <c r="BN108" s="64">
        <f>IFERROR(Y108*I108/H108,"0")</f>
        <v>400.35</v>
      </c>
      <c r="BO108" s="64">
        <f>IFERROR(1/J108*(X108/H108),"0")</f>
        <v>0.64393939393939392</v>
      </c>
      <c r="BP108" s="64">
        <f>IFERROR(1/J108*(Y108/H108),"0")</f>
        <v>0.64393939393939392</v>
      </c>
    </row>
    <row r="109" spans="1:68" ht="16.5" customHeight="1" x14ac:dyDescent="0.25">
      <c r="A109" s="54" t="s">
        <v>220</v>
      </c>
      <c r="B109" s="54" t="s">
        <v>221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90.555555555555557</v>
      </c>
      <c r="Y110" s="665">
        <f>IFERROR(Y106/H106,"0")+IFERROR(Y107/H107,"0")+IFERROR(Y108/H108,"0")+IFERROR(Y109/H109,"0")</f>
        <v>91</v>
      </c>
      <c r="Z110" s="665">
        <f>IFERROR(IF(Z106="",0,Z106),"0")+IFERROR(IF(Z107="",0,Z107),"0")+IFERROR(IF(Z108="",0,Z108),"0")+IFERROR(IF(Z109="",0,Z109),"0")</f>
        <v>0.88058000000000003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442.5</v>
      </c>
      <c r="Y111" s="665">
        <f>IFERROR(SUM(Y106:Y109),"0")</f>
        <v>447.3</v>
      </c>
      <c r="Z111" s="37"/>
      <c r="AA111" s="666"/>
      <c r="AB111" s="666"/>
      <c r="AC111" s="666"/>
    </row>
    <row r="112" spans="1:68" ht="14.25" customHeight="1" x14ac:dyDescent="0.25">
      <c r="A112" s="679" t="s">
        <v>136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222</v>
      </c>
      <c r="B113" s="54" t="s">
        <v>223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225</v>
      </c>
      <c r="B114" s="54" t="s">
        <v>226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227</v>
      </c>
      <c r="B115" s="54" t="s">
        <v>228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64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37.5" customHeight="1" x14ac:dyDescent="0.25">
      <c r="A119" s="54" t="s">
        <v>229</v>
      </c>
      <c r="B119" s="54" t="s">
        <v>230</v>
      </c>
      <c r="C119" s="31">
        <v>4301051360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3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0"/>
      <c r="R119" s="670"/>
      <c r="S119" s="670"/>
      <c r="T119" s="671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customHeight="1" x14ac:dyDescent="0.25">
      <c r="A120" s="54" t="s">
        <v>229</v>
      </c>
      <c r="B120" s="54" t="s">
        <v>232</v>
      </c>
      <c r="C120" s="31">
        <v>4301051724</v>
      </c>
      <c r="D120" s="667">
        <v>4607091385168</v>
      </c>
      <c r="E120" s="668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132</v>
      </c>
      <c r="N120" s="33"/>
      <c r="O120" s="32">
        <v>45</v>
      </c>
      <c r="P120" s="745" t="s">
        <v>233</v>
      </c>
      <c r="Q120" s="670"/>
      <c r="R120" s="670"/>
      <c r="S120" s="670"/>
      <c r="T120" s="671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229</v>
      </c>
      <c r="B121" s="54" t="s">
        <v>235</v>
      </c>
      <c r="C121" s="31">
        <v>4301051625</v>
      </c>
      <c r="D121" s="667">
        <v>4607091385168</v>
      </c>
      <c r="E121" s="668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0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0"/>
      <c r="R121" s="670"/>
      <c r="S121" s="670"/>
      <c r="T121" s="671"/>
      <c r="U121" s="34"/>
      <c r="V121" s="34"/>
      <c r="W121" s="35" t="s">
        <v>69</v>
      </c>
      <c r="X121" s="663">
        <v>750</v>
      </c>
      <c r="Y121" s="664">
        <f t="shared" si="21"/>
        <v>756</v>
      </c>
      <c r="Z121" s="36">
        <f>IFERROR(IF(Y121=0,"",ROUNDUP(Y121/H121,0)*0.01898),"")</f>
        <v>1.7081999999999999</v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795.80357142857144</v>
      </c>
      <c r="BN121" s="64">
        <f t="shared" si="23"/>
        <v>802.17</v>
      </c>
      <c r="BO121" s="64">
        <f t="shared" si="24"/>
        <v>1.3950892857142856</v>
      </c>
      <c r="BP121" s="64">
        <f t="shared" si="25"/>
        <v>1.40625</v>
      </c>
    </row>
    <row r="122" spans="1:68" ht="37.5" customHeight="1" x14ac:dyDescent="0.25">
      <c r="A122" s="54" t="s">
        <v>237</v>
      </c>
      <c r="B122" s="54" t="s">
        <v>238</v>
      </c>
      <c r="C122" s="31">
        <v>4301051362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0"/>
      <c r="R122" s="670"/>
      <c r="S122" s="670"/>
      <c r="T122" s="671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231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239</v>
      </c>
      <c r="C123" s="31">
        <v>4301051730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4" t="s">
        <v>240</v>
      </c>
      <c r="Q123" s="670"/>
      <c r="R123" s="670"/>
      <c r="S123" s="670"/>
      <c r="T123" s="671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234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customHeight="1" x14ac:dyDescent="0.25">
      <c r="A124" s="54" t="s">
        <v>241</v>
      </c>
      <c r="B124" s="54" t="s">
        <v>242</v>
      </c>
      <c r="C124" s="31">
        <v>4301051358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107</v>
      </c>
      <c r="M124" s="33" t="s">
        <v>108</v>
      </c>
      <c r="N124" s="33"/>
      <c r="O124" s="32">
        <v>45</v>
      </c>
      <c r="P124" s="1039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0"/>
      <c r="R124" s="670"/>
      <c r="S124" s="670"/>
      <c r="T124" s="671"/>
      <c r="U124" s="34"/>
      <c r="V124" s="34"/>
      <c r="W124" s="35" t="s">
        <v>69</v>
      </c>
      <c r="X124" s="663">
        <v>540</v>
      </c>
      <c r="Y124" s="664">
        <f t="shared" si="21"/>
        <v>540</v>
      </c>
      <c r="Z124" s="36">
        <f t="shared" si="26"/>
        <v>1.302</v>
      </c>
      <c r="AA124" s="56"/>
      <c r="AB124" s="57"/>
      <c r="AC124" s="185" t="s">
        <v>231</v>
      </c>
      <c r="AG124" s="64"/>
      <c r="AJ124" s="68" t="s">
        <v>109</v>
      </c>
      <c r="AK124" s="68">
        <v>491.4</v>
      </c>
      <c r="BB124" s="186" t="s">
        <v>1</v>
      </c>
      <c r="BM124" s="64">
        <f t="shared" si="22"/>
        <v>590.4</v>
      </c>
      <c r="BN124" s="64">
        <f t="shared" si="23"/>
        <v>590.4</v>
      </c>
      <c r="BO124" s="64">
        <f t="shared" si="24"/>
        <v>1.098901098901099</v>
      </c>
      <c r="BP124" s="64">
        <f t="shared" si="25"/>
        <v>1.098901098901099</v>
      </c>
    </row>
    <row r="125" spans="1:68" ht="27" customHeight="1" x14ac:dyDescent="0.25">
      <c r="A125" s="54" t="s">
        <v>241</v>
      </c>
      <c r="B125" s="54" t="s">
        <v>243</v>
      </c>
      <c r="C125" s="31">
        <v>4301051721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132</v>
      </c>
      <c r="N125" s="33"/>
      <c r="O125" s="32">
        <v>45</v>
      </c>
      <c r="P125" s="963" t="s">
        <v>244</v>
      </c>
      <c r="Q125" s="670"/>
      <c r="R125" s="670"/>
      <c r="S125" s="670"/>
      <c r="T125" s="671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234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245</v>
      </c>
      <c r="B126" s="54" t="s">
        <v>246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69</v>
      </c>
      <c r="X126" s="663">
        <v>30</v>
      </c>
      <c r="Y126" s="664">
        <f t="shared" si="21"/>
        <v>30.6</v>
      </c>
      <c r="Z126" s="36">
        <f t="shared" si="26"/>
        <v>0.11067</v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22"/>
        <v>33</v>
      </c>
      <c r="BN126" s="64">
        <f t="shared" si="23"/>
        <v>33.659999999999997</v>
      </c>
      <c r="BO126" s="64">
        <f t="shared" si="24"/>
        <v>9.1575091575091583E-2</v>
      </c>
      <c r="BP126" s="64">
        <f t="shared" si="25"/>
        <v>9.3406593406593408E-2</v>
      </c>
    </row>
    <row r="127" spans="1:68" ht="37.5" customHeight="1" x14ac:dyDescent="0.25">
      <c r="A127" s="54" t="s">
        <v>248</v>
      </c>
      <c r="B127" s="54" t="s">
        <v>249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250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305.95238095238096</v>
      </c>
      <c r="Y128" s="665">
        <f>IFERROR(Y119/H119,"0")+IFERROR(Y120/H120,"0")+IFERROR(Y121/H121,"0")+IFERROR(Y122/H122,"0")+IFERROR(Y123/H123,"0")+IFERROR(Y124/H124,"0")+IFERROR(Y125/H125,"0")+IFERROR(Y126/H126,"0")+IFERROR(Y127/H127,"0")</f>
        <v>307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3.12087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1320</v>
      </c>
      <c r="Y129" s="665">
        <f>IFERROR(SUM(Y119:Y127),"0")</f>
        <v>1326.6</v>
      </c>
      <c r="Z129" s="37"/>
      <c r="AA129" s="666"/>
      <c r="AB129" s="666"/>
      <c r="AC129" s="666"/>
    </row>
    <row r="130" spans="1:68" ht="14.25" customHeight="1" x14ac:dyDescent="0.25">
      <c r="A130" s="679" t="s">
        <v>173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251</v>
      </c>
      <c r="B131" s="54" t="s">
        <v>252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254</v>
      </c>
      <c r="B132" s="54" t="s">
        <v>255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69</v>
      </c>
      <c r="X132" s="663">
        <v>23.1</v>
      </c>
      <c r="Y132" s="664">
        <f>IFERROR(IF(X132="",0,CEILING((X132/$H132),1)*$H132),"")</f>
        <v>23.759999999999998</v>
      </c>
      <c r="Z132" s="36">
        <f>IFERROR(IF(Y132=0,"",ROUNDUP(Y132/H132,0)*0.00651),"")</f>
        <v>7.8119999999999995E-2</v>
      </c>
      <c r="AA132" s="56"/>
      <c r="AB132" s="57"/>
      <c r="AC132" s="195" t="s">
        <v>256</v>
      </c>
      <c r="AG132" s="64"/>
      <c r="AJ132" s="68"/>
      <c r="AK132" s="68">
        <v>0</v>
      </c>
      <c r="BB132" s="196" t="s">
        <v>1</v>
      </c>
      <c r="BM132" s="64">
        <f>IFERROR(X132*I132/H132,"0")</f>
        <v>26.11</v>
      </c>
      <c r="BN132" s="64">
        <f>IFERROR(Y132*I132/H132,"0")</f>
        <v>26.855999999999998</v>
      </c>
      <c r="BO132" s="64">
        <f>IFERROR(1/J132*(X132/H132),"0")</f>
        <v>6.4102564102564111E-2</v>
      </c>
      <c r="BP132" s="64">
        <f>IFERROR(1/J132*(Y132/H132),"0")</f>
        <v>6.5934065934065936E-2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11.666666666666668</v>
      </c>
      <c r="Y133" s="665">
        <f>IFERROR(Y131/H131,"0")+IFERROR(Y132/H132,"0")</f>
        <v>11.999999999999998</v>
      </c>
      <c r="Z133" s="665">
        <f>IFERROR(IF(Z131="",0,Z131),"0")+IFERROR(IF(Z132="",0,Z132),"0")</f>
        <v>7.8119999999999995E-2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23.1</v>
      </c>
      <c r="Y134" s="665">
        <f>IFERROR(SUM(Y131:Y132),"0")</f>
        <v>23.759999999999998</v>
      </c>
      <c r="Z134" s="37"/>
      <c r="AA134" s="666"/>
      <c r="AB134" s="666"/>
      <c r="AC134" s="666"/>
    </row>
    <row r="135" spans="1:68" ht="16.5" customHeight="1" x14ac:dyDescent="0.25">
      <c r="A135" s="716" t="s">
        <v>257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98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258</v>
      </c>
      <c r="B137" s="54" t="s">
        <v>259</v>
      </c>
      <c r="C137" s="31">
        <v>4301011564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0"/>
      <c r="R137" s="670"/>
      <c r="S137" s="670"/>
      <c r="T137" s="671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260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258</v>
      </c>
      <c r="B138" s="54" t="s">
        <v>261</v>
      </c>
      <c r="C138" s="31">
        <v>4301011562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4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0"/>
      <c r="R138" s="670"/>
      <c r="S138" s="670"/>
      <c r="T138" s="671"/>
      <c r="U138" s="34"/>
      <c r="V138" s="34"/>
      <c r="W138" s="35" t="s">
        <v>69</v>
      </c>
      <c r="X138" s="663">
        <v>84</v>
      </c>
      <c r="Y138" s="664">
        <f>IFERROR(IF(X138="",0,CEILING((X138/$H138),1)*$H138),"")</f>
        <v>86.4</v>
      </c>
      <c r="Z138" s="36">
        <f>IFERROR(IF(Y138=0,"",ROUNDUP(Y138/H138,0)*0.00651),"")</f>
        <v>0.17577000000000001</v>
      </c>
      <c r="AA138" s="56"/>
      <c r="AB138" s="57"/>
      <c r="AC138" s="199" t="s">
        <v>260</v>
      </c>
      <c r="AG138" s="64"/>
      <c r="AJ138" s="68"/>
      <c r="AK138" s="68">
        <v>0</v>
      </c>
      <c r="BB138" s="200" t="s">
        <v>1</v>
      </c>
      <c r="BM138" s="64">
        <f>IFERROR(X138*I138/H138,"0")</f>
        <v>88.724999999999994</v>
      </c>
      <c r="BN138" s="64">
        <f>IFERROR(Y138*I138/H138,"0")</f>
        <v>91.259999999999991</v>
      </c>
      <c r="BO138" s="64">
        <f>IFERROR(1/J138*(X138/H138),"0")</f>
        <v>0.14423076923076925</v>
      </c>
      <c r="BP138" s="64">
        <f>IFERROR(1/J138*(Y138/H138),"0")</f>
        <v>0.14835164835164835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26.25</v>
      </c>
      <c r="Y139" s="665">
        <f>IFERROR(Y137/H137,"0")+IFERROR(Y138/H138,"0")</f>
        <v>27</v>
      </c>
      <c r="Z139" s="665">
        <f>IFERROR(IF(Z137="",0,Z137),"0")+IFERROR(IF(Z138="",0,Z138),"0")</f>
        <v>0.17577000000000001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84</v>
      </c>
      <c r="Y140" s="665">
        <f>IFERROR(SUM(Y137:Y138),"0")</f>
        <v>86.4</v>
      </c>
      <c r="Z140" s="37"/>
      <c r="AA140" s="666"/>
      <c r="AB140" s="666"/>
      <c r="AC140" s="666"/>
    </row>
    <row r="141" spans="1:68" ht="14.25" customHeight="1" x14ac:dyDescent="0.25">
      <c r="A141" s="679" t="s">
        <v>147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262</v>
      </c>
      <c r="B142" s="54" t="s">
        <v>263</v>
      </c>
      <c r="C142" s="31">
        <v>4301031234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69</v>
      </c>
      <c r="X142" s="663">
        <v>56</v>
      </c>
      <c r="Y142" s="664">
        <f>IFERROR(IF(X142="",0,CEILING((X142/$H142),1)*$H142),"")</f>
        <v>56</v>
      </c>
      <c r="Z142" s="36">
        <f>IFERROR(IF(Y142=0,"",ROUNDUP(Y142/H142,0)*0.00651),"")</f>
        <v>0.13020000000000001</v>
      </c>
      <c r="AA142" s="56"/>
      <c r="AB142" s="57"/>
      <c r="AC142" s="201" t="s">
        <v>264</v>
      </c>
      <c r="AG142" s="64"/>
      <c r="AJ142" s="68"/>
      <c r="AK142" s="68">
        <v>0</v>
      </c>
      <c r="BB142" s="202" t="s">
        <v>1</v>
      </c>
      <c r="BM142" s="64">
        <f>IFERROR(X142*I142/H142,"0")</f>
        <v>61.36</v>
      </c>
      <c r="BN142" s="64">
        <f>IFERROR(Y142*I142/H142,"0")</f>
        <v>61.36</v>
      </c>
      <c r="BO142" s="64">
        <f>IFERROR(1/J142*(X142/H142),"0")</f>
        <v>0.1098901098901099</v>
      </c>
      <c r="BP142" s="64">
        <f>IFERROR(1/J142*(Y142/H142),"0")</f>
        <v>0.1098901098901099</v>
      </c>
    </row>
    <row r="143" spans="1:68" ht="27" customHeight="1" x14ac:dyDescent="0.25">
      <c r="A143" s="54" t="s">
        <v>262</v>
      </c>
      <c r="B143" s="54" t="s">
        <v>265</v>
      </c>
      <c r="C143" s="31">
        <v>4301031235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264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20</v>
      </c>
      <c r="Y144" s="665">
        <f>IFERROR(Y142/H142,"0")+IFERROR(Y143/H143,"0")</f>
        <v>20</v>
      </c>
      <c r="Z144" s="665">
        <f>IFERROR(IF(Z142="",0,Z142),"0")+IFERROR(IF(Z143="",0,Z143),"0")</f>
        <v>0.13020000000000001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56</v>
      </c>
      <c r="Y145" s="665">
        <f>IFERROR(SUM(Y142:Y143),"0")</f>
        <v>56</v>
      </c>
      <c r="Z145" s="37"/>
      <c r="AA145" s="666"/>
      <c r="AB145" s="666"/>
      <c r="AC145" s="666"/>
    </row>
    <row r="146" spans="1:68" ht="14.25" customHeight="1" x14ac:dyDescent="0.25">
      <c r="A146" s="679" t="s">
        <v>64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266</v>
      </c>
      <c r="B147" s="54" t="s">
        <v>267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260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266</v>
      </c>
      <c r="B148" s="54" t="s">
        <v>268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69</v>
      </c>
      <c r="X148" s="663">
        <v>72.600000000000009</v>
      </c>
      <c r="Y148" s="664">
        <f>IFERROR(IF(X148="",0,CEILING((X148/$H148),1)*$H148),"")</f>
        <v>73.92</v>
      </c>
      <c r="Z148" s="36">
        <f>IFERROR(IF(Y148=0,"",ROUNDUP(Y148/H148,0)*0.00651),"")</f>
        <v>0.18228</v>
      </c>
      <c r="AA148" s="56"/>
      <c r="AB148" s="57"/>
      <c r="AC148" s="207" t="s">
        <v>260</v>
      </c>
      <c r="AG148" s="64"/>
      <c r="AJ148" s="68"/>
      <c r="AK148" s="68">
        <v>0</v>
      </c>
      <c r="BB148" s="208" t="s">
        <v>1</v>
      </c>
      <c r="BM148" s="64">
        <f>IFERROR(X148*I148/H148,"0")</f>
        <v>79.970000000000013</v>
      </c>
      <c r="BN148" s="64">
        <f>IFERROR(Y148*I148/H148,"0")</f>
        <v>81.423999999999992</v>
      </c>
      <c r="BO148" s="64">
        <f>IFERROR(1/J148*(X148/H148),"0")</f>
        <v>0.15109890109890112</v>
      </c>
      <c r="BP148" s="64">
        <f>IFERROR(1/J148*(Y148/H148),"0")</f>
        <v>0.15384615384615385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27.500000000000004</v>
      </c>
      <c r="Y149" s="665">
        <f>IFERROR(Y147/H147,"0")+IFERROR(Y148/H148,"0")</f>
        <v>28</v>
      </c>
      <c r="Z149" s="665">
        <f>IFERROR(IF(Z147="",0,Z147),"0")+IFERROR(IF(Z148="",0,Z148),"0")</f>
        <v>0.18228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72.600000000000009</v>
      </c>
      <c r="Y150" s="665">
        <f>IFERROR(SUM(Y147:Y148),"0")</f>
        <v>73.92</v>
      </c>
      <c r="Z150" s="37"/>
      <c r="AA150" s="666"/>
      <c r="AB150" s="666"/>
      <c r="AC150" s="666"/>
    </row>
    <row r="151" spans="1:68" ht="16.5" customHeight="1" x14ac:dyDescent="0.25">
      <c r="A151" s="716" t="s">
        <v>96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98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269</v>
      </c>
      <c r="B153" s="54" t="s">
        <v>270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271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147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272</v>
      </c>
      <c r="B157" s="54" t="s">
        <v>273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275</v>
      </c>
      <c r="B158" s="54" t="s">
        <v>276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278</v>
      </c>
      <c r="B159" s="54" t="s">
        <v>279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280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281</v>
      </c>
      <c r="B160" s="54" t="s">
        <v>282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150</v>
      </c>
      <c r="L160" s="32"/>
      <c r="M160" s="33" t="s">
        <v>68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277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64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283</v>
      </c>
      <c r="B164" s="54" t="s">
        <v>284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286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287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136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150</v>
      </c>
      <c r="L170" s="32"/>
      <c r="M170" s="33" t="s">
        <v>68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147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69</v>
      </c>
      <c r="X174" s="663">
        <v>50</v>
      </c>
      <c r="Y174" s="664">
        <f t="shared" ref="Y174:Y182" si="27">IFERROR(IF(X174="",0,CEILING((X174/$H174),1)*$H174),"")</f>
        <v>50.400000000000006</v>
      </c>
      <c r="Z174" s="36">
        <f>IFERROR(IF(Y174=0,"",ROUNDUP(Y174/H174,0)*0.00902),"")</f>
        <v>0.10824</v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53.214285714285715</v>
      </c>
      <c r="BN174" s="64">
        <f t="shared" ref="BN174:BN182" si="29">IFERROR(Y174*I174/H174,"0")</f>
        <v>53.64</v>
      </c>
      <c r="BO174" s="64">
        <f t="shared" ref="BO174:BO182" si="30">IFERROR(1/J174*(X174/H174),"0")</f>
        <v>9.0187590187590191E-2</v>
      </c>
      <c r="BP174" s="64">
        <f t="shared" ref="BP174:BP182" si="31">IFERROR(1/J174*(Y174/H174),"0")</f>
        <v>9.0909090909090912E-2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69</v>
      </c>
      <c r="X175" s="663">
        <v>40</v>
      </c>
      <c r="Y175" s="664">
        <f t="shared" si="27"/>
        <v>42</v>
      </c>
      <c r="Z175" s="36">
        <f>IFERROR(IF(Y175=0,"",ROUNDUP(Y175/H175,0)*0.00902),"")</f>
        <v>9.0200000000000002E-2</v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8"/>
        <v>42.571428571428562</v>
      </c>
      <c r="BN175" s="64">
        <f t="shared" si="29"/>
        <v>44.699999999999996</v>
      </c>
      <c r="BO175" s="64">
        <f t="shared" si="30"/>
        <v>7.2150072150072145E-2</v>
      </c>
      <c r="BP175" s="64">
        <f t="shared" si="31"/>
        <v>7.575757575757576E-2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69</v>
      </c>
      <c r="X176" s="663">
        <v>80</v>
      </c>
      <c r="Y176" s="664">
        <f t="shared" si="27"/>
        <v>84</v>
      </c>
      <c r="Z176" s="36">
        <f>IFERROR(IF(Y176=0,"",ROUNDUP(Y176/H176,0)*0.00902),"")</f>
        <v>0.1804</v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8"/>
        <v>84</v>
      </c>
      <c r="BN176" s="64">
        <f t="shared" si="29"/>
        <v>88.199999999999989</v>
      </c>
      <c r="BO176" s="64">
        <f t="shared" si="30"/>
        <v>0.14430014430014429</v>
      </c>
      <c r="BP176" s="64">
        <f t="shared" si="31"/>
        <v>0.15151515151515152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69</v>
      </c>
      <c r="X177" s="663">
        <v>105</v>
      </c>
      <c r="Y177" s="664">
        <f t="shared" si="27"/>
        <v>105</v>
      </c>
      <c r="Z177" s="36">
        <f>IFERROR(IF(Y177=0,"",ROUNDUP(Y177/H177,0)*0.00502),"")</f>
        <v>0.251</v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8"/>
        <v>111.5</v>
      </c>
      <c r="BN177" s="64">
        <f t="shared" si="29"/>
        <v>111.5</v>
      </c>
      <c r="BO177" s="64">
        <f t="shared" si="30"/>
        <v>0.21367521367521369</v>
      </c>
      <c r="BP177" s="64">
        <f t="shared" si="31"/>
        <v>0.21367521367521369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150</v>
      </c>
      <c r="L178" s="32"/>
      <c r="M178" s="33" t="s">
        <v>68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69</v>
      </c>
      <c r="X178" s="663">
        <v>122.5</v>
      </c>
      <c r="Y178" s="664">
        <f t="shared" si="27"/>
        <v>123.9</v>
      </c>
      <c r="Z178" s="36">
        <f>IFERROR(IF(Y178=0,"",ROUNDUP(Y178/H178,0)*0.00502),"")</f>
        <v>0.29618</v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8"/>
        <v>130.08333333333334</v>
      </c>
      <c r="BN178" s="64">
        <f t="shared" si="29"/>
        <v>131.57</v>
      </c>
      <c r="BO178" s="64">
        <f t="shared" si="30"/>
        <v>0.2492877492877493</v>
      </c>
      <c r="BP178" s="64">
        <f t="shared" si="31"/>
        <v>0.25213675213675218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5" t="s">
        <v>306</v>
      </c>
      <c r="Q179" s="670"/>
      <c r="R179" s="670"/>
      <c r="S179" s="670"/>
      <c r="T179" s="671"/>
      <c r="U179" s="34"/>
      <c r="V179" s="34"/>
      <c r="W179" s="35" t="s">
        <v>69</v>
      </c>
      <c r="X179" s="663">
        <v>3</v>
      </c>
      <c r="Y179" s="664">
        <f t="shared" si="27"/>
        <v>3.6</v>
      </c>
      <c r="Z179" s="36">
        <f>IFERROR(IF(Y179=0,"",ROUNDUP(Y179/H179,0)*0.00502),"")</f>
        <v>1.004E-2</v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8"/>
        <v>3.2166666666666668</v>
      </c>
      <c r="BN179" s="64">
        <f t="shared" si="29"/>
        <v>3.8599999999999994</v>
      </c>
      <c r="BO179" s="64">
        <f t="shared" si="30"/>
        <v>7.1225071225071226E-3</v>
      </c>
      <c r="BP179" s="64">
        <f t="shared" si="31"/>
        <v>8.5470085470085479E-3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150</v>
      </c>
      <c r="L180" s="32"/>
      <c r="M180" s="33" t="s">
        <v>68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69</v>
      </c>
      <c r="X180" s="663">
        <v>192.5</v>
      </c>
      <c r="Y180" s="664">
        <f t="shared" si="27"/>
        <v>193.20000000000002</v>
      </c>
      <c r="Z180" s="36">
        <f>IFERROR(IF(Y180=0,"",ROUNDUP(Y180/H180,0)*0.00502),"")</f>
        <v>0.46184000000000003</v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8"/>
        <v>201.66666666666669</v>
      </c>
      <c r="BN180" s="64">
        <f t="shared" si="29"/>
        <v>202.40000000000003</v>
      </c>
      <c r="BO180" s="64">
        <f t="shared" si="30"/>
        <v>0.39173789173789175</v>
      </c>
      <c r="BP180" s="64">
        <f t="shared" si="31"/>
        <v>0.39316239316239321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150</v>
      </c>
      <c r="L182" s="32"/>
      <c r="M182" s="33" t="s">
        <v>68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242.14285714285711</v>
      </c>
      <c r="Y183" s="665">
        <f>IFERROR(Y174/H174,"0")+IFERROR(Y175/H175,"0")+IFERROR(Y176/H176,"0")+IFERROR(Y177/H177,"0")+IFERROR(Y178/H178,"0")+IFERROR(Y179/H179,"0")+IFERROR(Y180/H180,"0")+IFERROR(Y181/H181,"0")+IFERROR(Y182/H182,"0")</f>
        <v>245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1.3978999999999999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593</v>
      </c>
      <c r="Y184" s="665">
        <f>IFERROR(SUM(Y174:Y182),"0")</f>
        <v>602.1</v>
      </c>
      <c r="Z184" s="37"/>
      <c r="AA184" s="666"/>
      <c r="AB184" s="666"/>
      <c r="AC184" s="666"/>
    </row>
    <row r="185" spans="1:68" ht="14.25" customHeight="1" x14ac:dyDescent="0.25">
      <c r="A185" s="679" t="s">
        <v>90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4" t="s">
        <v>319</v>
      </c>
      <c r="Q186" s="670"/>
      <c r="R186" s="670"/>
      <c r="S186" s="670"/>
      <c r="T186" s="671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322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98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136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147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69</v>
      </c>
      <c r="X201" s="663">
        <v>160</v>
      </c>
      <c r="Y201" s="664">
        <f t="shared" ref="Y201:Y208" si="32">IFERROR(IF(X201="",0,CEILING((X201/$H201),1)*$H201),"")</f>
        <v>162</v>
      </c>
      <c r="Z201" s="36">
        <f>IFERROR(IF(Y201=0,"",ROUNDUP(Y201/H201,0)*0.00902),"")</f>
        <v>0.27060000000000001</v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166.22222222222223</v>
      </c>
      <c r="BN201" s="64">
        <f t="shared" ref="BN201:BN208" si="34">IFERROR(Y201*I201/H201,"0")</f>
        <v>168.3</v>
      </c>
      <c r="BO201" s="64">
        <f t="shared" ref="BO201:BO208" si="35">IFERROR(1/J201*(X201/H201),"0")</f>
        <v>0.22446689113355778</v>
      </c>
      <c r="BP201" s="64">
        <f t="shared" ref="BP201:BP208" si="36">IFERROR(1/J201*(Y201/H201),"0")</f>
        <v>0.22727272727272727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69</v>
      </c>
      <c r="X202" s="663">
        <v>80</v>
      </c>
      <c r="Y202" s="664">
        <f t="shared" si="32"/>
        <v>81</v>
      </c>
      <c r="Z202" s="36">
        <f>IFERROR(IF(Y202=0,"",ROUNDUP(Y202/H202,0)*0.00902),"")</f>
        <v>0.1353</v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33"/>
        <v>83.111111111111114</v>
      </c>
      <c r="BN202" s="64">
        <f t="shared" si="34"/>
        <v>84.15</v>
      </c>
      <c r="BO202" s="64">
        <f t="shared" si="35"/>
        <v>0.11223344556677889</v>
      </c>
      <c r="BP202" s="64">
        <f t="shared" si="36"/>
        <v>0.11363636363636363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69</v>
      </c>
      <c r="X203" s="663">
        <v>190</v>
      </c>
      <c r="Y203" s="664">
        <f t="shared" si="32"/>
        <v>194.4</v>
      </c>
      <c r="Z203" s="36">
        <f>IFERROR(IF(Y203=0,"",ROUNDUP(Y203/H203,0)*0.00902),"")</f>
        <v>0.32472000000000001</v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33"/>
        <v>197.38888888888889</v>
      </c>
      <c r="BN203" s="64">
        <f t="shared" si="34"/>
        <v>201.96</v>
      </c>
      <c r="BO203" s="64">
        <f t="shared" si="35"/>
        <v>0.2665544332210999</v>
      </c>
      <c r="BP203" s="64">
        <f t="shared" si="36"/>
        <v>0.27272727272727271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69</v>
      </c>
      <c r="X204" s="663">
        <v>100</v>
      </c>
      <c r="Y204" s="664">
        <f t="shared" si="32"/>
        <v>102.60000000000001</v>
      </c>
      <c r="Z204" s="36">
        <f>IFERROR(IF(Y204=0,"",ROUNDUP(Y204/H204,0)*0.00902),"")</f>
        <v>0.17138</v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33"/>
        <v>103.88888888888889</v>
      </c>
      <c r="BN204" s="64">
        <f t="shared" si="34"/>
        <v>106.59000000000002</v>
      </c>
      <c r="BO204" s="64">
        <f t="shared" si="35"/>
        <v>0.14029180695847362</v>
      </c>
      <c r="BP204" s="64">
        <f t="shared" si="36"/>
        <v>0.14393939393939395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150</v>
      </c>
      <c r="L205" s="32"/>
      <c r="M205" s="33" t="s">
        <v>68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69</v>
      </c>
      <c r="X205" s="663">
        <v>60</v>
      </c>
      <c r="Y205" s="664">
        <f t="shared" si="32"/>
        <v>61.2</v>
      </c>
      <c r="Z205" s="36">
        <f>IFERROR(IF(Y205=0,"",ROUNDUP(Y205/H205,0)*0.00502),"")</f>
        <v>0.17068</v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33"/>
        <v>64.333333333333329</v>
      </c>
      <c r="BN205" s="64">
        <f t="shared" si="34"/>
        <v>65.62</v>
      </c>
      <c r="BO205" s="64">
        <f t="shared" si="35"/>
        <v>0.14245014245014248</v>
      </c>
      <c r="BP205" s="64">
        <f t="shared" si="36"/>
        <v>0.14529914529914531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150</v>
      </c>
      <c r="L206" s="32"/>
      <c r="M206" s="33" t="s">
        <v>68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69</v>
      </c>
      <c r="X206" s="663">
        <v>45</v>
      </c>
      <c r="Y206" s="664">
        <f t="shared" si="32"/>
        <v>45</v>
      </c>
      <c r="Z206" s="36">
        <f>IFERROR(IF(Y206=0,"",ROUNDUP(Y206/H206,0)*0.00502),"")</f>
        <v>0.1255</v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33"/>
        <v>47.5</v>
      </c>
      <c r="BN206" s="64">
        <f t="shared" si="34"/>
        <v>47.5</v>
      </c>
      <c r="BO206" s="64">
        <f t="shared" si="35"/>
        <v>0.10683760683760685</v>
      </c>
      <c r="BP206" s="64">
        <f t="shared" si="36"/>
        <v>0.10683760683760685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150</v>
      </c>
      <c r="L207" s="32"/>
      <c r="M207" s="33" t="s">
        <v>68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69</v>
      </c>
      <c r="X207" s="663">
        <v>60</v>
      </c>
      <c r="Y207" s="664">
        <f t="shared" si="32"/>
        <v>61.2</v>
      </c>
      <c r="Z207" s="36">
        <f>IFERROR(IF(Y207=0,"",ROUNDUP(Y207/H207,0)*0.00502),"")</f>
        <v>0.17068</v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33"/>
        <v>63.333333333333329</v>
      </c>
      <c r="BN207" s="64">
        <f t="shared" si="34"/>
        <v>64.599999999999994</v>
      </c>
      <c r="BO207" s="64">
        <f t="shared" si="35"/>
        <v>0.14245014245014248</v>
      </c>
      <c r="BP207" s="64">
        <f t="shared" si="36"/>
        <v>0.14529914529914531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69</v>
      </c>
      <c r="X208" s="663">
        <v>36</v>
      </c>
      <c r="Y208" s="664">
        <f t="shared" si="32"/>
        <v>36</v>
      </c>
      <c r="Z208" s="36">
        <f>IFERROR(IF(Y208=0,"",ROUNDUP(Y208/H208,0)*0.00502),"")</f>
        <v>0.1004</v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33"/>
        <v>37.999999999999993</v>
      </c>
      <c r="BN208" s="64">
        <f t="shared" si="34"/>
        <v>37.999999999999993</v>
      </c>
      <c r="BO208" s="64">
        <f t="shared" si="35"/>
        <v>8.5470085470085472E-2</v>
      </c>
      <c r="BP208" s="64">
        <f t="shared" si="36"/>
        <v>8.5470085470085472E-2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209.81481481481481</v>
      </c>
      <c r="Y209" s="665">
        <f>IFERROR(Y201/H201,"0")+IFERROR(Y202/H202,"0")+IFERROR(Y203/H203,"0")+IFERROR(Y204/H204,"0")+IFERROR(Y205/H205,"0")+IFERROR(Y206/H206,"0")+IFERROR(Y207/H207,"0")+IFERROR(Y208/H208,"0")</f>
        <v>213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1.46926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731</v>
      </c>
      <c r="Y210" s="665">
        <f>IFERROR(SUM(Y201:Y208),"0")</f>
        <v>743.40000000000009</v>
      </c>
      <c r="Z210" s="37"/>
      <c r="AA210" s="666"/>
      <c r="AB210" s="666"/>
      <c r="AC210" s="666"/>
    </row>
    <row r="211" spans="1:68" ht="14.25" customHeight="1" x14ac:dyDescent="0.25">
      <c r="A211" s="679" t="s">
        <v>64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69</v>
      </c>
      <c r="X214" s="663">
        <v>120</v>
      </c>
      <c r="Y214" s="664">
        <f t="shared" si="37"/>
        <v>121.79999999999998</v>
      </c>
      <c r="Z214" s="36">
        <f>IFERROR(IF(Y214=0,"",ROUNDUP(Y214/H214,0)*0.01898),"")</f>
        <v>0.26572000000000001</v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8"/>
        <v>127.15862068965518</v>
      </c>
      <c r="BN214" s="64">
        <f t="shared" si="39"/>
        <v>129.06599999999997</v>
      </c>
      <c r="BO214" s="64">
        <f t="shared" si="40"/>
        <v>0.21551724137931036</v>
      </c>
      <c r="BP214" s="64">
        <f t="shared" si="41"/>
        <v>0.21875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69</v>
      </c>
      <c r="X215" s="663">
        <v>320</v>
      </c>
      <c r="Y215" s="664">
        <f t="shared" si="37"/>
        <v>321.59999999999997</v>
      </c>
      <c r="Z215" s="36">
        <f t="shared" ref="Z215:Z220" si="42">IFERROR(IF(Y215=0,"",ROUNDUP(Y215/H215,0)*0.00651),"")</f>
        <v>0.87234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8"/>
        <v>356</v>
      </c>
      <c r="BN215" s="64">
        <f t="shared" si="39"/>
        <v>357.78</v>
      </c>
      <c r="BO215" s="64">
        <f t="shared" si="40"/>
        <v>0.73260073260073266</v>
      </c>
      <c r="BP215" s="64">
        <f t="shared" si="41"/>
        <v>0.73626373626373631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132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69</v>
      </c>
      <c r="X217" s="663">
        <v>320</v>
      </c>
      <c r="Y217" s="664">
        <f t="shared" si="37"/>
        <v>321.59999999999997</v>
      </c>
      <c r="Z217" s="36">
        <f t="shared" si="42"/>
        <v>0.87234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8"/>
        <v>353.60000000000008</v>
      </c>
      <c r="BN217" s="64">
        <f t="shared" si="39"/>
        <v>355.36799999999999</v>
      </c>
      <c r="BO217" s="64">
        <f t="shared" si="40"/>
        <v>0.73260073260073266</v>
      </c>
      <c r="BP217" s="64">
        <f t="shared" si="41"/>
        <v>0.73626373626373631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69</v>
      </c>
      <c r="X219" s="663">
        <v>16</v>
      </c>
      <c r="Y219" s="664">
        <f t="shared" si="37"/>
        <v>16.8</v>
      </c>
      <c r="Z219" s="36">
        <f t="shared" si="42"/>
        <v>4.5569999999999999E-2</v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8"/>
        <v>17.680000000000003</v>
      </c>
      <c r="BN219" s="64">
        <f t="shared" si="39"/>
        <v>18.564000000000004</v>
      </c>
      <c r="BO219" s="64">
        <f t="shared" si="40"/>
        <v>3.6630036630036632E-2</v>
      </c>
      <c r="BP219" s="64">
        <f t="shared" si="41"/>
        <v>3.8461538461538471E-2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69</v>
      </c>
      <c r="X220" s="663">
        <v>240</v>
      </c>
      <c r="Y220" s="664">
        <f t="shared" si="37"/>
        <v>240</v>
      </c>
      <c r="Z220" s="36">
        <f t="shared" si="42"/>
        <v>0.65100000000000002</v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8"/>
        <v>265.8</v>
      </c>
      <c r="BN220" s="64">
        <f t="shared" si="39"/>
        <v>265.8</v>
      </c>
      <c r="BO220" s="64">
        <f t="shared" si="40"/>
        <v>0.5494505494505495</v>
      </c>
      <c r="BP220" s="64">
        <f t="shared" si="41"/>
        <v>0.5494505494505495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387.12643678160924</v>
      </c>
      <c r="Y221" s="665">
        <f>IFERROR(Y212/H212,"0")+IFERROR(Y213/H213,"0")+IFERROR(Y214/H214,"0")+IFERROR(Y215/H215,"0")+IFERROR(Y216/H216,"0")+IFERROR(Y217/H217,"0")+IFERROR(Y218/H218,"0")+IFERROR(Y219/H219,"0")+IFERROR(Y220/H220,"0")</f>
        <v>389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2.7069700000000001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1016</v>
      </c>
      <c r="Y222" s="665">
        <f>IFERROR(SUM(Y212:Y220),"0")</f>
        <v>1021.8</v>
      </c>
      <c r="Z222" s="37"/>
      <c r="AA222" s="666"/>
      <c r="AB222" s="666"/>
      <c r="AC222" s="666"/>
    </row>
    <row r="223" spans="1:68" ht="14.25" customHeight="1" x14ac:dyDescent="0.25">
      <c r="A223" s="679" t="s">
        <v>173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132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69</v>
      </c>
      <c r="X224" s="663">
        <v>40</v>
      </c>
      <c r="Y224" s="664">
        <f>IFERROR(IF(X224="",0,CEILING((X224/$H224),1)*$H224),"")</f>
        <v>40.799999999999997</v>
      </c>
      <c r="Z224" s="36">
        <f>IFERROR(IF(Y224=0,"",ROUNDUP(Y224/H224,0)*0.00651),"")</f>
        <v>0.11067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44.20000000000001</v>
      </c>
      <c r="BN224" s="64">
        <f>IFERROR(Y224*I224/H224,"0")</f>
        <v>45.084000000000003</v>
      </c>
      <c r="BO224" s="64">
        <f>IFERROR(1/J224*(X224/H224),"0")</f>
        <v>9.1575091575091583E-2</v>
      </c>
      <c r="BP224" s="64">
        <f>IFERROR(1/J224*(Y224/H224),"0")</f>
        <v>9.3406593406593408E-2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69</v>
      </c>
      <c r="X225" s="663">
        <v>44</v>
      </c>
      <c r="Y225" s="664">
        <f>IFERROR(IF(X225="",0,CEILING((X225/$H225),1)*$H225),"")</f>
        <v>45.6</v>
      </c>
      <c r="Z225" s="36">
        <f>IFERROR(IF(Y225=0,"",ROUNDUP(Y225/H225,0)*0.00651),"")</f>
        <v>0.12369000000000001</v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48.620000000000005</v>
      </c>
      <c r="BN225" s="64">
        <f>IFERROR(Y225*I225/H225,"0")</f>
        <v>50.388000000000005</v>
      </c>
      <c r="BO225" s="64">
        <f>IFERROR(1/J225*(X225/H225),"0")</f>
        <v>0.10073260073260075</v>
      </c>
      <c r="BP225" s="64">
        <f>IFERROR(1/J225*(Y225/H225),"0")</f>
        <v>0.1043956043956044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35</v>
      </c>
      <c r="Y226" s="665">
        <f>IFERROR(Y224/H224,"0")+IFERROR(Y225/H225,"0")</f>
        <v>36</v>
      </c>
      <c r="Z226" s="665">
        <f>IFERROR(IF(Z224="",0,Z224),"0")+IFERROR(IF(Z225="",0,Z225),"0")</f>
        <v>0.23436000000000001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84</v>
      </c>
      <c r="Y227" s="665">
        <f>IFERROR(SUM(Y224:Y225),"0")</f>
        <v>86.4</v>
      </c>
      <c r="Z227" s="37"/>
      <c r="AA227" s="666"/>
      <c r="AB227" s="666"/>
      <c r="AC227" s="666"/>
    </row>
    <row r="228" spans="1:68" ht="16.5" customHeight="1" x14ac:dyDescent="0.25">
      <c r="A228" s="716" t="s">
        <v>383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98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12.08</v>
      </c>
      <c r="J230" s="32">
        <v>48</v>
      </c>
      <c r="K230" s="32" t="s">
        <v>101</v>
      </c>
      <c r="L230" s="32"/>
      <c r="M230" s="33" t="s">
        <v>386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12.035</v>
      </c>
      <c r="J231" s="32">
        <v>64</v>
      </c>
      <c r="K231" s="32" t="s">
        <v>101</v>
      </c>
      <c r="L231" s="32"/>
      <c r="M231" s="33" t="s">
        <v>102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69</v>
      </c>
      <c r="X231" s="663">
        <v>20</v>
      </c>
      <c r="Y231" s="664">
        <f t="shared" si="43"/>
        <v>23.2</v>
      </c>
      <c r="Z231" s="36">
        <f>IFERROR(IF(Y231=0,"",ROUNDUP(Y231/H231,0)*0.01898),"")</f>
        <v>3.7960000000000001E-2</v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44"/>
        <v>20.75</v>
      </c>
      <c r="BN231" s="64">
        <f t="shared" si="45"/>
        <v>24.07</v>
      </c>
      <c r="BO231" s="64">
        <f t="shared" si="46"/>
        <v>2.6939655172413795E-2</v>
      </c>
      <c r="BP231" s="64">
        <f t="shared" si="47"/>
        <v>3.125E-2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69</v>
      </c>
      <c r="X232" s="663">
        <v>10</v>
      </c>
      <c r="Y232" s="664">
        <f t="shared" si="43"/>
        <v>11.6</v>
      </c>
      <c r="Z232" s="36">
        <f>IFERROR(IF(Y232=0,"",ROUNDUP(Y232/H232,0)*0.01898),"")</f>
        <v>1.898E-2</v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44"/>
        <v>10.375</v>
      </c>
      <c r="BN232" s="64">
        <f t="shared" si="45"/>
        <v>12.035</v>
      </c>
      <c r="BO232" s="64">
        <f t="shared" si="46"/>
        <v>1.3469827586206897E-2</v>
      </c>
      <c r="BP232" s="64">
        <f t="shared" si="47"/>
        <v>1.5625E-2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12.08</v>
      </c>
      <c r="J233" s="32">
        <v>48</v>
      </c>
      <c r="K233" s="32" t="s">
        <v>101</v>
      </c>
      <c r="L233" s="32"/>
      <c r="M233" s="33" t="s">
        <v>386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12.035</v>
      </c>
      <c r="J234" s="32">
        <v>64</v>
      </c>
      <c r="K234" s="32" t="s">
        <v>101</v>
      </c>
      <c r="L234" s="32"/>
      <c r="M234" s="33" t="s">
        <v>102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69</v>
      </c>
      <c r="X234" s="663">
        <v>30</v>
      </c>
      <c r="Y234" s="664">
        <f t="shared" si="43"/>
        <v>34.799999999999997</v>
      </c>
      <c r="Z234" s="36">
        <f>IFERROR(IF(Y234=0,"",ROUNDUP(Y234/H234,0)*0.01898),"")</f>
        <v>5.6940000000000004E-2</v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44"/>
        <v>31.125000000000004</v>
      </c>
      <c r="BN234" s="64">
        <f t="shared" si="45"/>
        <v>36.104999999999997</v>
      </c>
      <c r="BO234" s="64">
        <f t="shared" si="46"/>
        <v>4.0409482758620691E-2</v>
      </c>
      <c r="BP234" s="64">
        <f t="shared" si="47"/>
        <v>4.6875E-2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69</v>
      </c>
      <c r="X235" s="663">
        <v>24</v>
      </c>
      <c r="Y235" s="664">
        <f t="shared" si="43"/>
        <v>24</v>
      </c>
      <c r="Z235" s="36">
        <f>IFERROR(IF(Y235=0,"",ROUNDUP(Y235/H235,0)*0.00902),"")</f>
        <v>5.4120000000000001E-2</v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44"/>
        <v>25.259999999999998</v>
      </c>
      <c r="BN235" s="64">
        <f t="shared" si="45"/>
        <v>25.259999999999998</v>
      </c>
      <c r="BO235" s="64">
        <f t="shared" si="46"/>
        <v>4.5454545454545456E-2</v>
      </c>
      <c r="BP235" s="64">
        <f t="shared" si="47"/>
        <v>4.5454545454545456E-2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69</v>
      </c>
      <c r="X237" s="663">
        <v>48</v>
      </c>
      <c r="Y237" s="664">
        <f t="shared" si="43"/>
        <v>48</v>
      </c>
      <c r="Z237" s="36">
        <f>IFERROR(IF(Y237=0,"",ROUNDUP(Y237/H237,0)*0.00902),"")</f>
        <v>0.10824</v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44"/>
        <v>50.519999999999996</v>
      </c>
      <c r="BN237" s="64">
        <f t="shared" si="45"/>
        <v>50.519999999999996</v>
      </c>
      <c r="BO237" s="64">
        <f t="shared" si="46"/>
        <v>9.0909090909090912E-2</v>
      </c>
      <c r="BP237" s="64">
        <f t="shared" si="47"/>
        <v>9.0909090909090912E-2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23.172413793103448</v>
      </c>
      <c r="Y238" s="665">
        <f>IFERROR(Y230/H230,"0")+IFERROR(Y231/H231,"0")+IFERROR(Y232/H232,"0")+IFERROR(Y233/H233,"0")+IFERROR(Y234/H234,"0")+IFERROR(Y235/H235,"0")+IFERROR(Y236/H236,"0")+IFERROR(Y237/H237,"0")</f>
        <v>24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0.27624000000000004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132</v>
      </c>
      <c r="Y239" s="665">
        <f>IFERROR(SUM(Y230:Y237),"0")</f>
        <v>141.6</v>
      </c>
      <c r="Z239" s="37"/>
      <c r="AA239" s="666"/>
      <c r="AB239" s="666"/>
      <c r="AC239" s="666"/>
    </row>
    <row r="240" spans="1:68" ht="14.25" customHeight="1" x14ac:dyDescent="0.25">
      <c r="A240" s="679" t="s">
        <v>136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7">
        <v>4680115885721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150</v>
      </c>
      <c r="L241" s="32"/>
      <c r="M241" s="33" t="s">
        <v>108</v>
      </c>
      <c r="N241" s="33"/>
      <c r="O241" s="32">
        <v>50</v>
      </c>
      <c r="P241" s="970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0"/>
      <c r="R241" s="670"/>
      <c r="S241" s="670"/>
      <c r="T241" s="671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7">
        <v>4680115885981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150</v>
      </c>
      <c r="L242" s="32"/>
      <c r="M242" s="33" t="s">
        <v>108</v>
      </c>
      <c r="N242" s="33"/>
      <c r="O242" s="32">
        <v>50</v>
      </c>
      <c r="P242" s="747" t="s">
        <v>407</v>
      </c>
      <c r="Q242" s="670"/>
      <c r="R242" s="670"/>
      <c r="S242" s="670"/>
      <c r="T242" s="671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408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4" t="s">
        <v>411</v>
      </c>
      <c r="Q246" s="670"/>
      <c r="R246" s="670"/>
      <c r="S246" s="670"/>
      <c r="T246" s="671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413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75" t="s">
        <v>416</v>
      </c>
      <c r="Q250" s="670"/>
      <c r="R250" s="670"/>
      <c r="S250" s="670"/>
      <c r="T250" s="671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418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98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11.28</v>
      </c>
      <c r="J256" s="32">
        <v>48</v>
      </c>
      <c r="K256" s="32" t="s">
        <v>101</v>
      </c>
      <c r="L256" s="32"/>
      <c r="M256" s="33" t="s">
        <v>386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11.234999999999999</v>
      </c>
      <c r="J257" s="32">
        <v>64</v>
      </c>
      <c r="K257" s="32" t="s">
        <v>101</v>
      </c>
      <c r="L257" s="32"/>
      <c r="M257" s="33" t="s">
        <v>102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436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98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440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98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449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64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132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132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69</v>
      </c>
      <c r="X279" s="663">
        <v>120</v>
      </c>
      <c r="Y279" s="664">
        <f>IFERROR(IF(X279="",0,CEILING((X279/$H279),1)*$H279),"")</f>
        <v>120</v>
      </c>
      <c r="Z279" s="36">
        <f>IFERROR(IF(Y279=0,"",ROUNDUP(Y279/H279,0)*0.00651),"")</f>
        <v>0.32550000000000001</v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132.60000000000002</v>
      </c>
      <c r="BN279" s="64">
        <f>IFERROR(Y279*I279/H279,"0")</f>
        <v>132.60000000000002</v>
      </c>
      <c r="BO279" s="64">
        <f>IFERROR(1/J279*(X279/H279),"0")</f>
        <v>0.27472527472527475</v>
      </c>
      <c r="BP279" s="64">
        <f>IFERROR(1/J279*(Y279/H279),"0")</f>
        <v>0.27472527472527475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69</v>
      </c>
      <c r="X280" s="663">
        <v>240</v>
      </c>
      <c r="Y280" s="664">
        <f>IFERROR(IF(X280="",0,CEILING((X280/$H280),1)*$H280),"")</f>
        <v>240</v>
      </c>
      <c r="Z280" s="36">
        <f>IFERROR(IF(Y280=0,"",ROUNDUP(Y280/H280,0)*0.00651),"")</f>
        <v>0.65100000000000002</v>
      </c>
      <c r="AA280" s="56"/>
      <c r="AB280" s="57"/>
      <c r="AC280" s="339" t="s">
        <v>460</v>
      </c>
      <c r="AG280" s="64"/>
      <c r="AJ280" s="68" t="s">
        <v>109</v>
      </c>
      <c r="AK280" s="68">
        <v>436.8</v>
      </c>
      <c r="BB280" s="340" t="s">
        <v>1</v>
      </c>
      <c r="BM280" s="64">
        <f>IFERROR(X280*I280/H280,"0")</f>
        <v>258.00000000000006</v>
      </c>
      <c r="BN280" s="64">
        <f>IFERROR(Y280*I280/H280,"0")</f>
        <v>258.00000000000006</v>
      </c>
      <c r="BO280" s="64">
        <f>IFERROR(1/J280*(X280/H280),"0")</f>
        <v>0.5494505494505495</v>
      </c>
      <c r="BP280" s="64">
        <f>IFERROR(1/J280*(Y280/H280),"0")</f>
        <v>0.5494505494505495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150</v>
      </c>
      <c r="Y282" s="665">
        <f>IFERROR(Y277/H277,"0")+IFERROR(Y278/H278,"0")+IFERROR(Y279/H279,"0")+IFERROR(Y280/H280,"0")+IFERROR(Y281/H281,"0")</f>
        <v>150</v>
      </c>
      <c r="Z282" s="665">
        <f>IFERROR(IF(Z277="",0,Z277),"0")+IFERROR(IF(Z278="",0,Z278),"0")+IFERROR(IF(Z279="",0,Z279),"0")+IFERROR(IF(Z280="",0,Z280),"0")+IFERROR(IF(Z281="",0,Z281),"0")</f>
        <v>0.97650000000000003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360</v>
      </c>
      <c r="Y283" s="665">
        <f>IFERROR(SUM(Y277:Y281),"0")</f>
        <v>360</v>
      </c>
      <c r="Z283" s="37"/>
      <c r="AA283" s="666"/>
      <c r="AB283" s="666"/>
      <c r="AC283" s="666"/>
    </row>
    <row r="284" spans="1:68" ht="16.5" customHeight="1" x14ac:dyDescent="0.25">
      <c r="A284" s="716" t="s">
        <v>463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98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147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150</v>
      </c>
      <c r="L290" s="32"/>
      <c r="M290" s="33" t="s">
        <v>68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64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473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64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477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98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147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150</v>
      </c>
      <c r="L308" s="32"/>
      <c r="M308" s="33" t="s">
        <v>68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69</v>
      </c>
      <c r="X308" s="663">
        <v>140</v>
      </c>
      <c r="Y308" s="664">
        <f>IFERROR(IF(X308="",0,CEILING((X308/$H308),1)*$H308),"")</f>
        <v>140.70000000000002</v>
      </c>
      <c r="Z308" s="36">
        <f>IFERROR(IF(Y308=0,"",ROUNDUP(Y308/H308,0)*0.00502),"")</f>
        <v>0.33634000000000003</v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146.66666666666666</v>
      </c>
      <c r="BN308" s="64">
        <f>IFERROR(Y308*I308/H308,"0")</f>
        <v>147.40000000000003</v>
      </c>
      <c r="BO308" s="64">
        <f>IFERROR(1/J308*(X308/H308),"0")</f>
        <v>0.28490028490028491</v>
      </c>
      <c r="BP308" s="64">
        <f>IFERROR(1/J308*(Y308/H308),"0")</f>
        <v>0.28632478632478636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150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66.666666666666657</v>
      </c>
      <c r="Y310" s="665">
        <f>IFERROR(Y308/H308,"0")+IFERROR(Y309/H309,"0")</f>
        <v>67</v>
      </c>
      <c r="Z310" s="665">
        <f>IFERROR(IF(Z308="",0,Z308),"0")+IFERROR(IF(Z309="",0,Z309),"0")</f>
        <v>0.33634000000000003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140</v>
      </c>
      <c r="Y311" s="665">
        <f>IFERROR(SUM(Y308:Y309),"0")</f>
        <v>140.70000000000002</v>
      </c>
      <c r="Z311" s="37"/>
      <c r="AA311" s="666"/>
      <c r="AB311" s="666"/>
      <c r="AC311" s="666"/>
    </row>
    <row r="312" spans="1:68" ht="16.5" customHeight="1" x14ac:dyDescent="0.25">
      <c r="A312" s="716" t="s">
        <v>485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98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490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98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11.28</v>
      </c>
      <c r="J320" s="32">
        <v>48</v>
      </c>
      <c r="K320" s="32" t="s">
        <v>101</v>
      </c>
      <c r="L320" s="32"/>
      <c r="M320" s="33" t="s">
        <v>386</v>
      </c>
      <c r="N320" s="33"/>
      <c r="O320" s="32">
        <v>55</v>
      </c>
      <c r="P320" s="935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69</v>
      </c>
      <c r="X320" s="663">
        <v>0</v>
      </c>
      <c r="Y320" s="664">
        <f t="shared" si="53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11.234999999999999</v>
      </c>
      <c r="J321" s="32">
        <v>64</v>
      </c>
      <c r="K321" s="32" t="s">
        <v>101</v>
      </c>
      <c r="L321" s="32" t="s">
        <v>498</v>
      </c>
      <c r="M321" s="33" t="s">
        <v>108</v>
      </c>
      <c r="N321" s="33"/>
      <c r="O321" s="32">
        <v>55</v>
      </c>
      <c r="P321" s="9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IFERROR(IF(Y321=0,"",ROUNDUP(Y321/H321,0)*0.01898),"")</f>
        <v/>
      </c>
      <c r="AA321" s="56"/>
      <c r="AB321" s="57"/>
      <c r="AC321" s="363" t="s">
        <v>499</v>
      </c>
      <c r="AG321" s="64"/>
      <c r="AJ321" s="68" t="s">
        <v>500</v>
      </c>
      <c r="AK321" s="68">
        <v>86.4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501</v>
      </c>
      <c r="B322" s="54" t="s">
        <v>502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504</v>
      </c>
      <c r="B323" s="54" t="s">
        <v>505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507</v>
      </c>
      <c r="B324" s="54" t="s">
        <v>508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499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147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69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69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515</v>
      </c>
      <c r="B330" s="54" t="s">
        <v>516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518</v>
      </c>
      <c r="B331" s="54" t="s">
        <v>519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150</v>
      </c>
      <c r="L331" s="32"/>
      <c r="M331" s="33" t="s">
        <v>68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64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69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523</v>
      </c>
      <c r="B336" s="54" t="s">
        <v>524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526</v>
      </c>
      <c r="B337" s="54" t="s">
        <v>527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529</v>
      </c>
      <c r="B338" s="54" t="s">
        <v>530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532</v>
      </c>
      <c r="B339" s="54" t="s">
        <v>533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132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173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535</v>
      </c>
      <c r="B343" s="54" t="s">
        <v>536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69</v>
      </c>
      <c r="X343" s="663">
        <v>30</v>
      </c>
      <c r="Y343" s="664">
        <f>IFERROR(IF(X343="",0,CEILING((X343/$H343),1)*$H343),"")</f>
        <v>33.6</v>
      </c>
      <c r="Z343" s="36">
        <f>IFERROR(IF(Y343=0,"",ROUNDUP(Y343/H343,0)*0.01898),"")</f>
        <v>7.5920000000000001E-2</v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31.853571428571428</v>
      </c>
      <c r="BN343" s="64">
        <f>IFERROR(Y343*I343/H343,"0")</f>
        <v>35.676000000000002</v>
      </c>
      <c r="BO343" s="64">
        <f>IFERROR(1/J343*(X343/H343),"0")</f>
        <v>5.5803571428571425E-2</v>
      </c>
      <c r="BP343" s="64">
        <f>IFERROR(1/J343*(Y343/H343),"0")</f>
        <v>6.25E-2</v>
      </c>
    </row>
    <row r="344" spans="1:68" ht="27" customHeight="1" x14ac:dyDescent="0.25">
      <c r="A344" s="54" t="s">
        <v>538</v>
      </c>
      <c r="B344" s="54" t="s">
        <v>539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69</v>
      </c>
      <c r="X344" s="663">
        <v>350</v>
      </c>
      <c r="Y344" s="664">
        <f>IFERROR(IF(X344="",0,CEILING((X344/$H344),1)*$H344),"")</f>
        <v>351</v>
      </c>
      <c r="Z344" s="36">
        <f>IFERROR(IF(Y344=0,"",ROUNDUP(Y344/H344,0)*0.01898),"")</f>
        <v>0.85409999999999997</v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373.28846153846155</v>
      </c>
      <c r="BN344" s="64">
        <f>IFERROR(Y344*I344/H344,"0")</f>
        <v>374.35500000000008</v>
      </c>
      <c r="BO344" s="64">
        <f>IFERROR(1/J344*(X344/H344),"0")</f>
        <v>0.70112179487179493</v>
      </c>
      <c r="BP344" s="64">
        <f>IFERROR(1/J344*(Y344/H344),"0")</f>
        <v>0.703125</v>
      </c>
    </row>
    <row r="345" spans="1:68" ht="16.5" customHeight="1" x14ac:dyDescent="0.25">
      <c r="A345" s="54" t="s">
        <v>541</v>
      </c>
      <c r="B345" s="54" t="s">
        <v>542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132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69</v>
      </c>
      <c r="X345" s="663">
        <v>40</v>
      </c>
      <c r="Y345" s="664">
        <f>IFERROR(IF(X345="",0,CEILING((X345/$H345),1)*$H345),"")</f>
        <v>42</v>
      </c>
      <c r="Z345" s="36">
        <f>IFERROR(IF(Y345=0,"",ROUNDUP(Y345/H345,0)*0.01898),"")</f>
        <v>9.4899999999999998E-2</v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42.471428571428568</v>
      </c>
      <c r="BN345" s="64">
        <f>IFERROR(Y345*I345/H345,"0")</f>
        <v>44.594999999999999</v>
      </c>
      <c r="BO345" s="64">
        <f>IFERROR(1/J345*(X345/H345),"0")</f>
        <v>7.4404761904761904E-2</v>
      </c>
      <c r="BP345" s="64">
        <f>IFERROR(1/J345*(Y345/H345),"0")</f>
        <v>7.8125E-2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53.205128205128204</v>
      </c>
      <c r="Y346" s="665">
        <f>IFERROR(Y343/H343,"0")+IFERROR(Y344/H344,"0")+IFERROR(Y345/H345,"0")</f>
        <v>54</v>
      </c>
      <c r="Z346" s="665">
        <f>IFERROR(IF(Z343="",0,Z343),"0")+IFERROR(IF(Z344="",0,Z344),"0")+IFERROR(IF(Z345="",0,Z345),"0")</f>
        <v>1.0249200000000001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420</v>
      </c>
      <c r="Y347" s="665">
        <f>IFERROR(SUM(Y343:Y345),"0")</f>
        <v>426.6</v>
      </c>
      <c r="Z347" s="37"/>
      <c r="AA347" s="666"/>
      <c r="AB347" s="666"/>
      <c r="AC347" s="666"/>
    </row>
    <row r="348" spans="1:68" ht="14.25" customHeight="1" x14ac:dyDescent="0.25">
      <c r="A348" s="679" t="s">
        <v>90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544</v>
      </c>
      <c r="B349" s="54" t="s">
        <v>545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994" t="s">
        <v>546</v>
      </c>
      <c r="Q349" s="670"/>
      <c r="R349" s="670"/>
      <c r="S349" s="670"/>
      <c r="T349" s="671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548</v>
      </c>
      <c r="B350" s="54" t="s">
        <v>549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787" t="s">
        <v>550</v>
      </c>
      <c r="Q350" s="670"/>
      <c r="R350" s="670"/>
      <c r="S350" s="670"/>
      <c r="T350" s="671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552</v>
      </c>
      <c r="B351" s="54" t="s">
        <v>553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69</v>
      </c>
      <c r="X351" s="663">
        <v>34</v>
      </c>
      <c r="Y351" s="664">
        <f>IFERROR(IF(X351="",0,CEILING((X351/$H351),1)*$H351),"")</f>
        <v>35.699999999999996</v>
      </c>
      <c r="Z351" s="36">
        <f>IFERROR(IF(Y351=0,"",ROUNDUP(Y351/H351,0)*0.00651),"")</f>
        <v>9.1139999999999999E-2</v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39.400000000000006</v>
      </c>
      <c r="BN351" s="64">
        <f>IFERROR(Y351*I351/H351,"0")</f>
        <v>41.37</v>
      </c>
      <c r="BO351" s="64">
        <f>IFERROR(1/J351*(X351/H351),"0")</f>
        <v>7.3260073260073263E-2</v>
      </c>
      <c r="BP351" s="64">
        <f>IFERROR(1/J351*(Y351/H351),"0")</f>
        <v>7.6923076923076927E-2</v>
      </c>
    </row>
    <row r="352" spans="1:68" ht="27" customHeight="1" x14ac:dyDescent="0.25">
      <c r="A352" s="54" t="s">
        <v>555</v>
      </c>
      <c r="B352" s="54" t="s">
        <v>556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69</v>
      </c>
      <c r="X352" s="663">
        <v>289</v>
      </c>
      <c r="Y352" s="664">
        <f>IFERROR(IF(X352="",0,CEILING((X352/$H352),1)*$H352),"")</f>
        <v>290.7</v>
      </c>
      <c r="Z352" s="36">
        <f>IFERROR(IF(Y352=0,"",ROUNDUP(Y352/H352,0)*0.00651),"")</f>
        <v>0.74214000000000002</v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326.39999999999998</v>
      </c>
      <c r="BN352" s="64">
        <f>IFERROR(Y352*I352/H352,"0")</f>
        <v>328.32</v>
      </c>
      <c r="BO352" s="64">
        <f>IFERROR(1/J352*(X352/H352),"0")</f>
        <v>0.62271062271062283</v>
      </c>
      <c r="BP352" s="64">
        <f>IFERROR(1/J352*(Y352/H352),"0")</f>
        <v>0.62637362637362637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126.66666666666667</v>
      </c>
      <c r="Y353" s="665">
        <f>IFERROR(Y349/H349,"0")+IFERROR(Y350/H350,"0")+IFERROR(Y351/H351,"0")+IFERROR(Y352/H352,"0")</f>
        <v>128</v>
      </c>
      <c r="Z353" s="665">
        <f>IFERROR(IF(Z349="",0,Z349),"0")+IFERROR(IF(Z350="",0,Z350),"0")+IFERROR(IF(Z351="",0,Z351),"0")+IFERROR(IF(Z352="",0,Z352),"0")</f>
        <v>0.83328000000000002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323</v>
      </c>
      <c r="Y354" s="665">
        <f>IFERROR(SUM(Y349:Y352),"0")</f>
        <v>326.39999999999998</v>
      </c>
      <c r="Z354" s="37"/>
      <c r="AA354" s="666"/>
      <c r="AB354" s="666"/>
      <c r="AC354" s="666"/>
    </row>
    <row r="355" spans="1:68" ht="14.25" customHeight="1" x14ac:dyDescent="0.25">
      <c r="A355" s="679" t="s">
        <v>557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558</v>
      </c>
      <c r="B356" s="54" t="s">
        <v>559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562</v>
      </c>
      <c r="B357" s="54" t="s">
        <v>563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566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147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567</v>
      </c>
      <c r="B363" s="54" t="s">
        <v>568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69</v>
      </c>
      <c r="X363" s="663">
        <v>18</v>
      </c>
      <c r="Y363" s="664">
        <f>IFERROR(IF(X363="",0,CEILING((X363/$H363),1)*$H363),"")</f>
        <v>18</v>
      </c>
      <c r="Z363" s="36">
        <f>IFERROR(IF(Y363=0,"",ROUNDUP(Y363/H363,0)*0.00651),"")</f>
        <v>6.5100000000000005E-2</v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20.279999999999998</v>
      </c>
      <c r="BN363" s="64">
        <f>IFERROR(Y363*I363/H363,"0")</f>
        <v>20.279999999999998</v>
      </c>
      <c r="BO363" s="64">
        <f>IFERROR(1/J363*(X363/H363),"0")</f>
        <v>5.4945054945054951E-2</v>
      </c>
      <c r="BP363" s="64">
        <f>IFERROR(1/J363*(Y363/H363),"0")</f>
        <v>5.4945054945054951E-2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10</v>
      </c>
      <c r="Y364" s="665">
        <f>IFERROR(Y363/H363,"0")</f>
        <v>10</v>
      </c>
      <c r="Z364" s="665">
        <f>IFERROR(IF(Z363="",0,Z363),"0")</f>
        <v>6.5100000000000005E-2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18</v>
      </c>
      <c r="Y365" s="665">
        <f>IFERROR(SUM(Y363:Y363),"0")</f>
        <v>18</v>
      </c>
      <c r="Z365" s="37"/>
      <c r="AA365" s="666"/>
      <c r="AB365" s="666"/>
      <c r="AC365" s="666"/>
    </row>
    <row r="366" spans="1:68" ht="14.25" customHeight="1" x14ac:dyDescent="0.25">
      <c r="A366" s="679" t="s">
        <v>64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132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69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573</v>
      </c>
      <c r="B368" s="54" t="s">
        <v>574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69</v>
      </c>
      <c r="X368" s="663">
        <v>665</v>
      </c>
      <c r="Y368" s="664">
        <f>IFERROR(IF(X368="",0,CEILING((X368/$H368),1)*$H368),"")</f>
        <v>665.7</v>
      </c>
      <c r="Z368" s="36">
        <f>IFERROR(IF(Y368=0,"",ROUNDUP(Y368/H368,0)*0.00651),"")</f>
        <v>2.0636700000000001</v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744.8</v>
      </c>
      <c r="BN368" s="64">
        <f>IFERROR(Y368*I368/H368,"0")</f>
        <v>745.58399999999995</v>
      </c>
      <c r="BO368" s="64">
        <f>IFERROR(1/J368*(X368/H368),"0")</f>
        <v>1.73992673992674</v>
      </c>
      <c r="BP368" s="64">
        <f>IFERROR(1/J368*(Y368/H368),"0")</f>
        <v>1.7417582417582418</v>
      </c>
    </row>
    <row r="369" spans="1:68" ht="27" customHeight="1" x14ac:dyDescent="0.25">
      <c r="A369" s="54" t="s">
        <v>576</v>
      </c>
      <c r="B369" s="54" t="s">
        <v>577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132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69</v>
      </c>
      <c r="X369" s="663">
        <v>525</v>
      </c>
      <c r="Y369" s="664">
        <f>IFERROR(IF(X369="",0,CEILING((X369/$H369),1)*$H369),"")</f>
        <v>525</v>
      </c>
      <c r="Z369" s="36">
        <f>IFERROR(IF(Y369=0,"",ROUNDUP(Y369/H369,0)*0.00651),"")</f>
        <v>1.6274999999999999</v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585</v>
      </c>
      <c r="BN369" s="64">
        <f>IFERROR(Y369*I369/H369,"0")</f>
        <v>585</v>
      </c>
      <c r="BO369" s="64">
        <f>IFERROR(1/J369*(X369/H369),"0")</f>
        <v>1.3736263736263736</v>
      </c>
      <c r="BP369" s="64">
        <f>IFERROR(1/J369*(Y369/H369),"0")</f>
        <v>1.3736263736263736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566.66666666666663</v>
      </c>
      <c r="Y370" s="665">
        <f>IFERROR(Y367/H367,"0")+IFERROR(Y368/H368,"0")+IFERROR(Y369/H369,"0")</f>
        <v>567</v>
      </c>
      <c r="Z370" s="665">
        <f>IFERROR(IF(Z367="",0,Z367),"0")+IFERROR(IF(Z368="",0,Z368),"0")+IFERROR(IF(Z369="",0,Z369),"0")</f>
        <v>3.6911700000000001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1190</v>
      </c>
      <c r="Y371" s="665">
        <f>IFERROR(SUM(Y367:Y369),"0")</f>
        <v>1190.7</v>
      </c>
      <c r="Z371" s="37"/>
      <c r="AA371" s="666"/>
      <c r="AB371" s="666"/>
      <c r="AC371" s="666"/>
    </row>
    <row r="372" spans="1:68" ht="27.75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580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98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27" customHeight="1" x14ac:dyDescent="0.25">
      <c r="A375" s="54" t="s">
        <v>581</v>
      </c>
      <c r="B375" s="54" t="s">
        <v>582</v>
      </c>
      <c r="C375" s="31">
        <v>4301011946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/>
      <c r="M375" s="33" t="s">
        <v>386</v>
      </c>
      <c r="N375" s="33"/>
      <c r="O375" s="32">
        <v>60</v>
      </c>
      <c r="P375" s="882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0"/>
      <c r="R375" s="670"/>
      <c r="S375" s="670"/>
      <c r="T375" s="671"/>
      <c r="U375" s="34"/>
      <c r="V375" s="34"/>
      <c r="W375" s="35" t="s">
        <v>69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583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37.5" customHeight="1" x14ac:dyDescent="0.25">
      <c r="A376" s="54" t="s">
        <v>581</v>
      </c>
      <c r="B376" s="54" t="s">
        <v>584</v>
      </c>
      <c r="C376" s="31">
        <v>4301011869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 t="s">
        <v>107</v>
      </c>
      <c r="M376" s="33" t="s">
        <v>68</v>
      </c>
      <c r="N376" s="33"/>
      <c r="O376" s="32">
        <v>60</v>
      </c>
      <c r="P376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0"/>
      <c r="R376" s="670"/>
      <c r="S376" s="670"/>
      <c r="T376" s="671"/>
      <c r="U376" s="34"/>
      <c r="V376" s="34"/>
      <c r="W376" s="35" t="s">
        <v>69</v>
      </c>
      <c r="X376" s="663">
        <v>1200</v>
      </c>
      <c r="Y376" s="664">
        <f t="shared" si="58"/>
        <v>1200</v>
      </c>
      <c r="Z376" s="36">
        <f>IFERROR(IF(Y376=0,"",ROUNDUP(Y376/H376,0)*0.02175),"")</f>
        <v>1.7399999999999998</v>
      </c>
      <c r="AA376" s="56"/>
      <c r="AB376" s="57"/>
      <c r="AC376" s="419" t="s">
        <v>585</v>
      </c>
      <c r="AG376" s="64"/>
      <c r="AJ376" s="68" t="s">
        <v>109</v>
      </c>
      <c r="AK376" s="68">
        <v>720</v>
      </c>
      <c r="BB376" s="420" t="s">
        <v>1</v>
      </c>
      <c r="BM376" s="64">
        <f t="shared" si="59"/>
        <v>1238.4000000000001</v>
      </c>
      <c r="BN376" s="64">
        <f t="shared" si="60"/>
        <v>1238.4000000000001</v>
      </c>
      <c r="BO376" s="64">
        <f t="shared" si="61"/>
        <v>1.6666666666666665</v>
      </c>
      <c r="BP376" s="64">
        <f t="shared" si="62"/>
        <v>1.6666666666666665</v>
      </c>
    </row>
    <row r="377" spans="1:68" ht="27" customHeight="1" x14ac:dyDescent="0.25">
      <c r="A377" s="54" t="s">
        <v>586</v>
      </c>
      <c r="B377" s="54" t="s">
        <v>587</v>
      </c>
      <c r="C377" s="31">
        <v>4301011947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/>
      <c r="M377" s="33" t="s">
        <v>386</v>
      </c>
      <c r="N377" s="33"/>
      <c r="O377" s="32">
        <v>60</v>
      </c>
      <c r="P377" s="88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69</v>
      </c>
      <c r="X377" s="663">
        <v>0</v>
      </c>
      <c r="Y377" s="664">
        <f t="shared" si="58"/>
        <v>0</v>
      </c>
      <c r="Z377" s="36" t="str">
        <f>IFERROR(IF(Y377=0,"",ROUNDUP(Y377/H377,0)*0.02039),"")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586</v>
      </c>
      <c r="B378" s="54" t="s">
        <v>588</v>
      </c>
      <c r="C378" s="31">
        <v>4301011870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 t="s">
        <v>107</v>
      </c>
      <c r="M378" s="33" t="s">
        <v>68</v>
      </c>
      <c r="N378" s="33"/>
      <c r="O378" s="32">
        <v>60</v>
      </c>
      <c r="P378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69</v>
      </c>
      <c r="X378" s="663">
        <v>1100</v>
      </c>
      <c r="Y378" s="664">
        <f t="shared" si="58"/>
        <v>1110</v>
      </c>
      <c r="Z378" s="36">
        <f>IFERROR(IF(Y378=0,"",ROUNDUP(Y378/H378,0)*0.02175),"")</f>
        <v>1.6094999999999999</v>
      </c>
      <c r="AA378" s="56"/>
      <c r="AB378" s="57"/>
      <c r="AC378" s="423" t="s">
        <v>589</v>
      </c>
      <c r="AG378" s="64"/>
      <c r="AJ378" s="68" t="s">
        <v>109</v>
      </c>
      <c r="AK378" s="68">
        <v>720</v>
      </c>
      <c r="BB378" s="424" t="s">
        <v>1</v>
      </c>
      <c r="BM378" s="64">
        <f t="shared" si="59"/>
        <v>1135.2</v>
      </c>
      <c r="BN378" s="64">
        <f t="shared" si="60"/>
        <v>1145.52</v>
      </c>
      <c r="BO378" s="64">
        <f t="shared" si="61"/>
        <v>1.5277777777777777</v>
      </c>
      <c r="BP378" s="64">
        <f t="shared" si="62"/>
        <v>1.5416666666666665</v>
      </c>
    </row>
    <row r="379" spans="1:68" ht="27" customHeight="1" x14ac:dyDescent="0.25">
      <c r="A379" s="54" t="s">
        <v>590</v>
      </c>
      <c r="B379" s="54" t="s">
        <v>591</v>
      </c>
      <c r="C379" s="31">
        <v>4301011943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386</v>
      </c>
      <c r="N379" s="33"/>
      <c r="O379" s="32">
        <v>60</v>
      </c>
      <c r="P379" s="70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69</v>
      </c>
      <c r="X379" s="663">
        <v>0</v>
      </c>
      <c r="Y379" s="664">
        <f t="shared" si="58"/>
        <v>0</v>
      </c>
      <c r="Z379" s="36" t="str">
        <f>IFERROR(IF(Y379=0,"",ROUNDUP(Y379/H379,0)*0.02039),"")</f>
        <v/>
      </c>
      <c r="AA379" s="56"/>
      <c r="AB379" s="57"/>
      <c r="AC379" s="425" t="s">
        <v>583</v>
      </c>
      <c r="AG379" s="64"/>
      <c r="AJ379" s="68"/>
      <c r="AK379" s="68">
        <v>0</v>
      </c>
      <c r="BB379" s="426" t="s">
        <v>1</v>
      </c>
      <c r="BM379" s="64">
        <f t="shared" si="59"/>
        <v>0</v>
      </c>
      <c r="BN379" s="64">
        <f t="shared" si="60"/>
        <v>0</v>
      </c>
      <c r="BO379" s="64">
        <f t="shared" si="61"/>
        <v>0</v>
      </c>
      <c r="BP379" s="64">
        <f t="shared" si="62"/>
        <v>0</v>
      </c>
    </row>
    <row r="380" spans="1:68" ht="27" customHeight="1" x14ac:dyDescent="0.25">
      <c r="A380" s="54" t="s">
        <v>592</v>
      </c>
      <c r="B380" s="54" t="s">
        <v>593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/>
      <c r="M380" s="33" t="s">
        <v>132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69</v>
      </c>
      <c r="X380" s="663">
        <v>140</v>
      </c>
      <c r="Y380" s="664">
        <f t="shared" si="58"/>
        <v>150</v>
      </c>
      <c r="Z380" s="36">
        <f>IFERROR(IF(Y380=0,"",ROUNDUP(Y380/H380,0)*0.02175),"")</f>
        <v>0.21749999999999997</v>
      </c>
      <c r="AA380" s="56"/>
      <c r="AB380" s="57"/>
      <c r="AC380" s="427" t="s">
        <v>594</v>
      </c>
      <c r="AG380" s="64"/>
      <c r="AJ380" s="68"/>
      <c r="AK380" s="68">
        <v>0</v>
      </c>
      <c r="BB380" s="428" t="s">
        <v>1</v>
      </c>
      <c r="BM380" s="64">
        <f t="shared" si="59"/>
        <v>144.48000000000002</v>
      </c>
      <c r="BN380" s="64">
        <f t="shared" si="60"/>
        <v>154.80000000000001</v>
      </c>
      <c r="BO380" s="64">
        <f t="shared" si="61"/>
        <v>0.19444444444444445</v>
      </c>
      <c r="BP380" s="64">
        <f t="shared" si="62"/>
        <v>0.20833333333333331</v>
      </c>
    </row>
    <row r="381" spans="1:68" ht="37.5" customHeight="1" x14ac:dyDescent="0.25">
      <c r="A381" s="54" t="s">
        <v>590</v>
      </c>
      <c r="B381" s="54" t="s">
        <v>595</v>
      </c>
      <c r="C381" s="31">
        <v>4301011867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 t="s">
        <v>107</v>
      </c>
      <c r="M381" s="33" t="s">
        <v>68</v>
      </c>
      <c r="N381" s="33"/>
      <c r="O381" s="32">
        <v>60</v>
      </c>
      <c r="P381" s="7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69</v>
      </c>
      <c r="X381" s="663">
        <v>1200</v>
      </c>
      <c r="Y381" s="664">
        <f t="shared" si="58"/>
        <v>1200</v>
      </c>
      <c r="Z381" s="36">
        <f>IFERROR(IF(Y381=0,"",ROUNDUP(Y381/H381,0)*0.02175),"")</f>
        <v>1.7399999999999998</v>
      </c>
      <c r="AA381" s="56"/>
      <c r="AB381" s="57"/>
      <c r="AC381" s="429" t="s">
        <v>596</v>
      </c>
      <c r="AG381" s="64"/>
      <c r="AJ381" s="68" t="s">
        <v>109</v>
      </c>
      <c r="AK381" s="68">
        <v>720</v>
      </c>
      <c r="BB381" s="430" t="s">
        <v>1</v>
      </c>
      <c r="BM381" s="64">
        <f t="shared" si="59"/>
        <v>1238.4000000000001</v>
      </c>
      <c r="BN381" s="64">
        <f t="shared" si="60"/>
        <v>1238.4000000000001</v>
      </c>
      <c r="BO381" s="64">
        <f t="shared" si="61"/>
        <v>1.6666666666666665</v>
      </c>
      <c r="BP381" s="64">
        <f t="shared" si="62"/>
        <v>1.6666666666666665</v>
      </c>
    </row>
    <row r="382" spans="1:68" ht="27" customHeight="1" x14ac:dyDescent="0.25">
      <c r="A382" s="54" t="s">
        <v>597</v>
      </c>
      <c r="B382" s="54" t="s">
        <v>598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600</v>
      </c>
      <c r="B383" s="54" t="s">
        <v>601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589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602</v>
      </c>
      <c r="B384" s="54" t="s">
        <v>603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69</v>
      </c>
      <c r="X384" s="663">
        <v>15</v>
      </c>
      <c r="Y384" s="664">
        <f t="shared" si="58"/>
        <v>15</v>
      </c>
      <c r="Z384" s="36">
        <f>IFERROR(IF(Y384=0,"",ROUNDUP(Y384/H384,0)*0.00902),"")</f>
        <v>2.7060000000000001E-2</v>
      </c>
      <c r="AA384" s="56"/>
      <c r="AB384" s="57"/>
      <c r="AC384" s="435" t="s">
        <v>596</v>
      </c>
      <c r="AG384" s="64"/>
      <c r="AJ384" s="68"/>
      <c r="AK384" s="68">
        <v>0</v>
      </c>
      <c r="BB384" s="436" t="s">
        <v>1</v>
      </c>
      <c r="BM384" s="64">
        <f t="shared" si="59"/>
        <v>15.63</v>
      </c>
      <c r="BN384" s="64">
        <f t="shared" si="60"/>
        <v>15.63</v>
      </c>
      <c r="BO384" s="64">
        <f t="shared" si="61"/>
        <v>2.2727272727272728E-2</v>
      </c>
      <c r="BP384" s="64">
        <f t="shared" si="62"/>
        <v>2.2727272727272728E-2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245.66666666666666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247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5.3340599999999991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3655</v>
      </c>
      <c r="Y386" s="665">
        <f>IFERROR(SUM(Y375:Y384),"0")</f>
        <v>3675</v>
      </c>
      <c r="Z386" s="37"/>
      <c r="AA386" s="666"/>
      <c r="AB386" s="666"/>
      <c r="AC386" s="666"/>
    </row>
    <row r="387" spans="1:68" ht="14.25" customHeight="1" x14ac:dyDescent="0.25">
      <c r="A387" s="679" t="s">
        <v>136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107</v>
      </c>
      <c r="M388" s="33" t="s">
        <v>102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69</v>
      </c>
      <c r="X388" s="663">
        <v>1200</v>
      </c>
      <c r="Y388" s="664">
        <f>IFERROR(IF(X388="",0,CEILING((X388/$H388),1)*$H388),"")</f>
        <v>1200</v>
      </c>
      <c r="Z388" s="36">
        <f>IFERROR(IF(Y388=0,"",ROUNDUP(Y388/H388,0)*0.02175),"")</f>
        <v>1.7399999999999998</v>
      </c>
      <c r="AA388" s="56"/>
      <c r="AB388" s="57"/>
      <c r="AC388" s="437" t="s">
        <v>606</v>
      </c>
      <c r="AG388" s="64"/>
      <c r="AJ388" s="68" t="s">
        <v>109</v>
      </c>
      <c r="AK388" s="68">
        <v>720</v>
      </c>
      <c r="BB388" s="438" t="s">
        <v>1</v>
      </c>
      <c r="BM388" s="64">
        <f>IFERROR(X388*I388/H388,"0")</f>
        <v>1238.4000000000001</v>
      </c>
      <c r="BN388" s="64">
        <f>IFERROR(Y388*I388/H388,"0")</f>
        <v>1238.4000000000001</v>
      </c>
      <c r="BO388" s="64">
        <f>IFERROR(1/J388*(X388/H388),"0")</f>
        <v>1.6666666666666665</v>
      </c>
      <c r="BP388" s="64">
        <f>IFERROR(1/J388*(Y388/H388),"0")</f>
        <v>1.6666666666666665</v>
      </c>
    </row>
    <row r="389" spans="1:68" ht="27" customHeight="1" x14ac:dyDescent="0.25">
      <c r="A389" s="54" t="s">
        <v>607</v>
      </c>
      <c r="B389" s="54" t="s">
        <v>608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69</v>
      </c>
      <c r="X389" s="663">
        <v>4</v>
      </c>
      <c r="Y389" s="664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4.21</v>
      </c>
      <c r="BN389" s="64">
        <f>IFERROR(Y389*I389/H389,"0")</f>
        <v>4.21</v>
      </c>
      <c r="BO389" s="64">
        <f>IFERROR(1/J389*(X389/H389),"0")</f>
        <v>7.575757575757576E-3</v>
      </c>
      <c r="BP389" s="64">
        <f>IFERROR(1/J389*(Y389/H389),"0")</f>
        <v>7.575757575757576E-3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81</v>
      </c>
      <c r="Y390" s="665">
        <f>IFERROR(Y388/H388,"0")+IFERROR(Y389/H389,"0")</f>
        <v>81</v>
      </c>
      <c r="Z390" s="665">
        <f>IFERROR(IF(Z388="",0,Z388),"0")+IFERROR(IF(Z389="",0,Z389),"0")</f>
        <v>1.7490199999999998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1204</v>
      </c>
      <c r="Y391" s="665">
        <f>IFERROR(SUM(Y388:Y389),"0")</f>
        <v>1204</v>
      </c>
      <c r="Z391" s="37"/>
      <c r="AA391" s="666"/>
      <c r="AB391" s="666"/>
      <c r="AC391" s="666"/>
    </row>
    <row r="392" spans="1:68" ht="14.25" customHeight="1" x14ac:dyDescent="0.25">
      <c r="A392" s="679" t="s">
        <v>64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609</v>
      </c>
      <c r="B393" s="54" t="s">
        <v>610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902" t="s">
        <v>611</v>
      </c>
      <c r="Q393" s="670"/>
      <c r="R393" s="670"/>
      <c r="S393" s="670"/>
      <c r="T393" s="671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613</v>
      </c>
      <c r="B394" s="54" t="s">
        <v>614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2" t="s">
        <v>615</v>
      </c>
      <c r="Q394" s="670"/>
      <c r="R394" s="670"/>
      <c r="S394" s="670"/>
      <c r="T394" s="671"/>
      <c r="U394" s="34"/>
      <c r="V394" s="34"/>
      <c r="W394" s="35" t="s">
        <v>69</v>
      </c>
      <c r="X394" s="663">
        <v>40</v>
      </c>
      <c r="Y394" s="664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42.306666666666665</v>
      </c>
      <c r="BN394" s="64">
        <f>IFERROR(Y394*I394/H394,"0")</f>
        <v>47.594999999999999</v>
      </c>
      <c r="BO394" s="64">
        <f>IFERROR(1/J394*(X394/H394),"0")</f>
        <v>6.9444444444444448E-2</v>
      </c>
      <c r="BP394" s="64">
        <f>IFERROR(1/J394*(Y394/H394),"0")</f>
        <v>7.8125E-2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4.4444444444444446</v>
      </c>
      <c r="Y395" s="665">
        <f>IFERROR(Y393/H393,"0")+IFERROR(Y394/H394,"0")</f>
        <v>5</v>
      </c>
      <c r="Z395" s="665">
        <f>IFERROR(IF(Z393="",0,Z393),"0")+IFERROR(IF(Z394="",0,Z394),"0")</f>
        <v>9.4899999999999998E-2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40</v>
      </c>
      <c r="Y396" s="665">
        <f>IFERROR(SUM(Y393:Y394),"0")</f>
        <v>45</v>
      </c>
      <c r="Z396" s="37"/>
      <c r="AA396" s="666"/>
      <c r="AB396" s="666"/>
      <c r="AC396" s="666"/>
    </row>
    <row r="397" spans="1:68" ht="14.25" customHeight="1" x14ac:dyDescent="0.25">
      <c r="A397" s="679" t="s">
        <v>173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617</v>
      </c>
      <c r="B398" s="54" t="s">
        <v>618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49" t="s">
        <v>619</v>
      </c>
      <c r="Q398" s="670"/>
      <c r="R398" s="670"/>
      <c r="S398" s="670"/>
      <c r="T398" s="671"/>
      <c r="U398" s="34"/>
      <c r="V398" s="34"/>
      <c r="W398" s="35" t="s">
        <v>69</v>
      </c>
      <c r="X398" s="663">
        <v>20</v>
      </c>
      <c r="Y398" s="664">
        <f>IFERROR(IF(X398="",0,CEILING((X398/$H398),1)*$H398),"")</f>
        <v>27</v>
      </c>
      <c r="Z398" s="36">
        <f>IFERROR(IF(Y398=0,"",ROUNDUP(Y398/H398,0)*0.01898),"")</f>
        <v>5.6940000000000004E-2</v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21.153333333333332</v>
      </c>
      <c r="BN398" s="64">
        <f>IFERROR(Y398*I398/H398,"0")</f>
        <v>28.556999999999999</v>
      </c>
      <c r="BO398" s="64">
        <f>IFERROR(1/J398*(X398/H398),"0")</f>
        <v>3.4722222222222224E-2</v>
      </c>
      <c r="BP398" s="64">
        <f>IFERROR(1/J398*(Y398/H398),"0")</f>
        <v>4.6875E-2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2.2222222222222223</v>
      </c>
      <c r="Y399" s="665">
        <f>IFERROR(Y398/H398,"0")</f>
        <v>3</v>
      </c>
      <c r="Z399" s="665">
        <f>IFERROR(IF(Z398="",0,Z398),"0")</f>
        <v>5.6940000000000004E-2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20</v>
      </c>
      <c r="Y400" s="665">
        <f>IFERROR(SUM(Y398:Y398),"0")</f>
        <v>27</v>
      </c>
      <c r="Z400" s="37"/>
      <c r="AA400" s="666"/>
      <c r="AB400" s="666"/>
      <c r="AC400" s="666"/>
    </row>
    <row r="401" spans="1:68" ht="16.5" customHeight="1" x14ac:dyDescent="0.25">
      <c r="A401" s="716" t="s">
        <v>621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98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622</v>
      </c>
      <c r="B403" s="54" t="s">
        <v>623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622</v>
      </c>
      <c r="B404" s="54" t="s">
        <v>625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627</v>
      </c>
      <c r="B405" s="54" t="s">
        <v>628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630</v>
      </c>
      <c r="B406" s="54" t="s">
        <v>631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69</v>
      </c>
      <c r="X406" s="663">
        <v>40</v>
      </c>
      <c r="Y406" s="664">
        <f>IFERROR(IF(X406="",0,CEILING((X406/$H406),1)*$H406),"")</f>
        <v>48</v>
      </c>
      <c r="Z406" s="36">
        <f>IFERROR(IF(Y406=0,"",ROUNDUP(Y406/H406,0)*0.01898),"")</f>
        <v>7.5920000000000001E-2</v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41.45</v>
      </c>
      <c r="BN406" s="64">
        <f>IFERROR(Y406*I406/H406,"0")</f>
        <v>49.74</v>
      </c>
      <c r="BO406" s="64">
        <f>IFERROR(1/J406*(X406/H406),"0")</f>
        <v>5.2083333333333336E-2</v>
      </c>
      <c r="BP406" s="64">
        <f>IFERROR(1/J406*(Y406/H406),"0")</f>
        <v>6.25E-2</v>
      </c>
    </row>
    <row r="407" spans="1:68" ht="37.5" customHeight="1" x14ac:dyDescent="0.25">
      <c r="A407" s="54" t="s">
        <v>632</v>
      </c>
      <c r="B407" s="54" t="s">
        <v>633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3.3333333333333335</v>
      </c>
      <c r="Y408" s="665">
        <f>IFERROR(Y403/H403,"0")+IFERROR(Y404/H404,"0")+IFERROR(Y405/H405,"0")+IFERROR(Y406/H406,"0")+IFERROR(Y407/H407,"0")</f>
        <v>4</v>
      </c>
      <c r="Z408" s="665">
        <f>IFERROR(IF(Z403="",0,Z403),"0")+IFERROR(IF(Z404="",0,Z404),"0")+IFERROR(IF(Z405="",0,Z405),"0")+IFERROR(IF(Z406="",0,Z406),"0")+IFERROR(IF(Z407="",0,Z407),"0")</f>
        <v>7.5920000000000001E-2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40</v>
      </c>
      <c r="Y409" s="665">
        <f>IFERROR(SUM(Y403:Y407),"0")</f>
        <v>48</v>
      </c>
      <c r="Z409" s="37"/>
      <c r="AA409" s="666"/>
      <c r="AB409" s="666"/>
      <c r="AC409" s="666"/>
    </row>
    <row r="410" spans="1:68" ht="14.25" customHeight="1" x14ac:dyDescent="0.25">
      <c r="A410" s="679" t="s">
        <v>147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634</v>
      </c>
      <c r="B411" s="54" t="s">
        <v>635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637</v>
      </c>
      <c r="B412" s="54" t="s">
        <v>638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150</v>
      </c>
      <c r="L412" s="32"/>
      <c r="M412" s="33" t="s">
        <v>68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64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639</v>
      </c>
      <c r="B416" s="54" t="s">
        <v>640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642</v>
      </c>
      <c r="B417" s="54" t="s">
        <v>643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85" t="s">
        <v>644</v>
      </c>
      <c r="Q417" s="670"/>
      <c r="R417" s="670"/>
      <c r="S417" s="670"/>
      <c r="T417" s="671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646</v>
      </c>
      <c r="B418" s="54" t="s">
        <v>647</v>
      </c>
      <c r="C418" s="31">
        <v>4301051297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0"/>
      <c r="R418" s="670"/>
      <c r="S418" s="670"/>
      <c r="T418" s="671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646</v>
      </c>
      <c r="B419" s="54" t="s">
        <v>649</v>
      </c>
      <c r="C419" s="31">
        <v>4301051660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0"/>
      <c r="R419" s="670"/>
      <c r="S419" s="670"/>
      <c r="T419" s="671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650</v>
      </c>
      <c r="B420" s="54" t="s">
        <v>651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173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653</v>
      </c>
      <c r="B424" s="54" t="s">
        <v>654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46" t="s">
        <v>655</v>
      </c>
      <c r="Q424" s="670"/>
      <c r="R424" s="670"/>
      <c r="S424" s="670"/>
      <c r="T424" s="671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658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147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659</v>
      </c>
      <c r="B430" s="54" t="s">
        <v>660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3" t="s">
        <v>661</v>
      </c>
      <c r="Q430" s="670"/>
      <c r="R430" s="670"/>
      <c r="S430" s="670"/>
      <c r="T430" s="671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4301031382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18" t="s">
        <v>665</v>
      </c>
      <c r="Q431" s="670"/>
      <c r="R431" s="670"/>
      <c r="S431" s="670"/>
      <c r="T431" s="671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663</v>
      </c>
      <c r="B432" s="54" t="s">
        <v>667</v>
      </c>
      <c r="C432" s="31">
        <v>4301031406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699" t="s">
        <v>665</v>
      </c>
      <c r="Q432" s="670"/>
      <c r="R432" s="670"/>
      <c r="S432" s="670"/>
      <c r="T432" s="671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668</v>
      </c>
      <c r="B433" s="54" t="s">
        <v>669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16" t="s">
        <v>670</v>
      </c>
      <c r="Q433" s="670"/>
      <c r="R433" s="670"/>
      <c r="S433" s="670"/>
      <c r="T433" s="671"/>
      <c r="U433" s="34"/>
      <c r="V433" s="34"/>
      <c r="W433" s="35" t="s">
        <v>69</v>
      </c>
      <c r="X433" s="663">
        <v>10</v>
      </c>
      <c r="Y433" s="664">
        <f t="shared" si="63"/>
        <v>10.8</v>
      </c>
      <c r="Z433" s="36">
        <f>IFERROR(IF(Y433=0,"",ROUNDUP(Y433/H433,0)*0.00902),"")</f>
        <v>1.804E-2</v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10.388888888888889</v>
      </c>
      <c r="BN433" s="64">
        <f t="shared" si="65"/>
        <v>11.22</v>
      </c>
      <c r="BO433" s="64">
        <f t="shared" si="66"/>
        <v>1.4029180695847361E-2</v>
      </c>
      <c r="BP433" s="64">
        <f t="shared" si="67"/>
        <v>1.5151515151515152E-2</v>
      </c>
    </row>
    <row r="434" spans="1:68" ht="27" customHeight="1" x14ac:dyDescent="0.25">
      <c r="A434" s="54" t="s">
        <v>672</v>
      </c>
      <c r="B434" s="54" t="s">
        <v>673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150</v>
      </c>
      <c r="L434" s="32"/>
      <c r="M434" s="33" t="s">
        <v>68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672</v>
      </c>
      <c r="B435" s="54" t="s">
        <v>674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150</v>
      </c>
      <c r="L435" s="32"/>
      <c r="M435" s="33" t="s">
        <v>68</v>
      </c>
      <c r="N435" s="33"/>
      <c r="O435" s="32">
        <v>50</v>
      </c>
      <c r="P435" s="1021" t="s">
        <v>675</v>
      </c>
      <c r="Q435" s="670"/>
      <c r="R435" s="670"/>
      <c r="S435" s="670"/>
      <c r="T435" s="671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676</v>
      </c>
      <c r="B436" s="54" t="s">
        <v>677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150</v>
      </c>
      <c r="L436" s="32"/>
      <c r="M436" s="33" t="s">
        <v>68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69</v>
      </c>
      <c r="X436" s="663">
        <v>87.5</v>
      </c>
      <c r="Y436" s="664">
        <f t="shared" si="63"/>
        <v>88.2</v>
      </c>
      <c r="Z436" s="36">
        <f t="shared" si="68"/>
        <v>0.21084</v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92.916666666666657</v>
      </c>
      <c r="BN436" s="64">
        <f t="shared" si="65"/>
        <v>93.66</v>
      </c>
      <c r="BO436" s="64">
        <f t="shared" si="66"/>
        <v>0.17806267806267806</v>
      </c>
      <c r="BP436" s="64">
        <f t="shared" si="67"/>
        <v>0.17948717948717952</v>
      </c>
    </row>
    <row r="437" spans="1:68" ht="37.5" customHeight="1" x14ac:dyDescent="0.25">
      <c r="A437" s="54" t="s">
        <v>678</v>
      </c>
      <c r="B437" s="54" t="s">
        <v>679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150</v>
      </c>
      <c r="L437" s="32"/>
      <c r="M437" s="33" t="s">
        <v>68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69</v>
      </c>
      <c r="X437" s="663">
        <v>17.5</v>
      </c>
      <c r="Y437" s="664">
        <f t="shared" si="63"/>
        <v>18.900000000000002</v>
      </c>
      <c r="Z437" s="36">
        <f t="shared" si="68"/>
        <v>4.5179999999999998E-2</v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18.583333333333332</v>
      </c>
      <c r="BN437" s="64">
        <f t="shared" si="65"/>
        <v>20.07</v>
      </c>
      <c r="BO437" s="64">
        <f t="shared" si="66"/>
        <v>3.5612535612535613E-2</v>
      </c>
      <c r="BP437" s="64">
        <f t="shared" si="67"/>
        <v>3.8461538461538464E-2</v>
      </c>
    </row>
    <row r="438" spans="1:68" ht="27" customHeight="1" x14ac:dyDescent="0.25">
      <c r="A438" s="54" t="s">
        <v>681</v>
      </c>
      <c r="B438" s="54" t="s">
        <v>682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150</v>
      </c>
      <c r="L438" s="32"/>
      <c r="M438" s="33" t="s">
        <v>68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681</v>
      </c>
      <c r="B439" s="54" t="s">
        <v>684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150</v>
      </c>
      <c r="L439" s="32"/>
      <c r="M439" s="33" t="s">
        <v>68</v>
      </c>
      <c r="N439" s="33"/>
      <c r="O439" s="32">
        <v>50</v>
      </c>
      <c r="P439" s="1015" t="s">
        <v>685</v>
      </c>
      <c r="Q439" s="670"/>
      <c r="R439" s="670"/>
      <c r="S439" s="670"/>
      <c r="T439" s="671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686</v>
      </c>
      <c r="B440" s="54" t="s">
        <v>687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69</v>
      </c>
      <c r="X440" s="663">
        <v>52.5</v>
      </c>
      <c r="Y440" s="664">
        <f t="shared" si="63"/>
        <v>52.5</v>
      </c>
      <c r="Z440" s="36">
        <f t="shared" si="68"/>
        <v>0.1255</v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55.75</v>
      </c>
      <c r="BN440" s="64">
        <f t="shared" si="65"/>
        <v>55.75</v>
      </c>
      <c r="BO440" s="64">
        <f t="shared" si="66"/>
        <v>0.10683760683760685</v>
      </c>
      <c r="BP440" s="64">
        <f t="shared" si="67"/>
        <v>0.10683760683760685</v>
      </c>
    </row>
    <row r="441" spans="1:68" ht="37.5" customHeight="1" x14ac:dyDescent="0.25">
      <c r="A441" s="54" t="s">
        <v>689</v>
      </c>
      <c r="B441" s="54" t="s">
        <v>690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76.851851851851848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78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0.39955999999999997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167.5</v>
      </c>
      <c r="Y443" s="665">
        <f>IFERROR(SUM(Y430:Y441),"0")</f>
        <v>170.4</v>
      </c>
      <c r="Z443" s="37"/>
      <c r="AA443" s="666"/>
      <c r="AB443" s="666"/>
      <c r="AC443" s="666"/>
    </row>
    <row r="444" spans="1:68" ht="14.25" customHeight="1" x14ac:dyDescent="0.25">
      <c r="A444" s="679" t="s">
        <v>64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691</v>
      </c>
      <c r="B445" s="54" t="s">
        <v>692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694</v>
      </c>
      <c r="B446" s="54" t="s">
        <v>695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697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136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698</v>
      </c>
      <c r="B451" s="54" t="s">
        <v>699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701</v>
      </c>
      <c r="B452" s="54" t="s">
        <v>702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147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90" t="s">
        <v>706</v>
      </c>
      <c r="Q456" s="670"/>
      <c r="R456" s="670"/>
      <c r="S456" s="670"/>
      <c r="T456" s="671"/>
      <c r="U456" s="34"/>
      <c r="V456" s="34"/>
      <c r="W456" s="35" t="s">
        <v>69</v>
      </c>
      <c r="X456" s="663">
        <v>10</v>
      </c>
      <c r="Y456" s="664">
        <f>IFERROR(IF(X456="",0,CEILING((X456/$H456),1)*$H456),"")</f>
        <v>10.8</v>
      </c>
      <c r="Z456" s="36">
        <f>IFERROR(IF(Y456=0,"",ROUNDUP(Y456/H456,0)*0.00902),"")</f>
        <v>1.804E-2</v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10.388888888888889</v>
      </c>
      <c r="BN456" s="64">
        <f>IFERROR(Y456*I456/H456,"0")</f>
        <v>11.22</v>
      </c>
      <c r="BO456" s="64">
        <f>IFERROR(1/J456*(X456/H456),"0")</f>
        <v>1.4029180695847361E-2</v>
      </c>
      <c r="BP456" s="64">
        <f>IFERROR(1/J456*(Y456/H456),"0")</f>
        <v>1.5151515151515152E-2</v>
      </c>
    </row>
    <row r="457" spans="1:68" ht="27" customHeight="1" x14ac:dyDescent="0.25">
      <c r="A457" s="54" t="s">
        <v>708</v>
      </c>
      <c r="B457" s="54" t="s">
        <v>709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150</v>
      </c>
      <c r="L457" s="32"/>
      <c r="M457" s="33" t="s">
        <v>68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711</v>
      </c>
      <c r="B458" s="54" t="s">
        <v>712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150</v>
      </c>
      <c r="L458" s="32"/>
      <c r="M458" s="33" t="s">
        <v>68</v>
      </c>
      <c r="N458" s="33"/>
      <c r="O458" s="32">
        <v>50</v>
      </c>
      <c r="P458" s="728" t="s">
        <v>713</v>
      </c>
      <c r="Q458" s="670"/>
      <c r="R458" s="670"/>
      <c r="S458" s="670"/>
      <c r="T458" s="671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715</v>
      </c>
      <c r="B459" s="54" t="s">
        <v>716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150</v>
      </c>
      <c r="L459" s="32"/>
      <c r="M459" s="33" t="s">
        <v>68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1.8518518518518516</v>
      </c>
      <c r="Y460" s="665">
        <f>IFERROR(Y456/H456,"0")+IFERROR(Y457/H457,"0")+IFERROR(Y458/H458,"0")+IFERROR(Y459/H459,"0")</f>
        <v>2</v>
      </c>
      <c r="Z460" s="665">
        <f>IFERROR(IF(Z456="",0,Z456),"0")+IFERROR(IF(Z457="",0,Z457),"0")+IFERROR(IF(Z458="",0,Z458),"0")+IFERROR(IF(Z459="",0,Z459),"0")</f>
        <v>1.804E-2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10</v>
      </c>
      <c r="Y461" s="665">
        <f>IFERROR(SUM(Y456:Y459),"0")</f>
        <v>10.8</v>
      </c>
      <c r="Z461" s="37"/>
      <c r="AA461" s="666"/>
      <c r="AB461" s="666"/>
      <c r="AC461" s="666"/>
    </row>
    <row r="462" spans="1:68" ht="16.5" customHeight="1" x14ac:dyDescent="0.25">
      <c r="A462" s="716" t="s">
        <v>717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147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718</v>
      </c>
      <c r="B464" s="54" t="s">
        <v>719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69</v>
      </c>
      <c r="X464" s="663">
        <v>2</v>
      </c>
      <c r="Y464" s="664">
        <f>IFERROR(IF(X464="",0,CEILING((X464/$H464),1)*$H464),"")</f>
        <v>2.4</v>
      </c>
      <c r="Z464" s="36">
        <f>IFERROR(IF(Y464=0,"",ROUNDUP(Y464/H464,0)*0.00502),"")</f>
        <v>1.004E-2</v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2.2866666666666671</v>
      </c>
      <c r="BN464" s="64">
        <f>IFERROR(Y464*I464/H464,"0")</f>
        <v>2.7440000000000002</v>
      </c>
      <c r="BO464" s="64">
        <f>IFERROR(1/J464*(X464/H464),"0")</f>
        <v>7.1225071225071235E-3</v>
      </c>
      <c r="BP464" s="64">
        <f>IFERROR(1/J464*(Y464/H464),"0")</f>
        <v>8.5470085470085479E-3</v>
      </c>
    </row>
    <row r="465" spans="1:68" ht="27" customHeight="1" x14ac:dyDescent="0.25">
      <c r="A465" s="54" t="s">
        <v>721</v>
      </c>
      <c r="B465" s="54" t="s">
        <v>722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0" t="s">
        <v>723</v>
      </c>
      <c r="Q465" s="670"/>
      <c r="R465" s="670"/>
      <c r="S465" s="670"/>
      <c r="T465" s="671"/>
      <c r="U465" s="34"/>
      <c r="V465" s="34"/>
      <c r="W465" s="35" t="s">
        <v>69</v>
      </c>
      <c r="X465" s="663">
        <v>6</v>
      </c>
      <c r="Y465" s="664">
        <f>IFERROR(IF(X465="",0,CEILING((X465/$H465),1)*$H465),"")</f>
        <v>6</v>
      </c>
      <c r="Z465" s="36">
        <f>IFERROR(IF(Y465=0,"",ROUNDUP(Y465/H465,0)*0.00651),"")</f>
        <v>3.2550000000000003E-2</v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10.500000000000002</v>
      </c>
      <c r="BN465" s="64">
        <f>IFERROR(Y465*I465/H465,"0")</f>
        <v>10.500000000000002</v>
      </c>
      <c r="BO465" s="64">
        <f>IFERROR(1/J465*(X465/H465),"0")</f>
        <v>2.7472527472527476E-2</v>
      </c>
      <c r="BP465" s="64">
        <f>IFERROR(1/J465*(Y465/H465),"0")</f>
        <v>2.7472527472527476E-2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6.666666666666667</v>
      </c>
      <c r="Y466" s="665">
        <f>IFERROR(Y464/H464,"0")+IFERROR(Y465/H465,"0")</f>
        <v>7</v>
      </c>
      <c r="Z466" s="665">
        <f>IFERROR(IF(Z464="",0,Z464),"0")+IFERROR(IF(Z465="",0,Z465),"0")</f>
        <v>4.2590000000000003E-2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8</v>
      </c>
      <c r="Y467" s="665">
        <f>IFERROR(SUM(Y464:Y465),"0")</f>
        <v>8.4</v>
      </c>
      <c r="Z467" s="37"/>
      <c r="AA467" s="666"/>
      <c r="AB467" s="666"/>
      <c r="AC467" s="666"/>
    </row>
    <row r="468" spans="1:68" ht="16.5" customHeight="1" x14ac:dyDescent="0.25">
      <c r="A468" s="716" t="s">
        <v>725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147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726</v>
      </c>
      <c r="B470" s="54" t="s">
        <v>727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173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729</v>
      </c>
      <c r="B474" s="54" t="s">
        <v>730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732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98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733</v>
      </c>
      <c r="B480" s="54" t="s">
        <v>734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69</v>
      </c>
      <c r="X480" s="663">
        <v>80</v>
      </c>
      <c r="Y480" s="664">
        <f t="shared" ref="Y480:Y494" si="69">IFERROR(IF(X480="",0,CEILING((X480/$H480),1)*$H480),"")</f>
        <v>84.48</v>
      </c>
      <c r="Z480" s="36">
        <f>IFERROR(IF(Y480=0,"",ROUNDUP(Y480/H480,0)*0.01196),"")</f>
        <v>0.19136</v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85.454545454545453</v>
      </c>
      <c r="BN480" s="64">
        <f t="shared" ref="BN480:BN494" si="71">IFERROR(Y480*I480/H480,"0")</f>
        <v>90.24</v>
      </c>
      <c r="BO480" s="64">
        <f t="shared" ref="BO480:BO494" si="72">IFERROR(1/J480*(X480/H480),"0")</f>
        <v>0.14568764568764569</v>
      </c>
      <c r="BP480" s="64">
        <f t="shared" ref="BP480:BP494" si="73">IFERROR(1/J480*(Y480/H480),"0")</f>
        <v>0.15384615384615385</v>
      </c>
    </row>
    <row r="481" spans="1:68" ht="27" customHeight="1" x14ac:dyDescent="0.25">
      <c r="A481" s="54" t="s">
        <v>736</v>
      </c>
      <c r="B481" s="54" t="s">
        <v>737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69</v>
      </c>
      <c r="X482" s="663">
        <v>120</v>
      </c>
      <c r="Y482" s="664">
        <f t="shared" si="69"/>
        <v>121.44000000000001</v>
      </c>
      <c r="Z482" s="36">
        <f>IFERROR(IF(Y482=0,"",ROUNDUP(Y482/H482,0)*0.01196),"")</f>
        <v>0.27507999999999999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128.18181818181816</v>
      </c>
      <c r="BN482" s="64">
        <f t="shared" si="71"/>
        <v>129.72</v>
      </c>
      <c r="BO482" s="64">
        <f t="shared" si="72"/>
        <v>0.21853146853146854</v>
      </c>
      <c r="BP482" s="64">
        <f t="shared" si="73"/>
        <v>0.22115384615384617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69</v>
      </c>
      <c r="X483" s="663">
        <v>110</v>
      </c>
      <c r="Y483" s="664">
        <f t="shared" si="69"/>
        <v>110.88000000000001</v>
      </c>
      <c r="Z483" s="36">
        <f>IFERROR(IF(Y483=0,"",ROUNDUP(Y483/H483,0)*0.01196),"")</f>
        <v>0.25115999999999999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117.49999999999999</v>
      </c>
      <c r="BN483" s="64">
        <f t="shared" si="71"/>
        <v>118.44</v>
      </c>
      <c r="BO483" s="64">
        <f t="shared" si="72"/>
        <v>0.20032051282051283</v>
      </c>
      <c r="BP483" s="64">
        <f t="shared" si="73"/>
        <v>0.20192307692307693</v>
      </c>
    </row>
    <row r="484" spans="1:68" ht="16.5" customHeight="1" x14ac:dyDescent="0.25">
      <c r="A484" s="54" t="s">
        <v>745</v>
      </c>
      <c r="B484" s="54" t="s">
        <v>746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748</v>
      </c>
      <c r="B485" s="54" t="s">
        <v>749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17" t="s">
        <v>750</v>
      </c>
      <c r="Q485" s="670"/>
      <c r="R485" s="670"/>
      <c r="S485" s="670"/>
      <c r="T485" s="671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751</v>
      </c>
      <c r="B486" s="54" t="s">
        <v>752</v>
      </c>
      <c r="C486" s="31">
        <v>4301012035</v>
      </c>
      <c r="D486" s="667">
        <v>4680115880603</v>
      </c>
      <c r="E486" s="668"/>
      <c r="F486" s="662">
        <v>0.6</v>
      </c>
      <c r="G486" s="32">
        <v>8</v>
      </c>
      <c r="H486" s="662">
        <v>4.8</v>
      </c>
      <c r="I486" s="662">
        <v>6.93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6" s="670"/>
      <c r="R486" s="670"/>
      <c r="S486" s="670"/>
      <c r="T486" s="671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751</v>
      </c>
      <c r="B487" s="54" t="s">
        <v>753</v>
      </c>
      <c r="C487" s="31">
        <v>4301011778</v>
      </c>
      <c r="D487" s="667">
        <v>4680115880603</v>
      </c>
      <c r="E487" s="668"/>
      <c r="F487" s="662">
        <v>0.6</v>
      </c>
      <c r="G487" s="32">
        <v>6</v>
      </c>
      <c r="H487" s="662">
        <v>3.6</v>
      </c>
      <c r="I487" s="662">
        <v>3.81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0"/>
      <c r="R487" s="670"/>
      <c r="S487" s="670"/>
      <c r="T487" s="671"/>
      <c r="U487" s="34"/>
      <c r="V487" s="34"/>
      <c r="W487" s="35" t="s">
        <v>69</v>
      </c>
      <c r="X487" s="663">
        <v>120</v>
      </c>
      <c r="Y487" s="664">
        <f t="shared" si="69"/>
        <v>122.4</v>
      </c>
      <c r="Z487" s="36">
        <f>IFERROR(IF(Y487=0,"",ROUNDUP(Y487/H487,0)*0.00902),"")</f>
        <v>0.30668000000000001</v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127</v>
      </c>
      <c r="BN487" s="64">
        <f t="shared" si="71"/>
        <v>129.54000000000002</v>
      </c>
      <c r="BO487" s="64">
        <f t="shared" si="72"/>
        <v>0.25252525252525254</v>
      </c>
      <c r="BP487" s="64">
        <f t="shared" si="73"/>
        <v>0.25757575757575757</v>
      </c>
    </row>
    <row r="488" spans="1:68" ht="27" customHeight="1" x14ac:dyDescent="0.25">
      <c r="A488" s="54" t="s">
        <v>754</v>
      </c>
      <c r="B488" s="54" t="s">
        <v>755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756</v>
      </c>
      <c r="B489" s="54" t="s">
        <v>757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60" t="s">
        <v>758</v>
      </c>
      <c r="Q489" s="670"/>
      <c r="R489" s="670"/>
      <c r="S489" s="670"/>
      <c r="T489" s="671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759</v>
      </c>
      <c r="B490" s="54" t="s">
        <v>760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1" t="s">
        <v>761</v>
      </c>
      <c r="Q490" s="670"/>
      <c r="R490" s="670"/>
      <c r="S490" s="670"/>
      <c r="T490" s="671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763</v>
      </c>
      <c r="B491" s="54" t="s">
        <v>764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66" t="s">
        <v>765</v>
      </c>
      <c r="Q491" s="670"/>
      <c r="R491" s="670"/>
      <c r="S491" s="670"/>
      <c r="T491" s="671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766</v>
      </c>
      <c r="B492" s="54" t="s">
        <v>767</v>
      </c>
      <c r="C492" s="31">
        <v>4301012034</v>
      </c>
      <c r="D492" s="667">
        <v>4607091389982</v>
      </c>
      <c r="E492" s="668"/>
      <c r="F492" s="662">
        <v>0.6</v>
      </c>
      <c r="G492" s="32">
        <v>8</v>
      </c>
      <c r="H492" s="662">
        <v>4.8</v>
      </c>
      <c r="I492" s="662">
        <v>6.96</v>
      </c>
      <c r="J492" s="32">
        <v>120</v>
      </c>
      <c r="K492" s="32" t="s">
        <v>106</v>
      </c>
      <c r="L492" s="32"/>
      <c r="M492" s="33" t="s">
        <v>102</v>
      </c>
      <c r="N492" s="33"/>
      <c r="O492" s="32">
        <v>60</v>
      </c>
      <c r="P492" s="7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IFERROR(IF(Y492=0,"",ROUNDUP(Y492/H492,0)*0.00937),"")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768</v>
      </c>
      <c r="C493" s="31">
        <v>4301011784</v>
      </c>
      <c r="D493" s="667">
        <v>4607091389982</v>
      </c>
      <c r="E493" s="668"/>
      <c r="F493" s="662">
        <v>0.6</v>
      </c>
      <c r="G493" s="32">
        <v>6</v>
      </c>
      <c r="H493" s="662">
        <v>3.6</v>
      </c>
      <c r="I493" s="662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1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69</v>
      </c>
      <c r="X493" s="663">
        <v>174</v>
      </c>
      <c r="Y493" s="664">
        <f t="shared" si="69"/>
        <v>176.4</v>
      </c>
      <c r="Z493" s="36">
        <f>IFERROR(IF(Y493=0,"",ROUNDUP(Y493/H493,0)*0.00902),"")</f>
        <v>0.44198000000000004</v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184.15</v>
      </c>
      <c r="BN493" s="64">
        <f t="shared" si="71"/>
        <v>186.69000000000003</v>
      </c>
      <c r="BO493" s="64">
        <f t="shared" si="72"/>
        <v>0.36616161616161613</v>
      </c>
      <c r="BP493" s="64">
        <f t="shared" si="73"/>
        <v>0.37121212121212122</v>
      </c>
    </row>
    <row r="494" spans="1:68" ht="27" customHeight="1" x14ac:dyDescent="0.25">
      <c r="A494" s="54" t="s">
        <v>769</v>
      </c>
      <c r="B494" s="54" t="s">
        <v>770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140.37878787878788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143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1.4662600000000001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604</v>
      </c>
      <c r="Y496" s="665">
        <f>IFERROR(SUM(Y480:Y494),"0")</f>
        <v>615.6</v>
      </c>
      <c r="Z496" s="37"/>
      <c r="AA496" s="666"/>
      <c r="AB496" s="666"/>
      <c r="AC496" s="666"/>
    </row>
    <row r="497" spans="1:68" ht="14.25" customHeight="1" x14ac:dyDescent="0.25">
      <c r="A497" s="679" t="s">
        <v>136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4301020334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108</v>
      </c>
      <c r="N498" s="33"/>
      <c r="O498" s="32">
        <v>70</v>
      </c>
      <c r="P498" s="793" t="s">
        <v>773</v>
      </c>
      <c r="Q498" s="670"/>
      <c r="R498" s="670"/>
      <c r="S498" s="670"/>
      <c r="T498" s="671"/>
      <c r="U498" s="34"/>
      <c r="V498" s="34"/>
      <c r="W498" s="35" t="s">
        <v>69</v>
      </c>
      <c r="X498" s="663">
        <v>0</v>
      </c>
      <c r="Y498" s="664">
        <f>IFERROR(IF(X498="",0,CEILING((X498/$H498),1)*$H498),"")</f>
        <v>0</v>
      </c>
      <c r="Z498" s="36" t="str">
        <f>IFERROR(IF(Y498=0,"",ROUNDUP(Y498/H498,0)*0.01196),"")</f>
        <v/>
      </c>
      <c r="AA498" s="56"/>
      <c r="AB498" s="57"/>
      <c r="AC498" s="551" t="s">
        <v>774</v>
      </c>
      <c r="AG498" s="64"/>
      <c r="AJ498" s="68"/>
      <c r="AK498" s="68">
        <v>0</v>
      </c>
      <c r="BB498" s="55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771</v>
      </c>
      <c r="B499" s="54" t="s">
        <v>775</v>
      </c>
      <c r="C499" s="31">
        <v>4301020222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102</v>
      </c>
      <c r="N499" s="33"/>
      <c r="O499" s="32">
        <v>55</v>
      </c>
      <c r="P499" s="102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0"/>
      <c r="R499" s="670"/>
      <c r="S499" s="670"/>
      <c r="T499" s="671"/>
      <c r="U499" s="34"/>
      <c r="V499" s="34"/>
      <c r="W499" s="35" t="s">
        <v>69</v>
      </c>
      <c r="X499" s="663">
        <v>120</v>
      </c>
      <c r="Y499" s="664">
        <f>IFERROR(IF(X499="",0,CEILING((X499/$H499),1)*$H499),"")</f>
        <v>121.44000000000001</v>
      </c>
      <c r="Z499" s="36">
        <f>IFERROR(IF(Y499=0,"",ROUNDUP(Y499/H499,0)*0.01196),"")</f>
        <v>0.27507999999999999</v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128.18181818181816</v>
      </c>
      <c r="BN499" s="64">
        <f>IFERROR(Y499*I499/H499,"0")</f>
        <v>129.72</v>
      </c>
      <c r="BO499" s="64">
        <f>IFERROR(1/J499*(X499/H499),"0")</f>
        <v>0.21853146853146854</v>
      </c>
      <c r="BP499" s="64">
        <f>IFERROR(1/J499*(Y499/H499),"0")</f>
        <v>0.22115384615384617</v>
      </c>
    </row>
    <row r="500" spans="1:68" ht="16.5" customHeight="1" x14ac:dyDescent="0.25">
      <c r="A500" s="54" t="s">
        <v>777</v>
      </c>
      <c r="B500" s="54" t="s">
        <v>778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2" t="s">
        <v>779</v>
      </c>
      <c r="Q500" s="670"/>
      <c r="R500" s="670"/>
      <c r="S500" s="670"/>
      <c r="T500" s="671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774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780</v>
      </c>
      <c r="B501" s="54" t="s">
        <v>781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43" t="s">
        <v>782</v>
      </c>
      <c r="Q501" s="670"/>
      <c r="R501" s="670"/>
      <c r="S501" s="670"/>
      <c r="T501" s="671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774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22.727272727272727</v>
      </c>
      <c r="Y502" s="665">
        <f>IFERROR(Y498/H498,"0")+IFERROR(Y499/H499,"0")+IFERROR(Y500/H500,"0")+IFERROR(Y501/H501,"0")</f>
        <v>23</v>
      </c>
      <c r="Z502" s="665">
        <f>IFERROR(IF(Z498="",0,Z498),"0")+IFERROR(IF(Z499="",0,Z499),"0")+IFERROR(IF(Z500="",0,Z500),"0")+IFERROR(IF(Z501="",0,Z501),"0")</f>
        <v>0.27507999999999999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120</v>
      </c>
      <c r="Y503" s="665">
        <f>IFERROR(SUM(Y498:Y501),"0")</f>
        <v>121.44000000000001</v>
      </c>
      <c r="Z503" s="37"/>
      <c r="AA503" s="666"/>
      <c r="AB503" s="666"/>
      <c r="AC503" s="666"/>
    </row>
    <row r="504" spans="1:68" ht="14.25" customHeight="1" x14ac:dyDescent="0.25">
      <c r="A504" s="679" t="s">
        <v>147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3" t="s">
        <v>785</v>
      </c>
      <c r="Q505" s="670"/>
      <c r="R505" s="670"/>
      <c r="S505" s="670"/>
      <c r="T505" s="671"/>
      <c r="U505" s="34"/>
      <c r="V505" s="34"/>
      <c r="W505" s="35" t="s">
        <v>69</v>
      </c>
      <c r="X505" s="663">
        <v>50</v>
      </c>
      <c r="Y505" s="664">
        <f t="shared" ref="Y505:Y516" si="74">IFERROR(IF(X505="",0,CEILING((X505/$H505),1)*$H505),"")</f>
        <v>52.800000000000004</v>
      </c>
      <c r="Z505" s="36">
        <f>IFERROR(IF(Y505=0,"",ROUNDUP(Y505/H505,0)*0.01196),"")</f>
        <v>0.1196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53.409090909090907</v>
      </c>
      <c r="BN505" s="64">
        <f t="shared" ref="BN505:BN516" si="76">IFERROR(Y505*I505/H505,"0")</f>
        <v>56.400000000000006</v>
      </c>
      <c r="BO505" s="64">
        <f t="shared" ref="BO505:BO516" si="77">IFERROR(1/J505*(X505/H505),"0")</f>
        <v>9.1054778554778545E-2</v>
      </c>
      <c r="BP505" s="64">
        <f t="shared" ref="BP505:BP516" si="78">IFERROR(1/J505*(Y505/H505),"0")</f>
        <v>9.6153846153846159E-2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896" t="s">
        <v>789</v>
      </c>
      <c r="Q506" s="670"/>
      <c r="R506" s="670"/>
      <c r="S506" s="670"/>
      <c r="T506" s="671"/>
      <c r="U506" s="34"/>
      <c r="V506" s="34"/>
      <c r="W506" s="35" t="s">
        <v>69</v>
      </c>
      <c r="X506" s="663">
        <v>50</v>
      </c>
      <c r="Y506" s="664">
        <f t="shared" si="74"/>
        <v>52.800000000000004</v>
      </c>
      <c r="Z506" s="36">
        <f>IFERROR(IF(Y506=0,"",ROUNDUP(Y506/H506,0)*0.01196),"")</f>
        <v>0.1196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53.409090909090907</v>
      </c>
      <c r="BN506" s="64">
        <f t="shared" si="76"/>
        <v>56.400000000000006</v>
      </c>
      <c r="BO506" s="64">
        <f t="shared" si="77"/>
        <v>9.1054778554778545E-2</v>
      </c>
      <c r="BP506" s="64">
        <f t="shared" si="78"/>
        <v>9.6153846153846159E-2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4" t="s">
        <v>793</v>
      </c>
      <c r="Q507" s="670"/>
      <c r="R507" s="670"/>
      <c r="S507" s="670"/>
      <c r="T507" s="671"/>
      <c r="U507" s="34"/>
      <c r="V507" s="34"/>
      <c r="W507" s="35" t="s">
        <v>69</v>
      </c>
      <c r="X507" s="663">
        <v>130</v>
      </c>
      <c r="Y507" s="664">
        <f t="shared" si="74"/>
        <v>132</v>
      </c>
      <c r="Z507" s="36">
        <f>IFERROR(IF(Y507=0,"",ROUNDUP(Y507/H507,0)*0.01196),"")</f>
        <v>0.29899999999999999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138.86363636363635</v>
      </c>
      <c r="BN507" s="64">
        <f t="shared" si="76"/>
        <v>140.99999999999997</v>
      </c>
      <c r="BO507" s="64">
        <f t="shared" si="77"/>
        <v>0.23674242424242425</v>
      </c>
      <c r="BP507" s="64">
        <f t="shared" si="78"/>
        <v>0.24038461538461539</v>
      </c>
    </row>
    <row r="508" spans="1:68" ht="27" customHeight="1" x14ac:dyDescent="0.25">
      <c r="A508" s="54" t="s">
        <v>795</v>
      </c>
      <c r="B508" s="54" t="s">
        <v>796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0" t="s">
        <v>797</v>
      </c>
      <c r="Q508" s="670"/>
      <c r="R508" s="670"/>
      <c r="S508" s="670"/>
      <c r="T508" s="671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798</v>
      </c>
      <c r="B509" s="54" t="s">
        <v>799</v>
      </c>
      <c r="C509" s="31">
        <v>4301031351</v>
      </c>
      <c r="D509" s="667">
        <v>4680115882072</v>
      </c>
      <c r="E509" s="668"/>
      <c r="F509" s="662">
        <v>0.6</v>
      </c>
      <c r="G509" s="32">
        <v>6</v>
      </c>
      <c r="H509" s="662">
        <v>3.6</v>
      </c>
      <c r="I509" s="662">
        <v>3.81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03" t="s">
        <v>800</v>
      </c>
      <c r="Q509" s="670"/>
      <c r="R509" s="670"/>
      <c r="S509" s="670"/>
      <c r="T509" s="671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798</v>
      </c>
      <c r="B510" s="54" t="s">
        <v>801</v>
      </c>
      <c r="C510" s="31">
        <v>4301031383</v>
      </c>
      <c r="D510" s="667">
        <v>4680115882072</v>
      </c>
      <c r="E510" s="668"/>
      <c r="F510" s="662">
        <v>0.6</v>
      </c>
      <c r="G510" s="32">
        <v>8</v>
      </c>
      <c r="H510" s="662">
        <v>4.8</v>
      </c>
      <c r="I510" s="662">
        <v>6.96</v>
      </c>
      <c r="J510" s="32">
        <v>120</v>
      </c>
      <c r="K510" s="32" t="s">
        <v>106</v>
      </c>
      <c r="L510" s="32"/>
      <c r="M510" s="33" t="s">
        <v>102</v>
      </c>
      <c r="N510" s="33"/>
      <c r="O510" s="32">
        <v>60</v>
      </c>
      <c r="P510" s="102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70"/>
      <c r="R510" s="670"/>
      <c r="S510" s="670"/>
      <c r="T510" s="671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798</v>
      </c>
      <c r="B511" s="54" t="s">
        <v>803</v>
      </c>
      <c r="C511" s="31">
        <v>4301031419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6.93</v>
      </c>
      <c r="J511" s="32">
        <v>132</v>
      </c>
      <c r="K511" s="32" t="s">
        <v>106</v>
      </c>
      <c r="L511" s="32"/>
      <c r="M511" s="33" t="s">
        <v>102</v>
      </c>
      <c r="N511" s="33"/>
      <c r="O511" s="32">
        <v>70</v>
      </c>
      <c r="P511" s="878" t="s">
        <v>804</v>
      </c>
      <c r="Q511" s="670"/>
      <c r="R511" s="670"/>
      <c r="S511" s="670"/>
      <c r="T511" s="671"/>
      <c r="U511" s="34"/>
      <c r="V511" s="34"/>
      <c r="W511" s="35" t="s">
        <v>69</v>
      </c>
      <c r="X511" s="663">
        <v>54</v>
      </c>
      <c r="Y511" s="664">
        <f t="shared" si="74"/>
        <v>57.599999999999994</v>
      </c>
      <c r="Z511" s="36">
        <f>IFERROR(IF(Y511=0,"",ROUNDUP(Y511/H511,0)*0.00902),"")</f>
        <v>0.10824</v>
      </c>
      <c r="AA511" s="56"/>
      <c r="AB511" s="57"/>
      <c r="AC511" s="571" t="s">
        <v>786</v>
      </c>
      <c r="AG511" s="64"/>
      <c r="AJ511" s="68"/>
      <c r="AK511" s="68">
        <v>0</v>
      </c>
      <c r="BB511" s="572" t="s">
        <v>1</v>
      </c>
      <c r="BM511" s="64">
        <f t="shared" si="75"/>
        <v>77.962499999999991</v>
      </c>
      <c r="BN511" s="64">
        <f t="shared" si="76"/>
        <v>83.16</v>
      </c>
      <c r="BO511" s="64">
        <f t="shared" si="77"/>
        <v>8.5227272727272735E-2</v>
      </c>
      <c r="BP511" s="64">
        <f t="shared" si="78"/>
        <v>9.0909090909090912E-2</v>
      </c>
    </row>
    <row r="512" spans="1:68" ht="27" customHeight="1" x14ac:dyDescent="0.25">
      <c r="A512" s="54" t="s">
        <v>805</v>
      </c>
      <c r="B512" s="54" t="s">
        <v>806</v>
      </c>
      <c r="C512" s="31">
        <v>4301031251</v>
      </c>
      <c r="D512" s="667">
        <v>4680115882102</v>
      </c>
      <c r="E512" s="668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0"/>
      <c r="R512" s="670"/>
      <c r="S512" s="670"/>
      <c r="T512" s="671"/>
      <c r="U512" s="34"/>
      <c r="V512" s="34"/>
      <c r="W512" s="35" t="s">
        <v>69</v>
      </c>
      <c r="X512" s="663">
        <v>18</v>
      </c>
      <c r="Y512" s="664">
        <f t="shared" si="74"/>
        <v>18</v>
      </c>
      <c r="Z512" s="36">
        <f>IFERROR(IF(Y512=0,"",ROUNDUP(Y512/H512,0)*0.00902),"")</f>
        <v>4.5100000000000001E-2</v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19.05</v>
      </c>
      <c r="BN512" s="64">
        <f t="shared" si="76"/>
        <v>19.05</v>
      </c>
      <c r="BO512" s="64">
        <f t="shared" si="77"/>
        <v>3.787878787878788E-2</v>
      </c>
      <c r="BP512" s="64">
        <f t="shared" si="78"/>
        <v>3.787878787878788E-2</v>
      </c>
    </row>
    <row r="513" spans="1:68" ht="27" customHeight="1" x14ac:dyDescent="0.25">
      <c r="A513" s="54" t="s">
        <v>805</v>
      </c>
      <c r="B513" s="54" t="s">
        <v>808</v>
      </c>
      <c r="C513" s="31">
        <v>4301031418</v>
      </c>
      <c r="D513" s="667">
        <v>4680115882102</v>
      </c>
      <c r="E513" s="668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1" t="s">
        <v>809</v>
      </c>
      <c r="Q513" s="670"/>
      <c r="R513" s="670"/>
      <c r="S513" s="670"/>
      <c r="T513" s="671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810</v>
      </c>
      <c r="B514" s="54" t="s">
        <v>811</v>
      </c>
      <c r="C514" s="31">
        <v>4301031384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120</v>
      </c>
      <c r="K514" s="32" t="s">
        <v>106</v>
      </c>
      <c r="L514" s="32"/>
      <c r="M514" s="33" t="s">
        <v>68</v>
      </c>
      <c r="N514" s="33"/>
      <c r="O514" s="32">
        <v>60</v>
      </c>
      <c r="P514" s="859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4" s="670"/>
      <c r="R514" s="670"/>
      <c r="S514" s="670"/>
      <c r="T514" s="671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IFERROR(IF(Y514=0,"",ROUNDUP(Y514/H514,0)*0.00937),"")</f>
        <v/>
      </c>
      <c r="AA514" s="56"/>
      <c r="AB514" s="57"/>
      <c r="AC514" s="577" t="s">
        <v>794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810</v>
      </c>
      <c r="B515" s="54" t="s">
        <v>812</v>
      </c>
      <c r="C515" s="31">
        <v>4301031253</v>
      </c>
      <c r="D515" s="667">
        <v>4680115882096</v>
      </c>
      <c r="E515" s="668"/>
      <c r="F515" s="662">
        <v>0.6</v>
      </c>
      <c r="G515" s="32">
        <v>6</v>
      </c>
      <c r="H515" s="662">
        <v>3.6</v>
      </c>
      <c r="I515" s="662">
        <v>3.81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60</v>
      </c>
      <c r="P515" s="101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0"/>
      <c r="R515" s="670"/>
      <c r="S515" s="670"/>
      <c r="T515" s="671"/>
      <c r="U515" s="34"/>
      <c r="V515" s="34"/>
      <c r="W515" s="35" t="s">
        <v>69</v>
      </c>
      <c r="X515" s="663">
        <v>114</v>
      </c>
      <c r="Y515" s="664">
        <f t="shared" si="74"/>
        <v>115.2</v>
      </c>
      <c r="Z515" s="36">
        <f>IFERROR(IF(Y515=0,"",ROUNDUP(Y515/H515,0)*0.00902),"")</f>
        <v>0.28864000000000001</v>
      </c>
      <c r="AA515" s="56"/>
      <c r="AB515" s="57"/>
      <c r="AC515" s="579" t="s">
        <v>813</v>
      </c>
      <c r="AG515" s="64"/>
      <c r="AJ515" s="68"/>
      <c r="AK515" s="68">
        <v>0</v>
      </c>
      <c r="BB515" s="580" t="s">
        <v>1</v>
      </c>
      <c r="BM515" s="64">
        <f t="shared" si="75"/>
        <v>120.65</v>
      </c>
      <c r="BN515" s="64">
        <f t="shared" si="76"/>
        <v>121.92</v>
      </c>
      <c r="BO515" s="64">
        <f t="shared" si="77"/>
        <v>0.23989898989898989</v>
      </c>
      <c r="BP515" s="64">
        <f t="shared" si="78"/>
        <v>0.24242424242424243</v>
      </c>
    </row>
    <row r="516" spans="1:68" ht="27" customHeight="1" x14ac:dyDescent="0.25">
      <c r="A516" s="54" t="s">
        <v>810</v>
      </c>
      <c r="B516" s="54" t="s">
        <v>814</v>
      </c>
      <c r="C516" s="31">
        <v>4301031417</v>
      </c>
      <c r="D516" s="667">
        <v>4680115882096</v>
      </c>
      <c r="E516" s="668"/>
      <c r="F516" s="662">
        <v>0.6</v>
      </c>
      <c r="G516" s="32">
        <v>8</v>
      </c>
      <c r="H516" s="662">
        <v>4.8</v>
      </c>
      <c r="I516" s="662">
        <v>6.69</v>
      </c>
      <c r="J516" s="32">
        <v>132</v>
      </c>
      <c r="K516" s="32" t="s">
        <v>106</v>
      </c>
      <c r="L516" s="32"/>
      <c r="M516" s="33" t="s">
        <v>68</v>
      </c>
      <c r="N516" s="33"/>
      <c r="O516" s="32">
        <v>70</v>
      </c>
      <c r="P516" s="863" t="s">
        <v>815</v>
      </c>
      <c r="Q516" s="670"/>
      <c r="R516" s="670"/>
      <c r="S516" s="670"/>
      <c r="T516" s="671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91.47727272727272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94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0.98018000000000005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416</v>
      </c>
      <c r="Y518" s="665">
        <f>IFERROR(SUM(Y505:Y516),"0")</f>
        <v>428.40000000000003</v>
      </c>
      <c r="Z518" s="37"/>
      <c r="AA518" s="666"/>
      <c r="AB518" s="666"/>
      <c r="AC518" s="666"/>
    </row>
    <row r="519" spans="1:68" ht="14.25" customHeight="1" x14ac:dyDescent="0.25">
      <c r="A519" s="679" t="s">
        <v>64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816</v>
      </c>
      <c r="B520" s="54" t="s">
        <v>817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819</v>
      </c>
      <c r="B521" s="54" t="s">
        <v>820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822</v>
      </c>
      <c r="B522" s="54" t="s">
        <v>823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173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825</v>
      </c>
      <c r="B526" s="54" t="s">
        <v>826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828</v>
      </c>
      <c r="B527" s="54" t="s">
        <v>829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42" t="s">
        <v>830</v>
      </c>
      <c r="Q527" s="670"/>
      <c r="R527" s="670"/>
      <c r="S527" s="670"/>
      <c r="T527" s="671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831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98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832</v>
      </c>
      <c r="B533" s="54" t="s">
        <v>833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897" t="s">
        <v>834</v>
      </c>
      <c r="Q533" s="670"/>
      <c r="R533" s="670"/>
      <c r="S533" s="670"/>
      <c r="T533" s="671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836</v>
      </c>
      <c r="B534" s="54" t="s">
        <v>837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5" t="s">
        <v>838</v>
      </c>
      <c r="Q534" s="670"/>
      <c r="R534" s="670"/>
      <c r="S534" s="670"/>
      <c r="T534" s="671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3" t="s">
        <v>842</v>
      </c>
      <c r="Q535" s="670"/>
      <c r="R535" s="670"/>
      <c r="S535" s="670"/>
      <c r="T535" s="671"/>
      <c r="U535" s="34"/>
      <c r="V535" s="34"/>
      <c r="W535" s="35" t="s">
        <v>69</v>
      </c>
      <c r="X535" s="663">
        <v>10</v>
      </c>
      <c r="Y535" s="664">
        <f t="shared" si="79"/>
        <v>12</v>
      </c>
      <c r="Z535" s="36">
        <f>IFERROR(IF(Y535=0,"",ROUNDUP(Y535/H535,0)*0.01898),"")</f>
        <v>1.898E-2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10.362500000000001</v>
      </c>
      <c r="BN535" s="64">
        <f t="shared" si="81"/>
        <v>12.435</v>
      </c>
      <c r="BO535" s="64">
        <f t="shared" si="82"/>
        <v>1.3020833333333334E-2</v>
      </c>
      <c r="BP535" s="64">
        <f t="shared" si="83"/>
        <v>1.5625E-2</v>
      </c>
    </row>
    <row r="536" spans="1:68" ht="27" customHeight="1" x14ac:dyDescent="0.25">
      <c r="A536" s="54" t="s">
        <v>844</v>
      </c>
      <c r="B536" s="54" t="s">
        <v>845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1049" t="s">
        <v>846</v>
      </c>
      <c r="Q536" s="670"/>
      <c r="R536" s="670"/>
      <c r="S536" s="670"/>
      <c r="T536" s="671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848</v>
      </c>
      <c r="B537" s="54" t="s">
        <v>849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59" t="s">
        <v>850</v>
      </c>
      <c r="Q537" s="670"/>
      <c r="R537" s="670"/>
      <c r="S537" s="670"/>
      <c r="T537" s="671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851</v>
      </c>
      <c r="B538" s="54" t="s">
        <v>852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87" t="s">
        <v>853</v>
      </c>
      <c r="Q538" s="670"/>
      <c r="R538" s="670"/>
      <c r="S538" s="670"/>
      <c r="T538" s="671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0.83333333333333337</v>
      </c>
      <c r="Y539" s="665">
        <f>IFERROR(Y533/H533,"0")+IFERROR(Y534/H534,"0")+IFERROR(Y535/H535,"0")+IFERROR(Y536/H536,"0")+IFERROR(Y537/H537,"0")+IFERROR(Y538/H538,"0")</f>
        <v>1</v>
      </c>
      <c r="Z539" s="665">
        <f>IFERROR(IF(Z533="",0,Z533),"0")+IFERROR(IF(Z534="",0,Z534),"0")+IFERROR(IF(Z535="",0,Z535),"0")+IFERROR(IF(Z536="",0,Z536),"0")+IFERROR(IF(Z537="",0,Z537),"0")+IFERROR(IF(Z538="",0,Z538),"0")</f>
        <v>1.898E-2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10</v>
      </c>
      <c r="Y540" s="665">
        <f>IFERROR(SUM(Y533:Y538),"0")</f>
        <v>12</v>
      </c>
      <c r="Z540" s="37"/>
      <c r="AA540" s="666"/>
      <c r="AB540" s="666"/>
      <c r="AC540" s="666"/>
    </row>
    <row r="541" spans="1:68" ht="14.25" customHeight="1" x14ac:dyDescent="0.25">
      <c r="A541" s="679" t="s">
        <v>136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854</v>
      </c>
      <c r="B542" s="54" t="s">
        <v>855</v>
      </c>
      <c r="C542" s="31">
        <v>4301020269</v>
      </c>
      <c r="D542" s="667">
        <v>4640242180519</v>
      </c>
      <c r="E542" s="668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6" t="s">
        <v>856</v>
      </c>
      <c r="Q542" s="670"/>
      <c r="R542" s="670"/>
      <c r="S542" s="670"/>
      <c r="T542" s="671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854</v>
      </c>
      <c r="B543" s="54" t="s">
        <v>858</v>
      </c>
      <c r="C543" s="31">
        <v>4301020400</v>
      </c>
      <c r="D543" s="667">
        <v>4640242180519</v>
      </c>
      <c r="E543" s="668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64" t="s">
        <v>859</v>
      </c>
      <c r="Q543" s="670"/>
      <c r="R543" s="670"/>
      <c r="S543" s="670"/>
      <c r="T543" s="671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861</v>
      </c>
      <c r="B544" s="54" t="s">
        <v>862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0" t="s">
        <v>863</v>
      </c>
      <c r="Q544" s="670"/>
      <c r="R544" s="670"/>
      <c r="S544" s="670"/>
      <c r="T544" s="671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864</v>
      </c>
      <c r="B545" s="54" t="s">
        <v>865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2" t="s">
        <v>866</v>
      </c>
      <c r="Q545" s="670"/>
      <c r="R545" s="670"/>
      <c r="S545" s="670"/>
      <c r="T545" s="671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868</v>
      </c>
      <c r="B546" s="54" t="s">
        <v>869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786" t="s">
        <v>870</v>
      </c>
      <c r="Q546" s="670"/>
      <c r="R546" s="670"/>
      <c r="S546" s="670"/>
      <c r="T546" s="671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147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871</v>
      </c>
      <c r="B550" s="54" t="s">
        <v>872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4" t="s">
        <v>873</v>
      </c>
      <c r="Q550" s="670"/>
      <c r="R550" s="670"/>
      <c r="S550" s="670"/>
      <c r="T550" s="671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875</v>
      </c>
      <c r="B551" s="54" t="s">
        <v>876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55" t="s">
        <v>877</v>
      </c>
      <c r="Q551" s="670"/>
      <c r="R551" s="670"/>
      <c r="S551" s="670"/>
      <c r="T551" s="671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879</v>
      </c>
      <c r="B552" s="54" t="s">
        <v>880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711" t="s">
        <v>881</v>
      </c>
      <c r="Q552" s="670"/>
      <c r="R552" s="670"/>
      <c r="S552" s="670"/>
      <c r="T552" s="671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883</v>
      </c>
      <c r="B553" s="54" t="s">
        <v>884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70"/>
      <c r="R553" s="670"/>
      <c r="S553" s="670"/>
      <c r="T553" s="671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887</v>
      </c>
      <c r="B554" s="54" t="s">
        <v>888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0" t="s">
        <v>889</v>
      </c>
      <c r="Q554" s="670"/>
      <c r="R554" s="670"/>
      <c r="S554" s="670"/>
      <c r="T554" s="671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891</v>
      </c>
      <c r="B555" s="54" t="s">
        <v>892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150</v>
      </c>
      <c r="L555" s="32"/>
      <c r="M555" s="33" t="s">
        <v>68</v>
      </c>
      <c r="N555" s="33"/>
      <c r="O555" s="32">
        <v>40</v>
      </c>
      <c r="P555" s="960" t="s">
        <v>893</v>
      </c>
      <c r="Q555" s="670"/>
      <c r="R555" s="670"/>
      <c r="S555" s="670"/>
      <c r="T555" s="671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894</v>
      </c>
      <c r="B556" s="54" t="s">
        <v>895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150</v>
      </c>
      <c r="L556" s="32"/>
      <c r="M556" s="33" t="s">
        <v>68</v>
      </c>
      <c r="N556" s="33"/>
      <c r="O556" s="32">
        <v>40</v>
      </c>
      <c r="P556" s="784" t="s">
        <v>896</v>
      </c>
      <c r="Q556" s="670"/>
      <c r="R556" s="670"/>
      <c r="S556" s="670"/>
      <c r="T556" s="671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64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897</v>
      </c>
      <c r="B560" s="54" t="s">
        <v>898</v>
      </c>
      <c r="C560" s="31">
        <v>4301051887</v>
      </c>
      <c r="D560" s="667">
        <v>4640242180533</v>
      </c>
      <c r="E560" s="668"/>
      <c r="F560" s="662">
        <v>1.3</v>
      </c>
      <c r="G560" s="32">
        <v>6</v>
      </c>
      <c r="H560" s="662">
        <v>7.8</v>
      </c>
      <c r="I560" s="662">
        <v>8.3190000000000008</v>
      </c>
      <c r="J560" s="32">
        <v>64</v>
      </c>
      <c r="K560" s="32" t="s">
        <v>101</v>
      </c>
      <c r="L560" s="32"/>
      <c r="M560" s="33" t="s">
        <v>108</v>
      </c>
      <c r="N560" s="33"/>
      <c r="O560" s="32">
        <v>45</v>
      </c>
      <c r="P560" s="967" t="s">
        <v>899</v>
      </c>
      <c r="Q560" s="670"/>
      <c r="R560" s="670"/>
      <c r="S560" s="670"/>
      <c r="T560" s="671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897</v>
      </c>
      <c r="B561" s="54" t="s">
        <v>901</v>
      </c>
      <c r="C561" s="31">
        <v>4301052046</v>
      </c>
      <c r="D561" s="667">
        <v>4640242180533</v>
      </c>
      <c r="E561" s="668"/>
      <c r="F561" s="662">
        <v>1.5</v>
      </c>
      <c r="G561" s="32">
        <v>6</v>
      </c>
      <c r="H561" s="662">
        <v>9</v>
      </c>
      <c r="I561" s="662">
        <v>9.5190000000000001</v>
      </c>
      <c r="J561" s="32">
        <v>64</v>
      </c>
      <c r="K561" s="32" t="s">
        <v>101</v>
      </c>
      <c r="L561" s="32"/>
      <c r="M561" s="33" t="s">
        <v>132</v>
      </c>
      <c r="N561" s="33"/>
      <c r="O561" s="32">
        <v>45</v>
      </c>
      <c r="P561" s="911" t="s">
        <v>899</v>
      </c>
      <c r="Q561" s="670"/>
      <c r="R561" s="670"/>
      <c r="S561" s="670"/>
      <c r="T561" s="671"/>
      <c r="U561" s="34"/>
      <c r="V561" s="34"/>
      <c r="W561" s="35" t="s">
        <v>69</v>
      </c>
      <c r="X561" s="663">
        <v>1200</v>
      </c>
      <c r="Y561" s="664">
        <f>IFERROR(IF(X561="",0,CEILING((X561/$H561),1)*$H561),"")</f>
        <v>1206</v>
      </c>
      <c r="Z561" s="36">
        <f>IFERROR(IF(Y561=0,"",ROUNDUP(Y561/H561,0)*0.01898),"")</f>
        <v>2.54332</v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1269.1999999999998</v>
      </c>
      <c r="BN561" s="64">
        <f>IFERROR(Y561*I561/H561,"0")</f>
        <v>1275.546</v>
      </c>
      <c r="BO561" s="64">
        <f>IFERROR(1/J561*(X561/H561),"0")</f>
        <v>2.0833333333333335</v>
      </c>
      <c r="BP561" s="64">
        <f>IFERROR(1/J561*(Y561/H561),"0")</f>
        <v>2.09375</v>
      </c>
    </row>
    <row r="562" spans="1:68" ht="27" customHeight="1" x14ac:dyDescent="0.25">
      <c r="A562" s="54" t="s">
        <v>902</v>
      </c>
      <c r="B562" s="54" t="s">
        <v>903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88" t="s">
        <v>904</v>
      </c>
      <c r="Q562" s="670"/>
      <c r="R562" s="670"/>
      <c r="S562" s="670"/>
      <c r="T562" s="671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906</v>
      </c>
      <c r="B563" s="54" t="s">
        <v>907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132</v>
      </c>
      <c r="N563" s="33"/>
      <c r="O563" s="32">
        <v>45</v>
      </c>
      <c r="P563" s="729" t="s">
        <v>908</v>
      </c>
      <c r="Q563" s="670"/>
      <c r="R563" s="670"/>
      <c r="S563" s="670"/>
      <c r="T563" s="671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909</v>
      </c>
      <c r="B564" s="54" t="s">
        <v>910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132</v>
      </c>
      <c r="N564" s="33"/>
      <c r="O564" s="32">
        <v>45</v>
      </c>
      <c r="P564" s="901" t="s">
        <v>911</v>
      </c>
      <c r="Q564" s="670"/>
      <c r="R564" s="670"/>
      <c r="S564" s="670"/>
      <c r="T564" s="671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133.33333333333334</v>
      </c>
      <c r="Y565" s="665">
        <f>IFERROR(Y560/H560,"0")+IFERROR(Y561/H561,"0")+IFERROR(Y562/H562,"0")+IFERROR(Y563/H563,"0")+IFERROR(Y564/H564,"0")</f>
        <v>134</v>
      </c>
      <c r="Z565" s="665">
        <f>IFERROR(IF(Z560="",0,Z560),"0")+IFERROR(IF(Z561="",0,Z561),"0")+IFERROR(IF(Z562="",0,Z562),"0")+IFERROR(IF(Z563="",0,Z563),"0")+IFERROR(IF(Z564="",0,Z564),"0")</f>
        <v>2.54332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1200</v>
      </c>
      <c r="Y566" s="665">
        <f>IFERROR(SUM(Y560:Y564),"0")</f>
        <v>1206</v>
      </c>
      <c r="Z566" s="37"/>
      <c r="AA566" s="666"/>
      <c r="AB566" s="666"/>
      <c r="AC566" s="666"/>
    </row>
    <row r="567" spans="1:68" ht="14.25" customHeight="1" x14ac:dyDescent="0.25">
      <c r="A567" s="679" t="s">
        <v>173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912</v>
      </c>
      <c r="B568" s="54" t="s">
        <v>913</v>
      </c>
      <c r="C568" s="31">
        <v>4301060485</v>
      </c>
      <c r="D568" s="667">
        <v>4640242180120</v>
      </c>
      <c r="E568" s="668"/>
      <c r="F568" s="662">
        <v>1.3</v>
      </c>
      <c r="G568" s="32">
        <v>6</v>
      </c>
      <c r="H568" s="662">
        <v>7.8</v>
      </c>
      <c r="I568" s="662">
        <v>8.2349999999999994</v>
      </c>
      <c r="J568" s="32">
        <v>64</v>
      </c>
      <c r="K568" s="32" t="s">
        <v>101</v>
      </c>
      <c r="L568" s="32"/>
      <c r="M568" s="33" t="s">
        <v>108</v>
      </c>
      <c r="N568" s="33"/>
      <c r="O568" s="32">
        <v>40</v>
      </c>
      <c r="P568" s="1020" t="s">
        <v>914</v>
      </c>
      <c r="Q568" s="670"/>
      <c r="R568" s="670"/>
      <c r="S568" s="670"/>
      <c r="T568" s="671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912</v>
      </c>
      <c r="B569" s="54" t="s">
        <v>916</v>
      </c>
      <c r="C569" s="31">
        <v>4301060496</v>
      </c>
      <c r="D569" s="667">
        <v>4640242180120</v>
      </c>
      <c r="E569" s="668"/>
      <c r="F569" s="662">
        <v>1.5</v>
      </c>
      <c r="G569" s="32">
        <v>6</v>
      </c>
      <c r="H569" s="662">
        <v>9</v>
      </c>
      <c r="I569" s="662">
        <v>9.4350000000000005</v>
      </c>
      <c r="J569" s="32">
        <v>64</v>
      </c>
      <c r="K569" s="32" t="s">
        <v>101</v>
      </c>
      <c r="L569" s="32"/>
      <c r="M569" s="33" t="s">
        <v>132</v>
      </c>
      <c r="N569" s="33"/>
      <c r="O569" s="32">
        <v>40</v>
      </c>
      <c r="P569" s="948" t="s">
        <v>917</v>
      </c>
      <c r="Q569" s="670"/>
      <c r="R569" s="670"/>
      <c r="S569" s="670"/>
      <c r="T569" s="671"/>
      <c r="U569" s="34"/>
      <c r="V569" s="34"/>
      <c r="W569" s="35" t="s">
        <v>69</v>
      </c>
      <c r="X569" s="663">
        <v>20</v>
      </c>
      <c r="Y569" s="664">
        <f>IFERROR(IF(X569="",0,CEILING((X569/$H569),1)*$H569),"")</f>
        <v>27</v>
      </c>
      <c r="Z569" s="36">
        <f>IFERROR(IF(Y569=0,"",ROUNDUP(Y569/H569,0)*0.01898),"")</f>
        <v>5.6940000000000004E-2</v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20.966666666666669</v>
      </c>
      <c r="BN569" s="64">
        <f>IFERROR(Y569*I569/H569,"0")</f>
        <v>28.305</v>
      </c>
      <c r="BO569" s="64">
        <f>IFERROR(1/J569*(X569/H569),"0")</f>
        <v>3.4722222222222224E-2</v>
      </c>
      <c r="BP569" s="64">
        <f>IFERROR(1/J569*(Y569/H569),"0")</f>
        <v>4.6875E-2</v>
      </c>
    </row>
    <row r="570" spans="1:68" ht="27" customHeight="1" x14ac:dyDescent="0.25">
      <c r="A570" s="54" t="s">
        <v>918</v>
      </c>
      <c r="B570" s="54" t="s">
        <v>919</v>
      </c>
      <c r="C570" s="31">
        <v>4301060486</v>
      </c>
      <c r="D570" s="667">
        <v>4640242180137</v>
      </c>
      <c r="E570" s="668"/>
      <c r="F570" s="662">
        <v>1.3</v>
      </c>
      <c r="G570" s="32">
        <v>6</v>
      </c>
      <c r="H570" s="662">
        <v>7.8</v>
      </c>
      <c r="I570" s="662">
        <v>8.2349999999999994</v>
      </c>
      <c r="J570" s="32">
        <v>64</v>
      </c>
      <c r="K570" s="32" t="s">
        <v>101</v>
      </c>
      <c r="L570" s="32"/>
      <c r="M570" s="33" t="s">
        <v>108</v>
      </c>
      <c r="N570" s="33"/>
      <c r="O570" s="32">
        <v>40</v>
      </c>
      <c r="P570" s="723" t="s">
        <v>920</v>
      </c>
      <c r="Q570" s="670"/>
      <c r="R570" s="670"/>
      <c r="S570" s="670"/>
      <c r="T570" s="671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918</v>
      </c>
      <c r="B571" s="54" t="s">
        <v>922</v>
      </c>
      <c r="C571" s="31">
        <v>4301060498</v>
      </c>
      <c r="D571" s="667">
        <v>4640242180137</v>
      </c>
      <c r="E571" s="668"/>
      <c r="F571" s="662">
        <v>1.5</v>
      </c>
      <c r="G571" s="32">
        <v>6</v>
      </c>
      <c r="H571" s="662">
        <v>9</v>
      </c>
      <c r="I571" s="662">
        <v>9.4350000000000005</v>
      </c>
      <c r="J571" s="32">
        <v>64</v>
      </c>
      <c r="K571" s="32" t="s">
        <v>101</v>
      </c>
      <c r="L571" s="32"/>
      <c r="M571" s="33" t="s">
        <v>132</v>
      </c>
      <c r="N571" s="33"/>
      <c r="O571" s="32">
        <v>40</v>
      </c>
      <c r="P571" s="757" t="s">
        <v>923</v>
      </c>
      <c r="Q571" s="670"/>
      <c r="R571" s="670"/>
      <c r="S571" s="670"/>
      <c r="T571" s="671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2.2222222222222223</v>
      </c>
      <c r="Y572" s="665">
        <f>IFERROR(Y568/H568,"0")+IFERROR(Y569/H569,"0")+IFERROR(Y570/H570,"0")+IFERROR(Y571/H571,"0")</f>
        <v>3</v>
      </c>
      <c r="Z572" s="665">
        <f>IFERROR(IF(Z568="",0,Z568),"0")+IFERROR(IF(Z569="",0,Z569),"0")+IFERROR(IF(Z570="",0,Z570),"0")+IFERROR(IF(Z571="",0,Z571),"0")</f>
        <v>5.6940000000000004E-2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20</v>
      </c>
      <c r="Y573" s="665">
        <f>IFERROR(SUM(Y568:Y571),"0")</f>
        <v>27</v>
      </c>
      <c r="Z573" s="37"/>
      <c r="AA573" s="666"/>
      <c r="AB573" s="666"/>
      <c r="AC573" s="666"/>
    </row>
    <row r="574" spans="1:68" ht="16.5" customHeight="1" x14ac:dyDescent="0.25">
      <c r="A574" s="716" t="s">
        <v>924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98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925</v>
      </c>
      <c r="B576" s="54" t="s">
        <v>926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79" t="s">
        <v>927</v>
      </c>
      <c r="Q576" s="670"/>
      <c r="R576" s="670"/>
      <c r="S576" s="670"/>
      <c r="T576" s="671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136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929</v>
      </c>
      <c r="B580" s="54" t="s">
        <v>930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58" t="s">
        <v>931</v>
      </c>
      <c r="Q580" s="670"/>
      <c r="R580" s="670"/>
      <c r="S580" s="670"/>
      <c r="T580" s="671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147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933</v>
      </c>
      <c r="B584" s="54" t="s">
        <v>934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781" t="s">
        <v>935</v>
      </c>
      <c r="Q584" s="670"/>
      <c r="R584" s="670"/>
      <c r="S584" s="670"/>
      <c r="T584" s="671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64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937</v>
      </c>
      <c r="B588" s="54" t="s">
        <v>938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132</v>
      </c>
      <c r="N588" s="33"/>
      <c r="O588" s="32">
        <v>45</v>
      </c>
      <c r="P588" s="984" t="s">
        <v>939</v>
      </c>
      <c r="Q588" s="670"/>
      <c r="R588" s="670"/>
      <c r="S588" s="670"/>
      <c r="T588" s="671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941</v>
      </c>
      <c r="Q591" s="801"/>
      <c r="R591" s="801"/>
      <c r="S591" s="801"/>
      <c r="T591" s="801"/>
      <c r="U591" s="801"/>
      <c r="V591" s="802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17402.7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17585.120000000003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942</v>
      </c>
      <c r="Q592" s="801"/>
      <c r="R592" s="801"/>
      <c r="S592" s="801"/>
      <c r="T592" s="801"/>
      <c r="U592" s="801"/>
      <c r="V592" s="802"/>
      <c r="W592" s="37" t="s">
        <v>69</v>
      </c>
      <c r="X592" s="665">
        <f>IFERROR(SUM(BM22:BM588),"0")</f>
        <v>18496.440733021773</v>
      </c>
      <c r="Y592" s="665">
        <f>IFERROR(SUM(BN22:BN588),"0")</f>
        <v>18690.357999999993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943</v>
      </c>
      <c r="Q593" s="801"/>
      <c r="R593" s="801"/>
      <c r="S593" s="801"/>
      <c r="T593" s="801"/>
      <c r="U593" s="801"/>
      <c r="V593" s="802"/>
      <c r="W593" s="37" t="s">
        <v>944</v>
      </c>
      <c r="X593" s="38">
        <f>ROUNDUP(SUM(BO22:BO588),0)</f>
        <v>32</v>
      </c>
      <c r="Y593" s="38">
        <f>ROUNDUP(SUM(BP22:BP588),0)</f>
        <v>32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945</v>
      </c>
      <c r="Q594" s="801"/>
      <c r="R594" s="801"/>
      <c r="S594" s="801"/>
      <c r="T594" s="801"/>
      <c r="U594" s="801"/>
      <c r="V594" s="802"/>
      <c r="W594" s="37" t="s">
        <v>69</v>
      </c>
      <c r="X594" s="665">
        <f>GrossWeightTotal+PalletQtyTotal*25</f>
        <v>19296.440733021773</v>
      </c>
      <c r="Y594" s="665">
        <f>GrossWeightTotalR+PalletQtyTotalR*25</f>
        <v>19490.357999999993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946</v>
      </c>
      <c r="Q595" s="801"/>
      <c r="R595" s="801"/>
      <c r="S595" s="801"/>
      <c r="T595" s="801"/>
      <c r="U595" s="801"/>
      <c r="V595" s="802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3823.6494814253429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3855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947</v>
      </c>
      <c r="Q596" s="801"/>
      <c r="R596" s="801"/>
      <c r="S596" s="801"/>
      <c r="T596" s="801"/>
      <c r="U596" s="801"/>
      <c r="V596" s="802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36.801430000000003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86" t="s">
        <v>96</v>
      </c>
      <c r="D598" s="779"/>
      <c r="E598" s="779"/>
      <c r="F598" s="779"/>
      <c r="G598" s="779"/>
      <c r="H598" s="780"/>
      <c r="I598" s="686" t="s">
        <v>286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579</v>
      </c>
      <c r="X598" s="780"/>
      <c r="Y598" s="686" t="s">
        <v>657</v>
      </c>
      <c r="Z598" s="779"/>
      <c r="AA598" s="779"/>
      <c r="AB598" s="780"/>
      <c r="AC598" s="660" t="s">
        <v>732</v>
      </c>
      <c r="AD598" s="686" t="s">
        <v>831</v>
      </c>
      <c r="AE598" s="780"/>
      <c r="AF598" s="661"/>
    </row>
    <row r="599" spans="1:32" ht="14.25" customHeight="1" thickTop="1" x14ac:dyDescent="0.2">
      <c r="A599" s="828" t="s">
        <v>950</v>
      </c>
      <c r="B599" s="686" t="s">
        <v>63</v>
      </c>
      <c r="C599" s="686" t="s">
        <v>97</v>
      </c>
      <c r="D599" s="686" t="s">
        <v>118</v>
      </c>
      <c r="E599" s="686" t="s">
        <v>181</v>
      </c>
      <c r="F599" s="686" t="s">
        <v>212</v>
      </c>
      <c r="G599" s="686" t="s">
        <v>257</v>
      </c>
      <c r="H599" s="686" t="s">
        <v>96</v>
      </c>
      <c r="I599" s="686" t="s">
        <v>287</v>
      </c>
      <c r="J599" s="686" t="s">
        <v>322</v>
      </c>
      <c r="K599" s="686" t="s">
        <v>383</v>
      </c>
      <c r="L599" s="686" t="s">
        <v>418</v>
      </c>
      <c r="M599" s="686" t="s">
        <v>436</v>
      </c>
      <c r="N599" s="661"/>
      <c r="O599" s="686" t="s">
        <v>440</v>
      </c>
      <c r="P599" s="686" t="s">
        <v>449</v>
      </c>
      <c r="Q599" s="686" t="s">
        <v>463</v>
      </c>
      <c r="R599" s="686" t="s">
        <v>473</v>
      </c>
      <c r="S599" s="686" t="s">
        <v>477</v>
      </c>
      <c r="T599" s="686" t="s">
        <v>485</v>
      </c>
      <c r="U599" s="686" t="s">
        <v>490</v>
      </c>
      <c r="V599" s="686" t="s">
        <v>566</v>
      </c>
      <c r="W599" s="686" t="s">
        <v>580</v>
      </c>
      <c r="X599" s="686" t="s">
        <v>621</v>
      </c>
      <c r="Y599" s="686" t="s">
        <v>658</v>
      </c>
      <c r="Z599" s="686" t="s">
        <v>697</v>
      </c>
      <c r="AA599" s="686" t="s">
        <v>717</v>
      </c>
      <c r="AB599" s="686" t="s">
        <v>725</v>
      </c>
      <c r="AC599" s="686" t="s">
        <v>732</v>
      </c>
      <c r="AD599" s="686" t="s">
        <v>831</v>
      </c>
      <c r="AE599" s="686" t="s">
        <v>924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18</v>
      </c>
      <c r="C601" s="46">
        <f>IFERROR(Y37*1,"0")+IFERROR(Y38*1,"0")+IFERROR(Y39*1,"0")+IFERROR(Y40*1,"0")+IFERROR(Y44*1,"0")</f>
        <v>482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1009.8000000000001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1404.6000000000001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1797.6599999999999</v>
      </c>
      <c r="G601" s="46">
        <f>IFERROR(Y137*1,"0")+IFERROR(Y138*1,"0")+IFERROR(Y142*1,"0")+IFERROR(Y143*1,"0")+IFERROR(Y147*1,"0")+IFERROR(Y148*1,"0")</f>
        <v>216.32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602.1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1851.5999999999997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141.6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360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140.70000000000002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753</v>
      </c>
      <c r="V601" s="46">
        <f>IFERROR(Y363*1,"0")+IFERROR(Y367*1,"0")+IFERROR(Y368*1,"0")+IFERROR(Y369*1,"0")</f>
        <v>1208.7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4951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48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170.4</v>
      </c>
      <c r="Z601" s="46">
        <f>IFERROR(Y451*1,"0")+IFERROR(Y452*1,"0")+IFERROR(Y456*1,"0")+IFERROR(Y457*1,"0")+IFERROR(Y458*1,"0")+IFERROR(Y459*1,"0")</f>
        <v>10.8</v>
      </c>
      <c r="AA601" s="46">
        <f>IFERROR(Y464*1,"0")+IFERROR(Y465*1,"0")</f>
        <v>8.4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1165.44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1245</v>
      </c>
      <c r="AE601" s="46">
        <f>IFERROR(Y576*1,"0")+IFERROR(Y580*1,"0")+IFERROR(Y584*1,"0")+IFERROR(Y588*1,"0")</f>
        <v>0</v>
      </c>
      <c r="AF601" s="661"/>
    </row>
  </sheetData>
  <sheetProtection algorithmName="SHA-512" hashValue="oj7hWUDhsL1FHlqS8sm+hhXcIEB0RW1G9VKzHmy0m23DeGGIrG+qdIRTSV9B9fvI0IWJzw9ojJELGEYPS5nhvg==" saltValue="IAJWy13EmvscPTUGCE4n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124 X280 X376 X378 X381 X388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1" xr:uid="{00000000-0002-0000-0000-000012000000}">
      <formula1>IF(AK321&gt;0,OR(X321=0,AND(IF(X321-AK321&gt;=0,TRUE,FALSE),X321&gt;0,IF(X321/(H321*K321)=ROUND(X321/(H321*K321),0),TRUE,FALSE))),FALSE)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9TWMU0CXLM1eb5Q5zj+eucgior2sN8sDEqmuDStA/E+5VlmzkCD5wdd/yY3CRUbchDM1g+fXBJQOEGxoQEpMVw==" saltValue="EBRD6PYPsjPnMul/xbJv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2025-04-11T12:30:33Z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