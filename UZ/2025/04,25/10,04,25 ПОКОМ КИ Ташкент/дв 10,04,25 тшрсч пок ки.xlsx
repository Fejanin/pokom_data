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10,04,25 ПОКОМ КИ Ташкент\"/>
    </mc:Choice>
  </mc:AlternateContent>
  <xr:revisionPtr revIDLastSave="0" documentId="13_ncr:1_{65442A26-AE3D-4CFE-971D-EDD52A86B9B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Sheet!$A$3:$AD$77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44" i="1" l="1"/>
  <c r="AD44" i="1"/>
  <c r="F49" i="1"/>
  <c r="E49" i="1"/>
  <c r="O49" i="1" s="1"/>
  <c r="F48" i="1"/>
  <c r="E48" i="1"/>
  <c r="O48" i="1" s="1"/>
  <c r="F47" i="1"/>
  <c r="E47" i="1"/>
  <c r="O47" i="1" s="1"/>
  <c r="F45" i="1"/>
  <c r="E45" i="1"/>
  <c r="O45" i="1" s="1"/>
  <c r="F42" i="1"/>
  <c r="E42" i="1"/>
  <c r="O42" i="1" s="1"/>
  <c r="F41" i="1"/>
  <c r="E41" i="1"/>
  <c r="O41" i="1" s="1"/>
  <c r="F40" i="1"/>
  <c r="E40" i="1"/>
  <c r="O40" i="1" s="1"/>
  <c r="F39" i="1"/>
  <c r="E39" i="1"/>
  <c r="K39" i="1" s="1"/>
  <c r="F37" i="1"/>
  <c r="E37" i="1"/>
  <c r="O37" i="1" s="1"/>
  <c r="F32" i="1"/>
  <c r="E32" i="1"/>
  <c r="K32" i="1" s="1"/>
  <c r="F30" i="1"/>
  <c r="E30" i="1"/>
  <c r="O30" i="1" s="1"/>
  <c r="P30" i="1" s="1"/>
  <c r="F29" i="1"/>
  <c r="E29" i="1"/>
  <c r="O29" i="1" s="1"/>
  <c r="AD29" i="1" s="1"/>
  <c r="F28" i="1"/>
  <c r="E28" i="1"/>
  <c r="K28" i="1" s="1"/>
  <c r="F26" i="1"/>
  <c r="E26" i="1"/>
  <c r="K26" i="1" s="1"/>
  <c r="F24" i="1"/>
  <c r="AD24" i="1" s="1"/>
  <c r="E24" i="1"/>
  <c r="O24" i="1" s="1"/>
  <c r="F23" i="1"/>
  <c r="E23" i="1"/>
  <c r="K23" i="1" s="1"/>
  <c r="F19" i="1"/>
  <c r="E19" i="1"/>
  <c r="O19" i="1" s="1"/>
  <c r="F18" i="1"/>
  <c r="E18" i="1"/>
  <c r="K18" i="1" s="1"/>
  <c r="F16" i="1"/>
  <c r="E16" i="1"/>
  <c r="O16" i="1" s="1"/>
  <c r="F7" i="1"/>
  <c r="E7" i="1"/>
  <c r="O7" i="1" s="1"/>
  <c r="F46" i="1"/>
  <c r="F5" i="1" s="1"/>
  <c r="E46" i="1"/>
  <c r="K46" i="1" s="1"/>
  <c r="K77" i="1"/>
  <c r="O77" i="1"/>
  <c r="S77" i="1" s="1"/>
  <c r="O8" i="1"/>
  <c r="P8" i="1" s="1"/>
  <c r="AD8" i="1" s="1"/>
  <c r="O9" i="1"/>
  <c r="O10" i="1"/>
  <c r="P10" i="1" s="1"/>
  <c r="AD10" i="1" s="1"/>
  <c r="O11" i="1"/>
  <c r="O12" i="1"/>
  <c r="O13" i="1"/>
  <c r="S13" i="1" s="1"/>
  <c r="O14" i="1"/>
  <c r="P14" i="1" s="1"/>
  <c r="AD14" i="1" s="1"/>
  <c r="O15" i="1"/>
  <c r="O17" i="1"/>
  <c r="O18" i="1"/>
  <c r="O20" i="1"/>
  <c r="P20" i="1" s="1"/>
  <c r="O21" i="1"/>
  <c r="O22" i="1"/>
  <c r="AD22" i="1" s="1"/>
  <c r="O23" i="1"/>
  <c r="O25" i="1"/>
  <c r="O26" i="1"/>
  <c r="O27" i="1"/>
  <c r="O28" i="1"/>
  <c r="O31" i="1"/>
  <c r="O32" i="1"/>
  <c r="O33" i="1"/>
  <c r="O34" i="1"/>
  <c r="O35" i="1"/>
  <c r="O36" i="1"/>
  <c r="AD36" i="1" s="1"/>
  <c r="O38" i="1"/>
  <c r="O39" i="1"/>
  <c r="O43" i="1"/>
  <c r="O50" i="1"/>
  <c r="S50" i="1" s="1"/>
  <c r="O58" i="1"/>
  <c r="S58" i="1" s="1"/>
  <c r="O59" i="1"/>
  <c r="S59" i="1" s="1"/>
  <c r="O60" i="1"/>
  <c r="S60" i="1" s="1"/>
  <c r="O61" i="1"/>
  <c r="S61" i="1" s="1"/>
  <c r="O62" i="1"/>
  <c r="O63" i="1"/>
  <c r="S63" i="1" s="1"/>
  <c r="O64" i="1"/>
  <c r="S64" i="1" s="1"/>
  <c r="O65" i="1"/>
  <c r="S65" i="1" s="1"/>
  <c r="O66" i="1"/>
  <c r="S66" i="1" s="1"/>
  <c r="O67" i="1"/>
  <c r="S67" i="1" s="1"/>
  <c r="O68" i="1"/>
  <c r="S68" i="1" s="1"/>
  <c r="O69" i="1"/>
  <c r="S69" i="1" s="1"/>
  <c r="O70" i="1"/>
  <c r="S70" i="1" s="1"/>
  <c r="O71" i="1"/>
  <c r="S71" i="1" s="1"/>
  <c r="O72" i="1"/>
  <c r="S72" i="1" s="1"/>
  <c r="O73" i="1"/>
  <c r="S73" i="1" s="1"/>
  <c r="O74" i="1"/>
  <c r="S74" i="1" s="1"/>
  <c r="O75" i="1"/>
  <c r="S75" i="1" s="1"/>
  <c r="O76" i="1"/>
  <c r="S76" i="1" s="1"/>
  <c r="O51" i="1"/>
  <c r="O52" i="1"/>
  <c r="O53" i="1"/>
  <c r="O54" i="1"/>
  <c r="O55" i="1"/>
  <c r="O56" i="1"/>
  <c r="O57" i="1"/>
  <c r="O6" i="1"/>
  <c r="K57" i="1"/>
  <c r="K56" i="1"/>
  <c r="K55" i="1"/>
  <c r="K54" i="1"/>
  <c r="K53" i="1"/>
  <c r="K52" i="1"/>
  <c r="K51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0" i="1"/>
  <c r="K44" i="1"/>
  <c r="K43" i="1"/>
  <c r="K38" i="1"/>
  <c r="K36" i="1"/>
  <c r="K35" i="1"/>
  <c r="K34" i="1"/>
  <c r="K33" i="1"/>
  <c r="K31" i="1"/>
  <c r="K27" i="1"/>
  <c r="K25" i="1"/>
  <c r="K22" i="1"/>
  <c r="K21" i="1"/>
  <c r="K20" i="1"/>
  <c r="K17" i="1"/>
  <c r="K15" i="1"/>
  <c r="K14" i="1"/>
  <c r="K13" i="1"/>
  <c r="K12" i="1"/>
  <c r="K11" i="1"/>
  <c r="K10" i="1"/>
  <c r="K9" i="1"/>
  <c r="K8" i="1"/>
  <c r="K6" i="1"/>
  <c r="AB5" i="1"/>
  <c r="AA5" i="1"/>
  <c r="Z5" i="1"/>
  <c r="Y5" i="1"/>
  <c r="X5" i="1"/>
  <c r="W5" i="1"/>
  <c r="V5" i="1"/>
  <c r="U5" i="1"/>
  <c r="Q5" i="1"/>
  <c r="N5" i="1"/>
  <c r="M5" i="1"/>
  <c r="L5" i="1"/>
  <c r="J5" i="1"/>
  <c r="P18" i="1" l="1"/>
  <c r="P39" i="1"/>
  <c r="AD39" i="1" s="1"/>
  <c r="P7" i="1"/>
  <c r="AD7" i="1" s="1"/>
  <c r="P37" i="1"/>
  <c r="AD37" i="1" s="1"/>
  <c r="P47" i="1"/>
  <c r="AD47" i="1" s="1"/>
  <c r="P49" i="1"/>
  <c r="AD49" i="1" s="1"/>
  <c r="AD20" i="1"/>
  <c r="AD16" i="1"/>
  <c r="AD18" i="1"/>
  <c r="AD30" i="1"/>
  <c r="P32" i="1"/>
  <c r="AD32" i="1" s="1"/>
  <c r="P40" i="1"/>
  <c r="AD40" i="1" s="1"/>
  <c r="P42" i="1"/>
  <c r="AD42" i="1" s="1"/>
  <c r="S43" i="1"/>
  <c r="S35" i="1"/>
  <c r="P38" i="1"/>
  <c r="AD38" i="1" s="1"/>
  <c r="AD51" i="1"/>
  <c r="AD57" i="1"/>
  <c r="S54" i="1"/>
  <c r="S9" i="1"/>
  <c r="AD9" i="1"/>
  <c r="AD11" i="1"/>
  <c r="AD19" i="1"/>
  <c r="AD21" i="1"/>
  <c r="AD27" i="1"/>
  <c r="P31" i="1"/>
  <c r="AD31" i="1" s="1"/>
  <c r="AD35" i="1"/>
  <c r="P41" i="1"/>
  <c r="AD41" i="1" s="1"/>
  <c r="AD43" i="1"/>
  <c r="P52" i="1"/>
  <c r="AD52" i="1" s="1"/>
  <c r="AD54" i="1"/>
  <c r="P56" i="1"/>
  <c r="AD56" i="1" s="1"/>
  <c r="S62" i="1"/>
  <c r="S44" i="1"/>
  <c r="S36" i="1"/>
  <c r="K49" i="1"/>
  <c r="K48" i="1"/>
  <c r="S47" i="1"/>
  <c r="K47" i="1"/>
  <c r="K45" i="1"/>
  <c r="K42" i="1"/>
  <c r="K41" i="1"/>
  <c r="K40" i="1"/>
  <c r="K37" i="1"/>
  <c r="K30" i="1"/>
  <c r="S29" i="1"/>
  <c r="K29" i="1"/>
  <c r="K24" i="1"/>
  <c r="K19" i="1"/>
  <c r="K16" i="1"/>
  <c r="E5" i="1"/>
  <c r="K7" i="1"/>
  <c r="O46" i="1"/>
  <c r="T77" i="1"/>
  <c r="T53" i="1"/>
  <c r="P53" i="1" s="1"/>
  <c r="AD53" i="1" s="1"/>
  <c r="T73" i="1"/>
  <c r="T66" i="1"/>
  <c r="T60" i="1"/>
  <c r="T45" i="1"/>
  <c r="P45" i="1" s="1"/>
  <c r="AD45" i="1" s="1"/>
  <c r="T37" i="1"/>
  <c r="T29" i="1"/>
  <c r="T21" i="1"/>
  <c r="T13" i="1"/>
  <c r="T57" i="1"/>
  <c r="T69" i="1"/>
  <c r="T49" i="1"/>
  <c r="T41" i="1"/>
  <c r="T33" i="1"/>
  <c r="P33" i="1" s="1"/>
  <c r="AD33" i="1" s="1"/>
  <c r="T25" i="1"/>
  <c r="P25" i="1" s="1"/>
  <c r="AD25" i="1" s="1"/>
  <c r="T17" i="1"/>
  <c r="P17" i="1" s="1"/>
  <c r="AD17" i="1" s="1"/>
  <c r="T9" i="1"/>
  <c r="T55" i="1"/>
  <c r="P55" i="1" s="1"/>
  <c r="AD55" i="1" s="1"/>
  <c r="T51" i="1"/>
  <c r="T75" i="1"/>
  <c r="T71" i="1"/>
  <c r="T68" i="1"/>
  <c r="T62" i="1"/>
  <c r="T58" i="1"/>
  <c r="T47" i="1"/>
  <c r="T43" i="1"/>
  <c r="T39" i="1"/>
  <c r="T35" i="1"/>
  <c r="T31" i="1"/>
  <c r="T27" i="1"/>
  <c r="T23" i="1"/>
  <c r="P23" i="1" s="1"/>
  <c r="AD23" i="1" s="1"/>
  <c r="T19" i="1"/>
  <c r="T15" i="1"/>
  <c r="P15" i="1" s="1"/>
  <c r="AD15" i="1" s="1"/>
  <c r="T11" i="1"/>
  <c r="T7" i="1"/>
  <c r="T6" i="1"/>
  <c r="S24" i="1"/>
  <c r="T24" i="1"/>
  <c r="S22" i="1"/>
  <c r="T22" i="1"/>
  <c r="S20" i="1"/>
  <c r="T20" i="1"/>
  <c r="T18" i="1"/>
  <c r="S16" i="1"/>
  <c r="T16" i="1"/>
  <c r="S14" i="1"/>
  <c r="T14" i="1"/>
  <c r="S12" i="1"/>
  <c r="T12" i="1"/>
  <c r="S10" i="1"/>
  <c r="T10" i="1"/>
  <c r="S8" i="1"/>
  <c r="T8" i="1"/>
  <c r="S6" i="1"/>
  <c r="T56" i="1"/>
  <c r="T54" i="1"/>
  <c r="T52" i="1"/>
  <c r="T76" i="1"/>
  <c r="T74" i="1"/>
  <c r="T72" i="1"/>
  <c r="T70" i="1"/>
  <c r="T67" i="1"/>
  <c r="T65" i="1"/>
  <c r="T64" i="1"/>
  <c r="T63" i="1"/>
  <c r="T61" i="1"/>
  <c r="T59" i="1"/>
  <c r="T50" i="1"/>
  <c r="T48" i="1"/>
  <c r="P48" i="1" s="1"/>
  <c r="AD48" i="1" s="1"/>
  <c r="T44" i="1"/>
  <c r="T42" i="1"/>
  <c r="T40" i="1"/>
  <c r="T38" i="1"/>
  <c r="T36" i="1"/>
  <c r="T34" i="1"/>
  <c r="P34" i="1" s="1"/>
  <c r="AD34" i="1" s="1"/>
  <c r="T32" i="1"/>
  <c r="T30" i="1"/>
  <c r="T28" i="1"/>
  <c r="P28" i="1" s="1"/>
  <c r="AD28" i="1" s="1"/>
  <c r="T26" i="1"/>
  <c r="P26" i="1" s="1"/>
  <c r="AD26" i="1" s="1"/>
  <c r="S42" i="1" l="1"/>
  <c r="S34" i="1"/>
  <c r="S48" i="1"/>
  <c r="S23" i="1"/>
  <c r="S37" i="1"/>
  <c r="S7" i="1"/>
  <c r="S26" i="1"/>
  <c r="S40" i="1"/>
  <c r="S45" i="1"/>
  <c r="S30" i="1"/>
  <c r="S39" i="1"/>
  <c r="S49" i="1"/>
  <c r="S28" i="1"/>
  <c r="S18" i="1"/>
  <c r="S32" i="1"/>
  <c r="S15" i="1"/>
  <c r="S25" i="1"/>
  <c r="S31" i="1"/>
  <c r="O5" i="1"/>
  <c r="S41" i="1"/>
  <c r="S53" i="1"/>
  <c r="S57" i="1"/>
  <c r="S19" i="1"/>
  <c r="S11" i="1"/>
  <c r="S21" i="1"/>
  <c r="S52" i="1"/>
  <c r="S56" i="1"/>
  <c r="S17" i="1"/>
  <c r="S27" i="1"/>
  <c r="S33" i="1"/>
  <c r="S38" i="1"/>
  <c r="S51" i="1"/>
  <c r="S55" i="1"/>
  <c r="P5" i="1"/>
  <c r="K5" i="1"/>
  <c r="T46" i="1"/>
  <c r="AD46" i="1" l="1"/>
  <c r="AD5" i="1" s="1"/>
  <c r="S46" i="1"/>
</calcChain>
</file>

<file path=xl/sharedStrings.xml><?xml version="1.0" encoding="utf-8"?>
<sst xmlns="http://schemas.openxmlformats.org/spreadsheetml/2006/main" count="231" uniqueCount="121">
  <si>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</si>
  <si>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</si>
  <si>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</si>
  <si>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</si>
  <si>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</si>
  <si>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</si>
  <si>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</si>
  <si>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</si>
  <si>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</si>
  <si>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</si>
  <si>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</si>
  <si>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</si>
  <si>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</si>
  <si>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</si>
  <si>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</si>
  <si>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</si>
  <si>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</si>
  <si>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</si>
  <si>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</si>
  <si>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</si>
  <si>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</si>
  <si>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</si>
  <si>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</si>
  <si>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09,04,</t>
  </si>
  <si>
    <t>10,04,</t>
  </si>
  <si>
    <t>03,04,</t>
  </si>
  <si>
    <t>27,03,</t>
  </si>
  <si>
    <t>20,03,</t>
  </si>
  <si>
    <t>13,03,</t>
  </si>
  <si>
    <t>06,03,</t>
  </si>
  <si>
    <t>25,02,</t>
  </si>
  <si>
    <t>20,02,</t>
  </si>
  <si>
    <t>13,02,</t>
  </si>
  <si>
    <t xml:space="preserve"> 1192 Колбаса Вязанка со шпикам Вязанка 0,5кг</t>
  </si>
  <si>
    <t>шт</t>
  </si>
  <si>
    <t>нет в бланке</t>
  </si>
  <si>
    <t>квант / нет в бланке</t>
  </si>
  <si>
    <t>0178 Ветчины Нежная Особая Особая Весовые П/а Особый рецепт большой батон  ПОКОМ</t>
  </si>
  <si>
    <t>кг</t>
  </si>
  <si>
    <t>мин 200</t>
  </si>
  <si>
    <t>0222-Ветчины Дугушка Дугушка б/о Стародворье, 1кг</t>
  </si>
  <si>
    <t>0232 С/к колбасы Княжеская Бордо Весовые б/о терм/п Стародворье</t>
  </si>
  <si>
    <t>нужно увеличить продажи!!!</t>
  </si>
  <si>
    <t>0235 С/к колбасы Салями Охотничья Бордо Весовые б/о терм/п 180 Стародворье</t>
  </si>
  <si>
    <t>0262 Ветчина «Сочинка с сочным окороком» Весовой п/а ТМ «Стародворье»  ПОКОМ</t>
  </si>
  <si>
    <t>0359 Сардельки «Шпикачки Сочинки» Весовой н/о ТМ «Стародворье»  ПОКОМ</t>
  </si>
  <si>
    <t>добавили ТК (нет на заводе)</t>
  </si>
  <si>
    <t>0360 Сардельки «Сочинки» Весовой н/о ТМ «Стародворье»  ПОКОМ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</si>
  <si>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</si>
  <si>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</si>
  <si>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пожеланиеи тк</t>
  </si>
  <si>
    <t>1201 В/к колбасы Сервелат Мясорубский с мелкорубленным окороком Бордо Весовой фиброуз Стародворье  П</t>
  </si>
  <si>
    <t>1202 В/к колбасы Сервелат Мясорубский с мелкорубленным окороком срез Бордо Фикс.вес 0,35 фиброуз Ста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</si>
  <si>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</si>
  <si>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</si>
  <si>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1224 В/к колбасы «Сочинка по-европейски с сочной грудинкой» Весовой фиброуз ТМ «Стародворье»  ПОКОМ</t>
  </si>
  <si>
    <t>1231 Сосиски Сливочные Дугушки Дугушка Весовые П/а Стародворье, вес 1кг</t>
  </si>
  <si>
    <t>1284-Сосиски Баварушки ТМ Баварушка в оболочке амицел в модифицированной газовой среде 0,6 кг.</t>
  </si>
  <si>
    <t>1314-Сосиски Молокуши миникушай Вязанка Ф/в 0,45 амилюкс мгс Вязанка</t>
  </si>
  <si>
    <t>нужно увеличить продажи</t>
  </si>
  <si>
    <t>1370-Сосиски Сочинки Бордо Весовой п/а Стародворье</t>
  </si>
  <si>
    <t>26,02,25 завод не отгрузил 350кг, пожелание тк</t>
  </si>
  <si>
    <t>1371-Сосиски Сочинки с сочной грудинкой Бордо Фикс.вес 0,4 П/а мгс Стародворье</t>
  </si>
  <si>
    <t>1372-Сосиски Сочинки с сочным окороком Бордо Фикс.вес 0,4 П/а мгс Стародворье</t>
  </si>
  <si>
    <t>1409 Сосиски Сочинки по-баварски ТМ Стародворье полиамид мгс вес СК3  ПОКОМ</t>
  </si>
  <si>
    <t>1411 Сосиски «Сочинки Сливочные» Весовые ТМ «Стародворье» 1,35 кг  ПОКОМ</t>
  </si>
  <si>
    <t>мин40</t>
  </si>
  <si>
    <t>1444 Сосиски «Сочные без свинины» ф/в 0,4 кг ТМ «Особый рецепт»  ПОКОМ</t>
  </si>
  <si>
    <t>1445 Сосиски «Сочные без свинины» Весовые ТМ «Особый рецепт» 1,3 кг  ПОКОМ</t>
  </si>
  <si>
    <t>1461 Сосиски «Баварские» Фикс.вес 0,35 П/а ТМ «Стародворье»  ПОКОМ</t>
  </si>
  <si>
    <t>1523-Сосиски Вязанка Молочные ТМ Стародворские колбасы</t>
  </si>
  <si>
    <t>1720-Сосиски Вязанка Сливочные ТМ Стародворские колбасы ТС Вязанка амицел в мод газов.среде 0,45кг</t>
  </si>
  <si>
    <t>1721-Сосиски Вязанка Сливочные ТМ Стародворские колбасы</t>
  </si>
  <si>
    <t>1728-Сосиски сливочные по-стародворски в оболочке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</si>
  <si>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</si>
  <si>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</si>
  <si>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1868-Колбаса Филейная ТМ Особый рецепт в оболочке полиамид 0,5 кг.  ПОКОМ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</si>
  <si>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</si>
  <si>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</si>
  <si>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</si>
  <si>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26,02,25 завод не отгрузил 500шт.</t>
  </si>
  <si>
    <t>1875-Колбаса Филейная оригинальная ТМ Особый рецепт в оболочке полиамид.  ПОКОМ</t>
  </si>
  <si>
    <t>1952-Колбаса Со шпиком ТМ Особый рецепт в оболочке полиамид 0,5 кг.  ПОКОМ</t>
  </si>
  <si>
    <t>2027 Ветчина Нежная п/а ТМ Особый рецепт шт. 0,4кг</t>
  </si>
  <si>
    <t>2074-Сосиски Молочные для завтрака Особый рецепт</t>
  </si>
  <si>
    <t>прогноз</t>
  </si>
  <si>
    <t>2094 Вареные колбасы Докторская Дугушка Дугушка Весовые Вектор Стародворье, вес 1кг</t>
  </si>
  <si>
    <t>есть дубль</t>
  </si>
  <si>
    <t>2150 В/к колбасы Рубленая Запеченная Дугушка Весовые Вектор Стародворье, вес 1кг</t>
  </si>
  <si>
    <t>2205-Сосиски Молочные для завтрака ТМ Особый рецепт 0,4кг</t>
  </si>
  <si>
    <t>2472 Сардельки Левантские Особая Без свинины Весовые NDX мгс Особый рецепт, вес 1кг</t>
  </si>
  <si>
    <t>2634 Колбаса Дугушка Стародворская ТМ Стародворье ТС Дугушка  ПОКОМ</t>
  </si>
  <si>
    <t>дубль на 2094</t>
  </si>
  <si>
    <t>БОНУС_0178 Ветчины Нежная Особая Особая Весовые П/а Особый рецепт большой батон  ПОКОМ</t>
  </si>
  <si>
    <t>бонус</t>
  </si>
  <si>
    <t>БОНУС_1201 В/к колбасы Сервелат Мясорубский с мелкорубленным окороком Бордо Весовой фиброуз Стародворье  ПОКОМ</t>
  </si>
  <si>
    <t>БОНУС_1204 Копченые колбасы Салями Мясорубская с рубленым шпиком Бордо Весовой фиброуз Стародворье  ПОКОМ</t>
  </si>
  <si>
    <t>БОНУС_1205 Копченые колбасы Салями Мясорубская с рубленым шпиком срез Бордо ф/в 0,35 фиброуз Стародворье</t>
  </si>
  <si>
    <t>БОНУС_1314-Сосиски Молокуши миникушай Вязанка Ф/в 0,45 амилюкс мгс Вязанка</t>
  </si>
  <si>
    <t>БОНУС_1370-Сосиски Сочинки Бордо Весовой п/а Стародворье</t>
  </si>
  <si>
    <t>БОНУС_1372-Сосиски Сочинки с сочным окороком Бордо Фикс.вес 0,4 П/а мгс Стародворье</t>
  </si>
  <si>
    <t>БОНУС_1411 Сосиски «Сочинки Сливочные» Весовые ТМ «Стародворье» 1,35 кг  ПОКОМ</t>
  </si>
  <si>
    <t>БОНУС_1444 Сосиски «Сочные без свинины» ф/в 0,4 кг ТМ «Особый рецепт»  ПОКОМ</t>
  </si>
  <si>
    <t>БОНУС_1445 Сосиски «Сочные без свинины» Весовые ТМ «Особый рецепт» 1,3 кг  ПОКОМ</t>
  </si>
  <si>
    <t>БОНУС_1523-Сосиски Вязанка Молочные ТМ Стародворские колбасы</t>
  </si>
  <si>
    <t>БОНУС_1867-Колбаса Филейная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</si>
  <si>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</si>
  <si>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</si>
  <si>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</si>
  <si>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БОНУС_1875-Колбаса Филейная оригинальная ТМ Особый рецепт в оболочке полиамид.  ПОКОМ</t>
  </si>
  <si>
    <t>БОНУС_2074-Сосиски Молочные для завтрака Особый рецепт</t>
  </si>
  <si>
    <t>БОНУС_2150 В/к колбасы Рубленая Запеченная Дугушка Весовые Вектор Стародворье, вес 1кг</t>
  </si>
  <si>
    <t>БОНУС_2205-Сосиски Молочные для завтрака ТМ Особый рецепт 0,4кг</t>
  </si>
  <si>
    <t>БОНУС_2472 Сардельки Левантские Особая Без свинины Весовые NDX мгс Особый рецепт, вес 1кг</t>
  </si>
  <si>
    <t>Вареные колбасы «Филейская» Весовые Вектор ТМ «Вязанка»  ПОКОМ</t>
  </si>
  <si>
    <t>Вареные колбасы «Филейская» Фикс.вес 0,45 Вектор ТМ «Вязанка»  ПОКОМ</t>
  </si>
  <si>
    <t>Вареные колбасы Докторская ГОСТ Вязанка Фикс.вес 0,4 Вектор Вязанка  ПОКОМ</t>
  </si>
  <si>
    <t>Вареные колбасы Молокуша Вязанка Вес п/а Вязанка  ПОКОМ</t>
  </si>
  <si>
    <t>Вареные колбасы Сливушка Вязанка Фикс.вес 0,45 П/а Вязанка  ПОКОМ</t>
  </si>
  <si>
    <t>С/к колбасы Баварская Бавария Фикс.вес 0,17 б/о терм/п Стародворье</t>
  </si>
  <si>
    <t>С/к колбасы Швейцарская Бордо Фикс.вес 0,17 Фиброуз терм/п Стародворье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</si>
</sst>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1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0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4" fillId="7" borderId="1" xfId="1" applyNumberFormat="1" applyFont="1" applyFill="1"/>
    <xf numFmtId="164" fontId="5" fillId="7" borderId="1" xfId="1" applyNumberFormat="1" applyFont="1" applyFill="1"/>
    <xf numFmtId="164" fontId="6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72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8" sqref="R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12" customWidth="1"/>
    <col min="10" max="13" width="0.7109375" customWidth="1"/>
    <col min="14" max="17" width="7" customWidth="1"/>
    <col min="18" max="18" width="21" customWidth="1"/>
    <col min="19" max="20" width="5" customWidth="1"/>
    <col min="21" max="28" width="6" customWidth="1"/>
    <col min="29" max="29" width="44.28515625" customWidth="1"/>
    <col min="30" max="30" width="7" customWidth="1"/>
    <col min="31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3" t="s">
        <v>15</v>
      </c>
      <c r="Q3" s="6" t="s">
        <v>16</v>
      </c>
      <c r="R3" s="6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21</v>
      </c>
      <c r="AD3" s="2" t="s">
        <v>22</v>
      </c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23</v>
      </c>
      <c r="O4" s="1" t="s">
        <v>24</v>
      </c>
      <c r="P4" s="1"/>
      <c r="Q4" s="1"/>
      <c r="R4" s="1"/>
      <c r="S4" s="1"/>
      <c r="T4" s="1"/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SUM(E6:E472)</f>
        <v>11387.401</v>
      </c>
      <c r="F5" s="4">
        <f>SUM(F6:F472)</f>
        <v>9487.1669999999995</v>
      </c>
      <c r="G5" s="7"/>
      <c r="H5" s="1"/>
      <c r="I5" s="1"/>
      <c r="J5" s="4">
        <f>SUM(J6:J472)</f>
        <v>0</v>
      </c>
      <c r="K5" s="4">
        <f>SUM(K6:K472)</f>
        <v>11387.401</v>
      </c>
      <c r="L5" s="4">
        <f>SUM(L6:L472)</f>
        <v>0</v>
      </c>
      <c r="M5" s="4">
        <f>SUM(M6:M472)</f>
        <v>0</v>
      </c>
      <c r="N5" s="4">
        <f>SUM(N6:N472)</f>
        <v>10765.070028011205</v>
      </c>
      <c r="O5" s="4">
        <f>SUM(O6:O472)</f>
        <v>2277.4801999999991</v>
      </c>
      <c r="P5" s="4">
        <f>SUM(P6:P472)</f>
        <v>15641.348399999997</v>
      </c>
      <c r="Q5" s="4">
        <f>SUM(Q6:Q472)</f>
        <v>0</v>
      </c>
      <c r="R5" s="1"/>
      <c r="S5" s="1"/>
      <c r="T5" s="1"/>
      <c r="U5" s="4">
        <f>SUM(U6:U472)</f>
        <v>1723.5303999999996</v>
      </c>
      <c r="V5" s="4">
        <f>SUM(V6:V472)</f>
        <v>2042.9693999999993</v>
      </c>
      <c r="W5" s="4">
        <f>SUM(W6:W472)</f>
        <v>1634.8114</v>
      </c>
      <c r="X5" s="4">
        <f>SUM(X6:X472)</f>
        <v>1567.4033999999997</v>
      </c>
      <c r="Y5" s="4">
        <f>SUM(Y6:Y472)</f>
        <v>2262.4478000000004</v>
      </c>
      <c r="Z5" s="4">
        <f>SUM(Z6:Z472)</f>
        <v>2208.7254000000003</v>
      </c>
      <c r="AA5" s="4">
        <f>SUM(AA6:AA472)</f>
        <v>2157.0153999999993</v>
      </c>
      <c r="AB5" s="4">
        <f>SUM(AB6:AB472)</f>
        <v>2635.1811999999995</v>
      </c>
      <c r="AC5" s="1"/>
      <c r="AD5" s="4">
        <f>SUM(AD6:AD472)</f>
        <v>11676.144399999997</v>
      </c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0" t="s">
        <v>33</v>
      </c>
      <c r="B6" s="10" t="s">
        <v>34</v>
      </c>
      <c r="C6" s="10"/>
      <c r="D6" s="10"/>
      <c r="E6" s="10"/>
      <c r="F6" s="10"/>
      <c r="G6" s="11">
        <v>0</v>
      </c>
      <c r="H6" s="10" t="e">
        <v>#N/A</v>
      </c>
      <c r="I6" s="10" t="s">
        <v>35</v>
      </c>
      <c r="J6" s="10"/>
      <c r="K6" s="10">
        <f t="shared" ref="K6:K37" si="0">E6-J6</f>
        <v>0</v>
      </c>
      <c r="L6" s="10"/>
      <c r="M6" s="10"/>
      <c r="N6" s="10"/>
      <c r="O6" s="10">
        <f>E6/5</f>
        <v>0</v>
      </c>
      <c r="P6" s="12"/>
      <c r="Q6" s="12"/>
      <c r="R6" s="10"/>
      <c r="S6" s="10" t="e">
        <f>(F6+N6+P6)/O6</f>
        <v>#DIV/0!</v>
      </c>
      <c r="T6" s="10" t="e">
        <f>(F6+N6)/O6</f>
        <v>#DIV/0!</v>
      </c>
      <c r="U6" s="10">
        <v>-0.4</v>
      </c>
      <c r="V6" s="10">
        <v>-0.2</v>
      </c>
      <c r="W6" s="10">
        <v>-0.2</v>
      </c>
      <c r="X6" s="10">
        <v>0</v>
      </c>
      <c r="Y6" s="10">
        <v>-0.6</v>
      </c>
      <c r="Z6" s="10">
        <v>-5.2</v>
      </c>
      <c r="AA6" s="10">
        <v>-1.4</v>
      </c>
      <c r="AB6" s="10">
        <v>6</v>
      </c>
      <c r="AC6" s="10" t="s">
        <v>36</v>
      </c>
      <c r="AD6" s="10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37</v>
      </c>
      <c r="B7" s="1" t="s">
        <v>38</v>
      </c>
      <c r="C7" s="1">
        <v>245.71299999999999</v>
      </c>
      <c r="D7" s="1">
        <v>209.39500000000001</v>
      </c>
      <c r="E7" s="18">
        <f>225.11+E58</f>
        <v>280.06600000000003</v>
      </c>
      <c r="F7" s="18">
        <f>202.37+F58</f>
        <v>134.88900000000001</v>
      </c>
      <c r="G7" s="7">
        <v>1</v>
      </c>
      <c r="H7" s="1">
        <v>50</v>
      </c>
      <c r="I7" s="1"/>
      <c r="J7" s="1"/>
      <c r="K7" s="1">
        <f t="shared" si="0"/>
        <v>280.06600000000003</v>
      </c>
      <c r="L7" s="1"/>
      <c r="M7" s="1"/>
      <c r="N7" s="1">
        <v>400</v>
      </c>
      <c r="O7" s="1">
        <f t="shared" ref="O7:O50" si="1">E7/5</f>
        <v>56.013200000000005</v>
      </c>
      <c r="P7" s="5">
        <f>18*O7-N7-F7</f>
        <v>473.34860000000003</v>
      </c>
      <c r="Q7" s="5"/>
      <c r="R7" s="1"/>
      <c r="S7" s="1">
        <f t="shared" ref="S7:S50" si="2">(F7+N7+P7)/O7</f>
        <v>18</v>
      </c>
      <c r="T7" s="1">
        <f t="shared" ref="T7:T50" si="3">(F7+N7)/O7</f>
        <v>9.5493383702412995</v>
      </c>
      <c r="U7" s="1">
        <v>45.081599999999987</v>
      </c>
      <c r="V7" s="1">
        <v>52.767600000000002</v>
      </c>
      <c r="W7" s="1">
        <v>47.139800000000001</v>
      </c>
      <c r="X7" s="1">
        <v>37.405200000000001</v>
      </c>
      <c r="Y7" s="1">
        <v>64.895200000000003</v>
      </c>
      <c r="Z7" s="1">
        <v>79.818799999999996</v>
      </c>
      <c r="AA7" s="1">
        <v>79.673199999999994</v>
      </c>
      <c r="AB7" s="1">
        <v>29.937000000000001</v>
      </c>
      <c r="AC7" s="1" t="s">
        <v>39</v>
      </c>
      <c r="AD7" s="1">
        <f>G7*P7</f>
        <v>473.34860000000003</v>
      </c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40</v>
      </c>
      <c r="B8" s="1" t="s">
        <v>38</v>
      </c>
      <c r="C8" s="1">
        <v>268.74299999999999</v>
      </c>
      <c r="D8" s="1">
        <v>301.745</v>
      </c>
      <c r="E8" s="1">
        <v>238.60499999999999</v>
      </c>
      <c r="F8" s="1">
        <v>286.21499999999997</v>
      </c>
      <c r="G8" s="7">
        <v>1</v>
      </c>
      <c r="H8" s="1">
        <v>55</v>
      </c>
      <c r="I8" s="1"/>
      <c r="J8" s="1"/>
      <c r="K8" s="1">
        <f t="shared" si="0"/>
        <v>238.60499999999999</v>
      </c>
      <c r="L8" s="1"/>
      <c r="M8" s="1"/>
      <c r="N8" s="1">
        <v>400</v>
      </c>
      <c r="O8" s="1">
        <f t="shared" si="1"/>
        <v>47.720999999999997</v>
      </c>
      <c r="P8" s="5">
        <f t="shared" ref="P8:P11" si="4">18*O8-N8-F8</f>
        <v>172.76299999999998</v>
      </c>
      <c r="Q8" s="5"/>
      <c r="R8" s="1"/>
      <c r="S8" s="1">
        <f t="shared" si="2"/>
        <v>17.999999999999996</v>
      </c>
      <c r="T8" s="1">
        <f t="shared" si="3"/>
        <v>14.379728002346974</v>
      </c>
      <c r="U8" s="1">
        <v>41.454999999999998</v>
      </c>
      <c r="V8" s="1">
        <v>50.347799999999999</v>
      </c>
      <c r="W8" s="1">
        <v>36.951999999999998</v>
      </c>
      <c r="X8" s="1">
        <v>46.1402</v>
      </c>
      <c r="Y8" s="1">
        <v>58.483400000000003</v>
      </c>
      <c r="Z8" s="1">
        <v>37.0152</v>
      </c>
      <c r="AA8" s="1">
        <v>37.874600000000001</v>
      </c>
      <c r="AB8" s="1">
        <v>69.441600000000008</v>
      </c>
      <c r="AC8" s="1"/>
      <c r="AD8" s="1">
        <f>G8*P8</f>
        <v>172.76299999999998</v>
      </c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41</v>
      </c>
      <c r="B9" s="1" t="s">
        <v>38</v>
      </c>
      <c r="C9" s="1">
        <v>59.4</v>
      </c>
      <c r="D9" s="1"/>
      <c r="E9" s="1">
        <v>4.9909999999999997</v>
      </c>
      <c r="F9" s="1">
        <v>54.018000000000001</v>
      </c>
      <c r="G9" s="7">
        <v>1</v>
      </c>
      <c r="H9" s="1">
        <v>180</v>
      </c>
      <c r="I9" s="1"/>
      <c r="J9" s="1"/>
      <c r="K9" s="1">
        <f t="shared" si="0"/>
        <v>4.9909999999999997</v>
      </c>
      <c r="L9" s="1"/>
      <c r="M9" s="1"/>
      <c r="N9" s="1">
        <v>0</v>
      </c>
      <c r="O9" s="1">
        <f t="shared" si="1"/>
        <v>0.99819999999999998</v>
      </c>
      <c r="P9" s="5"/>
      <c r="Q9" s="5"/>
      <c r="R9" s="1"/>
      <c r="S9" s="1">
        <f t="shared" si="2"/>
        <v>54.11540773392106</v>
      </c>
      <c r="T9" s="1">
        <f t="shared" si="3"/>
        <v>54.11540773392106</v>
      </c>
      <c r="U9" s="1">
        <v>8.2000000000000007E-3</v>
      </c>
      <c r="V9" s="1">
        <v>1.4618</v>
      </c>
      <c r="W9" s="1">
        <v>1.9774</v>
      </c>
      <c r="X9" s="1">
        <v>0.82140000000000002</v>
      </c>
      <c r="Y9" s="1">
        <v>1.4903999999999999</v>
      </c>
      <c r="Z9" s="1">
        <v>0.82639999999999991</v>
      </c>
      <c r="AA9" s="1">
        <v>7.7800000000000008E-2</v>
      </c>
      <c r="AB9" s="1">
        <v>0.83019999999999994</v>
      </c>
      <c r="AC9" s="19" t="s">
        <v>42</v>
      </c>
      <c r="AD9" s="1">
        <f>G9*P9</f>
        <v>0</v>
      </c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43</v>
      </c>
      <c r="B10" s="1" t="s">
        <v>38</v>
      </c>
      <c r="C10" s="1">
        <v>35.15</v>
      </c>
      <c r="D10" s="1"/>
      <c r="E10" s="1">
        <v>9.3699999999999992</v>
      </c>
      <c r="F10" s="1">
        <v>25.78</v>
      </c>
      <c r="G10" s="7">
        <v>1</v>
      </c>
      <c r="H10" s="1">
        <v>180</v>
      </c>
      <c r="I10" s="1"/>
      <c r="J10" s="1"/>
      <c r="K10" s="1">
        <f t="shared" si="0"/>
        <v>9.3699999999999992</v>
      </c>
      <c r="L10" s="1"/>
      <c r="M10" s="1"/>
      <c r="N10" s="1">
        <v>0</v>
      </c>
      <c r="O10" s="1">
        <f t="shared" si="1"/>
        <v>1.8739999999999999</v>
      </c>
      <c r="P10" s="5">
        <f t="shared" si="4"/>
        <v>7.9519999999999982</v>
      </c>
      <c r="Q10" s="5"/>
      <c r="R10" s="1"/>
      <c r="S10" s="1">
        <f t="shared" si="2"/>
        <v>18</v>
      </c>
      <c r="T10" s="1">
        <f t="shared" si="3"/>
        <v>13.756670224119532</v>
      </c>
      <c r="U10" s="1">
        <v>0.29699999999999999</v>
      </c>
      <c r="V10" s="1">
        <v>1.4858</v>
      </c>
      <c r="W10" s="1">
        <v>1.9074</v>
      </c>
      <c r="X10" s="1">
        <v>1.4892000000000001</v>
      </c>
      <c r="Y10" s="1">
        <v>1.7834000000000001</v>
      </c>
      <c r="Z10" s="1">
        <v>0.81720000000000004</v>
      </c>
      <c r="AA10" s="1">
        <v>7.3200000000000001E-2</v>
      </c>
      <c r="AB10" s="1">
        <v>1.0316000000000001</v>
      </c>
      <c r="AC10" s="20" t="s">
        <v>59</v>
      </c>
      <c r="AD10" s="1">
        <f>G10*P10</f>
        <v>7.9519999999999982</v>
      </c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44</v>
      </c>
      <c r="B11" s="1" t="s">
        <v>38</v>
      </c>
      <c r="C11" s="1">
        <v>65.546999999999997</v>
      </c>
      <c r="D11" s="1"/>
      <c r="E11" s="1">
        <v>25.44</v>
      </c>
      <c r="F11" s="1">
        <v>29.279</v>
      </c>
      <c r="G11" s="7">
        <v>1</v>
      </c>
      <c r="H11" s="1">
        <v>50</v>
      </c>
      <c r="I11" s="1"/>
      <c r="J11" s="1"/>
      <c r="K11" s="1">
        <f t="shared" si="0"/>
        <v>25.44</v>
      </c>
      <c r="L11" s="1"/>
      <c r="M11" s="1"/>
      <c r="N11" s="1">
        <v>70</v>
      </c>
      <c r="O11" s="1">
        <f t="shared" si="1"/>
        <v>5.0880000000000001</v>
      </c>
      <c r="P11" s="5"/>
      <c r="Q11" s="5"/>
      <c r="R11" s="1"/>
      <c r="S11" s="1">
        <f t="shared" si="2"/>
        <v>19.512382075471699</v>
      </c>
      <c r="T11" s="1">
        <f t="shared" si="3"/>
        <v>19.512382075471699</v>
      </c>
      <c r="U11" s="1">
        <v>8.1170000000000009</v>
      </c>
      <c r="V11" s="1">
        <v>4.6042000000000014</v>
      </c>
      <c r="W11" s="1">
        <v>2.1598000000000002</v>
      </c>
      <c r="X11" s="1">
        <v>10.8428</v>
      </c>
      <c r="Y11" s="1">
        <v>0</v>
      </c>
      <c r="Z11" s="1">
        <v>17.7636</v>
      </c>
      <c r="AA11" s="1">
        <v>10.837400000000001</v>
      </c>
      <c r="AB11" s="1">
        <v>0</v>
      </c>
      <c r="AC11" s="1"/>
      <c r="AD11" s="1">
        <f>G11*P11</f>
        <v>0</v>
      </c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0" t="s">
        <v>45</v>
      </c>
      <c r="B12" s="10" t="s">
        <v>38</v>
      </c>
      <c r="C12" s="10"/>
      <c r="D12" s="10"/>
      <c r="E12" s="10"/>
      <c r="F12" s="10"/>
      <c r="G12" s="11">
        <v>0</v>
      </c>
      <c r="H12" s="10" t="e">
        <v>#N/A</v>
      </c>
      <c r="I12" s="10" t="s">
        <v>35</v>
      </c>
      <c r="J12" s="10"/>
      <c r="K12" s="10">
        <f t="shared" si="0"/>
        <v>0</v>
      </c>
      <c r="L12" s="10"/>
      <c r="M12" s="10"/>
      <c r="N12" s="10"/>
      <c r="O12" s="10">
        <f t="shared" si="1"/>
        <v>0</v>
      </c>
      <c r="P12" s="12"/>
      <c r="Q12" s="12"/>
      <c r="R12" s="10"/>
      <c r="S12" s="10" t="e">
        <f t="shared" si="2"/>
        <v>#DIV/0!</v>
      </c>
      <c r="T12" s="10" t="e">
        <f t="shared" si="3"/>
        <v>#DIV/0!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 t="s">
        <v>46</v>
      </c>
      <c r="AD12" s="10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0" t="s">
        <v>47</v>
      </c>
      <c r="B13" s="10" t="s">
        <v>38</v>
      </c>
      <c r="C13" s="10"/>
      <c r="D13" s="10"/>
      <c r="E13" s="10"/>
      <c r="F13" s="10"/>
      <c r="G13" s="11">
        <v>0</v>
      </c>
      <c r="H13" s="10" t="e">
        <v>#N/A</v>
      </c>
      <c r="I13" s="10" t="s">
        <v>35</v>
      </c>
      <c r="J13" s="10"/>
      <c r="K13" s="10">
        <f t="shared" si="0"/>
        <v>0</v>
      </c>
      <c r="L13" s="10"/>
      <c r="M13" s="10"/>
      <c r="N13" s="10"/>
      <c r="O13" s="10">
        <f t="shared" si="1"/>
        <v>0</v>
      </c>
      <c r="P13" s="12"/>
      <c r="Q13" s="12"/>
      <c r="R13" s="10"/>
      <c r="S13" s="10" t="e">
        <f t="shared" si="2"/>
        <v>#DIV/0!</v>
      </c>
      <c r="T13" s="10" t="e">
        <f t="shared" si="3"/>
        <v>#DIV/0!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 t="s">
        <v>46</v>
      </c>
      <c r="AD13" s="10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48</v>
      </c>
      <c r="B14" s="1" t="s">
        <v>38</v>
      </c>
      <c r="C14" s="1">
        <v>180.05600000000001</v>
      </c>
      <c r="D14" s="1">
        <v>300.00200000000001</v>
      </c>
      <c r="E14" s="1">
        <v>190.50399999999999</v>
      </c>
      <c r="F14" s="1">
        <v>257.79000000000002</v>
      </c>
      <c r="G14" s="7">
        <v>1</v>
      </c>
      <c r="H14" s="1">
        <v>60</v>
      </c>
      <c r="I14" s="1"/>
      <c r="J14" s="1"/>
      <c r="K14" s="1">
        <f t="shared" si="0"/>
        <v>190.50399999999999</v>
      </c>
      <c r="L14" s="1"/>
      <c r="M14" s="1"/>
      <c r="N14" s="1">
        <v>200</v>
      </c>
      <c r="O14" s="1">
        <f t="shared" si="1"/>
        <v>38.1008</v>
      </c>
      <c r="P14" s="5">
        <f t="shared" ref="P14:P49" si="5">18*O14-N14-F14</f>
        <v>228.02439999999996</v>
      </c>
      <c r="Q14" s="5"/>
      <c r="R14" s="1"/>
      <c r="S14" s="1">
        <f t="shared" si="2"/>
        <v>18</v>
      </c>
      <c r="T14" s="1">
        <f t="shared" si="3"/>
        <v>12.015233275941712</v>
      </c>
      <c r="U14" s="1">
        <v>33.098999999999997</v>
      </c>
      <c r="V14" s="1">
        <v>39.427</v>
      </c>
      <c r="W14" s="1">
        <v>32.1708</v>
      </c>
      <c r="X14" s="1">
        <v>34.6402</v>
      </c>
      <c r="Y14" s="1">
        <v>39.449399999999997</v>
      </c>
      <c r="Z14" s="1">
        <v>-4.3792</v>
      </c>
      <c r="AA14" s="1">
        <v>28.030799999999999</v>
      </c>
      <c r="AB14" s="1">
        <v>48.481200000000001</v>
      </c>
      <c r="AC14" s="1"/>
      <c r="AD14" s="1">
        <f>G14*P14</f>
        <v>228.02439999999996</v>
      </c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49</v>
      </c>
      <c r="B15" s="1" t="s">
        <v>38</v>
      </c>
      <c r="C15" s="1">
        <v>266.02499999999998</v>
      </c>
      <c r="D15" s="1">
        <v>152.62899999999999</v>
      </c>
      <c r="E15" s="1">
        <v>286.375</v>
      </c>
      <c r="F15" s="1">
        <v>94.488</v>
      </c>
      <c r="G15" s="7">
        <v>1</v>
      </c>
      <c r="H15" s="1">
        <v>60</v>
      </c>
      <c r="I15" s="1"/>
      <c r="J15" s="1"/>
      <c r="K15" s="1">
        <f t="shared" si="0"/>
        <v>286.375</v>
      </c>
      <c r="L15" s="1"/>
      <c r="M15" s="1"/>
      <c r="N15" s="1">
        <v>300</v>
      </c>
      <c r="O15" s="1">
        <f t="shared" si="1"/>
        <v>57.274999999999999</v>
      </c>
      <c r="P15" s="5">
        <f>(10+T15)*O15-N15-F15</f>
        <v>572.75</v>
      </c>
      <c r="Q15" s="5"/>
      <c r="R15" s="1"/>
      <c r="S15" s="1">
        <f t="shared" si="2"/>
        <v>16.887612396333481</v>
      </c>
      <c r="T15" s="1">
        <f t="shared" si="3"/>
        <v>6.8876123963334788</v>
      </c>
      <c r="U15" s="1">
        <v>35.036000000000001</v>
      </c>
      <c r="V15" s="1">
        <v>30.5366</v>
      </c>
      <c r="W15" s="1">
        <v>38.046799999999998</v>
      </c>
      <c r="X15" s="1">
        <v>31.278400000000001</v>
      </c>
      <c r="Y15" s="1">
        <v>49.44</v>
      </c>
      <c r="Z15" s="1">
        <v>5.8708</v>
      </c>
      <c r="AA15" s="1">
        <v>34.788600000000002</v>
      </c>
      <c r="AB15" s="1">
        <v>64.041200000000003</v>
      </c>
      <c r="AC15" s="1" t="s">
        <v>50</v>
      </c>
      <c r="AD15" s="1">
        <f>G15*P15</f>
        <v>572.75</v>
      </c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51</v>
      </c>
      <c r="B16" s="1" t="s">
        <v>38</v>
      </c>
      <c r="C16" s="1">
        <v>92.772000000000006</v>
      </c>
      <c r="D16" s="1"/>
      <c r="E16" s="18">
        <f>27.806+E59</f>
        <v>34.989000000000004</v>
      </c>
      <c r="F16" s="18">
        <f>32.043+F59</f>
        <v>24.143999999999998</v>
      </c>
      <c r="G16" s="7">
        <v>1</v>
      </c>
      <c r="H16" s="1">
        <v>40</v>
      </c>
      <c r="I16" s="1"/>
      <c r="J16" s="1"/>
      <c r="K16" s="1">
        <f t="shared" si="0"/>
        <v>34.989000000000004</v>
      </c>
      <c r="L16" s="1"/>
      <c r="M16" s="1"/>
      <c r="N16" s="1">
        <v>100</v>
      </c>
      <c r="O16" s="1">
        <f t="shared" si="1"/>
        <v>6.9978000000000007</v>
      </c>
      <c r="P16" s="5"/>
      <c r="Q16" s="5"/>
      <c r="R16" s="1"/>
      <c r="S16" s="1">
        <f t="shared" si="2"/>
        <v>17.740432707422332</v>
      </c>
      <c r="T16" s="1">
        <f t="shared" si="3"/>
        <v>17.740432707422332</v>
      </c>
      <c r="U16" s="1">
        <v>17.8386</v>
      </c>
      <c r="V16" s="1">
        <v>9.9391999999999996</v>
      </c>
      <c r="W16" s="1">
        <v>13.804</v>
      </c>
      <c r="X16" s="1">
        <v>16.576799999999999</v>
      </c>
      <c r="Y16" s="1">
        <v>18.571000000000002</v>
      </c>
      <c r="Z16" s="1">
        <v>28.954999999999998</v>
      </c>
      <c r="AA16" s="1">
        <v>28.401800000000001</v>
      </c>
      <c r="AB16" s="1">
        <v>0</v>
      </c>
      <c r="AC16" s="1"/>
      <c r="AD16" s="1">
        <f>G16*P16</f>
        <v>0</v>
      </c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52</v>
      </c>
      <c r="B17" s="1" t="s">
        <v>34</v>
      </c>
      <c r="C17" s="1"/>
      <c r="D17" s="1">
        <v>720</v>
      </c>
      <c r="E17" s="1">
        <v>528</v>
      </c>
      <c r="F17" s="1">
        <v>192</v>
      </c>
      <c r="G17" s="7">
        <v>0.35</v>
      </c>
      <c r="H17" s="1">
        <v>40</v>
      </c>
      <c r="I17" s="1"/>
      <c r="J17" s="1"/>
      <c r="K17" s="1">
        <f t="shared" si="0"/>
        <v>528</v>
      </c>
      <c r="L17" s="1"/>
      <c r="M17" s="1"/>
      <c r="N17" s="1">
        <v>285.71428571428572</v>
      </c>
      <c r="O17" s="1">
        <f t="shared" si="1"/>
        <v>105.6</v>
      </c>
      <c r="P17" s="5">
        <f>(10+T17)*O17-N17-F17</f>
        <v>1055.9999999999998</v>
      </c>
      <c r="Q17" s="5"/>
      <c r="R17" s="1"/>
      <c r="S17" s="1">
        <f t="shared" si="2"/>
        <v>14.523809523809524</v>
      </c>
      <c r="T17" s="1">
        <f t="shared" si="3"/>
        <v>4.5238095238095237</v>
      </c>
      <c r="U17" s="1">
        <v>21.2</v>
      </c>
      <c r="V17" s="1">
        <v>50.8</v>
      </c>
      <c r="W17" s="1">
        <v>50.4</v>
      </c>
      <c r="X17" s="1">
        <v>82.8</v>
      </c>
      <c r="Y17" s="1">
        <v>69.599999999999994</v>
      </c>
      <c r="Z17" s="1">
        <v>106.4</v>
      </c>
      <c r="AA17" s="1">
        <v>79</v>
      </c>
      <c r="AB17" s="1">
        <v>85.2</v>
      </c>
      <c r="AC17" s="1"/>
      <c r="AD17" s="1">
        <f>G17*P17</f>
        <v>369.59999999999991</v>
      </c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53</v>
      </c>
      <c r="B18" s="1" t="s">
        <v>38</v>
      </c>
      <c r="C18" s="1">
        <v>95.736999999999995</v>
      </c>
      <c r="D18" s="1">
        <v>101.15600000000001</v>
      </c>
      <c r="E18" s="18">
        <f>102.43+E60</f>
        <v>116.56400000000001</v>
      </c>
      <c r="F18" s="18">
        <f>56.169+F60</f>
        <v>31.042999999999996</v>
      </c>
      <c r="G18" s="7">
        <v>1</v>
      </c>
      <c r="H18" s="1">
        <v>40</v>
      </c>
      <c r="I18" s="1"/>
      <c r="J18" s="1"/>
      <c r="K18" s="1">
        <f t="shared" si="0"/>
        <v>116.56400000000001</v>
      </c>
      <c r="L18" s="1"/>
      <c r="M18" s="1"/>
      <c r="N18" s="1">
        <v>0</v>
      </c>
      <c r="O18" s="1">
        <f t="shared" si="1"/>
        <v>23.312800000000003</v>
      </c>
      <c r="P18" s="5">
        <f>11*O18-N18-F18</f>
        <v>225.39780000000002</v>
      </c>
      <c r="Q18" s="5"/>
      <c r="R18" s="1"/>
      <c r="S18" s="1">
        <f t="shared" si="2"/>
        <v>11</v>
      </c>
      <c r="T18" s="1">
        <f t="shared" si="3"/>
        <v>1.3315860814659755</v>
      </c>
      <c r="U18" s="1">
        <v>18.0686</v>
      </c>
      <c r="V18" s="1">
        <v>11.051</v>
      </c>
      <c r="W18" s="1">
        <v>16.8826</v>
      </c>
      <c r="X18" s="1">
        <v>14.519399999999999</v>
      </c>
      <c r="Y18" s="1">
        <v>19.543199999999999</v>
      </c>
      <c r="Z18" s="1">
        <v>27.794</v>
      </c>
      <c r="AA18" s="1">
        <v>30.1358</v>
      </c>
      <c r="AB18" s="1">
        <v>0</v>
      </c>
      <c r="AC18" s="1"/>
      <c r="AD18" s="1">
        <f>G18*P18</f>
        <v>225.39780000000002</v>
      </c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54</v>
      </c>
      <c r="B19" s="1" t="s">
        <v>34</v>
      </c>
      <c r="C19" s="1">
        <v>5</v>
      </c>
      <c r="D19" s="1">
        <v>432</v>
      </c>
      <c r="E19" s="18">
        <f>85+E61</f>
        <v>96</v>
      </c>
      <c r="F19" s="18">
        <f>351+F61</f>
        <v>335</v>
      </c>
      <c r="G19" s="7">
        <v>0.35</v>
      </c>
      <c r="H19" s="1">
        <v>40</v>
      </c>
      <c r="I19" s="1"/>
      <c r="J19" s="1"/>
      <c r="K19" s="1">
        <f t="shared" si="0"/>
        <v>96</v>
      </c>
      <c r="L19" s="1"/>
      <c r="M19" s="1"/>
      <c r="N19" s="1">
        <v>428.57142857142861</v>
      </c>
      <c r="O19" s="1">
        <f t="shared" si="1"/>
        <v>19.2</v>
      </c>
      <c r="P19" s="5"/>
      <c r="Q19" s="5"/>
      <c r="R19" s="1"/>
      <c r="S19" s="1">
        <f t="shared" si="2"/>
        <v>39.769345238095248</v>
      </c>
      <c r="T19" s="1">
        <f t="shared" si="3"/>
        <v>39.769345238095248</v>
      </c>
      <c r="U19" s="1">
        <v>29.8</v>
      </c>
      <c r="V19" s="1">
        <v>66.2</v>
      </c>
      <c r="W19" s="1">
        <v>22.8</v>
      </c>
      <c r="X19" s="1">
        <v>41</v>
      </c>
      <c r="Y19" s="1">
        <v>60.6</v>
      </c>
      <c r="Z19" s="1">
        <v>-3.2</v>
      </c>
      <c r="AA19" s="1">
        <v>-0.6</v>
      </c>
      <c r="AB19" s="1">
        <v>85.4</v>
      </c>
      <c r="AC19" s="1"/>
      <c r="AD19" s="1">
        <f>G19*P19</f>
        <v>0</v>
      </c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55</v>
      </c>
      <c r="B20" s="1" t="s">
        <v>38</v>
      </c>
      <c r="C20" s="1">
        <v>44.164000000000001</v>
      </c>
      <c r="D20" s="1">
        <v>106</v>
      </c>
      <c r="E20" s="1">
        <v>130.32599999999999</v>
      </c>
      <c r="F20" s="1">
        <v>-0.45600000000000002</v>
      </c>
      <c r="G20" s="7">
        <v>1</v>
      </c>
      <c r="H20" s="1">
        <v>40</v>
      </c>
      <c r="I20" s="1"/>
      <c r="J20" s="1"/>
      <c r="K20" s="1">
        <f t="shared" si="0"/>
        <v>130.32599999999999</v>
      </c>
      <c r="L20" s="1"/>
      <c r="M20" s="1"/>
      <c r="N20" s="1">
        <v>0</v>
      </c>
      <c r="O20" s="1">
        <f t="shared" si="1"/>
        <v>26.065199999999997</v>
      </c>
      <c r="P20" s="5">
        <f>10*O20-N20-F20</f>
        <v>261.108</v>
      </c>
      <c r="Q20" s="5"/>
      <c r="R20" s="1"/>
      <c r="S20" s="1">
        <f t="shared" si="2"/>
        <v>10</v>
      </c>
      <c r="T20" s="1">
        <f t="shared" si="3"/>
        <v>-1.7494590488467385E-2</v>
      </c>
      <c r="U20" s="1">
        <v>15.234400000000001</v>
      </c>
      <c r="V20" s="1">
        <v>11.714600000000001</v>
      </c>
      <c r="W20" s="1">
        <v>18.170000000000002</v>
      </c>
      <c r="X20" s="1">
        <v>16.2606</v>
      </c>
      <c r="Y20" s="1">
        <v>18.934999999999999</v>
      </c>
      <c r="Z20" s="1">
        <v>30.006599999999999</v>
      </c>
      <c r="AA20" s="1">
        <v>29.688800000000001</v>
      </c>
      <c r="AB20" s="1">
        <v>0</v>
      </c>
      <c r="AC20" s="1"/>
      <c r="AD20" s="1">
        <f>G20*P20</f>
        <v>261.108</v>
      </c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56</v>
      </c>
      <c r="B21" s="1" t="s">
        <v>38</v>
      </c>
      <c r="C21" s="1">
        <v>48.484000000000002</v>
      </c>
      <c r="D21" s="1">
        <v>65.159000000000006</v>
      </c>
      <c r="E21" s="1">
        <v>39.576000000000001</v>
      </c>
      <c r="F21" s="1">
        <v>60.088999999999999</v>
      </c>
      <c r="G21" s="7">
        <v>1</v>
      </c>
      <c r="H21" s="1">
        <v>45</v>
      </c>
      <c r="I21" s="1"/>
      <c r="J21" s="1"/>
      <c r="K21" s="1">
        <f t="shared" si="0"/>
        <v>39.576000000000001</v>
      </c>
      <c r="L21" s="1"/>
      <c r="M21" s="1"/>
      <c r="N21" s="1">
        <v>150</v>
      </c>
      <c r="O21" s="1">
        <f t="shared" si="1"/>
        <v>7.9152000000000005</v>
      </c>
      <c r="P21" s="5"/>
      <c r="Q21" s="5"/>
      <c r="R21" s="1"/>
      <c r="S21" s="1">
        <f t="shared" si="2"/>
        <v>26.542475237517685</v>
      </c>
      <c r="T21" s="1">
        <f t="shared" si="3"/>
        <v>26.542475237517685</v>
      </c>
      <c r="U21" s="1">
        <v>23.599599999999999</v>
      </c>
      <c r="V21" s="1">
        <v>7.7530000000000001</v>
      </c>
      <c r="W21" s="1">
        <v>9.8803999999999998</v>
      </c>
      <c r="X21" s="1">
        <v>17.6982</v>
      </c>
      <c r="Y21" s="1">
        <v>20.2302</v>
      </c>
      <c r="Z21" s="1">
        <v>30.508199999999999</v>
      </c>
      <c r="AA21" s="1">
        <v>29.3428</v>
      </c>
      <c r="AB21" s="1">
        <v>0</v>
      </c>
      <c r="AC21" s="1"/>
      <c r="AD21" s="1">
        <f>G21*P21</f>
        <v>0</v>
      </c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57</v>
      </c>
      <c r="B22" s="1" t="s">
        <v>34</v>
      </c>
      <c r="C22" s="1"/>
      <c r="D22" s="1">
        <v>100</v>
      </c>
      <c r="E22" s="1">
        <v>1</v>
      </c>
      <c r="F22" s="1">
        <v>98</v>
      </c>
      <c r="G22" s="7">
        <v>0.6</v>
      </c>
      <c r="H22" s="1">
        <v>45</v>
      </c>
      <c r="I22" s="1"/>
      <c r="J22" s="1"/>
      <c r="K22" s="1">
        <f t="shared" si="0"/>
        <v>1</v>
      </c>
      <c r="L22" s="1"/>
      <c r="M22" s="1"/>
      <c r="N22" s="1">
        <v>83.333333333333343</v>
      </c>
      <c r="O22" s="1">
        <f t="shared" si="1"/>
        <v>0.2</v>
      </c>
      <c r="P22" s="5"/>
      <c r="Q22" s="5"/>
      <c r="R22" s="1"/>
      <c r="S22" s="1">
        <f t="shared" si="2"/>
        <v>906.66666666666663</v>
      </c>
      <c r="T22" s="1">
        <f t="shared" si="3"/>
        <v>906.66666666666663</v>
      </c>
      <c r="U22" s="1">
        <v>2.2000000000000002</v>
      </c>
      <c r="V22" s="1">
        <v>13.4</v>
      </c>
      <c r="W22" s="1">
        <v>14</v>
      </c>
      <c r="X22" s="1">
        <v>8.6</v>
      </c>
      <c r="Y22" s="1">
        <v>15.2</v>
      </c>
      <c r="Z22" s="1">
        <v>-1.6</v>
      </c>
      <c r="AA22" s="1">
        <v>0.4</v>
      </c>
      <c r="AB22" s="1">
        <v>32.799999999999997</v>
      </c>
      <c r="AC22" s="1"/>
      <c r="AD22" s="1">
        <f>G22*P22</f>
        <v>0</v>
      </c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58</v>
      </c>
      <c r="B23" s="1" t="s">
        <v>34</v>
      </c>
      <c r="C23" s="1">
        <v>224</v>
      </c>
      <c r="D23" s="1"/>
      <c r="E23" s="18">
        <f>84+E62</f>
        <v>88</v>
      </c>
      <c r="F23" s="18">
        <f>113+F62</f>
        <v>109</v>
      </c>
      <c r="G23" s="7">
        <v>0.45</v>
      </c>
      <c r="H23" s="1">
        <v>45</v>
      </c>
      <c r="I23" s="1"/>
      <c r="J23" s="1"/>
      <c r="K23" s="1">
        <f t="shared" si="0"/>
        <v>88</v>
      </c>
      <c r="L23" s="1"/>
      <c r="M23" s="1"/>
      <c r="N23" s="1">
        <v>0</v>
      </c>
      <c r="O23" s="1">
        <f t="shared" si="1"/>
        <v>17.600000000000001</v>
      </c>
      <c r="P23" s="5">
        <f>(10+T23)*O23-N23-F23</f>
        <v>176</v>
      </c>
      <c r="Q23" s="5"/>
      <c r="R23" s="1"/>
      <c r="S23" s="1">
        <f t="shared" si="2"/>
        <v>16.193181818181817</v>
      </c>
      <c r="T23" s="1">
        <f t="shared" si="3"/>
        <v>6.1931818181818175</v>
      </c>
      <c r="U23" s="1">
        <v>11</v>
      </c>
      <c r="V23" s="1">
        <v>12.4</v>
      </c>
      <c r="W23" s="1">
        <v>13.2</v>
      </c>
      <c r="X23" s="1">
        <v>11.4</v>
      </c>
      <c r="Y23" s="1">
        <v>20.399999999999999</v>
      </c>
      <c r="Z23" s="1">
        <v>37.6</v>
      </c>
      <c r="AA23" s="1">
        <v>35</v>
      </c>
      <c r="AB23" s="1">
        <v>43.8</v>
      </c>
      <c r="AC23" s="1"/>
      <c r="AD23" s="1">
        <f>G23*P23</f>
        <v>79.2</v>
      </c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60</v>
      </c>
      <c r="B24" s="1" t="s">
        <v>38</v>
      </c>
      <c r="C24" s="1">
        <v>134.43899999999999</v>
      </c>
      <c r="D24" s="1">
        <v>308.38499999999999</v>
      </c>
      <c r="E24" s="18">
        <f>113.254+E63</f>
        <v>123.581</v>
      </c>
      <c r="F24" s="18">
        <f>308.908+F63</f>
        <v>295.63900000000001</v>
      </c>
      <c r="G24" s="7">
        <v>1</v>
      </c>
      <c r="H24" s="1">
        <v>45</v>
      </c>
      <c r="I24" s="1"/>
      <c r="J24" s="1"/>
      <c r="K24" s="1">
        <f t="shared" si="0"/>
        <v>123.581</v>
      </c>
      <c r="L24" s="1"/>
      <c r="M24" s="1"/>
      <c r="N24" s="1">
        <v>200</v>
      </c>
      <c r="O24" s="1">
        <f t="shared" si="1"/>
        <v>24.716200000000001</v>
      </c>
      <c r="P24" s="5"/>
      <c r="Q24" s="5"/>
      <c r="R24" s="1"/>
      <c r="S24" s="1">
        <f t="shared" si="2"/>
        <v>20.05320397148429</v>
      </c>
      <c r="T24" s="1">
        <f t="shared" si="3"/>
        <v>20.05320397148429</v>
      </c>
      <c r="U24" s="1">
        <v>25.936399999999999</v>
      </c>
      <c r="V24" s="1">
        <v>55.318600000000004</v>
      </c>
      <c r="W24" s="1">
        <v>8.5498000000000012</v>
      </c>
      <c r="X24" s="1">
        <v>0</v>
      </c>
      <c r="Y24" s="1">
        <v>18.121200000000002</v>
      </c>
      <c r="Z24" s="1">
        <v>42.95</v>
      </c>
      <c r="AA24" s="1">
        <v>61.126199999999997</v>
      </c>
      <c r="AB24" s="1">
        <v>54.539400000000001</v>
      </c>
      <c r="AC24" s="1" t="s">
        <v>61</v>
      </c>
      <c r="AD24" s="1">
        <f>G24*P24</f>
        <v>0</v>
      </c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62</v>
      </c>
      <c r="B25" s="1" t="s">
        <v>34</v>
      </c>
      <c r="C25" s="1">
        <v>6</v>
      </c>
      <c r="D25" s="1">
        <v>378</v>
      </c>
      <c r="E25" s="1">
        <v>365</v>
      </c>
      <c r="F25" s="1">
        <v>17</v>
      </c>
      <c r="G25" s="7">
        <v>0.4</v>
      </c>
      <c r="H25" s="1">
        <v>45</v>
      </c>
      <c r="I25" s="1"/>
      <c r="J25" s="1"/>
      <c r="K25" s="1">
        <f t="shared" si="0"/>
        <v>365</v>
      </c>
      <c r="L25" s="1"/>
      <c r="M25" s="1"/>
      <c r="N25" s="1">
        <v>300</v>
      </c>
      <c r="O25" s="1">
        <f t="shared" si="1"/>
        <v>73</v>
      </c>
      <c r="P25" s="5">
        <f t="shared" ref="P25:P26" si="6">(10+T25)*O25-N25-F25</f>
        <v>730</v>
      </c>
      <c r="Q25" s="5"/>
      <c r="R25" s="1"/>
      <c r="S25" s="1">
        <f t="shared" si="2"/>
        <v>14.342465753424657</v>
      </c>
      <c r="T25" s="1">
        <f t="shared" si="3"/>
        <v>4.3424657534246576</v>
      </c>
      <c r="U25" s="1">
        <v>25.4</v>
      </c>
      <c r="V25" s="1">
        <v>40.6</v>
      </c>
      <c r="W25" s="1">
        <v>44.6</v>
      </c>
      <c r="X25" s="1">
        <v>39.6</v>
      </c>
      <c r="Y25" s="1">
        <v>46.4</v>
      </c>
      <c r="Z25" s="1">
        <v>75.2</v>
      </c>
      <c r="AA25" s="1">
        <v>44.8</v>
      </c>
      <c r="AB25" s="1">
        <v>47.8</v>
      </c>
      <c r="AC25" s="1" t="s">
        <v>39</v>
      </c>
      <c r="AD25" s="1">
        <f>G25*P25</f>
        <v>292</v>
      </c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63</v>
      </c>
      <c r="B26" s="1" t="s">
        <v>34</v>
      </c>
      <c r="C26" s="1"/>
      <c r="D26" s="1">
        <v>378</v>
      </c>
      <c r="E26" s="18">
        <f>308+E64</f>
        <v>359</v>
      </c>
      <c r="F26" s="18">
        <f>51+F64</f>
        <v>0</v>
      </c>
      <c r="G26" s="7">
        <v>0.4</v>
      </c>
      <c r="H26" s="1">
        <v>45</v>
      </c>
      <c r="I26" s="1"/>
      <c r="J26" s="1"/>
      <c r="K26" s="1">
        <f t="shared" si="0"/>
        <v>359</v>
      </c>
      <c r="L26" s="1"/>
      <c r="M26" s="1"/>
      <c r="N26" s="1">
        <v>300</v>
      </c>
      <c r="O26" s="1">
        <f t="shared" si="1"/>
        <v>71.8</v>
      </c>
      <c r="P26" s="5">
        <f t="shared" si="6"/>
        <v>718</v>
      </c>
      <c r="Q26" s="5"/>
      <c r="R26" s="1"/>
      <c r="S26" s="1">
        <f t="shared" si="2"/>
        <v>14.178272980501394</v>
      </c>
      <c r="T26" s="1">
        <f t="shared" si="3"/>
        <v>4.1782729805013927</v>
      </c>
      <c r="U26" s="1">
        <v>16.8</v>
      </c>
      <c r="V26" s="1">
        <v>40.4</v>
      </c>
      <c r="W26" s="1">
        <v>49.8</v>
      </c>
      <c r="X26" s="1">
        <v>36</v>
      </c>
      <c r="Y26" s="1">
        <v>45</v>
      </c>
      <c r="Z26" s="1">
        <v>42</v>
      </c>
      <c r="AA26" s="1">
        <v>47.4</v>
      </c>
      <c r="AB26" s="1">
        <v>49.4</v>
      </c>
      <c r="AC26" s="1" t="s">
        <v>39</v>
      </c>
      <c r="AD26" s="1">
        <f>G26*P26</f>
        <v>287.2</v>
      </c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64</v>
      </c>
      <c r="B27" s="1" t="s">
        <v>38</v>
      </c>
      <c r="C27" s="1">
        <v>64</v>
      </c>
      <c r="D27" s="1"/>
      <c r="E27" s="1">
        <v>-8.234</v>
      </c>
      <c r="F27" s="1">
        <v>51.948</v>
      </c>
      <c r="G27" s="7">
        <v>1</v>
      </c>
      <c r="H27" s="1">
        <v>45</v>
      </c>
      <c r="I27" s="1"/>
      <c r="J27" s="1"/>
      <c r="K27" s="1">
        <f t="shared" si="0"/>
        <v>-8.234</v>
      </c>
      <c r="L27" s="1"/>
      <c r="M27" s="1"/>
      <c r="N27" s="1">
        <v>0</v>
      </c>
      <c r="O27" s="1">
        <f t="shared" si="1"/>
        <v>-1.6468</v>
      </c>
      <c r="P27" s="5"/>
      <c r="Q27" s="5"/>
      <c r="R27" s="1"/>
      <c r="S27" s="1">
        <f t="shared" si="2"/>
        <v>-31.544814185086228</v>
      </c>
      <c r="T27" s="1">
        <f t="shared" si="3"/>
        <v>-31.544814185086228</v>
      </c>
      <c r="U27" s="1">
        <v>3.5444</v>
      </c>
      <c r="V27" s="1">
        <v>5.8918000000000008</v>
      </c>
      <c r="W27" s="1">
        <v>1.589</v>
      </c>
      <c r="X27" s="1">
        <v>3.5724</v>
      </c>
      <c r="Y27" s="1">
        <v>7.2114000000000003</v>
      </c>
      <c r="Z27" s="1">
        <v>10.528</v>
      </c>
      <c r="AA27" s="1">
        <v>6.4802000000000008</v>
      </c>
      <c r="AB27" s="1">
        <v>0</v>
      </c>
      <c r="AC27" s="19" t="s">
        <v>42</v>
      </c>
      <c r="AD27" s="1">
        <f>G27*P27</f>
        <v>0</v>
      </c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65</v>
      </c>
      <c r="B28" s="1" t="s">
        <v>38</v>
      </c>
      <c r="C28" s="1">
        <v>48.58</v>
      </c>
      <c r="D28" s="1">
        <v>363.37200000000001</v>
      </c>
      <c r="E28" s="18">
        <f>234.252+E65</f>
        <v>260.50400000000002</v>
      </c>
      <c r="F28" s="18">
        <f>151.428+F65</f>
        <v>118.556</v>
      </c>
      <c r="G28" s="7">
        <v>1</v>
      </c>
      <c r="H28" s="1">
        <v>40</v>
      </c>
      <c r="I28" s="1"/>
      <c r="J28" s="1"/>
      <c r="K28" s="1">
        <f t="shared" si="0"/>
        <v>260.50400000000002</v>
      </c>
      <c r="L28" s="1"/>
      <c r="M28" s="1"/>
      <c r="N28" s="1">
        <v>200</v>
      </c>
      <c r="O28" s="1">
        <f t="shared" si="1"/>
        <v>52.100800000000007</v>
      </c>
      <c r="P28" s="5">
        <f>(10+T28)*O28-N28-F28</f>
        <v>521.00799999999992</v>
      </c>
      <c r="Q28" s="5"/>
      <c r="R28" s="1"/>
      <c r="S28" s="1">
        <f t="shared" si="2"/>
        <v>16.114224733593336</v>
      </c>
      <c r="T28" s="1">
        <f t="shared" si="3"/>
        <v>6.1142247335933408</v>
      </c>
      <c r="U28" s="1">
        <v>30.1144</v>
      </c>
      <c r="V28" s="1">
        <v>43.735199999999999</v>
      </c>
      <c r="W28" s="1">
        <v>32.511600000000001</v>
      </c>
      <c r="X28" s="1">
        <v>38.621600000000001</v>
      </c>
      <c r="Y28" s="1">
        <v>36.813200000000002</v>
      </c>
      <c r="Z28" s="1">
        <v>61.632800000000003</v>
      </c>
      <c r="AA28" s="1">
        <v>49.444000000000003</v>
      </c>
      <c r="AB28" s="1">
        <v>59.072999999999993</v>
      </c>
      <c r="AC28" s="1" t="s">
        <v>66</v>
      </c>
      <c r="AD28" s="1">
        <f>G28*P28</f>
        <v>521.00799999999992</v>
      </c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67</v>
      </c>
      <c r="B29" s="1" t="s">
        <v>34</v>
      </c>
      <c r="C29" s="1">
        <v>38</v>
      </c>
      <c r="D29" s="1">
        <v>252</v>
      </c>
      <c r="E29" s="18">
        <f>74+E66</f>
        <v>89</v>
      </c>
      <c r="F29" s="18">
        <f>172+F66</f>
        <v>148</v>
      </c>
      <c r="G29" s="7">
        <v>0.4</v>
      </c>
      <c r="H29" s="1">
        <v>40</v>
      </c>
      <c r="I29" s="1"/>
      <c r="J29" s="1"/>
      <c r="K29" s="1">
        <f t="shared" si="0"/>
        <v>89</v>
      </c>
      <c r="L29" s="1"/>
      <c r="M29" s="1"/>
      <c r="N29" s="1">
        <v>500</v>
      </c>
      <c r="O29" s="1">
        <f t="shared" si="1"/>
        <v>17.8</v>
      </c>
      <c r="P29" s="5"/>
      <c r="Q29" s="5"/>
      <c r="R29" s="1"/>
      <c r="S29" s="1">
        <f t="shared" si="2"/>
        <v>36.40449438202247</v>
      </c>
      <c r="T29" s="1">
        <f t="shared" si="3"/>
        <v>36.40449438202247</v>
      </c>
      <c r="U29" s="1">
        <v>43.6</v>
      </c>
      <c r="V29" s="1">
        <v>8</v>
      </c>
      <c r="W29" s="1">
        <v>13.4</v>
      </c>
      <c r="X29" s="1">
        <v>43.2</v>
      </c>
      <c r="Y29" s="1">
        <v>45</v>
      </c>
      <c r="Z29" s="1">
        <v>48.6</v>
      </c>
      <c r="AA29" s="1">
        <v>28.2</v>
      </c>
      <c r="AB29" s="1">
        <v>42</v>
      </c>
      <c r="AC29" s="1"/>
      <c r="AD29" s="1">
        <f>G29*P29</f>
        <v>0</v>
      </c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68</v>
      </c>
      <c r="B30" s="1" t="s">
        <v>38</v>
      </c>
      <c r="C30" s="1"/>
      <c r="D30" s="1">
        <v>496.721</v>
      </c>
      <c r="E30" s="18">
        <f>362+E67</f>
        <v>433.19299999999998</v>
      </c>
      <c r="F30" s="18">
        <f>78.532+F67</f>
        <v>7.3389999999999986</v>
      </c>
      <c r="G30" s="7">
        <v>1</v>
      </c>
      <c r="H30" s="1">
        <v>40</v>
      </c>
      <c r="I30" s="1"/>
      <c r="J30" s="1"/>
      <c r="K30" s="1">
        <f t="shared" si="0"/>
        <v>433.19299999999998</v>
      </c>
      <c r="L30" s="1"/>
      <c r="M30" s="1"/>
      <c r="N30" s="1">
        <v>200</v>
      </c>
      <c r="O30" s="1">
        <f t="shared" si="1"/>
        <v>86.638599999999997</v>
      </c>
      <c r="P30" s="5">
        <f>12*O30-N30-F30</f>
        <v>832.32420000000002</v>
      </c>
      <c r="Q30" s="5"/>
      <c r="R30" s="1"/>
      <c r="S30" s="1">
        <f t="shared" si="2"/>
        <v>12</v>
      </c>
      <c r="T30" s="1">
        <f t="shared" si="3"/>
        <v>2.3931480887271954</v>
      </c>
      <c r="U30" s="1">
        <v>36.289200000000001</v>
      </c>
      <c r="V30" s="1">
        <v>39.682399999999987</v>
      </c>
      <c r="W30" s="1">
        <v>51.965400000000002</v>
      </c>
      <c r="X30" s="1">
        <v>44.451999999999998</v>
      </c>
      <c r="Y30" s="1">
        <v>63.459200000000003</v>
      </c>
      <c r="Z30" s="1">
        <v>78.9392</v>
      </c>
      <c r="AA30" s="1">
        <v>45.481999999999999</v>
      </c>
      <c r="AB30" s="1">
        <v>78.061999999999998</v>
      </c>
      <c r="AC30" s="1"/>
      <c r="AD30" s="1">
        <f>G30*P30</f>
        <v>832.32420000000002</v>
      </c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69</v>
      </c>
      <c r="B31" s="1" t="s">
        <v>34</v>
      </c>
      <c r="C31" s="1">
        <v>263</v>
      </c>
      <c r="D31" s="1"/>
      <c r="E31" s="1">
        <v>73</v>
      </c>
      <c r="F31" s="1">
        <v>170</v>
      </c>
      <c r="G31" s="7">
        <v>0.35</v>
      </c>
      <c r="H31" s="1">
        <v>45</v>
      </c>
      <c r="I31" s="1"/>
      <c r="J31" s="1"/>
      <c r="K31" s="1">
        <f t="shared" si="0"/>
        <v>73</v>
      </c>
      <c r="L31" s="1"/>
      <c r="M31" s="1"/>
      <c r="N31" s="1">
        <v>0</v>
      </c>
      <c r="O31" s="1">
        <f t="shared" si="1"/>
        <v>14.6</v>
      </c>
      <c r="P31" s="5">
        <f t="shared" si="5"/>
        <v>92.800000000000011</v>
      </c>
      <c r="Q31" s="5"/>
      <c r="R31" s="1"/>
      <c r="S31" s="1">
        <f t="shared" si="2"/>
        <v>18</v>
      </c>
      <c r="T31" s="1">
        <f t="shared" si="3"/>
        <v>11.643835616438356</v>
      </c>
      <c r="U31" s="1">
        <v>13.4</v>
      </c>
      <c r="V31" s="1">
        <v>13</v>
      </c>
      <c r="W31" s="1">
        <v>5.8</v>
      </c>
      <c r="X31" s="1">
        <v>10.4</v>
      </c>
      <c r="Y31" s="1">
        <v>21.4</v>
      </c>
      <c r="Z31" s="1">
        <v>25.4</v>
      </c>
      <c r="AA31" s="1">
        <v>20.6</v>
      </c>
      <c r="AB31" s="1">
        <v>1.2</v>
      </c>
      <c r="AC31" s="20" t="s">
        <v>59</v>
      </c>
      <c r="AD31" s="1">
        <f>G31*P31</f>
        <v>32.480000000000004</v>
      </c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70</v>
      </c>
      <c r="B32" s="1" t="s">
        <v>38</v>
      </c>
      <c r="C32" s="1">
        <v>209.15</v>
      </c>
      <c r="D32" s="1">
        <v>107.4</v>
      </c>
      <c r="E32" s="18">
        <f>67.238+E68</f>
        <v>71.412000000000006</v>
      </c>
      <c r="F32" s="18">
        <f>187.409+F68</f>
        <v>183.23499999999999</v>
      </c>
      <c r="G32" s="7">
        <v>1</v>
      </c>
      <c r="H32" s="1">
        <v>45</v>
      </c>
      <c r="I32" s="1"/>
      <c r="J32" s="1"/>
      <c r="K32" s="1">
        <f t="shared" si="0"/>
        <v>71.412000000000006</v>
      </c>
      <c r="L32" s="1"/>
      <c r="M32" s="1"/>
      <c r="N32" s="1">
        <v>0</v>
      </c>
      <c r="O32" s="1">
        <f t="shared" si="1"/>
        <v>14.282400000000001</v>
      </c>
      <c r="P32" s="5">
        <f t="shared" si="5"/>
        <v>73.848200000000048</v>
      </c>
      <c r="Q32" s="5"/>
      <c r="R32" s="1"/>
      <c r="S32" s="1">
        <f t="shared" si="2"/>
        <v>18</v>
      </c>
      <c r="T32" s="1">
        <f t="shared" si="3"/>
        <v>12.829426426931047</v>
      </c>
      <c r="U32" s="1">
        <v>5.0250000000000004</v>
      </c>
      <c r="V32" s="1">
        <v>14.044600000000001</v>
      </c>
      <c r="W32" s="1">
        <v>22.450199999999999</v>
      </c>
      <c r="X32" s="1">
        <v>12.824400000000001</v>
      </c>
      <c r="Y32" s="1">
        <v>20.8032</v>
      </c>
      <c r="Z32" s="1">
        <v>46.749000000000002</v>
      </c>
      <c r="AA32" s="1">
        <v>38.573</v>
      </c>
      <c r="AB32" s="1">
        <v>62.840200000000003</v>
      </c>
      <c r="AC32" s="20" t="s">
        <v>59</v>
      </c>
      <c r="AD32" s="1">
        <f>G32*P32</f>
        <v>73.848200000000048</v>
      </c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71</v>
      </c>
      <c r="B33" s="1" t="s">
        <v>34</v>
      </c>
      <c r="C33" s="1">
        <v>6</v>
      </c>
      <c r="D33" s="1">
        <v>456</v>
      </c>
      <c r="E33" s="1">
        <v>300</v>
      </c>
      <c r="F33" s="1">
        <v>157</v>
      </c>
      <c r="G33" s="7">
        <v>0.45</v>
      </c>
      <c r="H33" s="1">
        <v>45</v>
      </c>
      <c r="I33" s="1"/>
      <c r="J33" s="1"/>
      <c r="K33" s="1">
        <f t="shared" si="0"/>
        <v>300</v>
      </c>
      <c r="L33" s="1"/>
      <c r="M33" s="1"/>
      <c r="N33" s="1">
        <v>0</v>
      </c>
      <c r="O33" s="1">
        <f t="shared" si="1"/>
        <v>60</v>
      </c>
      <c r="P33" s="5">
        <f t="shared" ref="P33:P34" si="7">(10+T33)*O33-N33-F33</f>
        <v>600</v>
      </c>
      <c r="Q33" s="5"/>
      <c r="R33" s="1"/>
      <c r="S33" s="1">
        <f t="shared" si="2"/>
        <v>12.616666666666667</v>
      </c>
      <c r="T33" s="1">
        <f t="shared" si="3"/>
        <v>2.6166666666666667</v>
      </c>
      <c r="U33" s="1">
        <v>29.2</v>
      </c>
      <c r="V33" s="1">
        <v>35.4</v>
      </c>
      <c r="W33" s="1">
        <v>32.6</v>
      </c>
      <c r="X33" s="1">
        <v>39</v>
      </c>
      <c r="Y33" s="1">
        <v>33.4</v>
      </c>
      <c r="Z33" s="1">
        <v>58.6</v>
      </c>
      <c r="AA33" s="1">
        <v>65</v>
      </c>
      <c r="AB33" s="1">
        <v>71.599999999999994</v>
      </c>
      <c r="AC33" s="1"/>
      <c r="AD33" s="1">
        <f>G33*P33</f>
        <v>270</v>
      </c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72</v>
      </c>
      <c r="B34" s="1" t="s">
        <v>38</v>
      </c>
      <c r="C34" s="1"/>
      <c r="D34" s="1">
        <v>810.70799999999997</v>
      </c>
      <c r="E34" s="1">
        <v>538.202</v>
      </c>
      <c r="F34" s="1">
        <v>261.49</v>
      </c>
      <c r="G34" s="7">
        <v>1</v>
      </c>
      <c r="H34" s="1">
        <v>45</v>
      </c>
      <c r="I34" s="1"/>
      <c r="J34" s="1"/>
      <c r="K34" s="1">
        <f t="shared" si="0"/>
        <v>538.202</v>
      </c>
      <c r="L34" s="1"/>
      <c r="M34" s="1"/>
      <c r="N34" s="1">
        <v>500</v>
      </c>
      <c r="O34" s="1">
        <f t="shared" si="1"/>
        <v>107.6404</v>
      </c>
      <c r="P34" s="5">
        <f t="shared" si="7"/>
        <v>1076.404</v>
      </c>
      <c r="Q34" s="5"/>
      <c r="R34" s="1"/>
      <c r="S34" s="1">
        <f t="shared" si="2"/>
        <v>17.074388426650216</v>
      </c>
      <c r="T34" s="1">
        <f t="shared" si="3"/>
        <v>7.0743884266502173</v>
      </c>
      <c r="U34" s="1">
        <v>63.856999999999992</v>
      </c>
      <c r="V34" s="1">
        <v>64.816000000000003</v>
      </c>
      <c r="W34" s="1">
        <v>101.94459999999999</v>
      </c>
      <c r="X34" s="1">
        <v>77.189400000000006</v>
      </c>
      <c r="Y34" s="1">
        <v>94.509199999999993</v>
      </c>
      <c r="Z34" s="1">
        <v>121.8096</v>
      </c>
      <c r="AA34" s="1">
        <v>118.0616</v>
      </c>
      <c r="AB34" s="1">
        <v>217.45419999999999</v>
      </c>
      <c r="AC34" s="1"/>
      <c r="AD34" s="1">
        <f>G34*P34</f>
        <v>1076.404</v>
      </c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73</v>
      </c>
      <c r="B35" s="1" t="s">
        <v>38</v>
      </c>
      <c r="C35" s="1">
        <v>33.866</v>
      </c>
      <c r="D35" s="1"/>
      <c r="E35" s="1">
        <v>-0.83799999999999997</v>
      </c>
      <c r="F35" s="1">
        <v>14.272</v>
      </c>
      <c r="G35" s="7">
        <v>1</v>
      </c>
      <c r="H35" s="1">
        <v>40</v>
      </c>
      <c r="I35" s="1"/>
      <c r="J35" s="1"/>
      <c r="K35" s="1">
        <f t="shared" si="0"/>
        <v>-0.83799999999999997</v>
      </c>
      <c r="L35" s="1"/>
      <c r="M35" s="1"/>
      <c r="N35" s="1">
        <v>70</v>
      </c>
      <c r="O35" s="1">
        <f t="shared" si="1"/>
        <v>-0.1676</v>
      </c>
      <c r="P35" s="5"/>
      <c r="Q35" s="5"/>
      <c r="R35" s="1"/>
      <c r="S35" s="1">
        <f t="shared" si="2"/>
        <v>-502.81622911694512</v>
      </c>
      <c r="T35" s="1">
        <f t="shared" si="3"/>
        <v>-502.81622911694512</v>
      </c>
      <c r="U35" s="1">
        <v>11.728400000000001</v>
      </c>
      <c r="V35" s="1">
        <v>0</v>
      </c>
      <c r="W35" s="1">
        <v>4.9908000000000001</v>
      </c>
      <c r="X35" s="1">
        <v>8.2157999999999998</v>
      </c>
      <c r="Y35" s="1">
        <v>9.1988000000000003</v>
      </c>
      <c r="Z35" s="1">
        <v>-4.9188000000000001</v>
      </c>
      <c r="AA35" s="1">
        <v>0</v>
      </c>
      <c r="AB35" s="1">
        <v>20.519600000000001</v>
      </c>
      <c r="AC35" s="1"/>
      <c r="AD35" s="1">
        <f>G35*P35</f>
        <v>0</v>
      </c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74</v>
      </c>
      <c r="B36" s="1" t="s">
        <v>34</v>
      </c>
      <c r="C36" s="1">
        <v>111</v>
      </c>
      <c r="D36" s="1">
        <v>500</v>
      </c>
      <c r="E36" s="1">
        <v>177</v>
      </c>
      <c r="F36" s="1">
        <v>385</v>
      </c>
      <c r="G36" s="7">
        <v>0.4</v>
      </c>
      <c r="H36" s="1">
        <v>55</v>
      </c>
      <c r="I36" s="1"/>
      <c r="J36" s="1"/>
      <c r="K36" s="1">
        <f t="shared" si="0"/>
        <v>177</v>
      </c>
      <c r="L36" s="1"/>
      <c r="M36" s="1"/>
      <c r="N36" s="1">
        <v>250</v>
      </c>
      <c r="O36" s="1">
        <f t="shared" si="1"/>
        <v>35.4</v>
      </c>
      <c r="P36" s="5"/>
      <c r="Q36" s="5"/>
      <c r="R36" s="1"/>
      <c r="S36" s="1">
        <f t="shared" si="2"/>
        <v>17.937853107344633</v>
      </c>
      <c r="T36" s="1">
        <f t="shared" si="3"/>
        <v>17.937853107344633</v>
      </c>
      <c r="U36" s="1">
        <v>31.6</v>
      </c>
      <c r="V36" s="1">
        <v>32.799999999999997</v>
      </c>
      <c r="W36" s="1">
        <v>35.799999999999997</v>
      </c>
      <c r="X36" s="1">
        <v>33.200000000000003</v>
      </c>
      <c r="Y36" s="1">
        <v>25</v>
      </c>
      <c r="Z36" s="1">
        <v>23.4</v>
      </c>
      <c r="AA36" s="1">
        <v>35</v>
      </c>
      <c r="AB36" s="1">
        <v>31.8</v>
      </c>
      <c r="AC36" s="1"/>
      <c r="AD36" s="1">
        <f>G36*P36</f>
        <v>0</v>
      </c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75</v>
      </c>
      <c r="B37" s="1" t="s">
        <v>38</v>
      </c>
      <c r="C37" s="1">
        <v>404.041</v>
      </c>
      <c r="D37" s="1">
        <v>307.37400000000002</v>
      </c>
      <c r="E37" s="18">
        <f>402.63+E69</f>
        <v>427.50200000000001</v>
      </c>
      <c r="F37" s="18">
        <f>263.709+F69</f>
        <v>218.88499999999999</v>
      </c>
      <c r="G37" s="7">
        <v>1</v>
      </c>
      <c r="H37" s="1">
        <v>60</v>
      </c>
      <c r="I37" s="1"/>
      <c r="J37" s="1"/>
      <c r="K37" s="1">
        <f t="shared" si="0"/>
        <v>427.50200000000001</v>
      </c>
      <c r="L37" s="1"/>
      <c r="M37" s="1"/>
      <c r="N37" s="1">
        <v>700</v>
      </c>
      <c r="O37" s="1">
        <f t="shared" si="1"/>
        <v>85.500399999999999</v>
      </c>
      <c r="P37" s="5">
        <f t="shared" si="5"/>
        <v>620.12220000000002</v>
      </c>
      <c r="Q37" s="5"/>
      <c r="R37" s="1"/>
      <c r="S37" s="1">
        <f t="shared" si="2"/>
        <v>18</v>
      </c>
      <c r="T37" s="1">
        <f t="shared" si="3"/>
        <v>10.747142703425949</v>
      </c>
      <c r="U37" s="1">
        <v>85.436199999999999</v>
      </c>
      <c r="V37" s="1">
        <v>56.302600000000012</v>
      </c>
      <c r="W37" s="1">
        <v>64.710799999999992</v>
      </c>
      <c r="X37" s="1">
        <v>58.065399999999997</v>
      </c>
      <c r="Y37" s="1">
        <v>95.907600000000002</v>
      </c>
      <c r="Z37" s="1">
        <v>42.9452</v>
      </c>
      <c r="AA37" s="1">
        <v>44.039400000000001</v>
      </c>
      <c r="AB37" s="1">
        <v>99.839399999999998</v>
      </c>
      <c r="AC37" s="1"/>
      <c r="AD37" s="1">
        <f>G37*P37</f>
        <v>620.12220000000002</v>
      </c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76</v>
      </c>
      <c r="B38" s="1" t="s">
        <v>34</v>
      </c>
      <c r="C38" s="1">
        <v>217</v>
      </c>
      <c r="D38" s="1"/>
      <c r="E38" s="1">
        <v>93</v>
      </c>
      <c r="F38" s="1">
        <v>89</v>
      </c>
      <c r="G38" s="7">
        <v>0.5</v>
      </c>
      <c r="H38" s="1">
        <v>60</v>
      </c>
      <c r="I38" s="1"/>
      <c r="J38" s="1"/>
      <c r="K38" s="1">
        <f t="shared" ref="K38:K50" si="8">E38-J38</f>
        <v>93</v>
      </c>
      <c r="L38" s="1"/>
      <c r="M38" s="1"/>
      <c r="N38" s="1">
        <v>200</v>
      </c>
      <c r="O38" s="1">
        <f t="shared" si="1"/>
        <v>18.600000000000001</v>
      </c>
      <c r="P38" s="5">
        <f t="shared" si="5"/>
        <v>45.800000000000011</v>
      </c>
      <c r="Q38" s="5"/>
      <c r="R38" s="1"/>
      <c r="S38" s="1">
        <f t="shared" si="2"/>
        <v>18</v>
      </c>
      <c r="T38" s="1">
        <f t="shared" si="3"/>
        <v>15.53763440860215</v>
      </c>
      <c r="U38" s="1">
        <v>17.399999999999999</v>
      </c>
      <c r="V38" s="1">
        <v>24.8</v>
      </c>
      <c r="W38" s="1">
        <v>20.2</v>
      </c>
      <c r="X38" s="1">
        <v>24.4</v>
      </c>
      <c r="Y38" s="1">
        <v>18.2</v>
      </c>
      <c r="Z38" s="1">
        <v>25.2</v>
      </c>
      <c r="AA38" s="1">
        <v>36.799999999999997</v>
      </c>
      <c r="AB38" s="1">
        <v>28</v>
      </c>
      <c r="AC38" s="1" t="s">
        <v>39</v>
      </c>
      <c r="AD38" s="1">
        <f>G38*P38</f>
        <v>22.900000000000006</v>
      </c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77</v>
      </c>
      <c r="B39" s="1" t="s">
        <v>38</v>
      </c>
      <c r="C39" s="1">
        <v>123.9</v>
      </c>
      <c r="D39" s="1">
        <v>1078.96</v>
      </c>
      <c r="E39" s="18">
        <f>356.597+E70</f>
        <v>392.74899999999997</v>
      </c>
      <c r="F39" s="18">
        <f>803.746+F70</f>
        <v>747.77</v>
      </c>
      <c r="G39" s="7">
        <v>1</v>
      </c>
      <c r="H39" s="1">
        <v>60</v>
      </c>
      <c r="I39" s="1"/>
      <c r="J39" s="1"/>
      <c r="K39" s="1">
        <f t="shared" si="8"/>
        <v>392.74899999999997</v>
      </c>
      <c r="L39" s="1"/>
      <c r="M39" s="1"/>
      <c r="N39" s="1">
        <v>0</v>
      </c>
      <c r="O39" s="1">
        <f t="shared" si="1"/>
        <v>78.549799999999991</v>
      </c>
      <c r="P39" s="5">
        <f t="shared" si="5"/>
        <v>666.12639999999988</v>
      </c>
      <c r="Q39" s="5"/>
      <c r="R39" s="1"/>
      <c r="S39" s="1">
        <f t="shared" si="2"/>
        <v>18</v>
      </c>
      <c r="T39" s="1">
        <f t="shared" si="3"/>
        <v>9.5196932391934812</v>
      </c>
      <c r="U39" s="1">
        <v>63.152200000000008</v>
      </c>
      <c r="V39" s="1">
        <v>80.092999999999989</v>
      </c>
      <c r="W39" s="1">
        <v>87.305800000000005</v>
      </c>
      <c r="X39" s="1">
        <v>43.424400000000013</v>
      </c>
      <c r="Y39" s="1">
        <v>122.80240000000001</v>
      </c>
      <c r="Z39" s="1">
        <v>82.569600000000008</v>
      </c>
      <c r="AA39" s="1">
        <v>82.569600000000008</v>
      </c>
      <c r="AB39" s="1">
        <v>54.171199999999999</v>
      </c>
      <c r="AC39" s="1"/>
      <c r="AD39" s="1">
        <f>G39*P39</f>
        <v>666.12639999999988</v>
      </c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78</v>
      </c>
      <c r="B40" s="1" t="s">
        <v>38</v>
      </c>
      <c r="C40" s="1">
        <v>226.25899999999999</v>
      </c>
      <c r="D40" s="1">
        <v>506.76</v>
      </c>
      <c r="E40" s="18">
        <f>237.903+E71</f>
        <v>303.012</v>
      </c>
      <c r="F40" s="18">
        <f>441.963+F71</f>
        <v>374.327</v>
      </c>
      <c r="G40" s="7">
        <v>1</v>
      </c>
      <c r="H40" s="1">
        <v>60</v>
      </c>
      <c r="I40" s="1"/>
      <c r="J40" s="1"/>
      <c r="K40" s="1">
        <f t="shared" si="8"/>
        <v>303.012</v>
      </c>
      <c r="L40" s="1"/>
      <c r="M40" s="1"/>
      <c r="N40" s="1">
        <v>500</v>
      </c>
      <c r="O40" s="1">
        <f t="shared" si="1"/>
        <v>60.602400000000003</v>
      </c>
      <c r="P40" s="5">
        <f t="shared" si="5"/>
        <v>216.51620000000003</v>
      </c>
      <c r="Q40" s="5"/>
      <c r="R40" s="1"/>
      <c r="S40" s="1">
        <f t="shared" si="2"/>
        <v>18</v>
      </c>
      <c r="T40" s="1">
        <f t="shared" si="3"/>
        <v>14.427266906921178</v>
      </c>
      <c r="U40" s="1">
        <v>64.268599999999992</v>
      </c>
      <c r="V40" s="1">
        <v>67.176999999999992</v>
      </c>
      <c r="W40" s="1">
        <v>61.669400000000003</v>
      </c>
      <c r="X40" s="1">
        <v>49.305399999999999</v>
      </c>
      <c r="Y40" s="1">
        <v>61.301200000000009</v>
      </c>
      <c r="Z40" s="1">
        <v>118.1164</v>
      </c>
      <c r="AA40" s="1">
        <v>112.1048</v>
      </c>
      <c r="AB40" s="1">
        <v>0</v>
      </c>
      <c r="AC40" s="1"/>
      <c r="AD40" s="1">
        <f>G40*P40</f>
        <v>216.51620000000003</v>
      </c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79</v>
      </c>
      <c r="B41" s="1" t="s">
        <v>34</v>
      </c>
      <c r="C41" s="1">
        <v>294</v>
      </c>
      <c r="D41" s="1">
        <v>500</v>
      </c>
      <c r="E41" s="18">
        <f>165+E72</f>
        <v>198</v>
      </c>
      <c r="F41" s="18">
        <f>573+F72</f>
        <v>534</v>
      </c>
      <c r="G41" s="7">
        <v>0.4</v>
      </c>
      <c r="H41" s="1">
        <v>60</v>
      </c>
      <c r="I41" s="1"/>
      <c r="J41" s="1"/>
      <c r="K41" s="1">
        <f t="shared" si="8"/>
        <v>198</v>
      </c>
      <c r="L41" s="1"/>
      <c r="M41" s="1"/>
      <c r="N41" s="1">
        <v>0</v>
      </c>
      <c r="O41" s="1">
        <f t="shared" si="1"/>
        <v>39.6</v>
      </c>
      <c r="P41" s="5">
        <f t="shared" si="5"/>
        <v>178.80000000000007</v>
      </c>
      <c r="Q41" s="5"/>
      <c r="R41" s="1"/>
      <c r="S41" s="1">
        <f t="shared" si="2"/>
        <v>18</v>
      </c>
      <c r="T41" s="1">
        <f t="shared" si="3"/>
        <v>13.484848484848484</v>
      </c>
      <c r="U41" s="1">
        <v>63</v>
      </c>
      <c r="V41" s="1">
        <v>83.8</v>
      </c>
      <c r="W41" s="1">
        <v>27.6</v>
      </c>
      <c r="X41" s="1">
        <v>0</v>
      </c>
      <c r="Y41" s="1">
        <v>-0.6</v>
      </c>
      <c r="Z41" s="1">
        <v>29.6</v>
      </c>
      <c r="AA41" s="1">
        <v>36.4</v>
      </c>
      <c r="AB41" s="1">
        <v>62</v>
      </c>
      <c r="AC41" s="1" t="s">
        <v>80</v>
      </c>
      <c r="AD41" s="1">
        <f>G41*P41</f>
        <v>71.520000000000024</v>
      </c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81</v>
      </c>
      <c r="B42" s="1" t="s">
        <v>38</v>
      </c>
      <c r="C42" s="1">
        <v>149.40899999999999</v>
      </c>
      <c r="D42" s="1">
        <v>1121.7529999999999</v>
      </c>
      <c r="E42" s="18">
        <f>470.371+E73</f>
        <v>561.93499999999995</v>
      </c>
      <c r="F42" s="18">
        <f>774.889+F73</f>
        <v>650.38900000000001</v>
      </c>
      <c r="G42" s="7">
        <v>1</v>
      </c>
      <c r="H42" s="1">
        <v>60</v>
      </c>
      <c r="I42" s="1"/>
      <c r="J42" s="1"/>
      <c r="K42" s="1">
        <f t="shared" si="8"/>
        <v>561.93499999999995</v>
      </c>
      <c r="L42" s="1"/>
      <c r="M42" s="1"/>
      <c r="N42" s="1">
        <v>400</v>
      </c>
      <c r="O42" s="1">
        <f t="shared" si="1"/>
        <v>112.38699999999999</v>
      </c>
      <c r="P42" s="5">
        <f t="shared" si="5"/>
        <v>972.57699999999966</v>
      </c>
      <c r="Q42" s="5"/>
      <c r="R42" s="1"/>
      <c r="S42" s="1">
        <f t="shared" si="2"/>
        <v>18</v>
      </c>
      <c r="T42" s="1">
        <f t="shared" si="3"/>
        <v>9.3461788285121958</v>
      </c>
      <c r="U42" s="1">
        <v>76.830799999999996</v>
      </c>
      <c r="V42" s="1">
        <v>99.215400000000002</v>
      </c>
      <c r="W42" s="1">
        <v>55.567799999999998</v>
      </c>
      <c r="X42" s="1">
        <v>8.0313999999999997</v>
      </c>
      <c r="Y42" s="1">
        <v>121.01779999999999</v>
      </c>
      <c r="Z42" s="1">
        <v>70.008200000000002</v>
      </c>
      <c r="AA42" s="1">
        <v>61.3202</v>
      </c>
      <c r="AB42" s="1">
        <v>71.735600000000005</v>
      </c>
      <c r="AC42" s="1"/>
      <c r="AD42" s="1">
        <f>G42*P42</f>
        <v>972.57699999999966</v>
      </c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82</v>
      </c>
      <c r="B43" s="1" t="s">
        <v>34</v>
      </c>
      <c r="C43" s="1">
        <v>93</v>
      </c>
      <c r="D43" s="1">
        <v>200</v>
      </c>
      <c r="E43" s="1">
        <v>60</v>
      </c>
      <c r="F43" s="1">
        <v>180</v>
      </c>
      <c r="G43" s="7">
        <v>0.5</v>
      </c>
      <c r="H43" s="1">
        <v>60</v>
      </c>
      <c r="I43" s="1"/>
      <c r="J43" s="1"/>
      <c r="K43" s="1">
        <f t="shared" si="8"/>
        <v>60</v>
      </c>
      <c r="L43" s="1"/>
      <c r="M43" s="1"/>
      <c r="N43" s="1">
        <v>300</v>
      </c>
      <c r="O43" s="1">
        <f t="shared" si="1"/>
        <v>12</v>
      </c>
      <c r="P43" s="5"/>
      <c r="Q43" s="5"/>
      <c r="R43" s="1"/>
      <c r="S43" s="1">
        <f t="shared" si="2"/>
        <v>40</v>
      </c>
      <c r="T43" s="1">
        <f t="shared" si="3"/>
        <v>40</v>
      </c>
      <c r="U43" s="1">
        <v>30</v>
      </c>
      <c r="V43" s="1">
        <v>14.6</v>
      </c>
      <c r="W43" s="1">
        <v>14.8</v>
      </c>
      <c r="X43" s="1">
        <v>26.4</v>
      </c>
      <c r="Y43" s="1">
        <v>17.600000000000001</v>
      </c>
      <c r="Z43" s="1">
        <v>-13</v>
      </c>
      <c r="AA43" s="1">
        <v>11.8</v>
      </c>
      <c r="AB43" s="1">
        <v>5.6</v>
      </c>
      <c r="AC43" s="1"/>
      <c r="AD43" s="1">
        <f>G43*P43</f>
        <v>0</v>
      </c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83</v>
      </c>
      <c r="B44" s="1" t="s">
        <v>34</v>
      </c>
      <c r="C44" s="1">
        <v>59</v>
      </c>
      <c r="D44" s="1"/>
      <c r="E44" s="1">
        <v>18</v>
      </c>
      <c r="F44" s="1"/>
      <c r="G44" s="7">
        <v>0.4</v>
      </c>
      <c r="H44" s="1">
        <v>50</v>
      </c>
      <c r="I44" s="1"/>
      <c r="J44" s="1"/>
      <c r="K44" s="1">
        <f t="shared" si="8"/>
        <v>18</v>
      </c>
      <c r="L44" s="1"/>
      <c r="M44" s="1"/>
      <c r="N44" s="1">
        <v>250</v>
      </c>
      <c r="O44" s="1">
        <f t="shared" si="1"/>
        <v>3.6</v>
      </c>
      <c r="P44" s="5"/>
      <c r="Q44" s="5"/>
      <c r="R44" s="1"/>
      <c r="S44" s="1">
        <f t="shared" si="2"/>
        <v>69.444444444444443</v>
      </c>
      <c r="T44" s="1">
        <f t="shared" si="3"/>
        <v>69.444444444444443</v>
      </c>
      <c r="U44" s="1">
        <v>18</v>
      </c>
      <c r="V44" s="1">
        <v>2</v>
      </c>
      <c r="W44" s="1">
        <v>14.8</v>
      </c>
      <c r="X44" s="1">
        <v>10</v>
      </c>
      <c r="Y44" s="1">
        <v>12.4</v>
      </c>
      <c r="Z44" s="1">
        <v>28.8</v>
      </c>
      <c r="AA44" s="1">
        <v>20.2</v>
      </c>
      <c r="AB44" s="1">
        <v>5.2</v>
      </c>
      <c r="AC44" s="1"/>
      <c r="AD44" s="1">
        <f>G44*P44</f>
        <v>0</v>
      </c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84</v>
      </c>
      <c r="B45" s="1" t="s">
        <v>38</v>
      </c>
      <c r="C45" s="1">
        <v>193.16399999999999</v>
      </c>
      <c r="D45" s="1">
        <v>1211.414</v>
      </c>
      <c r="E45" s="18">
        <f>680.2+E74</f>
        <v>785.529</v>
      </c>
      <c r="F45" s="18">
        <f>627.418+F74</f>
        <v>498.90700000000004</v>
      </c>
      <c r="G45" s="7">
        <v>1</v>
      </c>
      <c r="H45" s="1">
        <v>40</v>
      </c>
      <c r="I45" s="1"/>
      <c r="J45" s="1"/>
      <c r="K45" s="1">
        <f t="shared" si="8"/>
        <v>785.529</v>
      </c>
      <c r="L45" s="1"/>
      <c r="M45" s="1"/>
      <c r="N45" s="1">
        <v>600</v>
      </c>
      <c r="O45" s="1">
        <f t="shared" si="1"/>
        <v>157.10579999999999</v>
      </c>
      <c r="P45" s="5">
        <f>(10+T45)*O45-N45-F45</f>
        <v>1571.058</v>
      </c>
      <c r="Q45" s="5"/>
      <c r="R45" s="1"/>
      <c r="S45" s="1">
        <f t="shared" si="2"/>
        <v>16.994694021481067</v>
      </c>
      <c r="T45" s="1">
        <f t="shared" si="3"/>
        <v>6.9946940214810676</v>
      </c>
      <c r="U45" s="1">
        <v>121.3802</v>
      </c>
      <c r="V45" s="1">
        <v>149.50800000000001</v>
      </c>
      <c r="W45" s="1">
        <v>99.543199999999999</v>
      </c>
      <c r="X45" s="1">
        <v>122.8976</v>
      </c>
      <c r="Y45" s="1">
        <v>177.56960000000001</v>
      </c>
      <c r="Z45" s="1">
        <v>186.5068</v>
      </c>
      <c r="AA45" s="1">
        <v>178.52080000000001</v>
      </c>
      <c r="AB45" s="1">
        <v>241.73</v>
      </c>
      <c r="AC45" s="1" t="s">
        <v>85</v>
      </c>
      <c r="AD45" s="1">
        <f>G45*P45</f>
        <v>1571.058</v>
      </c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3" t="s">
        <v>86</v>
      </c>
      <c r="B46" s="1" t="s">
        <v>38</v>
      </c>
      <c r="C46" s="1"/>
      <c r="D46" s="1"/>
      <c r="E46" s="18">
        <f>E50</f>
        <v>265.90899999999999</v>
      </c>
      <c r="F46" s="18">
        <f>F50</f>
        <v>782.05499999999995</v>
      </c>
      <c r="G46" s="7">
        <v>1</v>
      </c>
      <c r="H46" s="1">
        <v>60</v>
      </c>
      <c r="I46" s="1" t="s">
        <v>87</v>
      </c>
      <c r="J46" s="1"/>
      <c r="K46" s="1">
        <f t="shared" si="8"/>
        <v>265.90899999999999</v>
      </c>
      <c r="L46" s="1"/>
      <c r="M46" s="1"/>
      <c r="N46" s="1">
        <v>300</v>
      </c>
      <c r="O46" s="1">
        <f t="shared" si="1"/>
        <v>53.181799999999996</v>
      </c>
      <c r="P46" s="5"/>
      <c r="Q46" s="5"/>
      <c r="R46" s="1"/>
      <c r="S46" s="1">
        <f t="shared" si="2"/>
        <v>20.346340289347108</v>
      </c>
      <c r="T46" s="1">
        <f t="shared" si="3"/>
        <v>20.346340289347108</v>
      </c>
      <c r="U46" s="1">
        <v>50.882399999999997</v>
      </c>
      <c r="V46" s="1">
        <v>72.921199999999999</v>
      </c>
      <c r="W46" s="1">
        <v>35.092599999999997</v>
      </c>
      <c r="X46" s="1">
        <v>0</v>
      </c>
      <c r="Y46" s="1">
        <v>63.048000000000002</v>
      </c>
      <c r="Z46" s="1">
        <v>34.984400000000008</v>
      </c>
      <c r="AA46" s="1">
        <v>39.599200000000003</v>
      </c>
      <c r="AB46" s="1">
        <v>11.9422</v>
      </c>
      <c r="AC46" s="1" t="s">
        <v>50</v>
      </c>
      <c r="AD46" s="1">
        <f>G46*P46</f>
        <v>0</v>
      </c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88</v>
      </c>
      <c r="B47" s="1" t="s">
        <v>38</v>
      </c>
      <c r="C47" s="1">
        <v>89.912999999999997</v>
      </c>
      <c r="D47" s="1">
        <v>553.976</v>
      </c>
      <c r="E47" s="18">
        <f>101.327+E75</f>
        <v>227.05199999999999</v>
      </c>
      <c r="F47" s="18">
        <f>519.731+F75</f>
        <v>336.06</v>
      </c>
      <c r="G47" s="7">
        <v>1</v>
      </c>
      <c r="H47" s="1">
        <v>70</v>
      </c>
      <c r="I47" s="1"/>
      <c r="J47" s="1"/>
      <c r="K47" s="1">
        <f t="shared" si="8"/>
        <v>227.05199999999999</v>
      </c>
      <c r="L47" s="1"/>
      <c r="M47" s="1"/>
      <c r="N47" s="1">
        <v>400</v>
      </c>
      <c r="O47" s="1">
        <f t="shared" si="1"/>
        <v>45.410399999999996</v>
      </c>
      <c r="P47" s="5">
        <f t="shared" si="5"/>
        <v>81.327199999999891</v>
      </c>
      <c r="Q47" s="5"/>
      <c r="R47" s="1"/>
      <c r="S47" s="1">
        <f t="shared" si="2"/>
        <v>18</v>
      </c>
      <c r="T47" s="1">
        <f t="shared" si="3"/>
        <v>16.209062241248702</v>
      </c>
      <c r="U47" s="1">
        <v>38.8108</v>
      </c>
      <c r="V47" s="1">
        <v>48.449599999999997</v>
      </c>
      <c r="W47" s="1">
        <v>16.1174</v>
      </c>
      <c r="X47" s="1">
        <v>20.751799999999999</v>
      </c>
      <c r="Y47" s="1">
        <v>45.137800000000013</v>
      </c>
      <c r="Z47" s="1">
        <v>-7.9296000000000006</v>
      </c>
      <c r="AA47" s="1">
        <v>24.040800000000001</v>
      </c>
      <c r="AB47" s="1">
        <v>74.7774</v>
      </c>
      <c r="AC47" s="1" t="s">
        <v>50</v>
      </c>
      <c r="AD47" s="1">
        <f>G47*P47</f>
        <v>81.327199999999891</v>
      </c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89</v>
      </c>
      <c r="B48" s="1" t="s">
        <v>34</v>
      </c>
      <c r="C48" s="1">
        <v>133</v>
      </c>
      <c r="D48" s="1">
        <v>882</v>
      </c>
      <c r="E48" s="18">
        <f>558+E76</f>
        <v>656</v>
      </c>
      <c r="F48" s="18">
        <f>346+F76</f>
        <v>228</v>
      </c>
      <c r="G48" s="7">
        <v>0.4</v>
      </c>
      <c r="H48" s="1">
        <v>40</v>
      </c>
      <c r="I48" s="1"/>
      <c r="J48" s="1"/>
      <c r="K48" s="1">
        <f t="shared" si="8"/>
        <v>656</v>
      </c>
      <c r="L48" s="1"/>
      <c r="M48" s="1"/>
      <c r="N48" s="1">
        <v>750</v>
      </c>
      <c r="O48" s="1">
        <f t="shared" si="1"/>
        <v>131.19999999999999</v>
      </c>
      <c r="P48" s="5">
        <f>(10+T48)*O48-N48-F48</f>
        <v>1311.9999999999995</v>
      </c>
      <c r="Q48" s="5"/>
      <c r="R48" s="1"/>
      <c r="S48" s="1">
        <f t="shared" si="2"/>
        <v>17.454268292682926</v>
      </c>
      <c r="T48" s="1">
        <f t="shared" si="3"/>
        <v>7.4542682926829276</v>
      </c>
      <c r="U48" s="1">
        <v>90.8</v>
      </c>
      <c r="V48" s="1">
        <v>120.6</v>
      </c>
      <c r="W48" s="1">
        <v>69</v>
      </c>
      <c r="X48" s="1">
        <v>90.4</v>
      </c>
      <c r="Y48" s="1">
        <v>106.2</v>
      </c>
      <c r="Z48" s="1">
        <v>97</v>
      </c>
      <c r="AA48" s="1">
        <v>107.6</v>
      </c>
      <c r="AB48" s="1">
        <v>227.8</v>
      </c>
      <c r="AC48" s="1"/>
      <c r="AD48" s="1">
        <f>G48*P48</f>
        <v>524.79999999999984</v>
      </c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90</v>
      </c>
      <c r="B49" s="1" t="s">
        <v>38</v>
      </c>
      <c r="C49" s="1">
        <v>114.476</v>
      </c>
      <c r="D49" s="1">
        <v>757.02</v>
      </c>
      <c r="E49" s="18">
        <f>275.861+E77</f>
        <v>332.447</v>
      </c>
      <c r="F49" s="18">
        <f>549.218+F77</f>
        <v>485.11599999999999</v>
      </c>
      <c r="G49" s="7">
        <v>1</v>
      </c>
      <c r="H49" s="1">
        <v>40</v>
      </c>
      <c r="I49" s="1"/>
      <c r="J49" s="1"/>
      <c r="K49" s="1">
        <f t="shared" si="8"/>
        <v>332.447</v>
      </c>
      <c r="L49" s="1"/>
      <c r="M49" s="1"/>
      <c r="N49" s="1">
        <v>300</v>
      </c>
      <c r="O49" s="1">
        <f t="shared" si="1"/>
        <v>66.489400000000003</v>
      </c>
      <c r="P49" s="5">
        <f t="shared" si="5"/>
        <v>411.69320000000016</v>
      </c>
      <c r="Q49" s="5"/>
      <c r="R49" s="1"/>
      <c r="S49" s="1">
        <f t="shared" si="2"/>
        <v>18</v>
      </c>
      <c r="T49" s="1">
        <f t="shared" si="3"/>
        <v>11.808137838512604</v>
      </c>
      <c r="U49" s="1">
        <v>46.83</v>
      </c>
      <c r="V49" s="1">
        <v>73.261200000000002</v>
      </c>
      <c r="W49" s="1">
        <v>38.764600000000002</v>
      </c>
      <c r="X49" s="1">
        <v>47.242800000000003</v>
      </c>
      <c r="Y49" s="1">
        <v>86.790400000000005</v>
      </c>
      <c r="Z49" s="1">
        <v>80.720399999999998</v>
      </c>
      <c r="AA49" s="1">
        <v>40.392000000000003</v>
      </c>
      <c r="AB49" s="1">
        <v>98.791799999999995</v>
      </c>
      <c r="AC49" s="1" t="s">
        <v>50</v>
      </c>
      <c r="AD49" s="1">
        <f>G49*P49</f>
        <v>411.69320000000016</v>
      </c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0" t="s">
        <v>91</v>
      </c>
      <c r="B50" s="10" t="s">
        <v>38</v>
      </c>
      <c r="C50" s="10">
        <v>275.55099999999999</v>
      </c>
      <c r="D50" s="10">
        <v>812.46900000000005</v>
      </c>
      <c r="E50" s="18">
        <v>265.90899999999999</v>
      </c>
      <c r="F50" s="18">
        <v>782.05499999999995</v>
      </c>
      <c r="G50" s="11">
        <v>0</v>
      </c>
      <c r="H50" s="10"/>
      <c r="I50" s="10" t="s">
        <v>92</v>
      </c>
      <c r="J50" s="10"/>
      <c r="K50" s="10">
        <f t="shared" si="8"/>
        <v>265.90899999999999</v>
      </c>
      <c r="L50" s="10"/>
      <c r="M50" s="10"/>
      <c r="N50" s="10"/>
      <c r="O50" s="10">
        <f t="shared" si="1"/>
        <v>53.181799999999996</v>
      </c>
      <c r="P50" s="12"/>
      <c r="Q50" s="12"/>
      <c r="R50" s="10"/>
      <c r="S50" s="10">
        <f t="shared" si="2"/>
        <v>14.705312719765033</v>
      </c>
      <c r="T50" s="10">
        <f t="shared" si="3"/>
        <v>14.705312719765033</v>
      </c>
      <c r="U50" s="10">
        <v>50.882399999999997</v>
      </c>
      <c r="V50" s="10">
        <v>72.921199999999999</v>
      </c>
      <c r="W50" s="10">
        <v>35.092599999999997</v>
      </c>
      <c r="X50" s="10">
        <v>47.344999999999999</v>
      </c>
      <c r="Y50" s="10">
        <v>63.048000000000002</v>
      </c>
      <c r="Z50" s="10">
        <v>34.984400000000008</v>
      </c>
      <c r="AA50" s="10">
        <v>39.599200000000003</v>
      </c>
      <c r="AB50" s="10">
        <v>59.841999999999999</v>
      </c>
      <c r="AC50" s="10"/>
      <c r="AD50" s="10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114</v>
      </c>
      <c r="B51" s="1" t="s">
        <v>38</v>
      </c>
      <c r="C51" s="1">
        <v>22.585999999999999</v>
      </c>
      <c r="D51" s="1">
        <v>106.502</v>
      </c>
      <c r="E51" s="1">
        <v>10.701000000000001</v>
      </c>
      <c r="F51" s="1">
        <v>102.267</v>
      </c>
      <c r="G51" s="7">
        <v>1</v>
      </c>
      <c r="H51" s="1">
        <v>50</v>
      </c>
      <c r="I51" s="1"/>
      <c r="J51" s="1"/>
      <c r="K51" s="1">
        <f t="shared" ref="K51:K57" si="9">E51-J51</f>
        <v>10.701000000000001</v>
      </c>
      <c r="L51" s="1"/>
      <c r="M51" s="1"/>
      <c r="N51" s="1">
        <v>100</v>
      </c>
      <c r="O51" s="1">
        <f t="shared" ref="O51:O57" si="10">E51/5</f>
        <v>2.1402000000000001</v>
      </c>
      <c r="P51" s="5"/>
      <c r="Q51" s="5"/>
      <c r="R51" s="1"/>
      <c r="S51" s="1">
        <f t="shared" ref="S51:S57" si="11">(F51+N51+P51)/O51</f>
        <v>94.508457153537051</v>
      </c>
      <c r="T51" s="1">
        <f t="shared" ref="T51:T57" si="12">(F51+N51)/O51</f>
        <v>94.508457153537051</v>
      </c>
      <c r="U51" s="1">
        <v>12.6754</v>
      </c>
      <c r="V51" s="1">
        <v>13.949400000000001</v>
      </c>
      <c r="W51" s="1">
        <v>8.5684000000000005</v>
      </c>
      <c r="X51" s="1">
        <v>9.5191999999999997</v>
      </c>
      <c r="Y51" s="1">
        <v>13.788</v>
      </c>
      <c r="Z51" s="1">
        <v>15.5586</v>
      </c>
      <c r="AA51" s="1">
        <v>12.621600000000001</v>
      </c>
      <c r="AB51" s="1">
        <v>21.080400000000001</v>
      </c>
      <c r="AC51" s="1"/>
      <c r="AD51" s="1">
        <f>G51*P51</f>
        <v>0</v>
      </c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115</v>
      </c>
      <c r="B52" s="1" t="s">
        <v>34</v>
      </c>
      <c r="C52" s="1">
        <v>168</v>
      </c>
      <c r="D52" s="1">
        <v>230</v>
      </c>
      <c r="E52" s="1">
        <v>113</v>
      </c>
      <c r="F52" s="1">
        <v>229</v>
      </c>
      <c r="G52" s="7">
        <v>0.45</v>
      </c>
      <c r="H52" s="1">
        <v>50</v>
      </c>
      <c r="I52" s="1"/>
      <c r="J52" s="1"/>
      <c r="K52" s="1">
        <f t="shared" si="9"/>
        <v>113</v>
      </c>
      <c r="L52" s="1"/>
      <c r="M52" s="1"/>
      <c r="N52" s="1">
        <v>0</v>
      </c>
      <c r="O52" s="1">
        <f t="shared" si="10"/>
        <v>22.6</v>
      </c>
      <c r="P52" s="5">
        <f t="shared" ref="P51:P57" si="13">18*O52-N52-F52</f>
        <v>177.8</v>
      </c>
      <c r="Q52" s="5"/>
      <c r="R52" s="1"/>
      <c r="S52" s="1">
        <f t="shared" si="11"/>
        <v>18</v>
      </c>
      <c r="T52" s="1">
        <f t="shared" si="12"/>
        <v>10.132743362831858</v>
      </c>
      <c r="U52" s="1">
        <v>24.6</v>
      </c>
      <c r="V52" s="1">
        <v>28.8</v>
      </c>
      <c r="W52" s="1">
        <v>24</v>
      </c>
      <c r="X52" s="1">
        <v>33.799999999999997</v>
      </c>
      <c r="Y52" s="1">
        <v>31.2</v>
      </c>
      <c r="Z52" s="1">
        <v>35</v>
      </c>
      <c r="AA52" s="1">
        <v>57</v>
      </c>
      <c r="AB52" s="1">
        <v>54.4</v>
      </c>
      <c r="AC52" s="1"/>
      <c r="AD52" s="1">
        <f>G52*P52</f>
        <v>80.010000000000005</v>
      </c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116</v>
      </c>
      <c r="B53" s="1" t="s">
        <v>34</v>
      </c>
      <c r="C53" s="1">
        <v>95</v>
      </c>
      <c r="D53" s="1">
        <v>250</v>
      </c>
      <c r="E53" s="1">
        <v>231</v>
      </c>
      <c r="F53" s="1">
        <v>47</v>
      </c>
      <c r="G53" s="7">
        <v>0.4</v>
      </c>
      <c r="H53" s="1">
        <v>50</v>
      </c>
      <c r="I53" s="1"/>
      <c r="J53" s="1"/>
      <c r="K53" s="1">
        <f t="shared" si="9"/>
        <v>231</v>
      </c>
      <c r="L53" s="1"/>
      <c r="M53" s="1"/>
      <c r="N53" s="1">
        <v>250</v>
      </c>
      <c r="O53" s="1">
        <f t="shared" si="10"/>
        <v>46.2</v>
      </c>
      <c r="P53" s="5">
        <f>(10+T53)*O53-N53-F53</f>
        <v>462</v>
      </c>
      <c r="Q53" s="5"/>
      <c r="R53" s="1"/>
      <c r="S53" s="1">
        <f t="shared" si="11"/>
        <v>16.428571428571427</v>
      </c>
      <c r="T53" s="1">
        <f t="shared" si="12"/>
        <v>6.4285714285714279</v>
      </c>
      <c r="U53" s="1">
        <v>43.4</v>
      </c>
      <c r="V53" s="1">
        <v>23.2</v>
      </c>
      <c r="W53" s="1">
        <v>34.6</v>
      </c>
      <c r="X53" s="1">
        <v>26.6</v>
      </c>
      <c r="Y53" s="1">
        <v>43.2</v>
      </c>
      <c r="Z53" s="1">
        <v>71</v>
      </c>
      <c r="AA53" s="1">
        <v>57.8</v>
      </c>
      <c r="AB53" s="1">
        <v>48.6</v>
      </c>
      <c r="AC53" s="1"/>
      <c r="AD53" s="1">
        <f>G53*P53</f>
        <v>184.8</v>
      </c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117</v>
      </c>
      <c r="B54" s="1" t="s">
        <v>38</v>
      </c>
      <c r="C54" s="1">
        <v>45.241999999999997</v>
      </c>
      <c r="D54" s="1">
        <v>105.02800000000001</v>
      </c>
      <c r="E54" s="1">
        <v>37.473999999999997</v>
      </c>
      <c r="F54" s="1">
        <v>100.812</v>
      </c>
      <c r="G54" s="7">
        <v>1</v>
      </c>
      <c r="H54" s="1">
        <v>50</v>
      </c>
      <c r="I54" s="1"/>
      <c r="J54" s="1"/>
      <c r="K54" s="1">
        <f t="shared" si="9"/>
        <v>37.473999999999997</v>
      </c>
      <c r="L54" s="1"/>
      <c r="M54" s="1"/>
      <c r="N54" s="1">
        <v>150</v>
      </c>
      <c r="O54" s="1">
        <f t="shared" si="10"/>
        <v>7.4947999999999997</v>
      </c>
      <c r="P54" s="5"/>
      <c r="Q54" s="5"/>
      <c r="R54" s="1"/>
      <c r="S54" s="1">
        <f t="shared" si="11"/>
        <v>33.464802262902282</v>
      </c>
      <c r="T54" s="1">
        <f t="shared" si="12"/>
        <v>33.464802262902282</v>
      </c>
      <c r="U54" s="1">
        <v>17.145800000000001</v>
      </c>
      <c r="V54" s="1">
        <v>15.8568</v>
      </c>
      <c r="W54" s="1">
        <v>8.4109999999999996</v>
      </c>
      <c r="X54" s="1">
        <v>12.446400000000001</v>
      </c>
      <c r="Y54" s="1">
        <v>12.026999999999999</v>
      </c>
      <c r="Z54" s="1">
        <v>24.9512</v>
      </c>
      <c r="AA54" s="1">
        <v>21.7942</v>
      </c>
      <c r="AB54" s="1">
        <v>20.4556</v>
      </c>
      <c r="AC54" s="1"/>
      <c r="AD54" s="1">
        <f>G54*P54</f>
        <v>0</v>
      </c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118</v>
      </c>
      <c r="B55" s="1" t="s">
        <v>34</v>
      </c>
      <c r="C55" s="1"/>
      <c r="D55" s="1">
        <v>900</v>
      </c>
      <c r="E55" s="1">
        <v>516</v>
      </c>
      <c r="F55" s="1">
        <v>384</v>
      </c>
      <c r="G55" s="7">
        <v>0.45</v>
      </c>
      <c r="H55" s="1">
        <v>50</v>
      </c>
      <c r="I55" s="1"/>
      <c r="J55" s="1"/>
      <c r="K55" s="1">
        <f t="shared" si="9"/>
        <v>516</v>
      </c>
      <c r="L55" s="1"/>
      <c r="M55" s="1"/>
      <c r="N55" s="1">
        <v>333.33333333333331</v>
      </c>
      <c r="O55" s="1">
        <f t="shared" si="10"/>
        <v>103.2</v>
      </c>
      <c r="P55" s="5">
        <f>(10+T55)*O55-N55-F55</f>
        <v>1031.9999999999998</v>
      </c>
      <c r="Q55" s="5"/>
      <c r="R55" s="1"/>
      <c r="S55" s="1">
        <f t="shared" si="11"/>
        <v>16.950904392764855</v>
      </c>
      <c r="T55" s="1">
        <f t="shared" si="12"/>
        <v>6.9509043927648566</v>
      </c>
      <c r="U55" s="1">
        <v>25.4</v>
      </c>
      <c r="V55" s="1">
        <v>55.8</v>
      </c>
      <c r="W55" s="1">
        <v>68</v>
      </c>
      <c r="X55" s="1">
        <v>65.2</v>
      </c>
      <c r="Y55" s="1">
        <v>53.2</v>
      </c>
      <c r="Z55" s="1">
        <v>106.2</v>
      </c>
      <c r="AA55" s="1">
        <v>81.599999999999994</v>
      </c>
      <c r="AB55" s="1">
        <v>88.6</v>
      </c>
      <c r="AC55" s="1" t="s">
        <v>50</v>
      </c>
      <c r="AD55" s="1">
        <f>G55*P55</f>
        <v>464.39999999999992</v>
      </c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119</v>
      </c>
      <c r="B56" s="1" t="s">
        <v>34</v>
      </c>
      <c r="C56" s="1">
        <v>186</v>
      </c>
      <c r="D56" s="1"/>
      <c r="E56" s="1">
        <v>53</v>
      </c>
      <c r="F56" s="1">
        <v>115</v>
      </c>
      <c r="G56" s="7">
        <v>0.17</v>
      </c>
      <c r="H56" s="1">
        <v>180</v>
      </c>
      <c r="I56" s="1"/>
      <c r="J56" s="1"/>
      <c r="K56" s="1">
        <f t="shared" si="9"/>
        <v>53</v>
      </c>
      <c r="L56" s="1"/>
      <c r="M56" s="1"/>
      <c r="N56" s="1">
        <v>0</v>
      </c>
      <c r="O56" s="1">
        <f t="shared" si="10"/>
        <v>10.6</v>
      </c>
      <c r="P56" s="5">
        <f t="shared" si="13"/>
        <v>75.799999999999983</v>
      </c>
      <c r="Q56" s="5"/>
      <c r="R56" s="1"/>
      <c r="S56" s="1">
        <f t="shared" si="11"/>
        <v>18</v>
      </c>
      <c r="T56" s="1">
        <f t="shared" si="12"/>
        <v>10.849056603773585</v>
      </c>
      <c r="U56" s="1">
        <v>6.6</v>
      </c>
      <c r="V56" s="1">
        <v>16</v>
      </c>
      <c r="W56" s="1">
        <v>13</v>
      </c>
      <c r="X56" s="1">
        <v>6</v>
      </c>
      <c r="Y56" s="1">
        <v>7.2</v>
      </c>
      <c r="Z56" s="1">
        <v>11.4</v>
      </c>
      <c r="AA56" s="1">
        <v>8</v>
      </c>
      <c r="AB56" s="1">
        <v>3.2</v>
      </c>
      <c r="AC56" s="20" t="s">
        <v>59</v>
      </c>
      <c r="AD56" s="1">
        <f>G56*P56</f>
        <v>12.885999999999997</v>
      </c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120</v>
      </c>
      <c r="B57" s="1" t="s">
        <v>34</v>
      </c>
      <c r="C57" s="1">
        <v>321</v>
      </c>
      <c r="D57" s="1"/>
      <c r="E57" s="1">
        <v>83</v>
      </c>
      <c r="F57" s="1">
        <v>205</v>
      </c>
      <c r="G57" s="7">
        <v>0.17</v>
      </c>
      <c r="H57" s="1">
        <v>180</v>
      </c>
      <c r="I57" s="1"/>
      <c r="J57" s="1"/>
      <c r="K57" s="1">
        <f t="shared" si="9"/>
        <v>83</v>
      </c>
      <c r="L57" s="1"/>
      <c r="M57" s="1"/>
      <c r="N57" s="1">
        <v>294.11764705882348</v>
      </c>
      <c r="O57" s="1">
        <f t="shared" si="10"/>
        <v>16.600000000000001</v>
      </c>
      <c r="P57" s="5"/>
      <c r="Q57" s="5"/>
      <c r="R57" s="1"/>
      <c r="S57" s="1">
        <f t="shared" si="11"/>
        <v>30.067328136073701</v>
      </c>
      <c r="T57" s="1">
        <f t="shared" si="12"/>
        <v>30.067328136073701</v>
      </c>
      <c r="U57" s="1">
        <v>26.4</v>
      </c>
      <c r="V57" s="1">
        <v>16.399999999999999</v>
      </c>
      <c r="W57" s="1">
        <v>19.600000000000001</v>
      </c>
      <c r="X57" s="1">
        <v>0</v>
      </c>
      <c r="Y57" s="1">
        <v>34</v>
      </c>
      <c r="Z57" s="1">
        <v>0</v>
      </c>
      <c r="AA57" s="1">
        <v>10.6</v>
      </c>
      <c r="AB57" s="1">
        <v>11</v>
      </c>
      <c r="AC57" s="17" t="s">
        <v>59</v>
      </c>
      <c r="AD57" s="1">
        <f>G57*P57</f>
        <v>0</v>
      </c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4" t="s">
        <v>93</v>
      </c>
      <c r="B58" s="14" t="s">
        <v>38</v>
      </c>
      <c r="C58" s="14">
        <v>-7.5279999999999996</v>
      </c>
      <c r="D58" s="14"/>
      <c r="E58" s="18">
        <v>54.956000000000003</v>
      </c>
      <c r="F58" s="18">
        <v>-67.480999999999995</v>
      </c>
      <c r="G58" s="15">
        <v>0</v>
      </c>
      <c r="H58" s="14"/>
      <c r="I58" s="14" t="s">
        <v>94</v>
      </c>
      <c r="J58" s="14"/>
      <c r="K58" s="14">
        <f>E58-J58</f>
        <v>54.956000000000003</v>
      </c>
      <c r="L58" s="14"/>
      <c r="M58" s="14"/>
      <c r="N58" s="14"/>
      <c r="O58" s="14">
        <f>E58/5</f>
        <v>10.991200000000001</v>
      </c>
      <c r="P58" s="16"/>
      <c r="Q58" s="16"/>
      <c r="R58" s="14"/>
      <c r="S58" s="14">
        <f>(F58+N58+P58)/O58</f>
        <v>-6.1395480020379933</v>
      </c>
      <c r="T58" s="14">
        <f>(F58+N58)/O58</f>
        <v>-6.1395480020379933</v>
      </c>
      <c r="U58" s="14">
        <v>10.4558</v>
      </c>
      <c r="V58" s="14">
        <v>22.629000000000001</v>
      </c>
      <c r="W58" s="14">
        <v>11.0336</v>
      </c>
      <c r="X58" s="14">
        <v>5.0026000000000002</v>
      </c>
      <c r="Y58" s="14">
        <v>19.802800000000001</v>
      </c>
      <c r="Z58" s="14">
        <v>14.9948</v>
      </c>
      <c r="AA58" s="14">
        <v>14.9948</v>
      </c>
      <c r="AB58" s="14">
        <v>2.9929999999999999</v>
      </c>
      <c r="AC58" s="14"/>
      <c r="AD58" s="14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4" t="s">
        <v>95</v>
      </c>
      <c r="B59" s="14" t="s">
        <v>38</v>
      </c>
      <c r="C59" s="14"/>
      <c r="D59" s="14"/>
      <c r="E59" s="18">
        <v>7.1829999999999998</v>
      </c>
      <c r="F59" s="18">
        <v>-7.899</v>
      </c>
      <c r="G59" s="15">
        <v>0</v>
      </c>
      <c r="H59" s="14"/>
      <c r="I59" s="14" t="s">
        <v>94</v>
      </c>
      <c r="J59" s="14"/>
      <c r="K59" s="14">
        <f>E59-J59</f>
        <v>7.1829999999999998</v>
      </c>
      <c r="L59" s="14"/>
      <c r="M59" s="14"/>
      <c r="N59" s="14"/>
      <c r="O59" s="14">
        <f>E59/5</f>
        <v>1.4365999999999999</v>
      </c>
      <c r="P59" s="16"/>
      <c r="Q59" s="16"/>
      <c r="R59" s="14"/>
      <c r="S59" s="14">
        <f>(F59+N59+P59)/O59</f>
        <v>-5.4983989976333012</v>
      </c>
      <c r="T59" s="14">
        <f>(F59+N59)/O59</f>
        <v>-5.4983989976333012</v>
      </c>
      <c r="U59" s="14">
        <v>0.14319999999999999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/>
      <c r="AD59" s="14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4" t="s">
        <v>96</v>
      </c>
      <c r="B60" s="14" t="s">
        <v>38</v>
      </c>
      <c r="C60" s="14">
        <v>-10.266999999999999</v>
      </c>
      <c r="D60" s="14"/>
      <c r="E60" s="18">
        <v>14.134</v>
      </c>
      <c r="F60" s="18">
        <v>-25.126000000000001</v>
      </c>
      <c r="G60" s="15">
        <v>0</v>
      </c>
      <c r="H60" s="14"/>
      <c r="I60" s="14" t="s">
        <v>94</v>
      </c>
      <c r="J60" s="14"/>
      <c r="K60" s="14">
        <f>E60-J60</f>
        <v>14.134</v>
      </c>
      <c r="L60" s="14"/>
      <c r="M60" s="14"/>
      <c r="N60" s="14"/>
      <c r="O60" s="14">
        <f>E60/5</f>
        <v>2.8268</v>
      </c>
      <c r="P60" s="16"/>
      <c r="Q60" s="16"/>
      <c r="R60" s="14"/>
      <c r="S60" s="14">
        <f>(F60+N60+P60)/O60</f>
        <v>-8.8884958256686009</v>
      </c>
      <c r="T60" s="14">
        <f>(F60+N60)/O60</f>
        <v>-8.8884958256686009</v>
      </c>
      <c r="U60" s="14">
        <v>3.0638000000000001</v>
      </c>
      <c r="V60" s="14">
        <v>1.4334</v>
      </c>
      <c r="W60" s="14">
        <v>2.5941999999999998</v>
      </c>
      <c r="X60" s="14">
        <v>5.0939999999999994</v>
      </c>
      <c r="Y60" s="14">
        <v>3.3668</v>
      </c>
      <c r="Z60" s="14">
        <v>5.5082000000000004</v>
      </c>
      <c r="AA60" s="14">
        <v>5.5082000000000004</v>
      </c>
      <c r="AB60" s="14">
        <v>0</v>
      </c>
      <c r="AC60" s="14"/>
      <c r="AD60" s="14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4" t="s">
        <v>97</v>
      </c>
      <c r="B61" s="14" t="s">
        <v>34</v>
      </c>
      <c r="C61" s="14">
        <v>-5</v>
      </c>
      <c r="D61" s="14"/>
      <c r="E61" s="18">
        <v>11</v>
      </c>
      <c r="F61" s="18">
        <v>-16</v>
      </c>
      <c r="G61" s="15">
        <v>0</v>
      </c>
      <c r="H61" s="14"/>
      <c r="I61" s="14" t="s">
        <v>94</v>
      </c>
      <c r="J61" s="14"/>
      <c r="K61" s="14">
        <f>E61-J61</f>
        <v>11</v>
      </c>
      <c r="L61" s="14"/>
      <c r="M61" s="14"/>
      <c r="N61" s="14"/>
      <c r="O61" s="14">
        <f>E61/5</f>
        <v>2.2000000000000002</v>
      </c>
      <c r="P61" s="16"/>
      <c r="Q61" s="16"/>
      <c r="R61" s="14"/>
      <c r="S61" s="14">
        <f>(F61+N61+P61)/O61</f>
        <v>-7.2727272727272725</v>
      </c>
      <c r="T61" s="14">
        <f>(F61+N61)/O61</f>
        <v>-7.2727272727272725</v>
      </c>
      <c r="U61" s="14">
        <v>3.4</v>
      </c>
      <c r="V61" s="14">
        <v>10.8</v>
      </c>
      <c r="W61" s="14">
        <v>2.4</v>
      </c>
      <c r="X61" s="14">
        <v>6.6</v>
      </c>
      <c r="Y61" s="14">
        <v>6.8</v>
      </c>
      <c r="Z61" s="14">
        <v>0</v>
      </c>
      <c r="AA61" s="14">
        <v>0</v>
      </c>
      <c r="AB61" s="14">
        <v>0</v>
      </c>
      <c r="AC61" s="14"/>
      <c r="AD61" s="14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4" t="s">
        <v>98</v>
      </c>
      <c r="B62" s="14"/>
      <c r="C62" s="14"/>
      <c r="D62" s="14"/>
      <c r="E62" s="18">
        <v>4</v>
      </c>
      <c r="F62" s="18">
        <v>-4</v>
      </c>
      <c r="G62" s="15">
        <v>0</v>
      </c>
      <c r="H62" s="14"/>
      <c r="I62" s="14" t="s">
        <v>94</v>
      </c>
      <c r="J62" s="14"/>
      <c r="K62" s="14">
        <f>E62-J62</f>
        <v>4</v>
      </c>
      <c r="L62" s="14"/>
      <c r="M62" s="14"/>
      <c r="N62" s="14"/>
      <c r="O62" s="14">
        <f>E62/5</f>
        <v>0.8</v>
      </c>
      <c r="P62" s="16"/>
      <c r="Q62" s="16"/>
      <c r="R62" s="14"/>
      <c r="S62" s="14">
        <f>(F62+N62+P62)/O62</f>
        <v>-5</v>
      </c>
      <c r="T62" s="14">
        <f>(F62+N62)/O62</f>
        <v>-5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/>
      <c r="AD62" s="14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4" t="s">
        <v>99</v>
      </c>
      <c r="B63" s="14" t="s">
        <v>38</v>
      </c>
      <c r="C63" s="14">
        <v>-1.4650000000000001</v>
      </c>
      <c r="D63" s="14"/>
      <c r="E63" s="18">
        <v>10.327</v>
      </c>
      <c r="F63" s="18">
        <v>-13.269</v>
      </c>
      <c r="G63" s="15">
        <v>0</v>
      </c>
      <c r="H63" s="14"/>
      <c r="I63" s="14" t="s">
        <v>94</v>
      </c>
      <c r="J63" s="14"/>
      <c r="K63" s="14">
        <f>E63-J63</f>
        <v>10.327</v>
      </c>
      <c r="L63" s="14"/>
      <c r="M63" s="14"/>
      <c r="N63" s="14"/>
      <c r="O63" s="14">
        <f>E63/5</f>
        <v>2.0653999999999999</v>
      </c>
      <c r="P63" s="16"/>
      <c r="Q63" s="16"/>
      <c r="R63" s="14"/>
      <c r="S63" s="14">
        <f>(F63+N63+P63)/O63</f>
        <v>-6.4244214195797431</v>
      </c>
      <c r="T63" s="14">
        <f>(F63+N63)/O63</f>
        <v>-6.4244214195797431</v>
      </c>
      <c r="U63" s="14">
        <v>1.1768000000000001</v>
      </c>
      <c r="V63" s="14">
        <v>6.3356000000000003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/>
      <c r="AD63" s="14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4" t="s">
        <v>100</v>
      </c>
      <c r="B64" s="14" t="s">
        <v>34</v>
      </c>
      <c r="C64" s="14"/>
      <c r="D64" s="14"/>
      <c r="E64" s="18">
        <v>51</v>
      </c>
      <c r="F64" s="18">
        <v>-51</v>
      </c>
      <c r="G64" s="15">
        <v>0</v>
      </c>
      <c r="H64" s="14"/>
      <c r="I64" s="14" t="s">
        <v>94</v>
      </c>
      <c r="J64" s="14"/>
      <c r="K64" s="14">
        <f>E64-J64</f>
        <v>51</v>
      </c>
      <c r="L64" s="14"/>
      <c r="M64" s="14"/>
      <c r="N64" s="14"/>
      <c r="O64" s="14">
        <f>E64/5</f>
        <v>10.199999999999999</v>
      </c>
      <c r="P64" s="16"/>
      <c r="Q64" s="16"/>
      <c r="R64" s="14"/>
      <c r="S64" s="14">
        <f>(F64+N64+P64)/O64</f>
        <v>-5</v>
      </c>
      <c r="T64" s="14">
        <f>(F64+N64)/O64</f>
        <v>-5</v>
      </c>
      <c r="U64" s="14">
        <v>1.8</v>
      </c>
      <c r="V64" s="14">
        <v>4.5999999999999996</v>
      </c>
      <c r="W64" s="14">
        <v>5.4</v>
      </c>
      <c r="X64" s="14">
        <v>6.8</v>
      </c>
      <c r="Y64" s="14">
        <v>5.2</v>
      </c>
      <c r="Z64" s="14">
        <v>6.4</v>
      </c>
      <c r="AA64" s="14">
        <v>2.6</v>
      </c>
      <c r="AB64" s="14">
        <v>5.6</v>
      </c>
      <c r="AC64" s="14"/>
      <c r="AD64" s="14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4" t="s">
        <v>101</v>
      </c>
      <c r="B65" s="14" t="s">
        <v>38</v>
      </c>
      <c r="C65" s="14">
        <v>-6.62</v>
      </c>
      <c r="D65" s="14"/>
      <c r="E65" s="18">
        <v>26.251999999999999</v>
      </c>
      <c r="F65" s="18">
        <v>-32.872</v>
      </c>
      <c r="G65" s="15">
        <v>0</v>
      </c>
      <c r="H65" s="14"/>
      <c r="I65" s="14" t="s">
        <v>94</v>
      </c>
      <c r="J65" s="14"/>
      <c r="K65" s="14">
        <f>E65-J65</f>
        <v>26.251999999999999</v>
      </c>
      <c r="L65" s="14"/>
      <c r="M65" s="14"/>
      <c r="N65" s="14"/>
      <c r="O65" s="14">
        <f>E65/5</f>
        <v>5.2504</v>
      </c>
      <c r="P65" s="16"/>
      <c r="Q65" s="16"/>
      <c r="R65" s="14"/>
      <c r="S65" s="14">
        <f>(F65+N65+P65)/O65</f>
        <v>-6.2608563157092796</v>
      </c>
      <c r="T65" s="14">
        <f>(F65+N65)/O65</f>
        <v>-6.2608563157092796</v>
      </c>
      <c r="U65" s="14">
        <v>2.7080000000000002</v>
      </c>
      <c r="V65" s="14">
        <v>5.9413999999999998</v>
      </c>
      <c r="W65" s="14">
        <v>2.9916</v>
      </c>
      <c r="X65" s="14">
        <v>4.6656000000000004</v>
      </c>
      <c r="Y65" s="14">
        <v>4.0814000000000004</v>
      </c>
      <c r="Z65" s="14">
        <v>2.9445999999999999</v>
      </c>
      <c r="AA65" s="14">
        <v>2.4281999999999999</v>
      </c>
      <c r="AB65" s="14">
        <v>4.3323999999999998</v>
      </c>
      <c r="AC65" s="14"/>
      <c r="AD65" s="14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4" t="s">
        <v>102</v>
      </c>
      <c r="B66" s="14" t="s">
        <v>34</v>
      </c>
      <c r="C66" s="14">
        <v>-7</v>
      </c>
      <c r="D66" s="14"/>
      <c r="E66" s="18">
        <v>15</v>
      </c>
      <c r="F66" s="18">
        <v>-24</v>
      </c>
      <c r="G66" s="15">
        <v>0</v>
      </c>
      <c r="H66" s="14"/>
      <c r="I66" s="14" t="s">
        <v>94</v>
      </c>
      <c r="J66" s="14"/>
      <c r="K66" s="14">
        <f>E66-J66</f>
        <v>15</v>
      </c>
      <c r="L66" s="14"/>
      <c r="M66" s="14"/>
      <c r="N66" s="14"/>
      <c r="O66" s="14">
        <f>E66/5</f>
        <v>3</v>
      </c>
      <c r="P66" s="16"/>
      <c r="Q66" s="16"/>
      <c r="R66" s="14"/>
      <c r="S66" s="14">
        <f>(F66+N66+P66)/O66</f>
        <v>-8</v>
      </c>
      <c r="T66" s="14">
        <f>(F66+N66)/O66</f>
        <v>-8</v>
      </c>
      <c r="U66" s="14">
        <v>5.2</v>
      </c>
      <c r="V66" s="14">
        <v>1.4</v>
      </c>
      <c r="W66" s="14">
        <v>2</v>
      </c>
      <c r="X66" s="14">
        <v>6</v>
      </c>
      <c r="Y66" s="14">
        <v>5.6</v>
      </c>
      <c r="Z66" s="14">
        <v>4.4000000000000004</v>
      </c>
      <c r="AA66" s="14">
        <v>2.2000000000000002</v>
      </c>
      <c r="AB66" s="14">
        <v>5</v>
      </c>
      <c r="AC66" s="14"/>
      <c r="AD66" s="14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4" t="s">
        <v>103</v>
      </c>
      <c r="B67" s="14" t="s">
        <v>38</v>
      </c>
      <c r="C67" s="14"/>
      <c r="D67" s="14"/>
      <c r="E67" s="18">
        <v>71.192999999999998</v>
      </c>
      <c r="F67" s="18">
        <v>-71.192999999999998</v>
      </c>
      <c r="G67" s="15">
        <v>0</v>
      </c>
      <c r="H67" s="14"/>
      <c r="I67" s="14" t="s">
        <v>94</v>
      </c>
      <c r="J67" s="14"/>
      <c r="K67" s="14">
        <f>E67-J67</f>
        <v>71.192999999999998</v>
      </c>
      <c r="L67" s="14"/>
      <c r="M67" s="14"/>
      <c r="N67" s="14"/>
      <c r="O67" s="14">
        <f>E67/5</f>
        <v>14.2386</v>
      </c>
      <c r="P67" s="16"/>
      <c r="Q67" s="16"/>
      <c r="R67" s="14"/>
      <c r="S67" s="14">
        <f>(F67+N67+P67)/O67</f>
        <v>-5</v>
      </c>
      <c r="T67" s="14">
        <f>(F67+N67)/O67</f>
        <v>-5</v>
      </c>
      <c r="U67" s="14">
        <v>5.9813999999999998</v>
      </c>
      <c r="V67" s="14">
        <v>5.8567999999999998</v>
      </c>
      <c r="W67" s="14">
        <v>7.7248000000000001</v>
      </c>
      <c r="X67" s="14">
        <v>7.3135999999999992</v>
      </c>
      <c r="Y67" s="14">
        <v>13.099600000000001</v>
      </c>
      <c r="Z67" s="14">
        <v>8.557599999999999</v>
      </c>
      <c r="AA67" s="14">
        <v>2.6221999999999999</v>
      </c>
      <c r="AB67" s="14">
        <v>9.4176000000000002</v>
      </c>
      <c r="AC67" s="14"/>
      <c r="AD67" s="14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4" t="s">
        <v>104</v>
      </c>
      <c r="B68" s="14" t="s">
        <v>38</v>
      </c>
      <c r="C68" s="14"/>
      <c r="D68" s="14"/>
      <c r="E68" s="18">
        <v>4.1740000000000004</v>
      </c>
      <c r="F68" s="18">
        <v>-4.1740000000000004</v>
      </c>
      <c r="G68" s="15">
        <v>0</v>
      </c>
      <c r="H68" s="14"/>
      <c r="I68" s="14" t="s">
        <v>94</v>
      </c>
      <c r="J68" s="14"/>
      <c r="K68" s="14">
        <f>E68-J68</f>
        <v>4.1740000000000004</v>
      </c>
      <c r="L68" s="14"/>
      <c r="M68" s="14"/>
      <c r="N68" s="14"/>
      <c r="O68" s="14">
        <f>E68/5</f>
        <v>0.8348000000000001</v>
      </c>
      <c r="P68" s="16"/>
      <c r="Q68" s="16"/>
      <c r="R68" s="14"/>
      <c r="S68" s="14">
        <f>(F68+N68+P68)/O68</f>
        <v>-5</v>
      </c>
      <c r="T68" s="14">
        <f>(F68+N68)/O68</f>
        <v>-5</v>
      </c>
      <c r="U68" s="14">
        <v>0</v>
      </c>
      <c r="V68" s="14">
        <v>1.9168000000000001</v>
      </c>
      <c r="W68" s="14">
        <v>2.4615999999999998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/>
      <c r="AD68" s="14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4" t="s">
        <v>105</v>
      </c>
      <c r="B69" s="14" t="s">
        <v>38</v>
      </c>
      <c r="C69" s="14">
        <v>-14.938000000000001</v>
      </c>
      <c r="D69" s="14"/>
      <c r="E69" s="18">
        <v>24.872</v>
      </c>
      <c r="F69" s="18">
        <v>-44.823999999999998</v>
      </c>
      <c r="G69" s="15">
        <v>0</v>
      </c>
      <c r="H69" s="14"/>
      <c r="I69" s="14" t="s">
        <v>94</v>
      </c>
      <c r="J69" s="14"/>
      <c r="K69" s="14">
        <f>E69-J69</f>
        <v>24.872</v>
      </c>
      <c r="L69" s="14"/>
      <c r="M69" s="14"/>
      <c r="N69" s="14"/>
      <c r="O69" s="14">
        <f>E69/5</f>
        <v>4.9744000000000002</v>
      </c>
      <c r="P69" s="16"/>
      <c r="Q69" s="16"/>
      <c r="R69" s="14"/>
      <c r="S69" s="14">
        <f>(F69+N69+P69)/O69</f>
        <v>-9.0109359922804746</v>
      </c>
      <c r="T69" s="14">
        <f>(F69+N69)/O69</f>
        <v>-9.0109359922804746</v>
      </c>
      <c r="U69" s="14">
        <v>7.9537999999999993</v>
      </c>
      <c r="V69" s="14">
        <v>3.4238</v>
      </c>
      <c r="W69" s="14">
        <v>4.4067999999999996</v>
      </c>
      <c r="X69" s="14">
        <v>8.9141999999999992</v>
      </c>
      <c r="Y69" s="14">
        <v>5.4630000000000001</v>
      </c>
      <c r="Z69" s="14">
        <v>0</v>
      </c>
      <c r="AA69" s="14">
        <v>0</v>
      </c>
      <c r="AB69" s="14">
        <v>0</v>
      </c>
      <c r="AC69" s="14"/>
      <c r="AD69" s="14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4" t="s">
        <v>106</v>
      </c>
      <c r="B70" s="14" t="s">
        <v>38</v>
      </c>
      <c r="C70" s="14">
        <v>-7.4749999999999996</v>
      </c>
      <c r="D70" s="14"/>
      <c r="E70" s="18">
        <v>36.152000000000001</v>
      </c>
      <c r="F70" s="18">
        <v>-55.975999999999999</v>
      </c>
      <c r="G70" s="15">
        <v>0</v>
      </c>
      <c r="H70" s="14"/>
      <c r="I70" s="14" t="s">
        <v>94</v>
      </c>
      <c r="J70" s="14"/>
      <c r="K70" s="14">
        <f>E70-J70</f>
        <v>36.152000000000001</v>
      </c>
      <c r="L70" s="14"/>
      <c r="M70" s="14"/>
      <c r="N70" s="14"/>
      <c r="O70" s="14">
        <f>E70/5</f>
        <v>7.2304000000000004</v>
      </c>
      <c r="P70" s="16"/>
      <c r="Q70" s="16"/>
      <c r="R70" s="14"/>
      <c r="S70" s="14">
        <f>(F70+N70+P70)/O70</f>
        <v>-7.7417570258906832</v>
      </c>
      <c r="T70" s="14">
        <f>(F70+N70)/O70</f>
        <v>-7.7417570258906832</v>
      </c>
      <c r="U70" s="14">
        <v>7.4055999999999997</v>
      </c>
      <c r="V70" s="14">
        <v>3.9510000000000001</v>
      </c>
      <c r="W70" s="14">
        <v>11.465999999999999</v>
      </c>
      <c r="X70" s="14">
        <v>4.4833999999999996</v>
      </c>
      <c r="Y70" s="14">
        <v>13.9094</v>
      </c>
      <c r="Z70" s="14">
        <v>4.4359999999999999</v>
      </c>
      <c r="AA70" s="14">
        <v>4.4359999999999999</v>
      </c>
      <c r="AB70" s="14">
        <v>8.0373999999999999</v>
      </c>
      <c r="AC70" s="14"/>
      <c r="AD70" s="14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4" t="s">
        <v>107</v>
      </c>
      <c r="B71" s="14" t="s">
        <v>38</v>
      </c>
      <c r="C71" s="14"/>
      <c r="D71" s="14"/>
      <c r="E71" s="18">
        <v>65.108999999999995</v>
      </c>
      <c r="F71" s="18">
        <v>-67.635999999999996</v>
      </c>
      <c r="G71" s="15">
        <v>0</v>
      </c>
      <c r="H71" s="14"/>
      <c r="I71" s="14" t="s">
        <v>94</v>
      </c>
      <c r="J71" s="14"/>
      <c r="K71" s="14">
        <f>E71-J71</f>
        <v>65.108999999999995</v>
      </c>
      <c r="L71" s="14"/>
      <c r="M71" s="14"/>
      <c r="N71" s="14"/>
      <c r="O71" s="14">
        <f>E71/5</f>
        <v>13.021799999999999</v>
      </c>
      <c r="P71" s="16"/>
      <c r="Q71" s="16"/>
      <c r="R71" s="14"/>
      <c r="S71" s="14">
        <f>(F71+N71+P71)/O71</f>
        <v>-5.1940591930455087</v>
      </c>
      <c r="T71" s="14">
        <f>(F71+N71)/O71</f>
        <v>-5.1940591930455087</v>
      </c>
      <c r="U71" s="14">
        <v>2.9964</v>
      </c>
      <c r="V71" s="14">
        <v>2.4929999999999999</v>
      </c>
      <c r="W71" s="14">
        <v>1.9890000000000001</v>
      </c>
      <c r="X71" s="14">
        <v>2.0142000000000002</v>
      </c>
      <c r="Y71" s="14">
        <v>1.9912000000000001</v>
      </c>
      <c r="Z71" s="14">
        <v>16.973199999999999</v>
      </c>
      <c r="AA71" s="14">
        <v>16.973199999999999</v>
      </c>
      <c r="AB71" s="14">
        <v>0</v>
      </c>
      <c r="AC71" s="14"/>
      <c r="AD71" s="14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4" t="s">
        <v>108</v>
      </c>
      <c r="B72" s="14" t="s">
        <v>34</v>
      </c>
      <c r="C72" s="14">
        <v>-4</v>
      </c>
      <c r="D72" s="14"/>
      <c r="E72" s="18">
        <v>33</v>
      </c>
      <c r="F72" s="18">
        <v>-39</v>
      </c>
      <c r="G72" s="15">
        <v>0</v>
      </c>
      <c r="H72" s="14"/>
      <c r="I72" s="14" t="s">
        <v>94</v>
      </c>
      <c r="J72" s="14"/>
      <c r="K72" s="14">
        <f>E72-J72</f>
        <v>33</v>
      </c>
      <c r="L72" s="14"/>
      <c r="M72" s="14"/>
      <c r="N72" s="14"/>
      <c r="O72" s="14">
        <f>E72/5</f>
        <v>6.6</v>
      </c>
      <c r="P72" s="16"/>
      <c r="Q72" s="16"/>
      <c r="R72" s="14"/>
      <c r="S72" s="14">
        <f>(F72+N72+P72)/O72</f>
        <v>-5.9090909090909092</v>
      </c>
      <c r="T72" s="14">
        <f>(F72+N72)/O72</f>
        <v>-5.9090909090909092</v>
      </c>
      <c r="U72" s="14">
        <v>8</v>
      </c>
      <c r="V72" s="14">
        <v>12.2</v>
      </c>
      <c r="W72" s="14">
        <v>3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/>
      <c r="AD72" s="14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4" t="s">
        <v>109</v>
      </c>
      <c r="B73" s="14" t="s">
        <v>38</v>
      </c>
      <c r="C73" s="14">
        <v>-30.518999999999998</v>
      </c>
      <c r="D73" s="14"/>
      <c r="E73" s="18">
        <v>91.563999999999993</v>
      </c>
      <c r="F73" s="18">
        <v>-124.5</v>
      </c>
      <c r="G73" s="15">
        <v>0</v>
      </c>
      <c r="H73" s="14"/>
      <c r="I73" s="14" t="s">
        <v>94</v>
      </c>
      <c r="J73" s="14"/>
      <c r="K73" s="14">
        <f>E73-J73</f>
        <v>91.563999999999993</v>
      </c>
      <c r="L73" s="14"/>
      <c r="M73" s="14"/>
      <c r="N73" s="14"/>
      <c r="O73" s="14">
        <f>E73/5</f>
        <v>18.312799999999999</v>
      </c>
      <c r="P73" s="16"/>
      <c r="Q73" s="16"/>
      <c r="R73" s="14"/>
      <c r="S73" s="14">
        <f>(F73+N73+P73)/O73</f>
        <v>-6.7985234371587087</v>
      </c>
      <c r="T73" s="14">
        <f>(F73+N73)/O73</f>
        <v>-6.7985234371587087</v>
      </c>
      <c r="U73" s="14">
        <v>12.049200000000001</v>
      </c>
      <c r="V73" s="14">
        <v>13.3436</v>
      </c>
      <c r="W73" s="14">
        <v>7.2173999999999996</v>
      </c>
      <c r="X73" s="14">
        <v>0.48299999999999998</v>
      </c>
      <c r="Y73" s="14">
        <v>17.837</v>
      </c>
      <c r="Z73" s="14">
        <v>9.6815999999999995</v>
      </c>
      <c r="AA73" s="14">
        <v>7.2629999999999999</v>
      </c>
      <c r="AB73" s="14">
        <v>12.102600000000001</v>
      </c>
      <c r="AC73" s="14"/>
      <c r="AD73" s="14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4" t="s">
        <v>110</v>
      </c>
      <c r="B74" s="14" t="s">
        <v>38</v>
      </c>
      <c r="C74" s="14">
        <v>-21.736000000000001</v>
      </c>
      <c r="D74" s="14"/>
      <c r="E74" s="18">
        <v>105.32899999999999</v>
      </c>
      <c r="F74" s="18">
        <v>-128.511</v>
      </c>
      <c r="G74" s="15">
        <v>0</v>
      </c>
      <c r="H74" s="14"/>
      <c r="I74" s="14" t="s">
        <v>94</v>
      </c>
      <c r="J74" s="14"/>
      <c r="K74" s="14">
        <f>E74-J74</f>
        <v>105.32899999999999</v>
      </c>
      <c r="L74" s="14"/>
      <c r="M74" s="14"/>
      <c r="N74" s="14"/>
      <c r="O74" s="14">
        <f>E74/5</f>
        <v>21.065799999999999</v>
      </c>
      <c r="P74" s="16"/>
      <c r="Q74" s="16"/>
      <c r="R74" s="14"/>
      <c r="S74" s="14">
        <f>(F74+N74+P74)/O74</f>
        <v>-6.1004566643564448</v>
      </c>
      <c r="T74" s="14">
        <f>(F74+N74)/O74</f>
        <v>-6.1004566643564448</v>
      </c>
      <c r="U74" s="14">
        <v>10.9794</v>
      </c>
      <c r="V74" s="14">
        <v>13.3108</v>
      </c>
      <c r="W74" s="14">
        <v>12.0562</v>
      </c>
      <c r="X74" s="14">
        <v>18.241599999999998</v>
      </c>
      <c r="Y74" s="14">
        <v>17.868400000000001</v>
      </c>
      <c r="Z74" s="14">
        <v>22.340199999999999</v>
      </c>
      <c r="AA74" s="14">
        <v>16.312000000000001</v>
      </c>
      <c r="AB74" s="14">
        <v>26.585000000000001</v>
      </c>
      <c r="AC74" s="14"/>
      <c r="AD74" s="14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4" t="s">
        <v>111</v>
      </c>
      <c r="B75" s="14" t="s">
        <v>38</v>
      </c>
      <c r="C75" s="14">
        <v>-37.741999999999997</v>
      </c>
      <c r="D75" s="14"/>
      <c r="E75" s="18">
        <v>125.72499999999999</v>
      </c>
      <c r="F75" s="18">
        <v>-183.67099999999999</v>
      </c>
      <c r="G75" s="15">
        <v>0</v>
      </c>
      <c r="H75" s="14"/>
      <c r="I75" s="14" t="s">
        <v>94</v>
      </c>
      <c r="J75" s="14"/>
      <c r="K75" s="14">
        <f>E75-J75</f>
        <v>125.72499999999999</v>
      </c>
      <c r="L75" s="14"/>
      <c r="M75" s="14"/>
      <c r="N75" s="14"/>
      <c r="O75" s="14">
        <f>E75/5</f>
        <v>25.145</v>
      </c>
      <c r="P75" s="16"/>
      <c r="Q75" s="16"/>
      <c r="R75" s="14"/>
      <c r="S75" s="14">
        <f>(F75+N75+P75)/O75</f>
        <v>-7.3044740505070589</v>
      </c>
      <c r="T75" s="14">
        <f>(F75+N75)/O75</f>
        <v>-7.3044740505070589</v>
      </c>
      <c r="U75" s="14">
        <v>14.2204</v>
      </c>
      <c r="V75" s="14">
        <v>16.2728</v>
      </c>
      <c r="W75" s="14">
        <v>3.6789999999999998</v>
      </c>
      <c r="X75" s="14">
        <v>11.067</v>
      </c>
      <c r="Y75" s="14">
        <v>14.423400000000001</v>
      </c>
      <c r="Z75" s="14">
        <v>0</v>
      </c>
      <c r="AA75" s="14">
        <v>2.4470000000000001</v>
      </c>
      <c r="AB75" s="14">
        <v>29.491199999999999</v>
      </c>
      <c r="AC75" s="14"/>
      <c r="AD75" s="14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4" t="s">
        <v>112</v>
      </c>
      <c r="B76" s="14" t="s">
        <v>34</v>
      </c>
      <c r="C76" s="14">
        <v>-11</v>
      </c>
      <c r="D76" s="14"/>
      <c r="E76" s="18">
        <v>98</v>
      </c>
      <c r="F76" s="18">
        <v>-118</v>
      </c>
      <c r="G76" s="15">
        <v>0</v>
      </c>
      <c r="H76" s="14"/>
      <c r="I76" s="14" t="s">
        <v>94</v>
      </c>
      <c r="J76" s="14"/>
      <c r="K76" s="14">
        <f>E76-J76</f>
        <v>98</v>
      </c>
      <c r="L76" s="14"/>
      <c r="M76" s="14"/>
      <c r="N76" s="14"/>
      <c r="O76" s="14">
        <f>E76/5</f>
        <v>19.600000000000001</v>
      </c>
      <c r="P76" s="16"/>
      <c r="Q76" s="16"/>
      <c r="R76" s="14"/>
      <c r="S76" s="14">
        <f>(F76+N76+P76)/O76</f>
        <v>-6.0204081632653059</v>
      </c>
      <c r="T76" s="14">
        <f>(F76+N76)/O76</f>
        <v>-6.0204081632653059</v>
      </c>
      <c r="U76" s="14">
        <v>8</v>
      </c>
      <c r="V76" s="14">
        <v>16.2</v>
      </c>
      <c r="W76" s="14">
        <v>8</v>
      </c>
      <c r="X76" s="14">
        <v>13</v>
      </c>
      <c r="Y76" s="14">
        <v>10.8</v>
      </c>
      <c r="Z76" s="14">
        <v>9</v>
      </c>
      <c r="AA76" s="14">
        <v>10.4</v>
      </c>
      <c r="AB76" s="14">
        <v>28.8</v>
      </c>
      <c r="AC76" s="14"/>
      <c r="AD76" s="14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4" t="s">
        <v>113</v>
      </c>
      <c r="B77" s="14" t="s">
        <v>38</v>
      </c>
      <c r="C77" s="14">
        <v>-4.5380000000000003</v>
      </c>
      <c r="D77" s="14"/>
      <c r="E77" s="18">
        <v>56.585999999999999</v>
      </c>
      <c r="F77" s="18">
        <v>-64.102000000000004</v>
      </c>
      <c r="G77" s="15">
        <v>0</v>
      </c>
      <c r="H77" s="14"/>
      <c r="I77" s="14" t="s">
        <v>94</v>
      </c>
      <c r="J77" s="14"/>
      <c r="K77" s="14">
        <f>E77-J77</f>
        <v>56.585999999999999</v>
      </c>
      <c r="L77" s="14"/>
      <c r="M77" s="14"/>
      <c r="N77" s="14"/>
      <c r="O77" s="14">
        <f>E77/5</f>
        <v>11.3172</v>
      </c>
      <c r="P77" s="16"/>
      <c r="Q77" s="16"/>
      <c r="R77" s="14"/>
      <c r="S77" s="14">
        <f>(F77+N77+P77)/O77</f>
        <v>-5.6641218675997598</v>
      </c>
      <c r="T77" s="14">
        <f>(F77+N77)/O77</f>
        <v>-5.6641218675997598</v>
      </c>
      <c r="U77" s="14">
        <v>5.9720000000000004</v>
      </c>
      <c r="V77" s="14">
        <v>7.8287999999999993</v>
      </c>
      <c r="W77" s="14">
        <v>4.6551999999999998</v>
      </c>
      <c r="X77" s="14">
        <v>8.1468000000000007</v>
      </c>
      <c r="Y77" s="14">
        <v>12.829599999999999</v>
      </c>
      <c r="Z77" s="14">
        <v>8.9871999999999996</v>
      </c>
      <c r="AA77" s="14">
        <v>2.9371999999999998</v>
      </c>
      <c r="AB77" s="14">
        <v>10.805199999999999</v>
      </c>
      <c r="AC77" s="14"/>
      <c r="AD77" s="14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</sheetData>
  <autoFilter ref="A3:AD77" xr:uid="{5E588F83-8487-4EC3-9075-139875DDFF81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2025-04-10T14:28:45Z</dcterms:created>
  <dcterms:modified xsi:type="dcterms:W3CDTF">2025-04-10T14:46:50Z</dcterms:modified>
</cp:coreProperties>
</file>