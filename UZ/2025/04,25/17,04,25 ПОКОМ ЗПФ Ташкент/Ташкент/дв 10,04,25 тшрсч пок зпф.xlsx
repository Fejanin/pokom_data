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Ташкент\"/>
    </mc:Choice>
  </mc:AlternateContent>
  <xr:revisionPtr revIDLastSave="0" documentId="13_ncr:1_{F385D3B9-579B-484B-8081-81C52A0DCE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Sheet!$A$3:$AA$14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" i="1" l="1"/>
  <c r="T7" i="1" s="1"/>
  <c r="O8" i="1"/>
  <c r="S8" i="1" s="1"/>
  <c r="O9" i="1"/>
  <c r="T9" i="1" s="1"/>
  <c r="O10" i="1"/>
  <c r="S10" i="1" s="1"/>
  <c r="O11" i="1"/>
  <c r="T11" i="1" s="1"/>
  <c r="O12" i="1"/>
  <c r="S12" i="1" s="1"/>
  <c r="O13" i="1"/>
  <c r="T13" i="1" s="1"/>
  <c r="O14" i="1"/>
  <c r="S14" i="1" s="1"/>
  <c r="O6" i="1"/>
  <c r="T6" i="1" s="1"/>
  <c r="AA14" i="1"/>
  <c r="K14" i="1"/>
  <c r="AA13" i="1"/>
  <c r="K13" i="1"/>
  <c r="AA12" i="1"/>
  <c r="K12" i="1"/>
  <c r="K11" i="1"/>
  <c r="K10" i="1"/>
  <c r="AA9" i="1"/>
  <c r="K9" i="1"/>
  <c r="AA8" i="1"/>
  <c r="K8" i="1"/>
  <c r="AA7" i="1"/>
  <c r="K7" i="1"/>
  <c r="AA6" i="1"/>
  <c r="K6" i="1"/>
  <c r="AA5" i="1"/>
  <c r="Y5" i="1"/>
  <c r="X5" i="1"/>
  <c r="W5" i="1"/>
  <c r="V5" i="1"/>
  <c r="U5" i="1"/>
  <c r="Q5" i="1"/>
  <c r="P5" i="1"/>
  <c r="N5" i="1"/>
  <c r="M5" i="1"/>
  <c r="L5" i="1"/>
  <c r="J5" i="1"/>
  <c r="F5" i="1"/>
  <c r="E5" i="1"/>
  <c r="S13" i="1" l="1"/>
  <c r="S9" i="1"/>
  <c r="S6" i="1"/>
  <c r="S11" i="1"/>
  <c r="S7" i="1"/>
  <c r="T14" i="1"/>
  <c r="T12" i="1"/>
  <c r="T10" i="1"/>
  <c r="T8" i="1"/>
  <c r="K5" i="1"/>
  <c r="O5" i="1"/>
</calcChain>
</file>

<file path=xl/sharedStrings.xml><?xml version="1.0" encoding="utf-8"?>
<sst xmlns="http://schemas.openxmlformats.org/spreadsheetml/2006/main" count="59" uniqueCount="43">
  <si>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</si>
  <si>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</si>
  <si>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</si>
  <si>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</si>
  <si>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</si>
  <si>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</si>
  <si>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</si>
  <si>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</si>
  <si>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</si>
  <si>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</si>
  <si>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</si>
  <si>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</si>
  <si>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</si>
  <si>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</si>
  <si>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</si>
  <si>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</si>
  <si>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</si>
  <si>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</si>
  <si>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</si>
  <si>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</si>
  <si>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</si>
  <si>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</si>
  <si>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</si>
  <si>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</si>
  <si>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10,04</t>
  </si>
  <si>
    <t>03,04,</t>
  </si>
  <si>
    <t>27,03,</t>
  </si>
  <si>
    <t>21,03,</t>
  </si>
  <si>
    <t>14,02-13,03</t>
  </si>
  <si>
    <t>13,03,</t>
  </si>
  <si>
    <t>кг</t>
  </si>
  <si>
    <t>шт</t>
  </si>
  <si>
    <t>Пельмени Отборные из говядины Медвежье ушко 0,9 Псевдозащип Стародворье  ПОКОМ</t>
  </si>
  <si>
    <t>нужно увеличить продажи!!!</t>
  </si>
  <si>
    <t>Пельмени Пуговки с говядиной и свининой No Name Весовые Сфера No Name 5 кг  ПОКОМ</t>
  </si>
  <si>
    <t>Снеки Чебуманы с говядиной Чебуманы Фикс.вес 0,28 лоток Горячая штучка  ПОКОМ</t>
  </si>
  <si>
    <t>Хотстеры Хотстеры Фикс.вес 0,25 Лоток Горячая штучка  ПОКОМ</t>
  </si>
  <si>
    <t>Чебупай сочное яблоко Чебупай Фикс.вес 0,2 Лоток Горячая штучка  ПОКОМ</t>
  </si>
  <si>
    <t>нет в бланке</t>
  </si>
  <si>
    <t>Чебупай спелая вишня Чебупай Фикс.вес 0,2 Лоток Горячая штучка  ПОКОМ</t>
  </si>
  <si>
    <t>Чебупели Курочка гриль Базовый ассортимент Фикс.вес 0,3 Пакет Горячая штучка  ПОКОМ</t>
  </si>
  <si>
    <t>Чебупицца Пепперони Чебупицца Фикс.вес 0,25 Лоток Горячая штучка  ПОКОМ</t>
  </si>
  <si>
    <t>Чебупицца курочка По-итальянски Чебупицца Фикс.вес 0,25 Лоток Горячая штучка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</si>
</sst>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25" sqref="Z2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4" width="0.5703125" customWidth="1"/>
    <col min="15" max="17" width="7" customWidth="1"/>
    <col min="18" max="18" width="21" customWidth="1"/>
    <col min="19" max="20" width="5" customWidth="1"/>
    <col min="21" max="25" width="6" customWidth="1"/>
    <col min="26" max="26" width="48" customWidth="1"/>
    <col min="27" max="27" width="7" customWidth="1"/>
    <col min="28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21</v>
      </c>
      <c r="AA3" s="2" t="s">
        <v>22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SUM(E6:E498)</f>
        <v>54</v>
      </c>
      <c r="F5" s="4">
        <f>SUM(F6:F498)</f>
        <v>1817</v>
      </c>
      <c r="G5" s="7"/>
      <c r="H5" s="1"/>
      <c r="I5" s="1"/>
      <c r="J5" s="4">
        <f t="shared" ref="J5:Q5" si="0">SUM(J6:J498)</f>
        <v>0</v>
      </c>
      <c r="K5" s="4">
        <f t="shared" si="0"/>
        <v>54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10.8</v>
      </c>
      <c r="P5" s="4">
        <f t="shared" si="0"/>
        <v>243</v>
      </c>
      <c r="Q5" s="4">
        <f t="shared" si="0"/>
        <v>0</v>
      </c>
      <c r="R5" s="1"/>
      <c r="S5" s="1"/>
      <c r="T5" s="1"/>
      <c r="U5" s="4">
        <f>SUM(U6:U498)</f>
        <v>29.2</v>
      </c>
      <c r="V5" s="4">
        <f>SUM(V6:V498)</f>
        <v>41.999999999999993</v>
      </c>
      <c r="W5" s="4">
        <f>SUM(W6:W498)</f>
        <v>24.5</v>
      </c>
      <c r="X5" s="4">
        <f>SUM(X6:X498)</f>
        <v>62.842105263157904</v>
      </c>
      <c r="Y5" s="4">
        <f>SUM(Y6:Y498)</f>
        <v>42.999999999999993</v>
      </c>
      <c r="Z5" s="1"/>
      <c r="AA5" s="4">
        <f>SUM(AA6:AA498)</f>
        <v>64.240000000000009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0" t="s">
        <v>32</v>
      </c>
      <c r="B6" s="1" t="s">
        <v>31</v>
      </c>
      <c r="C6" s="1">
        <v>94</v>
      </c>
      <c r="D6" s="1"/>
      <c r="E6" s="1">
        <v>4</v>
      </c>
      <c r="F6" s="1">
        <v>90</v>
      </c>
      <c r="G6" s="7">
        <v>0.9</v>
      </c>
      <c r="H6" s="1">
        <v>180</v>
      </c>
      <c r="I6" s="1"/>
      <c r="J6" s="1"/>
      <c r="K6" s="1">
        <f t="shared" ref="K6:K14" si="1">E6-J6</f>
        <v>4</v>
      </c>
      <c r="L6" s="1"/>
      <c r="M6" s="1"/>
      <c r="N6" s="1"/>
      <c r="O6" s="1">
        <f>E6/5</f>
        <v>0.8</v>
      </c>
      <c r="P6" s="5"/>
      <c r="Q6" s="5"/>
      <c r="R6" s="1"/>
      <c r="S6" s="1">
        <f>(F6+P6)/O6</f>
        <v>112.5</v>
      </c>
      <c r="T6" s="1">
        <f>F6/O6</f>
        <v>112.5</v>
      </c>
      <c r="U6" s="1">
        <v>3.6</v>
      </c>
      <c r="V6" s="1">
        <v>1.8</v>
      </c>
      <c r="W6" s="1">
        <v>0.75</v>
      </c>
      <c r="X6" s="1">
        <v>6.2105263157894726</v>
      </c>
      <c r="Y6" s="1">
        <v>3.2</v>
      </c>
      <c r="Z6" s="14" t="s">
        <v>33</v>
      </c>
      <c r="AA6" s="1">
        <f>G6*P6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0" t="s">
        <v>34</v>
      </c>
      <c r="B7" s="1" t="s">
        <v>30</v>
      </c>
      <c r="C7" s="1">
        <v>1150</v>
      </c>
      <c r="D7" s="1"/>
      <c r="E7" s="1">
        <v>50</v>
      </c>
      <c r="F7" s="1">
        <v>1100</v>
      </c>
      <c r="G7" s="7">
        <v>1</v>
      </c>
      <c r="H7" s="1">
        <v>180</v>
      </c>
      <c r="I7" s="1"/>
      <c r="J7" s="1"/>
      <c r="K7" s="1">
        <f t="shared" si="1"/>
        <v>50</v>
      </c>
      <c r="L7" s="1"/>
      <c r="M7" s="1"/>
      <c r="N7" s="1"/>
      <c r="O7" s="1">
        <f t="shared" ref="O7:O14" si="2">E7/5</f>
        <v>10</v>
      </c>
      <c r="P7" s="5"/>
      <c r="Q7" s="5"/>
      <c r="R7" s="1"/>
      <c r="S7" s="1">
        <f t="shared" ref="S7:S14" si="3">(F7+P7)/O7</f>
        <v>110</v>
      </c>
      <c r="T7" s="1">
        <f t="shared" ref="T7:T14" si="4">F7/O7</f>
        <v>110</v>
      </c>
      <c r="U7" s="1">
        <v>22</v>
      </c>
      <c r="V7" s="1">
        <v>32</v>
      </c>
      <c r="W7" s="1">
        <v>18.75</v>
      </c>
      <c r="X7" s="1">
        <v>25.789473684210531</v>
      </c>
      <c r="Y7" s="1">
        <v>37</v>
      </c>
      <c r="Z7" s="14" t="s">
        <v>33</v>
      </c>
      <c r="AA7" s="1">
        <f>G7*P7</f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0" t="s">
        <v>35</v>
      </c>
      <c r="B8" s="1" t="s">
        <v>31</v>
      </c>
      <c r="C8" s="1"/>
      <c r="D8" s="1"/>
      <c r="E8" s="1"/>
      <c r="F8" s="1"/>
      <c r="G8" s="7">
        <v>0.28000000000000003</v>
      </c>
      <c r="H8" s="1">
        <v>180</v>
      </c>
      <c r="I8" s="1"/>
      <c r="J8" s="1"/>
      <c r="K8" s="1">
        <f t="shared" si="1"/>
        <v>0</v>
      </c>
      <c r="L8" s="1"/>
      <c r="M8" s="1"/>
      <c r="N8" s="1"/>
      <c r="O8" s="1">
        <f t="shared" si="2"/>
        <v>0</v>
      </c>
      <c r="P8" s="15">
        <v>8</v>
      </c>
      <c r="Q8" s="5"/>
      <c r="R8" s="1"/>
      <c r="S8" s="1" t="e">
        <f t="shared" si="3"/>
        <v>#DIV/0!</v>
      </c>
      <c r="T8" s="1" t="e">
        <f t="shared" si="4"/>
        <v>#DIV/0!</v>
      </c>
      <c r="U8" s="1">
        <v>0</v>
      </c>
      <c r="V8" s="1">
        <v>0</v>
      </c>
      <c r="W8" s="1">
        <v>0</v>
      </c>
      <c r="X8" s="1">
        <v>0.84210526315789469</v>
      </c>
      <c r="Y8" s="1">
        <v>0</v>
      </c>
      <c r="Z8" s="1"/>
      <c r="AA8" s="1">
        <f>G8*P8</f>
        <v>2.2400000000000002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0" t="s">
        <v>36</v>
      </c>
      <c r="B9" s="1" t="s">
        <v>31</v>
      </c>
      <c r="C9" s="1"/>
      <c r="D9" s="1"/>
      <c r="E9" s="1"/>
      <c r="F9" s="1"/>
      <c r="G9" s="7">
        <v>0.25</v>
      </c>
      <c r="H9" s="1">
        <v>180</v>
      </c>
      <c r="I9" s="1"/>
      <c r="J9" s="1"/>
      <c r="K9" s="1">
        <f t="shared" si="1"/>
        <v>0</v>
      </c>
      <c r="L9" s="1"/>
      <c r="M9" s="1"/>
      <c r="N9" s="1"/>
      <c r="O9" s="1">
        <f t="shared" si="2"/>
        <v>0</v>
      </c>
      <c r="P9" s="15">
        <v>120</v>
      </c>
      <c r="Q9" s="5"/>
      <c r="R9" s="1"/>
      <c r="S9" s="1" t="e">
        <f t="shared" si="3"/>
        <v>#DIV/0!</v>
      </c>
      <c r="T9" s="1" t="e">
        <f t="shared" si="4"/>
        <v>#DIV/0!</v>
      </c>
      <c r="U9" s="1">
        <v>0</v>
      </c>
      <c r="V9" s="1">
        <v>0</v>
      </c>
      <c r="W9" s="1">
        <v>0.5</v>
      </c>
      <c r="X9" s="1">
        <v>6.2105263157894726</v>
      </c>
      <c r="Y9" s="1">
        <v>-0.6</v>
      </c>
      <c r="Z9" s="1"/>
      <c r="AA9" s="1">
        <f>G9*P9</f>
        <v>30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1" t="s">
        <v>37</v>
      </c>
      <c r="B10" s="11" t="s">
        <v>31</v>
      </c>
      <c r="C10" s="11">
        <v>254</v>
      </c>
      <c r="D10" s="11"/>
      <c r="E10" s="11"/>
      <c r="F10" s="11">
        <v>254</v>
      </c>
      <c r="G10" s="12">
        <v>0</v>
      </c>
      <c r="H10" s="11"/>
      <c r="I10" s="11" t="s">
        <v>38</v>
      </c>
      <c r="J10" s="11"/>
      <c r="K10" s="11">
        <f t="shared" si="1"/>
        <v>0</v>
      </c>
      <c r="L10" s="11"/>
      <c r="M10" s="11"/>
      <c r="N10" s="11"/>
      <c r="O10" s="11">
        <f t="shared" si="2"/>
        <v>0</v>
      </c>
      <c r="P10" s="13"/>
      <c r="Q10" s="13"/>
      <c r="R10" s="11"/>
      <c r="S10" s="11" t="e">
        <f t="shared" si="3"/>
        <v>#DIV/0!</v>
      </c>
      <c r="T10" s="11" t="e">
        <f t="shared" si="4"/>
        <v>#DIV/0!</v>
      </c>
      <c r="U10" s="11">
        <v>0</v>
      </c>
      <c r="V10" s="11">
        <v>-0.2</v>
      </c>
      <c r="W10" s="11">
        <v>1.5</v>
      </c>
      <c r="X10" s="11">
        <v>2.5263157894736841</v>
      </c>
      <c r="Y10" s="11">
        <v>-0.6</v>
      </c>
      <c r="Z10" s="14" t="s">
        <v>33</v>
      </c>
      <c r="AA10" s="1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1" t="s">
        <v>39</v>
      </c>
      <c r="B11" s="11" t="s">
        <v>31</v>
      </c>
      <c r="C11" s="11">
        <v>101</v>
      </c>
      <c r="D11" s="11"/>
      <c r="E11" s="11"/>
      <c r="F11" s="11">
        <v>101</v>
      </c>
      <c r="G11" s="12">
        <v>0</v>
      </c>
      <c r="H11" s="11"/>
      <c r="I11" s="11" t="s">
        <v>38</v>
      </c>
      <c r="J11" s="11"/>
      <c r="K11" s="11">
        <f t="shared" si="1"/>
        <v>0</v>
      </c>
      <c r="L11" s="11"/>
      <c r="M11" s="11"/>
      <c r="N11" s="11"/>
      <c r="O11" s="11">
        <f t="shared" si="2"/>
        <v>0</v>
      </c>
      <c r="P11" s="13"/>
      <c r="Q11" s="13"/>
      <c r="R11" s="11"/>
      <c r="S11" s="11" t="e">
        <f t="shared" si="3"/>
        <v>#DIV/0!</v>
      </c>
      <c r="T11" s="11" t="e">
        <f t="shared" si="4"/>
        <v>#DIV/0!</v>
      </c>
      <c r="U11" s="11">
        <v>1.2</v>
      </c>
      <c r="V11" s="11">
        <v>2.4</v>
      </c>
      <c r="W11" s="11">
        <v>0</v>
      </c>
      <c r="X11" s="11">
        <v>3.2105263157894739</v>
      </c>
      <c r="Y11" s="11">
        <v>1.4</v>
      </c>
      <c r="Z11" s="14" t="s">
        <v>33</v>
      </c>
      <c r="AA11" s="1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0" t="s">
        <v>40</v>
      </c>
      <c r="B12" s="1" t="s">
        <v>31</v>
      </c>
      <c r="C12" s="1"/>
      <c r="D12" s="1"/>
      <c r="E12" s="1"/>
      <c r="F12" s="1"/>
      <c r="G12" s="7">
        <v>0.3</v>
      </c>
      <c r="H12" s="1">
        <v>180</v>
      </c>
      <c r="I12" s="1"/>
      <c r="J12" s="1"/>
      <c r="K12" s="1">
        <f t="shared" si="1"/>
        <v>0</v>
      </c>
      <c r="L12" s="1"/>
      <c r="M12" s="1"/>
      <c r="N12" s="1"/>
      <c r="O12" s="1">
        <f t="shared" si="2"/>
        <v>0</v>
      </c>
      <c r="P12" s="15">
        <v>65</v>
      </c>
      <c r="Q12" s="5"/>
      <c r="R12" s="1"/>
      <c r="S12" s="1" t="e">
        <f t="shared" si="3"/>
        <v>#DIV/0!</v>
      </c>
      <c r="T12" s="1" t="e">
        <f t="shared" si="4"/>
        <v>#DIV/0!</v>
      </c>
      <c r="U12" s="1">
        <v>0</v>
      </c>
      <c r="V12" s="1">
        <v>0</v>
      </c>
      <c r="W12" s="1">
        <v>0</v>
      </c>
      <c r="X12" s="1">
        <v>6.5789473684210522</v>
      </c>
      <c r="Y12" s="1">
        <v>2.4</v>
      </c>
      <c r="Z12" s="1"/>
      <c r="AA12" s="1">
        <f>G12*P12</f>
        <v>19.5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0" t="s">
        <v>41</v>
      </c>
      <c r="B13" s="1" t="s">
        <v>31</v>
      </c>
      <c r="C13" s="1"/>
      <c r="D13" s="1"/>
      <c r="E13" s="1"/>
      <c r="F13" s="1"/>
      <c r="G13" s="7">
        <v>0.25</v>
      </c>
      <c r="H13" s="1">
        <v>180</v>
      </c>
      <c r="I13" s="1"/>
      <c r="J13" s="1"/>
      <c r="K13" s="1">
        <f t="shared" si="1"/>
        <v>0</v>
      </c>
      <c r="L13" s="1"/>
      <c r="M13" s="1"/>
      <c r="N13" s="1"/>
      <c r="O13" s="1">
        <f t="shared" si="2"/>
        <v>0</v>
      </c>
      <c r="P13" s="15">
        <v>50</v>
      </c>
      <c r="Q13" s="5"/>
      <c r="R13" s="1"/>
      <c r="S13" s="1" t="e">
        <f t="shared" si="3"/>
        <v>#DIV/0!</v>
      </c>
      <c r="T13" s="1" t="e">
        <f t="shared" si="4"/>
        <v>#DIV/0!</v>
      </c>
      <c r="U13" s="1">
        <v>0</v>
      </c>
      <c r="V13" s="1">
        <v>0</v>
      </c>
      <c r="W13" s="1">
        <v>0</v>
      </c>
      <c r="X13" s="1">
        <v>5.1052631578947372</v>
      </c>
      <c r="Y13" s="1">
        <v>-0.2</v>
      </c>
      <c r="Z13" s="1"/>
      <c r="AA13" s="1">
        <f>G13*P13</f>
        <v>12.5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0" t="s">
        <v>42</v>
      </c>
      <c r="B14" s="1" t="s">
        <v>31</v>
      </c>
      <c r="C14" s="1">
        <v>272</v>
      </c>
      <c r="D14" s="1"/>
      <c r="E14" s="1"/>
      <c r="F14" s="1">
        <v>272</v>
      </c>
      <c r="G14" s="7">
        <v>0.25</v>
      </c>
      <c r="H14" s="1">
        <v>180</v>
      </c>
      <c r="I14" s="1"/>
      <c r="J14" s="1"/>
      <c r="K14" s="1">
        <f t="shared" si="1"/>
        <v>0</v>
      </c>
      <c r="L14" s="1"/>
      <c r="M14" s="1"/>
      <c r="N14" s="1"/>
      <c r="O14" s="1">
        <f t="shared" si="2"/>
        <v>0</v>
      </c>
      <c r="P14" s="5"/>
      <c r="Q14" s="5"/>
      <c r="R14" s="1"/>
      <c r="S14" s="1" t="e">
        <f t="shared" si="3"/>
        <v>#DIV/0!</v>
      </c>
      <c r="T14" s="1" t="e">
        <f t="shared" si="4"/>
        <v>#DIV/0!</v>
      </c>
      <c r="U14" s="1">
        <v>2.4</v>
      </c>
      <c r="V14" s="1">
        <v>6</v>
      </c>
      <c r="W14" s="1">
        <v>3</v>
      </c>
      <c r="X14" s="1">
        <v>6.3684210526315788</v>
      </c>
      <c r="Y14" s="1">
        <v>0.4</v>
      </c>
      <c r="Z14" s="14" t="s">
        <v>33</v>
      </c>
      <c r="AA14" s="1">
        <f>G14*P14</f>
        <v>0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0"/>
      <c r="B15" s="1"/>
      <c r="C15" s="1"/>
      <c r="D15" s="1"/>
      <c r="E15" s="1"/>
      <c r="F15" s="1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/>
      <c r="B16" s="1"/>
      <c r="C16" s="1"/>
      <c r="D16" s="1"/>
      <c r="E16" s="1"/>
      <c r="F16" s="1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</sheetData>
  <autoFilter ref="A3:AA14" xr:uid="{65A62F4C-2859-4379-AF6C-A31E5B4A0F9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2025-04-10T14:58:33Z</dcterms:created>
  <dcterms:modified xsi:type="dcterms:W3CDTF">2025-04-10T15:01:36Z</dcterms:modified>
</cp:coreProperties>
</file>