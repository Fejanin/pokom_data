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/>
  <mc:AlternateContent xmlns:mc="http://schemas.openxmlformats.org/markup-compatibility/2006">
    <mc:Choice Requires="x15">
      <x15ac:absPath xmlns:x15ac="http://schemas.microsoft.com/office/spreadsheetml/2010/11/ac" url="C:\Users\Uaer4\Desktop\24,04,25 ПОКОМ КИ Ташкент\"/>
    </mc:Choice>
  </mc:AlternateContent>
  <xr:revisionPtr revIDLastSave="0" documentId="13_ncr:1_{DBF81377-FFA4-43EE-989D-6E62C533E0F8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Sheet" sheetId="1" r:id="rId1"/>
  </sheets>
  <externalReferences>
    <externalReference r:id="rId2"/>
  </externalReferences>
  <definedNames>
    <definedName name="_xlnm._FilterDatabase" localSheetId="0" hidden="1">Sheet!$A$3:$AI$81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G46" i="1" l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33" i="1"/>
  <c r="G34" i="1"/>
  <c r="G35" i="1"/>
  <c r="G36" i="1"/>
  <c r="G37" i="1"/>
  <c r="G38" i="1"/>
  <c r="G39" i="1"/>
  <c r="G40" i="1"/>
  <c r="G41" i="1"/>
  <c r="G42" i="1"/>
  <c r="G43" i="1"/>
  <c r="G44" i="1"/>
  <c r="G45" i="1"/>
  <c r="G47" i="1"/>
  <c r="G48" i="1"/>
  <c r="G49" i="1"/>
  <c r="G51" i="1"/>
  <c r="G52" i="1"/>
  <c r="G53" i="1"/>
  <c r="G54" i="1"/>
  <c r="G55" i="1"/>
  <c r="G56" i="1"/>
  <c r="G57" i="1"/>
  <c r="G58" i="1"/>
  <c r="G59" i="1"/>
  <c r="G60" i="1"/>
  <c r="G61" i="1"/>
  <c r="G62" i="1"/>
  <c r="G63" i="1"/>
  <c r="G64" i="1"/>
  <c r="G65" i="1"/>
  <c r="G66" i="1"/>
  <c r="G67" i="1"/>
  <c r="G68" i="1"/>
  <c r="G69" i="1"/>
  <c r="G70" i="1"/>
  <c r="G71" i="1"/>
  <c r="G72" i="1"/>
  <c r="G73" i="1"/>
  <c r="G74" i="1"/>
  <c r="G75" i="1"/>
  <c r="G76" i="1"/>
  <c r="G77" i="1"/>
  <c r="G78" i="1"/>
  <c r="G79" i="1"/>
  <c r="G80" i="1"/>
  <c r="G81" i="1"/>
  <c r="G6" i="1"/>
  <c r="G7" i="1"/>
  <c r="G8" i="1"/>
  <c r="Q7" i="1"/>
  <c r="Q8" i="1"/>
  <c r="Q9" i="1"/>
  <c r="Q10" i="1"/>
  <c r="Q11" i="1"/>
  <c r="Q12" i="1"/>
  <c r="Q13" i="1"/>
  <c r="Q14" i="1"/>
  <c r="Q15" i="1"/>
  <c r="Q16" i="1"/>
  <c r="Q17" i="1"/>
  <c r="Q18" i="1"/>
  <c r="Q19" i="1"/>
  <c r="Q20" i="1"/>
  <c r="Q21" i="1"/>
  <c r="Q22" i="1"/>
  <c r="Q23" i="1"/>
  <c r="Q24" i="1"/>
  <c r="Q25" i="1"/>
  <c r="Q26" i="1"/>
  <c r="Q27" i="1"/>
  <c r="Q28" i="1"/>
  <c r="Q29" i="1"/>
  <c r="Q30" i="1"/>
  <c r="Q31" i="1"/>
  <c r="Q32" i="1"/>
  <c r="Q33" i="1"/>
  <c r="Q34" i="1"/>
  <c r="Q35" i="1"/>
  <c r="Q36" i="1"/>
  <c r="Q37" i="1"/>
  <c r="Q38" i="1"/>
  <c r="Q39" i="1"/>
  <c r="Q40" i="1"/>
  <c r="Q41" i="1"/>
  <c r="Q42" i="1"/>
  <c r="Q43" i="1"/>
  <c r="Q44" i="1"/>
  <c r="Q45" i="1"/>
  <c r="Q46" i="1"/>
  <c r="Q47" i="1"/>
  <c r="Q48" i="1"/>
  <c r="Q49" i="1"/>
  <c r="Q50" i="1"/>
  <c r="Q51" i="1"/>
  <c r="Q52" i="1"/>
  <c r="Q53" i="1"/>
  <c r="Q54" i="1"/>
  <c r="Q55" i="1"/>
  <c r="Q56" i="1"/>
  <c r="Q57" i="1"/>
  <c r="Q58" i="1"/>
  <c r="Q59" i="1"/>
  <c r="Q60" i="1"/>
  <c r="Q61" i="1"/>
  <c r="Q62" i="1"/>
  <c r="Q63" i="1"/>
  <c r="Q64" i="1"/>
  <c r="Q65" i="1"/>
  <c r="Q66" i="1"/>
  <c r="Q67" i="1"/>
  <c r="Q68" i="1"/>
  <c r="Q69" i="1"/>
  <c r="Q70" i="1"/>
  <c r="Q71" i="1"/>
  <c r="Q72" i="1"/>
  <c r="Q73" i="1"/>
  <c r="Q74" i="1"/>
  <c r="Q75" i="1"/>
  <c r="Q76" i="1"/>
  <c r="Q77" i="1"/>
  <c r="Q78" i="1"/>
  <c r="Q79" i="1"/>
  <c r="Q80" i="1"/>
  <c r="Q81" i="1"/>
  <c r="Q6" i="1"/>
  <c r="G5" i="1" l="1"/>
  <c r="Q5" i="1"/>
  <c r="AI45" i="1" l="1"/>
  <c r="AI35" i="1"/>
  <c r="AI33" i="1"/>
  <c r="AI31" i="1"/>
  <c r="AI27" i="1"/>
  <c r="AI15" i="1"/>
  <c r="F49" i="1"/>
  <c r="E49" i="1"/>
  <c r="R49" i="1" s="1"/>
  <c r="E48" i="1"/>
  <c r="R48" i="1" s="1"/>
  <c r="F47" i="1"/>
  <c r="E47" i="1"/>
  <c r="R47" i="1" s="1"/>
  <c r="AI47" i="1" s="1"/>
  <c r="E45" i="1"/>
  <c r="R45" i="1" s="1"/>
  <c r="F42" i="1"/>
  <c r="E42" i="1"/>
  <c r="R42" i="1" s="1"/>
  <c r="F41" i="1"/>
  <c r="E41" i="1"/>
  <c r="R41" i="1" s="1"/>
  <c r="F40" i="1"/>
  <c r="E40" i="1"/>
  <c r="R40" i="1" s="1"/>
  <c r="F39" i="1"/>
  <c r="E39" i="1"/>
  <c r="L39" i="1" s="1"/>
  <c r="F37" i="1"/>
  <c r="E37" i="1"/>
  <c r="R37" i="1" s="1"/>
  <c r="E30" i="1"/>
  <c r="R30" i="1" s="1"/>
  <c r="F29" i="1"/>
  <c r="E29" i="1"/>
  <c r="L29" i="1" s="1"/>
  <c r="E28" i="1"/>
  <c r="R28" i="1" s="1"/>
  <c r="E26" i="1"/>
  <c r="R26" i="1" s="1"/>
  <c r="E24" i="1"/>
  <c r="L24" i="1" s="1"/>
  <c r="E19" i="1"/>
  <c r="R19" i="1" s="1"/>
  <c r="E17" i="1"/>
  <c r="L17" i="1" s="1"/>
  <c r="F7" i="1"/>
  <c r="E7" i="1"/>
  <c r="R7" i="1" s="1"/>
  <c r="F46" i="1"/>
  <c r="E46" i="1"/>
  <c r="L46" i="1" s="1"/>
  <c r="R8" i="1"/>
  <c r="R9" i="1"/>
  <c r="R10" i="1"/>
  <c r="R11" i="1"/>
  <c r="S11" i="1" s="1"/>
  <c r="AI11" i="1" s="1"/>
  <c r="R12" i="1"/>
  <c r="R13" i="1"/>
  <c r="V13" i="1" s="1"/>
  <c r="R14" i="1"/>
  <c r="R15" i="1"/>
  <c r="R16" i="1"/>
  <c r="AI16" i="1" s="1"/>
  <c r="R17" i="1"/>
  <c r="R18" i="1"/>
  <c r="R20" i="1"/>
  <c r="R21" i="1"/>
  <c r="R22" i="1"/>
  <c r="AI22" i="1" s="1"/>
  <c r="R23" i="1"/>
  <c r="R24" i="1"/>
  <c r="AI24" i="1" s="1"/>
  <c r="R25" i="1"/>
  <c r="R27" i="1"/>
  <c r="R29" i="1"/>
  <c r="R31" i="1"/>
  <c r="R32" i="1"/>
  <c r="R33" i="1"/>
  <c r="R34" i="1"/>
  <c r="R35" i="1"/>
  <c r="R36" i="1"/>
  <c r="R38" i="1"/>
  <c r="R43" i="1"/>
  <c r="R44" i="1"/>
  <c r="R50" i="1"/>
  <c r="V50" i="1" s="1"/>
  <c r="R64" i="1"/>
  <c r="V64" i="1" s="1"/>
  <c r="R65" i="1"/>
  <c r="V65" i="1" s="1"/>
  <c r="R66" i="1"/>
  <c r="V66" i="1" s="1"/>
  <c r="R67" i="1"/>
  <c r="V67" i="1" s="1"/>
  <c r="R68" i="1"/>
  <c r="V68" i="1" s="1"/>
  <c r="R69" i="1"/>
  <c r="V69" i="1" s="1"/>
  <c r="R70" i="1"/>
  <c r="V70" i="1" s="1"/>
  <c r="R71" i="1"/>
  <c r="V71" i="1" s="1"/>
  <c r="R72" i="1"/>
  <c r="V72" i="1" s="1"/>
  <c r="R73" i="1"/>
  <c r="V73" i="1" s="1"/>
  <c r="R74" i="1"/>
  <c r="V74" i="1" s="1"/>
  <c r="R75" i="1"/>
  <c r="V75" i="1" s="1"/>
  <c r="R76" i="1"/>
  <c r="V76" i="1" s="1"/>
  <c r="R77" i="1"/>
  <c r="V77" i="1" s="1"/>
  <c r="R78" i="1"/>
  <c r="V78" i="1" s="1"/>
  <c r="R79" i="1"/>
  <c r="V79" i="1" s="1"/>
  <c r="R80" i="1"/>
  <c r="V80" i="1" s="1"/>
  <c r="R81" i="1"/>
  <c r="V81" i="1" s="1"/>
  <c r="R51" i="1"/>
  <c r="R52" i="1"/>
  <c r="R53" i="1"/>
  <c r="R54" i="1"/>
  <c r="R55" i="1"/>
  <c r="R56" i="1"/>
  <c r="R57" i="1"/>
  <c r="R58" i="1"/>
  <c r="V58" i="1" s="1"/>
  <c r="R59" i="1"/>
  <c r="V59" i="1" s="1"/>
  <c r="R60" i="1"/>
  <c r="V60" i="1" s="1"/>
  <c r="R61" i="1"/>
  <c r="V61" i="1" s="1"/>
  <c r="R62" i="1"/>
  <c r="V62" i="1" s="1"/>
  <c r="R63" i="1"/>
  <c r="V63" i="1" s="1"/>
  <c r="R6" i="1"/>
  <c r="W6" i="1" s="1"/>
  <c r="L63" i="1"/>
  <c r="L62" i="1"/>
  <c r="L61" i="1"/>
  <c r="L60" i="1"/>
  <c r="L59" i="1"/>
  <c r="L58" i="1"/>
  <c r="L57" i="1"/>
  <c r="L56" i="1"/>
  <c r="L55" i="1"/>
  <c r="L54" i="1"/>
  <c r="L53" i="1"/>
  <c r="L52" i="1"/>
  <c r="L51" i="1"/>
  <c r="L81" i="1"/>
  <c r="L80" i="1"/>
  <c r="L79" i="1"/>
  <c r="L78" i="1"/>
  <c r="L77" i="1"/>
  <c r="L76" i="1"/>
  <c r="L75" i="1"/>
  <c r="L74" i="1"/>
  <c r="L73" i="1"/>
  <c r="L72" i="1"/>
  <c r="L71" i="1"/>
  <c r="L70" i="1"/>
  <c r="L69" i="1"/>
  <c r="L68" i="1"/>
  <c r="L67" i="1"/>
  <c r="L66" i="1"/>
  <c r="L65" i="1"/>
  <c r="L64" i="1"/>
  <c r="L50" i="1"/>
  <c r="L44" i="1"/>
  <c r="L43" i="1"/>
  <c r="AI41" i="1"/>
  <c r="L38" i="1"/>
  <c r="L36" i="1"/>
  <c r="L35" i="1"/>
  <c r="L34" i="1"/>
  <c r="L33" i="1"/>
  <c r="L32" i="1"/>
  <c r="L31" i="1"/>
  <c r="L27" i="1"/>
  <c r="L25" i="1"/>
  <c r="L23" i="1"/>
  <c r="L22" i="1"/>
  <c r="L21" i="1"/>
  <c r="AI20" i="1"/>
  <c r="L20" i="1"/>
  <c r="AI18" i="1"/>
  <c r="L18" i="1"/>
  <c r="AI17" i="1"/>
  <c r="L16" i="1"/>
  <c r="L15" i="1"/>
  <c r="AI14" i="1"/>
  <c r="L14" i="1"/>
  <c r="L13" i="1"/>
  <c r="L12" i="1"/>
  <c r="L11" i="1"/>
  <c r="L10" i="1"/>
  <c r="L9" i="1"/>
  <c r="AI8" i="1"/>
  <c r="L8" i="1"/>
  <c r="L6" i="1"/>
  <c r="AG5" i="1"/>
  <c r="AF5" i="1"/>
  <c r="AE5" i="1"/>
  <c r="AD5" i="1"/>
  <c r="AC5" i="1"/>
  <c r="AB5" i="1"/>
  <c r="AA5" i="1"/>
  <c r="Z5" i="1"/>
  <c r="Y5" i="1"/>
  <c r="X5" i="1"/>
  <c r="T5" i="1"/>
  <c r="P5" i="1"/>
  <c r="O5" i="1"/>
  <c r="N5" i="1"/>
  <c r="M5" i="1"/>
  <c r="K5" i="1"/>
  <c r="S29" i="1" l="1"/>
  <c r="AI29" i="1" s="1"/>
  <c r="S37" i="1"/>
  <c r="AI37" i="1" s="1"/>
  <c r="S49" i="1"/>
  <c r="AI49" i="1" s="1"/>
  <c r="S7" i="1"/>
  <c r="AI7" i="1" s="1"/>
  <c r="S40" i="1"/>
  <c r="AI40" i="1" s="1"/>
  <c r="S42" i="1"/>
  <c r="AI42" i="1" s="1"/>
  <c r="V56" i="1"/>
  <c r="V52" i="1"/>
  <c r="V30" i="1"/>
  <c r="AI19" i="1"/>
  <c r="S21" i="1"/>
  <c r="AI21" i="1" s="1"/>
  <c r="AI23" i="1"/>
  <c r="AI25" i="1"/>
  <c r="AI43" i="1"/>
  <c r="AI52" i="1"/>
  <c r="AI54" i="1"/>
  <c r="AI56" i="1"/>
  <c r="V57" i="1"/>
  <c r="V53" i="1"/>
  <c r="AI9" i="1"/>
  <c r="AI26" i="1"/>
  <c r="AI28" i="1"/>
  <c r="AI30" i="1"/>
  <c r="AI32" i="1"/>
  <c r="AI34" i="1"/>
  <c r="AI36" i="1"/>
  <c r="AI38" i="1"/>
  <c r="S44" i="1"/>
  <c r="AI44" i="1" s="1"/>
  <c r="AI48" i="1"/>
  <c r="S51" i="1"/>
  <c r="AI51" i="1" s="1"/>
  <c r="AI53" i="1"/>
  <c r="S55" i="1"/>
  <c r="AI55" i="1" s="1"/>
  <c r="AI57" i="1"/>
  <c r="V35" i="1"/>
  <c r="V33" i="1"/>
  <c r="V31" i="1"/>
  <c r="V27" i="1"/>
  <c r="V17" i="1"/>
  <c r="V15" i="1"/>
  <c r="V11" i="1"/>
  <c r="V45" i="1"/>
  <c r="V49" i="1"/>
  <c r="L49" i="1"/>
  <c r="R39" i="1"/>
  <c r="S39" i="1" s="1"/>
  <c r="AI39" i="1" s="1"/>
  <c r="L48" i="1"/>
  <c r="V47" i="1"/>
  <c r="L47" i="1"/>
  <c r="L26" i="1"/>
  <c r="L30" i="1"/>
  <c r="L45" i="1"/>
  <c r="L42" i="1"/>
  <c r="V42" i="1"/>
  <c r="V41" i="1"/>
  <c r="L41" i="1"/>
  <c r="L40" i="1"/>
  <c r="V40" i="1"/>
  <c r="L37" i="1"/>
  <c r="L28" i="1"/>
  <c r="V29" i="1"/>
  <c r="F5" i="1"/>
  <c r="L19" i="1"/>
  <c r="E5" i="1"/>
  <c r="R46" i="1"/>
  <c r="L7" i="1"/>
  <c r="W80" i="1"/>
  <c r="W78" i="1"/>
  <c r="W76" i="1"/>
  <c r="W74" i="1"/>
  <c r="W72" i="1"/>
  <c r="W70" i="1"/>
  <c r="W68" i="1"/>
  <c r="W66" i="1"/>
  <c r="W64" i="1"/>
  <c r="W61" i="1"/>
  <c r="W57" i="1"/>
  <c r="W53" i="1"/>
  <c r="W49" i="1"/>
  <c r="W45" i="1"/>
  <c r="W41" i="1"/>
  <c r="W37" i="1"/>
  <c r="W33" i="1"/>
  <c r="W29" i="1"/>
  <c r="W25" i="1"/>
  <c r="W21" i="1"/>
  <c r="W17" i="1"/>
  <c r="W13" i="1"/>
  <c r="W9" i="1"/>
  <c r="W81" i="1"/>
  <c r="W79" i="1"/>
  <c r="W77" i="1"/>
  <c r="W75" i="1"/>
  <c r="W73" i="1"/>
  <c r="W71" i="1"/>
  <c r="W69" i="1"/>
  <c r="W67" i="1"/>
  <c r="W65" i="1"/>
  <c r="W63" i="1"/>
  <c r="W59" i="1"/>
  <c r="W55" i="1"/>
  <c r="W51" i="1"/>
  <c r="W47" i="1"/>
  <c r="W43" i="1"/>
  <c r="W35" i="1"/>
  <c r="W31" i="1"/>
  <c r="W27" i="1"/>
  <c r="W23" i="1"/>
  <c r="W19" i="1"/>
  <c r="W15" i="1"/>
  <c r="W11" i="1"/>
  <c r="W7" i="1"/>
  <c r="V24" i="1"/>
  <c r="W24" i="1"/>
  <c r="V22" i="1"/>
  <c r="W22" i="1"/>
  <c r="V20" i="1"/>
  <c r="W20" i="1"/>
  <c r="V18" i="1"/>
  <c r="W18" i="1"/>
  <c r="V16" i="1"/>
  <c r="W16" i="1"/>
  <c r="V14" i="1"/>
  <c r="W14" i="1"/>
  <c r="V12" i="1"/>
  <c r="W12" i="1"/>
  <c r="V10" i="1"/>
  <c r="W10" i="1"/>
  <c r="V8" i="1"/>
  <c r="W8" i="1"/>
  <c r="V6" i="1"/>
  <c r="W62" i="1"/>
  <c r="W60" i="1"/>
  <c r="W58" i="1"/>
  <c r="W56" i="1"/>
  <c r="W54" i="1"/>
  <c r="W52" i="1"/>
  <c r="W50" i="1"/>
  <c r="W48" i="1"/>
  <c r="W44" i="1"/>
  <c r="W42" i="1"/>
  <c r="W40" i="1"/>
  <c r="W38" i="1"/>
  <c r="W36" i="1"/>
  <c r="W34" i="1"/>
  <c r="W32" i="1"/>
  <c r="W30" i="1"/>
  <c r="W28" i="1"/>
  <c r="W26" i="1"/>
  <c r="V37" i="1" l="1"/>
  <c r="W39" i="1"/>
  <c r="V7" i="1"/>
  <c r="V9" i="1"/>
  <c r="V44" i="1"/>
  <c r="V19" i="1"/>
  <c r="V23" i="1"/>
  <c r="V32" i="1"/>
  <c r="V36" i="1"/>
  <c r="AI46" i="1"/>
  <c r="AI5" i="1" s="1"/>
  <c r="V39" i="1"/>
  <c r="V28" i="1"/>
  <c r="V38" i="1"/>
  <c r="V51" i="1"/>
  <c r="V55" i="1"/>
  <c r="V48" i="1"/>
  <c r="V26" i="1"/>
  <c r="V21" i="1"/>
  <c r="V25" i="1"/>
  <c r="V34" i="1"/>
  <c r="V43" i="1"/>
  <c r="V54" i="1"/>
  <c r="L5" i="1"/>
  <c r="R5" i="1"/>
  <c r="W46" i="1"/>
  <c r="S5" i="1" l="1"/>
  <c r="V46" i="1"/>
</calcChain>
</file>

<file path=xl/sharedStrings.xml><?xml version="1.0" encoding="utf-8"?>
<sst xmlns="http://schemas.openxmlformats.org/spreadsheetml/2006/main" count="249" uniqueCount="133">
  <si>
    <t>Номенклатура</t>
  </si>
  <si>
    <t>Ед. изм.</t>
  </si>
  <si>
    <t>Начальный остаток</t>
  </si>
  <si>
    <t>Приход</t>
  </si>
  <si>
    <t>Расход</t>
  </si>
  <si>
    <t>Конечный остаток</t>
  </si>
  <si>
    <t>крат</t>
  </si>
  <si>
    <t>сроки</t>
  </si>
  <si>
    <t>метка</t>
  </si>
  <si>
    <t>заяв</t>
  </si>
  <si>
    <t>разн</t>
  </si>
  <si>
    <t>без опта</t>
  </si>
  <si>
    <t>опт</t>
  </si>
  <si>
    <t>заказ в пути</t>
  </si>
  <si>
    <t>ср нов</t>
  </si>
  <si>
    <t>расчет</t>
  </si>
  <si>
    <t>заказ филиала</t>
  </si>
  <si>
    <t>Комментарии филиала</t>
  </si>
  <si>
    <t>кон ост</t>
  </si>
  <si>
    <t>факт</t>
  </si>
  <si>
    <t>ср</t>
  </si>
  <si>
    <t>комментарии</t>
  </si>
  <si>
    <t>вес</t>
  </si>
  <si>
    <t>16,04,</t>
  </si>
  <si>
    <t>23,04,</t>
  </si>
  <si>
    <t>24,04,</t>
  </si>
  <si>
    <t>17,04,</t>
  </si>
  <si>
    <t>10,04,</t>
  </si>
  <si>
    <t>03,04,</t>
  </si>
  <si>
    <t>27,03,</t>
  </si>
  <si>
    <t>20,03,</t>
  </si>
  <si>
    <t>13,03,</t>
  </si>
  <si>
    <t>06,03,</t>
  </si>
  <si>
    <t>25,02,</t>
  </si>
  <si>
    <t>20,02,</t>
  </si>
  <si>
    <t>13,02,</t>
  </si>
  <si>
    <t xml:space="preserve"> 1192 Колбаса Вязанка со шпикам Вязанка 0,5кг</t>
  </si>
  <si>
    <t>шт</t>
  </si>
  <si>
    <t>нет в бланке</t>
  </si>
  <si>
    <t>квант / нет в бланке</t>
  </si>
  <si>
    <t>0178 Ветчины Нежная Особая Особая Весовые П/а Особый рецепт большой батон  ПОКОМ</t>
  </si>
  <si>
    <t>кг</t>
  </si>
  <si>
    <t>мин 200</t>
  </si>
  <si>
    <t>0222-Ветчины Дугушка Дугушка б/о Стародворье, 1кг</t>
  </si>
  <si>
    <t>0232 С/к колбасы Княжеская Бордо Весовые б/о терм/п Стародворье</t>
  </si>
  <si>
    <t>нужно увеличить продажи!!!</t>
  </si>
  <si>
    <t>0235 С/к колбасы Салями Охотничья Бордо Весовые б/о терм/п 180 Стародворье</t>
  </si>
  <si>
    <t>нужно увеличить продажи / нет в бланке</t>
  </si>
  <si>
    <t>0262 Ветчина «Сочинка с сочным окороком» Весовой п/а ТМ «Стародворье»  ПОКОМ</t>
  </si>
  <si>
    <t>0359 Сардельки «Шпикачки Сочинки» Весовой н/о ТМ «Стародворье»  ПОКОМ</t>
  </si>
  <si>
    <t>добавили ТК (нет на заводе)</t>
  </si>
  <si>
    <t>0360 Сардельки «Сочинки» Весовой н/о ТМ «Стародворье»  ПОКОМ</t>
  </si>
  <si>
    <t>1118 В/к колбасы Салями Запеченая Дугушка  Вектор Стародворье, 1кг</t>
  </si>
  <si>
    <t>1120 В/к колбасы Сервелат Запеченный Дугушка Вес Вектор Стародворье, вес 1кг</t>
  </si>
  <si>
    <t>пожеланиеи тк</t>
  </si>
  <si>
    <t>1201 В/к колбасы Сервелат Мясорубский с мелкорубленным окороком Бордо Весовой фиброуз Стародворье  П</t>
  </si>
  <si>
    <t>1202 В/к колбасы Сервелат Мясорубский с мелкорубленным окороком срез Бордо Фикс.вес 0,35 фиброуз Ста</t>
  </si>
  <si>
    <t>1204 Копченые колбасы Салями Мясорубская с рубленым шпиком Бордо Весовой фиброуз Стародворье  ПОКОМ</t>
  </si>
  <si>
    <t>1205 Копченые колбасы Салями Мясорубская с рубленым шпиком срез Бордо ф/в 0,35 фиброуз Стародворье  ПОКОМ</t>
  </si>
  <si>
    <t>1224 В/к колбасы «Сочинка по-европейски с сочной грудинкой» Весовой фиброуз ТМ «Стародворье»  ПОКОМ</t>
  </si>
  <si>
    <t>1231 Сосиски Сливочные Дугушки Дугушка Весовые П/а Стародворье, вес 1кг</t>
  </si>
  <si>
    <t>1284-Сосиски Баварушки ТМ Баварушка в оболочке амицел в модифицированной газовой среде 0,6 кг.</t>
  </si>
  <si>
    <t>1314-Сосиски Молокуши миникушай Вязанка Ф/в 0,45 амилюкс мгс Вязанка</t>
  </si>
  <si>
    <t>1370-Сосиски Сочинки Бордо Весовой п/а Стародворье</t>
  </si>
  <si>
    <t>26,02,25 завод не отгрузил 350кг, пожелание тк</t>
  </si>
  <si>
    <t>1371-Сосиски Сочинки с сочной грудинкой Бордо Фикс.вес 0,4 П/а мгс Стародворье</t>
  </si>
  <si>
    <t>1372-Сосиски Сочинки с сочным окороком Бордо Фикс.вес 0,4 П/а мгс Стародворье</t>
  </si>
  <si>
    <t>1409 Сосиски Сочинки по-баварски ТМ Стародворье полиамид мгс вес СК3  ПОКОМ</t>
  </si>
  <si>
    <t>1411 Сосиски «Сочинки Сливочные» Весовые ТМ «Стародворье» 1,35 кг  ПОКОМ</t>
  </si>
  <si>
    <t>мин40</t>
  </si>
  <si>
    <t>1444 Сосиски «Сочные без свинины» ф/в 0,4 кг ТМ «Особый рецепт»  ПОКОМ</t>
  </si>
  <si>
    <t>1445 Сосиски «Сочные без свинины» Весовые ТМ «Особый рецепт» 1,3 кг  ПОКОМ</t>
  </si>
  <si>
    <t>1461 Сосиски «Баварские» Фикс.вес 0,35 П/а ТМ «Стародворье»  ПОКОМ</t>
  </si>
  <si>
    <t>1523-Сосиски Вязанка Молочные ТМ Стародворские колбасы</t>
  </si>
  <si>
    <t>1720-Сосиски Вязанка Сливочные ТМ Стародворские колбасы ТС Вязанка амицел в мод газов.среде 0,45кг</t>
  </si>
  <si>
    <t>1721-Сосиски Вязанка Сливочные ТМ Стародворские колбасы</t>
  </si>
  <si>
    <t>1728-Сосиски сливочные по-стародворски в оболочке</t>
  </si>
  <si>
    <t>1851-Колбаса Филедворская по-стародворски ТМ Стародворье в оболочке полиамид 0,4 кг.  ПОКОМ</t>
  </si>
  <si>
    <t>1867-Колбаса Филейная ТМ Особый рецепт в оболочке полиамид большой батон.  ПОКОМ</t>
  </si>
  <si>
    <t>1868-Колбаса Филейная ТМ Особый рецепт в оболочке полиамид 0,5 кг.  ПОКОМ</t>
  </si>
  <si>
    <t>завод не отгружает / мин 200</t>
  </si>
  <si>
    <t>1869-Колбаса Молочная ТМ Особый рецепт в оболочке полиамид большой батон.  ПОКОМ</t>
  </si>
  <si>
    <t>1870-Колбаса Со шпиком ТМ Особый рецепт в оболочке полиамид большой батон.  ПОКОМ</t>
  </si>
  <si>
    <t>1871-Колбаса Филейная оригинальная ТМ Особый рецепт в оболочке полиамид 0,4 кг.  ПОКОМ</t>
  </si>
  <si>
    <t>26,02,25 завод не отгрузил 500шт.</t>
  </si>
  <si>
    <t>1875-Колбаса Филейная оригинальная ТМ Особый рецепт в оболочке полиамид.  ПОКОМ</t>
  </si>
  <si>
    <t>1952-Колбаса Со шпиком ТМ Особый рецепт в оболочке полиамид 0,5 кг.  ПОКОМ</t>
  </si>
  <si>
    <t>2027 Ветчина Нежная п/а ТМ Особый рецепт шт. 0,4кг</t>
  </si>
  <si>
    <t>2074-Сосиски Молочные для завтрака Особый рецепт</t>
  </si>
  <si>
    <t>прогноз</t>
  </si>
  <si>
    <t>2094 Вареные колбасы Докторская Дугушка Дугушка Весовые Вектор Стародворье, вес 1кг</t>
  </si>
  <si>
    <t>есть дубль</t>
  </si>
  <si>
    <t>2150 В/к колбасы Рубленая Запеченная Дугушка Весовые Вектор Стародворье, вес 1кг</t>
  </si>
  <si>
    <t>2205-Сосиски Молочные для завтрака ТМ Особый рецепт 0,4кг</t>
  </si>
  <si>
    <t>2472 Сардельки Левантские Особая Без свинины Весовые NDX мгс Особый рецепт, вес 1кг</t>
  </si>
  <si>
    <t>2634 Колбаса Дугушка Стародворская ТМ Стародворье ТС Дугушка  ПОКОМ</t>
  </si>
  <si>
    <t>дубль на 2094</t>
  </si>
  <si>
    <t>БОНУС_0178 Ветчины Нежная Особая Особая Весовые П/а Особый рецепт большой батон  ПОКОМ</t>
  </si>
  <si>
    <t>бонус</t>
  </si>
  <si>
    <t>БОНУС_1201 В/к колбасы Сервелат Мясорубский с мелкорубленным окороком Бордо Весовой фиброуз Стародворье  ПОКОМ</t>
  </si>
  <si>
    <t>БОНУС_1202 В/к колбасы Сервелат Мясорубский с мелкорубленным окороком срез Бордо Фикс.вес 0,35 фибро</t>
  </si>
  <si>
    <t>БОНУС_1205 Копченые колбасы Салями Мясорубская с рубленым шпиком срез Бордо ф/в 0,35 фиброуз Стародворье</t>
  </si>
  <si>
    <t>БОНУС_1370-Сосиски Сочинки Бордо Весовой п/а Стародворье</t>
  </si>
  <si>
    <t>БОНУС_1372-Сосиски Сочинки с сочным окороком Бордо Фикс.вес 0,4 П/а мгс Стародворье</t>
  </si>
  <si>
    <t>БОНУС_1411 Сосиски «Сочинки Сливочные» Весовые ТМ «Стародворье» 1,35 кг  ПОКОМ</t>
  </si>
  <si>
    <t>БОНУС_1444 Сосиски «Сочные без свинины» ф/в 0,4 кг ТМ «Особый рецепт»  ПОКОМ</t>
  </si>
  <si>
    <t>БОНУС_1445 Сосиски «Сочные без свинины» Весовые ТМ «Особый рецепт» 1,3 кг  ПОКОМ</t>
  </si>
  <si>
    <t>БОНУС_1867-Колбаса Филейная ТМ Особый рецепт в оболочке полиамид большой батон.  ПОКОМ</t>
  </si>
  <si>
    <t>БОНУС_1869-Колбаса Молочная ТМ Особый рецепт в оболочке полиамид большой батон.  ПОКОМ</t>
  </si>
  <si>
    <t>БОНУС_1870-Колбаса Со шпиком ТМ Особый рецепт в оболочке полиамид большой батон.  ПОКОМ</t>
  </si>
  <si>
    <t>БОНУС_1871-Колбаса Филейная оригинальная ТМ Особый рецепт в оболочке полиамид 0,4 кг.  ПОКОМ</t>
  </si>
  <si>
    <t>БОНУС_1875-Колбаса Филейная оригинальная ТМ Особый рецепт в оболочке полиамид.  ПОКОМ</t>
  </si>
  <si>
    <t>БОНУС_2074-Сосиски Молочные для завтрака Особый рецепт</t>
  </si>
  <si>
    <t>БОНУС_2150 В/к колбасы Рубленая Запеченная Дугушка Весовые Вектор Стародворье, вес 1кг</t>
  </si>
  <si>
    <t>БОНУС_2205-Сосиски Молочные для завтрака ТМ Особый рецепт 0,4кг</t>
  </si>
  <si>
    <t>БОНУС_2472 Сардельки Левантские Особая Без свинины Весовые NDX мгс Особый рецепт, вес 1кг</t>
  </si>
  <si>
    <t>Вареные колбасы «Филейская» Весовые Вектор ТМ «Вязанка»  ПОКОМ</t>
  </si>
  <si>
    <t>Вареные колбасы «Филейская» Фикс.вес 0,45 Вектор ТМ «Вязанка»  ПОКОМ</t>
  </si>
  <si>
    <t>Вареные колбасы Докторская ГОСТ Вязанка Фикс.вес 0,4 Вектор Вязанка  ПОКОМ</t>
  </si>
  <si>
    <t>Вареные колбасы Молокуша Вязанка Вес п/а Вязанка  ПОКОМ</t>
  </si>
  <si>
    <t>Вареные колбасы Сливушка Вязанка Фикс.вес 0,45 П/а Вязанка  ПОКОМ</t>
  </si>
  <si>
    <t>С/к колбасы Баварская Бавария Фикс.вес 0,17 б/о терм/п Стародворье</t>
  </si>
  <si>
    <t>С/к колбасы Швейцарская Бордо Фикс.вес 0,17 Фиброуз терм/п Стародворье</t>
  </si>
  <si>
    <t>У_1201 В/к колбасы Сервелат Мясорубский с мелкорубленным окороком Бордо Весовой фиброуз Стародворье  П</t>
  </si>
  <si>
    <t>У_1204 Копченые колбасы Салями Мясорубская с рубленым шпиком Бордо Весовой фиброуз Стародворье  ПОКОМ</t>
  </si>
  <si>
    <t>У_1314-Сосиски Молокуши миникушай Вязанка Ф/в 0,45 амилюкс мгс Вязанка</t>
  </si>
  <si>
    <t>У_1409 Сосиски Сочинки по-баварски ТМ Стародворье полиамид мгс вес СК3  ПОКОМ</t>
  </si>
  <si>
    <t>У_1523-Сосиски Вязанка Молочные ТМ Стародворские колбасы</t>
  </si>
  <si>
    <t>У_1728-Сосиски сливочные по-стародворски в оболочке</t>
  </si>
  <si>
    <t>уценка</t>
  </si>
  <si>
    <t>нужно увеличить продажи</t>
  </si>
  <si>
    <t>ср за 25,04,25</t>
  </si>
  <si>
    <t>ИТОГО ОСТАТОК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</si>
</sst>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_ ;[Red]\-0\ "/>
  </numFmts>
  <fonts count="10" x14ac:knownFonts="1">
    <font>
      <sz val="11"/>
      <color theme="1"/>
      <name val="Calibri"/>
      <family val="2"/>
      <scheme val="minor"/>
    </font>
    <font>
      <sz val="10"/>
      <name val="Arial"/>
    </font>
    <font>
      <b/>
      <sz val="11"/>
      <name val="Calibri"/>
    </font>
    <font>
      <b/>
      <sz val="11"/>
      <color rgb="FFFF0000"/>
      <name val="Calibri"/>
    </font>
    <font>
      <sz val="10"/>
      <name val="Arial"/>
      <family val="2"/>
      <charset val="204"/>
    </font>
    <font>
      <sz val="10"/>
      <color rgb="FFFF0000"/>
      <name val="Arial"/>
      <family val="2"/>
      <charset val="204"/>
    </font>
    <font>
      <b/>
      <sz val="10"/>
      <color rgb="FFFF0000"/>
      <name val="Arial"/>
      <family val="2"/>
      <charset val="204"/>
    </font>
    <font>
      <sz val="10"/>
      <color theme="2" tint="-0.749992370372631"/>
      <name val="Arial"/>
    </font>
    <font>
      <b/>
      <sz val="11"/>
      <color theme="2" tint="-0.749992370372631"/>
      <name val="Calibri"/>
    </font>
    <font>
      <sz val="11"/>
      <color theme="2" tint="-0.749992370372631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FFF4C5"/>
      </patternFill>
    </fill>
    <fill>
      <patternFill patternType="solid">
        <fgColor rgb="FF758CE0"/>
      </patternFill>
    </fill>
    <fill>
      <patternFill patternType="solid">
        <fgColor rgb="FF13E22E"/>
        <bgColor rgb="FF13E22E"/>
      </patternFill>
    </fill>
    <fill>
      <patternFill patternType="solid">
        <fgColor theme="0" tint="-0.49998474074526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8" tint="0.59999389629810485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0" fontId="1" fillId="0" borderId="1"/>
  </cellStyleXfs>
  <cellXfs count="33">
    <xf numFmtId="0" fontId="0" fillId="0" borderId="0" xfId="0"/>
    <xf numFmtId="164" fontId="1" fillId="0" borderId="1" xfId="1" applyNumberFormat="1"/>
    <xf numFmtId="164" fontId="2" fillId="2" borderId="1" xfId="1" applyNumberFormat="1" applyFont="1" applyFill="1"/>
    <xf numFmtId="164" fontId="3" fillId="2" borderId="1" xfId="1" applyNumberFormat="1" applyFont="1" applyFill="1"/>
    <xf numFmtId="164" fontId="1" fillId="3" borderId="1" xfId="1" applyNumberFormat="1" applyFill="1"/>
    <xf numFmtId="164" fontId="1" fillId="0" borderId="2" xfId="1" applyNumberFormat="1" applyBorder="1"/>
    <xf numFmtId="164" fontId="2" fillId="4" borderId="1" xfId="1" applyNumberFormat="1" applyFont="1" applyFill="1"/>
    <xf numFmtId="2" fontId="1" fillId="0" borderId="1" xfId="1" applyNumberFormat="1"/>
    <xf numFmtId="2" fontId="2" fillId="2" borderId="1" xfId="1" applyNumberFormat="1" applyFont="1" applyFill="1"/>
    <xf numFmtId="2" fontId="0" fillId="0" borderId="0" xfId="0" applyNumberFormat="1"/>
    <xf numFmtId="164" fontId="4" fillId="0" borderId="1" xfId="1" applyNumberFormat="1" applyFont="1"/>
    <xf numFmtId="164" fontId="1" fillId="0" borderId="1" xfId="1" applyNumberFormat="1" applyFill="1"/>
    <xf numFmtId="164" fontId="1" fillId="5" borderId="1" xfId="1" applyNumberFormat="1" applyFill="1"/>
    <xf numFmtId="2" fontId="1" fillId="5" borderId="1" xfId="1" applyNumberFormat="1" applyFill="1"/>
    <xf numFmtId="164" fontId="1" fillId="5" borderId="2" xfId="1" applyNumberFormat="1" applyFill="1" applyBorder="1"/>
    <xf numFmtId="164" fontId="1" fillId="6" borderId="1" xfId="1" applyNumberFormat="1" applyFill="1"/>
    <xf numFmtId="164" fontId="5" fillId="6" borderId="1" xfId="1" applyNumberFormat="1" applyFont="1" applyFill="1"/>
    <xf numFmtId="164" fontId="1" fillId="7" borderId="1" xfId="1" applyNumberFormat="1" applyFill="1"/>
    <xf numFmtId="2" fontId="1" fillId="7" borderId="1" xfId="1" applyNumberFormat="1" applyFill="1"/>
    <xf numFmtId="164" fontId="1" fillId="7" borderId="2" xfId="1" applyNumberFormat="1" applyFill="1" applyBorder="1"/>
    <xf numFmtId="164" fontId="1" fillId="8" borderId="1" xfId="1" applyNumberFormat="1" applyFill="1"/>
    <xf numFmtId="164" fontId="4" fillId="8" borderId="1" xfId="1" applyNumberFormat="1" applyFont="1" applyFill="1"/>
    <xf numFmtId="2" fontId="1" fillId="8" borderId="1" xfId="1" applyNumberFormat="1" applyFill="1"/>
    <xf numFmtId="164" fontId="1" fillId="8" borderId="2" xfId="1" applyNumberFormat="1" applyFill="1" applyBorder="1"/>
    <xf numFmtId="164" fontId="6" fillId="6" borderId="1" xfId="1" applyNumberFormat="1" applyFont="1" applyFill="1"/>
    <xf numFmtId="164" fontId="1" fillId="9" borderId="1" xfId="1" applyNumberFormat="1" applyFill="1"/>
    <xf numFmtId="164" fontId="7" fillId="0" borderId="1" xfId="1" applyNumberFormat="1" applyFont="1"/>
    <xf numFmtId="164" fontId="8" fillId="2" borderId="1" xfId="1" applyNumberFormat="1" applyFont="1" applyFill="1"/>
    <xf numFmtId="164" fontId="7" fillId="3" borderId="1" xfId="1" applyNumberFormat="1" applyFont="1" applyFill="1"/>
    <xf numFmtId="164" fontId="7" fillId="5" borderId="1" xfId="1" applyNumberFormat="1" applyFont="1" applyFill="1"/>
    <xf numFmtId="164" fontId="7" fillId="8" borderId="1" xfId="1" applyNumberFormat="1" applyFont="1" applyFill="1"/>
    <xf numFmtId="164" fontId="7" fillId="7" borderId="1" xfId="1" applyNumberFormat="1" applyFont="1" applyFill="1"/>
    <xf numFmtId="0" fontId="9" fillId="0" borderId="0" xfId="0" applyFont="1"/>
  </cellXfs>
  <cellStyles count="2">
    <cellStyle name="Arial10px" xfId="1" xr:uid="{00000000-0005-0000-0000-000001000000}"/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&#1087;&#1088;&#1086;&#1076;&#1072;&#1078;&#1080;%20&#1058;&#1072;&#1096;&#1082;&#1077;&#1085;&#1090;%2024,04,25-25,04,25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DSheet"/>
    </sheetNames>
    <sheetDataSet>
      <sheetData sheetId="0">
        <row r="1">
          <cell r="A1" t="str">
            <v>Общество с ограниченной ответственностью "MOS PROD TORG"</v>
          </cell>
        </row>
        <row r="2">
          <cell r="A2" t="str">
            <v>Продажи за 24.04.2025 - 25.04.2025</v>
          </cell>
        </row>
        <row r="4">
          <cell r="A4" t="str">
            <v>Выводимые данные:</v>
          </cell>
          <cell r="B4" t="str">
            <v>Количество</v>
          </cell>
        </row>
        <row r="6">
          <cell r="A6" t="str">
            <v>Номенклатура</v>
          </cell>
          <cell r="C6" t="str">
            <v>Итого</v>
          </cell>
          <cell r="D6" t="str">
            <v>24.04.25</v>
          </cell>
          <cell r="E6" t="str">
            <v>25.04.25</v>
          </cell>
        </row>
        <row r="8">
          <cell r="A8" t="str">
            <v>1721-Сосиски Вязанка Сливочные ТМ Стародворские колбасы</v>
          </cell>
          <cell r="C8">
            <v>640.90800000000002</v>
          </cell>
          <cell r="E8">
            <v>640.90800000000002</v>
          </cell>
        </row>
        <row r="9">
          <cell r="A9" t="str">
            <v>2074-Сосиски Молочные для завтрака Особый рецепт</v>
          </cell>
          <cell r="C9">
            <v>688.12099999999998</v>
          </cell>
          <cell r="E9">
            <v>688.12099999999998</v>
          </cell>
        </row>
        <row r="10">
          <cell r="A10" t="str">
            <v>7187 ГРУДИНКА ПРЕМИУМ к/в мл/к в/у 0.3кг_50с  ОСТАНКИНО</v>
          </cell>
          <cell r="C10">
            <v>642</v>
          </cell>
          <cell r="E10">
            <v>642</v>
          </cell>
        </row>
        <row r="11">
          <cell r="A11" t="str">
            <v>7070 СОЧНЫЕ ПМ сос п/о мгс 1.5*4_А_50с  ОСТАНКИНО</v>
          </cell>
          <cell r="C11">
            <v>403.536</v>
          </cell>
          <cell r="E11">
            <v>403.536</v>
          </cell>
        </row>
        <row r="12">
          <cell r="A12" t="str">
            <v>1445 Сосиски «Сочные без свинины» Весовые ТМ «Особый рецепт» 1,3 кг  ПОКОМ</v>
          </cell>
          <cell r="C12">
            <v>300.66500000000002</v>
          </cell>
          <cell r="E12">
            <v>300.66500000000002</v>
          </cell>
        </row>
        <row r="13">
          <cell r="A13" t="str">
            <v>1411 Сосиски «Сочинки Сливочные» Весовые ТМ «Стародворье» 1,35 кг  ПОКОМ</v>
          </cell>
          <cell r="C13">
            <v>256.08199999999999</v>
          </cell>
          <cell r="E13">
            <v>256.08199999999999</v>
          </cell>
        </row>
        <row r="14">
          <cell r="A14" t="str">
            <v>Сервелат полусухой с/к ВУ ОХЛ 300гр МИРАТОРГ</v>
          </cell>
          <cell r="C14">
            <v>169</v>
          </cell>
          <cell r="E14">
            <v>169</v>
          </cell>
        </row>
        <row r="15">
          <cell r="A15" t="str">
            <v>1231 Сосиски Сливочные Дугушки Дугушка Весовые П/а Стародворье, вес 1кг</v>
          </cell>
          <cell r="C15">
            <v>156.74700000000001</v>
          </cell>
          <cell r="E15">
            <v>156.74700000000001</v>
          </cell>
        </row>
        <row r="16">
          <cell r="A16" t="str">
            <v>Вареные колбасы Сливушка Вязанка Фикс.вес 0,45 П/а Вязанка  ПОКОМ</v>
          </cell>
          <cell r="C16">
            <v>308</v>
          </cell>
          <cell r="E16">
            <v>308</v>
          </cell>
        </row>
        <row r="17">
          <cell r="A17" t="str">
            <v>1202 В/к колбасы Сервелат Мясорубский с мелкорубленным окороком срез Бордо Фикс.вес 0,35 фиброуз Ста</v>
          </cell>
          <cell r="C17">
            <v>407</v>
          </cell>
          <cell r="E17">
            <v>407</v>
          </cell>
        </row>
        <row r="18">
          <cell r="A18" t="str">
            <v>4087   СЕРВЕЛАТ КОПЧЕНЫЙ НА БУКЕ в/к в/К 0,35</v>
          </cell>
          <cell r="C18">
            <v>385</v>
          </cell>
          <cell r="E18">
            <v>385</v>
          </cell>
        </row>
        <row r="19">
          <cell r="A19" t="str">
            <v>КОПЧ БЕКОН НАР ВУ ШТ 0.18КГ К1.8  ЧЕРКИЗОВО</v>
          </cell>
          <cell r="C19">
            <v>297</v>
          </cell>
          <cell r="E19">
            <v>297</v>
          </cell>
        </row>
        <row r="20">
          <cell r="A20" t="str">
            <v>1370-Сосиски Сочинки Бордо Весовой п/а Стародворье</v>
          </cell>
          <cell r="C20">
            <v>183.381</v>
          </cell>
          <cell r="E20">
            <v>183.381</v>
          </cell>
        </row>
        <row r="21">
          <cell r="A21" t="str">
            <v>СОС КОПЧ ПО-Ч ЛОТ ПМО ЗА ШТ 0.4КГ K1.6  ЧЕРКИЗОВО</v>
          </cell>
          <cell r="C21">
            <v>325</v>
          </cell>
          <cell r="E21">
            <v>325</v>
          </cell>
        </row>
        <row r="22">
          <cell r="A22" t="str">
            <v>1224 В/к колбасы «Сочинка по-европейски с сочной грудинкой» Весовой фиброуз ТМ «Стародворье»  ПОКОМ</v>
          </cell>
          <cell r="C22">
            <v>152.04</v>
          </cell>
          <cell r="D22">
            <v>0.71699999999999997</v>
          </cell>
          <cell r="E22">
            <v>151.32300000000001</v>
          </cell>
        </row>
        <row r="23">
          <cell r="A23" t="str">
            <v>1205 Копченые колбасы Салями Мясорубская с рубленым шпиком срез Бордо ф/в 0,35 фиброуз Стародворье  ПОКОМ</v>
          </cell>
          <cell r="C23">
            <v>374</v>
          </cell>
          <cell r="E23">
            <v>374</v>
          </cell>
        </row>
        <row r="24">
          <cell r="A24" t="str">
            <v>1314-Сосиски Молокуши миникушай Вязанка Ф/в 0,45 амилюкс мгс Вязанка</v>
          </cell>
          <cell r="C24">
            <v>226</v>
          </cell>
          <cell r="E24">
            <v>226</v>
          </cell>
        </row>
        <row r="25">
          <cell r="A25" t="str">
            <v>ВК СЕРВ ГОСТ СРЕЗ ФИБ ВУ ШТ 0.5КГ К2  ЧЕРКИЗОВО</v>
          </cell>
          <cell r="C25">
            <v>129</v>
          </cell>
          <cell r="E25">
            <v>129</v>
          </cell>
        </row>
        <row r="26">
          <cell r="A26" t="str">
            <v>6652 ШПИКАЧКИ СОЧНЫЕ С БЕКОНОМ п/о мгс 1*3  ОСТАНКИНО</v>
          </cell>
          <cell r="C26">
            <v>172.78200000000001</v>
          </cell>
          <cell r="E26">
            <v>172.78200000000001</v>
          </cell>
        </row>
        <row r="27">
          <cell r="A27" t="str">
            <v>0222-Ветчины Дугушка Дугушка б/о Стародворье, 1кг</v>
          </cell>
          <cell r="C27">
            <v>131.76</v>
          </cell>
          <cell r="E27">
            <v>131.76</v>
          </cell>
        </row>
        <row r="28">
          <cell r="A28" t="str">
            <v>2205-Сосиски Молочные для завтрака ТМ Особый рецепт 0,4кг</v>
          </cell>
          <cell r="C28">
            <v>330</v>
          </cell>
          <cell r="E28">
            <v>330</v>
          </cell>
        </row>
        <row r="29">
          <cell r="A29" t="str">
            <v>СК БОГОРОДСКАЯ ПРЕСС ФИБ ВУ ШТ0.3КГ К3.6  ЧЕРКИЗОВО</v>
          </cell>
          <cell r="C29">
            <v>168</v>
          </cell>
          <cell r="E29">
            <v>168</v>
          </cell>
        </row>
        <row r="30">
          <cell r="A30" t="str">
            <v>Вареные колбасы Докторская ГОСТ Вязанка Фикс.вес 0,4 Вектор Вязанка  ПОКОМ</v>
          </cell>
          <cell r="C30">
            <v>213</v>
          </cell>
          <cell r="E30">
            <v>213</v>
          </cell>
        </row>
        <row r="31">
          <cell r="A31" t="str">
            <v>2634 Колбаса Дугушка Стародворская ТМ Стародворье ТС Дугушка  ПОКОМ</v>
          </cell>
          <cell r="C31">
            <v>137.565</v>
          </cell>
          <cell r="E31">
            <v>137.565</v>
          </cell>
        </row>
        <row r="32">
          <cell r="A32" t="str">
            <v>5608 СЕРВЕЛАТ ФИНСКИЙ в/к в/у срез 0.35кг_СНГ</v>
          </cell>
          <cell r="C32">
            <v>296</v>
          </cell>
          <cell r="E32">
            <v>296</v>
          </cell>
        </row>
        <row r="33">
          <cell r="A33" t="str">
            <v>0178 Ветчины Нежная Особая Особая Весовые П/а Особый рецепт большой батон  ПОКОМ</v>
          </cell>
          <cell r="C33">
            <v>110.83799999999999</v>
          </cell>
          <cell r="E33">
            <v>110.83799999999999</v>
          </cell>
        </row>
        <row r="34">
          <cell r="A34" t="str">
            <v>1284-Сосиски Баварушки ТМ Баварушка в оболочке амицел в модифицированной газовой среде 0,6 кг.</v>
          </cell>
          <cell r="C34">
            <v>136</v>
          </cell>
          <cell r="E34">
            <v>136</v>
          </cell>
        </row>
        <row r="35">
          <cell r="A35" t="str">
            <v>6095 ЮБИЛЕЙНАЯ с/к в/у 1/250 8шт_UZ</v>
          </cell>
          <cell r="C35">
            <v>198</v>
          </cell>
          <cell r="E35">
            <v>198</v>
          </cell>
        </row>
        <row r="36">
          <cell r="A36" t="str">
            <v>2472 Сардельки Левантские Особая Без свинины Весовые NDX мгс Особый рецепт, вес 1кг</v>
          </cell>
          <cell r="C36">
            <v>116.24299999999999</v>
          </cell>
          <cell r="E36">
            <v>116.24299999999999</v>
          </cell>
        </row>
        <row r="37">
          <cell r="A37" t="str">
            <v>1118 В/к колбасы Салями Запеченая Дугушка  Вектор Стародворье, 1кг</v>
          </cell>
          <cell r="C37">
            <v>93.159000000000006</v>
          </cell>
          <cell r="E37">
            <v>93.159000000000006</v>
          </cell>
        </row>
        <row r="38">
          <cell r="A38" t="str">
            <v>4079 СЕРВЕЛАТ КОПЧЕНЫЙ НА БУКЕ в/к в/у_СНГ</v>
          </cell>
          <cell r="C38">
            <v>95.06</v>
          </cell>
          <cell r="E38">
            <v>95.06</v>
          </cell>
        </row>
        <row r="39">
          <cell r="A39" t="str">
            <v>1201 В/к колбасы Сервелат Мясорубский с мелкорубленным окороком Бордо Весовой фиброуз Стародворье  П</v>
          </cell>
          <cell r="C39">
            <v>97.093000000000004</v>
          </cell>
          <cell r="E39">
            <v>97.093000000000004</v>
          </cell>
        </row>
        <row r="40">
          <cell r="A40" t="str">
            <v>1523-Сосиски Вязанка Молочные ТМ Стародворские колбасы</v>
          </cell>
          <cell r="C40">
            <v>96.736999999999995</v>
          </cell>
          <cell r="E40">
            <v>96.736999999999995</v>
          </cell>
        </row>
        <row r="41">
          <cell r="A41" t="str">
            <v>1120 В/к колбасы Сервелат Запеченный Дугушка Вес Вектор Стародворье, вес 1кг</v>
          </cell>
          <cell r="C41">
            <v>89.69</v>
          </cell>
          <cell r="E41">
            <v>89.69</v>
          </cell>
        </row>
        <row r="42">
          <cell r="A42" t="str">
            <v>1372-Сосиски Сочинки с сочным окороком Бордо Фикс.вес 0,4 П/а мгс Стародворье</v>
          </cell>
          <cell r="C42">
            <v>273</v>
          </cell>
          <cell r="E42">
            <v>273</v>
          </cell>
        </row>
        <row r="43">
          <cell r="A43" t="str">
            <v>1371-Сосиски Сочинки с сочной грудинкой Бордо Фикс.вес 0,4 П/а мгс Стародворье</v>
          </cell>
          <cell r="C43">
            <v>271</v>
          </cell>
          <cell r="E43">
            <v>271</v>
          </cell>
        </row>
        <row r="44">
          <cell r="A44" t="str">
            <v>6094 ЮБИЛЕЙНАЯ с/к в/у_UZ</v>
          </cell>
          <cell r="C44">
            <v>46.360999999999997</v>
          </cell>
          <cell r="E44">
            <v>46.360999999999997</v>
          </cell>
        </row>
        <row r="45">
          <cell r="A45" t="str">
            <v>ВК БАЛЫКОВАЯ ПО-ЧЕРКИЗ СРЕЗ ШТ0,3 К1,8  ЧЕРКИЗОВО</v>
          </cell>
          <cell r="C45">
            <v>146</v>
          </cell>
          <cell r="E45">
            <v>146</v>
          </cell>
        </row>
        <row r="46">
          <cell r="A46" t="str">
            <v>1875-Колбаса Филейная оригинальная ТМ Особый рецепт в оболочке полиамид.  ПОКОМ</v>
          </cell>
          <cell r="C46">
            <v>128.61799999999999</v>
          </cell>
          <cell r="E46">
            <v>128.61799999999999</v>
          </cell>
        </row>
        <row r="47">
          <cell r="A47" t="str">
            <v>СК САЛЯМИНИ ВУ ШТ 0.18 КГ  ЧЕРКИЗОВО</v>
          </cell>
          <cell r="C47">
            <v>212</v>
          </cell>
          <cell r="E47">
            <v>212</v>
          </cell>
        </row>
        <row r="48">
          <cell r="A48" t="str">
            <v>1204 Копченые колбасы Салями Мясорубская с рубленым шпиком Бордо Весовой фиброуз Стародворье  ПОКОМ</v>
          </cell>
          <cell r="C48">
            <v>88.076999999999998</v>
          </cell>
          <cell r="E48">
            <v>88.076999999999998</v>
          </cell>
        </row>
        <row r="49">
          <cell r="A49" t="str">
            <v>ВАР МОЛОЧНАЯ ПО-ЧЕ НМО ШТ 0.4КГ К2.4  ЧЕРКИЗОВО</v>
          </cell>
          <cell r="C49">
            <v>182</v>
          </cell>
          <cell r="E49">
            <v>182</v>
          </cell>
        </row>
        <row r="50">
          <cell r="A50" t="str">
            <v>Вареные колбасы «Филейская» Фикс.вес 0,45 Вектор ТМ «Вязанка»  ПОКОМ</v>
          </cell>
          <cell r="C50">
            <v>156</v>
          </cell>
          <cell r="E50">
            <v>156</v>
          </cell>
        </row>
        <row r="51">
          <cell r="A51" t="str">
            <v>ВЕТЧ МРАМОРНАЯ ПО-ЧЕРКИЗОВСКИ ШТ 0,4 КГ  ЧЕРКИЗОВО</v>
          </cell>
          <cell r="C51">
            <v>125</v>
          </cell>
          <cell r="E51">
            <v>125</v>
          </cell>
        </row>
        <row r="52">
          <cell r="A52" t="str">
            <v>1869-Колбаса Молочная ТМ Особый рецепт в оболочке полиамид большой батон.  ПОКОМ</v>
          </cell>
          <cell r="C52">
            <v>117.316</v>
          </cell>
          <cell r="E52">
            <v>117.316</v>
          </cell>
        </row>
        <row r="53">
          <cell r="A53" t="str">
            <v>ВАР МОЛОЧНАЯ ПО-Ч НМО 1 КГ К3  ЧЕРКИЗОВО</v>
          </cell>
          <cell r="C53">
            <v>66.510999999999996</v>
          </cell>
          <cell r="E53">
            <v>66.510999999999996</v>
          </cell>
        </row>
        <row r="54">
          <cell r="A54" t="str">
            <v>1867-Колбаса Филейная ТМ Особый рецепт в оболочке полиамид большой батон.  ПОКОМ</v>
          </cell>
          <cell r="C54">
            <v>109.504</v>
          </cell>
          <cell r="E54">
            <v>109.504</v>
          </cell>
        </row>
        <row r="55">
          <cell r="A55" t="str">
            <v>1870-Колбаса Со шпиком ТМ Особый рецепт в оболочке полиамид большой батон.  ПОКОМ</v>
          </cell>
          <cell r="C55">
            <v>104.842</v>
          </cell>
          <cell r="E55">
            <v>104.842</v>
          </cell>
        </row>
        <row r="56">
          <cell r="A56" t="str">
            <v>6853 МОЛОЧНЫЕ ПРЕМИУМ ПМ сос п/о мгс 1*6  ОСТАНКИНО</v>
          </cell>
          <cell r="C56">
            <v>77.808999999999997</v>
          </cell>
          <cell r="E56">
            <v>77.808999999999997</v>
          </cell>
        </row>
        <row r="57">
          <cell r="A57" t="str">
            <v>7075 МОЛОЧ.ПРЕМИУМ ПМ сос п/о мгс 1.5*4_О_50с  ОСТАНКИНО</v>
          </cell>
          <cell r="C57">
            <v>82.896000000000001</v>
          </cell>
          <cell r="E57">
            <v>82.896000000000001</v>
          </cell>
        </row>
        <row r="58">
          <cell r="A58" t="str">
            <v>6076 МЯСНАЯ Папа может вар п/о 0.4кг_UZ</v>
          </cell>
          <cell r="C58">
            <v>223</v>
          </cell>
          <cell r="E58">
            <v>223</v>
          </cell>
        </row>
        <row r="59">
          <cell r="A59" t="str">
            <v>6072 ЭКСТРА Папа может вар п/о 0.4кг_UZ</v>
          </cell>
          <cell r="C59">
            <v>199</v>
          </cell>
          <cell r="E59">
            <v>199</v>
          </cell>
        </row>
        <row r="60">
          <cell r="A60" t="str">
            <v>Вареные колбасы Молокуша Вязанка Вес п/а Вязанка  ПОКОМ</v>
          </cell>
          <cell r="C60">
            <v>62.54</v>
          </cell>
          <cell r="E60">
            <v>62.54</v>
          </cell>
        </row>
        <row r="61">
          <cell r="A61" t="str">
            <v>СК БОРОДИНСКАЯ СРЕЗ ФИБ ВУ 0.3КГ ШТ К3.6  ЧЕРКИЗОВО</v>
          </cell>
          <cell r="C61">
            <v>74</v>
          </cell>
          <cell r="E61">
            <v>74</v>
          </cell>
        </row>
        <row r="62">
          <cell r="A62" t="str">
            <v>6346 ФИЛЕЙНАЯ Папа может вар п/о 0.5кг_СНГ  ОСТАНКИНО</v>
          </cell>
          <cell r="C62">
            <v>127</v>
          </cell>
          <cell r="E62">
            <v>127</v>
          </cell>
        </row>
        <row r="63">
          <cell r="A63" t="str">
            <v>МХБ Ветчина для завтрака ШТ. ОХЛ п/а 400г*6 (2,4кг) МИРАТОРГ</v>
          </cell>
          <cell r="C63">
            <v>61</v>
          </cell>
          <cell r="E63">
            <v>61</v>
          </cell>
        </row>
        <row r="64">
          <cell r="A64" t="str">
            <v>СВ ФУЭТ ЭКСТРА 0.15КГ К0.9  ЧЕРКИЗОВО</v>
          </cell>
          <cell r="C64">
            <v>50</v>
          </cell>
          <cell r="E64">
            <v>50</v>
          </cell>
        </row>
        <row r="65">
          <cell r="A65" t="str">
            <v>СК САЛЬЧИЧОН С РОЗОВЫМ ПЕРЦ. СРЕЗ ШТ 0,3  ЧЕРКИЗОВО</v>
          </cell>
          <cell r="C65">
            <v>44</v>
          </cell>
          <cell r="E65">
            <v>44</v>
          </cell>
        </row>
        <row r="66">
          <cell r="A66" t="str">
            <v>СК СЕРВЕЛЕТТИ ПРЕСС СРЕЗ БО ВУ ШТ 0.25КГ  ЧЕРКИЗОВО</v>
          </cell>
          <cell r="C66">
            <v>40</v>
          </cell>
          <cell r="E66">
            <v>40</v>
          </cell>
        </row>
        <row r="67">
          <cell r="A67" t="str">
            <v>1851-Колбаса Филедворская по-стародворски ТМ Стародворье в оболочке полиамид 0,4 кг.  ПОКОМ</v>
          </cell>
          <cell r="C67">
            <v>87</v>
          </cell>
          <cell r="E67">
            <v>87</v>
          </cell>
        </row>
        <row r="68">
          <cell r="A68" t="str">
            <v>2150 В/к колбасы Рубленая Запеченная Дугушка Весовые Вектор Стародворье, вес 1кг</v>
          </cell>
          <cell r="C68">
            <v>28.003</v>
          </cell>
          <cell r="E68">
            <v>28.003</v>
          </cell>
        </row>
        <row r="69">
          <cell r="A69" t="str">
            <v>1444 Сосиски «Сочные без свинины» ф/в 0,4 кг ТМ «Особый рецепт»  ПОКОМ</v>
          </cell>
          <cell r="C69">
            <v>78</v>
          </cell>
          <cell r="E69">
            <v>78</v>
          </cell>
        </row>
        <row r="70">
          <cell r="A70" t="str">
            <v>СК САЛЬЧИЧОН НАРЕЗ ФИБ ЗА ШТ 0.1КГ К1.2  ЧЕРКИЗОВО</v>
          </cell>
          <cell r="C70">
            <v>59</v>
          </cell>
          <cell r="E70">
            <v>59</v>
          </cell>
        </row>
        <row r="71">
          <cell r="A71" t="str">
            <v>6092 АРОМАТНАЯ с/к в/у 1/250 8шт_UZ</v>
          </cell>
          <cell r="C71">
            <v>52</v>
          </cell>
          <cell r="E71">
            <v>52</v>
          </cell>
        </row>
        <row r="72">
          <cell r="A72" t="str">
            <v>1871-Колбаса Филейная оригинальная ТМ Особый рецепт в оболочке полиамид 0,4 кг.  ПОКОМ</v>
          </cell>
          <cell r="C72">
            <v>83</v>
          </cell>
          <cell r="E72">
            <v>83</v>
          </cell>
        </row>
        <row r="73">
          <cell r="A73" t="str">
            <v>МХБ Сервелат Мраморный ШТ. в/к ВУ ОХЛ 330г*6 (1,98кг)  МИРАТОРГ</v>
          </cell>
          <cell r="C73">
            <v>44</v>
          </cell>
          <cell r="E73">
            <v>44</v>
          </cell>
        </row>
        <row r="74">
          <cell r="A74" t="str">
            <v>Стейк Стриплойн зам. DF 320г*6(1,92кг) BLACK ANGUS  МИРАТОРГ</v>
          </cell>
          <cell r="C74">
            <v>12</v>
          </cell>
          <cell r="E74">
            <v>12</v>
          </cell>
        </row>
        <row r="75">
          <cell r="A75" t="str">
            <v>Вареные колбасы «Филейская» Весовые Вектор ТМ «Вязанка»  ПОКОМ</v>
          </cell>
          <cell r="C75">
            <v>25.844999999999999</v>
          </cell>
          <cell r="E75">
            <v>25.844999999999999</v>
          </cell>
        </row>
        <row r="76">
          <cell r="A76" t="str">
            <v>Наггетсы куриные хрустящие 300г*12 (3,6кг) Мираторг Россия</v>
          </cell>
          <cell r="C76">
            <v>49</v>
          </cell>
          <cell r="E76">
            <v>49</v>
          </cell>
        </row>
        <row r="77">
          <cell r="A77" t="str">
            <v>Наггетсы куриные Классические 300г*12 (3,6кг) Мираторг Россия</v>
          </cell>
          <cell r="C77">
            <v>49</v>
          </cell>
          <cell r="E77">
            <v>49</v>
          </cell>
        </row>
        <row r="78">
          <cell r="A78" t="str">
            <v>Сервела Коньячный в/к ВУ ОХЛ 375гр  МИРАТОРГ</v>
          </cell>
          <cell r="C78">
            <v>27</v>
          </cell>
          <cell r="E78">
            <v>27</v>
          </cell>
        </row>
        <row r="79">
          <cell r="A79" t="str">
            <v>КОПЧ ГРУДИНКА ПО-ЧЕРК ВУ ШТ 0.3КГ К1.8  ЧЕРКИЗОВО</v>
          </cell>
          <cell r="C79">
            <v>25</v>
          </cell>
          <cell r="E79">
            <v>25</v>
          </cell>
        </row>
        <row r="80">
          <cell r="A80" t="str">
            <v>1952-Колбаса Со шпиком ТМ Особый рецепт в оболочке полиамид 0,5 кг.  ПОКОМ</v>
          </cell>
          <cell r="C80">
            <v>42</v>
          </cell>
          <cell r="E80">
            <v>42</v>
          </cell>
        </row>
        <row r="81">
          <cell r="A81" t="str">
            <v>С/к колбасы Швейцарская Бордо Фикс.вес 0,17 Фиброуз терм/п Стародворье</v>
          </cell>
          <cell r="C81">
            <v>38</v>
          </cell>
          <cell r="E81">
            <v>38</v>
          </cell>
        </row>
        <row r="82">
          <cell r="A82" t="str">
            <v>2027 Ветчина Нежная п/а ТМ Особый рецепт шт. 0,4кг</v>
          </cell>
          <cell r="C82">
            <v>30</v>
          </cell>
          <cell r="E82">
            <v>30</v>
          </cell>
        </row>
        <row r="83">
          <cell r="A83" t="str">
            <v>СК БРАУНШВЕЙГСКАЯ ГОСТ БО СРЕЗ ШТ 0,2КГ  ЧЕРКИЗОВО</v>
          </cell>
          <cell r="C83">
            <v>24</v>
          </cell>
          <cell r="E83">
            <v>24</v>
          </cell>
        </row>
        <row r="84">
          <cell r="A84" t="str">
            <v>С/к колбасы Баварская Бавария Фикс.вес 0,17 б/о терм/п Стародворье</v>
          </cell>
          <cell r="C84">
            <v>25</v>
          </cell>
          <cell r="E84">
            <v>25</v>
          </cell>
        </row>
        <row r="85">
          <cell r="A85" t="str">
            <v>0262 Ветчина «Сочинка с сочным окороком» Весовой п/а ТМ «Стародворье»  ПОКОМ</v>
          </cell>
          <cell r="C85">
            <v>14.843999999999999</v>
          </cell>
          <cell r="E85">
            <v>14.843999999999999</v>
          </cell>
        </row>
        <row r="86">
          <cell r="A86" t="str">
            <v>МХБ Колбаса вареная Классическая ШТ. ОХЛ п/а 470г*6 (2,82кг) МИРАТОРГ</v>
          </cell>
          <cell r="C86">
            <v>24</v>
          </cell>
          <cell r="E86">
            <v>24</v>
          </cell>
        </row>
        <row r="87">
          <cell r="A87" t="str">
            <v>МХБ Колбаса с/к "Куршская" ВУ ОХЛ 280г*8 (2,24 кг)  МИРАТОРГ</v>
          </cell>
          <cell r="C87">
            <v>13</v>
          </cell>
          <cell r="E87">
            <v>13</v>
          </cell>
        </row>
        <row r="88">
          <cell r="A88" t="str">
            <v>МХБ Ветчина для завтрака ВЕС ОХЛ п/а 400г*6 (2,4кг) МИРАТОРГ</v>
          </cell>
          <cell r="C88">
            <v>6</v>
          </cell>
          <cell r="E88">
            <v>6</v>
          </cell>
        </row>
        <row r="89">
          <cell r="A89" t="str">
            <v>Сырники с клубн.нач. 280гр ЗАМ  МИРАТОРГ</v>
          </cell>
          <cell r="C89">
            <v>28</v>
          </cell>
          <cell r="E89">
            <v>28</v>
          </cell>
        </row>
        <row r="90">
          <cell r="A90" t="str">
            <v>Пельмени Пуговки с говядиной и свининой No Name Весовые Сфера No Name 5 кг  ПОКОМ</v>
          </cell>
          <cell r="C90">
            <v>25</v>
          </cell>
          <cell r="E90">
            <v>25</v>
          </cell>
        </row>
        <row r="91">
          <cell r="A91" t="str">
            <v>МХБ Колбаса варено-копченая Сервелат ШТ. Ф/О ОХЛ В/У 375г*6 (2,25кг) МИРАТОРГ</v>
          </cell>
          <cell r="C91">
            <v>13</v>
          </cell>
          <cell r="E91">
            <v>13</v>
          </cell>
        </row>
        <row r="92">
          <cell r="A92" t="str">
            <v>Сырники с вишневой начинкой ЗАМ 280гр*4 (1,12кг) Мираторг Трио Россия</v>
          </cell>
          <cell r="C92">
            <v>24</v>
          </cell>
          <cell r="E92">
            <v>24</v>
          </cell>
        </row>
        <row r="93">
          <cell r="A93" t="str">
            <v>Палочки рыбные из фарша тресковых пород 270г*12 (3,24кг) ООО "Мираторг Запад" РОССИЯ  МИРАТОРГ</v>
          </cell>
          <cell r="C93">
            <v>27</v>
          </cell>
          <cell r="E93">
            <v>27</v>
          </cell>
        </row>
        <row r="94">
          <cell r="A94" t="str">
            <v>0235 С/к колбасы Салями Охотничья Бордо Весовые б/о терм/п 180 Стародворье</v>
          </cell>
          <cell r="C94">
            <v>2.968</v>
          </cell>
          <cell r="E94">
            <v>2.968</v>
          </cell>
        </row>
        <row r="95">
          <cell r="A95" t="str">
            <v>МХБ Колбаса вареная Докторская ШТ. п/а ОХЛ 470г*6 (2,82 кг) МИРАТОРГ</v>
          </cell>
          <cell r="C95">
            <v>10</v>
          </cell>
          <cell r="E95">
            <v>10</v>
          </cell>
        </row>
        <row r="96">
          <cell r="A96" t="str">
            <v>Фарш говяжий зам 0,4кг ШТ  TF  МИРАТОРГ</v>
          </cell>
          <cell r="C96">
            <v>10</v>
          </cell>
          <cell r="E96">
            <v>10</v>
          </cell>
        </row>
        <row r="97">
          <cell r="A97" t="str">
            <v>С/к колбасы Швейцарская Бордо Фикс.вес 0,17 Фиброуз терм/п Стародворье</v>
          </cell>
          <cell r="C97">
            <v>14</v>
          </cell>
          <cell r="E97">
            <v>14</v>
          </cell>
        </row>
        <row r="98">
          <cell r="A98" t="str">
            <v>Пельмени Отборные из говядины Медвежье ушко 0,9 Псевдозащип Стародворье  ПОКОМ</v>
          </cell>
          <cell r="C98">
            <v>9</v>
          </cell>
          <cell r="E98">
            <v>9</v>
          </cell>
        </row>
        <row r="99">
          <cell r="A99" t="str">
            <v>МХБ Колбаса сыровяленая Сальчичон ШТ. ф/о ОХЛ 300г*6 (1,8 кг) МИРАТОРГ</v>
          </cell>
          <cell r="C99">
            <v>6</v>
          </cell>
          <cell r="E99">
            <v>6</v>
          </cell>
        </row>
        <row r="100">
          <cell r="A100" t="str">
            <v>0232 С/к колбасы Княжеская Бордо Весовые б/о терм/п Стародворье</v>
          </cell>
          <cell r="C100">
            <v>1.554</v>
          </cell>
          <cell r="E100">
            <v>1.554</v>
          </cell>
        </row>
        <row r="101">
          <cell r="A101" t="str">
            <v>У_Фарш куриный "Домашний",зам,в/у0,75кг*8(6кг)  МИРАТОРГ</v>
          </cell>
          <cell r="C101">
            <v>12</v>
          </cell>
          <cell r="D101">
            <v>2</v>
          </cell>
          <cell r="E101">
            <v>10</v>
          </cell>
        </row>
        <row r="102">
          <cell r="A102" t="str">
            <v>МХБ Колбаса вареная Молочная ШТ. п/а ОХЛ 470*6 (2,82 кг) МИРАТОРГ</v>
          </cell>
          <cell r="C102">
            <v>6</v>
          </cell>
          <cell r="E102">
            <v>6</v>
          </cell>
        </row>
        <row r="103">
          <cell r="A103" t="str">
            <v>Чебупицца курочка По-итальянски Чебупицца Фикс.вес 0,25 Лоток Горячая штучка  ПОКОМ</v>
          </cell>
          <cell r="C103">
            <v>9</v>
          </cell>
          <cell r="E103">
            <v>9</v>
          </cell>
        </row>
        <row r="104">
          <cell r="A104" t="str">
            <v>Наггетсы куриные Классические 1500г*6 (9кг), ООО "Мираторг Запад" РОССИЯ  МИРАТОРГ</v>
          </cell>
          <cell r="C104">
            <v>2</v>
          </cell>
          <cell r="E104">
            <v>2</v>
          </cell>
        </row>
        <row r="105">
          <cell r="A105" t="str">
            <v>Пельмени «Сочные» ГВ зам пакет 700г*8  МИРАТОРГ</v>
          </cell>
          <cell r="C105">
            <v>7</v>
          </cell>
          <cell r="E105">
            <v>7</v>
          </cell>
        </row>
        <row r="106">
          <cell r="A106" t="str">
            <v>Ягодный морс 300г*10 зам  МИРАТОРГ</v>
          </cell>
          <cell r="C106">
            <v>4</v>
          </cell>
          <cell r="E106">
            <v>4</v>
          </cell>
        </row>
        <row r="107">
          <cell r="A107" t="str">
            <v>Ягодный коктейль 300г зам  МИРАТОРГ</v>
          </cell>
          <cell r="C107">
            <v>5</v>
          </cell>
          <cell r="E107">
            <v>5</v>
          </cell>
        </row>
        <row r="108">
          <cell r="A108" t="str">
            <v>Чебупай сочное яблоко Чебупай Фикс.вес 0,2 Лоток Горячая штучка  ПОКОМ</v>
          </cell>
          <cell r="C108">
            <v>9</v>
          </cell>
          <cell r="E108">
            <v>9</v>
          </cell>
        </row>
        <row r="109">
          <cell r="A109" t="str">
            <v>Чебупай спелая вишня Чебупай Фикс.вес 0,2 Лоток Горячая штучка  ПОКОМ</v>
          </cell>
          <cell r="C109">
            <v>9</v>
          </cell>
          <cell r="E109">
            <v>9</v>
          </cell>
        </row>
        <row r="110">
          <cell r="A110" t="str">
            <v>Сотэ с прованскими травами 400г зам  МИРАТОРГ</v>
          </cell>
          <cell r="C110">
            <v>5</v>
          </cell>
          <cell r="E110">
            <v>5</v>
          </cell>
        </row>
        <row r="111">
          <cell r="A111" t="str">
            <v>СК САЛЬЧИЧОН С РОЗОВЫМ ПЕРЦЕМ НАР ШТ 85Г  ЧЕРКИЗОВО</v>
          </cell>
          <cell r="C111">
            <v>5</v>
          </cell>
          <cell r="E111">
            <v>5</v>
          </cell>
        </row>
        <row r="112">
          <cell r="A112" t="str">
            <v>Шампиньоны рез. 400*20 зам  МИРАТОРГ</v>
          </cell>
          <cell r="C112">
            <v>4</v>
          </cell>
          <cell r="E112">
            <v>4</v>
          </cell>
        </row>
        <row r="113">
          <cell r="A113" t="str">
            <v>МХБ Колбаса варено-копченая Сервелат Финский ШТ. Ф/О ОХЛ В/У 375г*6 (2,25кг) МИРАТОРГ</v>
          </cell>
          <cell r="C113">
            <v>2</v>
          </cell>
          <cell r="E113">
            <v>2</v>
          </cell>
        </row>
        <row r="114">
          <cell r="A114" t="str">
            <v>Карибская смесь с/м 400г*10 (4кг) Мираторг Россия</v>
          </cell>
          <cell r="C114">
            <v>3</v>
          </cell>
          <cell r="E114">
            <v>3</v>
          </cell>
        </row>
        <row r="115">
          <cell r="A115" t="str">
            <v>Итальянская смесь с/м 400г*10 (4кг) Vитамин  МИРАТОРГ</v>
          </cell>
          <cell r="C115">
            <v>3</v>
          </cell>
          <cell r="E115">
            <v>3</v>
          </cell>
        </row>
        <row r="116">
          <cell r="A116" t="str">
            <v>Микс полезных овощей 400 зам  МИРАТОРГ</v>
          </cell>
          <cell r="C116">
            <v>1</v>
          </cell>
          <cell r="E116">
            <v>1</v>
          </cell>
        </row>
        <row r="117">
          <cell r="A117" t="str">
            <v>Гавайская смесь 400г*20 (8кг) Vитамин Мираторг РОССИЯ  МИРАТОРГ</v>
          </cell>
          <cell r="C117">
            <v>1</v>
          </cell>
          <cell r="E117">
            <v>1</v>
          </cell>
        </row>
        <row r="118">
          <cell r="A118" t="str">
            <v>БОНУС_1202 В/к колбасы Сервелат Мясорубский с мелкорубленным окороком срез Бордо Фикс.вес 0,35 фибро</v>
          </cell>
          <cell r="C118">
            <v>1</v>
          </cell>
          <cell r="E118">
            <v>1</v>
          </cell>
        </row>
        <row r="119">
          <cell r="A119" t="str">
            <v>Лечо по-венгерски 0,4кг ОФ зам кор  МИРАТОРГ</v>
          </cell>
          <cell r="C119">
            <v>1</v>
          </cell>
          <cell r="E119">
            <v>1</v>
          </cell>
        </row>
        <row r="120">
          <cell r="A120" t="str">
            <v>БОНУС_2150 В/к колбасы Рубленая Запеченная Дугушка Весовые Вектор Стародворье, вес 1кг</v>
          </cell>
          <cell r="C120">
            <v>56.017000000000003</v>
          </cell>
          <cell r="E120">
            <v>56.017000000000003</v>
          </cell>
        </row>
        <row r="121">
          <cell r="A121" t="str">
            <v>БОНУС_1205 Копченые колбасы Салями Мясорубская с рубленым шпиком срез Бордо ф/в 0,35 фиброуз Стародворье</v>
          </cell>
          <cell r="C121">
            <v>52</v>
          </cell>
          <cell r="E121">
            <v>52</v>
          </cell>
        </row>
        <row r="122">
          <cell r="A122" t="str">
            <v>БОНУС_2074-Сосиски Молочные для завтрака Особый рецепт</v>
          </cell>
          <cell r="C122">
            <v>44.012999999999998</v>
          </cell>
          <cell r="E122">
            <v>44.012999999999998</v>
          </cell>
        </row>
        <row r="123">
          <cell r="A123" t="str">
            <v>БОНУС_2472 Сардельки Левантские Особая Без свинины Весовые NDX мгс Особый рецепт, вес 1кг</v>
          </cell>
          <cell r="C123">
            <v>42.341999999999999</v>
          </cell>
          <cell r="E123">
            <v>42.341999999999999</v>
          </cell>
        </row>
        <row r="124">
          <cell r="A124" t="str">
            <v>БОНУС_2205-Сосиски Молочные для завтрака ТМ Особый рецепт 0,4кг</v>
          </cell>
          <cell r="C124">
            <v>37</v>
          </cell>
          <cell r="E124">
            <v>37</v>
          </cell>
        </row>
        <row r="125">
          <cell r="A125" t="str">
            <v>БОНУС_1372-Сосиски Сочинки с сочным окороком Бордо Фикс.вес 0,4 П/а мгс Стародворье</v>
          </cell>
          <cell r="C125">
            <v>34</v>
          </cell>
          <cell r="E125">
            <v>34</v>
          </cell>
        </row>
        <row r="126">
          <cell r="A126" t="str">
            <v>БОНУС_1370-Сосиски Сочинки Бордо Весовой п/а Стародворье</v>
          </cell>
          <cell r="C126">
            <v>27.370999999999999</v>
          </cell>
          <cell r="E126">
            <v>27.370999999999999</v>
          </cell>
        </row>
        <row r="127">
          <cell r="A127" t="str">
            <v>БОНУС_1875-Колбаса Филейная оригинальная ТМ Особый рецепт в оболочке полиамид.  ПОКОМ</v>
          </cell>
          <cell r="C127">
            <v>20.92</v>
          </cell>
          <cell r="E127">
            <v>20.92</v>
          </cell>
        </row>
        <row r="128">
          <cell r="A128" t="str">
            <v>БОНУС_1411 Сосиски «Сочинки Сливочные» Весовые ТМ «Стародворье» 1,35 кг  ПОКОМ</v>
          </cell>
          <cell r="C128">
            <v>19.077999999999999</v>
          </cell>
          <cell r="E128">
            <v>19.077999999999999</v>
          </cell>
        </row>
        <row r="129">
          <cell r="A129" t="str">
            <v>БОНУС_1445 Сосиски «Сочные без свинины» Весовые ТМ «Особый рецепт» 1,3 кг  ПОКОМ</v>
          </cell>
          <cell r="C129">
            <v>17.998000000000001</v>
          </cell>
          <cell r="E129">
            <v>17.998000000000001</v>
          </cell>
        </row>
        <row r="130">
          <cell r="A130" t="str">
            <v>БОНУС_0178 Ветчины Нежная Особая Особая Весовые П/а Особый рецепт большой батон  ПОКОМ</v>
          </cell>
          <cell r="C130">
            <v>17.661000000000001</v>
          </cell>
          <cell r="E130">
            <v>17.661000000000001</v>
          </cell>
        </row>
        <row r="131">
          <cell r="A131" t="str">
            <v>БОНУС_1204 Копченые колбасы Салями Мясорубская с рубленым шпиком Бордо Весовой фиброуз Стародворье  ПОКОМ</v>
          </cell>
          <cell r="C131">
            <v>15.079000000000001</v>
          </cell>
          <cell r="E131">
            <v>15.079000000000001</v>
          </cell>
        </row>
        <row r="132">
          <cell r="A132" t="str">
            <v>БОНУС_1869-Колбаса Молочная ТМ Особый рецепт в оболочке полиамид большой батон.  ПОКОМ</v>
          </cell>
          <cell r="C132">
            <v>15.085000000000001</v>
          </cell>
          <cell r="E132">
            <v>15.085000000000001</v>
          </cell>
        </row>
        <row r="133">
          <cell r="A133" t="str">
            <v>БОНУС_1870-Колбаса Со шпиком ТМ Особый рецепт в оболочке полиамид большой батон.  ПОКОМ</v>
          </cell>
          <cell r="C133">
            <v>14.967000000000001</v>
          </cell>
          <cell r="E133">
            <v>14.967000000000001</v>
          </cell>
        </row>
        <row r="134">
          <cell r="A134" t="str">
            <v>БОНУС_1871-Колбаса Филейная оригинальная ТМ Особый рецепт в оболочке полиамид 0,4 кг.  ПОКОМ</v>
          </cell>
          <cell r="C134">
            <v>10</v>
          </cell>
          <cell r="E134">
            <v>10</v>
          </cell>
        </row>
        <row r="135">
          <cell r="A135" t="str">
            <v>БОНУС_1523-Сосиски Вязанка Молочные ТМ Стародворские колбасы</v>
          </cell>
          <cell r="C135">
            <v>9.4540000000000006</v>
          </cell>
          <cell r="E135">
            <v>9.4540000000000006</v>
          </cell>
        </row>
        <row r="136">
          <cell r="A136" t="str">
            <v>БОНУС_1201 В/к колбасы Сервелат Мясорубский с мелкорубленным окороком Бордо Весовой фиброуз Стародворье  ПОКОМ</v>
          </cell>
          <cell r="C136">
            <v>5.0259999999999998</v>
          </cell>
          <cell r="E136">
            <v>5.0259999999999998</v>
          </cell>
        </row>
        <row r="137">
          <cell r="A137" t="str">
            <v>БОНУС_1867-Колбаса Филейная ТМ Особый рецепт в оболочке полиамид большой батон.  ПОКОМ</v>
          </cell>
          <cell r="C137">
            <v>4.7489999999999997</v>
          </cell>
          <cell r="E137">
            <v>4.7489999999999997</v>
          </cell>
        </row>
        <row r="138">
          <cell r="A138" t="str">
            <v>БОНУС_1444 Сосиски «Сочные без свинины» ф/в 0,4 кг ТМ «Особый рецепт»  ПОКОМ</v>
          </cell>
          <cell r="C138">
            <v>4</v>
          </cell>
          <cell r="E138">
            <v>4</v>
          </cell>
        </row>
        <row r="139">
          <cell r="A139" t="str">
            <v>БОНУС_1314-Сосиски Молокуши миникушай Вязанка Ф/в 0,45 амилюкс мгс Вязанка</v>
          </cell>
          <cell r="C139">
            <v>1</v>
          </cell>
          <cell r="E139">
            <v>1</v>
          </cell>
        </row>
        <row r="140">
          <cell r="A140" t="str">
            <v>Итого</v>
          </cell>
          <cell r="C140">
            <v>13135.855</v>
          </cell>
          <cell r="D140">
            <v>2.7170000000000001</v>
          </cell>
          <cell r="E140">
            <v>13133.138000000001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B481"/>
  <sheetViews>
    <sheetView tabSelected="1" zoomScale="85" workbookViewId="0">
      <pane xSplit="2" ySplit="5" topLeftCell="C6" activePane="bottomRight" state="frozen"/>
      <selection pane="topRight"/>
      <selection pane="bottomLeft"/>
      <selection pane="bottomRight" activeCell="U17" sqref="U17"/>
    </sheetView>
  </sheetViews>
  <sheetFormatPr defaultRowHeight="15" x14ac:dyDescent="0.25"/>
  <cols>
    <col min="1" max="1" width="60" customWidth="1"/>
    <col min="2" max="2" width="3" customWidth="1"/>
    <col min="3" max="4" width="6" customWidth="1"/>
    <col min="5" max="6" width="7" customWidth="1"/>
    <col min="7" max="7" width="18.42578125" bestFit="1" customWidth="1"/>
    <col min="8" max="8" width="5" style="9" customWidth="1"/>
    <col min="9" max="9" width="5" customWidth="1"/>
    <col min="10" max="10" width="12" customWidth="1"/>
    <col min="11" max="14" width="0.5703125" customWidth="1"/>
    <col min="15" max="15" width="7" style="32" customWidth="1"/>
    <col min="16" max="16" width="7" customWidth="1"/>
    <col min="17" max="17" width="15.5703125" bestFit="1" customWidth="1"/>
    <col min="18" max="20" width="7" customWidth="1"/>
    <col min="21" max="21" width="15.42578125" customWidth="1"/>
    <col min="22" max="23" width="5" customWidth="1"/>
    <col min="24" max="33" width="6" customWidth="1"/>
    <col min="34" max="34" width="35.140625" customWidth="1"/>
    <col min="35" max="35" width="7" customWidth="1"/>
    <col min="36" max="54" width="8" customWidth="1"/>
  </cols>
  <sheetData>
    <row r="1" spans="1:54" x14ac:dyDescent="0.25">
      <c r="A1" s="1"/>
      <c r="B1" s="1"/>
      <c r="C1" s="1"/>
      <c r="D1" s="1"/>
      <c r="E1" s="1"/>
      <c r="F1" s="1"/>
      <c r="G1" s="1"/>
      <c r="H1" s="7"/>
      <c r="I1" s="1"/>
      <c r="J1" s="1"/>
      <c r="K1" s="1"/>
      <c r="L1" s="1"/>
      <c r="M1" s="1"/>
      <c r="N1" s="1"/>
      <c r="O1" s="26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</row>
    <row r="2" spans="1:54" x14ac:dyDescent="0.25">
      <c r="A2" s="1"/>
      <c r="B2" s="1"/>
      <c r="C2" s="1"/>
      <c r="D2" s="1"/>
      <c r="E2" s="1"/>
      <c r="F2" s="1"/>
      <c r="G2" s="1"/>
      <c r="H2" s="7"/>
      <c r="I2" s="1"/>
      <c r="J2" s="1"/>
      <c r="K2" s="1"/>
      <c r="L2" s="1"/>
      <c r="M2" s="1"/>
      <c r="N2" s="1"/>
      <c r="O2" s="26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</row>
    <row r="3" spans="1:54" x14ac:dyDescent="0.25">
      <c r="A3" s="2" t="s">
        <v>0</v>
      </c>
      <c r="B3" s="2" t="s">
        <v>1</v>
      </c>
      <c r="C3" s="2" t="s">
        <v>2</v>
      </c>
      <c r="D3" s="2" t="s">
        <v>3</v>
      </c>
      <c r="E3" s="2" t="s">
        <v>4</v>
      </c>
      <c r="F3" s="2" t="s">
        <v>5</v>
      </c>
      <c r="G3" s="2" t="s">
        <v>132</v>
      </c>
      <c r="H3" s="8" t="s">
        <v>6</v>
      </c>
      <c r="I3" s="2" t="s">
        <v>7</v>
      </c>
      <c r="J3" s="2" t="s">
        <v>8</v>
      </c>
      <c r="K3" s="2" t="s">
        <v>9</v>
      </c>
      <c r="L3" s="2" t="s">
        <v>10</v>
      </c>
      <c r="M3" s="2" t="s">
        <v>11</v>
      </c>
      <c r="N3" s="2" t="s">
        <v>12</v>
      </c>
      <c r="O3" s="27" t="s">
        <v>13</v>
      </c>
      <c r="P3" s="2" t="s">
        <v>13</v>
      </c>
      <c r="Q3" s="2" t="s">
        <v>131</v>
      </c>
      <c r="R3" s="2" t="s">
        <v>14</v>
      </c>
      <c r="S3" s="3" t="s">
        <v>15</v>
      </c>
      <c r="T3" s="6" t="s">
        <v>16</v>
      </c>
      <c r="U3" s="6" t="s">
        <v>17</v>
      </c>
      <c r="V3" s="2" t="s">
        <v>18</v>
      </c>
      <c r="W3" s="2" t="s">
        <v>19</v>
      </c>
      <c r="X3" s="2" t="s">
        <v>20</v>
      </c>
      <c r="Y3" s="2" t="s">
        <v>20</v>
      </c>
      <c r="Z3" s="2" t="s">
        <v>20</v>
      </c>
      <c r="AA3" s="2" t="s">
        <v>20</v>
      </c>
      <c r="AB3" s="2" t="s">
        <v>20</v>
      </c>
      <c r="AC3" s="2" t="s">
        <v>20</v>
      </c>
      <c r="AD3" s="2" t="s">
        <v>20</v>
      </c>
      <c r="AE3" s="2" t="s">
        <v>20</v>
      </c>
      <c r="AF3" s="2" t="s">
        <v>20</v>
      </c>
      <c r="AG3" s="2" t="s">
        <v>20</v>
      </c>
      <c r="AH3" s="2" t="s">
        <v>21</v>
      </c>
      <c r="AI3" s="2" t="s">
        <v>22</v>
      </c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</row>
    <row r="4" spans="1:54" x14ac:dyDescent="0.25">
      <c r="A4" s="1"/>
      <c r="B4" s="1"/>
      <c r="C4" s="1"/>
      <c r="D4" s="1"/>
      <c r="E4" s="1"/>
      <c r="F4" s="1"/>
      <c r="G4" s="1"/>
      <c r="H4" s="7"/>
      <c r="I4" s="1"/>
      <c r="J4" s="1"/>
      <c r="K4" s="1"/>
      <c r="L4" s="1"/>
      <c r="M4" s="1"/>
      <c r="N4" s="1"/>
      <c r="O4" s="26" t="s">
        <v>23</v>
      </c>
      <c r="P4" s="1" t="s">
        <v>24</v>
      </c>
      <c r="Q4" s="1"/>
      <c r="R4" s="1" t="s">
        <v>25</v>
      </c>
      <c r="S4" s="1"/>
      <c r="T4" s="1"/>
      <c r="U4" s="1"/>
      <c r="V4" s="1"/>
      <c r="W4" s="1"/>
      <c r="X4" s="1" t="s">
        <v>26</v>
      </c>
      <c r="Y4" s="1" t="s">
        <v>27</v>
      </c>
      <c r="Z4" s="1" t="s">
        <v>28</v>
      </c>
      <c r="AA4" s="1" t="s">
        <v>29</v>
      </c>
      <c r="AB4" s="1" t="s">
        <v>30</v>
      </c>
      <c r="AC4" s="1" t="s">
        <v>31</v>
      </c>
      <c r="AD4" s="1" t="s">
        <v>32</v>
      </c>
      <c r="AE4" s="1" t="s">
        <v>33</v>
      </c>
      <c r="AF4" s="1" t="s">
        <v>34</v>
      </c>
      <c r="AG4" s="1" t="s">
        <v>35</v>
      </c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  <c r="BA4" s="1"/>
      <c r="BB4" s="1"/>
    </row>
    <row r="5" spans="1:54" x14ac:dyDescent="0.25">
      <c r="A5" s="1"/>
      <c r="B5" s="1"/>
      <c r="C5" s="1"/>
      <c r="D5" s="1"/>
      <c r="E5" s="4">
        <f>SUM(E6:E481)</f>
        <v>7020.4340000000011</v>
      </c>
      <c r="F5" s="4">
        <f>SUM(F6:F481)</f>
        <v>3906.4040000000009</v>
      </c>
      <c r="G5" s="4">
        <f>SUM(G6:G481)</f>
        <v>8584.7445238095243</v>
      </c>
      <c r="H5" s="7"/>
      <c r="I5" s="1"/>
      <c r="J5" s="1"/>
      <c r="K5" s="4">
        <f t="shared" ref="K5:T5" si="0">SUM(K6:K481)</f>
        <v>0</v>
      </c>
      <c r="L5" s="4">
        <f t="shared" si="0"/>
        <v>7020.4340000000011</v>
      </c>
      <c r="M5" s="4">
        <f t="shared" si="0"/>
        <v>0</v>
      </c>
      <c r="N5" s="4">
        <f t="shared" si="0"/>
        <v>0</v>
      </c>
      <c r="O5" s="28">
        <f t="shared" si="0"/>
        <v>12673.809523809527</v>
      </c>
      <c r="P5" s="4">
        <f t="shared" si="0"/>
        <v>13962.609710550885</v>
      </c>
      <c r="Q5" s="4">
        <f t="shared" si="0"/>
        <v>7435.3669999999984</v>
      </c>
      <c r="R5" s="4">
        <f t="shared" si="0"/>
        <v>1404.0868</v>
      </c>
      <c r="S5" s="4">
        <f t="shared" si="0"/>
        <v>3045.1377999999995</v>
      </c>
      <c r="T5" s="4">
        <f t="shared" si="0"/>
        <v>0</v>
      </c>
      <c r="U5" s="1"/>
      <c r="V5" s="1"/>
      <c r="W5" s="1"/>
      <c r="X5" s="4">
        <f t="shared" ref="X5:AG5" si="1">SUM(X6:X481)</f>
        <v>2257.109199999999</v>
      </c>
      <c r="Y5" s="4">
        <f t="shared" si="1"/>
        <v>2273.018599999999</v>
      </c>
      <c r="Z5" s="4">
        <f t="shared" si="1"/>
        <v>1720.4665999999997</v>
      </c>
      <c r="AA5" s="4">
        <f t="shared" si="1"/>
        <v>2039.6191999999994</v>
      </c>
      <c r="AB5" s="4">
        <f t="shared" si="1"/>
        <v>1629.7556</v>
      </c>
      <c r="AC5" s="4">
        <f t="shared" si="1"/>
        <v>1562.3093999999996</v>
      </c>
      <c r="AD5" s="4">
        <f t="shared" si="1"/>
        <v>2259.0810000000006</v>
      </c>
      <c r="AE5" s="4">
        <f t="shared" si="1"/>
        <v>2203.2172</v>
      </c>
      <c r="AF5" s="4">
        <f t="shared" si="1"/>
        <v>2151.5071999999991</v>
      </c>
      <c r="AG5" s="4">
        <f t="shared" si="1"/>
        <v>2635.1811999999995</v>
      </c>
      <c r="AH5" s="1"/>
      <c r="AI5" s="4">
        <f>SUM(AI6:AI481)</f>
        <v>2585.3177999999994</v>
      </c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  <c r="AZ5" s="1"/>
      <c r="BA5" s="1"/>
      <c r="BB5" s="1"/>
    </row>
    <row r="6" spans="1:54" x14ac:dyDescent="0.25">
      <c r="A6" s="12" t="s">
        <v>36</v>
      </c>
      <c r="B6" s="12" t="s">
        <v>37</v>
      </c>
      <c r="C6" s="12"/>
      <c r="D6" s="12"/>
      <c r="E6" s="12"/>
      <c r="F6" s="12"/>
      <c r="G6" s="1">
        <f t="shared" ref="G6:G7" si="2">F6+O6-Q6</f>
        <v>0</v>
      </c>
      <c r="H6" s="13">
        <v>0</v>
      </c>
      <c r="I6" s="12" t="e">
        <v>#N/A</v>
      </c>
      <c r="J6" s="12" t="s">
        <v>38</v>
      </c>
      <c r="K6" s="12"/>
      <c r="L6" s="12">
        <f t="shared" ref="L6:L37" si="3">E6-K6</f>
        <v>0</v>
      </c>
      <c r="M6" s="12"/>
      <c r="N6" s="12"/>
      <c r="O6" s="29"/>
      <c r="P6" s="12"/>
      <c r="Q6" s="12">
        <f>IFERROR(VLOOKUP(A6,[1]TDSheet!$A:$F,3,0),0)</f>
        <v>0</v>
      </c>
      <c r="R6" s="12">
        <f t="shared" ref="R6:R37" si="4">E6/5</f>
        <v>0</v>
      </c>
      <c r="S6" s="14"/>
      <c r="T6" s="14"/>
      <c r="U6" s="12"/>
      <c r="V6" s="12" t="e">
        <f t="shared" ref="V6:V37" si="5">(F6+O6+P6+S6)/R6</f>
        <v>#DIV/0!</v>
      </c>
      <c r="W6" s="12" t="e">
        <f t="shared" ref="W6:W37" si="6">(F6+O6+P6)/R6</f>
        <v>#DIV/0!</v>
      </c>
      <c r="X6" s="12">
        <v>0</v>
      </c>
      <c r="Y6" s="12">
        <v>0</v>
      </c>
      <c r="Z6" s="12">
        <v>-0.4</v>
      </c>
      <c r="AA6" s="12">
        <v>-0.2</v>
      </c>
      <c r="AB6" s="12">
        <v>-0.2</v>
      </c>
      <c r="AC6" s="12">
        <v>0</v>
      </c>
      <c r="AD6" s="12">
        <v>-0.6</v>
      </c>
      <c r="AE6" s="12">
        <v>-5.2</v>
      </c>
      <c r="AF6" s="12">
        <v>-1.4</v>
      </c>
      <c r="AG6" s="12">
        <v>6</v>
      </c>
      <c r="AH6" s="12" t="s">
        <v>39</v>
      </c>
      <c r="AI6" s="12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</row>
    <row r="7" spans="1:54" x14ac:dyDescent="0.25">
      <c r="A7" s="1" t="s">
        <v>40</v>
      </c>
      <c r="B7" s="1" t="s">
        <v>41</v>
      </c>
      <c r="C7" s="1">
        <v>426.61200000000002</v>
      </c>
      <c r="D7" s="1"/>
      <c r="E7" s="16">
        <f>237.541+E64</f>
        <v>290.04199999999997</v>
      </c>
      <c r="F7" s="16">
        <f>72.46+F64</f>
        <v>52.653999999999996</v>
      </c>
      <c r="G7" s="1">
        <f t="shared" si="2"/>
        <v>341.81600000000003</v>
      </c>
      <c r="H7" s="7">
        <v>1</v>
      </c>
      <c r="I7" s="1">
        <v>50</v>
      </c>
      <c r="J7" s="1"/>
      <c r="K7" s="1"/>
      <c r="L7" s="1">
        <f t="shared" si="3"/>
        <v>290.04199999999997</v>
      </c>
      <c r="M7" s="1"/>
      <c r="N7" s="1"/>
      <c r="O7" s="26">
        <v>400</v>
      </c>
      <c r="P7" s="1">
        <v>400</v>
      </c>
      <c r="Q7" s="1">
        <f>IFERROR(VLOOKUP(A7,[1]TDSheet!$A:$F,3,0),0)</f>
        <v>110.83799999999999</v>
      </c>
      <c r="R7" s="1">
        <f t="shared" si="4"/>
        <v>58.008399999999995</v>
      </c>
      <c r="S7" s="5">
        <f>18*R7-P7-O7-F7</f>
        <v>191.49719999999979</v>
      </c>
      <c r="T7" s="5"/>
      <c r="U7" s="1"/>
      <c r="V7" s="1">
        <f t="shared" si="5"/>
        <v>17.999999999999996</v>
      </c>
      <c r="W7" s="1">
        <f t="shared" si="6"/>
        <v>14.698802242433855</v>
      </c>
      <c r="X7" s="1">
        <v>39.485199999999999</v>
      </c>
      <c r="Y7" s="1">
        <v>56.013199999999998</v>
      </c>
      <c r="Z7" s="1">
        <v>45.081599999999987</v>
      </c>
      <c r="AA7" s="1">
        <v>52.767600000000002</v>
      </c>
      <c r="AB7" s="1">
        <v>47.139800000000001</v>
      </c>
      <c r="AC7" s="1">
        <v>37.405200000000001</v>
      </c>
      <c r="AD7" s="1">
        <v>64.895200000000003</v>
      </c>
      <c r="AE7" s="1">
        <v>79.818799999999996</v>
      </c>
      <c r="AF7" s="1">
        <v>79.673199999999994</v>
      </c>
      <c r="AG7" s="1">
        <v>29.937000000000001</v>
      </c>
      <c r="AH7" s="1" t="s">
        <v>42</v>
      </c>
      <c r="AI7" s="1">
        <f>H7*S7</f>
        <v>191.49719999999979</v>
      </c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  <c r="AW7" s="1"/>
      <c r="AX7" s="1"/>
      <c r="AY7" s="1"/>
      <c r="AZ7" s="1"/>
      <c r="BA7" s="1"/>
      <c r="BB7" s="1"/>
    </row>
    <row r="8" spans="1:54" x14ac:dyDescent="0.25">
      <c r="A8" s="1" t="s">
        <v>43</v>
      </c>
      <c r="B8" s="1" t="s">
        <v>41</v>
      </c>
      <c r="C8" s="1">
        <v>424.44200000000001</v>
      </c>
      <c r="D8" s="1"/>
      <c r="E8" s="1">
        <v>198.05699999999999</v>
      </c>
      <c r="F8" s="1">
        <v>166.23500000000001</v>
      </c>
      <c r="G8" s="1">
        <f>F8+O8-Q8</f>
        <v>384.47500000000002</v>
      </c>
      <c r="H8" s="7">
        <v>1</v>
      </c>
      <c r="I8" s="1">
        <v>55</v>
      </c>
      <c r="J8" s="1"/>
      <c r="K8" s="1"/>
      <c r="L8" s="1">
        <f t="shared" si="3"/>
        <v>198.05699999999999</v>
      </c>
      <c r="M8" s="1"/>
      <c r="N8" s="1"/>
      <c r="O8" s="26">
        <v>350</v>
      </c>
      <c r="P8" s="1">
        <v>400</v>
      </c>
      <c r="Q8" s="1">
        <f>IFERROR(VLOOKUP(A8,[1]TDSheet!$A:$F,3,0),0)</f>
        <v>131.76</v>
      </c>
      <c r="R8" s="1">
        <f t="shared" si="4"/>
        <v>39.611399999999996</v>
      </c>
      <c r="S8" s="5"/>
      <c r="T8" s="5"/>
      <c r="U8" s="1"/>
      <c r="V8" s="1">
        <f t="shared" si="5"/>
        <v>23.130588668918545</v>
      </c>
      <c r="W8" s="1">
        <f t="shared" si="6"/>
        <v>23.130588668918545</v>
      </c>
      <c r="X8" s="1">
        <v>64.472200000000001</v>
      </c>
      <c r="Y8" s="1">
        <v>47.720999999999997</v>
      </c>
      <c r="Z8" s="1">
        <v>41.454999999999998</v>
      </c>
      <c r="AA8" s="1">
        <v>50.347799999999999</v>
      </c>
      <c r="AB8" s="1">
        <v>36.951999999999998</v>
      </c>
      <c r="AC8" s="1">
        <v>46.1402</v>
      </c>
      <c r="AD8" s="1">
        <v>58.483400000000003</v>
      </c>
      <c r="AE8" s="1">
        <v>37.0152</v>
      </c>
      <c r="AF8" s="1">
        <v>37.874600000000001</v>
      </c>
      <c r="AG8" s="1">
        <v>69.441600000000008</v>
      </c>
      <c r="AH8" s="1"/>
      <c r="AI8" s="1">
        <f>H8*S8</f>
        <v>0</v>
      </c>
      <c r="AJ8" s="1"/>
      <c r="AK8" s="1"/>
      <c r="AL8" s="1"/>
      <c r="AM8" s="1"/>
      <c r="AN8" s="1"/>
      <c r="AO8" s="1"/>
      <c r="AP8" s="1"/>
      <c r="AQ8" s="1"/>
      <c r="AR8" s="1"/>
      <c r="AS8" s="1"/>
      <c r="AT8" s="1"/>
      <c r="AU8" s="1"/>
      <c r="AV8" s="1"/>
      <c r="AW8" s="1"/>
      <c r="AX8" s="1"/>
      <c r="AY8" s="1"/>
      <c r="AZ8" s="1"/>
      <c r="BA8" s="1"/>
      <c r="BB8" s="1"/>
    </row>
    <row r="9" spans="1:54" x14ac:dyDescent="0.25">
      <c r="A9" s="1" t="s">
        <v>44</v>
      </c>
      <c r="B9" s="1" t="s">
        <v>41</v>
      </c>
      <c r="C9" s="1">
        <v>52.305</v>
      </c>
      <c r="D9" s="1"/>
      <c r="E9" s="1">
        <v>4.9290000000000003</v>
      </c>
      <c r="F9" s="1">
        <v>47.375999999999998</v>
      </c>
      <c r="G9" s="1">
        <f t="shared" ref="G9:G72" si="7">F9+O9-Q9</f>
        <v>45.821999999999996</v>
      </c>
      <c r="H9" s="7">
        <v>1</v>
      </c>
      <c r="I9" s="1">
        <v>180</v>
      </c>
      <c r="J9" s="1"/>
      <c r="K9" s="1"/>
      <c r="L9" s="1">
        <f t="shared" si="3"/>
        <v>4.9290000000000003</v>
      </c>
      <c r="M9" s="1"/>
      <c r="N9" s="1"/>
      <c r="O9" s="26">
        <v>0</v>
      </c>
      <c r="P9" s="1">
        <v>0</v>
      </c>
      <c r="Q9" s="1">
        <f>IFERROR(VLOOKUP(A9,[1]TDSheet!$A:$F,3,0),0)</f>
        <v>1.554</v>
      </c>
      <c r="R9" s="1">
        <f t="shared" si="4"/>
        <v>0.98580000000000001</v>
      </c>
      <c r="S9" s="5"/>
      <c r="T9" s="5"/>
      <c r="U9" s="1"/>
      <c r="V9" s="1">
        <f t="shared" si="5"/>
        <v>48.058429701765064</v>
      </c>
      <c r="W9" s="1">
        <f t="shared" si="6"/>
        <v>48.058429701765064</v>
      </c>
      <c r="X9" s="1">
        <v>0.3962</v>
      </c>
      <c r="Y9" s="1">
        <v>0.99819999999999998</v>
      </c>
      <c r="Z9" s="1">
        <v>8.2000000000000007E-3</v>
      </c>
      <c r="AA9" s="1">
        <v>1.4618</v>
      </c>
      <c r="AB9" s="1">
        <v>1.9774</v>
      </c>
      <c r="AC9" s="1">
        <v>0.82140000000000002</v>
      </c>
      <c r="AD9" s="1">
        <v>1.4903999999999999</v>
      </c>
      <c r="AE9" s="1">
        <v>0.82639999999999991</v>
      </c>
      <c r="AF9" s="1">
        <v>7.7800000000000008E-2</v>
      </c>
      <c r="AG9" s="1">
        <v>0.83019999999999994</v>
      </c>
      <c r="AH9" s="24" t="s">
        <v>45</v>
      </c>
      <c r="AI9" s="1">
        <f>H9*S9</f>
        <v>0</v>
      </c>
      <c r="AJ9" s="1"/>
      <c r="AK9" s="1"/>
      <c r="AL9" s="1"/>
      <c r="AM9" s="1"/>
      <c r="AN9" s="1"/>
      <c r="AO9" s="1"/>
      <c r="AP9" s="1"/>
      <c r="AQ9" s="1"/>
      <c r="AR9" s="1"/>
      <c r="AS9" s="1"/>
      <c r="AT9" s="1"/>
      <c r="AU9" s="1"/>
      <c r="AV9" s="1"/>
      <c r="AW9" s="1"/>
      <c r="AX9" s="1"/>
      <c r="AY9" s="1"/>
      <c r="AZ9" s="1"/>
      <c r="BA9" s="1"/>
      <c r="BB9" s="1"/>
    </row>
    <row r="10" spans="1:54" x14ac:dyDescent="0.25">
      <c r="A10" s="12" t="s">
        <v>46</v>
      </c>
      <c r="B10" s="12" t="s">
        <v>41</v>
      </c>
      <c r="C10" s="12">
        <v>20.84</v>
      </c>
      <c r="D10" s="12"/>
      <c r="E10" s="12">
        <v>4.7969999999999997</v>
      </c>
      <c r="F10" s="12">
        <v>14.93</v>
      </c>
      <c r="G10" s="1">
        <f t="shared" si="7"/>
        <v>11.962</v>
      </c>
      <c r="H10" s="13">
        <v>0</v>
      </c>
      <c r="I10" s="12">
        <v>180</v>
      </c>
      <c r="J10" s="12" t="s">
        <v>38</v>
      </c>
      <c r="K10" s="12"/>
      <c r="L10" s="12">
        <f t="shared" si="3"/>
        <v>4.7969999999999997</v>
      </c>
      <c r="M10" s="12"/>
      <c r="N10" s="12"/>
      <c r="O10" s="29">
        <v>0</v>
      </c>
      <c r="P10" s="12"/>
      <c r="Q10" s="12">
        <f>IFERROR(VLOOKUP(A10,[1]TDSheet!$A:$F,3,0),0)</f>
        <v>2.968</v>
      </c>
      <c r="R10" s="12">
        <f t="shared" si="4"/>
        <v>0.95939999999999992</v>
      </c>
      <c r="S10" s="14"/>
      <c r="T10" s="14"/>
      <c r="U10" s="12"/>
      <c r="V10" s="12">
        <f t="shared" si="5"/>
        <v>15.561809464248489</v>
      </c>
      <c r="W10" s="12">
        <f t="shared" si="6"/>
        <v>15.561809464248489</v>
      </c>
      <c r="X10" s="12">
        <v>1.2687999999999999</v>
      </c>
      <c r="Y10" s="12">
        <v>1.8740000000000001</v>
      </c>
      <c r="Z10" s="12">
        <v>0.29699999999999999</v>
      </c>
      <c r="AA10" s="12">
        <v>1.4858</v>
      </c>
      <c r="AB10" s="12">
        <v>1.9074</v>
      </c>
      <c r="AC10" s="12">
        <v>1.4892000000000001</v>
      </c>
      <c r="AD10" s="12">
        <v>1.7834000000000001</v>
      </c>
      <c r="AE10" s="12">
        <v>0.81720000000000004</v>
      </c>
      <c r="AF10" s="12">
        <v>7.3200000000000001E-2</v>
      </c>
      <c r="AG10" s="12">
        <v>1.0316000000000001</v>
      </c>
      <c r="AH10" s="15" t="s">
        <v>47</v>
      </c>
      <c r="AI10" s="12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  <c r="AV10" s="1"/>
      <c r="AW10" s="1"/>
      <c r="AX10" s="1"/>
      <c r="AY10" s="1"/>
      <c r="AZ10" s="1"/>
      <c r="BA10" s="1"/>
      <c r="BB10" s="1"/>
    </row>
    <row r="11" spans="1:54" x14ac:dyDescent="0.25">
      <c r="A11" s="1" t="s">
        <v>48</v>
      </c>
      <c r="B11" s="1" t="s">
        <v>41</v>
      </c>
      <c r="C11" s="1">
        <v>84.960999999999999</v>
      </c>
      <c r="D11" s="1"/>
      <c r="E11" s="1">
        <v>45.956000000000003</v>
      </c>
      <c r="F11" s="1">
        <v>25.495999999999999</v>
      </c>
      <c r="G11" s="1">
        <f t="shared" si="7"/>
        <v>10.651999999999999</v>
      </c>
      <c r="H11" s="7">
        <v>1</v>
      </c>
      <c r="I11" s="1">
        <v>50</v>
      </c>
      <c r="J11" s="1"/>
      <c r="K11" s="1"/>
      <c r="L11" s="1">
        <f t="shared" si="3"/>
        <v>45.956000000000003</v>
      </c>
      <c r="M11" s="1"/>
      <c r="N11" s="1"/>
      <c r="O11" s="26">
        <v>0</v>
      </c>
      <c r="P11" s="1">
        <v>80</v>
      </c>
      <c r="Q11" s="1">
        <f>IFERROR(VLOOKUP(A11,[1]TDSheet!$A:$F,3,0),0)</f>
        <v>14.843999999999999</v>
      </c>
      <c r="R11" s="1">
        <f t="shared" si="4"/>
        <v>9.1912000000000003</v>
      </c>
      <c r="S11" s="5">
        <f>18*R11-P11-O11-F11</f>
        <v>59.945599999999999</v>
      </c>
      <c r="T11" s="5"/>
      <c r="U11" s="1"/>
      <c r="V11" s="1">
        <f t="shared" si="5"/>
        <v>18</v>
      </c>
      <c r="W11" s="1">
        <f t="shared" si="6"/>
        <v>11.477935416485334</v>
      </c>
      <c r="X11" s="1">
        <v>6.7453999999999992</v>
      </c>
      <c r="Y11" s="1">
        <v>5.0880000000000001</v>
      </c>
      <c r="Z11" s="1">
        <v>8.1170000000000009</v>
      </c>
      <c r="AA11" s="1">
        <v>4.6042000000000014</v>
      </c>
      <c r="AB11" s="1">
        <v>2.1598000000000002</v>
      </c>
      <c r="AC11" s="1">
        <v>10.8428</v>
      </c>
      <c r="AD11" s="1">
        <v>0</v>
      </c>
      <c r="AE11" s="1">
        <v>17.7636</v>
      </c>
      <c r="AF11" s="1">
        <v>10.837400000000001</v>
      </c>
      <c r="AG11" s="1">
        <v>0</v>
      </c>
      <c r="AH11" s="1"/>
      <c r="AI11" s="1">
        <f>H11*S11</f>
        <v>59.945599999999999</v>
      </c>
      <c r="AJ11" s="1"/>
      <c r="AK11" s="1"/>
      <c r="AL11" s="1"/>
      <c r="AM11" s="1"/>
      <c r="AN11" s="1"/>
      <c r="AO11" s="1"/>
      <c r="AP11" s="1"/>
      <c r="AQ11" s="1"/>
      <c r="AR11" s="1"/>
      <c r="AS11" s="1"/>
      <c r="AT11" s="1"/>
      <c r="AU11" s="1"/>
      <c r="AV11" s="1"/>
      <c r="AW11" s="1"/>
      <c r="AX11" s="1"/>
      <c r="AY11" s="1"/>
      <c r="AZ11" s="1"/>
      <c r="BA11" s="1"/>
      <c r="BB11" s="1"/>
    </row>
    <row r="12" spans="1:54" x14ac:dyDescent="0.25">
      <c r="A12" s="12" t="s">
        <v>49</v>
      </c>
      <c r="B12" s="12" t="s">
        <v>41</v>
      </c>
      <c r="C12" s="12"/>
      <c r="D12" s="12"/>
      <c r="E12" s="12"/>
      <c r="F12" s="12"/>
      <c r="G12" s="1">
        <f t="shared" si="7"/>
        <v>0</v>
      </c>
      <c r="H12" s="13">
        <v>0</v>
      </c>
      <c r="I12" s="12" t="e">
        <v>#N/A</v>
      </c>
      <c r="J12" s="12" t="s">
        <v>38</v>
      </c>
      <c r="K12" s="12"/>
      <c r="L12" s="12">
        <f t="shared" si="3"/>
        <v>0</v>
      </c>
      <c r="M12" s="12"/>
      <c r="N12" s="12"/>
      <c r="O12" s="29"/>
      <c r="P12" s="12"/>
      <c r="Q12" s="12">
        <f>IFERROR(VLOOKUP(A12,[1]TDSheet!$A:$F,3,0),0)</f>
        <v>0</v>
      </c>
      <c r="R12" s="12">
        <f t="shared" si="4"/>
        <v>0</v>
      </c>
      <c r="S12" s="14"/>
      <c r="T12" s="14"/>
      <c r="U12" s="12"/>
      <c r="V12" s="12" t="e">
        <f t="shared" si="5"/>
        <v>#DIV/0!</v>
      </c>
      <c r="W12" s="12" t="e">
        <f t="shared" si="6"/>
        <v>#DIV/0!</v>
      </c>
      <c r="X12" s="12">
        <v>0</v>
      </c>
      <c r="Y12" s="12">
        <v>0</v>
      </c>
      <c r="Z12" s="12">
        <v>0</v>
      </c>
      <c r="AA12" s="12">
        <v>0</v>
      </c>
      <c r="AB12" s="12">
        <v>0</v>
      </c>
      <c r="AC12" s="12">
        <v>0</v>
      </c>
      <c r="AD12" s="12">
        <v>0</v>
      </c>
      <c r="AE12" s="12">
        <v>0</v>
      </c>
      <c r="AF12" s="12">
        <v>0</v>
      </c>
      <c r="AG12" s="12">
        <v>0</v>
      </c>
      <c r="AH12" s="12" t="s">
        <v>50</v>
      </c>
      <c r="AI12" s="12"/>
      <c r="AJ12" s="1"/>
      <c r="AK12" s="1"/>
      <c r="AL12" s="1"/>
      <c r="AM12" s="1"/>
      <c r="AN12" s="1"/>
      <c r="AO12" s="1"/>
      <c r="AP12" s="1"/>
      <c r="AQ12" s="1"/>
      <c r="AR12" s="1"/>
      <c r="AS12" s="1"/>
      <c r="AT12" s="1"/>
      <c r="AU12" s="1"/>
      <c r="AV12" s="1"/>
      <c r="AW12" s="1"/>
      <c r="AX12" s="1"/>
      <c r="AY12" s="1"/>
      <c r="AZ12" s="1"/>
      <c r="BA12" s="1"/>
      <c r="BB12" s="1"/>
    </row>
    <row r="13" spans="1:54" x14ac:dyDescent="0.25">
      <c r="A13" s="12" t="s">
        <v>51</v>
      </c>
      <c r="B13" s="12" t="s">
        <v>41</v>
      </c>
      <c r="C13" s="12"/>
      <c r="D13" s="12"/>
      <c r="E13" s="12"/>
      <c r="F13" s="12"/>
      <c r="G13" s="1">
        <f t="shared" si="7"/>
        <v>0</v>
      </c>
      <c r="H13" s="13">
        <v>0</v>
      </c>
      <c r="I13" s="12" t="e">
        <v>#N/A</v>
      </c>
      <c r="J13" s="12" t="s">
        <v>38</v>
      </c>
      <c r="K13" s="12"/>
      <c r="L13" s="12">
        <f t="shared" si="3"/>
        <v>0</v>
      </c>
      <c r="M13" s="12"/>
      <c r="N13" s="12"/>
      <c r="O13" s="29"/>
      <c r="P13" s="12"/>
      <c r="Q13" s="12">
        <f>IFERROR(VLOOKUP(A13,[1]TDSheet!$A:$F,3,0),0)</f>
        <v>0</v>
      </c>
      <c r="R13" s="12">
        <f t="shared" si="4"/>
        <v>0</v>
      </c>
      <c r="S13" s="14"/>
      <c r="T13" s="14"/>
      <c r="U13" s="12"/>
      <c r="V13" s="12" t="e">
        <f t="shared" si="5"/>
        <v>#DIV/0!</v>
      </c>
      <c r="W13" s="12" t="e">
        <f t="shared" si="6"/>
        <v>#DIV/0!</v>
      </c>
      <c r="X13" s="12">
        <v>0</v>
      </c>
      <c r="Y13" s="12">
        <v>0</v>
      </c>
      <c r="Z13" s="12">
        <v>0</v>
      </c>
      <c r="AA13" s="12">
        <v>0</v>
      </c>
      <c r="AB13" s="12">
        <v>0</v>
      </c>
      <c r="AC13" s="12">
        <v>0</v>
      </c>
      <c r="AD13" s="12">
        <v>0</v>
      </c>
      <c r="AE13" s="12">
        <v>0</v>
      </c>
      <c r="AF13" s="12">
        <v>0</v>
      </c>
      <c r="AG13" s="12">
        <v>0</v>
      </c>
      <c r="AH13" s="12" t="s">
        <v>50</v>
      </c>
      <c r="AI13" s="12"/>
      <c r="AJ13" s="1"/>
      <c r="AK13" s="1"/>
      <c r="AL13" s="1"/>
      <c r="AM13" s="1"/>
      <c r="AN13" s="1"/>
      <c r="AO13" s="1"/>
      <c r="AP13" s="1"/>
      <c r="AQ13" s="1"/>
      <c r="AR13" s="1"/>
      <c r="AS13" s="1"/>
      <c r="AT13" s="1"/>
      <c r="AU13" s="1"/>
      <c r="AV13" s="1"/>
      <c r="AW13" s="1"/>
      <c r="AX13" s="1"/>
      <c r="AY13" s="1"/>
      <c r="AZ13" s="1"/>
      <c r="BA13" s="1"/>
      <c r="BB13" s="1"/>
    </row>
    <row r="14" spans="1:54" x14ac:dyDescent="0.25">
      <c r="A14" s="1" t="s">
        <v>52</v>
      </c>
      <c r="B14" s="1" t="s">
        <v>41</v>
      </c>
      <c r="C14" s="1">
        <v>270.57799999999997</v>
      </c>
      <c r="D14" s="1"/>
      <c r="E14" s="1">
        <v>137.054</v>
      </c>
      <c r="F14" s="1">
        <v>64.998000000000005</v>
      </c>
      <c r="G14" s="1">
        <f t="shared" si="7"/>
        <v>271.839</v>
      </c>
      <c r="H14" s="7">
        <v>1</v>
      </c>
      <c r="I14" s="1">
        <v>60</v>
      </c>
      <c r="J14" s="1"/>
      <c r="K14" s="1"/>
      <c r="L14" s="1">
        <f t="shared" si="3"/>
        <v>137.054</v>
      </c>
      <c r="M14" s="1"/>
      <c r="N14" s="1"/>
      <c r="O14" s="26">
        <v>300</v>
      </c>
      <c r="P14" s="1">
        <v>200</v>
      </c>
      <c r="Q14" s="1">
        <f>IFERROR(VLOOKUP(A14,[1]TDSheet!$A:$F,3,0),0)</f>
        <v>93.159000000000006</v>
      </c>
      <c r="R14" s="1">
        <f t="shared" si="4"/>
        <v>27.410800000000002</v>
      </c>
      <c r="S14" s="5"/>
      <c r="T14" s="5"/>
      <c r="U14" s="1"/>
      <c r="V14" s="1">
        <f t="shared" si="5"/>
        <v>20.61224043077911</v>
      </c>
      <c r="W14" s="1">
        <f t="shared" si="6"/>
        <v>20.61224043077911</v>
      </c>
      <c r="X14" s="1">
        <v>52.094200000000001</v>
      </c>
      <c r="Y14" s="1">
        <v>38.1008</v>
      </c>
      <c r="Z14" s="1">
        <v>33.098999999999997</v>
      </c>
      <c r="AA14" s="1">
        <v>39.427</v>
      </c>
      <c r="AB14" s="1">
        <v>32.1708</v>
      </c>
      <c r="AC14" s="1">
        <v>34.6402</v>
      </c>
      <c r="AD14" s="1">
        <v>39.449399999999997</v>
      </c>
      <c r="AE14" s="1">
        <v>-4.3792</v>
      </c>
      <c r="AF14" s="1">
        <v>28.030799999999999</v>
      </c>
      <c r="AG14" s="1">
        <v>48.481200000000001</v>
      </c>
      <c r="AH14" s="1"/>
      <c r="AI14" s="1">
        <f t="shared" ref="AI14:AI49" si="8">H14*S14</f>
        <v>0</v>
      </c>
      <c r="AJ14" s="1"/>
      <c r="AK14" s="1"/>
      <c r="AL14" s="1"/>
      <c r="AM14" s="1"/>
      <c r="AN14" s="1"/>
      <c r="AO14" s="1"/>
      <c r="AP14" s="1"/>
      <c r="AQ14" s="1"/>
      <c r="AR14" s="1"/>
      <c r="AS14" s="1"/>
      <c r="AT14" s="1"/>
      <c r="AU14" s="1"/>
      <c r="AV14" s="1"/>
      <c r="AW14" s="1"/>
      <c r="AX14" s="1"/>
      <c r="AY14" s="1"/>
      <c r="AZ14" s="1"/>
      <c r="BA14" s="1"/>
      <c r="BB14" s="1"/>
    </row>
    <row r="15" spans="1:54" x14ac:dyDescent="0.25">
      <c r="A15" s="1" t="s">
        <v>53</v>
      </c>
      <c r="B15" s="1" t="s">
        <v>41</v>
      </c>
      <c r="C15" s="1">
        <v>299.51299999999998</v>
      </c>
      <c r="D15" s="1"/>
      <c r="E15" s="1">
        <v>199.62200000000001</v>
      </c>
      <c r="F15" s="1">
        <v>51.587000000000003</v>
      </c>
      <c r="G15" s="1">
        <f t="shared" si="7"/>
        <v>311.89699999999999</v>
      </c>
      <c r="H15" s="7">
        <v>1</v>
      </c>
      <c r="I15" s="1">
        <v>60</v>
      </c>
      <c r="J15" s="1"/>
      <c r="K15" s="1"/>
      <c r="L15" s="1">
        <f t="shared" si="3"/>
        <v>199.62200000000001</v>
      </c>
      <c r="M15" s="1"/>
      <c r="N15" s="1"/>
      <c r="O15" s="26">
        <v>350</v>
      </c>
      <c r="P15" s="1">
        <v>350</v>
      </c>
      <c r="Q15" s="1">
        <f>IFERROR(VLOOKUP(A15,[1]TDSheet!$A:$F,3,0),0)</f>
        <v>89.69</v>
      </c>
      <c r="R15" s="1">
        <f t="shared" si="4"/>
        <v>39.924400000000006</v>
      </c>
      <c r="S15" s="5"/>
      <c r="T15" s="5"/>
      <c r="U15" s="1"/>
      <c r="V15" s="1">
        <f t="shared" si="5"/>
        <v>18.825254731442424</v>
      </c>
      <c r="W15" s="1">
        <f t="shared" si="6"/>
        <v>18.825254731442424</v>
      </c>
      <c r="X15" s="1">
        <v>30.3642</v>
      </c>
      <c r="Y15" s="1">
        <v>57.274999999999999</v>
      </c>
      <c r="Z15" s="1">
        <v>35.036000000000001</v>
      </c>
      <c r="AA15" s="1">
        <v>30.5366</v>
      </c>
      <c r="AB15" s="1">
        <v>38.046799999999998</v>
      </c>
      <c r="AC15" s="1">
        <v>31.278400000000001</v>
      </c>
      <c r="AD15" s="1">
        <v>49.44</v>
      </c>
      <c r="AE15" s="1">
        <v>5.8708</v>
      </c>
      <c r="AF15" s="1">
        <v>34.788600000000002</v>
      </c>
      <c r="AG15" s="1">
        <v>64.041200000000003</v>
      </c>
      <c r="AH15" s="1" t="s">
        <v>54</v>
      </c>
      <c r="AI15" s="1">
        <f t="shared" si="8"/>
        <v>0</v>
      </c>
      <c r="AJ15" s="1"/>
      <c r="AK15" s="1"/>
      <c r="AL15" s="1"/>
      <c r="AM15" s="1"/>
      <c r="AN15" s="1"/>
      <c r="AO15" s="1"/>
      <c r="AP15" s="1"/>
      <c r="AQ15" s="1"/>
      <c r="AR15" s="1"/>
      <c r="AS15" s="1"/>
      <c r="AT15" s="1"/>
      <c r="AU15" s="1"/>
      <c r="AV15" s="1"/>
      <c r="AW15" s="1"/>
      <c r="AX15" s="1"/>
      <c r="AY15" s="1"/>
      <c r="AZ15" s="1"/>
      <c r="BA15" s="1"/>
      <c r="BB15" s="1"/>
    </row>
    <row r="16" spans="1:54" x14ac:dyDescent="0.25">
      <c r="A16" s="1" t="s">
        <v>55</v>
      </c>
      <c r="B16" s="1" t="s">
        <v>41</v>
      </c>
      <c r="C16" s="1">
        <v>124.34399999999999</v>
      </c>
      <c r="D16" s="1"/>
      <c r="E16" s="1">
        <v>-0.73299999999999998</v>
      </c>
      <c r="F16" s="1">
        <v>-0.193</v>
      </c>
      <c r="G16" s="1">
        <f t="shared" si="7"/>
        <v>2.7139999999999986</v>
      </c>
      <c r="H16" s="7">
        <v>1</v>
      </c>
      <c r="I16" s="1">
        <v>40</v>
      </c>
      <c r="J16" s="1"/>
      <c r="K16" s="1"/>
      <c r="L16" s="1">
        <f t="shared" si="3"/>
        <v>-0.73299999999999998</v>
      </c>
      <c r="M16" s="1"/>
      <c r="N16" s="1"/>
      <c r="O16" s="26">
        <v>100</v>
      </c>
      <c r="P16" s="1">
        <v>150</v>
      </c>
      <c r="Q16" s="1">
        <f>IFERROR(VLOOKUP(A16,[1]TDSheet!$A:$F,3,0),0)</f>
        <v>97.093000000000004</v>
      </c>
      <c r="R16" s="1">
        <f t="shared" si="4"/>
        <v>-0.14660000000000001</v>
      </c>
      <c r="S16" s="5"/>
      <c r="T16" s="5"/>
      <c r="U16" s="1"/>
      <c r="V16" s="1">
        <f t="shared" si="5"/>
        <v>-1704.0040927694406</v>
      </c>
      <c r="W16" s="1">
        <f t="shared" si="6"/>
        <v>-1704.0040927694406</v>
      </c>
      <c r="X16" s="1">
        <v>16.814800000000002</v>
      </c>
      <c r="Y16" s="1">
        <v>6.9978000000000007</v>
      </c>
      <c r="Z16" s="1">
        <v>17.8386</v>
      </c>
      <c r="AA16" s="1">
        <v>9.9391999999999996</v>
      </c>
      <c r="AB16" s="1">
        <v>13.804</v>
      </c>
      <c r="AC16" s="1">
        <v>16.576799999999999</v>
      </c>
      <c r="AD16" s="1">
        <v>18.571000000000002</v>
      </c>
      <c r="AE16" s="1">
        <v>28.954999999999998</v>
      </c>
      <c r="AF16" s="1">
        <v>28.401800000000001</v>
      </c>
      <c r="AG16" s="1">
        <v>0</v>
      </c>
      <c r="AH16" s="1"/>
      <c r="AI16" s="1">
        <f t="shared" si="8"/>
        <v>0</v>
      </c>
      <c r="AJ16" s="1"/>
      <c r="AK16" s="1"/>
      <c r="AL16" s="1"/>
      <c r="AM16" s="1"/>
      <c r="AN16" s="1"/>
      <c r="AO16" s="1"/>
      <c r="AP16" s="1"/>
      <c r="AQ16" s="1"/>
      <c r="AR16" s="1"/>
      <c r="AS16" s="1"/>
      <c r="AT16" s="1"/>
      <c r="AU16" s="1"/>
      <c r="AV16" s="1"/>
      <c r="AW16" s="1"/>
      <c r="AX16" s="1"/>
      <c r="AY16" s="1"/>
      <c r="AZ16" s="1"/>
      <c r="BA16" s="1"/>
      <c r="BB16" s="1"/>
    </row>
    <row r="17" spans="1:54" x14ac:dyDescent="0.25">
      <c r="A17" s="1" t="s">
        <v>56</v>
      </c>
      <c r="B17" s="1" t="s">
        <v>37</v>
      </c>
      <c r="C17" s="1">
        <v>283</v>
      </c>
      <c r="D17" s="1"/>
      <c r="E17" s="16">
        <f>88+E66</f>
        <v>90</v>
      </c>
      <c r="F17" s="1">
        <v>-6</v>
      </c>
      <c r="G17" s="1">
        <f t="shared" si="7"/>
        <v>15.571428571428612</v>
      </c>
      <c r="H17" s="7">
        <v>0.35</v>
      </c>
      <c r="I17" s="1">
        <v>40</v>
      </c>
      <c r="J17" s="1"/>
      <c r="K17" s="1"/>
      <c r="L17" s="1">
        <f t="shared" si="3"/>
        <v>90</v>
      </c>
      <c r="M17" s="1"/>
      <c r="N17" s="1"/>
      <c r="O17" s="26">
        <v>428.57142857142861</v>
      </c>
      <c r="P17" s="1">
        <v>428.57142857142861</v>
      </c>
      <c r="Q17" s="1">
        <f>IFERROR(VLOOKUP(A17,[1]TDSheet!$A:$F,3,0),0)</f>
        <v>407</v>
      </c>
      <c r="R17" s="1">
        <f t="shared" si="4"/>
        <v>18</v>
      </c>
      <c r="S17" s="5"/>
      <c r="T17" s="5"/>
      <c r="U17" s="1"/>
      <c r="V17" s="1">
        <f t="shared" si="5"/>
        <v>47.285714285714292</v>
      </c>
      <c r="W17" s="1">
        <f t="shared" si="6"/>
        <v>47.285714285714292</v>
      </c>
      <c r="X17" s="1">
        <v>76.8</v>
      </c>
      <c r="Y17" s="1">
        <v>105.6</v>
      </c>
      <c r="Z17" s="1">
        <v>21.2</v>
      </c>
      <c r="AA17" s="1">
        <v>50.8</v>
      </c>
      <c r="AB17" s="1">
        <v>50.4</v>
      </c>
      <c r="AC17" s="1">
        <v>82.8</v>
      </c>
      <c r="AD17" s="1">
        <v>69.599999999999994</v>
      </c>
      <c r="AE17" s="1">
        <v>106.4</v>
      </c>
      <c r="AF17" s="1">
        <v>79</v>
      </c>
      <c r="AG17" s="1">
        <v>85.2</v>
      </c>
      <c r="AH17" s="1"/>
      <c r="AI17" s="1">
        <f t="shared" si="8"/>
        <v>0</v>
      </c>
      <c r="AJ17" s="1"/>
      <c r="AK17" s="1"/>
      <c r="AL17" s="1"/>
      <c r="AM17" s="1"/>
      <c r="AN17" s="1"/>
      <c r="AO17" s="1"/>
      <c r="AP17" s="1"/>
      <c r="AQ17" s="1"/>
      <c r="AR17" s="1"/>
      <c r="AS17" s="1"/>
      <c r="AT17" s="1"/>
      <c r="AU17" s="1"/>
      <c r="AV17" s="1"/>
      <c r="AW17" s="1"/>
      <c r="AX17" s="1"/>
      <c r="AY17" s="1"/>
      <c r="AZ17" s="1"/>
      <c r="BA17" s="1"/>
      <c r="BB17" s="1"/>
    </row>
    <row r="18" spans="1:54" x14ac:dyDescent="0.25">
      <c r="A18" s="1" t="s">
        <v>57</v>
      </c>
      <c r="B18" s="1" t="s">
        <v>41</v>
      </c>
      <c r="C18" s="1">
        <v>34.6</v>
      </c>
      <c r="D18" s="1"/>
      <c r="E18" s="1">
        <v>-0.72</v>
      </c>
      <c r="F18" s="1"/>
      <c r="G18" s="1">
        <f t="shared" si="7"/>
        <v>11.923000000000002</v>
      </c>
      <c r="H18" s="7">
        <v>1</v>
      </c>
      <c r="I18" s="1">
        <v>40</v>
      </c>
      <c r="J18" s="1"/>
      <c r="K18" s="1"/>
      <c r="L18" s="1">
        <f t="shared" si="3"/>
        <v>-0.72</v>
      </c>
      <c r="M18" s="1"/>
      <c r="N18" s="1"/>
      <c r="O18" s="26">
        <v>100</v>
      </c>
      <c r="P18" s="1">
        <v>150</v>
      </c>
      <c r="Q18" s="1">
        <f>IFERROR(VLOOKUP(A18,[1]TDSheet!$A:$F,3,0),0)</f>
        <v>88.076999999999998</v>
      </c>
      <c r="R18" s="1">
        <f t="shared" si="4"/>
        <v>-0.14399999999999999</v>
      </c>
      <c r="S18" s="5"/>
      <c r="T18" s="5"/>
      <c r="U18" s="1"/>
      <c r="V18" s="1">
        <f t="shared" si="5"/>
        <v>-1736.1111111111113</v>
      </c>
      <c r="W18" s="1">
        <f t="shared" si="6"/>
        <v>-1736.1111111111113</v>
      </c>
      <c r="X18" s="1">
        <v>-2.3090000000000002</v>
      </c>
      <c r="Y18" s="1">
        <v>23.312799999999999</v>
      </c>
      <c r="Z18" s="1">
        <v>18.0686</v>
      </c>
      <c r="AA18" s="1">
        <v>11.051</v>
      </c>
      <c r="AB18" s="1">
        <v>16.8826</v>
      </c>
      <c r="AC18" s="1">
        <v>14.519399999999999</v>
      </c>
      <c r="AD18" s="1">
        <v>19.543199999999999</v>
      </c>
      <c r="AE18" s="1">
        <v>27.794</v>
      </c>
      <c r="AF18" s="1">
        <v>30.1358</v>
      </c>
      <c r="AG18" s="1">
        <v>0</v>
      </c>
      <c r="AH18" s="1"/>
      <c r="AI18" s="1">
        <f t="shared" si="8"/>
        <v>0</v>
      </c>
      <c r="AJ18" s="1"/>
      <c r="AK18" s="1"/>
      <c r="AL18" s="1"/>
      <c r="AM18" s="1"/>
      <c r="AN18" s="1"/>
      <c r="AO18" s="1"/>
      <c r="AP18" s="1"/>
      <c r="AQ18" s="1"/>
      <c r="AR18" s="1"/>
      <c r="AS18" s="1"/>
      <c r="AT18" s="1"/>
      <c r="AU18" s="1"/>
      <c r="AV18" s="1"/>
      <c r="AW18" s="1"/>
      <c r="AX18" s="1"/>
      <c r="AY18" s="1"/>
      <c r="AZ18" s="1"/>
      <c r="BA18" s="1"/>
      <c r="BB18" s="1"/>
    </row>
    <row r="19" spans="1:54" x14ac:dyDescent="0.25">
      <c r="A19" s="1" t="s">
        <v>58</v>
      </c>
      <c r="B19" s="1" t="s">
        <v>37</v>
      </c>
      <c r="C19" s="1">
        <v>476</v>
      </c>
      <c r="D19" s="1"/>
      <c r="E19" s="16">
        <f>207+E67</f>
        <v>237</v>
      </c>
      <c r="F19" s="1"/>
      <c r="G19" s="1">
        <f t="shared" si="7"/>
        <v>54.571428571428612</v>
      </c>
      <c r="H19" s="7">
        <v>0.35</v>
      </c>
      <c r="I19" s="1">
        <v>40</v>
      </c>
      <c r="J19" s="1"/>
      <c r="K19" s="1"/>
      <c r="L19" s="1">
        <f t="shared" si="3"/>
        <v>237</v>
      </c>
      <c r="M19" s="1"/>
      <c r="N19" s="1"/>
      <c r="O19" s="26">
        <v>428.57142857142861</v>
      </c>
      <c r="P19" s="1">
        <v>428.57142857142861</v>
      </c>
      <c r="Q19" s="1">
        <f>IFERROR(VLOOKUP(A19,[1]TDSheet!$A:$F,3,0),0)</f>
        <v>374</v>
      </c>
      <c r="R19" s="1">
        <f t="shared" si="4"/>
        <v>47.4</v>
      </c>
      <c r="S19" s="5"/>
      <c r="T19" s="5"/>
      <c r="U19" s="1"/>
      <c r="V19" s="1">
        <f t="shared" si="5"/>
        <v>18.083182640144667</v>
      </c>
      <c r="W19" s="1">
        <f t="shared" si="6"/>
        <v>18.083182640144667</v>
      </c>
      <c r="X19" s="1">
        <v>105</v>
      </c>
      <c r="Y19" s="1">
        <v>19.2</v>
      </c>
      <c r="Z19" s="1">
        <v>29.8</v>
      </c>
      <c r="AA19" s="1">
        <v>66.2</v>
      </c>
      <c r="AB19" s="1">
        <v>22.8</v>
      </c>
      <c r="AC19" s="1">
        <v>41</v>
      </c>
      <c r="AD19" s="1">
        <v>60.6</v>
      </c>
      <c r="AE19" s="1">
        <v>-3.2</v>
      </c>
      <c r="AF19" s="1">
        <v>-0.6</v>
      </c>
      <c r="AG19" s="1">
        <v>85.4</v>
      </c>
      <c r="AH19" s="1"/>
      <c r="AI19" s="1">
        <f t="shared" si="8"/>
        <v>0</v>
      </c>
      <c r="AJ19" s="1"/>
      <c r="AK19" s="1"/>
      <c r="AL19" s="1"/>
      <c r="AM19" s="1"/>
      <c r="AN19" s="1"/>
      <c r="AO19" s="1"/>
      <c r="AP19" s="1"/>
      <c r="AQ19" s="1"/>
      <c r="AR19" s="1"/>
      <c r="AS19" s="1"/>
      <c r="AT19" s="1"/>
      <c r="AU19" s="1"/>
      <c r="AV19" s="1"/>
      <c r="AW19" s="1"/>
      <c r="AX19" s="1"/>
      <c r="AY19" s="1"/>
      <c r="AZ19" s="1"/>
      <c r="BA19" s="1"/>
      <c r="BB19" s="1"/>
    </row>
    <row r="20" spans="1:54" x14ac:dyDescent="0.25">
      <c r="A20" s="1" t="s">
        <v>59</v>
      </c>
      <c r="B20" s="1" t="s">
        <v>41</v>
      </c>
      <c r="C20" s="1"/>
      <c r="D20" s="1"/>
      <c r="E20" s="1">
        <v>1.7000000000000001E-2</v>
      </c>
      <c r="F20" s="1">
        <v>-0.71699999999999997</v>
      </c>
      <c r="G20" s="1">
        <f t="shared" si="7"/>
        <v>-2.757000000000005</v>
      </c>
      <c r="H20" s="7">
        <v>1</v>
      </c>
      <c r="I20" s="1">
        <v>40</v>
      </c>
      <c r="J20" s="1"/>
      <c r="K20" s="1"/>
      <c r="L20" s="1">
        <f t="shared" si="3"/>
        <v>1.7000000000000001E-2</v>
      </c>
      <c r="M20" s="1"/>
      <c r="N20" s="1"/>
      <c r="O20" s="26">
        <v>150</v>
      </c>
      <c r="P20" s="1">
        <v>100</v>
      </c>
      <c r="Q20" s="1">
        <f>IFERROR(VLOOKUP(A20,[1]TDSheet!$A:$F,3,0),0)</f>
        <v>152.04</v>
      </c>
      <c r="R20" s="1">
        <f t="shared" si="4"/>
        <v>3.4000000000000002E-3</v>
      </c>
      <c r="S20" s="5"/>
      <c r="T20" s="5"/>
      <c r="U20" s="1"/>
      <c r="V20" s="1">
        <f t="shared" si="5"/>
        <v>73318.529411764699</v>
      </c>
      <c r="W20" s="1">
        <f t="shared" si="6"/>
        <v>73318.529411764699</v>
      </c>
      <c r="X20" s="1">
        <v>0</v>
      </c>
      <c r="Y20" s="1">
        <v>26.065200000000001</v>
      </c>
      <c r="Z20" s="1">
        <v>15.234400000000001</v>
      </c>
      <c r="AA20" s="1">
        <v>11.714600000000001</v>
      </c>
      <c r="AB20" s="1">
        <v>18.170000000000002</v>
      </c>
      <c r="AC20" s="1">
        <v>16.2606</v>
      </c>
      <c r="AD20" s="1">
        <v>18.934999999999999</v>
      </c>
      <c r="AE20" s="1">
        <v>30.006599999999999</v>
      </c>
      <c r="AF20" s="1">
        <v>29.688800000000001</v>
      </c>
      <c r="AG20" s="1">
        <v>0</v>
      </c>
      <c r="AH20" s="1"/>
      <c r="AI20" s="1">
        <f t="shared" si="8"/>
        <v>0</v>
      </c>
      <c r="AJ20" s="1"/>
      <c r="AK20" s="1"/>
      <c r="AL20" s="1"/>
      <c r="AM20" s="1"/>
      <c r="AN20" s="1"/>
      <c r="AO20" s="1"/>
      <c r="AP20" s="1"/>
      <c r="AQ20" s="1"/>
      <c r="AR20" s="1"/>
      <c r="AS20" s="1"/>
      <c r="AT20" s="1"/>
      <c r="AU20" s="1"/>
      <c r="AV20" s="1"/>
      <c r="AW20" s="1"/>
      <c r="AX20" s="1"/>
      <c r="AY20" s="1"/>
      <c r="AZ20" s="1"/>
      <c r="BA20" s="1"/>
      <c r="BB20" s="1"/>
    </row>
    <row r="21" spans="1:54" x14ac:dyDescent="0.25">
      <c r="A21" s="1" t="s">
        <v>60</v>
      </c>
      <c r="B21" s="1" t="s">
        <v>41</v>
      </c>
      <c r="C21" s="1">
        <v>158.47300000000001</v>
      </c>
      <c r="D21" s="1"/>
      <c r="E21" s="1">
        <v>111.458</v>
      </c>
      <c r="F21" s="1">
        <v>2.0920000000000001</v>
      </c>
      <c r="G21" s="1">
        <f t="shared" si="7"/>
        <v>-4.6550000000000011</v>
      </c>
      <c r="H21" s="7">
        <v>1</v>
      </c>
      <c r="I21" s="1">
        <v>45</v>
      </c>
      <c r="J21" s="1"/>
      <c r="K21" s="1"/>
      <c r="L21" s="1">
        <f t="shared" si="3"/>
        <v>111.458</v>
      </c>
      <c r="M21" s="1"/>
      <c r="N21" s="1"/>
      <c r="O21" s="26">
        <v>150</v>
      </c>
      <c r="P21" s="1">
        <v>150</v>
      </c>
      <c r="Q21" s="1">
        <f>IFERROR(VLOOKUP(A21,[1]TDSheet!$A:$F,3,0),0)</f>
        <v>156.74700000000001</v>
      </c>
      <c r="R21" s="1">
        <f t="shared" si="4"/>
        <v>22.291599999999999</v>
      </c>
      <c r="S21" s="5">
        <f>18*R21-P21-O21-F21</f>
        <v>99.156799999999961</v>
      </c>
      <c r="T21" s="5"/>
      <c r="U21" s="1"/>
      <c r="V21" s="1">
        <f t="shared" si="5"/>
        <v>18</v>
      </c>
      <c r="W21" s="1">
        <f t="shared" si="6"/>
        <v>13.551831183046529</v>
      </c>
      <c r="X21" s="1">
        <v>18.746600000000001</v>
      </c>
      <c r="Y21" s="1">
        <v>7.9151999999999996</v>
      </c>
      <c r="Z21" s="1">
        <v>23.599599999999999</v>
      </c>
      <c r="AA21" s="1">
        <v>7.7530000000000001</v>
      </c>
      <c r="AB21" s="1">
        <v>9.8803999999999998</v>
      </c>
      <c r="AC21" s="1">
        <v>17.6982</v>
      </c>
      <c r="AD21" s="1">
        <v>20.2302</v>
      </c>
      <c r="AE21" s="1">
        <v>30.508199999999999</v>
      </c>
      <c r="AF21" s="1">
        <v>29.3428</v>
      </c>
      <c r="AG21" s="1">
        <v>0</v>
      </c>
      <c r="AH21" s="1"/>
      <c r="AI21" s="1">
        <f t="shared" si="8"/>
        <v>99.156799999999961</v>
      </c>
      <c r="AJ21" s="1"/>
      <c r="AK21" s="1"/>
      <c r="AL21" s="1"/>
      <c r="AM21" s="1"/>
      <c r="AN21" s="1"/>
      <c r="AO21" s="1"/>
      <c r="AP21" s="1"/>
      <c r="AQ21" s="1"/>
      <c r="AR21" s="1"/>
      <c r="AS21" s="1"/>
      <c r="AT21" s="1"/>
      <c r="AU21" s="1"/>
      <c r="AV21" s="1"/>
      <c r="AW21" s="1"/>
      <c r="AX21" s="1"/>
      <c r="AY21" s="1"/>
      <c r="AZ21" s="1"/>
      <c r="BA21" s="1"/>
      <c r="BB21" s="1"/>
    </row>
    <row r="22" spans="1:54" x14ac:dyDescent="0.25">
      <c r="A22" s="1" t="s">
        <v>61</v>
      </c>
      <c r="B22" s="1" t="s">
        <v>37</v>
      </c>
      <c r="C22" s="1">
        <v>6</v>
      </c>
      <c r="D22" s="1"/>
      <c r="E22" s="1">
        <v>-2</v>
      </c>
      <c r="F22" s="1"/>
      <c r="G22" s="1">
        <f t="shared" si="7"/>
        <v>-2.666666666666714</v>
      </c>
      <c r="H22" s="7">
        <v>0.6</v>
      </c>
      <c r="I22" s="1">
        <v>45</v>
      </c>
      <c r="J22" s="1"/>
      <c r="K22" s="1"/>
      <c r="L22" s="1">
        <f t="shared" si="3"/>
        <v>-2</v>
      </c>
      <c r="M22" s="1"/>
      <c r="N22" s="1"/>
      <c r="O22" s="26">
        <v>133.33333333333329</v>
      </c>
      <c r="P22" s="1">
        <v>166.66666666666671</v>
      </c>
      <c r="Q22" s="1">
        <f>IFERROR(VLOOKUP(A22,[1]TDSheet!$A:$F,3,0),0)</f>
        <v>136</v>
      </c>
      <c r="R22" s="1">
        <f t="shared" si="4"/>
        <v>-0.4</v>
      </c>
      <c r="S22" s="5"/>
      <c r="T22" s="5"/>
      <c r="U22" s="1"/>
      <c r="V22" s="1">
        <f t="shared" si="5"/>
        <v>-750</v>
      </c>
      <c r="W22" s="1">
        <f t="shared" si="6"/>
        <v>-750</v>
      </c>
      <c r="X22" s="1">
        <v>18.8</v>
      </c>
      <c r="Y22" s="1">
        <v>0.2</v>
      </c>
      <c r="Z22" s="1">
        <v>2.2000000000000002</v>
      </c>
      <c r="AA22" s="1">
        <v>13.4</v>
      </c>
      <c r="AB22" s="1">
        <v>14</v>
      </c>
      <c r="AC22" s="1">
        <v>8.6</v>
      </c>
      <c r="AD22" s="1">
        <v>15.2</v>
      </c>
      <c r="AE22" s="1">
        <v>-1.6</v>
      </c>
      <c r="AF22" s="1">
        <v>0.4</v>
      </c>
      <c r="AG22" s="1">
        <v>32.799999999999997</v>
      </c>
      <c r="AH22" s="1"/>
      <c r="AI22" s="1">
        <f t="shared" si="8"/>
        <v>0</v>
      </c>
      <c r="AJ22" s="1"/>
      <c r="AK22" s="1"/>
      <c r="AL22" s="1"/>
      <c r="AM22" s="1"/>
      <c r="AN22" s="1"/>
      <c r="AO22" s="1"/>
      <c r="AP22" s="1"/>
      <c r="AQ22" s="1"/>
      <c r="AR22" s="1"/>
      <c r="AS22" s="1"/>
      <c r="AT22" s="1"/>
      <c r="AU22" s="1"/>
      <c r="AV22" s="1"/>
      <c r="AW22" s="1"/>
      <c r="AX22" s="1"/>
      <c r="AY22" s="1"/>
      <c r="AZ22" s="1"/>
      <c r="BA22" s="1"/>
      <c r="BB22" s="1"/>
    </row>
    <row r="23" spans="1:54" x14ac:dyDescent="0.25">
      <c r="A23" s="1" t="s">
        <v>62</v>
      </c>
      <c r="B23" s="1" t="s">
        <v>37</v>
      </c>
      <c r="C23" s="1">
        <v>109</v>
      </c>
      <c r="D23" s="1"/>
      <c r="E23" s="1">
        <v>-4</v>
      </c>
      <c r="F23" s="1"/>
      <c r="G23" s="1">
        <f t="shared" si="7"/>
        <v>-3.7777777777777999</v>
      </c>
      <c r="H23" s="7">
        <v>0.45</v>
      </c>
      <c r="I23" s="1">
        <v>45</v>
      </c>
      <c r="J23" s="1"/>
      <c r="K23" s="1"/>
      <c r="L23" s="1">
        <f t="shared" si="3"/>
        <v>-4</v>
      </c>
      <c r="M23" s="1"/>
      <c r="N23" s="1"/>
      <c r="O23" s="26">
        <v>222.2222222222222</v>
      </c>
      <c r="P23" s="1">
        <v>0</v>
      </c>
      <c r="Q23" s="1">
        <f>IFERROR(VLOOKUP(A23,[1]TDSheet!$A:$F,3,0),0)</f>
        <v>226</v>
      </c>
      <c r="R23" s="1">
        <f t="shared" si="4"/>
        <v>-0.8</v>
      </c>
      <c r="S23" s="5"/>
      <c r="T23" s="5"/>
      <c r="U23" s="1"/>
      <c r="V23" s="1">
        <f t="shared" si="5"/>
        <v>-277.77777777777771</v>
      </c>
      <c r="W23" s="1">
        <f t="shared" si="6"/>
        <v>-277.77777777777771</v>
      </c>
      <c r="X23" s="1">
        <v>-17.600000000000001</v>
      </c>
      <c r="Y23" s="1">
        <v>17.600000000000001</v>
      </c>
      <c r="Z23" s="1">
        <v>11</v>
      </c>
      <c r="AA23" s="1">
        <v>12.4</v>
      </c>
      <c r="AB23" s="1">
        <v>13.2</v>
      </c>
      <c r="AC23" s="1">
        <v>11.4</v>
      </c>
      <c r="AD23" s="1">
        <v>20.399999999999999</v>
      </c>
      <c r="AE23" s="1">
        <v>37.6</v>
      </c>
      <c r="AF23" s="1">
        <v>35</v>
      </c>
      <c r="AG23" s="1">
        <v>43.8</v>
      </c>
      <c r="AH23" s="1"/>
      <c r="AI23" s="1">
        <f t="shared" si="8"/>
        <v>0</v>
      </c>
      <c r="AJ23" s="1"/>
      <c r="AK23" s="1"/>
      <c r="AL23" s="1"/>
      <c r="AM23" s="1"/>
      <c r="AN23" s="1"/>
      <c r="AO23" s="1"/>
      <c r="AP23" s="1"/>
      <c r="AQ23" s="1"/>
      <c r="AR23" s="1"/>
      <c r="AS23" s="1"/>
      <c r="AT23" s="1"/>
      <c r="AU23" s="1"/>
      <c r="AV23" s="1"/>
      <c r="AW23" s="1"/>
      <c r="AX23" s="1"/>
      <c r="AY23" s="1"/>
      <c r="AZ23" s="1"/>
      <c r="BA23" s="1"/>
      <c r="BB23" s="1"/>
    </row>
    <row r="24" spans="1:54" x14ac:dyDescent="0.25">
      <c r="A24" s="1" t="s">
        <v>63</v>
      </c>
      <c r="B24" s="1" t="s">
        <v>41</v>
      </c>
      <c r="C24" s="1">
        <v>187.41800000000001</v>
      </c>
      <c r="D24" s="1"/>
      <c r="E24" s="16">
        <f>53.506+E68</f>
        <v>57.881999999999998</v>
      </c>
      <c r="F24" s="1">
        <v>2.5379999999999998</v>
      </c>
      <c r="G24" s="1">
        <f t="shared" si="7"/>
        <v>69.157000000000011</v>
      </c>
      <c r="H24" s="7">
        <v>1</v>
      </c>
      <c r="I24" s="1">
        <v>45</v>
      </c>
      <c r="J24" s="1"/>
      <c r="K24" s="1"/>
      <c r="L24" s="1">
        <f t="shared" si="3"/>
        <v>57.881999999999998</v>
      </c>
      <c r="M24" s="1"/>
      <c r="N24" s="1"/>
      <c r="O24" s="26">
        <v>250</v>
      </c>
      <c r="P24" s="1">
        <v>400</v>
      </c>
      <c r="Q24" s="1">
        <f>IFERROR(VLOOKUP(A24,[1]TDSheet!$A:$F,3,0),0)</f>
        <v>183.381</v>
      </c>
      <c r="R24" s="1">
        <f t="shared" si="4"/>
        <v>11.5764</v>
      </c>
      <c r="S24" s="5"/>
      <c r="T24" s="5"/>
      <c r="U24" s="1"/>
      <c r="V24" s="1">
        <f t="shared" si="5"/>
        <v>56.367955495663594</v>
      </c>
      <c r="W24" s="1">
        <f t="shared" si="6"/>
        <v>56.367955495663594</v>
      </c>
      <c r="X24" s="1">
        <v>77.245800000000003</v>
      </c>
      <c r="Y24" s="1">
        <v>24.716200000000001</v>
      </c>
      <c r="Z24" s="1">
        <v>25.936399999999999</v>
      </c>
      <c r="AA24" s="1">
        <v>55.318600000000004</v>
      </c>
      <c r="AB24" s="1">
        <v>8.5498000000000012</v>
      </c>
      <c r="AC24" s="1">
        <v>0</v>
      </c>
      <c r="AD24" s="1">
        <v>18.121200000000002</v>
      </c>
      <c r="AE24" s="1">
        <v>42.95</v>
      </c>
      <c r="AF24" s="1">
        <v>61.126199999999997</v>
      </c>
      <c r="AG24" s="1">
        <v>54.539400000000001</v>
      </c>
      <c r="AH24" s="1" t="s">
        <v>64</v>
      </c>
      <c r="AI24" s="1">
        <f t="shared" si="8"/>
        <v>0</v>
      </c>
      <c r="AJ24" s="1"/>
      <c r="AK24" s="1"/>
      <c r="AL24" s="1"/>
      <c r="AM24" s="1"/>
      <c r="AN24" s="1"/>
      <c r="AO24" s="1"/>
      <c r="AP24" s="1"/>
      <c r="AQ24" s="1"/>
      <c r="AR24" s="1"/>
      <c r="AS24" s="1"/>
      <c r="AT24" s="1"/>
      <c r="AU24" s="1"/>
      <c r="AV24" s="1"/>
      <c r="AW24" s="1"/>
      <c r="AX24" s="1"/>
      <c r="AY24" s="1"/>
      <c r="AZ24" s="1"/>
      <c r="BA24" s="1"/>
      <c r="BB24" s="1"/>
    </row>
    <row r="25" spans="1:54" x14ac:dyDescent="0.25">
      <c r="A25" s="1" t="s">
        <v>65</v>
      </c>
      <c r="B25" s="1" t="s">
        <v>37</v>
      </c>
      <c r="C25" s="1">
        <v>303</v>
      </c>
      <c r="D25" s="1"/>
      <c r="E25" s="1">
        <v>153</v>
      </c>
      <c r="F25" s="1">
        <v>3</v>
      </c>
      <c r="G25" s="1">
        <f t="shared" si="7"/>
        <v>107</v>
      </c>
      <c r="H25" s="7">
        <v>0.4</v>
      </c>
      <c r="I25" s="1">
        <v>45</v>
      </c>
      <c r="J25" s="1"/>
      <c r="K25" s="1"/>
      <c r="L25" s="1">
        <f t="shared" si="3"/>
        <v>153</v>
      </c>
      <c r="M25" s="1"/>
      <c r="N25" s="1"/>
      <c r="O25" s="26">
        <v>375</v>
      </c>
      <c r="P25" s="1">
        <v>375</v>
      </c>
      <c r="Q25" s="1">
        <f>IFERROR(VLOOKUP(A25,[1]TDSheet!$A:$F,3,0),0)</f>
        <v>271</v>
      </c>
      <c r="R25" s="1">
        <f t="shared" si="4"/>
        <v>30.6</v>
      </c>
      <c r="S25" s="5"/>
      <c r="T25" s="5"/>
      <c r="U25" s="1"/>
      <c r="V25" s="1">
        <f t="shared" si="5"/>
        <v>24.6078431372549</v>
      </c>
      <c r="W25" s="1">
        <f t="shared" si="6"/>
        <v>24.6078431372549</v>
      </c>
      <c r="X25" s="1">
        <v>35.4</v>
      </c>
      <c r="Y25" s="1">
        <v>73</v>
      </c>
      <c r="Z25" s="1">
        <v>25.4</v>
      </c>
      <c r="AA25" s="1">
        <v>40.6</v>
      </c>
      <c r="AB25" s="1">
        <v>44.6</v>
      </c>
      <c r="AC25" s="1">
        <v>39.6</v>
      </c>
      <c r="AD25" s="1">
        <v>46.4</v>
      </c>
      <c r="AE25" s="1">
        <v>75.2</v>
      </c>
      <c r="AF25" s="1">
        <v>44.8</v>
      </c>
      <c r="AG25" s="1">
        <v>47.8</v>
      </c>
      <c r="AH25" s="1" t="s">
        <v>42</v>
      </c>
      <c r="AI25" s="1">
        <f t="shared" si="8"/>
        <v>0</v>
      </c>
      <c r="AJ25" s="1"/>
      <c r="AK25" s="1"/>
      <c r="AL25" s="1"/>
      <c r="AM25" s="1"/>
      <c r="AN25" s="1"/>
      <c r="AO25" s="1"/>
      <c r="AP25" s="1"/>
      <c r="AQ25" s="1"/>
      <c r="AR25" s="1"/>
      <c r="AS25" s="1"/>
      <c r="AT25" s="1"/>
      <c r="AU25" s="1"/>
      <c r="AV25" s="1"/>
      <c r="AW25" s="1"/>
      <c r="AX25" s="1"/>
      <c r="AY25" s="1"/>
      <c r="AZ25" s="1"/>
      <c r="BA25" s="1"/>
      <c r="BB25" s="1"/>
    </row>
    <row r="26" spans="1:54" x14ac:dyDescent="0.25">
      <c r="A26" s="1" t="s">
        <v>66</v>
      </c>
      <c r="B26" s="1" t="s">
        <v>37</v>
      </c>
      <c r="C26" s="1">
        <v>295</v>
      </c>
      <c r="D26" s="1"/>
      <c r="E26" s="16">
        <f>123+E69</f>
        <v>132</v>
      </c>
      <c r="F26" s="1">
        <v>-9</v>
      </c>
      <c r="G26" s="1">
        <f t="shared" si="7"/>
        <v>93</v>
      </c>
      <c r="H26" s="7">
        <v>0.4</v>
      </c>
      <c r="I26" s="1">
        <v>45</v>
      </c>
      <c r="J26" s="1"/>
      <c r="K26" s="1"/>
      <c r="L26" s="1">
        <f t="shared" si="3"/>
        <v>132</v>
      </c>
      <c r="M26" s="1"/>
      <c r="N26" s="1"/>
      <c r="O26" s="26">
        <v>375</v>
      </c>
      <c r="P26" s="1">
        <v>375</v>
      </c>
      <c r="Q26" s="1">
        <f>IFERROR(VLOOKUP(A26,[1]TDSheet!$A:$F,3,0),0)</f>
        <v>273</v>
      </c>
      <c r="R26" s="1">
        <f t="shared" si="4"/>
        <v>26.4</v>
      </c>
      <c r="S26" s="5"/>
      <c r="T26" s="5"/>
      <c r="U26" s="1"/>
      <c r="V26" s="1">
        <f t="shared" si="5"/>
        <v>28.06818181818182</v>
      </c>
      <c r="W26" s="1">
        <f t="shared" si="6"/>
        <v>28.06818181818182</v>
      </c>
      <c r="X26" s="1">
        <v>32</v>
      </c>
      <c r="Y26" s="1">
        <v>71.8</v>
      </c>
      <c r="Z26" s="1">
        <v>16.8</v>
      </c>
      <c r="AA26" s="1">
        <v>40.4</v>
      </c>
      <c r="AB26" s="1">
        <v>49.8</v>
      </c>
      <c r="AC26" s="1">
        <v>36</v>
      </c>
      <c r="AD26" s="1">
        <v>45</v>
      </c>
      <c r="AE26" s="1">
        <v>42</v>
      </c>
      <c r="AF26" s="1">
        <v>47.4</v>
      </c>
      <c r="AG26" s="1">
        <v>49.4</v>
      </c>
      <c r="AH26" s="1" t="s">
        <v>42</v>
      </c>
      <c r="AI26" s="1">
        <f t="shared" si="8"/>
        <v>0</v>
      </c>
      <c r="AJ26" s="1"/>
      <c r="AK26" s="1"/>
      <c r="AL26" s="1"/>
      <c r="AM26" s="1"/>
      <c r="AN26" s="1"/>
      <c r="AO26" s="1"/>
      <c r="AP26" s="1"/>
      <c r="AQ26" s="1"/>
      <c r="AR26" s="1"/>
      <c r="AS26" s="1"/>
      <c r="AT26" s="1"/>
      <c r="AU26" s="1"/>
      <c r="AV26" s="1"/>
      <c r="AW26" s="1"/>
      <c r="AX26" s="1"/>
      <c r="AY26" s="1"/>
      <c r="AZ26" s="1"/>
      <c r="BA26" s="1"/>
      <c r="BB26" s="1"/>
    </row>
    <row r="27" spans="1:54" x14ac:dyDescent="0.25">
      <c r="A27" s="1" t="s">
        <v>67</v>
      </c>
      <c r="B27" s="1" t="s">
        <v>41</v>
      </c>
      <c r="C27" s="1">
        <v>52.25</v>
      </c>
      <c r="D27" s="1"/>
      <c r="E27" s="1">
        <v>-5.1150000000000002</v>
      </c>
      <c r="F27" s="1"/>
      <c r="G27" s="1">
        <f t="shared" si="7"/>
        <v>0</v>
      </c>
      <c r="H27" s="7">
        <v>1</v>
      </c>
      <c r="I27" s="1">
        <v>45</v>
      </c>
      <c r="J27" s="1"/>
      <c r="K27" s="1"/>
      <c r="L27" s="1">
        <f t="shared" si="3"/>
        <v>-5.1150000000000002</v>
      </c>
      <c r="M27" s="1"/>
      <c r="N27" s="1"/>
      <c r="O27" s="26">
        <v>0</v>
      </c>
      <c r="P27" s="1">
        <v>0</v>
      </c>
      <c r="Q27" s="1">
        <f>IFERROR(VLOOKUP(A27,[1]TDSheet!$A:$F,3,0),0)</f>
        <v>0</v>
      </c>
      <c r="R27" s="1">
        <f t="shared" si="4"/>
        <v>-1.0230000000000001</v>
      </c>
      <c r="S27" s="5"/>
      <c r="T27" s="5"/>
      <c r="U27" s="1"/>
      <c r="V27" s="1">
        <f t="shared" si="5"/>
        <v>0</v>
      </c>
      <c r="W27" s="1">
        <f t="shared" si="6"/>
        <v>0</v>
      </c>
      <c r="X27" s="1">
        <v>-2.2675999999999998</v>
      </c>
      <c r="Y27" s="1">
        <v>-1.6468</v>
      </c>
      <c r="Z27" s="1">
        <v>3.5444</v>
      </c>
      <c r="AA27" s="1">
        <v>5.8918000000000008</v>
      </c>
      <c r="AB27" s="1">
        <v>1.589</v>
      </c>
      <c r="AC27" s="1">
        <v>3.5724</v>
      </c>
      <c r="AD27" s="1">
        <v>7.2114000000000003</v>
      </c>
      <c r="AE27" s="1">
        <v>10.528</v>
      </c>
      <c r="AF27" s="1">
        <v>6.4802000000000008</v>
      </c>
      <c r="AG27" s="1">
        <v>0</v>
      </c>
      <c r="AH27" s="1"/>
      <c r="AI27" s="1">
        <f t="shared" si="8"/>
        <v>0</v>
      </c>
      <c r="AJ27" s="1"/>
      <c r="AK27" s="1"/>
      <c r="AL27" s="1"/>
      <c r="AM27" s="1"/>
      <c r="AN27" s="1"/>
      <c r="AO27" s="1"/>
      <c r="AP27" s="1"/>
      <c r="AQ27" s="1"/>
      <c r="AR27" s="1"/>
      <c r="AS27" s="1"/>
      <c r="AT27" s="1"/>
      <c r="AU27" s="1"/>
      <c r="AV27" s="1"/>
      <c r="AW27" s="1"/>
      <c r="AX27" s="1"/>
      <c r="AY27" s="1"/>
      <c r="AZ27" s="1"/>
      <c r="BA27" s="1"/>
      <c r="BB27" s="1"/>
    </row>
    <row r="28" spans="1:54" x14ac:dyDescent="0.25">
      <c r="A28" s="1" t="s">
        <v>68</v>
      </c>
      <c r="B28" s="1" t="s">
        <v>41</v>
      </c>
      <c r="C28" s="1">
        <v>212.46199999999999</v>
      </c>
      <c r="D28" s="1"/>
      <c r="E28" s="16">
        <f>55.56+E70</f>
        <v>63.606999999999999</v>
      </c>
      <c r="F28" s="1">
        <v>-6.2640000000000002</v>
      </c>
      <c r="G28" s="1">
        <f t="shared" si="7"/>
        <v>87.653999999999996</v>
      </c>
      <c r="H28" s="7">
        <v>1</v>
      </c>
      <c r="I28" s="1">
        <v>40</v>
      </c>
      <c r="J28" s="1"/>
      <c r="K28" s="1"/>
      <c r="L28" s="1">
        <f t="shared" si="3"/>
        <v>63.606999999999999</v>
      </c>
      <c r="M28" s="1"/>
      <c r="N28" s="1"/>
      <c r="O28" s="26">
        <v>350</v>
      </c>
      <c r="P28" s="1">
        <v>450</v>
      </c>
      <c r="Q28" s="1">
        <f>IFERROR(VLOOKUP(A28,[1]TDSheet!$A:$F,3,0),0)</f>
        <v>256.08199999999999</v>
      </c>
      <c r="R28" s="1">
        <f t="shared" si="4"/>
        <v>12.721399999999999</v>
      </c>
      <c r="S28" s="5"/>
      <c r="T28" s="5"/>
      <c r="U28" s="1"/>
      <c r="V28" s="1">
        <f t="shared" si="5"/>
        <v>62.393761692895438</v>
      </c>
      <c r="W28" s="1">
        <f t="shared" si="6"/>
        <v>62.393761692895438</v>
      </c>
      <c r="X28" s="1">
        <v>50.796999999999997</v>
      </c>
      <c r="Y28" s="1">
        <v>52.100800000000007</v>
      </c>
      <c r="Z28" s="1">
        <v>30.1144</v>
      </c>
      <c r="AA28" s="1">
        <v>43.735199999999999</v>
      </c>
      <c r="AB28" s="1">
        <v>32.511600000000001</v>
      </c>
      <c r="AC28" s="1">
        <v>38.621600000000001</v>
      </c>
      <c r="AD28" s="1">
        <v>36.813200000000002</v>
      </c>
      <c r="AE28" s="1">
        <v>61.632800000000003</v>
      </c>
      <c r="AF28" s="1">
        <v>49.444000000000003</v>
      </c>
      <c r="AG28" s="1">
        <v>59.072999999999993</v>
      </c>
      <c r="AH28" s="1" t="s">
        <v>69</v>
      </c>
      <c r="AI28" s="1">
        <f t="shared" si="8"/>
        <v>0</v>
      </c>
      <c r="AJ28" s="1"/>
      <c r="AK28" s="1"/>
      <c r="AL28" s="1"/>
      <c r="AM28" s="1"/>
      <c r="AN28" s="1"/>
      <c r="AO28" s="1"/>
      <c r="AP28" s="1"/>
      <c r="AQ28" s="1"/>
      <c r="AR28" s="1"/>
      <c r="AS28" s="1"/>
      <c r="AT28" s="1"/>
      <c r="AU28" s="1"/>
      <c r="AV28" s="1"/>
      <c r="AW28" s="1"/>
      <c r="AX28" s="1"/>
      <c r="AY28" s="1"/>
      <c r="AZ28" s="1"/>
      <c r="BA28" s="1"/>
      <c r="BB28" s="1"/>
    </row>
    <row r="29" spans="1:54" x14ac:dyDescent="0.25">
      <c r="A29" s="1" t="s">
        <v>70</v>
      </c>
      <c r="B29" s="1" t="s">
        <v>37</v>
      </c>
      <c r="C29" s="1">
        <v>537</v>
      </c>
      <c r="D29" s="1"/>
      <c r="E29" s="16">
        <f>300+E71</f>
        <v>343</v>
      </c>
      <c r="F29" s="16">
        <f>11+F71</f>
        <v>0</v>
      </c>
      <c r="G29" s="1">
        <f t="shared" si="7"/>
        <v>422</v>
      </c>
      <c r="H29" s="7">
        <v>0.4</v>
      </c>
      <c r="I29" s="1">
        <v>40</v>
      </c>
      <c r="J29" s="1"/>
      <c r="K29" s="1"/>
      <c r="L29" s="1">
        <f t="shared" si="3"/>
        <v>343</v>
      </c>
      <c r="M29" s="1"/>
      <c r="N29" s="1"/>
      <c r="O29" s="26">
        <v>500</v>
      </c>
      <c r="P29" s="1">
        <v>250</v>
      </c>
      <c r="Q29" s="1">
        <f>IFERROR(VLOOKUP(A29,[1]TDSheet!$A:$F,3,0),0)</f>
        <v>78</v>
      </c>
      <c r="R29" s="1">
        <f t="shared" si="4"/>
        <v>68.599999999999994</v>
      </c>
      <c r="S29" s="5">
        <f>18*R29-P29-O29-F29</f>
        <v>484.79999999999995</v>
      </c>
      <c r="T29" s="5"/>
      <c r="U29" s="1"/>
      <c r="V29" s="1">
        <f t="shared" si="5"/>
        <v>18</v>
      </c>
      <c r="W29" s="1">
        <f t="shared" si="6"/>
        <v>10.932944606413995</v>
      </c>
      <c r="X29" s="1">
        <v>59.6</v>
      </c>
      <c r="Y29" s="1">
        <v>17.8</v>
      </c>
      <c r="Z29" s="1">
        <v>43.6</v>
      </c>
      <c r="AA29" s="1">
        <v>8</v>
      </c>
      <c r="AB29" s="1">
        <v>13.4</v>
      </c>
      <c r="AC29" s="1">
        <v>43.2</v>
      </c>
      <c r="AD29" s="1">
        <v>45</v>
      </c>
      <c r="AE29" s="1">
        <v>48.6</v>
      </c>
      <c r="AF29" s="1">
        <v>28.2</v>
      </c>
      <c r="AG29" s="1">
        <v>42</v>
      </c>
      <c r="AH29" s="1"/>
      <c r="AI29" s="1">
        <f t="shared" si="8"/>
        <v>193.92</v>
      </c>
      <c r="AJ29" s="1"/>
      <c r="AK29" s="1"/>
      <c r="AL29" s="1"/>
      <c r="AM29" s="1"/>
      <c r="AN29" s="1"/>
      <c r="AO29" s="1"/>
      <c r="AP29" s="1"/>
      <c r="AQ29" s="1"/>
      <c r="AR29" s="1"/>
      <c r="AS29" s="1"/>
      <c r="AT29" s="1"/>
      <c r="AU29" s="1"/>
      <c r="AV29" s="1"/>
      <c r="AW29" s="1"/>
      <c r="AX29" s="1"/>
      <c r="AY29" s="1"/>
      <c r="AZ29" s="1"/>
      <c r="BA29" s="1"/>
      <c r="BB29" s="1"/>
    </row>
    <row r="30" spans="1:54" x14ac:dyDescent="0.25">
      <c r="A30" s="1" t="s">
        <v>71</v>
      </c>
      <c r="B30" s="1" t="s">
        <v>41</v>
      </c>
      <c r="C30" s="1">
        <v>226.69900000000001</v>
      </c>
      <c r="D30" s="1"/>
      <c r="E30" s="16">
        <f>42.276+E72</f>
        <v>50.940000000000005</v>
      </c>
      <c r="F30" s="1">
        <v>4.0259999999999998</v>
      </c>
      <c r="G30" s="1">
        <f t="shared" si="7"/>
        <v>203.36099999999999</v>
      </c>
      <c r="H30" s="7">
        <v>1</v>
      </c>
      <c r="I30" s="1">
        <v>40</v>
      </c>
      <c r="J30" s="1"/>
      <c r="K30" s="1"/>
      <c r="L30" s="1">
        <f t="shared" si="3"/>
        <v>50.940000000000005</v>
      </c>
      <c r="M30" s="1"/>
      <c r="N30" s="1"/>
      <c r="O30" s="26">
        <v>500</v>
      </c>
      <c r="P30" s="1">
        <v>300</v>
      </c>
      <c r="Q30" s="1">
        <f>IFERROR(VLOOKUP(A30,[1]TDSheet!$A:$F,3,0),0)</f>
        <v>300.66500000000002</v>
      </c>
      <c r="R30" s="1">
        <f t="shared" si="4"/>
        <v>10.188000000000001</v>
      </c>
      <c r="S30" s="5"/>
      <c r="T30" s="5"/>
      <c r="U30" s="1"/>
      <c r="V30" s="1">
        <f t="shared" si="5"/>
        <v>78.918924224577935</v>
      </c>
      <c r="W30" s="1">
        <f t="shared" si="6"/>
        <v>78.918924224577935</v>
      </c>
      <c r="X30" s="1">
        <v>31.195599999999999</v>
      </c>
      <c r="Y30" s="1">
        <v>86.638599999999997</v>
      </c>
      <c r="Z30" s="1">
        <v>36.289200000000001</v>
      </c>
      <c r="AA30" s="1">
        <v>39.682399999999987</v>
      </c>
      <c r="AB30" s="1">
        <v>51.965400000000002</v>
      </c>
      <c r="AC30" s="1">
        <v>44.451999999999998</v>
      </c>
      <c r="AD30" s="1">
        <v>63.459200000000003</v>
      </c>
      <c r="AE30" s="1">
        <v>78.9392</v>
      </c>
      <c r="AF30" s="1">
        <v>45.481999999999999</v>
      </c>
      <c r="AG30" s="1">
        <v>78.061999999999998</v>
      </c>
      <c r="AH30" s="1"/>
      <c r="AI30" s="1">
        <f t="shared" si="8"/>
        <v>0</v>
      </c>
      <c r="AJ30" s="1"/>
      <c r="AK30" s="1"/>
      <c r="AL30" s="1"/>
      <c r="AM30" s="1"/>
      <c r="AN30" s="1"/>
      <c r="AO30" s="1"/>
      <c r="AP30" s="1"/>
      <c r="AQ30" s="1"/>
      <c r="AR30" s="1"/>
      <c r="AS30" s="1"/>
      <c r="AT30" s="1"/>
      <c r="AU30" s="1"/>
      <c r="AV30" s="1"/>
      <c r="AW30" s="1"/>
      <c r="AX30" s="1"/>
      <c r="AY30" s="1"/>
      <c r="AZ30" s="1"/>
      <c r="BA30" s="1"/>
      <c r="BB30" s="1"/>
    </row>
    <row r="31" spans="1:54" x14ac:dyDescent="0.25">
      <c r="A31" s="11" t="s">
        <v>72</v>
      </c>
      <c r="B31" s="1" t="s">
        <v>37</v>
      </c>
      <c r="C31" s="1"/>
      <c r="D31" s="1"/>
      <c r="E31" s="1">
        <v>-15</v>
      </c>
      <c r="F31" s="1"/>
      <c r="G31" s="1">
        <f t="shared" si="7"/>
        <v>0</v>
      </c>
      <c r="H31" s="7">
        <v>0.35</v>
      </c>
      <c r="I31" s="1">
        <v>45</v>
      </c>
      <c r="J31" s="1"/>
      <c r="K31" s="1"/>
      <c r="L31" s="1">
        <f t="shared" si="3"/>
        <v>-15</v>
      </c>
      <c r="M31" s="1"/>
      <c r="N31" s="1"/>
      <c r="O31" s="26">
        <v>0</v>
      </c>
      <c r="P31" s="1">
        <v>228.57142857142861</v>
      </c>
      <c r="Q31" s="1">
        <f>IFERROR(VLOOKUP(A31,[1]TDSheet!$A:$F,3,0),0)</f>
        <v>0</v>
      </c>
      <c r="R31" s="1">
        <f t="shared" si="4"/>
        <v>-3</v>
      </c>
      <c r="S31" s="5"/>
      <c r="T31" s="5"/>
      <c r="U31" s="1"/>
      <c r="V31" s="1">
        <f t="shared" si="5"/>
        <v>-76.190476190476204</v>
      </c>
      <c r="W31" s="1">
        <f t="shared" si="6"/>
        <v>-76.190476190476204</v>
      </c>
      <c r="X31" s="1">
        <v>31.4</v>
      </c>
      <c r="Y31" s="1">
        <v>14.6</v>
      </c>
      <c r="Z31" s="1">
        <v>13.4</v>
      </c>
      <c r="AA31" s="1">
        <v>13</v>
      </c>
      <c r="AB31" s="1">
        <v>5.8</v>
      </c>
      <c r="AC31" s="1">
        <v>10.4</v>
      </c>
      <c r="AD31" s="1">
        <v>21.4</v>
      </c>
      <c r="AE31" s="1">
        <v>25.4</v>
      </c>
      <c r="AF31" s="1">
        <v>20.6</v>
      </c>
      <c r="AG31" s="1">
        <v>1.2</v>
      </c>
      <c r="AH31" s="1"/>
      <c r="AI31" s="1">
        <f t="shared" si="8"/>
        <v>0</v>
      </c>
      <c r="AJ31" s="1"/>
      <c r="AK31" s="1"/>
      <c r="AL31" s="1"/>
      <c r="AM31" s="1"/>
      <c r="AN31" s="1"/>
      <c r="AO31" s="1"/>
      <c r="AP31" s="1"/>
      <c r="AQ31" s="1"/>
      <c r="AR31" s="1"/>
      <c r="AS31" s="1"/>
      <c r="AT31" s="1"/>
      <c r="AU31" s="1"/>
      <c r="AV31" s="1"/>
      <c r="AW31" s="1"/>
      <c r="AX31" s="1"/>
      <c r="AY31" s="1"/>
      <c r="AZ31" s="1"/>
      <c r="BA31" s="1"/>
      <c r="BB31" s="1"/>
    </row>
    <row r="32" spans="1:54" x14ac:dyDescent="0.25">
      <c r="A32" s="11" t="s">
        <v>73</v>
      </c>
      <c r="B32" s="1" t="s">
        <v>41</v>
      </c>
      <c r="C32" s="1">
        <v>185</v>
      </c>
      <c r="D32" s="1"/>
      <c r="E32" s="1"/>
      <c r="F32" s="1"/>
      <c r="G32" s="1">
        <f t="shared" si="7"/>
        <v>3.2630000000000052</v>
      </c>
      <c r="H32" s="7">
        <v>1</v>
      </c>
      <c r="I32" s="1">
        <v>45</v>
      </c>
      <c r="J32" s="1"/>
      <c r="K32" s="1"/>
      <c r="L32" s="1">
        <f t="shared" si="3"/>
        <v>0</v>
      </c>
      <c r="M32" s="1"/>
      <c r="N32" s="1"/>
      <c r="O32" s="26">
        <v>100</v>
      </c>
      <c r="P32" s="1">
        <v>150</v>
      </c>
      <c r="Q32" s="1">
        <f>IFERROR(VLOOKUP(A32,[1]TDSheet!$A:$F,3,0),0)</f>
        <v>96.736999999999995</v>
      </c>
      <c r="R32" s="1">
        <f t="shared" si="4"/>
        <v>0</v>
      </c>
      <c r="S32" s="5"/>
      <c r="T32" s="5"/>
      <c r="U32" s="1"/>
      <c r="V32" s="1" t="e">
        <f t="shared" si="5"/>
        <v>#DIV/0!</v>
      </c>
      <c r="W32" s="1" t="e">
        <f t="shared" si="6"/>
        <v>#DIV/0!</v>
      </c>
      <c r="X32" s="1">
        <v>-3.7848000000000002</v>
      </c>
      <c r="Y32" s="1">
        <v>14.282400000000001</v>
      </c>
      <c r="Z32" s="1">
        <v>5.0250000000000004</v>
      </c>
      <c r="AA32" s="1">
        <v>14.044600000000001</v>
      </c>
      <c r="AB32" s="1">
        <v>22.450199999999999</v>
      </c>
      <c r="AC32" s="1">
        <v>12.824400000000001</v>
      </c>
      <c r="AD32" s="1">
        <v>20.8032</v>
      </c>
      <c r="AE32" s="1">
        <v>46.749000000000002</v>
      </c>
      <c r="AF32" s="1">
        <v>38.573</v>
      </c>
      <c r="AG32" s="1">
        <v>62.840200000000003</v>
      </c>
      <c r="AH32" s="1"/>
      <c r="AI32" s="1">
        <f t="shared" si="8"/>
        <v>0</v>
      </c>
      <c r="AJ32" s="1"/>
      <c r="AK32" s="1"/>
      <c r="AL32" s="1"/>
      <c r="AM32" s="1"/>
      <c r="AN32" s="1"/>
      <c r="AO32" s="1"/>
      <c r="AP32" s="1"/>
      <c r="AQ32" s="1"/>
      <c r="AR32" s="1"/>
      <c r="AS32" s="1"/>
      <c r="AT32" s="1"/>
      <c r="AU32" s="1"/>
      <c r="AV32" s="1"/>
      <c r="AW32" s="1"/>
      <c r="AX32" s="1"/>
      <c r="AY32" s="1"/>
      <c r="AZ32" s="1"/>
      <c r="BA32" s="1"/>
      <c r="BB32" s="1"/>
    </row>
    <row r="33" spans="1:54" x14ac:dyDescent="0.25">
      <c r="A33" s="11" t="s">
        <v>74</v>
      </c>
      <c r="B33" s="1" t="s">
        <v>37</v>
      </c>
      <c r="C33" s="1"/>
      <c r="D33" s="1"/>
      <c r="E33" s="1">
        <v>-4</v>
      </c>
      <c r="F33" s="1"/>
      <c r="G33" s="1">
        <f t="shared" si="7"/>
        <v>444.44444444444451</v>
      </c>
      <c r="H33" s="7">
        <v>0.45</v>
      </c>
      <c r="I33" s="1">
        <v>45</v>
      </c>
      <c r="J33" s="1"/>
      <c r="K33" s="1"/>
      <c r="L33" s="1">
        <f t="shared" si="3"/>
        <v>-4</v>
      </c>
      <c r="M33" s="1"/>
      <c r="N33" s="1"/>
      <c r="O33" s="26">
        <v>444.44444444444451</v>
      </c>
      <c r="P33" s="1">
        <v>333.33333333333331</v>
      </c>
      <c r="Q33" s="1">
        <f>IFERROR(VLOOKUP(A33,[1]TDSheet!$A:$F,3,0),0)</f>
        <v>0</v>
      </c>
      <c r="R33" s="1">
        <f t="shared" si="4"/>
        <v>-0.8</v>
      </c>
      <c r="S33" s="5"/>
      <c r="T33" s="5"/>
      <c r="U33" s="1"/>
      <c r="V33" s="1">
        <f t="shared" si="5"/>
        <v>-972.22222222222229</v>
      </c>
      <c r="W33" s="1">
        <f t="shared" si="6"/>
        <v>-972.22222222222229</v>
      </c>
      <c r="X33" s="1">
        <v>30</v>
      </c>
      <c r="Y33" s="1">
        <v>60</v>
      </c>
      <c r="Z33" s="1">
        <v>29.2</v>
      </c>
      <c r="AA33" s="1">
        <v>35.4</v>
      </c>
      <c r="AB33" s="1">
        <v>32.6</v>
      </c>
      <c r="AC33" s="1">
        <v>39</v>
      </c>
      <c r="AD33" s="1">
        <v>33.4</v>
      </c>
      <c r="AE33" s="1">
        <v>58.6</v>
      </c>
      <c r="AF33" s="1">
        <v>65</v>
      </c>
      <c r="AG33" s="1">
        <v>71.599999999999994</v>
      </c>
      <c r="AH33" s="1"/>
      <c r="AI33" s="1">
        <f t="shared" si="8"/>
        <v>0</v>
      </c>
      <c r="AJ33" s="1"/>
      <c r="AK33" s="1"/>
      <c r="AL33" s="1"/>
      <c r="AM33" s="1"/>
      <c r="AN33" s="1"/>
      <c r="AO33" s="1"/>
      <c r="AP33" s="1"/>
      <c r="AQ33" s="1"/>
      <c r="AR33" s="1"/>
      <c r="AS33" s="1"/>
      <c r="AT33" s="1"/>
      <c r="AU33" s="1"/>
      <c r="AV33" s="1"/>
      <c r="AW33" s="1"/>
      <c r="AX33" s="1"/>
      <c r="AY33" s="1"/>
      <c r="AZ33" s="1"/>
      <c r="BA33" s="1"/>
      <c r="BB33" s="1"/>
    </row>
    <row r="34" spans="1:54" x14ac:dyDescent="0.25">
      <c r="A34" s="11" t="s">
        <v>75</v>
      </c>
      <c r="B34" s="1" t="s">
        <v>41</v>
      </c>
      <c r="C34" s="1">
        <v>506.56299999999999</v>
      </c>
      <c r="D34" s="1"/>
      <c r="E34" s="1">
        <v>259.59199999999998</v>
      </c>
      <c r="F34" s="1">
        <v>7.6779999999999999</v>
      </c>
      <c r="G34" s="1">
        <f t="shared" si="7"/>
        <v>66.769999999999982</v>
      </c>
      <c r="H34" s="7">
        <v>1</v>
      </c>
      <c r="I34" s="1">
        <v>45</v>
      </c>
      <c r="J34" s="1"/>
      <c r="K34" s="1"/>
      <c r="L34" s="1">
        <f t="shared" si="3"/>
        <v>259.59199999999998</v>
      </c>
      <c r="M34" s="1"/>
      <c r="N34" s="1"/>
      <c r="O34" s="26">
        <v>700</v>
      </c>
      <c r="P34" s="1">
        <v>700</v>
      </c>
      <c r="Q34" s="1">
        <f>IFERROR(VLOOKUP(A34,[1]TDSheet!$A:$F,3,0),0)</f>
        <v>640.90800000000002</v>
      </c>
      <c r="R34" s="1">
        <f t="shared" si="4"/>
        <v>51.918399999999998</v>
      </c>
      <c r="S34" s="5"/>
      <c r="T34" s="5"/>
      <c r="U34" s="1"/>
      <c r="V34" s="1">
        <f t="shared" si="5"/>
        <v>27.113277758944804</v>
      </c>
      <c r="W34" s="1">
        <f t="shared" si="6"/>
        <v>27.113277758944804</v>
      </c>
      <c r="X34" s="1">
        <v>98.6922</v>
      </c>
      <c r="Y34" s="1">
        <v>107.6404</v>
      </c>
      <c r="Z34" s="1">
        <v>63.856999999999992</v>
      </c>
      <c r="AA34" s="1">
        <v>64.816000000000003</v>
      </c>
      <c r="AB34" s="1">
        <v>101.94459999999999</v>
      </c>
      <c r="AC34" s="1">
        <v>77.189400000000006</v>
      </c>
      <c r="AD34" s="1">
        <v>94.509199999999993</v>
      </c>
      <c r="AE34" s="1">
        <v>121.8096</v>
      </c>
      <c r="AF34" s="1">
        <v>118.0616</v>
      </c>
      <c r="AG34" s="1">
        <v>217.45419999999999</v>
      </c>
      <c r="AH34" s="1"/>
      <c r="AI34" s="1">
        <f t="shared" si="8"/>
        <v>0</v>
      </c>
      <c r="AJ34" s="1"/>
      <c r="AK34" s="1"/>
      <c r="AL34" s="1"/>
      <c r="AM34" s="1"/>
      <c r="AN34" s="1"/>
      <c r="AO34" s="1"/>
      <c r="AP34" s="1"/>
      <c r="AQ34" s="1"/>
      <c r="AR34" s="1"/>
      <c r="AS34" s="1"/>
      <c r="AT34" s="1"/>
      <c r="AU34" s="1"/>
      <c r="AV34" s="1"/>
      <c r="AW34" s="1"/>
      <c r="AX34" s="1"/>
      <c r="AY34" s="1"/>
      <c r="AZ34" s="1"/>
      <c r="BA34" s="1"/>
      <c r="BB34" s="1"/>
    </row>
    <row r="35" spans="1:54" x14ac:dyDescent="0.25">
      <c r="A35" s="11" t="s">
        <v>76</v>
      </c>
      <c r="B35" s="1" t="s">
        <v>41</v>
      </c>
      <c r="C35" s="1">
        <v>85.924999999999997</v>
      </c>
      <c r="D35" s="1"/>
      <c r="E35" s="1">
        <v>5.4349999999999996</v>
      </c>
      <c r="F35" s="1">
        <v>-0.112</v>
      </c>
      <c r="G35" s="1">
        <f t="shared" si="7"/>
        <v>-0.112</v>
      </c>
      <c r="H35" s="7">
        <v>1</v>
      </c>
      <c r="I35" s="1">
        <v>40</v>
      </c>
      <c r="J35" s="1"/>
      <c r="K35" s="1"/>
      <c r="L35" s="1">
        <f t="shared" si="3"/>
        <v>5.4349999999999996</v>
      </c>
      <c r="M35" s="1"/>
      <c r="N35" s="1"/>
      <c r="O35" s="26">
        <v>0</v>
      </c>
      <c r="P35" s="1">
        <v>100</v>
      </c>
      <c r="Q35" s="1">
        <f>IFERROR(VLOOKUP(A35,[1]TDSheet!$A:$F,3,0),0)</f>
        <v>0</v>
      </c>
      <c r="R35" s="1">
        <f t="shared" si="4"/>
        <v>1.087</v>
      </c>
      <c r="S35" s="5"/>
      <c r="T35" s="5"/>
      <c r="U35" s="1"/>
      <c r="V35" s="1">
        <f t="shared" si="5"/>
        <v>91.893284268629259</v>
      </c>
      <c r="W35" s="1">
        <f t="shared" si="6"/>
        <v>91.893284268629259</v>
      </c>
      <c r="X35" s="1">
        <v>12.9772</v>
      </c>
      <c r="Y35" s="1">
        <v>-0.1676</v>
      </c>
      <c r="Z35" s="1">
        <v>11.728400000000001</v>
      </c>
      <c r="AA35" s="1">
        <v>0</v>
      </c>
      <c r="AB35" s="1">
        <v>4.9908000000000001</v>
      </c>
      <c r="AC35" s="1">
        <v>8.2157999999999998</v>
      </c>
      <c r="AD35" s="1">
        <v>9.1988000000000003</v>
      </c>
      <c r="AE35" s="1">
        <v>-4.9188000000000001</v>
      </c>
      <c r="AF35" s="1">
        <v>0</v>
      </c>
      <c r="AG35" s="1">
        <v>20.519600000000001</v>
      </c>
      <c r="AH35" s="1"/>
      <c r="AI35" s="1">
        <f t="shared" si="8"/>
        <v>0</v>
      </c>
      <c r="AJ35" s="1"/>
      <c r="AK35" s="1"/>
      <c r="AL35" s="1"/>
      <c r="AM35" s="1"/>
      <c r="AN35" s="1"/>
      <c r="AO35" s="1"/>
      <c r="AP35" s="1"/>
      <c r="AQ35" s="1"/>
      <c r="AR35" s="1"/>
      <c r="AS35" s="1"/>
      <c r="AT35" s="1"/>
      <c r="AU35" s="1"/>
      <c r="AV35" s="1"/>
      <c r="AW35" s="1"/>
      <c r="AX35" s="1"/>
      <c r="AY35" s="1"/>
      <c r="AZ35" s="1"/>
      <c r="BA35" s="1"/>
      <c r="BB35" s="1"/>
    </row>
    <row r="36" spans="1:54" x14ac:dyDescent="0.25">
      <c r="A36" s="11" t="s">
        <v>77</v>
      </c>
      <c r="B36" s="1" t="s">
        <v>37</v>
      </c>
      <c r="C36" s="1">
        <v>435</v>
      </c>
      <c r="D36" s="1"/>
      <c r="E36" s="1">
        <v>150</v>
      </c>
      <c r="F36" s="1">
        <v>220</v>
      </c>
      <c r="G36" s="1">
        <f t="shared" si="7"/>
        <v>383</v>
      </c>
      <c r="H36" s="7">
        <v>0.4</v>
      </c>
      <c r="I36" s="1">
        <v>55</v>
      </c>
      <c r="J36" s="1"/>
      <c r="K36" s="1"/>
      <c r="L36" s="1">
        <f t="shared" si="3"/>
        <v>150</v>
      </c>
      <c r="M36" s="1"/>
      <c r="N36" s="1"/>
      <c r="O36" s="26">
        <v>250</v>
      </c>
      <c r="P36" s="1">
        <v>250</v>
      </c>
      <c r="Q36" s="1">
        <f>IFERROR(VLOOKUP(A36,[1]TDSheet!$A:$F,3,0),0)</f>
        <v>87</v>
      </c>
      <c r="R36" s="1">
        <f t="shared" si="4"/>
        <v>30</v>
      </c>
      <c r="S36" s="5"/>
      <c r="T36" s="5"/>
      <c r="U36" s="1"/>
      <c r="V36" s="1">
        <f t="shared" si="5"/>
        <v>24</v>
      </c>
      <c r="W36" s="1">
        <f t="shared" si="6"/>
        <v>24</v>
      </c>
      <c r="X36" s="1">
        <v>52.6</v>
      </c>
      <c r="Y36" s="1">
        <v>35.4</v>
      </c>
      <c r="Z36" s="1">
        <v>31.6</v>
      </c>
      <c r="AA36" s="1">
        <v>32.799999999999997</v>
      </c>
      <c r="AB36" s="1">
        <v>35.799999999999997</v>
      </c>
      <c r="AC36" s="1">
        <v>33.200000000000003</v>
      </c>
      <c r="AD36" s="1">
        <v>25</v>
      </c>
      <c r="AE36" s="1">
        <v>23.4</v>
      </c>
      <c r="AF36" s="1">
        <v>35</v>
      </c>
      <c r="AG36" s="1">
        <v>31.8</v>
      </c>
      <c r="AH36" s="1"/>
      <c r="AI36" s="1">
        <f t="shared" si="8"/>
        <v>0</v>
      </c>
      <c r="AJ36" s="1"/>
      <c r="AK36" s="1"/>
      <c r="AL36" s="1"/>
      <c r="AM36" s="1"/>
      <c r="AN36" s="1"/>
      <c r="AO36" s="1"/>
      <c r="AP36" s="1"/>
      <c r="AQ36" s="1"/>
      <c r="AR36" s="1"/>
      <c r="AS36" s="1"/>
      <c r="AT36" s="1"/>
      <c r="AU36" s="1"/>
      <c r="AV36" s="1"/>
      <c r="AW36" s="1"/>
      <c r="AX36" s="1"/>
      <c r="AY36" s="1"/>
      <c r="AZ36" s="1"/>
      <c r="BA36" s="1"/>
      <c r="BB36" s="1"/>
    </row>
    <row r="37" spans="1:54" x14ac:dyDescent="0.25">
      <c r="A37" s="11" t="s">
        <v>78</v>
      </c>
      <c r="B37" s="1" t="s">
        <v>41</v>
      </c>
      <c r="C37" s="1">
        <v>738.00699999999995</v>
      </c>
      <c r="D37" s="1"/>
      <c r="E37" s="16">
        <f>336.571+E73</f>
        <v>398.30700000000002</v>
      </c>
      <c r="F37" s="16">
        <f>248.05+F73</f>
        <v>240.88300000000001</v>
      </c>
      <c r="G37" s="1">
        <f t="shared" si="7"/>
        <v>831.37900000000002</v>
      </c>
      <c r="H37" s="7">
        <v>1</v>
      </c>
      <c r="I37" s="1">
        <v>60</v>
      </c>
      <c r="J37" s="1"/>
      <c r="K37" s="1"/>
      <c r="L37" s="1">
        <f t="shared" si="3"/>
        <v>398.30700000000002</v>
      </c>
      <c r="M37" s="1"/>
      <c r="N37" s="1"/>
      <c r="O37" s="26">
        <v>700</v>
      </c>
      <c r="P37" s="1">
        <v>400</v>
      </c>
      <c r="Q37" s="1">
        <f>IFERROR(VLOOKUP(A37,[1]TDSheet!$A:$F,3,0),0)</f>
        <v>109.504</v>
      </c>
      <c r="R37" s="1">
        <f t="shared" si="4"/>
        <v>79.6614</v>
      </c>
      <c r="S37" s="5">
        <f>18*R37-P37-O37-F37</f>
        <v>93.022199999999913</v>
      </c>
      <c r="T37" s="5"/>
      <c r="U37" s="1"/>
      <c r="V37" s="1">
        <f t="shared" si="5"/>
        <v>18</v>
      </c>
      <c r="W37" s="1">
        <f t="shared" si="6"/>
        <v>16.832280125631737</v>
      </c>
      <c r="X37" s="1">
        <v>58.765200000000007</v>
      </c>
      <c r="Y37" s="1">
        <v>85.500399999999999</v>
      </c>
      <c r="Z37" s="1">
        <v>85.436199999999999</v>
      </c>
      <c r="AA37" s="1">
        <v>56.302600000000012</v>
      </c>
      <c r="AB37" s="1">
        <v>64.710799999999992</v>
      </c>
      <c r="AC37" s="1">
        <v>58.065399999999997</v>
      </c>
      <c r="AD37" s="1">
        <v>95.907600000000002</v>
      </c>
      <c r="AE37" s="1">
        <v>42.9452</v>
      </c>
      <c r="AF37" s="1">
        <v>44.039400000000001</v>
      </c>
      <c r="AG37" s="1">
        <v>99.839399999999998</v>
      </c>
      <c r="AH37" s="1"/>
      <c r="AI37" s="1">
        <f t="shared" si="8"/>
        <v>93.022199999999913</v>
      </c>
      <c r="AJ37" s="1"/>
      <c r="AK37" s="1"/>
      <c r="AL37" s="1"/>
      <c r="AM37" s="1"/>
      <c r="AN37" s="1"/>
      <c r="AO37" s="1"/>
      <c r="AP37" s="1"/>
      <c r="AQ37" s="1"/>
      <c r="AR37" s="1"/>
      <c r="AS37" s="1"/>
      <c r="AT37" s="1"/>
      <c r="AU37" s="1"/>
      <c r="AV37" s="1"/>
      <c r="AW37" s="1"/>
      <c r="AX37" s="1"/>
      <c r="AY37" s="1"/>
      <c r="AZ37" s="1"/>
      <c r="BA37" s="1"/>
      <c r="BB37" s="1"/>
    </row>
    <row r="38" spans="1:54" x14ac:dyDescent="0.25">
      <c r="A38" s="11" t="s">
        <v>79</v>
      </c>
      <c r="B38" s="1" t="s">
        <v>37</v>
      </c>
      <c r="C38" s="1"/>
      <c r="D38" s="1"/>
      <c r="E38" s="1">
        <v>-5</v>
      </c>
      <c r="F38" s="1"/>
      <c r="G38" s="1">
        <f t="shared" si="7"/>
        <v>0</v>
      </c>
      <c r="H38" s="7">
        <v>0.5</v>
      </c>
      <c r="I38" s="1">
        <v>60</v>
      </c>
      <c r="J38" s="1"/>
      <c r="K38" s="1"/>
      <c r="L38" s="1">
        <f t="shared" ref="L38:L69" si="9">E38-K38</f>
        <v>-5</v>
      </c>
      <c r="M38" s="1"/>
      <c r="N38" s="1"/>
      <c r="O38" s="26">
        <v>0</v>
      </c>
      <c r="P38" s="1">
        <v>300</v>
      </c>
      <c r="Q38" s="1">
        <f>IFERROR(VLOOKUP(A38,[1]TDSheet!$A:$F,3,0),0)</f>
        <v>0</v>
      </c>
      <c r="R38" s="1">
        <f t="shared" ref="R38:R69" si="10">E38/5</f>
        <v>-1</v>
      </c>
      <c r="S38" s="5"/>
      <c r="T38" s="5"/>
      <c r="U38" s="1"/>
      <c r="V38" s="1">
        <f t="shared" ref="V38:V69" si="11">(F38+O38+P38+S38)/R38</f>
        <v>-300</v>
      </c>
      <c r="W38" s="1">
        <f t="shared" ref="W38:W69" si="12">(F38+O38+P38)/R38</f>
        <v>-300</v>
      </c>
      <c r="X38" s="1">
        <v>17.399999999999999</v>
      </c>
      <c r="Y38" s="1">
        <v>18.600000000000001</v>
      </c>
      <c r="Z38" s="1">
        <v>17.399999999999999</v>
      </c>
      <c r="AA38" s="1">
        <v>24.8</v>
      </c>
      <c r="AB38" s="1">
        <v>20.2</v>
      </c>
      <c r="AC38" s="1">
        <v>24.4</v>
      </c>
      <c r="AD38" s="1">
        <v>18.2</v>
      </c>
      <c r="AE38" s="1">
        <v>25.2</v>
      </c>
      <c r="AF38" s="1">
        <v>36.799999999999997</v>
      </c>
      <c r="AG38" s="1">
        <v>28</v>
      </c>
      <c r="AH38" s="1" t="s">
        <v>80</v>
      </c>
      <c r="AI38" s="1">
        <f t="shared" si="8"/>
        <v>0</v>
      </c>
      <c r="AJ38" s="1"/>
      <c r="AK38" s="1"/>
      <c r="AL38" s="1"/>
      <c r="AM38" s="1"/>
      <c r="AN38" s="1"/>
      <c r="AO38" s="1"/>
      <c r="AP38" s="1"/>
      <c r="AQ38" s="1"/>
      <c r="AR38" s="1"/>
      <c r="AS38" s="1"/>
      <c r="AT38" s="1"/>
      <c r="AU38" s="1"/>
      <c r="AV38" s="1"/>
      <c r="AW38" s="1"/>
      <c r="AX38" s="1"/>
      <c r="AY38" s="1"/>
      <c r="AZ38" s="1"/>
      <c r="BA38" s="1"/>
      <c r="BB38" s="1"/>
    </row>
    <row r="39" spans="1:54" x14ac:dyDescent="0.25">
      <c r="A39" s="1" t="s">
        <v>81</v>
      </c>
      <c r="B39" s="1" t="s">
        <v>41</v>
      </c>
      <c r="C39" s="1">
        <v>537.39200000000005</v>
      </c>
      <c r="D39" s="1"/>
      <c r="E39" s="16">
        <f>344.992+E74</f>
        <v>384.42900000000003</v>
      </c>
      <c r="F39" s="16">
        <f>88.033+F74</f>
        <v>70.287999999999997</v>
      </c>
      <c r="G39" s="1">
        <f t="shared" si="7"/>
        <v>452.97199999999998</v>
      </c>
      <c r="H39" s="7">
        <v>1</v>
      </c>
      <c r="I39" s="1">
        <v>60</v>
      </c>
      <c r="J39" s="1"/>
      <c r="K39" s="1"/>
      <c r="L39" s="1">
        <f t="shared" si="9"/>
        <v>384.42900000000003</v>
      </c>
      <c r="M39" s="1"/>
      <c r="N39" s="1"/>
      <c r="O39" s="26">
        <v>500</v>
      </c>
      <c r="P39" s="1">
        <v>200</v>
      </c>
      <c r="Q39" s="1">
        <f>IFERROR(VLOOKUP(A39,[1]TDSheet!$A:$F,3,0),0)</f>
        <v>117.316</v>
      </c>
      <c r="R39" s="1">
        <f t="shared" si="10"/>
        <v>76.885800000000003</v>
      </c>
      <c r="S39" s="5">
        <f>18*R39-P39-O39-F39</f>
        <v>613.65640000000008</v>
      </c>
      <c r="T39" s="5"/>
      <c r="U39" s="1"/>
      <c r="V39" s="1">
        <f t="shared" si="11"/>
        <v>18</v>
      </c>
      <c r="W39" s="1">
        <f t="shared" si="12"/>
        <v>10.018599013081738</v>
      </c>
      <c r="X39" s="1">
        <v>59.334600000000002</v>
      </c>
      <c r="Y39" s="1">
        <v>78.549799999999991</v>
      </c>
      <c r="Z39" s="1">
        <v>63.152200000000008</v>
      </c>
      <c r="AA39" s="1">
        <v>80.092999999999989</v>
      </c>
      <c r="AB39" s="1">
        <v>87.305800000000005</v>
      </c>
      <c r="AC39" s="1">
        <v>43.424400000000013</v>
      </c>
      <c r="AD39" s="1">
        <v>122.80240000000001</v>
      </c>
      <c r="AE39" s="1">
        <v>82.569600000000008</v>
      </c>
      <c r="AF39" s="1">
        <v>82.569600000000008</v>
      </c>
      <c r="AG39" s="1">
        <v>54.171199999999999</v>
      </c>
      <c r="AH39" s="1"/>
      <c r="AI39" s="1">
        <f t="shared" si="8"/>
        <v>613.65640000000008</v>
      </c>
      <c r="AJ39" s="1"/>
      <c r="AK39" s="1"/>
      <c r="AL39" s="1"/>
      <c r="AM39" s="1"/>
      <c r="AN39" s="1"/>
      <c r="AO39" s="1"/>
      <c r="AP39" s="1"/>
      <c r="AQ39" s="1"/>
      <c r="AR39" s="1"/>
      <c r="AS39" s="1"/>
      <c r="AT39" s="1"/>
      <c r="AU39" s="1"/>
      <c r="AV39" s="1"/>
      <c r="AW39" s="1"/>
      <c r="AX39" s="1"/>
      <c r="AY39" s="1"/>
      <c r="AZ39" s="1"/>
      <c r="BA39" s="1"/>
      <c r="BB39" s="1"/>
    </row>
    <row r="40" spans="1:54" x14ac:dyDescent="0.25">
      <c r="A40" s="1" t="s">
        <v>82</v>
      </c>
      <c r="B40" s="1" t="s">
        <v>41</v>
      </c>
      <c r="C40" s="1">
        <v>708.58</v>
      </c>
      <c r="D40" s="1"/>
      <c r="E40" s="16">
        <f>332.007+E75</f>
        <v>359.39499999999998</v>
      </c>
      <c r="F40" s="16">
        <f>284.115+F75</f>
        <v>279.15300000000002</v>
      </c>
      <c r="G40" s="1">
        <f t="shared" si="7"/>
        <v>574.31100000000004</v>
      </c>
      <c r="H40" s="7">
        <v>1</v>
      </c>
      <c r="I40" s="1">
        <v>60</v>
      </c>
      <c r="J40" s="1"/>
      <c r="K40" s="1"/>
      <c r="L40" s="1">
        <f t="shared" si="9"/>
        <v>359.39499999999998</v>
      </c>
      <c r="M40" s="1"/>
      <c r="N40" s="1"/>
      <c r="O40" s="26">
        <v>400</v>
      </c>
      <c r="P40" s="1">
        <v>100</v>
      </c>
      <c r="Q40" s="1">
        <f>IFERROR(VLOOKUP(A40,[1]TDSheet!$A:$F,3,0),0)</f>
        <v>104.842</v>
      </c>
      <c r="R40" s="1">
        <f t="shared" si="10"/>
        <v>71.878999999999991</v>
      </c>
      <c r="S40" s="5">
        <f>18*R40-P40-O40-F40</f>
        <v>514.66899999999987</v>
      </c>
      <c r="T40" s="5"/>
      <c r="U40" s="1"/>
      <c r="V40" s="1">
        <f t="shared" si="11"/>
        <v>18</v>
      </c>
      <c r="W40" s="1">
        <f t="shared" si="12"/>
        <v>10.839786307544625</v>
      </c>
      <c r="X40" s="1">
        <v>49.596200000000003</v>
      </c>
      <c r="Y40" s="1">
        <v>60.602400000000003</v>
      </c>
      <c r="Z40" s="1">
        <v>64.268599999999992</v>
      </c>
      <c r="AA40" s="1">
        <v>67.176999999999992</v>
      </c>
      <c r="AB40" s="1">
        <v>61.669400000000003</v>
      </c>
      <c r="AC40" s="1">
        <v>49.305399999999999</v>
      </c>
      <c r="AD40" s="1">
        <v>61.301200000000009</v>
      </c>
      <c r="AE40" s="1">
        <v>118.1164</v>
      </c>
      <c r="AF40" s="1">
        <v>112.1048</v>
      </c>
      <c r="AG40" s="1">
        <v>0</v>
      </c>
      <c r="AH40" s="1"/>
      <c r="AI40" s="1">
        <f t="shared" si="8"/>
        <v>514.66899999999987</v>
      </c>
      <c r="AJ40" s="1"/>
      <c r="AK40" s="1"/>
      <c r="AL40" s="1"/>
      <c r="AM40" s="1"/>
      <c r="AN40" s="1"/>
      <c r="AO40" s="1"/>
      <c r="AP40" s="1"/>
      <c r="AQ40" s="1"/>
      <c r="AR40" s="1"/>
      <c r="AS40" s="1"/>
      <c r="AT40" s="1"/>
      <c r="AU40" s="1"/>
      <c r="AV40" s="1"/>
      <c r="AW40" s="1"/>
      <c r="AX40" s="1"/>
      <c r="AY40" s="1"/>
      <c r="AZ40" s="1"/>
      <c r="BA40" s="1"/>
      <c r="BB40" s="1"/>
    </row>
    <row r="41" spans="1:54" x14ac:dyDescent="0.25">
      <c r="A41" s="1" t="s">
        <v>83</v>
      </c>
      <c r="B41" s="1" t="s">
        <v>37</v>
      </c>
      <c r="C41" s="1">
        <v>319</v>
      </c>
      <c r="D41" s="1"/>
      <c r="E41" s="16">
        <f>149+E76</f>
        <v>174</v>
      </c>
      <c r="F41" s="16">
        <f>10+F76</f>
        <v>6</v>
      </c>
      <c r="G41" s="1">
        <f t="shared" si="7"/>
        <v>173</v>
      </c>
      <c r="H41" s="7">
        <v>0.4</v>
      </c>
      <c r="I41" s="1">
        <v>60</v>
      </c>
      <c r="J41" s="1"/>
      <c r="K41" s="1"/>
      <c r="L41" s="1">
        <f t="shared" si="9"/>
        <v>174</v>
      </c>
      <c r="M41" s="1"/>
      <c r="N41" s="1"/>
      <c r="O41" s="26">
        <v>250</v>
      </c>
      <c r="P41" s="1">
        <v>375</v>
      </c>
      <c r="Q41" s="1">
        <f>IFERROR(VLOOKUP(A41,[1]TDSheet!$A:$F,3,0),0)</f>
        <v>83</v>
      </c>
      <c r="R41" s="1">
        <f t="shared" si="10"/>
        <v>34.799999999999997</v>
      </c>
      <c r="S41" s="5"/>
      <c r="T41" s="5"/>
      <c r="U41" s="1"/>
      <c r="V41" s="1">
        <f t="shared" si="11"/>
        <v>18.132183908045977</v>
      </c>
      <c r="W41" s="1">
        <f t="shared" si="12"/>
        <v>18.132183908045977</v>
      </c>
      <c r="X41" s="1">
        <v>70.400000000000006</v>
      </c>
      <c r="Y41" s="1">
        <v>39.6</v>
      </c>
      <c r="Z41" s="1">
        <v>63</v>
      </c>
      <c r="AA41" s="1">
        <v>83.8</v>
      </c>
      <c r="AB41" s="1">
        <v>27.6</v>
      </c>
      <c r="AC41" s="1">
        <v>0</v>
      </c>
      <c r="AD41" s="1">
        <v>-0.6</v>
      </c>
      <c r="AE41" s="1">
        <v>29.6</v>
      </c>
      <c r="AF41" s="1">
        <v>36.4</v>
      </c>
      <c r="AG41" s="1">
        <v>62</v>
      </c>
      <c r="AH41" s="1" t="s">
        <v>84</v>
      </c>
      <c r="AI41" s="1">
        <f t="shared" si="8"/>
        <v>0</v>
      </c>
      <c r="AJ41" s="1"/>
      <c r="AK41" s="1"/>
      <c r="AL41" s="1"/>
      <c r="AM41" s="1"/>
      <c r="AN41" s="1"/>
      <c r="AO41" s="1"/>
      <c r="AP41" s="1"/>
      <c r="AQ41" s="1"/>
      <c r="AR41" s="1"/>
      <c r="AS41" s="1"/>
      <c r="AT41" s="1"/>
      <c r="AU41" s="1"/>
      <c r="AV41" s="1"/>
      <c r="AW41" s="1"/>
      <c r="AX41" s="1"/>
      <c r="AY41" s="1"/>
      <c r="AZ41" s="1"/>
      <c r="BA41" s="1"/>
      <c r="BB41" s="1"/>
    </row>
    <row r="42" spans="1:54" x14ac:dyDescent="0.25">
      <c r="A42" s="1" t="s">
        <v>85</v>
      </c>
      <c r="B42" s="1" t="s">
        <v>41</v>
      </c>
      <c r="C42" s="1">
        <v>856.28300000000002</v>
      </c>
      <c r="D42" s="1"/>
      <c r="E42" s="16">
        <f>357.675+E77</f>
        <v>422.67500000000001</v>
      </c>
      <c r="F42" s="16">
        <f>307.835+F77</f>
        <v>268.64499999999998</v>
      </c>
      <c r="G42" s="1">
        <f t="shared" si="7"/>
        <v>640.02700000000004</v>
      </c>
      <c r="H42" s="7">
        <v>1</v>
      </c>
      <c r="I42" s="1">
        <v>60</v>
      </c>
      <c r="J42" s="1"/>
      <c r="K42" s="1"/>
      <c r="L42" s="1">
        <f t="shared" si="9"/>
        <v>422.67500000000001</v>
      </c>
      <c r="M42" s="1"/>
      <c r="N42" s="1"/>
      <c r="O42" s="26">
        <v>500</v>
      </c>
      <c r="P42" s="1">
        <v>400</v>
      </c>
      <c r="Q42" s="1">
        <f>IFERROR(VLOOKUP(A42,[1]TDSheet!$A:$F,3,0),0)</f>
        <v>128.61799999999999</v>
      </c>
      <c r="R42" s="1">
        <f t="shared" si="10"/>
        <v>84.534999999999997</v>
      </c>
      <c r="S42" s="5">
        <f>18*R42-P42-O42-F42</f>
        <v>352.9849999999999</v>
      </c>
      <c r="T42" s="5"/>
      <c r="U42" s="1"/>
      <c r="V42" s="1">
        <f t="shared" si="11"/>
        <v>18</v>
      </c>
      <c r="W42" s="1">
        <f t="shared" si="12"/>
        <v>13.824392263559472</v>
      </c>
      <c r="X42" s="1">
        <v>74.565799999999996</v>
      </c>
      <c r="Y42" s="1">
        <v>112.387</v>
      </c>
      <c r="Z42" s="1">
        <v>76.830799999999996</v>
      </c>
      <c r="AA42" s="1">
        <v>99.215400000000002</v>
      </c>
      <c r="AB42" s="1">
        <v>55.567799999999998</v>
      </c>
      <c r="AC42" s="1">
        <v>8.0313999999999997</v>
      </c>
      <c r="AD42" s="1">
        <v>121.01779999999999</v>
      </c>
      <c r="AE42" s="1">
        <v>70.008200000000002</v>
      </c>
      <c r="AF42" s="1">
        <v>61.3202</v>
      </c>
      <c r="AG42" s="1">
        <v>71.735600000000005</v>
      </c>
      <c r="AH42" s="1"/>
      <c r="AI42" s="1">
        <f t="shared" si="8"/>
        <v>352.9849999999999</v>
      </c>
      <c r="AJ42" s="1"/>
      <c r="AK42" s="1"/>
      <c r="AL42" s="1"/>
      <c r="AM42" s="1"/>
      <c r="AN42" s="1"/>
      <c r="AO42" s="1"/>
      <c r="AP42" s="1"/>
      <c r="AQ42" s="1"/>
      <c r="AR42" s="1"/>
      <c r="AS42" s="1"/>
      <c r="AT42" s="1"/>
      <c r="AU42" s="1"/>
      <c r="AV42" s="1"/>
      <c r="AW42" s="1"/>
      <c r="AX42" s="1"/>
      <c r="AY42" s="1"/>
      <c r="AZ42" s="1"/>
      <c r="BA42" s="1"/>
      <c r="BB42" s="1"/>
    </row>
    <row r="43" spans="1:54" x14ac:dyDescent="0.25">
      <c r="A43" s="1" t="s">
        <v>86</v>
      </c>
      <c r="B43" s="1" t="s">
        <v>37</v>
      </c>
      <c r="C43" s="1">
        <v>324</v>
      </c>
      <c r="D43" s="1"/>
      <c r="E43" s="1">
        <v>110</v>
      </c>
      <c r="F43" s="1">
        <v>198</v>
      </c>
      <c r="G43" s="1">
        <f t="shared" si="7"/>
        <v>156</v>
      </c>
      <c r="H43" s="7">
        <v>0.5</v>
      </c>
      <c r="I43" s="1">
        <v>60</v>
      </c>
      <c r="J43" s="1"/>
      <c r="K43" s="1"/>
      <c r="L43" s="1">
        <f t="shared" si="9"/>
        <v>110</v>
      </c>
      <c r="M43" s="1"/>
      <c r="N43" s="1"/>
      <c r="O43" s="26">
        <v>0</v>
      </c>
      <c r="P43" s="1">
        <v>200</v>
      </c>
      <c r="Q43" s="1">
        <f>IFERROR(VLOOKUP(A43,[1]TDSheet!$A:$F,3,0),0)</f>
        <v>42</v>
      </c>
      <c r="R43" s="1">
        <f t="shared" si="10"/>
        <v>22</v>
      </c>
      <c r="S43" s="5"/>
      <c r="T43" s="5"/>
      <c r="U43" s="1"/>
      <c r="V43" s="1">
        <f t="shared" si="11"/>
        <v>18.09090909090909</v>
      </c>
      <c r="W43" s="1">
        <f t="shared" si="12"/>
        <v>18.09090909090909</v>
      </c>
      <c r="X43" s="1">
        <v>34.799999999999997</v>
      </c>
      <c r="Y43" s="1">
        <v>12</v>
      </c>
      <c r="Z43" s="1">
        <v>30</v>
      </c>
      <c r="AA43" s="1">
        <v>14.6</v>
      </c>
      <c r="AB43" s="1">
        <v>14.8</v>
      </c>
      <c r="AC43" s="1">
        <v>26.4</v>
      </c>
      <c r="AD43" s="1">
        <v>17.600000000000001</v>
      </c>
      <c r="AE43" s="1">
        <v>-13</v>
      </c>
      <c r="AF43" s="1">
        <v>11.8</v>
      </c>
      <c r="AG43" s="1">
        <v>5.6</v>
      </c>
      <c r="AH43" s="1"/>
      <c r="AI43" s="1">
        <f t="shared" si="8"/>
        <v>0</v>
      </c>
      <c r="AJ43" s="1"/>
      <c r="AK43" s="1"/>
      <c r="AL43" s="1"/>
      <c r="AM43" s="1"/>
      <c r="AN43" s="1"/>
      <c r="AO43" s="1"/>
      <c r="AP43" s="1"/>
      <c r="AQ43" s="1"/>
      <c r="AR43" s="1"/>
      <c r="AS43" s="1"/>
      <c r="AT43" s="1"/>
      <c r="AU43" s="1"/>
      <c r="AV43" s="1"/>
      <c r="AW43" s="1"/>
      <c r="AX43" s="1"/>
      <c r="AY43" s="1"/>
      <c r="AZ43" s="1"/>
      <c r="BA43" s="1"/>
      <c r="BB43" s="1"/>
    </row>
    <row r="44" spans="1:54" x14ac:dyDescent="0.25">
      <c r="A44" s="1" t="s">
        <v>87</v>
      </c>
      <c r="B44" s="1" t="s">
        <v>37</v>
      </c>
      <c r="C44" s="1">
        <v>250</v>
      </c>
      <c r="D44" s="1"/>
      <c r="E44" s="1">
        <v>138</v>
      </c>
      <c r="F44" s="1">
        <v>36</v>
      </c>
      <c r="G44" s="1">
        <f t="shared" si="7"/>
        <v>6</v>
      </c>
      <c r="H44" s="7">
        <v>0.4</v>
      </c>
      <c r="I44" s="1">
        <v>50</v>
      </c>
      <c r="J44" s="1"/>
      <c r="K44" s="1"/>
      <c r="L44" s="1">
        <f t="shared" si="9"/>
        <v>138</v>
      </c>
      <c r="M44" s="1"/>
      <c r="N44" s="1"/>
      <c r="O44" s="26">
        <v>0</v>
      </c>
      <c r="P44" s="1">
        <v>250</v>
      </c>
      <c r="Q44" s="1">
        <f>IFERROR(VLOOKUP(A44,[1]TDSheet!$A:$F,3,0),0)</f>
        <v>30</v>
      </c>
      <c r="R44" s="1">
        <f t="shared" si="10"/>
        <v>27.6</v>
      </c>
      <c r="S44" s="5">
        <f>18*R44-P44-O44-F44</f>
        <v>210.8</v>
      </c>
      <c r="T44" s="5"/>
      <c r="U44" s="1"/>
      <c r="V44" s="1">
        <f t="shared" si="11"/>
        <v>18</v>
      </c>
      <c r="W44" s="1">
        <f t="shared" si="12"/>
        <v>10.362318840579709</v>
      </c>
      <c r="X44" s="1">
        <v>13.8</v>
      </c>
      <c r="Y44" s="1">
        <v>3.6</v>
      </c>
      <c r="Z44" s="1">
        <v>18</v>
      </c>
      <c r="AA44" s="1">
        <v>2</v>
      </c>
      <c r="AB44" s="1">
        <v>14.8</v>
      </c>
      <c r="AC44" s="1">
        <v>10</v>
      </c>
      <c r="AD44" s="1">
        <v>12.4</v>
      </c>
      <c r="AE44" s="1">
        <v>28.8</v>
      </c>
      <c r="AF44" s="1">
        <v>20.2</v>
      </c>
      <c r="AG44" s="1">
        <v>5.2</v>
      </c>
      <c r="AH44" s="1"/>
      <c r="AI44" s="1">
        <f t="shared" si="8"/>
        <v>84.320000000000007</v>
      </c>
      <c r="AJ44" s="1"/>
      <c r="AK44" s="1"/>
      <c r="AL44" s="1"/>
      <c r="AM44" s="1"/>
      <c r="AN44" s="1"/>
      <c r="AO44" s="1"/>
      <c r="AP44" s="1"/>
      <c r="AQ44" s="1"/>
      <c r="AR44" s="1"/>
      <c r="AS44" s="1"/>
      <c r="AT44" s="1"/>
      <c r="AU44" s="1"/>
      <c r="AV44" s="1"/>
      <c r="AW44" s="1"/>
      <c r="AX44" s="1"/>
      <c r="AY44" s="1"/>
      <c r="AZ44" s="1"/>
      <c r="BA44" s="1"/>
      <c r="BB44" s="1"/>
    </row>
    <row r="45" spans="1:54" x14ac:dyDescent="0.25">
      <c r="A45" s="1" t="s">
        <v>88</v>
      </c>
      <c r="B45" s="1" t="s">
        <v>41</v>
      </c>
      <c r="C45" s="1">
        <v>674.74099999999999</v>
      </c>
      <c r="D45" s="1"/>
      <c r="E45" s="16">
        <f>216.853+E78</f>
        <v>243.14000000000001</v>
      </c>
      <c r="F45" s="1">
        <v>10.298</v>
      </c>
      <c r="G45" s="1">
        <f t="shared" si="7"/>
        <v>222.17700000000002</v>
      </c>
      <c r="H45" s="7">
        <v>1</v>
      </c>
      <c r="I45" s="1">
        <v>40</v>
      </c>
      <c r="J45" s="1"/>
      <c r="K45" s="1"/>
      <c r="L45" s="1">
        <f t="shared" si="9"/>
        <v>243.14000000000001</v>
      </c>
      <c r="M45" s="1"/>
      <c r="N45" s="1"/>
      <c r="O45" s="26">
        <v>900</v>
      </c>
      <c r="P45" s="1">
        <v>1300</v>
      </c>
      <c r="Q45" s="1">
        <f>IFERROR(VLOOKUP(A45,[1]TDSheet!$A:$F,3,0),0)</f>
        <v>688.12099999999998</v>
      </c>
      <c r="R45" s="1">
        <f t="shared" si="10"/>
        <v>48.628</v>
      </c>
      <c r="S45" s="5"/>
      <c r="T45" s="5"/>
      <c r="U45" s="1"/>
      <c r="V45" s="1">
        <f t="shared" si="11"/>
        <v>45.45319568972608</v>
      </c>
      <c r="W45" s="1">
        <f t="shared" si="12"/>
        <v>45.45319568972608</v>
      </c>
      <c r="X45" s="1">
        <v>170.7062</v>
      </c>
      <c r="Y45" s="1">
        <v>157.10579999999999</v>
      </c>
      <c r="Z45" s="1">
        <v>121.3802</v>
      </c>
      <c r="AA45" s="1">
        <v>149.50800000000001</v>
      </c>
      <c r="AB45" s="1">
        <v>99.543199999999999</v>
      </c>
      <c r="AC45" s="1">
        <v>122.8976</v>
      </c>
      <c r="AD45" s="1">
        <v>177.56960000000001</v>
      </c>
      <c r="AE45" s="1">
        <v>186.5068</v>
      </c>
      <c r="AF45" s="1">
        <v>178.52080000000001</v>
      </c>
      <c r="AG45" s="1">
        <v>241.73</v>
      </c>
      <c r="AH45" s="1" t="s">
        <v>89</v>
      </c>
      <c r="AI45" s="1">
        <f t="shared" si="8"/>
        <v>0</v>
      </c>
      <c r="AJ45" s="1"/>
      <c r="AK45" s="1"/>
      <c r="AL45" s="1"/>
      <c r="AM45" s="1"/>
      <c r="AN45" s="1"/>
      <c r="AO45" s="1"/>
      <c r="AP45" s="1"/>
      <c r="AQ45" s="1"/>
      <c r="AR45" s="1"/>
      <c r="AS45" s="1"/>
      <c r="AT45" s="1"/>
      <c r="AU45" s="1"/>
      <c r="AV45" s="1"/>
      <c r="AW45" s="1"/>
      <c r="AX45" s="1"/>
      <c r="AY45" s="1"/>
      <c r="AZ45" s="1"/>
      <c r="BA45" s="1"/>
      <c r="BB45" s="1"/>
    </row>
    <row r="46" spans="1:54" x14ac:dyDescent="0.25">
      <c r="A46" s="11" t="s">
        <v>90</v>
      </c>
      <c r="B46" s="1" t="s">
        <v>41</v>
      </c>
      <c r="C46" s="1"/>
      <c r="D46" s="1"/>
      <c r="E46" s="16">
        <f>E50</f>
        <v>207.20699999999999</v>
      </c>
      <c r="F46" s="16">
        <f>F50</f>
        <v>560.10199999999998</v>
      </c>
      <c r="G46" s="25">
        <f>F46+O46-Q50</f>
        <v>422.53699999999998</v>
      </c>
      <c r="H46" s="7">
        <v>1</v>
      </c>
      <c r="I46" s="1">
        <v>60</v>
      </c>
      <c r="J46" s="1" t="s">
        <v>91</v>
      </c>
      <c r="K46" s="1"/>
      <c r="L46" s="1">
        <f t="shared" si="9"/>
        <v>207.20699999999999</v>
      </c>
      <c r="M46" s="1"/>
      <c r="N46" s="1"/>
      <c r="O46" s="26">
        <v>0</v>
      </c>
      <c r="P46" s="1">
        <v>300</v>
      </c>
      <c r="Q46" s="1">
        <f>IFERROR(VLOOKUP(A46,[1]TDSheet!$A:$F,3,0),0)</f>
        <v>0</v>
      </c>
      <c r="R46" s="1">
        <f t="shared" si="10"/>
        <v>41.441400000000002</v>
      </c>
      <c r="S46" s="5"/>
      <c r="T46" s="5"/>
      <c r="U46" s="1"/>
      <c r="V46" s="1">
        <f t="shared" si="11"/>
        <v>20.754655972047274</v>
      </c>
      <c r="W46" s="1">
        <f t="shared" si="12"/>
        <v>20.754655972047274</v>
      </c>
      <c r="X46" s="1">
        <v>62.803800000000003</v>
      </c>
      <c r="Y46" s="1">
        <v>53.181800000000003</v>
      </c>
      <c r="Z46" s="1">
        <v>50.882399999999997</v>
      </c>
      <c r="AA46" s="1">
        <v>72.921199999999999</v>
      </c>
      <c r="AB46" s="1">
        <v>35.092599999999997</v>
      </c>
      <c r="AC46" s="1">
        <v>0</v>
      </c>
      <c r="AD46" s="1">
        <v>63.048000000000002</v>
      </c>
      <c r="AE46" s="1">
        <v>34.984400000000008</v>
      </c>
      <c r="AF46" s="1">
        <v>39.599200000000003</v>
      </c>
      <c r="AG46" s="1">
        <v>11.9422</v>
      </c>
      <c r="AH46" s="1" t="s">
        <v>54</v>
      </c>
      <c r="AI46" s="1">
        <f t="shared" si="8"/>
        <v>0</v>
      </c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1"/>
      <c r="AU46" s="1"/>
      <c r="AV46" s="1"/>
      <c r="AW46" s="1"/>
      <c r="AX46" s="1"/>
      <c r="AY46" s="1"/>
      <c r="AZ46" s="1"/>
      <c r="BA46" s="1"/>
      <c r="BB46" s="1"/>
    </row>
    <row r="47" spans="1:54" x14ac:dyDescent="0.25">
      <c r="A47" s="1" t="s">
        <v>92</v>
      </c>
      <c r="B47" s="1" t="s">
        <v>41</v>
      </c>
      <c r="C47" s="1">
        <v>633.01599999999996</v>
      </c>
      <c r="D47" s="1"/>
      <c r="E47" s="16">
        <f>80.655+E79</f>
        <v>180.55099999999999</v>
      </c>
      <c r="F47" s="16">
        <f>319.987+F79</f>
        <v>281.44200000000001</v>
      </c>
      <c r="G47" s="1">
        <f t="shared" si="7"/>
        <v>253.43900000000002</v>
      </c>
      <c r="H47" s="7">
        <v>1</v>
      </c>
      <c r="I47" s="1">
        <v>70</v>
      </c>
      <c r="J47" s="1"/>
      <c r="K47" s="1"/>
      <c r="L47" s="1">
        <f t="shared" si="9"/>
        <v>180.55099999999999</v>
      </c>
      <c r="M47" s="1"/>
      <c r="N47" s="1"/>
      <c r="O47" s="26">
        <v>0</v>
      </c>
      <c r="P47" s="1">
        <v>400</v>
      </c>
      <c r="Q47" s="1">
        <f>IFERROR(VLOOKUP(A47,[1]TDSheet!$A:$F,3,0),0)</f>
        <v>28.003</v>
      </c>
      <c r="R47" s="1">
        <f t="shared" si="10"/>
        <v>36.110199999999999</v>
      </c>
      <c r="S47" s="5"/>
      <c r="T47" s="5"/>
      <c r="U47" s="1"/>
      <c r="V47" s="1">
        <f t="shared" si="11"/>
        <v>18.871177672790513</v>
      </c>
      <c r="W47" s="1">
        <f t="shared" si="12"/>
        <v>18.871177672790513</v>
      </c>
      <c r="X47" s="1">
        <v>54.906599999999997</v>
      </c>
      <c r="Y47" s="1">
        <v>45.410400000000003</v>
      </c>
      <c r="Z47" s="1">
        <v>38.8108</v>
      </c>
      <c r="AA47" s="1">
        <v>48.449599999999997</v>
      </c>
      <c r="AB47" s="1">
        <v>16.1174</v>
      </c>
      <c r="AC47" s="1">
        <v>20.751799999999999</v>
      </c>
      <c r="AD47" s="1">
        <v>45.137800000000013</v>
      </c>
      <c r="AE47" s="1">
        <v>-7.9296000000000006</v>
      </c>
      <c r="AF47" s="1">
        <v>24.040800000000001</v>
      </c>
      <c r="AG47" s="1">
        <v>74.7774</v>
      </c>
      <c r="AH47" s="1" t="s">
        <v>54</v>
      </c>
      <c r="AI47" s="1">
        <f t="shared" si="8"/>
        <v>0</v>
      </c>
      <c r="AJ47" s="1"/>
      <c r="AK47" s="1"/>
      <c r="AL47" s="1"/>
      <c r="AM47" s="1"/>
      <c r="AN47" s="1"/>
      <c r="AO47" s="1"/>
      <c r="AP47" s="1"/>
      <c r="AQ47" s="1"/>
      <c r="AR47" s="1"/>
      <c r="AS47" s="1"/>
      <c r="AT47" s="1"/>
      <c r="AU47" s="1"/>
      <c r="AV47" s="1"/>
      <c r="AW47" s="1"/>
      <c r="AX47" s="1"/>
      <c r="AY47" s="1"/>
      <c r="AZ47" s="1"/>
      <c r="BA47" s="1"/>
      <c r="BB47" s="1"/>
    </row>
    <row r="48" spans="1:54" x14ac:dyDescent="0.25">
      <c r="A48" s="1" t="s">
        <v>93</v>
      </c>
      <c r="B48" s="1" t="s">
        <v>37</v>
      </c>
      <c r="C48" s="1">
        <v>821</v>
      </c>
      <c r="D48" s="1"/>
      <c r="E48" s="16">
        <f>153+E80</f>
        <v>175</v>
      </c>
      <c r="F48" s="1"/>
      <c r="G48" s="1">
        <f t="shared" si="7"/>
        <v>545</v>
      </c>
      <c r="H48" s="7">
        <v>0.4</v>
      </c>
      <c r="I48" s="1">
        <v>40</v>
      </c>
      <c r="J48" s="1"/>
      <c r="K48" s="1"/>
      <c r="L48" s="1">
        <f t="shared" si="9"/>
        <v>175</v>
      </c>
      <c r="M48" s="1"/>
      <c r="N48" s="1"/>
      <c r="O48" s="26">
        <v>875</v>
      </c>
      <c r="P48" s="1">
        <v>1000</v>
      </c>
      <c r="Q48" s="1">
        <f>IFERROR(VLOOKUP(A48,[1]TDSheet!$A:$F,3,0),0)</f>
        <v>330</v>
      </c>
      <c r="R48" s="1">
        <f t="shared" si="10"/>
        <v>35</v>
      </c>
      <c r="S48" s="5"/>
      <c r="T48" s="5"/>
      <c r="U48" s="1"/>
      <c r="V48" s="1">
        <f t="shared" si="11"/>
        <v>53.571428571428569</v>
      </c>
      <c r="W48" s="1">
        <f t="shared" si="12"/>
        <v>53.571428571428569</v>
      </c>
      <c r="X48" s="1">
        <v>156.80000000000001</v>
      </c>
      <c r="Y48" s="1">
        <v>131.19999999999999</v>
      </c>
      <c r="Z48" s="1">
        <v>90.8</v>
      </c>
      <c r="AA48" s="1">
        <v>120.6</v>
      </c>
      <c r="AB48" s="1">
        <v>69</v>
      </c>
      <c r="AC48" s="1">
        <v>90.4</v>
      </c>
      <c r="AD48" s="1">
        <v>106.2</v>
      </c>
      <c r="AE48" s="1">
        <v>97</v>
      </c>
      <c r="AF48" s="1">
        <v>107.6</v>
      </c>
      <c r="AG48" s="1">
        <v>227.8</v>
      </c>
      <c r="AH48" s="1"/>
      <c r="AI48" s="1">
        <f t="shared" si="8"/>
        <v>0</v>
      </c>
      <c r="AJ48" s="1"/>
      <c r="AK48" s="1"/>
      <c r="AL48" s="1"/>
      <c r="AM48" s="1"/>
      <c r="AN48" s="1"/>
      <c r="AO48" s="1"/>
      <c r="AP48" s="1"/>
      <c r="AQ48" s="1"/>
      <c r="AR48" s="1"/>
      <c r="AS48" s="1"/>
      <c r="AT48" s="1"/>
      <c r="AU48" s="1"/>
      <c r="AV48" s="1"/>
      <c r="AW48" s="1"/>
      <c r="AX48" s="1"/>
      <c r="AY48" s="1"/>
      <c r="AZ48" s="1"/>
      <c r="BA48" s="1"/>
      <c r="BB48" s="1"/>
    </row>
    <row r="49" spans="1:54" x14ac:dyDescent="0.25">
      <c r="A49" s="1" t="s">
        <v>94</v>
      </c>
      <c r="B49" s="1" t="s">
        <v>41</v>
      </c>
      <c r="C49" s="1">
        <v>576.20600000000002</v>
      </c>
      <c r="D49" s="1"/>
      <c r="E49" s="16">
        <f>255.619+E81</f>
        <v>289.096</v>
      </c>
      <c r="F49" s="16">
        <f>125.272+F81</f>
        <v>116.628</v>
      </c>
      <c r="G49" s="1">
        <f t="shared" si="7"/>
        <v>350.38499999999999</v>
      </c>
      <c r="H49" s="7">
        <v>1</v>
      </c>
      <c r="I49" s="1">
        <v>40</v>
      </c>
      <c r="J49" s="1"/>
      <c r="K49" s="1"/>
      <c r="L49" s="1">
        <f t="shared" si="9"/>
        <v>289.096</v>
      </c>
      <c r="M49" s="1"/>
      <c r="N49" s="1"/>
      <c r="O49" s="26">
        <v>350</v>
      </c>
      <c r="P49" s="1">
        <v>300</v>
      </c>
      <c r="Q49" s="1">
        <f>IFERROR(VLOOKUP(A49,[1]TDSheet!$A:$F,3,0),0)</f>
        <v>116.24299999999999</v>
      </c>
      <c r="R49" s="1">
        <f t="shared" si="10"/>
        <v>57.819200000000002</v>
      </c>
      <c r="S49" s="5">
        <f>18*R49-P49-O49-F49</f>
        <v>274.11759999999998</v>
      </c>
      <c r="T49" s="5"/>
      <c r="U49" s="1"/>
      <c r="V49" s="1">
        <f t="shared" si="11"/>
        <v>18</v>
      </c>
      <c r="W49" s="1">
        <f t="shared" si="12"/>
        <v>13.259055815369287</v>
      </c>
      <c r="X49" s="1">
        <v>74.38000000000001</v>
      </c>
      <c r="Y49" s="1">
        <v>66.489400000000003</v>
      </c>
      <c r="Z49" s="1">
        <v>46.83</v>
      </c>
      <c r="AA49" s="1">
        <v>73.261200000000002</v>
      </c>
      <c r="AB49" s="1">
        <v>38.764600000000002</v>
      </c>
      <c r="AC49" s="1">
        <v>47.242800000000003</v>
      </c>
      <c r="AD49" s="1">
        <v>86.790400000000005</v>
      </c>
      <c r="AE49" s="1">
        <v>80.720399999999998</v>
      </c>
      <c r="AF49" s="1">
        <v>40.392000000000003</v>
      </c>
      <c r="AG49" s="1">
        <v>98.791799999999995</v>
      </c>
      <c r="AH49" s="1" t="s">
        <v>54</v>
      </c>
      <c r="AI49" s="1">
        <f t="shared" si="8"/>
        <v>274.11759999999998</v>
      </c>
      <c r="AJ49" s="1"/>
      <c r="AK49" s="1"/>
      <c r="AL49" s="1"/>
      <c r="AM49" s="1"/>
      <c r="AN49" s="1"/>
      <c r="AO49" s="1"/>
      <c r="AP49" s="1"/>
      <c r="AQ49" s="1"/>
      <c r="AR49" s="1"/>
      <c r="AS49" s="1"/>
      <c r="AT49" s="1"/>
      <c r="AU49" s="1"/>
      <c r="AV49" s="1"/>
      <c r="AW49" s="1"/>
      <c r="AX49" s="1"/>
      <c r="AY49" s="1"/>
      <c r="AZ49" s="1"/>
      <c r="BA49" s="1"/>
      <c r="BB49" s="1"/>
    </row>
    <row r="50" spans="1:54" x14ac:dyDescent="0.25">
      <c r="A50" s="12" t="s">
        <v>95</v>
      </c>
      <c r="B50" s="12" t="s">
        <v>41</v>
      </c>
      <c r="C50" s="12">
        <v>836.25900000000001</v>
      </c>
      <c r="D50" s="12"/>
      <c r="E50" s="16">
        <v>207.20699999999999</v>
      </c>
      <c r="F50" s="16">
        <v>560.10199999999998</v>
      </c>
      <c r="G50" s="12">
        <v>0</v>
      </c>
      <c r="H50" s="13">
        <v>0</v>
      </c>
      <c r="I50" s="12"/>
      <c r="J50" s="12" t="s">
        <v>96</v>
      </c>
      <c r="K50" s="12"/>
      <c r="L50" s="12">
        <f t="shared" si="9"/>
        <v>207.20699999999999</v>
      </c>
      <c r="M50" s="12"/>
      <c r="N50" s="12"/>
      <c r="O50" s="29"/>
      <c r="P50" s="12"/>
      <c r="Q50" s="12">
        <f>IFERROR(VLOOKUP(A50,[1]TDSheet!$A:$F,3,0),0)</f>
        <v>137.565</v>
      </c>
      <c r="R50" s="12">
        <f t="shared" si="10"/>
        <v>41.441400000000002</v>
      </c>
      <c r="S50" s="14"/>
      <c r="T50" s="14"/>
      <c r="U50" s="12"/>
      <c r="V50" s="12">
        <f t="shared" si="11"/>
        <v>13.515518298126993</v>
      </c>
      <c r="W50" s="12">
        <f t="shared" si="12"/>
        <v>13.515518298126993</v>
      </c>
      <c r="X50" s="12">
        <v>62.803800000000003</v>
      </c>
      <c r="Y50" s="12">
        <v>53.181800000000003</v>
      </c>
      <c r="Z50" s="12">
        <v>50.882399999999997</v>
      </c>
      <c r="AA50" s="12">
        <v>72.921199999999999</v>
      </c>
      <c r="AB50" s="12">
        <v>35.092599999999997</v>
      </c>
      <c r="AC50" s="12">
        <v>47.344999999999999</v>
      </c>
      <c r="AD50" s="12">
        <v>63.048000000000002</v>
      </c>
      <c r="AE50" s="12">
        <v>34.984400000000008</v>
      </c>
      <c r="AF50" s="12">
        <v>39.599200000000003</v>
      </c>
      <c r="AG50" s="12">
        <v>59.841999999999999</v>
      </c>
      <c r="AH50" s="12"/>
      <c r="AI50" s="12"/>
      <c r="AJ50" s="1"/>
      <c r="AK50" s="1"/>
      <c r="AL50" s="1"/>
      <c r="AM50" s="1"/>
      <c r="AN50" s="1"/>
      <c r="AO50" s="1"/>
      <c r="AP50" s="1"/>
      <c r="AQ50" s="1"/>
      <c r="AR50" s="1"/>
      <c r="AS50" s="1"/>
      <c r="AT50" s="1"/>
      <c r="AU50" s="1"/>
      <c r="AV50" s="1"/>
      <c r="AW50" s="1"/>
      <c r="AX50" s="1"/>
      <c r="AY50" s="1"/>
      <c r="AZ50" s="1"/>
      <c r="BA50" s="1"/>
      <c r="BB50" s="1"/>
    </row>
    <row r="51" spans="1:54" x14ac:dyDescent="0.25">
      <c r="A51" s="1" t="s">
        <v>116</v>
      </c>
      <c r="B51" s="1" t="s">
        <v>41</v>
      </c>
      <c r="C51" s="1">
        <v>117.529</v>
      </c>
      <c r="D51" s="1"/>
      <c r="E51" s="1">
        <v>77.430000000000007</v>
      </c>
      <c r="F51" s="1">
        <v>5.46</v>
      </c>
      <c r="G51" s="1">
        <f t="shared" si="7"/>
        <v>79.614999999999995</v>
      </c>
      <c r="H51" s="7">
        <v>1</v>
      </c>
      <c r="I51" s="1">
        <v>50</v>
      </c>
      <c r="J51" s="1"/>
      <c r="K51" s="1"/>
      <c r="L51" s="1">
        <f t="shared" si="9"/>
        <v>77.430000000000007</v>
      </c>
      <c r="M51" s="1"/>
      <c r="N51" s="1"/>
      <c r="O51" s="26">
        <v>100</v>
      </c>
      <c r="P51" s="1">
        <v>100</v>
      </c>
      <c r="Q51" s="1">
        <f>IFERROR(VLOOKUP(A51,[1]TDSheet!$A:$F,3,0),0)</f>
        <v>25.844999999999999</v>
      </c>
      <c r="R51" s="1">
        <f t="shared" si="10"/>
        <v>15.486000000000001</v>
      </c>
      <c r="S51" s="5">
        <f>18*R51-P51-O51-F51</f>
        <v>73.287999999999997</v>
      </c>
      <c r="T51" s="5"/>
      <c r="U51" s="1"/>
      <c r="V51" s="1">
        <f t="shared" si="11"/>
        <v>18</v>
      </c>
      <c r="W51" s="1">
        <f t="shared" si="12"/>
        <v>13.267467389900553</v>
      </c>
      <c r="X51" s="1">
        <v>24.9056</v>
      </c>
      <c r="Y51" s="1">
        <v>2.1402000000000001</v>
      </c>
      <c r="Z51" s="1">
        <v>12.6754</v>
      </c>
      <c r="AA51" s="1">
        <v>13.949400000000001</v>
      </c>
      <c r="AB51" s="1">
        <v>8.5684000000000005</v>
      </c>
      <c r="AC51" s="1">
        <v>9.5191999999999997</v>
      </c>
      <c r="AD51" s="1">
        <v>13.788</v>
      </c>
      <c r="AE51" s="1">
        <v>15.5586</v>
      </c>
      <c r="AF51" s="1">
        <v>12.621600000000001</v>
      </c>
      <c r="AG51" s="1">
        <v>21.080400000000001</v>
      </c>
      <c r="AH51" s="1"/>
      <c r="AI51" s="1">
        <f t="shared" ref="AI51:AI57" si="13">H51*S51</f>
        <v>73.287999999999997</v>
      </c>
      <c r="AJ51" s="1"/>
      <c r="AK51" s="1"/>
      <c r="AL51" s="1"/>
      <c r="AM51" s="1"/>
      <c r="AN51" s="1"/>
      <c r="AO51" s="1"/>
      <c r="AP51" s="1"/>
      <c r="AQ51" s="1"/>
      <c r="AR51" s="1"/>
      <c r="AS51" s="1"/>
      <c r="AT51" s="1"/>
      <c r="AU51" s="1"/>
      <c r="AV51" s="1"/>
      <c r="AW51" s="1"/>
      <c r="AX51" s="1"/>
      <c r="AY51" s="1"/>
      <c r="AZ51" s="1"/>
      <c r="BA51" s="1"/>
      <c r="BB51" s="1"/>
    </row>
    <row r="52" spans="1:54" x14ac:dyDescent="0.25">
      <c r="A52" s="1" t="s">
        <v>117</v>
      </c>
      <c r="B52" s="1" t="s">
        <v>37</v>
      </c>
      <c r="C52" s="1">
        <v>46</v>
      </c>
      <c r="D52" s="1"/>
      <c r="E52" s="1">
        <v>11</v>
      </c>
      <c r="F52" s="1"/>
      <c r="G52" s="1">
        <f t="shared" si="7"/>
        <v>66.2222222222222</v>
      </c>
      <c r="H52" s="7">
        <v>0.45</v>
      </c>
      <c r="I52" s="1">
        <v>50</v>
      </c>
      <c r="J52" s="1"/>
      <c r="K52" s="1"/>
      <c r="L52" s="1">
        <f t="shared" si="9"/>
        <v>11</v>
      </c>
      <c r="M52" s="1"/>
      <c r="N52" s="1"/>
      <c r="O52" s="26">
        <v>222.2222222222222</v>
      </c>
      <c r="P52" s="1">
        <v>222.2222222222222</v>
      </c>
      <c r="Q52" s="1">
        <f>IFERROR(VLOOKUP(A52,[1]TDSheet!$A:$F,3,0),0)</f>
        <v>156</v>
      </c>
      <c r="R52" s="1">
        <f t="shared" si="10"/>
        <v>2.2000000000000002</v>
      </c>
      <c r="S52" s="5"/>
      <c r="T52" s="5"/>
      <c r="U52" s="1"/>
      <c r="V52" s="1">
        <f t="shared" si="11"/>
        <v>202.02020202020199</v>
      </c>
      <c r="W52" s="1">
        <f t="shared" si="12"/>
        <v>202.02020202020199</v>
      </c>
      <c r="X52" s="1">
        <v>40.6</v>
      </c>
      <c r="Y52" s="1">
        <v>22.6</v>
      </c>
      <c r="Z52" s="1">
        <v>24.6</v>
      </c>
      <c r="AA52" s="1">
        <v>28.8</v>
      </c>
      <c r="AB52" s="1">
        <v>24</v>
      </c>
      <c r="AC52" s="1">
        <v>33.799999999999997</v>
      </c>
      <c r="AD52" s="1">
        <v>31.2</v>
      </c>
      <c r="AE52" s="1">
        <v>35</v>
      </c>
      <c r="AF52" s="1">
        <v>57</v>
      </c>
      <c r="AG52" s="1">
        <v>54.4</v>
      </c>
      <c r="AH52" s="1"/>
      <c r="AI52" s="1">
        <f t="shared" si="13"/>
        <v>0</v>
      </c>
      <c r="AJ52" s="1"/>
      <c r="AK52" s="1"/>
      <c r="AL52" s="1"/>
      <c r="AM52" s="1"/>
      <c r="AN52" s="1"/>
      <c r="AO52" s="1"/>
      <c r="AP52" s="1"/>
      <c r="AQ52" s="1"/>
      <c r="AR52" s="1"/>
      <c r="AS52" s="1"/>
      <c r="AT52" s="1"/>
      <c r="AU52" s="1"/>
      <c r="AV52" s="1"/>
      <c r="AW52" s="1"/>
      <c r="AX52" s="1"/>
      <c r="AY52" s="1"/>
      <c r="AZ52" s="1"/>
      <c r="BA52" s="1"/>
      <c r="BB52" s="1"/>
    </row>
    <row r="53" spans="1:54" x14ac:dyDescent="0.25">
      <c r="A53" s="1" t="s">
        <v>118</v>
      </c>
      <c r="B53" s="1" t="s">
        <v>37</v>
      </c>
      <c r="C53" s="1">
        <v>250</v>
      </c>
      <c r="D53" s="1"/>
      <c r="E53" s="1">
        <v>160</v>
      </c>
      <c r="F53" s="1"/>
      <c r="G53" s="1">
        <f t="shared" si="7"/>
        <v>162</v>
      </c>
      <c r="H53" s="7">
        <v>0.4</v>
      </c>
      <c r="I53" s="1">
        <v>50</v>
      </c>
      <c r="J53" s="1"/>
      <c r="K53" s="1"/>
      <c r="L53" s="1">
        <f t="shared" si="9"/>
        <v>160</v>
      </c>
      <c r="M53" s="1"/>
      <c r="N53" s="1"/>
      <c r="O53" s="26">
        <v>375</v>
      </c>
      <c r="P53" s="1">
        <v>250</v>
      </c>
      <c r="Q53" s="1">
        <f>IFERROR(VLOOKUP(A53,[1]TDSheet!$A:$F,3,0),0)</f>
        <v>213</v>
      </c>
      <c r="R53" s="1">
        <f t="shared" si="10"/>
        <v>32</v>
      </c>
      <c r="S53" s="5"/>
      <c r="T53" s="5"/>
      <c r="U53" s="1"/>
      <c r="V53" s="1">
        <f t="shared" si="11"/>
        <v>19.53125</v>
      </c>
      <c r="W53" s="1">
        <f t="shared" si="12"/>
        <v>19.53125</v>
      </c>
      <c r="X53" s="1">
        <v>25.8</v>
      </c>
      <c r="Y53" s="1">
        <v>46.2</v>
      </c>
      <c r="Z53" s="1">
        <v>43.4</v>
      </c>
      <c r="AA53" s="1">
        <v>23.2</v>
      </c>
      <c r="AB53" s="1">
        <v>34.6</v>
      </c>
      <c r="AC53" s="1">
        <v>26.6</v>
      </c>
      <c r="AD53" s="1">
        <v>43.2</v>
      </c>
      <c r="AE53" s="1">
        <v>71</v>
      </c>
      <c r="AF53" s="1">
        <v>57.8</v>
      </c>
      <c r="AG53" s="1">
        <v>48.6</v>
      </c>
      <c r="AH53" s="1"/>
      <c r="AI53" s="1">
        <f t="shared" si="13"/>
        <v>0</v>
      </c>
      <c r="AJ53" s="1"/>
      <c r="AK53" s="1"/>
      <c r="AL53" s="1"/>
      <c r="AM53" s="1"/>
      <c r="AN53" s="1"/>
      <c r="AO53" s="1"/>
      <c r="AP53" s="1"/>
      <c r="AQ53" s="1"/>
      <c r="AR53" s="1"/>
      <c r="AS53" s="1"/>
      <c r="AT53" s="1"/>
      <c r="AU53" s="1"/>
      <c r="AV53" s="1"/>
      <c r="AW53" s="1"/>
      <c r="AX53" s="1"/>
      <c r="AY53" s="1"/>
      <c r="AZ53" s="1"/>
      <c r="BA53" s="1"/>
      <c r="BB53" s="1"/>
    </row>
    <row r="54" spans="1:54" x14ac:dyDescent="0.25">
      <c r="A54" s="1" t="s">
        <v>119</v>
      </c>
      <c r="B54" s="1" t="s">
        <v>41</v>
      </c>
      <c r="C54" s="1">
        <v>148.697</v>
      </c>
      <c r="D54" s="1"/>
      <c r="E54" s="1">
        <v>66.367999999999995</v>
      </c>
      <c r="F54" s="1">
        <v>63.648000000000003</v>
      </c>
      <c r="G54" s="1">
        <f t="shared" si="7"/>
        <v>101.108</v>
      </c>
      <c r="H54" s="7">
        <v>1</v>
      </c>
      <c r="I54" s="1">
        <v>50</v>
      </c>
      <c r="J54" s="1"/>
      <c r="K54" s="1"/>
      <c r="L54" s="1">
        <f t="shared" si="9"/>
        <v>66.367999999999995</v>
      </c>
      <c r="M54" s="1"/>
      <c r="N54" s="1"/>
      <c r="O54" s="26">
        <v>100</v>
      </c>
      <c r="P54" s="1">
        <v>100</v>
      </c>
      <c r="Q54" s="1">
        <f>IFERROR(VLOOKUP(A54,[1]TDSheet!$A:$F,3,0),0)</f>
        <v>62.54</v>
      </c>
      <c r="R54" s="1">
        <f t="shared" si="10"/>
        <v>13.273599999999998</v>
      </c>
      <c r="S54" s="5"/>
      <c r="T54" s="5"/>
      <c r="U54" s="1"/>
      <c r="V54" s="1">
        <f t="shared" si="11"/>
        <v>19.862584378013505</v>
      </c>
      <c r="W54" s="1">
        <f t="shared" si="12"/>
        <v>19.862584378013505</v>
      </c>
      <c r="X54" s="1">
        <v>21.547599999999999</v>
      </c>
      <c r="Y54" s="1">
        <v>7.4947999999999997</v>
      </c>
      <c r="Z54" s="1">
        <v>17.145800000000001</v>
      </c>
      <c r="AA54" s="1">
        <v>15.8568</v>
      </c>
      <c r="AB54" s="1">
        <v>8.4109999999999996</v>
      </c>
      <c r="AC54" s="1">
        <v>12.446400000000001</v>
      </c>
      <c r="AD54" s="1">
        <v>12.026999999999999</v>
      </c>
      <c r="AE54" s="1">
        <v>24.9512</v>
      </c>
      <c r="AF54" s="1">
        <v>21.7942</v>
      </c>
      <c r="AG54" s="1">
        <v>20.4556</v>
      </c>
      <c r="AH54" s="1"/>
      <c r="AI54" s="1">
        <f t="shared" si="13"/>
        <v>0</v>
      </c>
      <c r="AJ54" s="1"/>
      <c r="AK54" s="1"/>
      <c r="AL54" s="1"/>
      <c r="AM54" s="1"/>
      <c r="AN54" s="1"/>
      <c r="AO54" s="1"/>
      <c r="AP54" s="1"/>
      <c r="AQ54" s="1"/>
      <c r="AR54" s="1"/>
      <c r="AS54" s="1"/>
      <c r="AT54" s="1"/>
      <c r="AU54" s="1"/>
      <c r="AV54" s="1"/>
      <c r="AW54" s="1"/>
      <c r="AX54" s="1"/>
      <c r="AY54" s="1"/>
      <c r="AZ54" s="1"/>
      <c r="BA54" s="1"/>
      <c r="BB54" s="1"/>
    </row>
    <row r="55" spans="1:54" x14ac:dyDescent="0.25">
      <c r="A55" s="1" t="s">
        <v>120</v>
      </c>
      <c r="B55" s="1" t="s">
        <v>37</v>
      </c>
      <c r="C55" s="1">
        <v>334</v>
      </c>
      <c r="D55" s="1"/>
      <c r="E55" s="1">
        <v>297</v>
      </c>
      <c r="F55" s="1">
        <v>-8</v>
      </c>
      <c r="G55" s="1">
        <f t="shared" si="7"/>
        <v>128.44444444444451</v>
      </c>
      <c r="H55" s="7">
        <v>0.45</v>
      </c>
      <c r="I55" s="1">
        <v>50</v>
      </c>
      <c r="J55" s="1"/>
      <c r="K55" s="1"/>
      <c r="L55" s="1">
        <f t="shared" si="9"/>
        <v>297</v>
      </c>
      <c r="M55" s="1"/>
      <c r="N55" s="1"/>
      <c r="O55" s="26">
        <v>444.44444444444451</v>
      </c>
      <c r="P55" s="1">
        <v>555.55555555555554</v>
      </c>
      <c r="Q55" s="1">
        <f>IFERROR(VLOOKUP(A55,[1]TDSheet!$A:$F,3,0),0)</f>
        <v>308</v>
      </c>
      <c r="R55" s="1">
        <f t="shared" si="10"/>
        <v>59.4</v>
      </c>
      <c r="S55" s="5">
        <f>18*R55-P55-O55-F55</f>
        <v>77.199999999999989</v>
      </c>
      <c r="T55" s="5"/>
      <c r="U55" s="1"/>
      <c r="V55" s="1">
        <f t="shared" si="11"/>
        <v>18</v>
      </c>
      <c r="W55" s="1">
        <f t="shared" si="12"/>
        <v>16.700336700336702</v>
      </c>
      <c r="X55" s="1">
        <v>86.2</v>
      </c>
      <c r="Y55" s="1">
        <v>103.2</v>
      </c>
      <c r="Z55" s="1">
        <v>25.4</v>
      </c>
      <c r="AA55" s="1">
        <v>55.8</v>
      </c>
      <c r="AB55" s="1">
        <v>68</v>
      </c>
      <c r="AC55" s="1">
        <v>65.2</v>
      </c>
      <c r="AD55" s="1">
        <v>53.2</v>
      </c>
      <c r="AE55" s="1">
        <v>106.2</v>
      </c>
      <c r="AF55" s="1">
        <v>81.599999999999994</v>
      </c>
      <c r="AG55" s="1">
        <v>88.6</v>
      </c>
      <c r="AH55" s="1" t="s">
        <v>54</v>
      </c>
      <c r="AI55" s="1">
        <f t="shared" si="13"/>
        <v>34.739999999999995</v>
      </c>
      <c r="AJ55" s="1"/>
      <c r="AK55" s="1"/>
      <c r="AL55" s="1"/>
      <c r="AM55" s="1"/>
      <c r="AN55" s="1"/>
      <c r="AO55" s="1"/>
      <c r="AP55" s="1"/>
      <c r="AQ55" s="1"/>
      <c r="AR55" s="1"/>
      <c r="AS55" s="1"/>
      <c r="AT55" s="1"/>
      <c r="AU55" s="1"/>
      <c r="AV55" s="1"/>
      <c r="AW55" s="1"/>
      <c r="AX55" s="1"/>
      <c r="AY55" s="1"/>
      <c r="AZ55" s="1"/>
      <c r="BA55" s="1"/>
      <c r="BB55" s="1"/>
    </row>
    <row r="56" spans="1:54" x14ac:dyDescent="0.25">
      <c r="A56" s="1" t="s">
        <v>121</v>
      </c>
      <c r="B56" s="1" t="s">
        <v>37</v>
      </c>
      <c r="C56" s="1">
        <v>72</v>
      </c>
      <c r="D56" s="1"/>
      <c r="E56" s="1">
        <v>30</v>
      </c>
      <c r="F56" s="1">
        <v>42</v>
      </c>
      <c r="G56" s="1">
        <f t="shared" si="7"/>
        <v>17</v>
      </c>
      <c r="H56" s="7">
        <v>0.17</v>
      </c>
      <c r="I56" s="1">
        <v>180</v>
      </c>
      <c r="J56" s="1"/>
      <c r="K56" s="1"/>
      <c r="L56" s="1">
        <f t="shared" si="9"/>
        <v>30</v>
      </c>
      <c r="M56" s="1"/>
      <c r="N56" s="1"/>
      <c r="O56" s="26">
        <v>0</v>
      </c>
      <c r="P56" s="1">
        <v>294.11764705882348</v>
      </c>
      <c r="Q56" s="1">
        <f>IFERROR(VLOOKUP(A56,[1]TDSheet!$A:$F,3,0),0)</f>
        <v>25</v>
      </c>
      <c r="R56" s="1">
        <f t="shared" si="10"/>
        <v>6</v>
      </c>
      <c r="S56" s="5"/>
      <c r="T56" s="5"/>
      <c r="U56" s="1"/>
      <c r="V56" s="1">
        <f t="shared" si="11"/>
        <v>56.019607843137244</v>
      </c>
      <c r="W56" s="1">
        <f t="shared" si="12"/>
        <v>56.019607843137244</v>
      </c>
      <c r="X56" s="1">
        <v>8.6</v>
      </c>
      <c r="Y56" s="1">
        <v>10.6</v>
      </c>
      <c r="Z56" s="1">
        <v>6.6</v>
      </c>
      <c r="AA56" s="1">
        <v>16</v>
      </c>
      <c r="AB56" s="1">
        <v>13</v>
      </c>
      <c r="AC56" s="1">
        <v>6</v>
      </c>
      <c r="AD56" s="1">
        <v>7.2</v>
      </c>
      <c r="AE56" s="1">
        <v>11.4</v>
      </c>
      <c r="AF56" s="1">
        <v>8</v>
      </c>
      <c r="AG56" s="1">
        <v>3.2</v>
      </c>
      <c r="AH56" s="1"/>
      <c r="AI56" s="1">
        <f t="shared" si="13"/>
        <v>0</v>
      </c>
      <c r="AJ56" s="1"/>
      <c r="AK56" s="1"/>
      <c r="AL56" s="1"/>
      <c r="AM56" s="1"/>
      <c r="AN56" s="1"/>
      <c r="AO56" s="1"/>
      <c r="AP56" s="1"/>
      <c r="AQ56" s="1"/>
      <c r="AR56" s="1"/>
      <c r="AS56" s="1"/>
      <c r="AT56" s="1"/>
      <c r="AU56" s="1"/>
      <c r="AV56" s="1"/>
      <c r="AW56" s="1"/>
      <c r="AX56" s="1"/>
      <c r="AY56" s="1"/>
      <c r="AZ56" s="1"/>
      <c r="BA56" s="1"/>
      <c r="BB56" s="1"/>
    </row>
    <row r="57" spans="1:54" x14ac:dyDescent="0.25">
      <c r="A57" s="10" t="s">
        <v>122</v>
      </c>
      <c r="B57" s="1" t="s">
        <v>37</v>
      </c>
      <c r="C57" s="1">
        <v>300</v>
      </c>
      <c r="D57" s="1"/>
      <c r="E57" s="1">
        <v>34</v>
      </c>
      <c r="F57" s="1">
        <v>266</v>
      </c>
      <c r="G57" s="1">
        <f t="shared" si="7"/>
        <v>228</v>
      </c>
      <c r="H57" s="7">
        <v>0.17</v>
      </c>
      <c r="I57" s="1">
        <v>180</v>
      </c>
      <c r="J57" s="1"/>
      <c r="K57" s="1"/>
      <c r="L57" s="1">
        <f t="shared" si="9"/>
        <v>34</v>
      </c>
      <c r="M57" s="1"/>
      <c r="N57" s="1"/>
      <c r="O57" s="26">
        <v>0</v>
      </c>
      <c r="P57" s="1">
        <v>0</v>
      </c>
      <c r="Q57" s="1">
        <f>IFERROR(VLOOKUP(A57,[1]TDSheet!$A:$F,3,0),0)</f>
        <v>38</v>
      </c>
      <c r="R57" s="1">
        <f t="shared" si="10"/>
        <v>6.8</v>
      </c>
      <c r="S57" s="5"/>
      <c r="T57" s="5"/>
      <c r="U57" s="1"/>
      <c r="V57" s="1">
        <f t="shared" si="11"/>
        <v>39.117647058823529</v>
      </c>
      <c r="W57" s="1">
        <f t="shared" si="12"/>
        <v>39.117647058823529</v>
      </c>
      <c r="X57" s="1">
        <v>14</v>
      </c>
      <c r="Y57" s="1">
        <v>16.600000000000001</v>
      </c>
      <c r="Z57" s="1">
        <v>26.4</v>
      </c>
      <c r="AA57" s="1">
        <v>16.399999999999999</v>
      </c>
      <c r="AB57" s="1">
        <v>19.600000000000001</v>
      </c>
      <c r="AC57" s="1">
        <v>0</v>
      </c>
      <c r="AD57" s="1">
        <v>34</v>
      </c>
      <c r="AE57" s="1">
        <v>0</v>
      </c>
      <c r="AF57" s="1">
        <v>10.6</v>
      </c>
      <c r="AG57" s="1">
        <v>11</v>
      </c>
      <c r="AH57" s="15" t="s">
        <v>130</v>
      </c>
      <c r="AI57" s="1">
        <f t="shared" si="13"/>
        <v>0</v>
      </c>
      <c r="AJ57" s="1"/>
      <c r="AK57" s="1"/>
      <c r="AL57" s="1"/>
      <c r="AM57" s="1"/>
      <c r="AN57" s="1"/>
      <c r="AO57" s="1"/>
      <c r="AP57" s="1"/>
      <c r="AQ57" s="1"/>
      <c r="AR57" s="1"/>
      <c r="AS57" s="1"/>
      <c r="AT57" s="1"/>
      <c r="AU57" s="1"/>
      <c r="AV57" s="1"/>
      <c r="AW57" s="1"/>
      <c r="AX57" s="1"/>
      <c r="AY57" s="1"/>
      <c r="AZ57" s="1"/>
      <c r="BA57" s="1"/>
      <c r="BB57" s="1"/>
    </row>
    <row r="58" spans="1:54" x14ac:dyDescent="0.25">
      <c r="A58" s="20" t="s">
        <v>123</v>
      </c>
      <c r="B58" s="21" t="s">
        <v>41</v>
      </c>
      <c r="C58" s="20"/>
      <c r="D58" s="20">
        <v>25.34</v>
      </c>
      <c r="E58" s="20"/>
      <c r="F58" s="20">
        <v>25.34</v>
      </c>
      <c r="G58" s="1">
        <f t="shared" si="7"/>
        <v>25.34</v>
      </c>
      <c r="H58" s="22">
        <v>0</v>
      </c>
      <c r="I58" s="20"/>
      <c r="J58" s="21" t="s">
        <v>129</v>
      </c>
      <c r="K58" s="20"/>
      <c r="L58" s="20">
        <f t="shared" si="9"/>
        <v>0</v>
      </c>
      <c r="M58" s="20"/>
      <c r="N58" s="20"/>
      <c r="O58" s="30"/>
      <c r="P58" s="20"/>
      <c r="Q58" s="20">
        <f>IFERROR(VLOOKUP(A58,[1]TDSheet!$A:$F,3,0),0)</f>
        <v>0</v>
      </c>
      <c r="R58" s="20">
        <f t="shared" si="10"/>
        <v>0</v>
      </c>
      <c r="S58" s="23"/>
      <c r="T58" s="23"/>
      <c r="U58" s="20"/>
      <c r="V58" s="20" t="e">
        <f t="shared" si="11"/>
        <v>#DIV/0!</v>
      </c>
      <c r="W58" s="20" t="e">
        <f t="shared" si="12"/>
        <v>#DIV/0!</v>
      </c>
      <c r="X58" s="20">
        <v>0</v>
      </c>
      <c r="Y58" s="20">
        <v>0</v>
      </c>
      <c r="Z58" s="20">
        <v>0</v>
      </c>
      <c r="AA58" s="20">
        <v>0</v>
      </c>
      <c r="AB58" s="20">
        <v>0</v>
      </c>
      <c r="AC58" s="20">
        <v>0</v>
      </c>
      <c r="AD58" s="20">
        <v>0</v>
      </c>
      <c r="AE58" s="20">
        <v>0</v>
      </c>
      <c r="AF58" s="20">
        <v>0</v>
      </c>
      <c r="AG58" s="20">
        <v>0</v>
      </c>
      <c r="AH58" s="20"/>
      <c r="AI58" s="20"/>
      <c r="AJ58" s="1"/>
      <c r="AK58" s="1"/>
      <c r="AL58" s="1"/>
      <c r="AM58" s="1"/>
      <c r="AN58" s="1"/>
      <c r="AO58" s="1"/>
      <c r="AP58" s="1"/>
      <c r="AQ58" s="1"/>
      <c r="AR58" s="1"/>
      <c r="AS58" s="1"/>
      <c r="AT58" s="1"/>
      <c r="AU58" s="1"/>
      <c r="AV58" s="1"/>
      <c r="AW58" s="1"/>
      <c r="AX58" s="1"/>
      <c r="AY58" s="1"/>
      <c r="AZ58" s="1"/>
      <c r="BA58" s="1"/>
      <c r="BB58" s="1"/>
    </row>
    <row r="59" spans="1:54" x14ac:dyDescent="0.25">
      <c r="A59" s="20" t="s">
        <v>124</v>
      </c>
      <c r="B59" s="21" t="s">
        <v>41</v>
      </c>
      <c r="C59" s="20"/>
      <c r="D59" s="20">
        <v>34.6</v>
      </c>
      <c r="E59" s="20"/>
      <c r="F59" s="20">
        <v>34.6</v>
      </c>
      <c r="G59" s="1">
        <f t="shared" si="7"/>
        <v>34.6</v>
      </c>
      <c r="H59" s="22">
        <v>0</v>
      </c>
      <c r="I59" s="20"/>
      <c r="J59" s="21" t="s">
        <v>129</v>
      </c>
      <c r="K59" s="20"/>
      <c r="L59" s="20">
        <f t="shared" si="9"/>
        <v>0</v>
      </c>
      <c r="M59" s="20"/>
      <c r="N59" s="20"/>
      <c r="O59" s="30"/>
      <c r="P59" s="20"/>
      <c r="Q59" s="20">
        <f>IFERROR(VLOOKUP(A59,[1]TDSheet!$A:$F,3,0),0)</f>
        <v>0</v>
      </c>
      <c r="R59" s="20">
        <f t="shared" si="10"/>
        <v>0</v>
      </c>
      <c r="S59" s="23"/>
      <c r="T59" s="23"/>
      <c r="U59" s="20"/>
      <c r="V59" s="20" t="e">
        <f t="shared" si="11"/>
        <v>#DIV/0!</v>
      </c>
      <c r="W59" s="20" t="e">
        <f t="shared" si="12"/>
        <v>#DIV/0!</v>
      </c>
      <c r="X59" s="20">
        <v>0</v>
      </c>
      <c r="Y59" s="20">
        <v>0</v>
      </c>
      <c r="Z59" s="20">
        <v>0</v>
      </c>
      <c r="AA59" s="20">
        <v>0</v>
      </c>
      <c r="AB59" s="20">
        <v>0</v>
      </c>
      <c r="AC59" s="20">
        <v>0</v>
      </c>
      <c r="AD59" s="20">
        <v>0</v>
      </c>
      <c r="AE59" s="20">
        <v>0</v>
      </c>
      <c r="AF59" s="20">
        <v>0</v>
      </c>
      <c r="AG59" s="20">
        <v>0</v>
      </c>
      <c r="AH59" s="20"/>
      <c r="AI59" s="20"/>
      <c r="AJ59" s="1"/>
      <c r="AK59" s="1"/>
      <c r="AL59" s="1"/>
      <c r="AM59" s="1"/>
      <c r="AN59" s="1"/>
      <c r="AO59" s="1"/>
      <c r="AP59" s="1"/>
      <c r="AQ59" s="1"/>
      <c r="AR59" s="1"/>
      <c r="AS59" s="1"/>
      <c r="AT59" s="1"/>
      <c r="AU59" s="1"/>
      <c r="AV59" s="1"/>
      <c r="AW59" s="1"/>
      <c r="AX59" s="1"/>
      <c r="AY59" s="1"/>
      <c r="AZ59" s="1"/>
      <c r="BA59" s="1"/>
      <c r="BB59" s="1"/>
    </row>
    <row r="60" spans="1:54" x14ac:dyDescent="0.25">
      <c r="A60" s="20" t="s">
        <v>125</v>
      </c>
      <c r="B60" s="21" t="s">
        <v>37</v>
      </c>
      <c r="C60" s="20"/>
      <c r="D60" s="20">
        <v>109</v>
      </c>
      <c r="E60" s="20"/>
      <c r="F60" s="20">
        <v>109</v>
      </c>
      <c r="G60" s="1">
        <f t="shared" si="7"/>
        <v>109</v>
      </c>
      <c r="H60" s="22">
        <v>0</v>
      </c>
      <c r="I60" s="20"/>
      <c r="J60" s="21" t="s">
        <v>129</v>
      </c>
      <c r="K60" s="20"/>
      <c r="L60" s="20">
        <f t="shared" si="9"/>
        <v>0</v>
      </c>
      <c r="M60" s="20"/>
      <c r="N60" s="20"/>
      <c r="O60" s="30"/>
      <c r="P60" s="20"/>
      <c r="Q60" s="20">
        <f>IFERROR(VLOOKUP(A60,[1]TDSheet!$A:$F,3,0),0)</f>
        <v>0</v>
      </c>
      <c r="R60" s="20">
        <f t="shared" si="10"/>
        <v>0</v>
      </c>
      <c r="S60" s="23"/>
      <c r="T60" s="23"/>
      <c r="U60" s="20"/>
      <c r="V60" s="20" t="e">
        <f t="shared" si="11"/>
        <v>#DIV/0!</v>
      </c>
      <c r="W60" s="20" t="e">
        <f t="shared" si="12"/>
        <v>#DIV/0!</v>
      </c>
      <c r="X60" s="20">
        <v>0</v>
      </c>
      <c r="Y60" s="20">
        <v>0</v>
      </c>
      <c r="Z60" s="20">
        <v>0</v>
      </c>
      <c r="AA60" s="20">
        <v>0</v>
      </c>
      <c r="AB60" s="20">
        <v>0</v>
      </c>
      <c r="AC60" s="20">
        <v>0</v>
      </c>
      <c r="AD60" s="20">
        <v>0</v>
      </c>
      <c r="AE60" s="20">
        <v>0</v>
      </c>
      <c r="AF60" s="20">
        <v>0</v>
      </c>
      <c r="AG60" s="20">
        <v>0</v>
      </c>
      <c r="AH60" s="20"/>
      <c r="AI60" s="20"/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1"/>
      <c r="AU60" s="1"/>
      <c r="AV60" s="1"/>
      <c r="AW60" s="1"/>
      <c r="AX60" s="1"/>
      <c r="AY60" s="1"/>
      <c r="AZ60" s="1"/>
      <c r="BA60" s="1"/>
      <c r="BB60" s="1"/>
    </row>
    <row r="61" spans="1:54" x14ac:dyDescent="0.25">
      <c r="A61" s="20" t="s">
        <v>126</v>
      </c>
      <c r="B61" s="21" t="s">
        <v>41</v>
      </c>
      <c r="C61" s="20"/>
      <c r="D61" s="20">
        <v>52.25</v>
      </c>
      <c r="E61" s="20"/>
      <c r="F61" s="20">
        <v>52.25</v>
      </c>
      <c r="G61" s="1">
        <f t="shared" si="7"/>
        <v>52.25</v>
      </c>
      <c r="H61" s="22">
        <v>0</v>
      </c>
      <c r="I61" s="20"/>
      <c r="J61" s="21" t="s">
        <v>129</v>
      </c>
      <c r="K61" s="20"/>
      <c r="L61" s="20">
        <f t="shared" si="9"/>
        <v>0</v>
      </c>
      <c r="M61" s="20"/>
      <c r="N61" s="20"/>
      <c r="O61" s="30"/>
      <c r="P61" s="20"/>
      <c r="Q61" s="20">
        <f>IFERROR(VLOOKUP(A61,[1]TDSheet!$A:$F,3,0),0)</f>
        <v>0</v>
      </c>
      <c r="R61" s="20">
        <f t="shared" si="10"/>
        <v>0</v>
      </c>
      <c r="S61" s="23"/>
      <c r="T61" s="23"/>
      <c r="U61" s="20"/>
      <c r="V61" s="20" t="e">
        <f t="shared" si="11"/>
        <v>#DIV/0!</v>
      </c>
      <c r="W61" s="20" t="e">
        <f t="shared" si="12"/>
        <v>#DIV/0!</v>
      </c>
      <c r="X61" s="20">
        <v>0</v>
      </c>
      <c r="Y61" s="20">
        <v>0</v>
      </c>
      <c r="Z61" s="20">
        <v>0</v>
      </c>
      <c r="AA61" s="20">
        <v>0</v>
      </c>
      <c r="AB61" s="20">
        <v>0</v>
      </c>
      <c r="AC61" s="20">
        <v>0</v>
      </c>
      <c r="AD61" s="20">
        <v>0</v>
      </c>
      <c r="AE61" s="20">
        <v>0</v>
      </c>
      <c r="AF61" s="20">
        <v>0</v>
      </c>
      <c r="AG61" s="20">
        <v>0</v>
      </c>
      <c r="AH61" s="20"/>
      <c r="AI61" s="20"/>
      <c r="AJ61" s="1"/>
      <c r="AK61" s="1"/>
      <c r="AL61" s="1"/>
      <c r="AM61" s="1"/>
      <c r="AN61" s="1"/>
      <c r="AO61" s="1"/>
      <c r="AP61" s="1"/>
      <c r="AQ61" s="1"/>
      <c r="AR61" s="1"/>
      <c r="AS61" s="1"/>
      <c r="AT61" s="1"/>
      <c r="AU61" s="1"/>
      <c r="AV61" s="1"/>
      <c r="AW61" s="1"/>
      <c r="AX61" s="1"/>
      <c r="AY61" s="1"/>
      <c r="AZ61" s="1"/>
      <c r="BA61" s="1"/>
      <c r="BB61" s="1"/>
    </row>
    <row r="62" spans="1:54" x14ac:dyDescent="0.25">
      <c r="A62" s="20" t="s">
        <v>127</v>
      </c>
      <c r="B62" s="21" t="s">
        <v>41</v>
      </c>
      <c r="C62" s="20"/>
      <c r="D62" s="20">
        <v>185</v>
      </c>
      <c r="E62" s="20"/>
      <c r="F62" s="20">
        <v>185</v>
      </c>
      <c r="G62" s="1">
        <f t="shared" si="7"/>
        <v>185</v>
      </c>
      <c r="H62" s="22">
        <v>0</v>
      </c>
      <c r="I62" s="20"/>
      <c r="J62" s="21" t="s">
        <v>129</v>
      </c>
      <c r="K62" s="20"/>
      <c r="L62" s="20">
        <f t="shared" si="9"/>
        <v>0</v>
      </c>
      <c r="M62" s="20"/>
      <c r="N62" s="20"/>
      <c r="O62" s="30"/>
      <c r="P62" s="20"/>
      <c r="Q62" s="20">
        <f>IFERROR(VLOOKUP(A62,[1]TDSheet!$A:$F,3,0),0)</f>
        <v>0</v>
      </c>
      <c r="R62" s="20">
        <f t="shared" si="10"/>
        <v>0</v>
      </c>
      <c r="S62" s="23"/>
      <c r="T62" s="23"/>
      <c r="U62" s="20"/>
      <c r="V62" s="20" t="e">
        <f t="shared" si="11"/>
        <v>#DIV/0!</v>
      </c>
      <c r="W62" s="20" t="e">
        <f t="shared" si="12"/>
        <v>#DIV/0!</v>
      </c>
      <c r="X62" s="20">
        <v>0</v>
      </c>
      <c r="Y62" s="20">
        <v>0</v>
      </c>
      <c r="Z62" s="20">
        <v>0</v>
      </c>
      <c r="AA62" s="20">
        <v>0</v>
      </c>
      <c r="AB62" s="20">
        <v>0</v>
      </c>
      <c r="AC62" s="20">
        <v>0</v>
      </c>
      <c r="AD62" s="20">
        <v>0</v>
      </c>
      <c r="AE62" s="20">
        <v>0</v>
      </c>
      <c r="AF62" s="20">
        <v>0</v>
      </c>
      <c r="AG62" s="20">
        <v>0</v>
      </c>
      <c r="AH62" s="20"/>
      <c r="AI62" s="20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  <c r="AV62" s="1"/>
      <c r="AW62" s="1"/>
      <c r="AX62" s="1"/>
      <c r="AY62" s="1"/>
      <c r="AZ62" s="1"/>
      <c r="BA62" s="1"/>
      <c r="BB62" s="1"/>
    </row>
    <row r="63" spans="1:54" x14ac:dyDescent="0.25">
      <c r="A63" s="20" t="s">
        <v>128</v>
      </c>
      <c r="B63" s="21" t="s">
        <v>41</v>
      </c>
      <c r="C63" s="20"/>
      <c r="D63" s="20">
        <v>14.3</v>
      </c>
      <c r="E63" s="20"/>
      <c r="F63" s="20">
        <v>14.3</v>
      </c>
      <c r="G63" s="1">
        <f t="shared" si="7"/>
        <v>14.3</v>
      </c>
      <c r="H63" s="22">
        <v>0</v>
      </c>
      <c r="I63" s="20"/>
      <c r="J63" s="21" t="s">
        <v>129</v>
      </c>
      <c r="K63" s="20"/>
      <c r="L63" s="20">
        <f t="shared" si="9"/>
        <v>0</v>
      </c>
      <c r="M63" s="20"/>
      <c r="N63" s="20"/>
      <c r="O63" s="30"/>
      <c r="P63" s="20"/>
      <c r="Q63" s="20">
        <f>IFERROR(VLOOKUP(A63,[1]TDSheet!$A:$F,3,0),0)</f>
        <v>0</v>
      </c>
      <c r="R63" s="20">
        <f t="shared" si="10"/>
        <v>0</v>
      </c>
      <c r="S63" s="23"/>
      <c r="T63" s="23"/>
      <c r="U63" s="20"/>
      <c r="V63" s="20" t="e">
        <f t="shared" si="11"/>
        <v>#DIV/0!</v>
      </c>
      <c r="W63" s="20" t="e">
        <f t="shared" si="12"/>
        <v>#DIV/0!</v>
      </c>
      <c r="X63" s="20">
        <v>0</v>
      </c>
      <c r="Y63" s="20">
        <v>0</v>
      </c>
      <c r="Z63" s="20">
        <v>0</v>
      </c>
      <c r="AA63" s="20">
        <v>0</v>
      </c>
      <c r="AB63" s="20">
        <v>0</v>
      </c>
      <c r="AC63" s="20">
        <v>0</v>
      </c>
      <c r="AD63" s="20">
        <v>0</v>
      </c>
      <c r="AE63" s="20">
        <v>0</v>
      </c>
      <c r="AF63" s="20">
        <v>0</v>
      </c>
      <c r="AG63" s="20">
        <v>0</v>
      </c>
      <c r="AH63" s="20"/>
      <c r="AI63" s="20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  <c r="AV63" s="1"/>
      <c r="AW63" s="1"/>
      <c r="AX63" s="1"/>
      <c r="AY63" s="1"/>
      <c r="AZ63" s="1"/>
      <c r="BA63" s="1"/>
      <c r="BB63" s="1"/>
    </row>
    <row r="64" spans="1:54" x14ac:dyDescent="0.25">
      <c r="A64" s="17" t="s">
        <v>97</v>
      </c>
      <c r="B64" s="17" t="s">
        <v>41</v>
      </c>
      <c r="C64" s="17">
        <v>-19.963999999999999</v>
      </c>
      <c r="D64" s="17">
        <v>67.584999999999994</v>
      </c>
      <c r="E64" s="16">
        <v>52.500999999999998</v>
      </c>
      <c r="F64" s="16">
        <v>-19.806000000000001</v>
      </c>
      <c r="G64" s="1">
        <f t="shared" si="7"/>
        <v>-37.466999999999999</v>
      </c>
      <c r="H64" s="18">
        <v>0</v>
      </c>
      <c r="I64" s="17"/>
      <c r="J64" s="17" t="s">
        <v>98</v>
      </c>
      <c r="K64" s="17"/>
      <c r="L64" s="17">
        <f t="shared" si="9"/>
        <v>52.500999999999998</v>
      </c>
      <c r="M64" s="17"/>
      <c r="N64" s="17"/>
      <c r="O64" s="31"/>
      <c r="P64" s="17">
        <v>0</v>
      </c>
      <c r="Q64" s="17">
        <f>IFERROR(VLOOKUP(A64,[1]TDSheet!$A:$F,3,0),0)</f>
        <v>17.661000000000001</v>
      </c>
      <c r="R64" s="17">
        <f t="shared" si="10"/>
        <v>10.5002</v>
      </c>
      <c r="S64" s="19"/>
      <c r="T64" s="19"/>
      <c r="U64" s="17"/>
      <c r="V64" s="17">
        <f t="shared" si="11"/>
        <v>-1.8862497857183675</v>
      </c>
      <c r="W64" s="17">
        <f t="shared" si="12"/>
        <v>-1.8862497857183675</v>
      </c>
      <c r="X64" s="17">
        <v>7.4804000000000004</v>
      </c>
      <c r="Y64" s="17">
        <v>10.991199999999999</v>
      </c>
      <c r="Z64" s="17">
        <v>10.4558</v>
      </c>
      <c r="AA64" s="17">
        <v>22.629000000000001</v>
      </c>
      <c r="AB64" s="17">
        <v>11.0336</v>
      </c>
      <c r="AC64" s="17">
        <v>5.0026000000000002</v>
      </c>
      <c r="AD64" s="17">
        <v>19.802800000000001</v>
      </c>
      <c r="AE64" s="17">
        <v>14.9948</v>
      </c>
      <c r="AF64" s="17">
        <v>14.9948</v>
      </c>
      <c r="AG64" s="17">
        <v>2.9929999999999999</v>
      </c>
      <c r="AH64" s="17"/>
      <c r="AI64" s="17"/>
      <c r="AJ64" s="1"/>
      <c r="AK64" s="1"/>
      <c r="AL64" s="1"/>
      <c r="AM64" s="1"/>
      <c r="AN64" s="1"/>
      <c r="AO64" s="1"/>
      <c r="AP64" s="1"/>
      <c r="AQ64" s="1"/>
      <c r="AR64" s="1"/>
      <c r="AS64" s="1"/>
      <c r="AT64" s="1"/>
      <c r="AU64" s="1"/>
      <c r="AV64" s="1"/>
      <c r="AW64" s="1"/>
      <c r="AX64" s="1"/>
      <c r="AY64" s="1"/>
      <c r="AZ64" s="1"/>
      <c r="BA64" s="1"/>
      <c r="BB64" s="1"/>
    </row>
    <row r="65" spans="1:54" x14ac:dyDescent="0.25">
      <c r="A65" s="17" t="s">
        <v>99</v>
      </c>
      <c r="B65" s="17" t="s">
        <v>41</v>
      </c>
      <c r="C65" s="17"/>
      <c r="D65" s="17">
        <v>10.034000000000001</v>
      </c>
      <c r="E65" s="17"/>
      <c r="F65" s="17"/>
      <c r="G65" s="1">
        <f t="shared" si="7"/>
        <v>-5.0259999999999998</v>
      </c>
      <c r="H65" s="18">
        <v>0</v>
      </c>
      <c r="I65" s="17"/>
      <c r="J65" s="17" t="s">
        <v>98</v>
      </c>
      <c r="K65" s="17"/>
      <c r="L65" s="17">
        <f t="shared" si="9"/>
        <v>0</v>
      </c>
      <c r="M65" s="17"/>
      <c r="N65" s="17"/>
      <c r="O65" s="31"/>
      <c r="P65" s="17">
        <v>0</v>
      </c>
      <c r="Q65" s="17">
        <f>IFERROR(VLOOKUP(A65,[1]TDSheet!$A:$F,3,0),0)</f>
        <v>5.0259999999999998</v>
      </c>
      <c r="R65" s="17">
        <f t="shared" si="10"/>
        <v>0</v>
      </c>
      <c r="S65" s="19"/>
      <c r="T65" s="19"/>
      <c r="U65" s="17"/>
      <c r="V65" s="17" t="e">
        <f t="shared" si="11"/>
        <v>#DIV/0!</v>
      </c>
      <c r="W65" s="17" t="e">
        <f t="shared" si="12"/>
        <v>#DIV/0!</v>
      </c>
      <c r="X65" s="17">
        <v>2.0068000000000001</v>
      </c>
      <c r="Y65" s="17">
        <v>1.4366000000000001</v>
      </c>
      <c r="Z65" s="17">
        <v>0.14319999999999999</v>
      </c>
      <c r="AA65" s="17">
        <v>0</v>
      </c>
      <c r="AB65" s="17">
        <v>0</v>
      </c>
      <c r="AC65" s="17">
        <v>0</v>
      </c>
      <c r="AD65" s="17">
        <v>0</v>
      </c>
      <c r="AE65" s="17">
        <v>0</v>
      </c>
      <c r="AF65" s="17">
        <v>0</v>
      </c>
      <c r="AG65" s="17">
        <v>0</v>
      </c>
      <c r="AH65" s="17"/>
      <c r="AI65" s="17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/>
      <c r="AV65" s="1"/>
      <c r="AW65" s="1"/>
      <c r="AX65" s="1"/>
      <c r="AY65" s="1"/>
      <c r="AZ65" s="1"/>
      <c r="BA65" s="1"/>
      <c r="BB65" s="1"/>
    </row>
    <row r="66" spans="1:54" x14ac:dyDescent="0.25">
      <c r="A66" s="17" t="s">
        <v>100</v>
      </c>
      <c r="B66" s="17" t="s">
        <v>37</v>
      </c>
      <c r="C66" s="17">
        <v>-1</v>
      </c>
      <c r="D66" s="17">
        <v>5</v>
      </c>
      <c r="E66" s="16">
        <v>2</v>
      </c>
      <c r="F66" s="17"/>
      <c r="G66" s="1">
        <f t="shared" si="7"/>
        <v>-1</v>
      </c>
      <c r="H66" s="18">
        <v>0</v>
      </c>
      <c r="I66" s="17"/>
      <c r="J66" s="17" t="s">
        <v>98</v>
      </c>
      <c r="K66" s="17"/>
      <c r="L66" s="17">
        <f t="shared" si="9"/>
        <v>2</v>
      </c>
      <c r="M66" s="17"/>
      <c r="N66" s="17"/>
      <c r="O66" s="31"/>
      <c r="P66" s="17">
        <v>0</v>
      </c>
      <c r="Q66" s="17">
        <f>IFERROR(VLOOKUP(A66,[1]TDSheet!$A:$F,3,0),0)</f>
        <v>1</v>
      </c>
      <c r="R66" s="17">
        <f t="shared" si="10"/>
        <v>0.4</v>
      </c>
      <c r="S66" s="19"/>
      <c r="T66" s="19"/>
      <c r="U66" s="17"/>
      <c r="V66" s="17">
        <f t="shared" si="11"/>
        <v>0</v>
      </c>
      <c r="W66" s="17">
        <f t="shared" si="12"/>
        <v>0</v>
      </c>
      <c r="X66" s="17">
        <v>0.6</v>
      </c>
      <c r="Y66" s="17">
        <v>0</v>
      </c>
      <c r="Z66" s="17">
        <v>0</v>
      </c>
      <c r="AA66" s="17">
        <v>0</v>
      </c>
      <c r="AB66" s="17">
        <v>0</v>
      </c>
      <c r="AC66" s="17">
        <v>0</v>
      </c>
      <c r="AD66" s="17">
        <v>0</v>
      </c>
      <c r="AE66" s="17">
        <v>0</v>
      </c>
      <c r="AF66" s="17">
        <v>0</v>
      </c>
      <c r="AG66" s="17">
        <v>0</v>
      </c>
      <c r="AH66" s="17"/>
      <c r="AI66" s="17"/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1"/>
      <c r="AU66" s="1"/>
      <c r="AV66" s="1"/>
      <c r="AW66" s="1"/>
      <c r="AX66" s="1"/>
      <c r="AY66" s="1"/>
      <c r="AZ66" s="1"/>
      <c r="BA66" s="1"/>
      <c r="BB66" s="1"/>
    </row>
    <row r="67" spans="1:54" x14ac:dyDescent="0.25">
      <c r="A67" s="17" t="s">
        <v>101</v>
      </c>
      <c r="B67" s="17" t="s">
        <v>37</v>
      </c>
      <c r="C67" s="17">
        <v>-44</v>
      </c>
      <c r="D67" s="17">
        <v>101</v>
      </c>
      <c r="E67" s="16">
        <v>30</v>
      </c>
      <c r="F67" s="17"/>
      <c r="G67" s="1">
        <f t="shared" si="7"/>
        <v>-52</v>
      </c>
      <c r="H67" s="18">
        <v>0</v>
      </c>
      <c r="I67" s="17"/>
      <c r="J67" s="17" t="s">
        <v>98</v>
      </c>
      <c r="K67" s="17"/>
      <c r="L67" s="17">
        <f t="shared" si="9"/>
        <v>30</v>
      </c>
      <c r="M67" s="17"/>
      <c r="N67" s="17"/>
      <c r="O67" s="31"/>
      <c r="P67" s="17">
        <v>0</v>
      </c>
      <c r="Q67" s="17">
        <f>IFERROR(VLOOKUP(A67,[1]TDSheet!$A:$F,3,0),0)</f>
        <v>52</v>
      </c>
      <c r="R67" s="17">
        <f t="shared" si="10"/>
        <v>6</v>
      </c>
      <c r="S67" s="19"/>
      <c r="T67" s="19"/>
      <c r="U67" s="17"/>
      <c r="V67" s="17">
        <f t="shared" si="11"/>
        <v>0</v>
      </c>
      <c r="W67" s="17">
        <f t="shared" si="12"/>
        <v>0</v>
      </c>
      <c r="X67" s="17">
        <v>12</v>
      </c>
      <c r="Y67" s="17">
        <v>2.2000000000000002</v>
      </c>
      <c r="Z67" s="17">
        <v>3.4</v>
      </c>
      <c r="AA67" s="17">
        <v>10.8</v>
      </c>
      <c r="AB67" s="17">
        <v>2.4</v>
      </c>
      <c r="AC67" s="17">
        <v>6.6</v>
      </c>
      <c r="AD67" s="17">
        <v>6.8</v>
      </c>
      <c r="AE67" s="17">
        <v>0</v>
      </c>
      <c r="AF67" s="17">
        <v>0</v>
      </c>
      <c r="AG67" s="17">
        <v>0</v>
      </c>
      <c r="AH67" s="17"/>
      <c r="AI67" s="17"/>
      <c r="AJ67" s="1"/>
      <c r="AK67" s="1"/>
      <c r="AL67" s="1"/>
      <c r="AM67" s="1"/>
      <c r="AN67" s="1"/>
      <c r="AO67" s="1"/>
      <c r="AP67" s="1"/>
      <c r="AQ67" s="1"/>
      <c r="AR67" s="1"/>
      <c r="AS67" s="1"/>
      <c r="AT67" s="1"/>
      <c r="AU67" s="1"/>
      <c r="AV67" s="1"/>
      <c r="AW67" s="1"/>
      <c r="AX67" s="1"/>
      <c r="AY67" s="1"/>
      <c r="AZ67" s="1"/>
      <c r="BA67" s="1"/>
      <c r="BB67" s="1"/>
    </row>
    <row r="68" spans="1:54" x14ac:dyDescent="0.25">
      <c r="A68" s="17" t="s">
        <v>102</v>
      </c>
      <c r="B68" s="17" t="s">
        <v>41</v>
      </c>
      <c r="C68" s="17">
        <v>-30.917999999999999</v>
      </c>
      <c r="D68" s="17">
        <v>42.555999999999997</v>
      </c>
      <c r="E68" s="16">
        <v>4.3760000000000003</v>
      </c>
      <c r="F68" s="17"/>
      <c r="G68" s="1">
        <f t="shared" si="7"/>
        <v>-27.370999999999999</v>
      </c>
      <c r="H68" s="18">
        <v>0</v>
      </c>
      <c r="I68" s="17"/>
      <c r="J68" s="17" t="s">
        <v>98</v>
      </c>
      <c r="K68" s="17"/>
      <c r="L68" s="17">
        <f t="shared" si="9"/>
        <v>4.3760000000000003</v>
      </c>
      <c r="M68" s="17"/>
      <c r="N68" s="17"/>
      <c r="O68" s="31"/>
      <c r="P68" s="17">
        <v>0</v>
      </c>
      <c r="Q68" s="17">
        <f>IFERROR(VLOOKUP(A68,[1]TDSheet!$A:$F,3,0),0)</f>
        <v>27.370999999999999</v>
      </c>
      <c r="R68" s="17">
        <f t="shared" si="10"/>
        <v>0.87520000000000009</v>
      </c>
      <c r="S68" s="19"/>
      <c r="T68" s="19"/>
      <c r="U68" s="17"/>
      <c r="V68" s="17">
        <f t="shared" si="11"/>
        <v>0</v>
      </c>
      <c r="W68" s="17">
        <f t="shared" si="12"/>
        <v>0</v>
      </c>
      <c r="X68" s="17">
        <v>7.6360000000000001</v>
      </c>
      <c r="Y68" s="17">
        <v>2.0653999999999999</v>
      </c>
      <c r="Z68" s="17">
        <v>1.1768000000000001</v>
      </c>
      <c r="AA68" s="17">
        <v>6.3356000000000003</v>
      </c>
      <c r="AB68" s="17">
        <v>0</v>
      </c>
      <c r="AC68" s="17">
        <v>0</v>
      </c>
      <c r="AD68" s="17">
        <v>0</v>
      </c>
      <c r="AE68" s="17">
        <v>0</v>
      </c>
      <c r="AF68" s="17">
        <v>0</v>
      </c>
      <c r="AG68" s="17">
        <v>0</v>
      </c>
      <c r="AH68" s="17"/>
      <c r="AI68" s="17"/>
      <c r="AJ68" s="1"/>
      <c r="AK68" s="1"/>
      <c r="AL68" s="1"/>
      <c r="AM68" s="1"/>
      <c r="AN68" s="1"/>
      <c r="AO68" s="1"/>
      <c r="AP68" s="1"/>
      <c r="AQ68" s="1"/>
      <c r="AR68" s="1"/>
      <c r="AS68" s="1"/>
      <c r="AT68" s="1"/>
      <c r="AU68" s="1"/>
      <c r="AV68" s="1"/>
      <c r="AW68" s="1"/>
      <c r="AX68" s="1"/>
      <c r="AY68" s="1"/>
      <c r="AZ68" s="1"/>
      <c r="BA68" s="1"/>
      <c r="BB68" s="1"/>
    </row>
    <row r="69" spans="1:54" x14ac:dyDescent="0.25">
      <c r="A69" s="17" t="s">
        <v>103</v>
      </c>
      <c r="B69" s="17" t="s">
        <v>37</v>
      </c>
      <c r="C69" s="17">
        <v>-4</v>
      </c>
      <c r="D69" s="17">
        <v>34</v>
      </c>
      <c r="E69" s="16">
        <v>9</v>
      </c>
      <c r="F69" s="17"/>
      <c r="G69" s="1">
        <f t="shared" si="7"/>
        <v>-34</v>
      </c>
      <c r="H69" s="18">
        <v>0</v>
      </c>
      <c r="I69" s="17"/>
      <c r="J69" s="17" t="s">
        <v>98</v>
      </c>
      <c r="K69" s="17"/>
      <c r="L69" s="17">
        <f t="shared" si="9"/>
        <v>9</v>
      </c>
      <c r="M69" s="17"/>
      <c r="N69" s="17"/>
      <c r="O69" s="31"/>
      <c r="P69" s="17">
        <v>0</v>
      </c>
      <c r="Q69" s="17">
        <f>IFERROR(VLOOKUP(A69,[1]TDSheet!$A:$F,3,0),0)</f>
        <v>34</v>
      </c>
      <c r="R69" s="17">
        <f t="shared" si="10"/>
        <v>1.8</v>
      </c>
      <c r="S69" s="19"/>
      <c r="T69" s="19"/>
      <c r="U69" s="17"/>
      <c r="V69" s="17">
        <f t="shared" si="11"/>
        <v>0</v>
      </c>
      <c r="W69" s="17">
        <f t="shared" si="12"/>
        <v>0</v>
      </c>
      <c r="X69" s="17">
        <v>4.4000000000000004</v>
      </c>
      <c r="Y69" s="17">
        <v>10.199999999999999</v>
      </c>
      <c r="Z69" s="17">
        <v>1.8</v>
      </c>
      <c r="AA69" s="17">
        <v>4.5999999999999996</v>
      </c>
      <c r="AB69" s="17">
        <v>5.4</v>
      </c>
      <c r="AC69" s="17">
        <v>6.8</v>
      </c>
      <c r="AD69" s="17">
        <v>5.2</v>
      </c>
      <c r="AE69" s="17">
        <v>6.4</v>
      </c>
      <c r="AF69" s="17">
        <v>2.6</v>
      </c>
      <c r="AG69" s="17">
        <v>5.6</v>
      </c>
      <c r="AH69" s="17"/>
      <c r="AI69" s="17"/>
      <c r="AJ69" s="1"/>
      <c r="AK69" s="1"/>
      <c r="AL69" s="1"/>
      <c r="AM69" s="1"/>
      <c r="AN69" s="1"/>
      <c r="AO69" s="1"/>
      <c r="AP69" s="1"/>
      <c r="AQ69" s="1"/>
      <c r="AR69" s="1"/>
      <c r="AS69" s="1"/>
      <c r="AT69" s="1"/>
      <c r="AU69" s="1"/>
      <c r="AV69" s="1"/>
      <c r="AW69" s="1"/>
      <c r="AX69" s="1"/>
      <c r="AY69" s="1"/>
      <c r="AZ69" s="1"/>
      <c r="BA69" s="1"/>
      <c r="BB69" s="1"/>
    </row>
    <row r="70" spans="1:54" x14ac:dyDescent="0.25">
      <c r="A70" s="17" t="s">
        <v>104</v>
      </c>
      <c r="B70" s="17" t="s">
        <v>41</v>
      </c>
      <c r="C70" s="17">
        <v>-12.086</v>
      </c>
      <c r="D70" s="17">
        <v>25.513000000000002</v>
      </c>
      <c r="E70" s="16">
        <v>8.0470000000000006</v>
      </c>
      <c r="F70" s="17"/>
      <c r="G70" s="1">
        <f t="shared" si="7"/>
        <v>-19.077999999999999</v>
      </c>
      <c r="H70" s="18">
        <v>0</v>
      </c>
      <c r="I70" s="17"/>
      <c r="J70" s="17" t="s">
        <v>98</v>
      </c>
      <c r="K70" s="17"/>
      <c r="L70" s="17">
        <f t="shared" ref="L70:L101" si="14">E70-K70</f>
        <v>8.0470000000000006</v>
      </c>
      <c r="M70" s="17"/>
      <c r="N70" s="17"/>
      <c r="O70" s="31"/>
      <c r="P70" s="17">
        <v>0</v>
      </c>
      <c r="Q70" s="17">
        <f>IFERROR(VLOOKUP(A70,[1]TDSheet!$A:$F,3,0),0)</f>
        <v>19.077999999999999</v>
      </c>
      <c r="R70" s="17">
        <f t="shared" ref="R70:R81" si="15">E70/5</f>
        <v>1.6094000000000002</v>
      </c>
      <c r="S70" s="19"/>
      <c r="T70" s="19"/>
      <c r="U70" s="17"/>
      <c r="V70" s="17">
        <f t="shared" ref="V70:V81" si="16">(F70+O70+P70+S70)/R70</f>
        <v>0</v>
      </c>
      <c r="W70" s="17">
        <f t="shared" ref="W70:W81" si="17">(F70+O70+P70)/R70</f>
        <v>0</v>
      </c>
      <c r="X70" s="17">
        <v>3.2229999999999999</v>
      </c>
      <c r="Y70" s="17">
        <v>5.2504</v>
      </c>
      <c r="Z70" s="17">
        <v>2.7080000000000002</v>
      </c>
      <c r="AA70" s="17">
        <v>5.9413999999999998</v>
      </c>
      <c r="AB70" s="17">
        <v>2.9916</v>
      </c>
      <c r="AC70" s="17">
        <v>4.6656000000000004</v>
      </c>
      <c r="AD70" s="17">
        <v>4.0814000000000004</v>
      </c>
      <c r="AE70" s="17">
        <v>2.9445999999999999</v>
      </c>
      <c r="AF70" s="17">
        <v>2.4281999999999999</v>
      </c>
      <c r="AG70" s="17">
        <v>4.3323999999999998</v>
      </c>
      <c r="AH70" s="17"/>
      <c r="AI70" s="17"/>
      <c r="AJ70" s="1"/>
      <c r="AK70" s="1"/>
      <c r="AL70" s="1"/>
      <c r="AM70" s="1"/>
      <c r="AN70" s="1"/>
      <c r="AO70" s="1"/>
      <c r="AP70" s="1"/>
      <c r="AQ70" s="1"/>
      <c r="AR70" s="1"/>
      <c r="AS70" s="1"/>
      <c r="AT70" s="1"/>
      <c r="AU70" s="1"/>
      <c r="AV70" s="1"/>
      <c r="AW70" s="1"/>
      <c r="AX70" s="1"/>
      <c r="AY70" s="1"/>
      <c r="AZ70" s="1"/>
      <c r="BA70" s="1"/>
      <c r="BB70" s="1"/>
    </row>
    <row r="71" spans="1:54" x14ac:dyDescent="0.25">
      <c r="A71" s="17" t="s">
        <v>105</v>
      </c>
      <c r="B71" s="17" t="s">
        <v>37</v>
      </c>
      <c r="C71" s="17">
        <v>-33</v>
      </c>
      <c r="D71" s="17">
        <v>82</v>
      </c>
      <c r="E71" s="16">
        <v>43</v>
      </c>
      <c r="F71" s="16">
        <v>-11</v>
      </c>
      <c r="G71" s="1">
        <f t="shared" si="7"/>
        <v>-15</v>
      </c>
      <c r="H71" s="18">
        <v>0</v>
      </c>
      <c r="I71" s="17"/>
      <c r="J71" s="17" t="s">
        <v>98</v>
      </c>
      <c r="K71" s="17"/>
      <c r="L71" s="17">
        <f t="shared" si="14"/>
        <v>43</v>
      </c>
      <c r="M71" s="17"/>
      <c r="N71" s="17"/>
      <c r="O71" s="31"/>
      <c r="P71" s="17">
        <v>0</v>
      </c>
      <c r="Q71" s="17">
        <f>IFERROR(VLOOKUP(A71,[1]TDSheet!$A:$F,3,0),0)</f>
        <v>4</v>
      </c>
      <c r="R71" s="17">
        <f t="shared" si="15"/>
        <v>8.6</v>
      </c>
      <c r="S71" s="19"/>
      <c r="T71" s="19"/>
      <c r="U71" s="17"/>
      <c r="V71" s="17">
        <f t="shared" si="16"/>
        <v>-1.2790697674418605</v>
      </c>
      <c r="W71" s="17">
        <f t="shared" si="17"/>
        <v>-1.2790697674418605</v>
      </c>
      <c r="X71" s="17">
        <v>7.2</v>
      </c>
      <c r="Y71" s="17">
        <v>3</v>
      </c>
      <c r="Z71" s="17">
        <v>5.2</v>
      </c>
      <c r="AA71" s="17">
        <v>1.4</v>
      </c>
      <c r="AB71" s="17">
        <v>2</v>
      </c>
      <c r="AC71" s="17">
        <v>6</v>
      </c>
      <c r="AD71" s="17">
        <v>5.6</v>
      </c>
      <c r="AE71" s="17">
        <v>4.4000000000000004</v>
      </c>
      <c r="AF71" s="17">
        <v>2.2000000000000002</v>
      </c>
      <c r="AG71" s="17">
        <v>5</v>
      </c>
      <c r="AH71" s="17"/>
      <c r="AI71" s="17"/>
      <c r="AJ71" s="1"/>
      <c r="AK71" s="1"/>
      <c r="AL71" s="1"/>
      <c r="AM71" s="1"/>
      <c r="AN71" s="1"/>
      <c r="AO71" s="1"/>
      <c r="AP71" s="1"/>
      <c r="AQ71" s="1"/>
      <c r="AR71" s="1"/>
      <c r="AS71" s="1"/>
      <c r="AT71" s="1"/>
      <c r="AU71" s="1"/>
      <c r="AV71" s="1"/>
      <c r="AW71" s="1"/>
      <c r="AX71" s="1"/>
      <c r="AY71" s="1"/>
      <c r="AZ71" s="1"/>
      <c r="BA71" s="1"/>
      <c r="BB71" s="1"/>
    </row>
    <row r="72" spans="1:54" x14ac:dyDescent="0.25">
      <c r="A72" s="17" t="s">
        <v>106</v>
      </c>
      <c r="B72" s="17" t="s">
        <v>41</v>
      </c>
      <c r="C72" s="17">
        <v>-18.164000000000001</v>
      </c>
      <c r="D72" s="17">
        <v>47.408999999999999</v>
      </c>
      <c r="E72" s="16">
        <v>8.6639999999999997</v>
      </c>
      <c r="F72" s="17"/>
      <c r="G72" s="1">
        <f t="shared" si="7"/>
        <v>-17.998000000000001</v>
      </c>
      <c r="H72" s="18">
        <v>0</v>
      </c>
      <c r="I72" s="17"/>
      <c r="J72" s="17" t="s">
        <v>98</v>
      </c>
      <c r="K72" s="17"/>
      <c r="L72" s="17">
        <f t="shared" si="14"/>
        <v>8.6639999999999997</v>
      </c>
      <c r="M72" s="17"/>
      <c r="N72" s="17"/>
      <c r="O72" s="31"/>
      <c r="P72" s="17">
        <v>0</v>
      </c>
      <c r="Q72" s="17">
        <f>IFERROR(VLOOKUP(A72,[1]TDSheet!$A:$F,3,0),0)</f>
        <v>17.998000000000001</v>
      </c>
      <c r="R72" s="17">
        <f t="shared" si="15"/>
        <v>1.7327999999999999</v>
      </c>
      <c r="S72" s="19"/>
      <c r="T72" s="19"/>
      <c r="U72" s="17"/>
      <c r="V72" s="17">
        <f t="shared" si="16"/>
        <v>0</v>
      </c>
      <c r="W72" s="17">
        <f t="shared" si="17"/>
        <v>0</v>
      </c>
      <c r="X72" s="17">
        <v>4.1162000000000001</v>
      </c>
      <c r="Y72" s="17">
        <v>14.2386</v>
      </c>
      <c r="Z72" s="17">
        <v>5.9813999999999998</v>
      </c>
      <c r="AA72" s="17">
        <v>5.8567999999999998</v>
      </c>
      <c r="AB72" s="17">
        <v>7.7248000000000001</v>
      </c>
      <c r="AC72" s="17">
        <v>7.3135999999999992</v>
      </c>
      <c r="AD72" s="17">
        <v>13.099600000000001</v>
      </c>
      <c r="AE72" s="17">
        <v>8.557599999999999</v>
      </c>
      <c r="AF72" s="17">
        <v>2.6221999999999999</v>
      </c>
      <c r="AG72" s="17">
        <v>9.4176000000000002</v>
      </c>
      <c r="AH72" s="17"/>
      <c r="AI72" s="17"/>
      <c r="AJ72" s="1"/>
      <c r="AK72" s="1"/>
      <c r="AL72" s="1"/>
      <c r="AM72" s="1"/>
      <c r="AN72" s="1"/>
      <c r="AO72" s="1"/>
      <c r="AP72" s="1"/>
      <c r="AQ72" s="1"/>
      <c r="AR72" s="1"/>
      <c r="AS72" s="1"/>
      <c r="AT72" s="1"/>
      <c r="AU72" s="1"/>
      <c r="AV72" s="1"/>
      <c r="AW72" s="1"/>
      <c r="AX72" s="1"/>
      <c r="AY72" s="1"/>
      <c r="AZ72" s="1"/>
      <c r="BA72" s="1"/>
      <c r="BB72" s="1"/>
    </row>
    <row r="73" spans="1:54" x14ac:dyDescent="0.25">
      <c r="A73" s="17" t="s">
        <v>107</v>
      </c>
      <c r="B73" s="17" t="s">
        <v>41</v>
      </c>
      <c r="C73" s="17">
        <v>-24.279</v>
      </c>
      <c r="D73" s="17">
        <v>81.233999999999995</v>
      </c>
      <c r="E73" s="16">
        <v>61.735999999999997</v>
      </c>
      <c r="F73" s="16">
        <v>-7.1669999999999998</v>
      </c>
      <c r="G73" s="1">
        <f t="shared" ref="G73:G81" si="18">F73+O73-Q73</f>
        <v>-11.916</v>
      </c>
      <c r="H73" s="18">
        <v>0</v>
      </c>
      <c r="I73" s="17"/>
      <c r="J73" s="17" t="s">
        <v>98</v>
      </c>
      <c r="K73" s="17"/>
      <c r="L73" s="17">
        <f t="shared" si="14"/>
        <v>61.735999999999997</v>
      </c>
      <c r="M73" s="17"/>
      <c r="N73" s="17"/>
      <c r="O73" s="31"/>
      <c r="P73" s="17">
        <v>0</v>
      </c>
      <c r="Q73" s="17">
        <f>IFERROR(VLOOKUP(A73,[1]TDSheet!$A:$F,3,0),0)</f>
        <v>4.7489999999999997</v>
      </c>
      <c r="R73" s="17">
        <f t="shared" si="15"/>
        <v>12.347199999999999</v>
      </c>
      <c r="S73" s="19"/>
      <c r="T73" s="19"/>
      <c r="U73" s="17"/>
      <c r="V73" s="17">
        <f t="shared" si="16"/>
        <v>-0.58045548788389278</v>
      </c>
      <c r="W73" s="17">
        <f t="shared" si="17"/>
        <v>-0.58045548788389278</v>
      </c>
      <c r="X73" s="17">
        <v>5.3330000000000002</v>
      </c>
      <c r="Y73" s="17">
        <v>4.9744000000000002</v>
      </c>
      <c r="Z73" s="17">
        <v>7.9537999999999993</v>
      </c>
      <c r="AA73" s="17">
        <v>3.4238</v>
      </c>
      <c r="AB73" s="17">
        <v>4.4067999999999996</v>
      </c>
      <c r="AC73" s="17">
        <v>8.9141999999999992</v>
      </c>
      <c r="AD73" s="17">
        <v>5.4630000000000001</v>
      </c>
      <c r="AE73" s="17">
        <v>0</v>
      </c>
      <c r="AF73" s="17">
        <v>0</v>
      </c>
      <c r="AG73" s="17">
        <v>0</v>
      </c>
      <c r="AH73" s="17"/>
      <c r="AI73" s="17"/>
      <c r="AJ73" s="1"/>
      <c r="AK73" s="1"/>
      <c r="AL73" s="1"/>
      <c r="AM73" s="1"/>
      <c r="AN73" s="1"/>
      <c r="AO73" s="1"/>
      <c r="AP73" s="1"/>
      <c r="AQ73" s="1"/>
      <c r="AR73" s="1"/>
      <c r="AS73" s="1"/>
      <c r="AT73" s="1"/>
      <c r="AU73" s="1"/>
      <c r="AV73" s="1"/>
      <c r="AW73" s="1"/>
      <c r="AX73" s="1"/>
      <c r="AY73" s="1"/>
      <c r="AZ73" s="1"/>
      <c r="BA73" s="1"/>
      <c r="BB73" s="1"/>
    </row>
    <row r="74" spans="1:54" x14ac:dyDescent="0.25">
      <c r="A74" s="17" t="s">
        <v>108</v>
      </c>
      <c r="B74" s="17" t="s">
        <v>41</v>
      </c>
      <c r="C74" s="17">
        <v>-31.154</v>
      </c>
      <c r="D74" s="17">
        <v>60.024999999999999</v>
      </c>
      <c r="E74" s="16">
        <v>39.436999999999998</v>
      </c>
      <c r="F74" s="16">
        <v>-17.745000000000001</v>
      </c>
      <c r="G74" s="1">
        <f t="shared" si="18"/>
        <v>-32.83</v>
      </c>
      <c r="H74" s="18">
        <v>0</v>
      </c>
      <c r="I74" s="17"/>
      <c r="J74" s="17" t="s">
        <v>98</v>
      </c>
      <c r="K74" s="17"/>
      <c r="L74" s="17">
        <f t="shared" si="14"/>
        <v>39.436999999999998</v>
      </c>
      <c r="M74" s="17"/>
      <c r="N74" s="17"/>
      <c r="O74" s="31"/>
      <c r="P74" s="17">
        <v>0</v>
      </c>
      <c r="Q74" s="17">
        <f>IFERROR(VLOOKUP(A74,[1]TDSheet!$A:$F,3,0),0)</f>
        <v>15.085000000000001</v>
      </c>
      <c r="R74" s="17">
        <f t="shared" si="15"/>
        <v>7.8873999999999995</v>
      </c>
      <c r="S74" s="19"/>
      <c r="T74" s="19"/>
      <c r="U74" s="17"/>
      <c r="V74" s="17">
        <f t="shared" si="16"/>
        <v>-2.2497908055886606</v>
      </c>
      <c r="W74" s="17">
        <f t="shared" si="17"/>
        <v>-2.2497908055886606</v>
      </c>
      <c r="X74" s="17">
        <v>7.6665999999999999</v>
      </c>
      <c r="Y74" s="17">
        <v>7.2304000000000004</v>
      </c>
      <c r="Z74" s="17">
        <v>7.4055999999999997</v>
      </c>
      <c r="AA74" s="17">
        <v>3.9510000000000001</v>
      </c>
      <c r="AB74" s="17">
        <v>11.465999999999999</v>
      </c>
      <c r="AC74" s="17">
        <v>4.4833999999999996</v>
      </c>
      <c r="AD74" s="17">
        <v>13.9094</v>
      </c>
      <c r="AE74" s="17">
        <v>4.4359999999999999</v>
      </c>
      <c r="AF74" s="17">
        <v>4.4359999999999999</v>
      </c>
      <c r="AG74" s="17">
        <v>8.0373999999999999</v>
      </c>
      <c r="AH74" s="17"/>
      <c r="AI74" s="17"/>
      <c r="AJ74" s="1"/>
      <c r="AK74" s="1"/>
      <c r="AL74" s="1"/>
      <c r="AM74" s="1"/>
      <c r="AN74" s="1"/>
      <c r="AO74" s="1"/>
      <c r="AP74" s="1"/>
      <c r="AQ74" s="1"/>
      <c r="AR74" s="1"/>
      <c r="AS74" s="1"/>
      <c r="AT74" s="1"/>
      <c r="AU74" s="1"/>
      <c r="AV74" s="1"/>
      <c r="AW74" s="1"/>
      <c r="AX74" s="1"/>
      <c r="AY74" s="1"/>
      <c r="AZ74" s="1"/>
      <c r="BA74" s="1"/>
      <c r="BB74" s="1"/>
    </row>
    <row r="75" spans="1:54" x14ac:dyDescent="0.25">
      <c r="A75" s="17" t="s">
        <v>109</v>
      </c>
      <c r="B75" s="17" t="s">
        <v>41</v>
      </c>
      <c r="C75" s="17">
        <v>-12.298</v>
      </c>
      <c r="D75" s="17">
        <v>42.097000000000001</v>
      </c>
      <c r="E75" s="16">
        <v>27.388000000000002</v>
      </c>
      <c r="F75" s="16">
        <v>-4.9619999999999997</v>
      </c>
      <c r="G75" s="1">
        <f t="shared" si="18"/>
        <v>-19.929000000000002</v>
      </c>
      <c r="H75" s="18">
        <v>0</v>
      </c>
      <c r="I75" s="17"/>
      <c r="J75" s="17" t="s">
        <v>98</v>
      </c>
      <c r="K75" s="17"/>
      <c r="L75" s="17">
        <f t="shared" si="14"/>
        <v>27.388000000000002</v>
      </c>
      <c r="M75" s="17"/>
      <c r="N75" s="17"/>
      <c r="O75" s="31"/>
      <c r="P75" s="17">
        <v>0</v>
      </c>
      <c r="Q75" s="17">
        <f>IFERROR(VLOOKUP(A75,[1]TDSheet!$A:$F,3,0),0)</f>
        <v>14.967000000000001</v>
      </c>
      <c r="R75" s="17">
        <f t="shared" si="15"/>
        <v>5.4776000000000007</v>
      </c>
      <c r="S75" s="19"/>
      <c r="T75" s="19"/>
      <c r="U75" s="17"/>
      <c r="V75" s="17">
        <f t="shared" si="16"/>
        <v>-0.90587118446034742</v>
      </c>
      <c r="W75" s="17">
        <f t="shared" si="17"/>
        <v>-0.90587118446034742</v>
      </c>
      <c r="X75" s="17">
        <v>3.4407999999999999</v>
      </c>
      <c r="Y75" s="17">
        <v>13.021800000000001</v>
      </c>
      <c r="Z75" s="17">
        <v>2.9964</v>
      </c>
      <c r="AA75" s="17">
        <v>2.4929999999999999</v>
      </c>
      <c r="AB75" s="17">
        <v>1.9890000000000001</v>
      </c>
      <c r="AC75" s="17">
        <v>2.0142000000000002</v>
      </c>
      <c r="AD75" s="17">
        <v>1.9912000000000001</v>
      </c>
      <c r="AE75" s="17">
        <v>16.973199999999999</v>
      </c>
      <c r="AF75" s="17">
        <v>16.973199999999999</v>
      </c>
      <c r="AG75" s="17">
        <v>0</v>
      </c>
      <c r="AH75" s="17"/>
      <c r="AI75" s="17"/>
      <c r="AJ75" s="1"/>
      <c r="AK75" s="1"/>
      <c r="AL75" s="1"/>
      <c r="AM75" s="1"/>
      <c r="AN75" s="1"/>
      <c r="AO75" s="1"/>
      <c r="AP75" s="1"/>
      <c r="AQ75" s="1"/>
      <c r="AR75" s="1"/>
      <c r="AS75" s="1"/>
      <c r="AT75" s="1"/>
      <c r="AU75" s="1"/>
      <c r="AV75" s="1"/>
      <c r="AW75" s="1"/>
      <c r="AX75" s="1"/>
      <c r="AY75" s="1"/>
      <c r="AZ75" s="1"/>
      <c r="BA75" s="1"/>
      <c r="BB75" s="1"/>
    </row>
    <row r="76" spans="1:54" x14ac:dyDescent="0.25">
      <c r="A76" s="17" t="s">
        <v>110</v>
      </c>
      <c r="B76" s="17" t="s">
        <v>37</v>
      </c>
      <c r="C76" s="17">
        <v>-40</v>
      </c>
      <c r="D76" s="17">
        <v>78</v>
      </c>
      <c r="E76" s="16">
        <v>25</v>
      </c>
      <c r="F76" s="16">
        <v>-4</v>
      </c>
      <c r="G76" s="1">
        <f t="shared" si="18"/>
        <v>-14</v>
      </c>
      <c r="H76" s="18">
        <v>0</v>
      </c>
      <c r="I76" s="17"/>
      <c r="J76" s="17" t="s">
        <v>98</v>
      </c>
      <c r="K76" s="17"/>
      <c r="L76" s="17">
        <f t="shared" si="14"/>
        <v>25</v>
      </c>
      <c r="M76" s="17"/>
      <c r="N76" s="17"/>
      <c r="O76" s="31"/>
      <c r="P76" s="17">
        <v>0</v>
      </c>
      <c r="Q76" s="17">
        <f>IFERROR(VLOOKUP(A76,[1]TDSheet!$A:$F,3,0),0)</f>
        <v>10</v>
      </c>
      <c r="R76" s="17">
        <f t="shared" si="15"/>
        <v>5</v>
      </c>
      <c r="S76" s="19"/>
      <c r="T76" s="19"/>
      <c r="U76" s="17"/>
      <c r="V76" s="17">
        <f t="shared" si="16"/>
        <v>-0.8</v>
      </c>
      <c r="W76" s="17">
        <f t="shared" si="17"/>
        <v>-0.8</v>
      </c>
      <c r="X76" s="17">
        <v>8.6</v>
      </c>
      <c r="Y76" s="17">
        <v>6.6</v>
      </c>
      <c r="Z76" s="17">
        <v>8</v>
      </c>
      <c r="AA76" s="17">
        <v>12.2</v>
      </c>
      <c r="AB76" s="17">
        <v>3</v>
      </c>
      <c r="AC76" s="17">
        <v>0</v>
      </c>
      <c r="AD76" s="17">
        <v>0</v>
      </c>
      <c r="AE76" s="17">
        <v>0</v>
      </c>
      <c r="AF76" s="17">
        <v>0</v>
      </c>
      <c r="AG76" s="17">
        <v>0</v>
      </c>
      <c r="AH76" s="17"/>
      <c r="AI76" s="17"/>
      <c r="AJ76" s="1"/>
      <c r="AK76" s="1"/>
      <c r="AL76" s="1"/>
      <c r="AM76" s="1"/>
      <c r="AN76" s="1"/>
      <c r="AO76" s="1"/>
      <c r="AP76" s="1"/>
      <c r="AQ76" s="1"/>
      <c r="AR76" s="1"/>
      <c r="AS76" s="1"/>
      <c r="AT76" s="1"/>
      <c r="AU76" s="1"/>
      <c r="AV76" s="1"/>
      <c r="AW76" s="1"/>
      <c r="AX76" s="1"/>
      <c r="AY76" s="1"/>
      <c r="AZ76" s="1"/>
      <c r="BA76" s="1"/>
      <c r="BB76" s="1"/>
    </row>
    <row r="77" spans="1:54" x14ac:dyDescent="0.25">
      <c r="A77" s="17" t="s">
        <v>111</v>
      </c>
      <c r="B77" s="17" t="s">
        <v>41</v>
      </c>
      <c r="C77" s="17">
        <v>-48.234999999999999</v>
      </c>
      <c r="D77" s="17">
        <v>94.918000000000006</v>
      </c>
      <c r="E77" s="16">
        <v>65</v>
      </c>
      <c r="F77" s="16">
        <v>-39.19</v>
      </c>
      <c r="G77" s="1">
        <f t="shared" si="18"/>
        <v>-60.11</v>
      </c>
      <c r="H77" s="18">
        <v>0</v>
      </c>
      <c r="I77" s="17"/>
      <c r="J77" s="17" t="s">
        <v>98</v>
      </c>
      <c r="K77" s="17"/>
      <c r="L77" s="17">
        <f t="shared" si="14"/>
        <v>65</v>
      </c>
      <c r="M77" s="17"/>
      <c r="N77" s="17"/>
      <c r="O77" s="31"/>
      <c r="P77" s="17">
        <v>0</v>
      </c>
      <c r="Q77" s="17">
        <f>IFERROR(VLOOKUP(A77,[1]TDSheet!$A:$F,3,0),0)</f>
        <v>20.92</v>
      </c>
      <c r="R77" s="17">
        <f t="shared" si="15"/>
        <v>13</v>
      </c>
      <c r="S77" s="19"/>
      <c r="T77" s="19"/>
      <c r="U77" s="17"/>
      <c r="V77" s="17">
        <f t="shared" si="16"/>
        <v>-3.0146153846153845</v>
      </c>
      <c r="W77" s="17">
        <f t="shared" si="17"/>
        <v>-3.0146153846153845</v>
      </c>
      <c r="X77" s="17">
        <v>9.3338000000000001</v>
      </c>
      <c r="Y77" s="17">
        <v>18.312799999999999</v>
      </c>
      <c r="Z77" s="17">
        <v>12.049200000000001</v>
      </c>
      <c r="AA77" s="17">
        <v>13.3436</v>
      </c>
      <c r="AB77" s="17">
        <v>7.2173999999999996</v>
      </c>
      <c r="AC77" s="17">
        <v>0.48299999999999998</v>
      </c>
      <c r="AD77" s="17">
        <v>17.837</v>
      </c>
      <c r="AE77" s="17">
        <v>9.6815999999999995</v>
      </c>
      <c r="AF77" s="17">
        <v>7.2629999999999999</v>
      </c>
      <c r="AG77" s="17">
        <v>12.102600000000001</v>
      </c>
      <c r="AH77" s="17"/>
      <c r="AI77" s="17"/>
      <c r="AJ77" s="1"/>
      <c r="AK77" s="1"/>
      <c r="AL77" s="1"/>
      <c r="AM77" s="1"/>
      <c r="AN77" s="1"/>
      <c r="AO77" s="1"/>
      <c r="AP77" s="1"/>
      <c r="AQ77" s="1"/>
      <c r="AR77" s="1"/>
      <c r="AS77" s="1"/>
      <c r="AT77" s="1"/>
      <c r="AU77" s="1"/>
      <c r="AV77" s="1"/>
      <c r="AW77" s="1"/>
      <c r="AX77" s="1"/>
      <c r="AY77" s="1"/>
      <c r="AZ77" s="1"/>
      <c r="BA77" s="1"/>
      <c r="BB77" s="1"/>
    </row>
    <row r="78" spans="1:54" x14ac:dyDescent="0.25">
      <c r="A78" s="17" t="s">
        <v>112</v>
      </c>
      <c r="B78" s="17" t="s">
        <v>41</v>
      </c>
      <c r="C78" s="17">
        <v>-69.114000000000004</v>
      </c>
      <c r="D78" s="17">
        <v>133.35400000000001</v>
      </c>
      <c r="E78" s="16">
        <v>26.286999999999999</v>
      </c>
      <c r="F78" s="17"/>
      <c r="G78" s="1">
        <f t="shared" si="18"/>
        <v>-44.012999999999998</v>
      </c>
      <c r="H78" s="18">
        <v>0</v>
      </c>
      <c r="I78" s="17"/>
      <c r="J78" s="17" t="s">
        <v>98</v>
      </c>
      <c r="K78" s="17"/>
      <c r="L78" s="17">
        <f t="shared" si="14"/>
        <v>26.286999999999999</v>
      </c>
      <c r="M78" s="17"/>
      <c r="N78" s="17"/>
      <c r="O78" s="31"/>
      <c r="P78" s="17">
        <v>0</v>
      </c>
      <c r="Q78" s="17">
        <f>IFERROR(VLOOKUP(A78,[1]TDSheet!$A:$F,3,0),0)</f>
        <v>44.012999999999998</v>
      </c>
      <c r="R78" s="17">
        <f t="shared" si="15"/>
        <v>5.2573999999999996</v>
      </c>
      <c r="S78" s="19"/>
      <c r="T78" s="19"/>
      <c r="U78" s="17"/>
      <c r="V78" s="17">
        <f t="shared" si="16"/>
        <v>0</v>
      </c>
      <c r="W78" s="17">
        <f t="shared" si="17"/>
        <v>0</v>
      </c>
      <c r="X78" s="17">
        <v>15.815200000000001</v>
      </c>
      <c r="Y78" s="17">
        <v>21.065799999999999</v>
      </c>
      <c r="Z78" s="17">
        <v>10.9794</v>
      </c>
      <c r="AA78" s="17">
        <v>13.3108</v>
      </c>
      <c r="AB78" s="17">
        <v>12.0562</v>
      </c>
      <c r="AC78" s="17">
        <v>18.241599999999998</v>
      </c>
      <c r="AD78" s="17">
        <v>17.868400000000001</v>
      </c>
      <c r="AE78" s="17">
        <v>22.340199999999999</v>
      </c>
      <c r="AF78" s="17">
        <v>16.312000000000001</v>
      </c>
      <c r="AG78" s="17">
        <v>26.585000000000001</v>
      </c>
      <c r="AH78" s="17"/>
      <c r="AI78" s="17"/>
      <c r="AJ78" s="1"/>
      <c r="AK78" s="1"/>
      <c r="AL78" s="1"/>
      <c r="AM78" s="1"/>
      <c r="AN78" s="1"/>
      <c r="AO78" s="1"/>
      <c r="AP78" s="1"/>
      <c r="AQ78" s="1"/>
      <c r="AR78" s="1"/>
      <c r="AS78" s="1"/>
      <c r="AT78" s="1"/>
      <c r="AU78" s="1"/>
      <c r="AV78" s="1"/>
      <c r="AW78" s="1"/>
      <c r="AX78" s="1"/>
      <c r="AY78" s="1"/>
      <c r="AZ78" s="1"/>
      <c r="BA78" s="1"/>
      <c r="BB78" s="1"/>
    </row>
    <row r="79" spans="1:54" x14ac:dyDescent="0.25">
      <c r="A79" s="17" t="s">
        <v>113</v>
      </c>
      <c r="B79" s="17" t="s">
        <v>41</v>
      </c>
      <c r="C79" s="17">
        <v>-119.126</v>
      </c>
      <c r="D79" s="17">
        <v>208.61500000000001</v>
      </c>
      <c r="E79" s="16">
        <v>99.896000000000001</v>
      </c>
      <c r="F79" s="16">
        <v>-38.545000000000002</v>
      </c>
      <c r="G79" s="1">
        <f t="shared" si="18"/>
        <v>-94.562000000000012</v>
      </c>
      <c r="H79" s="18">
        <v>0</v>
      </c>
      <c r="I79" s="17"/>
      <c r="J79" s="17" t="s">
        <v>98</v>
      </c>
      <c r="K79" s="17"/>
      <c r="L79" s="17">
        <f t="shared" si="14"/>
        <v>99.896000000000001</v>
      </c>
      <c r="M79" s="17"/>
      <c r="N79" s="17"/>
      <c r="O79" s="31"/>
      <c r="P79" s="17">
        <v>0</v>
      </c>
      <c r="Q79" s="17">
        <f>IFERROR(VLOOKUP(A79,[1]TDSheet!$A:$F,3,0),0)</f>
        <v>56.017000000000003</v>
      </c>
      <c r="R79" s="17">
        <f t="shared" si="15"/>
        <v>19.979199999999999</v>
      </c>
      <c r="S79" s="19"/>
      <c r="T79" s="19"/>
      <c r="U79" s="17"/>
      <c r="V79" s="17">
        <f t="shared" si="16"/>
        <v>-1.9292564266837513</v>
      </c>
      <c r="W79" s="17">
        <f t="shared" si="17"/>
        <v>-1.9292564266837513</v>
      </c>
      <c r="X79" s="17">
        <v>27.705200000000001</v>
      </c>
      <c r="Y79" s="17">
        <v>25.145</v>
      </c>
      <c r="Z79" s="17">
        <v>14.2204</v>
      </c>
      <c r="AA79" s="17">
        <v>16.2728</v>
      </c>
      <c r="AB79" s="17">
        <v>3.6789999999999998</v>
      </c>
      <c r="AC79" s="17">
        <v>11.067</v>
      </c>
      <c r="AD79" s="17">
        <v>14.423400000000001</v>
      </c>
      <c r="AE79" s="17">
        <v>0</v>
      </c>
      <c r="AF79" s="17">
        <v>2.4470000000000001</v>
      </c>
      <c r="AG79" s="17">
        <v>29.491199999999999</v>
      </c>
      <c r="AH79" s="17"/>
      <c r="AI79" s="17"/>
      <c r="AJ79" s="1"/>
      <c r="AK79" s="1"/>
      <c r="AL79" s="1"/>
      <c r="AM79" s="1"/>
      <c r="AN79" s="1"/>
      <c r="AO79" s="1"/>
      <c r="AP79" s="1"/>
      <c r="AQ79" s="1"/>
      <c r="AR79" s="1"/>
      <c r="AS79" s="1"/>
      <c r="AT79" s="1"/>
      <c r="AU79" s="1"/>
      <c r="AV79" s="1"/>
      <c r="AW79" s="1"/>
      <c r="AX79" s="1"/>
      <c r="AY79" s="1"/>
      <c r="AZ79" s="1"/>
      <c r="BA79" s="1"/>
      <c r="BB79" s="1"/>
    </row>
    <row r="80" spans="1:54" x14ac:dyDescent="0.25">
      <c r="A80" s="17" t="s">
        <v>114</v>
      </c>
      <c r="B80" s="17" t="s">
        <v>37</v>
      </c>
      <c r="C80" s="17">
        <v>-71</v>
      </c>
      <c r="D80" s="17">
        <v>166</v>
      </c>
      <c r="E80" s="16">
        <v>22</v>
      </c>
      <c r="F80" s="17"/>
      <c r="G80" s="1">
        <f t="shared" si="18"/>
        <v>-37</v>
      </c>
      <c r="H80" s="18">
        <v>0</v>
      </c>
      <c r="I80" s="17"/>
      <c r="J80" s="17" t="s">
        <v>98</v>
      </c>
      <c r="K80" s="17"/>
      <c r="L80" s="17">
        <f t="shared" si="14"/>
        <v>22</v>
      </c>
      <c r="M80" s="17"/>
      <c r="N80" s="17"/>
      <c r="O80" s="31"/>
      <c r="P80" s="17">
        <v>0</v>
      </c>
      <c r="Q80" s="17">
        <f>IFERROR(VLOOKUP(A80,[1]TDSheet!$A:$F,3,0),0)</f>
        <v>37</v>
      </c>
      <c r="R80" s="17">
        <f t="shared" si="15"/>
        <v>4.4000000000000004</v>
      </c>
      <c r="S80" s="19"/>
      <c r="T80" s="19"/>
      <c r="U80" s="17"/>
      <c r="V80" s="17">
        <f t="shared" si="16"/>
        <v>0</v>
      </c>
      <c r="W80" s="17">
        <f t="shared" si="17"/>
        <v>0</v>
      </c>
      <c r="X80" s="17">
        <v>19.600000000000001</v>
      </c>
      <c r="Y80" s="17">
        <v>19.600000000000001</v>
      </c>
      <c r="Z80" s="17">
        <v>8</v>
      </c>
      <c r="AA80" s="17">
        <v>16.2</v>
      </c>
      <c r="AB80" s="17">
        <v>8</v>
      </c>
      <c r="AC80" s="17">
        <v>13</v>
      </c>
      <c r="AD80" s="17">
        <v>10.8</v>
      </c>
      <c r="AE80" s="17">
        <v>9</v>
      </c>
      <c r="AF80" s="17">
        <v>10.4</v>
      </c>
      <c r="AG80" s="17">
        <v>28.8</v>
      </c>
      <c r="AH80" s="17"/>
      <c r="AI80" s="17"/>
      <c r="AJ80" s="1"/>
      <c r="AK80" s="1"/>
      <c r="AL80" s="1"/>
      <c r="AM80" s="1"/>
      <c r="AN80" s="1"/>
      <c r="AO80" s="1"/>
      <c r="AP80" s="1"/>
      <c r="AQ80" s="1"/>
      <c r="AR80" s="1"/>
      <c r="AS80" s="1"/>
      <c r="AT80" s="1"/>
      <c r="AU80" s="1"/>
      <c r="AV80" s="1"/>
      <c r="AW80" s="1"/>
      <c r="AX80" s="1"/>
      <c r="AY80" s="1"/>
      <c r="AZ80" s="1"/>
      <c r="BA80" s="1"/>
      <c r="BB80" s="1"/>
    </row>
    <row r="81" spans="1:54" x14ac:dyDescent="0.25">
      <c r="A81" s="17" t="s">
        <v>115</v>
      </c>
      <c r="B81" s="17" t="s">
        <v>41</v>
      </c>
      <c r="C81" s="17">
        <v>-58.381</v>
      </c>
      <c r="D81" s="17">
        <v>102.226</v>
      </c>
      <c r="E81" s="16">
        <v>33.476999999999997</v>
      </c>
      <c r="F81" s="16">
        <v>-8.6440000000000001</v>
      </c>
      <c r="G81" s="1">
        <f t="shared" si="18"/>
        <v>-50.985999999999997</v>
      </c>
      <c r="H81" s="18">
        <v>0</v>
      </c>
      <c r="I81" s="17"/>
      <c r="J81" s="17" t="s">
        <v>98</v>
      </c>
      <c r="K81" s="17"/>
      <c r="L81" s="17">
        <f t="shared" si="14"/>
        <v>33.476999999999997</v>
      </c>
      <c r="M81" s="17"/>
      <c r="N81" s="17"/>
      <c r="O81" s="31"/>
      <c r="P81" s="17">
        <v>0</v>
      </c>
      <c r="Q81" s="17">
        <f>IFERROR(VLOOKUP(A81,[1]TDSheet!$A:$F,3,0),0)</f>
        <v>42.341999999999999</v>
      </c>
      <c r="R81" s="17">
        <f t="shared" si="15"/>
        <v>6.6953999999999994</v>
      </c>
      <c r="S81" s="19"/>
      <c r="T81" s="19"/>
      <c r="U81" s="17"/>
      <c r="V81" s="17">
        <f t="shared" si="16"/>
        <v>-1.2910356364070856</v>
      </c>
      <c r="W81" s="17">
        <f t="shared" si="17"/>
        <v>-1.2910356364070856</v>
      </c>
      <c r="X81" s="17">
        <v>11.3028</v>
      </c>
      <c r="Y81" s="17">
        <v>11.3172</v>
      </c>
      <c r="Z81" s="17">
        <v>5.9720000000000004</v>
      </c>
      <c r="AA81" s="17">
        <v>7.8287999999999993</v>
      </c>
      <c r="AB81" s="17">
        <v>4.6551999999999998</v>
      </c>
      <c r="AC81" s="17">
        <v>8.1468000000000007</v>
      </c>
      <c r="AD81" s="17">
        <v>12.829599999999999</v>
      </c>
      <c r="AE81" s="17">
        <v>8.9871999999999996</v>
      </c>
      <c r="AF81" s="17">
        <v>2.9371999999999998</v>
      </c>
      <c r="AG81" s="17">
        <v>10.805199999999999</v>
      </c>
      <c r="AH81" s="17"/>
      <c r="AI81" s="17"/>
      <c r="AJ81" s="1"/>
      <c r="AK81" s="1"/>
      <c r="AL81" s="1"/>
      <c r="AM81" s="1"/>
      <c r="AN81" s="1"/>
      <c r="AO81" s="1"/>
      <c r="AP81" s="1"/>
      <c r="AQ81" s="1"/>
      <c r="AR81" s="1"/>
      <c r="AS81" s="1"/>
      <c r="AT81" s="1"/>
      <c r="AU81" s="1"/>
      <c r="AV81" s="1"/>
      <c r="AW81" s="1"/>
      <c r="AX81" s="1"/>
      <c r="AY81" s="1"/>
      <c r="AZ81" s="1"/>
      <c r="BA81" s="1"/>
      <c r="BB81" s="1"/>
    </row>
    <row r="82" spans="1:54" x14ac:dyDescent="0.25">
      <c r="A82" s="1"/>
      <c r="B82" s="1"/>
      <c r="C82" s="1"/>
      <c r="D82" s="1"/>
      <c r="E82" s="1"/>
      <c r="F82" s="1"/>
      <c r="G82" s="1"/>
      <c r="H82" s="7"/>
      <c r="I82" s="1"/>
      <c r="J82" s="1"/>
      <c r="K82" s="1"/>
      <c r="L82" s="1"/>
      <c r="M82" s="1"/>
      <c r="N82" s="1"/>
      <c r="O82" s="26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1"/>
      <c r="AI82" s="1"/>
      <c r="AJ82" s="1"/>
      <c r="AK82" s="1"/>
      <c r="AL82" s="1"/>
      <c r="AM82" s="1"/>
      <c r="AN82" s="1"/>
      <c r="AO82" s="1"/>
      <c r="AP82" s="1"/>
      <c r="AQ82" s="1"/>
      <c r="AR82" s="1"/>
      <c r="AS82" s="1"/>
      <c r="AT82" s="1"/>
      <c r="AU82" s="1"/>
      <c r="AV82" s="1"/>
      <c r="AW82" s="1"/>
      <c r="AX82" s="1"/>
      <c r="AY82" s="1"/>
      <c r="AZ82" s="1"/>
      <c r="BA82" s="1"/>
      <c r="BB82" s="1"/>
    </row>
    <row r="83" spans="1:54" x14ac:dyDescent="0.25">
      <c r="A83" s="1"/>
      <c r="B83" s="1"/>
      <c r="C83" s="1"/>
      <c r="D83" s="1"/>
      <c r="E83" s="1"/>
      <c r="F83" s="1"/>
      <c r="G83" s="1"/>
      <c r="H83" s="7"/>
      <c r="I83" s="1"/>
      <c r="J83" s="1"/>
      <c r="K83" s="1"/>
      <c r="L83" s="1"/>
      <c r="M83" s="1"/>
      <c r="N83" s="1"/>
      <c r="O83" s="26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1"/>
      <c r="AI83" s="1"/>
      <c r="AJ83" s="1"/>
      <c r="AK83" s="1"/>
      <c r="AL83" s="1"/>
      <c r="AM83" s="1"/>
      <c r="AN83" s="1"/>
      <c r="AO83" s="1"/>
      <c r="AP83" s="1"/>
      <c r="AQ83" s="1"/>
      <c r="AR83" s="1"/>
      <c r="AS83" s="1"/>
      <c r="AT83" s="1"/>
      <c r="AU83" s="1"/>
      <c r="AV83" s="1"/>
      <c r="AW83" s="1"/>
      <c r="AX83" s="1"/>
      <c r="AY83" s="1"/>
      <c r="AZ83" s="1"/>
      <c r="BA83" s="1"/>
      <c r="BB83" s="1"/>
    </row>
    <row r="84" spans="1:54" x14ac:dyDescent="0.25">
      <c r="A84" s="1"/>
      <c r="B84" s="1"/>
      <c r="C84" s="1"/>
      <c r="D84" s="1"/>
      <c r="E84" s="1"/>
      <c r="F84" s="1"/>
      <c r="G84" s="1"/>
      <c r="H84" s="7"/>
      <c r="I84" s="1"/>
      <c r="J84" s="1"/>
      <c r="K84" s="1"/>
      <c r="L84" s="1"/>
      <c r="M84" s="1"/>
      <c r="N84" s="1"/>
      <c r="O84" s="26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1"/>
      <c r="AI84" s="1"/>
      <c r="AJ84" s="1"/>
      <c r="AK84" s="1"/>
      <c r="AL84" s="1"/>
      <c r="AM84" s="1"/>
      <c r="AN84" s="1"/>
      <c r="AO84" s="1"/>
      <c r="AP84" s="1"/>
      <c r="AQ84" s="1"/>
      <c r="AR84" s="1"/>
      <c r="AS84" s="1"/>
      <c r="AT84" s="1"/>
      <c r="AU84" s="1"/>
      <c r="AV84" s="1"/>
      <c r="AW84" s="1"/>
      <c r="AX84" s="1"/>
      <c r="AY84" s="1"/>
      <c r="AZ84" s="1"/>
      <c r="BA84" s="1"/>
      <c r="BB84" s="1"/>
    </row>
    <row r="85" spans="1:54" x14ac:dyDescent="0.25">
      <c r="A85" s="1"/>
      <c r="B85" s="1"/>
      <c r="C85" s="1"/>
      <c r="D85" s="1"/>
      <c r="E85" s="1"/>
      <c r="F85" s="1"/>
      <c r="G85" s="1"/>
      <c r="H85" s="7"/>
      <c r="I85" s="1"/>
      <c r="J85" s="1"/>
      <c r="K85" s="1"/>
      <c r="L85" s="1"/>
      <c r="M85" s="1"/>
      <c r="N85" s="1"/>
      <c r="O85" s="26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"/>
      <c r="AI85" s="1"/>
      <c r="AJ85" s="1"/>
      <c r="AK85" s="1"/>
      <c r="AL85" s="1"/>
      <c r="AM85" s="1"/>
      <c r="AN85" s="1"/>
      <c r="AO85" s="1"/>
      <c r="AP85" s="1"/>
      <c r="AQ85" s="1"/>
      <c r="AR85" s="1"/>
      <c r="AS85" s="1"/>
      <c r="AT85" s="1"/>
      <c r="AU85" s="1"/>
      <c r="AV85" s="1"/>
      <c r="AW85" s="1"/>
      <c r="AX85" s="1"/>
      <c r="AY85" s="1"/>
      <c r="AZ85" s="1"/>
      <c r="BA85" s="1"/>
      <c r="BB85" s="1"/>
    </row>
    <row r="86" spans="1:54" x14ac:dyDescent="0.25">
      <c r="A86" s="1"/>
      <c r="B86" s="1"/>
      <c r="C86" s="1"/>
      <c r="D86" s="1"/>
      <c r="E86" s="1"/>
      <c r="F86" s="1"/>
      <c r="G86" s="1"/>
      <c r="H86" s="7"/>
      <c r="I86" s="1"/>
      <c r="J86" s="1"/>
      <c r="K86" s="1"/>
      <c r="L86" s="1"/>
      <c r="M86" s="1"/>
      <c r="N86" s="1"/>
      <c r="O86" s="26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"/>
      <c r="AI86" s="1"/>
      <c r="AJ86" s="1"/>
      <c r="AK86" s="1"/>
      <c r="AL86" s="1"/>
      <c r="AM86" s="1"/>
      <c r="AN86" s="1"/>
      <c r="AO86" s="1"/>
      <c r="AP86" s="1"/>
      <c r="AQ86" s="1"/>
      <c r="AR86" s="1"/>
      <c r="AS86" s="1"/>
      <c r="AT86" s="1"/>
      <c r="AU86" s="1"/>
      <c r="AV86" s="1"/>
      <c r="AW86" s="1"/>
      <c r="AX86" s="1"/>
      <c r="AY86" s="1"/>
      <c r="AZ86" s="1"/>
      <c r="BA86" s="1"/>
      <c r="BB86" s="1"/>
    </row>
    <row r="87" spans="1:54" x14ac:dyDescent="0.25">
      <c r="A87" s="1"/>
      <c r="B87" s="1"/>
      <c r="C87" s="1"/>
      <c r="D87" s="1"/>
      <c r="E87" s="1"/>
      <c r="F87" s="1"/>
      <c r="G87" s="1"/>
      <c r="H87" s="7"/>
      <c r="I87" s="1"/>
      <c r="J87" s="1"/>
      <c r="K87" s="1"/>
      <c r="L87" s="1"/>
      <c r="M87" s="1"/>
      <c r="N87" s="1"/>
      <c r="O87" s="26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1"/>
      <c r="AI87" s="1"/>
      <c r="AJ87" s="1"/>
      <c r="AK87" s="1"/>
      <c r="AL87" s="1"/>
      <c r="AM87" s="1"/>
      <c r="AN87" s="1"/>
      <c r="AO87" s="1"/>
      <c r="AP87" s="1"/>
      <c r="AQ87" s="1"/>
      <c r="AR87" s="1"/>
      <c r="AS87" s="1"/>
      <c r="AT87" s="1"/>
      <c r="AU87" s="1"/>
      <c r="AV87" s="1"/>
      <c r="AW87" s="1"/>
      <c r="AX87" s="1"/>
      <c r="AY87" s="1"/>
      <c r="AZ87" s="1"/>
      <c r="BA87" s="1"/>
      <c r="BB87" s="1"/>
    </row>
    <row r="88" spans="1:54" x14ac:dyDescent="0.25">
      <c r="A88" s="1"/>
      <c r="B88" s="1"/>
      <c r="C88" s="1"/>
      <c r="D88" s="1"/>
      <c r="E88" s="1"/>
      <c r="F88" s="1"/>
      <c r="G88" s="1"/>
      <c r="H88" s="7"/>
      <c r="I88" s="1"/>
      <c r="J88" s="1"/>
      <c r="K88" s="1"/>
      <c r="L88" s="1"/>
      <c r="M88" s="1"/>
      <c r="N88" s="1"/>
      <c r="O88" s="26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1"/>
      <c r="AI88" s="1"/>
      <c r="AJ88" s="1"/>
      <c r="AK88" s="1"/>
      <c r="AL88" s="1"/>
      <c r="AM88" s="1"/>
      <c r="AN88" s="1"/>
      <c r="AO88" s="1"/>
      <c r="AP88" s="1"/>
      <c r="AQ88" s="1"/>
      <c r="AR88" s="1"/>
      <c r="AS88" s="1"/>
      <c r="AT88" s="1"/>
      <c r="AU88" s="1"/>
      <c r="AV88" s="1"/>
      <c r="AW88" s="1"/>
      <c r="AX88" s="1"/>
      <c r="AY88" s="1"/>
      <c r="AZ88" s="1"/>
      <c r="BA88" s="1"/>
      <c r="BB88" s="1"/>
    </row>
    <row r="89" spans="1:54" x14ac:dyDescent="0.25">
      <c r="A89" s="1"/>
      <c r="B89" s="1"/>
      <c r="C89" s="1"/>
      <c r="D89" s="1"/>
      <c r="E89" s="1"/>
      <c r="F89" s="1"/>
      <c r="G89" s="1"/>
      <c r="H89" s="7"/>
      <c r="I89" s="1"/>
      <c r="J89" s="1"/>
      <c r="K89" s="1"/>
      <c r="L89" s="1"/>
      <c r="M89" s="1"/>
      <c r="N89" s="1"/>
      <c r="O89" s="26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1"/>
      <c r="AJ89" s="1"/>
      <c r="AK89" s="1"/>
      <c r="AL89" s="1"/>
      <c r="AM89" s="1"/>
      <c r="AN89" s="1"/>
      <c r="AO89" s="1"/>
      <c r="AP89" s="1"/>
      <c r="AQ89" s="1"/>
      <c r="AR89" s="1"/>
      <c r="AS89" s="1"/>
      <c r="AT89" s="1"/>
      <c r="AU89" s="1"/>
      <c r="AV89" s="1"/>
      <c r="AW89" s="1"/>
      <c r="AX89" s="1"/>
      <c r="AY89" s="1"/>
      <c r="AZ89" s="1"/>
      <c r="BA89" s="1"/>
      <c r="BB89" s="1"/>
    </row>
    <row r="90" spans="1:54" x14ac:dyDescent="0.25">
      <c r="A90" s="1"/>
      <c r="B90" s="1"/>
      <c r="C90" s="1"/>
      <c r="D90" s="1"/>
      <c r="E90" s="1"/>
      <c r="F90" s="1"/>
      <c r="G90" s="1"/>
      <c r="H90" s="7"/>
      <c r="I90" s="1"/>
      <c r="J90" s="1"/>
      <c r="K90" s="1"/>
      <c r="L90" s="1"/>
      <c r="M90" s="1"/>
      <c r="N90" s="1"/>
      <c r="O90" s="26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1"/>
      <c r="AI90" s="1"/>
      <c r="AJ90" s="1"/>
      <c r="AK90" s="1"/>
      <c r="AL90" s="1"/>
      <c r="AM90" s="1"/>
      <c r="AN90" s="1"/>
      <c r="AO90" s="1"/>
      <c r="AP90" s="1"/>
      <c r="AQ90" s="1"/>
      <c r="AR90" s="1"/>
      <c r="AS90" s="1"/>
      <c r="AT90" s="1"/>
      <c r="AU90" s="1"/>
      <c r="AV90" s="1"/>
      <c r="AW90" s="1"/>
      <c r="AX90" s="1"/>
      <c r="AY90" s="1"/>
      <c r="AZ90" s="1"/>
      <c r="BA90" s="1"/>
      <c r="BB90" s="1"/>
    </row>
    <row r="91" spans="1:54" x14ac:dyDescent="0.25">
      <c r="A91" s="1"/>
      <c r="B91" s="1"/>
      <c r="C91" s="1"/>
      <c r="D91" s="1"/>
      <c r="E91" s="1"/>
      <c r="F91" s="1"/>
      <c r="G91" s="1"/>
      <c r="H91" s="7"/>
      <c r="I91" s="1"/>
      <c r="J91" s="1"/>
      <c r="K91" s="1"/>
      <c r="L91" s="1"/>
      <c r="M91" s="1"/>
      <c r="N91" s="1"/>
      <c r="O91" s="26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1"/>
      <c r="AI91" s="1"/>
      <c r="AJ91" s="1"/>
      <c r="AK91" s="1"/>
      <c r="AL91" s="1"/>
      <c r="AM91" s="1"/>
      <c r="AN91" s="1"/>
      <c r="AO91" s="1"/>
      <c r="AP91" s="1"/>
      <c r="AQ91" s="1"/>
      <c r="AR91" s="1"/>
      <c r="AS91" s="1"/>
      <c r="AT91" s="1"/>
      <c r="AU91" s="1"/>
      <c r="AV91" s="1"/>
      <c r="AW91" s="1"/>
      <c r="AX91" s="1"/>
      <c r="AY91" s="1"/>
      <c r="AZ91" s="1"/>
      <c r="BA91" s="1"/>
      <c r="BB91" s="1"/>
    </row>
    <row r="92" spans="1:54" x14ac:dyDescent="0.25">
      <c r="A92" s="1"/>
      <c r="B92" s="1"/>
      <c r="C92" s="1"/>
      <c r="D92" s="1"/>
      <c r="E92" s="1"/>
      <c r="F92" s="1"/>
      <c r="G92" s="1"/>
      <c r="H92" s="7"/>
      <c r="I92" s="1"/>
      <c r="J92" s="1"/>
      <c r="K92" s="1"/>
      <c r="L92" s="1"/>
      <c r="M92" s="1"/>
      <c r="N92" s="1"/>
      <c r="O92" s="26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1"/>
      <c r="AI92" s="1"/>
      <c r="AJ92" s="1"/>
      <c r="AK92" s="1"/>
      <c r="AL92" s="1"/>
      <c r="AM92" s="1"/>
      <c r="AN92" s="1"/>
      <c r="AO92" s="1"/>
      <c r="AP92" s="1"/>
      <c r="AQ92" s="1"/>
      <c r="AR92" s="1"/>
      <c r="AS92" s="1"/>
      <c r="AT92" s="1"/>
      <c r="AU92" s="1"/>
      <c r="AV92" s="1"/>
      <c r="AW92" s="1"/>
      <c r="AX92" s="1"/>
      <c r="AY92" s="1"/>
      <c r="AZ92" s="1"/>
      <c r="BA92" s="1"/>
      <c r="BB92" s="1"/>
    </row>
    <row r="93" spans="1:54" x14ac:dyDescent="0.25">
      <c r="A93" s="1"/>
      <c r="B93" s="1"/>
      <c r="C93" s="1"/>
      <c r="D93" s="1"/>
      <c r="E93" s="1"/>
      <c r="F93" s="1"/>
      <c r="G93" s="1"/>
      <c r="H93" s="7"/>
      <c r="I93" s="1"/>
      <c r="J93" s="1"/>
      <c r="K93" s="1"/>
      <c r="L93" s="1"/>
      <c r="M93" s="1"/>
      <c r="N93" s="1"/>
      <c r="O93" s="26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1"/>
      <c r="AI93" s="1"/>
      <c r="AJ93" s="1"/>
      <c r="AK93" s="1"/>
      <c r="AL93" s="1"/>
      <c r="AM93" s="1"/>
      <c r="AN93" s="1"/>
      <c r="AO93" s="1"/>
      <c r="AP93" s="1"/>
      <c r="AQ93" s="1"/>
      <c r="AR93" s="1"/>
      <c r="AS93" s="1"/>
      <c r="AT93" s="1"/>
      <c r="AU93" s="1"/>
      <c r="AV93" s="1"/>
      <c r="AW93" s="1"/>
      <c r="AX93" s="1"/>
      <c r="AY93" s="1"/>
      <c r="AZ93" s="1"/>
      <c r="BA93" s="1"/>
      <c r="BB93" s="1"/>
    </row>
    <row r="94" spans="1:54" x14ac:dyDescent="0.25">
      <c r="A94" s="1"/>
      <c r="B94" s="1"/>
      <c r="C94" s="1"/>
      <c r="D94" s="1"/>
      <c r="E94" s="1"/>
      <c r="F94" s="1"/>
      <c r="G94" s="1"/>
      <c r="H94" s="7"/>
      <c r="I94" s="1"/>
      <c r="J94" s="1"/>
      <c r="K94" s="1"/>
      <c r="L94" s="1"/>
      <c r="M94" s="1"/>
      <c r="N94" s="1"/>
      <c r="O94" s="26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1"/>
      <c r="AI94" s="1"/>
      <c r="AJ94" s="1"/>
      <c r="AK94" s="1"/>
      <c r="AL94" s="1"/>
      <c r="AM94" s="1"/>
      <c r="AN94" s="1"/>
      <c r="AO94" s="1"/>
      <c r="AP94" s="1"/>
      <c r="AQ94" s="1"/>
      <c r="AR94" s="1"/>
      <c r="AS94" s="1"/>
      <c r="AT94" s="1"/>
      <c r="AU94" s="1"/>
      <c r="AV94" s="1"/>
      <c r="AW94" s="1"/>
      <c r="AX94" s="1"/>
      <c r="AY94" s="1"/>
      <c r="AZ94" s="1"/>
      <c r="BA94" s="1"/>
      <c r="BB94" s="1"/>
    </row>
    <row r="95" spans="1:54" x14ac:dyDescent="0.25">
      <c r="A95" s="1"/>
      <c r="B95" s="1"/>
      <c r="C95" s="1"/>
      <c r="D95" s="1"/>
      <c r="E95" s="1"/>
      <c r="F95" s="1"/>
      <c r="G95" s="1"/>
      <c r="H95" s="7"/>
      <c r="I95" s="1"/>
      <c r="J95" s="1"/>
      <c r="K95" s="1"/>
      <c r="L95" s="1"/>
      <c r="M95" s="1"/>
      <c r="N95" s="1"/>
      <c r="O95" s="26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  <c r="AI95" s="1"/>
      <c r="AJ95" s="1"/>
      <c r="AK95" s="1"/>
      <c r="AL95" s="1"/>
      <c r="AM95" s="1"/>
      <c r="AN95" s="1"/>
      <c r="AO95" s="1"/>
      <c r="AP95" s="1"/>
      <c r="AQ95" s="1"/>
      <c r="AR95" s="1"/>
      <c r="AS95" s="1"/>
      <c r="AT95" s="1"/>
      <c r="AU95" s="1"/>
      <c r="AV95" s="1"/>
      <c r="AW95" s="1"/>
      <c r="AX95" s="1"/>
      <c r="AY95" s="1"/>
      <c r="AZ95" s="1"/>
      <c r="BA95" s="1"/>
      <c r="BB95" s="1"/>
    </row>
    <row r="96" spans="1:54" x14ac:dyDescent="0.25">
      <c r="A96" s="1"/>
      <c r="B96" s="1"/>
      <c r="C96" s="1"/>
      <c r="D96" s="1"/>
      <c r="E96" s="1"/>
      <c r="F96" s="1"/>
      <c r="G96" s="1"/>
      <c r="H96" s="7"/>
      <c r="I96" s="1"/>
      <c r="J96" s="1"/>
      <c r="K96" s="1"/>
      <c r="L96" s="1"/>
      <c r="M96" s="1"/>
      <c r="N96" s="1"/>
      <c r="O96" s="26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1"/>
      <c r="AJ96" s="1"/>
      <c r="AK96" s="1"/>
      <c r="AL96" s="1"/>
      <c r="AM96" s="1"/>
      <c r="AN96" s="1"/>
      <c r="AO96" s="1"/>
      <c r="AP96" s="1"/>
      <c r="AQ96" s="1"/>
      <c r="AR96" s="1"/>
      <c r="AS96" s="1"/>
      <c r="AT96" s="1"/>
      <c r="AU96" s="1"/>
      <c r="AV96" s="1"/>
      <c r="AW96" s="1"/>
      <c r="AX96" s="1"/>
      <c r="AY96" s="1"/>
      <c r="AZ96" s="1"/>
      <c r="BA96" s="1"/>
      <c r="BB96" s="1"/>
    </row>
    <row r="97" spans="1:54" x14ac:dyDescent="0.25">
      <c r="A97" s="1"/>
      <c r="B97" s="1"/>
      <c r="C97" s="1"/>
      <c r="D97" s="1"/>
      <c r="E97" s="1"/>
      <c r="F97" s="1"/>
      <c r="G97" s="1"/>
      <c r="H97" s="7"/>
      <c r="I97" s="1"/>
      <c r="J97" s="1"/>
      <c r="K97" s="1"/>
      <c r="L97" s="1"/>
      <c r="M97" s="1"/>
      <c r="N97" s="1"/>
      <c r="O97" s="26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  <c r="AJ97" s="1"/>
      <c r="AK97" s="1"/>
      <c r="AL97" s="1"/>
      <c r="AM97" s="1"/>
      <c r="AN97" s="1"/>
      <c r="AO97" s="1"/>
      <c r="AP97" s="1"/>
      <c r="AQ97" s="1"/>
      <c r="AR97" s="1"/>
      <c r="AS97" s="1"/>
      <c r="AT97" s="1"/>
      <c r="AU97" s="1"/>
      <c r="AV97" s="1"/>
      <c r="AW97" s="1"/>
      <c r="AX97" s="1"/>
      <c r="AY97" s="1"/>
      <c r="AZ97" s="1"/>
      <c r="BA97" s="1"/>
      <c r="BB97" s="1"/>
    </row>
    <row r="98" spans="1:54" x14ac:dyDescent="0.25">
      <c r="A98" s="1"/>
      <c r="B98" s="1"/>
      <c r="C98" s="1"/>
      <c r="D98" s="1"/>
      <c r="E98" s="1"/>
      <c r="F98" s="1"/>
      <c r="G98" s="1"/>
      <c r="H98" s="7"/>
      <c r="I98" s="1"/>
      <c r="J98" s="1"/>
      <c r="K98" s="1"/>
      <c r="L98" s="1"/>
      <c r="M98" s="1"/>
      <c r="N98" s="1"/>
      <c r="O98" s="26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  <c r="AJ98" s="1"/>
      <c r="AK98" s="1"/>
      <c r="AL98" s="1"/>
      <c r="AM98" s="1"/>
      <c r="AN98" s="1"/>
      <c r="AO98" s="1"/>
      <c r="AP98" s="1"/>
      <c r="AQ98" s="1"/>
      <c r="AR98" s="1"/>
      <c r="AS98" s="1"/>
      <c r="AT98" s="1"/>
      <c r="AU98" s="1"/>
      <c r="AV98" s="1"/>
      <c r="AW98" s="1"/>
      <c r="AX98" s="1"/>
      <c r="AY98" s="1"/>
      <c r="AZ98" s="1"/>
      <c r="BA98" s="1"/>
      <c r="BB98" s="1"/>
    </row>
    <row r="99" spans="1:54" x14ac:dyDescent="0.25">
      <c r="A99" s="1"/>
      <c r="B99" s="1"/>
      <c r="C99" s="1"/>
      <c r="D99" s="1"/>
      <c r="E99" s="1"/>
      <c r="F99" s="1"/>
      <c r="G99" s="1"/>
      <c r="H99" s="7"/>
      <c r="I99" s="1"/>
      <c r="J99" s="1"/>
      <c r="K99" s="1"/>
      <c r="L99" s="1"/>
      <c r="M99" s="1"/>
      <c r="N99" s="1"/>
      <c r="O99" s="26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"/>
      <c r="AL99" s="1"/>
      <c r="AM99" s="1"/>
      <c r="AN99" s="1"/>
      <c r="AO99" s="1"/>
      <c r="AP99" s="1"/>
      <c r="AQ99" s="1"/>
      <c r="AR99" s="1"/>
      <c r="AS99" s="1"/>
      <c r="AT99" s="1"/>
      <c r="AU99" s="1"/>
      <c r="AV99" s="1"/>
      <c r="AW99" s="1"/>
      <c r="AX99" s="1"/>
      <c r="AY99" s="1"/>
      <c r="AZ99" s="1"/>
      <c r="BA99" s="1"/>
      <c r="BB99" s="1"/>
    </row>
    <row r="100" spans="1:54" x14ac:dyDescent="0.25">
      <c r="A100" s="1"/>
      <c r="B100" s="1"/>
      <c r="C100" s="1"/>
      <c r="D100" s="1"/>
      <c r="E100" s="1"/>
      <c r="F100" s="1"/>
      <c r="G100" s="1"/>
      <c r="H100" s="7"/>
      <c r="I100" s="1"/>
      <c r="J100" s="1"/>
      <c r="K100" s="1"/>
      <c r="L100" s="1"/>
      <c r="M100" s="1"/>
      <c r="N100" s="1"/>
      <c r="O100" s="26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"/>
      <c r="AL100" s="1"/>
      <c r="AM100" s="1"/>
      <c r="AN100" s="1"/>
      <c r="AO100" s="1"/>
      <c r="AP100" s="1"/>
      <c r="AQ100" s="1"/>
      <c r="AR100" s="1"/>
      <c r="AS100" s="1"/>
      <c r="AT100" s="1"/>
      <c r="AU100" s="1"/>
      <c r="AV100" s="1"/>
      <c r="AW100" s="1"/>
      <c r="AX100" s="1"/>
      <c r="AY100" s="1"/>
      <c r="AZ100" s="1"/>
      <c r="BA100" s="1"/>
      <c r="BB100" s="1"/>
    </row>
    <row r="101" spans="1:54" x14ac:dyDescent="0.25">
      <c r="A101" s="1"/>
      <c r="B101" s="1"/>
      <c r="C101" s="1"/>
      <c r="D101" s="1"/>
      <c r="E101" s="1"/>
      <c r="F101" s="1"/>
      <c r="G101" s="1"/>
      <c r="H101" s="7"/>
      <c r="I101" s="1"/>
      <c r="J101" s="1"/>
      <c r="K101" s="1"/>
      <c r="L101" s="1"/>
      <c r="M101" s="1"/>
      <c r="N101" s="1"/>
      <c r="O101" s="26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  <c r="AL101" s="1"/>
      <c r="AM101" s="1"/>
      <c r="AN101" s="1"/>
      <c r="AO101" s="1"/>
      <c r="AP101" s="1"/>
      <c r="AQ101" s="1"/>
      <c r="AR101" s="1"/>
      <c r="AS101" s="1"/>
      <c r="AT101" s="1"/>
      <c r="AU101" s="1"/>
      <c r="AV101" s="1"/>
      <c r="AW101" s="1"/>
      <c r="AX101" s="1"/>
      <c r="AY101" s="1"/>
      <c r="AZ101" s="1"/>
      <c r="BA101" s="1"/>
      <c r="BB101" s="1"/>
    </row>
    <row r="102" spans="1:54" x14ac:dyDescent="0.25">
      <c r="A102" s="1"/>
      <c r="B102" s="1"/>
      <c r="C102" s="1"/>
      <c r="D102" s="1"/>
      <c r="E102" s="1"/>
      <c r="F102" s="1"/>
      <c r="G102" s="1"/>
      <c r="H102" s="7"/>
      <c r="I102" s="1"/>
      <c r="J102" s="1"/>
      <c r="K102" s="1"/>
      <c r="L102" s="1"/>
      <c r="M102" s="1"/>
      <c r="N102" s="1"/>
      <c r="O102" s="26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  <c r="AL102" s="1"/>
      <c r="AM102" s="1"/>
      <c r="AN102" s="1"/>
      <c r="AO102" s="1"/>
      <c r="AP102" s="1"/>
      <c r="AQ102" s="1"/>
      <c r="AR102" s="1"/>
      <c r="AS102" s="1"/>
      <c r="AT102" s="1"/>
      <c r="AU102" s="1"/>
      <c r="AV102" s="1"/>
      <c r="AW102" s="1"/>
      <c r="AX102" s="1"/>
      <c r="AY102" s="1"/>
      <c r="AZ102" s="1"/>
      <c r="BA102" s="1"/>
      <c r="BB102" s="1"/>
    </row>
    <row r="103" spans="1:54" x14ac:dyDescent="0.25">
      <c r="A103" s="1"/>
      <c r="B103" s="1"/>
      <c r="C103" s="1"/>
      <c r="D103" s="1"/>
      <c r="E103" s="1"/>
      <c r="F103" s="1"/>
      <c r="G103" s="1"/>
      <c r="H103" s="7"/>
      <c r="I103" s="1"/>
      <c r="J103" s="1"/>
      <c r="K103" s="1"/>
      <c r="L103" s="1"/>
      <c r="M103" s="1"/>
      <c r="N103" s="1"/>
      <c r="O103" s="26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  <c r="AL103" s="1"/>
      <c r="AM103" s="1"/>
      <c r="AN103" s="1"/>
      <c r="AO103" s="1"/>
      <c r="AP103" s="1"/>
      <c r="AQ103" s="1"/>
      <c r="AR103" s="1"/>
      <c r="AS103" s="1"/>
      <c r="AT103" s="1"/>
      <c r="AU103" s="1"/>
      <c r="AV103" s="1"/>
      <c r="AW103" s="1"/>
      <c r="AX103" s="1"/>
      <c r="AY103" s="1"/>
      <c r="AZ103" s="1"/>
      <c r="BA103" s="1"/>
      <c r="BB103" s="1"/>
    </row>
    <row r="104" spans="1:54" x14ac:dyDescent="0.25">
      <c r="A104" s="1"/>
      <c r="B104" s="1"/>
      <c r="C104" s="1"/>
      <c r="D104" s="1"/>
      <c r="E104" s="1"/>
      <c r="F104" s="1"/>
      <c r="G104" s="1"/>
      <c r="H104" s="7"/>
      <c r="I104" s="1"/>
      <c r="J104" s="1"/>
      <c r="K104" s="1"/>
      <c r="L104" s="1"/>
      <c r="M104" s="1"/>
      <c r="N104" s="1"/>
      <c r="O104" s="26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  <c r="AL104" s="1"/>
      <c r="AM104" s="1"/>
      <c r="AN104" s="1"/>
      <c r="AO104" s="1"/>
      <c r="AP104" s="1"/>
      <c r="AQ104" s="1"/>
      <c r="AR104" s="1"/>
      <c r="AS104" s="1"/>
      <c r="AT104" s="1"/>
      <c r="AU104" s="1"/>
      <c r="AV104" s="1"/>
      <c r="AW104" s="1"/>
      <c r="AX104" s="1"/>
      <c r="AY104" s="1"/>
      <c r="AZ104" s="1"/>
      <c r="BA104" s="1"/>
      <c r="BB104" s="1"/>
    </row>
    <row r="105" spans="1:54" x14ac:dyDescent="0.25">
      <c r="A105" s="1"/>
      <c r="B105" s="1"/>
      <c r="C105" s="1"/>
      <c r="D105" s="1"/>
      <c r="E105" s="1"/>
      <c r="F105" s="1"/>
      <c r="G105" s="1"/>
      <c r="H105" s="7"/>
      <c r="I105" s="1"/>
      <c r="J105" s="1"/>
      <c r="K105" s="1"/>
      <c r="L105" s="1"/>
      <c r="M105" s="1"/>
      <c r="N105" s="1"/>
      <c r="O105" s="26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  <c r="AL105" s="1"/>
      <c r="AM105" s="1"/>
      <c r="AN105" s="1"/>
      <c r="AO105" s="1"/>
      <c r="AP105" s="1"/>
      <c r="AQ105" s="1"/>
      <c r="AR105" s="1"/>
      <c r="AS105" s="1"/>
      <c r="AT105" s="1"/>
      <c r="AU105" s="1"/>
      <c r="AV105" s="1"/>
      <c r="AW105" s="1"/>
      <c r="AX105" s="1"/>
      <c r="AY105" s="1"/>
      <c r="AZ105" s="1"/>
      <c r="BA105" s="1"/>
      <c r="BB105" s="1"/>
    </row>
    <row r="106" spans="1:54" x14ac:dyDescent="0.25">
      <c r="A106" s="1"/>
      <c r="B106" s="1"/>
      <c r="C106" s="1"/>
      <c r="D106" s="1"/>
      <c r="E106" s="1"/>
      <c r="F106" s="1"/>
      <c r="G106" s="1"/>
      <c r="H106" s="7"/>
      <c r="I106" s="1"/>
      <c r="J106" s="1"/>
      <c r="K106" s="1"/>
      <c r="L106" s="1"/>
      <c r="M106" s="1"/>
      <c r="N106" s="1"/>
      <c r="O106" s="26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AK106" s="1"/>
      <c r="AL106" s="1"/>
      <c r="AM106" s="1"/>
      <c r="AN106" s="1"/>
      <c r="AO106" s="1"/>
      <c r="AP106" s="1"/>
      <c r="AQ106" s="1"/>
      <c r="AR106" s="1"/>
      <c r="AS106" s="1"/>
      <c r="AT106" s="1"/>
      <c r="AU106" s="1"/>
      <c r="AV106" s="1"/>
      <c r="AW106" s="1"/>
      <c r="AX106" s="1"/>
      <c r="AY106" s="1"/>
      <c r="AZ106" s="1"/>
      <c r="BA106" s="1"/>
      <c r="BB106" s="1"/>
    </row>
    <row r="107" spans="1:54" x14ac:dyDescent="0.25">
      <c r="A107" s="1"/>
      <c r="B107" s="1"/>
      <c r="C107" s="1"/>
      <c r="D107" s="1"/>
      <c r="E107" s="1"/>
      <c r="F107" s="1"/>
      <c r="G107" s="1"/>
      <c r="H107" s="7"/>
      <c r="I107" s="1"/>
      <c r="J107" s="1"/>
      <c r="K107" s="1"/>
      <c r="L107" s="1"/>
      <c r="M107" s="1"/>
      <c r="N107" s="1"/>
      <c r="O107" s="26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  <c r="AL107" s="1"/>
      <c r="AM107" s="1"/>
      <c r="AN107" s="1"/>
      <c r="AO107" s="1"/>
      <c r="AP107" s="1"/>
      <c r="AQ107" s="1"/>
      <c r="AR107" s="1"/>
      <c r="AS107" s="1"/>
      <c r="AT107" s="1"/>
      <c r="AU107" s="1"/>
      <c r="AV107" s="1"/>
      <c r="AW107" s="1"/>
      <c r="AX107" s="1"/>
      <c r="AY107" s="1"/>
      <c r="AZ107" s="1"/>
      <c r="BA107" s="1"/>
      <c r="BB107" s="1"/>
    </row>
    <row r="108" spans="1:54" x14ac:dyDescent="0.25">
      <c r="A108" s="1"/>
      <c r="B108" s="1"/>
      <c r="C108" s="1"/>
      <c r="D108" s="1"/>
      <c r="E108" s="1"/>
      <c r="F108" s="1"/>
      <c r="G108" s="1"/>
      <c r="H108" s="7"/>
      <c r="I108" s="1"/>
      <c r="J108" s="1"/>
      <c r="K108" s="1"/>
      <c r="L108" s="1"/>
      <c r="M108" s="1"/>
      <c r="N108" s="1"/>
      <c r="O108" s="26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  <c r="AL108" s="1"/>
      <c r="AM108" s="1"/>
      <c r="AN108" s="1"/>
      <c r="AO108" s="1"/>
      <c r="AP108" s="1"/>
      <c r="AQ108" s="1"/>
      <c r="AR108" s="1"/>
      <c r="AS108" s="1"/>
      <c r="AT108" s="1"/>
      <c r="AU108" s="1"/>
      <c r="AV108" s="1"/>
      <c r="AW108" s="1"/>
      <c r="AX108" s="1"/>
      <c r="AY108" s="1"/>
      <c r="AZ108" s="1"/>
      <c r="BA108" s="1"/>
      <c r="BB108" s="1"/>
    </row>
    <row r="109" spans="1:54" x14ac:dyDescent="0.25">
      <c r="A109" s="1"/>
      <c r="B109" s="1"/>
      <c r="C109" s="1"/>
      <c r="D109" s="1"/>
      <c r="E109" s="1"/>
      <c r="F109" s="1"/>
      <c r="G109" s="1"/>
      <c r="H109" s="7"/>
      <c r="I109" s="1"/>
      <c r="J109" s="1"/>
      <c r="K109" s="1"/>
      <c r="L109" s="1"/>
      <c r="M109" s="1"/>
      <c r="N109" s="1"/>
      <c r="O109" s="26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  <c r="AL109" s="1"/>
      <c r="AM109" s="1"/>
      <c r="AN109" s="1"/>
      <c r="AO109" s="1"/>
      <c r="AP109" s="1"/>
      <c r="AQ109" s="1"/>
      <c r="AR109" s="1"/>
      <c r="AS109" s="1"/>
      <c r="AT109" s="1"/>
      <c r="AU109" s="1"/>
      <c r="AV109" s="1"/>
      <c r="AW109" s="1"/>
      <c r="AX109" s="1"/>
      <c r="AY109" s="1"/>
      <c r="AZ109" s="1"/>
      <c r="BA109" s="1"/>
      <c r="BB109" s="1"/>
    </row>
    <row r="110" spans="1:54" x14ac:dyDescent="0.25">
      <c r="A110" s="1"/>
      <c r="B110" s="1"/>
      <c r="C110" s="1"/>
      <c r="D110" s="1"/>
      <c r="E110" s="1"/>
      <c r="F110" s="1"/>
      <c r="G110" s="1"/>
      <c r="H110" s="7"/>
      <c r="I110" s="1"/>
      <c r="J110" s="1"/>
      <c r="K110" s="1"/>
      <c r="L110" s="1"/>
      <c r="M110" s="1"/>
      <c r="N110" s="1"/>
      <c r="O110" s="26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  <c r="AL110" s="1"/>
      <c r="AM110" s="1"/>
      <c r="AN110" s="1"/>
      <c r="AO110" s="1"/>
      <c r="AP110" s="1"/>
      <c r="AQ110" s="1"/>
      <c r="AR110" s="1"/>
      <c r="AS110" s="1"/>
      <c r="AT110" s="1"/>
      <c r="AU110" s="1"/>
      <c r="AV110" s="1"/>
      <c r="AW110" s="1"/>
      <c r="AX110" s="1"/>
      <c r="AY110" s="1"/>
      <c r="AZ110" s="1"/>
      <c r="BA110" s="1"/>
      <c r="BB110" s="1"/>
    </row>
    <row r="111" spans="1:54" x14ac:dyDescent="0.25">
      <c r="A111" s="1"/>
      <c r="B111" s="1"/>
      <c r="C111" s="1"/>
      <c r="D111" s="1"/>
      <c r="E111" s="1"/>
      <c r="F111" s="1"/>
      <c r="G111" s="1"/>
      <c r="H111" s="7"/>
      <c r="I111" s="1"/>
      <c r="J111" s="1"/>
      <c r="K111" s="1"/>
      <c r="L111" s="1"/>
      <c r="M111" s="1"/>
      <c r="N111" s="1"/>
      <c r="O111" s="26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  <c r="AL111" s="1"/>
      <c r="AM111" s="1"/>
      <c r="AN111" s="1"/>
      <c r="AO111" s="1"/>
      <c r="AP111" s="1"/>
      <c r="AQ111" s="1"/>
      <c r="AR111" s="1"/>
      <c r="AS111" s="1"/>
      <c r="AT111" s="1"/>
      <c r="AU111" s="1"/>
      <c r="AV111" s="1"/>
      <c r="AW111" s="1"/>
      <c r="AX111" s="1"/>
      <c r="AY111" s="1"/>
      <c r="AZ111" s="1"/>
      <c r="BA111" s="1"/>
      <c r="BB111" s="1"/>
    </row>
    <row r="112" spans="1:54" x14ac:dyDescent="0.25">
      <c r="A112" s="1"/>
      <c r="B112" s="1"/>
      <c r="C112" s="1"/>
      <c r="D112" s="1"/>
      <c r="E112" s="1"/>
      <c r="F112" s="1"/>
      <c r="G112" s="1"/>
      <c r="H112" s="7"/>
      <c r="I112" s="1"/>
      <c r="J112" s="1"/>
      <c r="K112" s="1"/>
      <c r="L112" s="1"/>
      <c r="M112" s="1"/>
      <c r="N112" s="1"/>
      <c r="O112" s="26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  <c r="AL112" s="1"/>
      <c r="AM112" s="1"/>
      <c r="AN112" s="1"/>
      <c r="AO112" s="1"/>
      <c r="AP112" s="1"/>
      <c r="AQ112" s="1"/>
      <c r="AR112" s="1"/>
      <c r="AS112" s="1"/>
      <c r="AT112" s="1"/>
      <c r="AU112" s="1"/>
      <c r="AV112" s="1"/>
      <c r="AW112" s="1"/>
      <c r="AX112" s="1"/>
      <c r="AY112" s="1"/>
      <c r="AZ112" s="1"/>
      <c r="BA112" s="1"/>
      <c r="BB112" s="1"/>
    </row>
    <row r="113" spans="1:54" x14ac:dyDescent="0.25">
      <c r="A113" s="1"/>
      <c r="B113" s="1"/>
      <c r="C113" s="1"/>
      <c r="D113" s="1"/>
      <c r="E113" s="1"/>
      <c r="F113" s="1"/>
      <c r="G113" s="1"/>
      <c r="H113" s="7"/>
      <c r="I113" s="1"/>
      <c r="J113" s="1"/>
      <c r="K113" s="1"/>
      <c r="L113" s="1"/>
      <c r="M113" s="1"/>
      <c r="N113" s="1"/>
      <c r="O113" s="26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  <c r="AL113" s="1"/>
      <c r="AM113" s="1"/>
      <c r="AN113" s="1"/>
      <c r="AO113" s="1"/>
      <c r="AP113" s="1"/>
      <c r="AQ113" s="1"/>
      <c r="AR113" s="1"/>
      <c r="AS113" s="1"/>
      <c r="AT113" s="1"/>
      <c r="AU113" s="1"/>
      <c r="AV113" s="1"/>
      <c r="AW113" s="1"/>
      <c r="AX113" s="1"/>
      <c r="AY113" s="1"/>
      <c r="AZ113" s="1"/>
      <c r="BA113" s="1"/>
      <c r="BB113" s="1"/>
    </row>
    <row r="114" spans="1:54" x14ac:dyDescent="0.25">
      <c r="A114" s="1"/>
      <c r="B114" s="1"/>
      <c r="C114" s="1"/>
      <c r="D114" s="1"/>
      <c r="E114" s="1"/>
      <c r="F114" s="1"/>
      <c r="G114" s="1"/>
      <c r="H114" s="7"/>
      <c r="I114" s="1"/>
      <c r="J114" s="1"/>
      <c r="K114" s="1"/>
      <c r="L114" s="1"/>
      <c r="M114" s="1"/>
      <c r="N114" s="1"/>
      <c r="O114" s="26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  <c r="AL114" s="1"/>
      <c r="AM114" s="1"/>
      <c r="AN114" s="1"/>
      <c r="AO114" s="1"/>
      <c r="AP114" s="1"/>
      <c r="AQ114" s="1"/>
      <c r="AR114" s="1"/>
      <c r="AS114" s="1"/>
      <c r="AT114" s="1"/>
      <c r="AU114" s="1"/>
      <c r="AV114" s="1"/>
      <c r="AW114" s="1"/>
      <c r="AX114" s="1"/>
      <c r="AY114" s="1"/>
      <c r="AZ114" s="1"/>
      <c r="BA114" s="1"/>
      <c r="BB114" s="1"/>
    </row>
    <row r="115" spans="1:54" x14ac:dyDescent="0.25">
      <c r="A115" s="1"/>
      <c r="B115" s="1"/>
      <c r="C115" s="1"/>
      <c r="D115" s="1"/>
      <c r="E115" s="1"/>
      <c r="F115" s="1"/>
      <c r="G115" s="1"/>
      <c r="H115" s="7"/>
      <c r="I115" s="1"/>
      <c r="J115" s="1"/>
      <c r="K115" s="1"/>
      <c r="L115" s="1"/>
      <c r="M115" s="1"/>
      <c r="N115" s="1"/>
      <c r="O115" s="26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  <c r="AL115" s="1"/>
      <c r="AM115" s="1"/>
      <c r="AN115" s="1"/>
      <c r="AO115" s="1"/>
      <c r="AP115" s="1"/>
      <c r="AQ115" s="1"/>
      <c r="AR115" s="1"/>
      <c r="AS115" s="1"/>
      <c r="AT115" s="1"/>
      <c r="AU115" s="1"/>
      <c r="AV115" s="1"/>
      <c r="AW115" s="1"/>
      <c r="AX115" s="1"/>
      <c r="AY115" s="1"/>
      <c r="AZ115" s="1"/>
      <c r="BA115" s="1"/>
      <c r="BB115" s="1"/>
    </row>
    <row r="116" spans="1:54" x14ac:dyDescent="0.25">
      <c r="A116" s="1"/>
      <c r="B116" s="1"/>
      <c r="C116" s="1"/>
      <c r="D116" s="1"/>
      <c r="E116" s="1"/>
      <c r="F116" s="1"/>
      <c r="G116" s="1"/>
      <c r="H116" s="7"/>
      <c r="I116" s="1"/>
      <c r="J116" s="1"/>
      <c r="K116" s="1"/>
      <c r="L116" s="1"/>
      <c r="M116" s="1"/>
      <c r="N116" s="1"/>
      <c r="O116" s="26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  <c r="AL116" s="1"/>
      <c r="AM116" s="1"/>
      <c r="AN116" s="1"/>
      <c r="AO116" s="1"/>
      <c r="AP116" s="1"/>
      <c r="AQ116" s="1"/>
      <c r="AR116" s="1"/>
      <c r="AS116" s="1"/>
      <c r="AT116" s="1"/>
      <c r="AU116" s="1"/>
      <c r="AV116" s="1"/>
      <c r="AW116" s="1"/>
      <c r="AX116" s="1"/>
      <c r="AY116" s="1"/>
      <c r="AZ116" s="1"/>
      <c r="BA116" s="1"/>
      <c r="BB116" s="1"/>
    </row>
    <row r="117" spans="1:54" x14ac:dyDescent="0.25">
      <c r="A117" s="1"/>
      <c r="B117" s="1"/>
      <c r="C117" s="1"/>
      <c r="D117" s="1"/>
      <c r="E117" s="1"/>
      <c r="F117" s="1"/>
      <c r="G117" s="1"/>
      <c r="H117" s="7"/>
      <c r="I117" s="1"/>
      <c r="J117" s="1"/>
      <c r="K117" s="1"/>
      <c r="L117" s="1"/>
      <c r="M117" s="1"/>
      <c r="N117" s="1"/>
      <c r="O117" s="26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  <c r="AL117" s="1"/>
      <c r="AM117" s="1"/>
      <c r="AN117" s="1"/>
      <c r="AO117" s="1"/>
      <c r="AP117" s="1"/>
      <c r="AQ117" s="1"/>
      <c r="AR117" s="1"/>
      <c r="AS117" s="1"/>
      <c r="AT117" s="1"/>
      <c r="AU117" s="1"/>
      <c r="AV117" s="1"/>
      <c r="AW117" s="1"/>
      <c r="AX117" s="1"/>
      <c r="AY117" s="1"/>
      <c r="AZ117" s="1"/>
      <c r="BA117" s="1"/>
      <c r="BB117" s="1"/>
    </row>
    <row r="118" spans="1:54" x14ac:dyDescent="0.25">
      <c r="A118" s="1"/>
      <c r="B118" s="1"/>
      <c r="C118" s="1"/>
      <c r="D118" s="1"/>
      <c r="E118" s="1"/>
      <c r="F118" s="1"/>
      <c r="G118" s="1"/>
      <c r="H118" s="7"/>
      <c r="I118" s="1"/>
      <c r="J118" s="1"/>
      <c r="K118" s="1"/>
      <c r="L118" s="1"/>
      <c r="M118" s="1"/>
      <c r="N118" s="1"/>
      <c r="O118" s="26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  <c r="AL118" s="1"/>
      <c r="AM118" s="1"/>
      <c r="AN118" s="1"/>
      <c r="AO118" s="1"/>
      <c r="AP118" s="1"/>
      <c r="AQ118" s="1"/>
      <c r="AR118" s="1"/>
      <c r="AS118" s="1"/>
      <c r="AT118" s="1"/>
      <c r="AU118" s="1"/>
      <c r="AV118" s="1"/>
      <c r="AW118" s="1"/>
      <c r="AX118" s="1"/>
      <c r="AY118" s="1"/>
      <c r="AZ118" s="1"/>
      <c r="BA118" s="1"/>
      <c r="BB118" s="1"/>
    </row>
    <row r="119" spans="1:54" x14ac:dyDescent="0.25">
      <c r="A119" s="1"/>
      <c r="B119" s="1"/>
      <c r="C119" s="1"/>
      <c r="D119" s="1"/>
      <c r="E119" s="1"/>
      <c r="F119" s="1"/>
      <c r="G119" s="1"/>
      <c r="H119" s="7"/>
      <c r="I119" s="1"/>
      <c r="J119" s="1"/>
      <c r="K119" s="1"/>
      <c r="L119" s="1"/>
      <c r="M119" s="1"/>
      <c r="N119" s="1"/>
      <c r="O119" s="26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  <c r="AL119" s="1"/>
      <c r="AM119" s="1"/>
      <c r="AN119" s="1"/>
      <c r="AO119" s="1"/>
      <c r="AP119" s="1"/>
      <c r="AQ119" s="1"/>
      <c r="AR119" s="1"/>
      <c r="AS119" s="1"/>
      <c r="AT119" s="1"/>
      <c r="AU119" s="1"/>
      <c r="AV119" s="1"/>
      <c r="AW119" s="1"/>
      <c r="AX119" s="1"/>
      <c r="AY119" s="1"/>
      <c r="AZ119" s="1"/>
      <c r="BA119" s="1"/>
      <c r="BB119" s="1"/>
    </row>
    <row r="120" spans="1:54" x14ac:dyDescent="0.25">
      <c r="A120" s="1"/>
      <c r="B120" s="1"/>
      <c r="C120" s="1"/>
      <c r="D120" s="1"/>
      <c r="E120" s="1"/>
      <c r="F120" s="1"/>
      <c r="G120" s="1"/>
      <c r="H120" s="7"/>
      <c r="I120" s="1"/>
      <c r="J120" s="1"/>
      <c r="K120" s="1"/>
      <c r="L120" s="1"/>
      <c r="M120" s="1"/>
      <c r="N120" s="1"/>
      <c r="O120" s="26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  <c r="AL120" s="1"/>
      <c r="AM120" s="1"/>
      <c r="AN120" s="1"/>
      <c r="AO120" s="1"/>
      <c r="AP120" s="1"/>
      <c r="AQ120" s="1"/>
      <c r="AR120" s="1"/>
      <c r="AS120" s="1"/>
      <c r="AT120" s="1"/>
      <c r="AU120" s="1"/>
      <c r="AV120" s="1"/>
      <c r="AW120" s="1"/>
      <c r="AX120" s="1"/>
      <c r="AY120" s="1"/>
      <c r="AZ120" s="1"/>
      <c r="BA120" s="1"/>
      <c r="BB120" s="1"/>
    </row>
    <row r="121" spans="1:54" x14ac:dyDescent="0.25">
      <c r="A121" s="1"/>
      <c r="B121" s="1"/>
      <c r="C121" s="1"/>
      <c r="D121" s="1"/>
      <c r="E121" s="1"/>
      <c r="F121" s="1"/>
      <c r="G121" s="1"/>
      <c r="H121" s="7"/>
      <c r="I121" s="1"/>
      <c r="J121" s="1"/>
      <c r="K121" s="1"/>
      <c r="L121" s="1"/>
      <c r="M121" s="1"/>
      <c r="N121" s="1"/>
      <c r="O121" s="26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  <c r="AL121" s="1"/>
      <c r="AM121" s="1"/>
      <c r="AN121" s="1"/>
      <c r="AO121" s="1"/>
      <c r="AP121" s="1"/>
      <c r="AQ121" s="1"/>
      <c r="AR121" s="1"/>
      <c r="AS121" s="1"/>
      <c r="AT121" s="1"/>
      <c r="AU121" s="1"/>
      <c r="AV121" s="1"/>
      <c r="AW121" s="1"/>
      <c r="AX121" s="1"/>
      <c r="AY121" s="1"/>
      <c r="AZ121" s="1"/>
      <c r="BA121" s="1"/>
      <c r="BB121" s="1"/>
    </row>
    <row r="122" spans="1:54" x14ac:dyDescent="0.25">
      <c r="A122" s="1"/>
      <c r="B122" s="1"/>
      <c r="C122" s="1"/>
      <c r="D122" s="1"/>
      <c r="E122" s="1"/>
      <c r="F122" s="1"/>
      <c r="G122" s="1"/>
      <c r="H122" s="7"/>
      <c r="I122" s="1"/>
      <c r="J122" s="1"/>
      <c r="K122" s="1"/>
      <c r="L122" s="1"/>
      <c r="M122" s="1"/>
      <c r="N122" s="1"/>
      <c r="O122" s="26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  <c r="AL122" s="1"/>
      <c r="AM122" s="1"/>
      <c r="AN122" s="1"/>
      <c r="AO122" s="1"/>
      <c r="AP122" s="1"/>
      <c r="AQ122" s="1"/>
      <c r="AR122" s="1"/>
      <c r="AS122" s="1"/>
      <c r="AT122" s="1"/>
      <c r="AU122" s="1"/>
      <c r="AV122" s="1"/>
      <c r="AW122" s="1"/>
      <c r="AX122" s="1"/>
      <c r="AY122" s="1"/>
      <c r="AZ122" s="1"/>
      <c r="BA122" s="1"/>
      <c r="BB122" s="1"/>
    </row>
    <row r="123" spans="1:54" x14ac:dyDescent="0.25">
      <c r="A123" s="1"/>
      <c r="B123" s="1"/>
      <c r="C123" s="1"/>
      <c r="D123" s="1"/>
      <c r="E123" s="1"/>
      <c r="F123" s="1"/>
      <c r="G123" s="1"/>
      <c r="H123" s="7"/>
      <c r="I123" s="1"/>
      <c r="J123" s="1"/>
      <c r="K123" s="1"/>
      <c r="L123" s="1"/>
      <c r="M123" s="1"/>
      <c r="N123" s="1"/>
      <c r="O123" s="26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  <c r="AL123" s="1"/>
      <c r="AM123" s="1"/>
      <c r="AN123" s="1"/>
      <c r="AO123" s="1"/>
      <c r="AP123" s="1"/>
      <c r="AQ123" s="1"/>
      <c r="AR123" s="1"/>
      <c r="AS123" s="1"/>
      <c r="AT123" s="1"/>
      <c r="AU123" s="1"/>
      <c r="AV123" s="1"/>
      <c r="AW123" s="1"/>
      <c r="AX123" s="1"/>
      <c r="AY123" s="1"/>
      <c r="AZ123" s="1"/>
      <c r="BA123" s="1"/>
      <c r="BB123" s="1"/>
    </row>
    <row r="124" spans="1:54" x14ac:dyDescent="0.25">
      <c r="A124" s="1"/>
      <c r="B124" s="1"/>
      <c r="C124" s="1"/>
      <c r="D124" s="1"/>
      <c r="E124" s="1"/>
      <c r="F124" s="1"/>
      <c r="G124" s="1"/>
      <c r="H124" s="7"/>
      <c r="I124" s="1"/>
      <c r="J124" s="1"/>
      <c r="K124" s="1"/>
      <c r="L124" s="1"/>
      <c r="M124" s="1"/>
      <c r="N124" s="1"/>
      <c r="O124" s="26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  <c r="AL124" s="1"/>
      <c r="AM124" s="1"/>
      <c r="AN124" s="1"/>
      <c r="AO124" s="1"/>
      <c r="AP124" s="1"/>
      <c r="AQ124" s="1"/>
      <c r="AR124" s="1"/>
      <c r="AS124" s="1"/>
      <c r="AT124" s="1"/>
      <c r="AU124" s="1"/>
      <c r="AV124" s="1"/>
      <c r="AW124" s="1"/>
      <c r="AX124" s="1"/>
      <c r="AY124" s="1"/>
      <c r="AZ124" s="1"/>
      <c r="BA124" s="1"/>
      <c r="BB124" s="1"/>
    </row>
    <row r="125" spans="1:54" x14ac:dyDescent="0.25">
      <c r="A125" s="1"/>
      <c r="B125" s="1"/>
      <c r="C125" s="1"/>
      <c r="D125" s="1"/>
      <c r="E125" s="1"/>
      <c r="F125" s="1"/>
      <c r="G125" s="1"/>
      <c r="H125" s="7"/>
      <c r="I125" s="1"/>
      <c r="J125" s="1"/>
      <c r="K125" s="1"/>
      <c r="L125" s="1"/>
      <c r="M125" s="1"/>
      <c r="N125" s="1"/>
      <c r="O125" s="26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  <c r="AL125" s="1"/>
      <c r="AM125" s="1"/>
      <c r="AN125" s="1"/>
      <c r="AO125" s="1"/>
      <c r="AP125" s="1"/>
      <c r="AQ125" s="1"/>
      <c r="AR125" s="1"/>
      <c r="AS125" s="1"/>
      <c r="AT125" s="1"/>
      <c r="AU125" s="1"/>
      <c r="AV125" s="1"/>
      <c r="AW125" s="1"/>
      <c r="AX125" s="1"/>
      <c r="AY125" s="1"/>
      <c r="AZ125" s="1"/>
      <c r="BA125" s="1"/>
      <c r="BB125" s="1"/>
    </row>
    <row r="126" spans="1:54" x14ac:dyDescent="0.25">
      <c r="A126" s="1"/>
      <c r="B126" s="1"/>
      <c r="C126" s="1"/>
      <c r="D126" s="1"/>
      <c r="E126" s="1"/>
      <c r="F126" s="1"/>
      <c r="G126" s="1"/>
      <c r="H126" s="7"/>
      <c r="I126" s="1"/>
      <c r="J126" s="1"/>
      <c r="K126" s="1"/>
      <c r="L126" s="1"/>
      <c r="M126" s="1"/>
      <c r="N126" s="1"/>
      <c r="O126" s="26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  <c r="AL126" s="1"/>
      <c r="AM126" s="1"/>
      <c r="AN126" s="1"/>
      <c r="AO126" s="1"/>
      <c r="AP126" s="1"/>
      <c r="AQ126" s="1"/>
      <c r="AR126" s="1"/>
      <c r="AS126" s="1"/>
      <c r="AT126" s="1"/>
      <c r="AU126" s="1"/>
      <c r="AV126" s="1"/>
      <c r="AW126" s="1"/>
      <c r="AX126" s="1"/>
      <c r="AY126" s="1"/>
      <c r="AZ126" s="1"/>
      <c r="BA126" s="1"/>
      <c r="BB126" s="1"/>
    </row>
    <row r="127" spans="1:54" x14ac:dyDescent="0.25">
      <c r="A127" s="1"/>
      <c r="B127" s="1"/>
      <c r="C127" s="1"/>
      <c r="D127" s="1"/>
      <c r="E127" s="1"/>
      <c r="F127" s="1"/>
      <c r="G127" s="1"/>
      <c r="H127" s="7"/>
      <c r="I127" s="1"/>
      <c r="J127" s="1"/>
      <c r="K127" s="1"/>
      <c r="L127" s="1"/>
      <c r="M127" s="1"/>
      <c r="N127" s="1"/>
      <c r="O127" s="26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  <c r="AL127" s="1"/>
      <c r="AM127" s="1"/>
      <c r="AN127" s="1"/>
      <c r="AO127" s="1"/>
      <c r="AP127" s="1"/>
      <c r="AQ127" s="1"/>
      <c r="AR127" s="1"/>
      <c r="AS127" s="1"/>
      <c r="AT127" s="1"/>
      <c r="AU127" s="1"/>
      <c r="AV127" s="1"/>
      <c r="AW127" s="1"/>
      <c r="AX127" s="1"/>
      <c r="AY127" s="1"/>
      <c r="AZ127" s="1"/>
      <c r="BA127" s="1"/>
      <c r="BB127" s="1"/>
    </row>
    <row r="128" spans="1:54" x14ac:dyDescent="0.25">
      <c r="A128" s="1"/>
      <c r="B128" s="1"/>
      <c r="C128" s="1"/>
      <c r="D128" s="1"/>
      <c r="E128" s="1"/>
      <c r="F128" s="1"/>
      <c r="G128" s="1"/>
      <c r="H128" s="7"/>
      <c r="I128" s="1"/>
      <c r="J128" s="1"/>
      <c r="K128" s="1"/>
      <c r="L128" s="1"/>
      <c r="M128" s="1"/>
      <c r="N128" s="1"/>
      <c r="O128" s="26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  <c r="AL128" s="1"/>
      <c r="AM128" s="1"/>
      <c r="AN128" s="1"/>
      <c r="AO128" s="1"/>
      <c r="AP128" s="1"/>
      <c r="AQ128" s="1"/>
      <c r="AR128" s="1"/>
      <c r="AS128" s="1"/>
      <c r="AT128" s="1"/>
      <c r="AU128" s="1"/>
      <c r="AV128" s="1"/>
      <c r="AW128" s="1"/>
      <c r="AX128" s="1"/>
      <c r="AY128" s="1"/>
      <c r="AZ128" s="1"/>
      <c r="BA128" s="1"/>
      <c r="BB128" s="1"/>
    </row>
    <row r="129" spans="1:54" x14ac:dyDescent="0.25">
      <c r="A129" s="1"/>
      <c r="B129" s="1"/>
      <c r="C129" s="1"/>
      <c r="D129" s="1"/>
      <c r="E129" s="1"/>
      <c r="F129" s="1"/>
      <c r="G129" s="1"/>
      <c r="H129" s="7"/>
      <c r="I129" s="1"/>
      <c r="J129" s="1"/>
      <c r="K129" s="1"/>
      <c r="L129" s="1"/>
      <c r="M129" s="1"/>
      <c r="N129" s="1"/>
      <c r="O129" s="26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  <c r="AL129" s="1"/>
      <c r="AM129" s="1"/>
      <c r="AN129" s="1"/>
      <c r="AO129" s="1"/>
      <c r="AP129" s="1"/>
      <c r="AQ129" s="1"/>
      <c r="AR129" s="1"/>
      <c r="AS129" s="1"/>
      <c r="AT129" s="1"/>
      <c r="AU129" s="1"/>
      <c r="AV129" s="1"/>
      <c r="AW129" s="1"/>
      <c r="AX129" s="1"/>
      <c r="AY129" s="1"/>
      <c r="AZ129" s="1"/>
      <c r="BA129" s="1"/>
      <c r="BB129" s="1"/>
    </row>
    <row r="130" spans="1:54" x14ac:dyDescent="0.25">
      <c r="A130" s="1"/>
      <c r="B130" s="1"/>
      <c r="C130" s="1"/>
      <c r="D130" s="1"/>
      <c r="E130" s="1"/>
      <c r="F130" s="1"/>
      <c r="G130" s="1"/>
      <c r="H130" s="7"/>
      <c r="I130" s="1"/>
      <c r="J130" s="1"/>
      <c r="K130" s="1"/>
      <c r="L130" s="1"/>
      <c r="M130" s="1"/>
      <c r="N130" s="1"/>
      <c r="O130" s="26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  <c r="AL130" s="1"/>
      <c r="AM130" s="1"/>
      <c r="AN130" s="1"/>
      <c r="AO130" s="1"/>
      <c r="AP130" s="1"/>
      <c r="AQ130" s="1"/>
      <c r="AR130" s="1"/>
      <c r="AS130" s="1"/>
      <c r="AT130" s="1"/>
      <c r="AU130" s="1"/>
      <c r="AV130" s="1"/>
      <c r="AW130" s="1"/>
      <c r="AX130" s="1"/>
      <c r="AY130" s="1"/>
      <c r="AZ130" s="1"/>
      <c r="BA130" s="1"/>
      <c r="BB130" s="1"/>
    </row>
    <row r="131" spans="1:54" x14ac:dyDescent="0.25">
      <c r="A131" s="1"/>
      <c r="B131" s="1"/>
      <c r="C131" s="1"/>
      <c r="D131" s="1"/>
      <c r="E131" s="1"/>
      <c r="F131" s="1"/>
      <c r="G131" s="1"/>
      <c r="H131" s="7"/>
      <c r="I131" s="1"/>
      <c r="J131" s="1"/>
      <c r="K131" s="1"/>
      <c r="L131" s="1"/>
      <c r="M131" s="1"/>
      <c r="N131" s="1"/>
      <c r="O131" s="26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  <c r="AM131" s="1"/>
      <c r="AN131" s="1"/>
      <c r="AO131" s="1"/>
      <c r="AP131" s="1"/>
      <c r="AQ131" s="1"/>
      <c r="AR131" s="1"/>
      <c r="AS131" s="1"/>
      <c r="AT131" s="1"/>
      <c r="AU131" s="1"/>
      <c r="AV131" s="1"/>
      <c r="AW131" s="1"/>
      <c r="AX131" s="1"/>
      <c r="AY131" s="1"/>
      <c r="AZ131" s="1"/>
      <c r="BA131" s="1"/>
      <c r="BB131" s="1"/>
    </row>
    <row r="132" spans="1:54" x14ac:dyDescent="0.25">
      <c r="A132" s="1"/>
      <c r="B132" s="1"/>
      <c r="C132" s="1"/>
      <c r="D132" s="1"/>
      <c r="E132" s="1"/>
      <c r="F132" s="1"/>
      <c r="G132" s="1"/>
      <c r="H132" s="7"/>
      <c r="I132" s="1"/>
      <c r="J132" s="1"/>
      <c r="K132" s="1"/>
      <c r="L132" s="1"/>
      <c r="M132" s="1"/>
      <c r="N132" s="1"/>
      <c r="O132" s="26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  <c r="AM132" s="1"/>
      <c r="AN132" s="1"/>
      <c r="AO132" s="1"/>
      <c r="AP132" s="1"/>
      <c r="AQ132" s="1"/>
      <c r="AR132" s="1"/>
      <c r="AS132" s="1"/>
      <c r="AT132" s="1"/>
      <c r="AU132" s="1"/>
      <c r="AV132" s="1"/>
      <c r="AW132" s="1"/>
      <c r="AX132" s="1"/>
      <c r="AY132" s="1"/>
      <c r="AZ132" s="1"/>
      <c r="BA132" s="1"/>
      <c r="BB132" s="1"/>
    </row>
    <row r="133" spans="1:54" x14ac:dyDescent="0.25">
      <c r="A133" s="1"/>
      <c r="B133" s="1"/>
      <c r="C133" s="1"/>
      <c r="D133" s="1"/>
      <c r="E133" s="1"/>
      <c r="F133" s="1"/>
      <c r="G133" s="1"/>
      <c r="H133" s="7"/>
      <c r="I133" s="1"/>
      <c r="J133" s="1"/>
      <c r="K133" s="1"/>
      <c r="L133" s="1"/>
      <c r="M133" s="1"/>
      <c r="N133" s="1"/>
      <c r="O133" s="26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  <c r="AM133" s="1"/>
      <c r="AN133" s="1"/>
      <c r="AO133" s="1"/>
      <c r="AP133" s="1"/>
      <c r="AQ133" s="1"/>
      <c r="AR133" s="1"/>
      <c r="AS133" s="1"/>
      <c r="AT133" s="1"/>
      <c r="AU133" s="1"/>
      <c r="AV133" s="1"/>
      <c r="AW133" s="1"/>
      <c r="AX133" s="1"/>
      <c r="AY133" s="1"/>
      <c r="AZ133" s="1"/>
      <c r="BA133" s="1"/>
      <c r="BB133" s="1"/>
    </row>
    <row r="134" spans="1:54" x14ac:dyDescent="0.25">
      <c r="A134" s="1"/>
      <c r="B134" s="1"/>
      <c r="C134" s="1"/>
      <c r="D134" s="1"/>
      <c r="E134" s="1"/>
      <c r="F134" s="1"/>
      <c r="G134" s="1"/>
      <c r="H134" s="7"/>
      <c r="I134" s="1"/>
      <c r="J134" s="1"/>
      <c r="K134" s="1"/>
      <c r="L134" s="1"/>
      <c r="M134" s="1"/>
      <c r="N134" s="1"/>
      <c r="O134" s="26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  <c r="AM134" s="1"/>
      <c r="AN134" s="1"/>
      <c r="AO134" s="1"/>
      <c r="AP134" s="1"/>
      <c r="AQ134" s="1"/>
      <c r="AR134" s="1"/>
      <c r="AS134" s="1"/>
      <c r="AT134" s="1"/>
      <c r="AU134" s="1"/>
      <c r="AV134" s="1"/>
      <c r="AW134" s="1"/>
      <c r="AX134" s="1"/>
      <c r="AY134" s="1"/>
      <c r="AZ134" s="1"/>
      <c r="BA134" s="1"/>
      <c r="BB134" s="1"/>
    </row>
    <row r="135" spans="1:54" x14ac:dyDescent="0.25">
      <c r="A135" s="1"/>
      <c r="B135" s="1"/>
      <c r="C135" s="1"/>
      <c r="D135" s="1"/>
      <c r="E135" s="1"/>
      <c r="F135" s="1"/>
      <c r="G135" s="1"/>
      <c r="H135" s="7"/>
      <c r="I135" s="1"/>
      <c r="J135" s="1"/>
      <c r="K135" s="1"/>
      <c r="L135" s="1"/>
      <c r="M135" s="1"/>
      <c r="N135" s="1"/>
      <c r="O135" s="26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1"/>
      <c r="AN135" s="1"/>
      <c r="AO135" s="1"/>
      <c r="AP135" s="1"/>
      <c r="AQ135" s="1"/>
      <c r="AR135" s="1"/>
      <c r="AS135" s="1"/>
      <c r="AT135" s="1"/>
      <c r="AU135" s="1"/>
      <c r="AV135" s="1"/>
      <c r="AW135" s="1"/>
      <c r="AX135" s="1"/>
      <c r="AY135" s="1"/>
      <c r="AZ135" s="1"/>
      <c r="BA135" s="1"/>
      <c r="BB135" s="1"/>
    </row>
    <row r="136" spans="1:54" x14ac:dyDescent="0.25">
      <c r="A136" s="1"/>
      <c r="B136" s="1"/>
      <c r="C136" s="1"/>
      <c r="D136" s="1"/>
      <c r="E136" s="1"/>
      <c r="F136" s="1"/>
      <c r="G136" s="1"/>
      <c r="H136" s="7"/>
      <c r="I136" s="1"/>
      <c r="J136" s="1"/>
      <c r="K136" s="1"/>
      <c r="L136" s="1"/>
      <c r="M136" s="1"/>
      <c r="N136" s="1"/>
      <c r="O136" s="26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1"/>
      <c r="AN136" s="1"/>
      <c r="AO136" s="1"/>
      <c r="AP136" s="1"/>
      <c r="AQ136" s="1"/>
      <c r="AR136" s="1"/>
      <c r="AS136" s="1"/>
      <c r="AT136" s="1"/>
      <c r="AU136" s="1"/>
      <c r="AV136" s="1"/>
      <c r="AW136" s="1"/>
      <c r="AX136" s="1"/>
      <c r="AY136" s="1"/>
      <c r="AZ136" s="1"/>
      <c r="BA136" s="1"/>
      <c r="BB136" s="1"/>
    </row>
    <row r="137" spans="1:54" x14ac:dyDescent="0.25">
      <c r="A137" s="1"/>
      <c r="B137" s="1"/>
      <c r="C137" s="1"/>
      <c r="D137" s="1"/>
      <c r="E137" s="1"/>
      <c r="F137" s="1"/>
      <c r="G137" s="1"/>
      <c r="H137" s="7"/>
      <c r="I137" s="1"/>
      <c r="J137" s="1"/>
      <c r="K137" s="1"/>
      <c r="L137" s="1"/>
      <c r="M137" s="1"/>
      <c r="N137" s="1"/>
      <c r="O137" s="26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1"/>
      <c r="AN137" s="1"/>
      <c r="AO137" s="1"/>
      <c r="AP137" s="1"/>
      <c r="AQ137" s="1"/>
      <c r="AR137" s="1"/>
      <c r="AS137" s="1"/>
      <c r="AT137" s="1"/>
      <c r="AU137" s="1"/>
      <c r="AV137" s="1"/>
      <c r="AW137" s="1"/>
      <c r="AX137" s="1"/>
      <c r="AY137" s="1"/>
      <c r="AZ137" s="1"/>
      <c r="BA137" s="1"/>
      <c r="BB137" s="1"/>
    </row>
    <row r="138" spans="1:54" x14ac:dyDescent="0.25">
      <c r="A138" s="1"/>
      <c r="B138" s="1"/>
      <c r="C138" s="1"/>
      <c r="D138" s="1"/>
      <c r="E138" s="1"/>
      <c r="F138" s="1"/>
      <c r="G138" s="1"/>
      <c r="H138" s="7"/>
      <c r="I138" s="1"/>
      <c r="J138" s="1"/>
      <c r="K138" s="1"/>
      <c r="L138" s="1"/>
      <c r="M138" s="1"/>
      <c r="N138" s="1"/>
      <c r="O138" s="26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1"/>
      <c r="AN138" s="1"/>
      <c r="AO138" s="1"/>
      <c r="AP138" s="1"/>
      <c r="AQ138" s="1"/>
      <c r="AR138" s="1"/>
      <c r="AS138" s="1"/>
      <c r="AT138" s="1"/>
      <c r="AU138" s="1"/>
      <c r="AV138" s="1"/>
      <c r="AW138" s="1"/>
      <c r="AX138" s="1"/>
      <c r="AY138" s="1"/>
      <c r="AZ138" s="1"/>
      <c r="BA138" s="1"/>
      <c r="BB138" s="1"/>
    </row>
    <row r="139" spans="1:54" x14ac:dyDescent="0.25">
      <c r="A139" s="1"/>
      <c r="B139" s="1"/>
      <c r="C139" s="1"/>
      <c r="D139" s="1"/>
      <c r="E139" s="1"/>
      <c r="F139" s="1"/>
      <c r="G139" s="1"/>
      <c r="H139" s="7"/>
      <c r="I139" s="1"/>
      <c r="J139" s="1"/>
      <c r="K139" s="1"/>
      <c r="L139" s="1"/>
      <c r="M139" s="1"/>
      <c r="N139" s="1"/>
      <c r="O139" s="26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  <c r="AN139" s="1"/>
      <c r="AO139" s="1"/>
      <c r="AP139" s="1"/>
      <c r="AQ139" s="1"/>
      <c r="AR139" s="1"/>
      <c r="AS139" s="1"/>
      <c r="AT139" s="1"/>
      <c r="AU139" s="1"/>
      <c r="AV139" s="1"/>
      <c r="AW139" s="1"/>
      <c r="AX139" s="1"/>
      <c r="AY139" s="1"/>
      <c r="AZ139" s="1"/>
      <c r="BA139" s="1"/>
      <c r="BB139" s="1"/>
    </row>
    <row r="140" spans="1:54" x14ac:dyDescent="0.25">
      <c r="A140" s="1"/>
      <c r="B140" s="1"/>
      <c r="C140" s="1"/>
      <c r="D140" s="1"/>
      <c r="E140" s="1"/>
      <c r="F140" s="1"/>
      <c r="G140" s="1"/>
      <c r="H140" s="7"/>
      <c r="I140" s="1"/>
      <c r="J140" s="1"/>
      <c r="K140" s="1"/>
      <c r="L140" s="1"/>
      <c r="M140" s="1"/>
      <c r="N140" s="1"/>
      <c r="O140" s="26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  <c r="AN140" s="1"/>
      <c r="AO140" s="1"/>
      <c r="AP140" s="1"/>
      <c r="AQ140" s="1"/>
      <c r="AR140" s="1"/>
      <c r="AS140" s="1"/>
      <c r="AT140" s="1"/>
      <c r="AU140" s="1"/>
      <c r="AV140" s="1"/>
      <c r="AW140" s="1"/>
      <c r="AX140" s="1"/>
      <c r="AY140" s="1"/>
      <c r="AZ140" s="1"/>
      <c r="BA140" s="1"/>
      <c r="BB140" s="1"/>
    </row>
    <row r="141" spans="1:54" x14ac:dyDescent="0.25">
      <c r="A141" s="1"/>
      <c r="B141" s="1"/>
      <c r="C141" s="1"/>
      <c r="D141" s="1"/>
      <c r="E141" s="1"/>
      <c r="F141" s="1"/>
      <c r="G141" s="1"/>
      <c r="H141" s="7"/>
      <c r="I141" s="1"/>
      <c r="J141" s="1"/>
      <c r="K141" s="1"/>
      <c r="L141" s="1"/>
      <c r="M141" s="1"/>
      <c r="N141" s="1"/>
      <c r="O141" s="26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  <c r="AN141" s="1"/>
      <c r="AO141" s="1"/>
      <c r="AP141" s="1"/>
      <c r="AQ141" s="1"/>
      <c r="AR141" s="1"/>
      <c r="AS141" s="1"/>
      <c r="AT141" s="1"/>
      <c r="AU141" s="1"/>
      <c r="AV141" s="1"/>
      <c r="AW141" s="1"/>
      <c r="AX141" s="1"/>
      <c r="AY141" s="1"/>
      <c r="AZ141" s="1"/>
      <c r="BA141" s="1"/>
      <c r="BB141" s="1"/>
    </row>
    <row r="142" spans="1:54" x14ac:dyDescent="0.25">
      <c r="A142" s="1"/>
      <c r="B142" s="1"/>
      <c r="C142" s="1"/>
      <c r="D142" s="1"/>
      <c r="E142" s="1"/>
      <c r="F142" s="1"/>
      <c r="G142" s="1"/>
      <c r="H142" s="7"/>
      <c r="I142" s="1"/>
      <c r="J142" s="1"/>
      <c r="K142" s="1"/>
      <c r="L142" s="1"/>
      <c r="M142" s="1"/>
      <c r="N142" s="1"/>
      <c r="O142" s="26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  <c r="AN142" s="1"/>
      <c r="AO142" s="1"/>
      <c r="AP142" s="1"/>
      <c r="AQ142" s="1"/>
      <c r="AR142" s="1"/>
      <c r="AS142" s="1"/>
      <c r="AT142" s="1"/>
      <c r="AU142" s="1"/>
      <c r="AV142" s="1"/>
      <c r="AW142" s="1"/>
      <c r="AX142" s="1"/>
      <c r="AY142" s="1"/>
      <c r="AZ142" s="1"/>
      <c r="BA142" s="1"/>
      <c r="BB142" s="1"/>
    </row>
    <row r="143" spans="1:54" x14ac:dyDescent="0.25">
      <c r="A143" s="1"/>
      <c r="B143" s="1"/>
      <c r="C143" s="1"/>
      <c r="D143" s="1"/>
      <c r="E143" s="1"/>
      <c r="F143" s="1"/>
      <c r="G143" s="1"/>
      <c r="H143" s="7"/>
      <c r="I143" s="1"/>
      <c r="J143" s="1"/>
      <c r="K143" s="1"/>
      <c r="L143" s="1"/>
      <c r="M143" s="1"/>
      <c r="N143" s="1"/>
      <c r="O143" s="26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  <c r="AN143" s="1"/>
      <c r="AO143" s="1"/>
      <c r="AP143" s="1"/>
      <c r="AQ143" s="1"/>
      <c r="AR143" s="1"/>
      <c r="AS143" s="1"/>
      <c r="AT143" s="1"/>
      <c r="AU143" s="1"/>
      <c r="AV143" s="1"/>
      <c r="AW143" s="1"/>
      <c r="AX143" s="1"/>
      <c r="AY143" s="1"/>
      <c r="AZ143" s="1"/>
      <c r="BA143" s="1"/>
      <c r="BB143" s="1"/>
    </row>
    <row r="144" spans="1:54" x14ac:dyDescent="0.25">
      <c r="A144" s="1"/>
      <c r="B144" s="1"/>
      <c r="C144" s="1"/>
      <c r="D144" s="1"/>
      <c r="E144" s="1"/>
      <c r="F144" s="1"/>
      <c r="G144" s="1"/>
      <c r="H144" s="7"/>
      <c r="I144" s="1"/>
      <c r="J144" s="1"/>
      <c r="K144" s="1"/>
      <c r="L144" s="1"/>
      <c r="M144" s="1"/>
      <c r="N144" s="1"/>
      <c r="O144" s="26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/>
      <c r="AO144" s="1"/>
      <c r="AP144" s="1"/>
      <c r="AQ144" s="1"/>
      <c r="AR144" s="1"/>
      <c r="AS144" s="1"/>
      <c r="AT144" s="1"/>
      <c r="AU144" s="1"/>
      <c r="AV144" s="1"/>
      <c r="AW144" s="1"/>
      <c r="AX144" s="1"/>
      <c r="AY144" s="1"/>
      <c r="AZ144" s="1"/>
      <c r="BA144" s="1"/>
      <c r="BB144" s="1"/>
    </row>
    <row r="145" spans="1:54" x14ac:dyDescent="0.25">
      <c r="A145" s="1"/>
      <c r="B145" s="1"/>
      <c r="C145" s="1"/>
      <c r="D145" s="1"/>
      <c r="E145" s="1"/>
      <c r="F145" s="1"/>
      <c r="G145" s="1"/>
      <c r="H145" s="7"/>
      <c r="I145" s="1"/>
      <c r="J145" s="1"/>
      <c r="K145" s="1"/>
      <c r="L145" s="1"/>
      <c r="M145" s="1"/>
      <c r="N145" s="1"/>
      <c r="O145" s="26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  <c r="AN145" s="1"/>
      <c r="AO145" s="1"/>
      <c r="AP145" s="1"/>
      <c r="AQ145" s="1"/>
      <c r="AR145" s="1"/>
      <c r="AS145" s="1"/>
      <c r="AT145" s="1"/>
      <c r="AU145" s="1"/>
      <c r="AV145" s="1"/>
      <c r="AW145" s="1"/>
      <c r="AX145" s="1"/>
      <c r="AY145" s="1"/>
      <c r="AZ145" s="1"/>
      <c r="BA145" s="1"/>
      <c r="BB145" s="1"/>
    </row>
    <row r="146" spans="1:54" x14ac:dyDescent="0.25">
      <c r="A146" s="1"/>
      <c r="B146" s="1"/>
      <c r="C146" s="1"/>
      <c r="D146" s="1"/>
      <c r="E146" s="1"/>
      <c r="F146" s="1"/>
      <c r="G146" s="1"/>
      <c r="H146" s="7"/>
      <c r="I146" s="1"/>
      <c r="J146" s="1"/>
      <c r="K146" s="1"/>
      <c r="L146" s="1"/>
      <c r="M146" s="1"/>
      <c r="N146" s="1"/>
      <c r="O146" s="26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N146" s="1"/>
      <c r="AO146" s="1"/>
      <c r="AP146" s="1"/>
      <c r="AQ146" s="1"/>
      <c r="AR146" s="1"/>
      <c r="AS146" s="1"/>
      <c r="AT146" s="1"/>
      <c r="AU146" s="1"/>
      <c r="AV146" s="1"/>
      <c r="AW146" s="1"/>
      <c r="AX146" s="1"/>
      <c r="AY146" s="1"/>
      <c r="AZ146" s="1"/>
      <c r="BA146" s="1"/>
      <c r="BB146" s="1"/>
    </row>
    <row r="147" spans="1:54" x14ac:dyDescent="0.25">
      <c r="A147" s="1"/>
      <c r="B147" s="1"/>
      <c r="C147" s="1"/>
      <c r="D147" s="1"/>
      <c r="E147" s="1"/>
      <c r="F147" s="1"/>
      <c r="G147" s="1"/>
      <c r="H147" s="7"/>
      <c r="I147" s="1"/>
      <c r="J147" s="1"/>
      <c r="K147" s="1"/>
      <c r="L147" s="1"/>
      <c r="M147" s="1"/>
      <c r="N147" s="1"/>
      <c r="O147" s="26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  <c r="AN147" s="1"/>
      <c r="AO147" s="1"/>
      <c r="AP147" s="1"/>
      <c r="AQ147" s="1"/>
      <c r="AR147" s="1"/>
      <c r="AS147" s="1"/>
      <c r="AT147" s="1"/>
      <c r="AU147" s="1"/>
      <c r="AV147" s="1"/>
      <c r="AW147" s="1"/>
      <c r="AX147" s="1"/>
      <c r="AY147" s="1"/>
      <c r="AZ147" s="1"/>
      <c r="BA147" s="1"/>
      <c r="BB147" s="1"/>
    </row>
    <row r="148" spans="1:54" x14ac:dyDescent="0.25">
      <c r="A148" s="1"/>
      <c r="B148" s="1"/>
      <c r="C148" s="1"/>
      <c r="D148" s="1"/>
      <c r="E148" s="1"/>
      <c r="F148" s="1"/>
      <c r="G148" s="1"/>
      <c r="H148" s="7"/>
      <c r="I148" s="1"/>
      <c r="J148" s="1"/>
      <c r="K148" s="1"/>
      <c r="L148" s="1"/>
      <c r="M148" s="1"/>
      <c r="N148" s="1"/>
      <c r="O148" s="26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1"/>
      <c r="AN148" s="1"/>
      <c r="AO148" s="1"/>
      <c r="AP148" s="1"/>
      <c r="AQ148" s="1"/>
      <c r="AR148" s="1"/>
      <c r="AS148" s="1"/>
      <c r="AT148" s="1"/>
      <c r="AU148" s="1"/>
      <c r="AV148" s="1"/>
      <c r="AW148" s="1"/>
      <c r="AX148" s="1"/>
      <c r="AY148" s="1"/>
      <c r="AZ148" s="1"/>
      <c r="BA148" s="1"/>
      <c r="BB148" s="1"/>
    </row>
    <row r="149" spans="1:54" x14ac:dyDescent="0.25">
      <c r="A149" s="1"/>
      <c r="B149" s="1"/>
      <c r="C149" s="1"/>
      <c r="D149" s="1"/>
      <c r="E149" s="1"/>
      <c r="F149" s="1"/>
      <c r="G149" s="1"/>
      <c r="H149" s="7"/>
      <c r="I149" s="1"/>
      <c r="J149" s="1"/>
      <c r="K149" s="1"/>
      <c r="L149" s="1"/>
      <c r="M149" s="1"/>
      <c r="N149" s="1"/>
      <c r="O149" s="26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1"/>
      <c r="AN149" s="1"/>
      <c r="AO149" s="1"/>
      <c r="AP149" s="1"/>
      <c r="AQ149" s="1"/>
      <c r="AR149" s="1"/>
      <c r="AS149" s="1"/>
      <c r="AT149" s="1"/>
      <c r="AU149" s="1"/>
      <c r="AV149" s="1"/>
      <c r="AW149" s="1"/>
      <c r="AX149" s="1"/>
      <c r="AY149" s="1"/>
      <c r="AZ149" s="1"/>
      <c r="BA149" s="1"/>
      <c r="BB149" s="1"/>
    </row>
    <row r="150" spans="1:54" x14ac:dyDescent="0.25">
      <c r="A150" s="1"/>
      <c r="B150" s="1"/>
      <c r="C150" s="1"/>
      <c r="D150" s="1"/>
      <c r="E150" s="1"/>
      <c r="F150" s="1"/>
      <c r="G150" s="1"/>
      <c r="H150" s="7"/>
      <c r="I150" s="1"/>
      <c r="J150" s="1"/>
      <c r="K150" s="1"/>
      <c r="L150" s="1"/>
      <c r="M150" s="1"/>
      <c r="N150" s="1"/>
      <c r="O150" s="26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1"/>
      <c r="AN150" s="1"/>
      <c r="AO150" s="1"/>
      <c r="AP150" s="1"/>
      <c r="AQ150" s="1"/>
      <c r="AR150" s="1"/>
      <c r="AS150" s="1"/>
      <c r="AT150" s="1"/>
      <c r="AU150" s="1"/>
      <c r="AV150" s="1"/>
      <c r="AW150" s="1"/>
      <c r="AX150" s="1"/>
      <c r="AY150" s="1"/>
      <c r="AZ150" s="1"/>
      <c r="BA150" s="1"/>
      <c r="BB150" s="1"/>
    </row>
    <row r="151" spans="1:54" x14ac:dyDescent="0.25">
      <c r="A151" s="1"/>
      <c r="B151" s="1"/>
      <c r="C151" s="1"/>
      <c r="D151" s="1"/>
      <c r="E151" s="1"/>
      <c r="F151" s="1"/>
      <c r="G151" s="1"/>
      <c r="H151" s="7"/>
      <c r="I151" s="1"/>
      <c r="J151" s="1"/>
      <c r="K151" s="1"/>
      <c r="L151" s="1"/>
      <c r="M151" s="1"/>
      <c r="N151" s="1"/>
      <c r="O151" s="26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1"/>
      <c r="AN151" s="1"/>
      <c r="AO151" s="1"/>
      <c r="AP151" s="1"/>
      <c r="AQ151" s="1"/>
      <c r="AR151" s="1"/>
      <c r="AS151" s="1"/>
      <c r="AT151" s="1"/>
      <c r="AU151" s="1"/>
      <c r="AV151" s="1"/>
      <c r="AW151" s="1"/>
      <c r="AX151" s="1"/>
      <c r="AY151" s="1"/>
      <c r="AZ151" s="1"/>
      <c r="BA151" s="1"/>
      <c r="BB151" s="1"/>
    </row>
    <row r="152" spans="1:54" x14ac:dyDescent="0.25">
      <c r="A152" s="1"/>
      <c r="B152" s="1"/>
      <c r="C152" s="1"/>
      <c r="D152" s="1"/>
      <c r="E152" s="1"/>
      <c r="F152" s="1"/>
      <c r="G152" s="1"/>
      <c r="H152" s="7"/>
      <c r="I152" s="1"/>
      <c r="J152" s="1"/>
      <c r="K152" s="1"/>
      <c r="L152" s="1"/>
      <c r="M152" s="1"/>
      <c r="N152" s="1"/>
      <c r="O152" s="26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1"/>
      <c r="AN152" s="1"/>
      <c r="AO152" s="1"/>
      <c r="AP152" s="1"/>
      <c r="AQ152" s="1"/>
      <c r="AR152" s="1"/>
      <c r="AS152" s="1"/>
      <c r="AT152" s="1"/>
      <c r="AU152" s="1"/>
      <c r="AV152" s="1"/>
      <c r="AW152" s="1"/>
      <c r="AX152" s="1"/>
      <c r="AY152" s="1"/>
      <c r="AZ152" s="1"/>
      <c r="BA152" s="1"/>
      <c r="BB152" s="1"/>
    </row>
    <row r="153" spans="1:54" x14ac:dyDescent="0.25">
      <c r="A153" s="1"/>
      <c r="B153" s="1"/>
      <c r="C153" s="1"/>
      <c r="D153" s="1"/>
      <c r="E153" s="1"/>
      <c r="F153" s="1"/>
      <c r="G153" s="1"/>
      <c r="H153" s="7"/>
      <c r="I153" s="1"/>
      <c r="J153" s="1"/>
      <c r="K153" s="1"/>
      <c r="L153" s="1"/>
      <c r="M153" s="1"/>
      <c r="N153" s="1"/>
      <c r="O153" s="26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1"/>
      <c r="AN153" s="1"/>
      <c r="AO153" s="1"/>
      <c r="AP153" s="1"/>
      <c r="AQ153" s="1"/>
      <c r="AR153" s="1"/>
      <c r="AS153" s="1"/>
      <c r="AT153" s="1"/>
      <c r="AU153" s="1"/>
      <c r="AV153" s="1"/>
      <c r="AW153" s="1"/>
      <c r="AX153" s="1"/>
      <c r="AY153" s="1"/>
      <c r="AZ153" s="1"/>
      <c r="BA153" s="1"/>
      <c r="BB153" s="1"/>
    </row>
    <row r="154" spans="1:54" x14ac:dyDescent="0.25">
      <c r="A154" s="1"/>
      <c r="B154" s="1"/>
      <c r="C154" s="1"/>
      <c r="D154" s="1"/>
      <c r="E154" s="1"/>
      <c r="F154" s="1"/>
      <c r="G154" s="1"/>
      <c r="H154" s="7"/>
      <c r="I154" s="1"/>
      <c r="J154" s="1"/>
      <c r="K154" s="1"/>
      <c r="L154" s="1"/>
      <c r="M154" s="1"/>
      <c r="N154" s="1"/>
      <c r="O154" s="26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1"/>
      <c r="AN154" s="1"/>
      <c r="AO154" s="1"/>
      <c r="AP154" s="1"/>
      <c r="AQ154" s="1"/>
      <c r="AR154" s="1"/>
      <c r="AS154" s="1"/>
      <c r="AT154" s="1"/>
      <c r="AU154" s="1"/>
      <c r="AV154" s="1"/>
      <c r="AW154" s="1"/>
      <c r="AX154" s="1"/>
      <c r="AY154" s="1"/>
      <c r="AZ154" s="1"/>
      <c r="BA154" s="1"/>
      <c r="BB154" s="1"/>
    </row>
    <row r="155" spans="1:54" x14ac:dyDescent="0.25">
      <c r="A155" s="1"/>
      <c r="B155" s="1"/>
      <c r="C155" s="1"/>
      <c r="D155" s="1"/>
      <c r="E155" s="1"/>
      <c r="F155" s="1"/>
      <c r="G155" s="1"/>
      <c r="H155" s="7"/>
      <c r="I155" s="1"/>
      <c r="J155" s="1"/>
      <c r="K155" s="1"/>
      <c r="L155" s="1"/>
      <c r="M155" s="1"/>
      <c r="N155" s="1"/>
      <c r="O155" s="26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1"/>
      <c r="AN155" s="1"/>
      <c r="AO155" s="1"/>
      <c r="AP155" s="1"/>
      <c r="AQ155" s="1"/>
      <c r="AR155" s="1"/>
      <c r="AS155" s="1"/>
      <c r="AT155" s="1"/>
      <c r="AU155" s="1"/>
      <c r="AV155" s="1"/>
      <c r="AW155" s="1"/>
      <c r="AX155" s="1"/>
      <c r="AY155" s="1"/>
      <c r="AZ155" s="1"/>
      <c r="BA155" s="1"/>
      <c r="BB155" s="1"/>
    </row>
    <row r="156" spans="1:54" x14ac:dyDescent="0.25">
      <c r="A156" s="1"/>
      <c r="B156" s="1"/>
      <c r="C156" s="1"/>
      <c r="D156" s="1"/>
      <c r="E156" s="1"/>
      <c r="F156" s="1"/>
      <c r="G156" s="1"/>
      <c r="H156" s="7"/>
      <c r="I156" s="1"/>
      <c r="J156" s="1"/>
      <c r="K156" s="1"/>
      <c r="L156" s="1"/>
      <c r="M156" s="1"/>
      <c r="N156" s="1"/>
      <c r="O156" s="26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1"/>
      <c r="AN156" s="1"/>
      <c r="AO156" s="1"/>
      <c r="AP156" s="1"/>
      <c r="AQ156" s="1"/>
      <c r="AR156" s="1"/>
      <c r="AS156" s="1"/>
      <c r="AT156" s="1"/>
      <c r="AU156" s="1"/>
      <c r="AV156" s="1"/>
      <c r="AW156" s="1"/>
      <c r="AX156" s="1"/>
      <c r="AY156" s="1"/>
      <c r="AZ156" s="1"/>
      <c r="BA156" s="1"/>
      <c r="BB156" s="1"/>
    </row>
    <row r="157" spans="1:54" x14ac:dyDescent="0.25">
      <c r="A157" s="1"/>
      <c r="B157" s="1"/>
      <c r="C157" s="1"/>
      <c r="D157" s="1"/>
      <c r="E157" s="1"/>
      <c r="F157" s="1"/>
      <c r="G157" s="1"/>
      <c r="H157" s="7"/>
      <c r="I157" s="1"/>
      <c r="J157" s="1"/>
      <c r="K157" s="1"/>
      <c r="L157" s="1"/>
      <c r="M157" s="1"/>
      <c r="N157" s="1"/>
      <c r="O157" s="26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1"/>
      <c r="AN157" s="1"/>
      <c r="AO157" s="1"/>
      <c r="AP157" s="1"/>
      <c r="AQ157" s="1"/>
      <c r="AR157" s="1"/>
      <c r="AS157" s="1"/>
      <c r="AT157" s="1"/>
      <c r="AU157" s="1"/>
      <c r="AV157" s="1"/>
      <c r="AW157" s="1"/>
      <c r="AX157" s="1"/>
      <c r="AY157" s="1"/>
      <c r="AZ157" s="1"/>
      <c r="BA157" s="1"/>
      <c r="BB157" s="1"/>
    </row>
    <row r="158" spans="1:54" x14ac:dyDescent="0.25">
      <c r="A158" s="1"/>
      <c r="B158" s="1"/>
      <c r="C158" s="1"/>
      <c r="D158" s="1"/>
      <c r="E158" s="1"/>
      <c r="F158" s="1"/>
      <c r="G158" s="1"/>
      <c r="H158" s="7"/>
      <c r="I158" s="1"/>
      <c r="J158" s="1"/>
      <c r="K158" s="1"/>
      <c r="L158" s="1"/>
      <c r="M158" s="1"/>
      <c r="N158" s="1"/>
      <c r="O158" s="26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1"/>
      <c r="AN158" s="1"/>
      <c r="AO158" s="1"/>
      <c r="AP158" s="1"/>
      <c r="AQ158" s="1"/>
      <c r="AR158" s="1"/>
      <c r="AS158" s="1"/>
      <c r="AT158" s="1"/>
      <c r="AU158" s="1"/>
      <c r="AV158" s="1"/>
      <c r="AW158" s="1"/>
      <c r="AX158" s="1"/>
      <c r="AY158" s="1"/>
      <c r="AZ158" s="1"/>
      <c r="BA158" s="1"/>
      <c r="BB158" s="1"/>
    </row>
    <row r="159" spans="1:54" x14ac:dyDescent="0.25">
      <c r="A159" s="1"/>
      <c r="B159" s="1"/>
      <c r="C159" s="1"/>
      <c r="D159" s="1"/>
      <c r="E159" s="1"/>
      <c r="F159" s="1"/>
      <c r="G159" s="1"/>
      <c r="H159" s="7"/>
      <c r="I159" s="1"/>
      <c r="J159" s="1"/>
      <c r="K159" s="1"/>
      <c r="L159" s="1"/>
      <c r="M159" s="1"/>
      <c r="N159" s="1"/>
      <c r="O159" s="26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1"/>
      <c r="AN159" s="1"/>
      <c r="AO159" s="1"/>
      <c r="AP159" s="1"/>
      <c r="AQ159" s="1"/>
      <c r="AR159" s="1"/>
      <c r="AS159" s="1"/>
      <c r="AT159" s="1"/>
      <c r="AU159" s="1"/>
      <c r="AV159" s="1"/>
      <c r="AW159" s="1"/>
      <c r="AX159" s="1"/>
      <c r="AY159" s="1"/>
      <c r="AZ159" s="1"/>
      <c r="BA159" s="1"/>
      <c r="BB159" s="1"/>
    </row>
    <row r="160" spans="1:54" x14ac:dyDescent="0.25">
      <c r="A160" s="1"/>
      <c r="B160" s="1"/>
      <c r="C160" s="1"/>
      <c r="D160" s="1"/>
      <c r="E160" s="1"/>
      <c r="F160" s="1"/>
      <c r="G160" s="1"/>
      <c r="H160" s="7"/>
      <c r="I160" s="1"/>
      <c r="J160" s="1"/>
      <c r="K160" s="1"/>
      <c r="L160" s="1"/>
      <c r="M160" s="1"/>
      <c r="N160" s="1"/>
      <c r="O160" s="26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1"/>
      <c r="AN160" s="1"/>
      <c r="AO160" s="1"/>
      <c r="AP160" s="1"/>
      <c r="AQ160" s="1"/>
      <c r="AR160" s="1"/>
      <c r="AS160" s="1"/>
      <c r="AT160" s="1"/>
      <c r="AU160" s="1"/>
      <c r="AV160" s="1"/>
      <c r="AW160" s="1"/>
      <c r="AX160" s="1"/>
      <c r="AY160" s="1"/>
      <c r="AZ160" s="1"/>
      <c r="BA160" s="1"/>
      <c r="BB160" s="1"/>
    </row>
    <row r="161" spans="1:54" x14ac:dyDescent="0.25">
      <c r="A161" s="1"/>
      <c r="B161" s="1"/>
      <c r="C161" s="1"/>
      <c r="D161" s="1"/>
      <c r="E161" s="1"/>
      <c r="F161" s="1"/>
      <c r="G161" s="1"/>
      <c r="H161" s="7"/>
      <c r="I161" s="1"/>
      <c r="J161" s="1"/>
      <c r="K161" s="1"/>
      <c r="L161" s="1"/>
      <c r="M161" s="1"/>
      <c r="N161" s="1"/>
      <c r="O161" s="26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  <c r="AM161" s="1"/>
      <c r="AN161" s="1"/>
      <c r="AO161" s="1"/>
      <c r="AP161" s="1"/>
      <c r="AQ161" s="1"/>
      <c r="AR161" s="1"/>
      <c r="AS161" s="1"/>
      <c r="AT161" s="1"/>
      <c r="AU161" s="1"/>
      <c r="AV161" s="1"/>
      <c r="AW161" s="1"/>
      <c r="AX161" s="1"/>
      <c r="AY161" s="1"/>
      <c r="AZ161" s="1"/>
      <c r="BA161" s="1"/>
      <c r="BB161" s="1"/>
    </row>
    <row r="162" spans="1:54" x14ac:dyDescent="0.25">
      <c r="A162" s="1"/>
      <c r="B162" s="1"/>
      <c r="C162" s="1"/>
      <c r="D162" s="1"/>
      <c r="E162" s="1"/>
      <c r="F162" s="1"/>
      <c r="G162" s="1"/>
      <c r="H162" s="7"/>
      <c r="I162" s="1"/>
      <c r="J162" s="1"/>
      <c r="K162" s="1"/>
      <c r="L162" s="1"/>
      <c r="M162" s="1"/>
      <c r="N162" s="1"/>
      <c r="O162" s="26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1"/>
      <c r="AN162" s="1"/>
      <c r="AO162" s="1"/>
      <c r="AP162" s="1"/>
      <c r="AQ162" s="1"/>
      <c r="AR162" s="1"/>
      <c r="AS162" s="1"/>
      <c r="AT162" s="1"/>
      <c r="AU162" s="1"/>
      <c r="AV162" s="1"/>
      <c r="AW162" s="1"/>
      <c r="AX162" s="1"/>
      <c r="AY162" s="1"/>
      <c r="AZ162" s="1"/>
      <c r="BA162" s="1"/>
      <c r="BB162" s="1"/>
    </row>
    <row r="163" spans="1:54" x14ac:dyDescent="0.25">
      <c r="A163" s="1"/>
      <c r="B163" s="1"/>
      <c r="C163" s="1"/>
      <c r="D163" s="1"/>
      <c r="E163" s="1"/>
      <c r="F163" s="1"/>
      <c r="G163" s="1"/>
      <c r="H163" s="7"/>
      <c r="I163" s="1"/>
      <c r="J163" s="1"/>
      <c r="K163" s="1"/>
      <c r="L163" s="1"/>
      <c r="M163" s="1"/>
      <c r="N163" s="1"/>
      <c r="O163" s="26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M163" s="1"/>
      <c r="AN163" s="1"/>
      <c r="AO163" s="1"/>
      <c r="AP163" s="1"/>
      <c r="AQ163" s="1"/>
      <c r="AR163" s="1"/>
      <c r="AS163" s="1"/>
      <c r="AT163" s="1"/>
      <c r="AU163" s="1"/>
      <c r="AV163" s="1"/>
      <c r="AW163" s="1"/>
      <c r="AX163" s="1"/>
      <c r="AY163" s="1"/>
      <c r="AZ163" s="1"/>
      <c r="BA163" s="1"/>
      <c r="BB163" s="1"/>
    </row>
    <row r="164" spans="1:54" x14ac:dyDescent="0.25">
      <c r="A164" s="1"/>
      <c r="B164" s="1"/>
      <c r="C164" s="1"/>
      <c r="D164" s="1"/>
      <c r="E164" s="1"/>
      <c r="F164" s="1"/>
      <c r="G164" s="1"/>
      <c r="H164" s="7"/>
      <c r="I164" s="1"/>
      <c r="J164" s="1"/>
      <c r="K164" s="1"/>
      <c r="L164" s="1"/>
      <c r="M164" s="1"/>
      <c r="N164" s="1"/>
      <c r="O164" s="26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1"/>
      <c r="AN164" s="1"/>
      <c r="AO164" s="1"/>
      <c r="AP164" s="1"/>
      <c r="AQ164" s="1"/>
      <c r="AR164" s="1"/>
      <c r="AS164" s="1"/>
      <c r="AT164" s="1"/>
      <c r="AU164" s="1"/>
      <c r="AV164" s="1"/>
      <c r="AW164" s="1"/>
      <c r="AX164" s="1"/>
      <c r="AY164" s="1"/>
      <c r="AZ164" s="1"/>
      <c r="BA164" s="1"/>
      <c r="BB164" s="1"/>
    </row>
    <row r="165" spans="1:54" x14ac:dyDescent="0.25">
      <c r="A165" s="1"/>
      <c r="B165" s="1"/>
      <c r="C165" s="1"/>
      <c r="D165" s="1"/>
      <c r="E165" s="1"/>
      <c r="F165" s="1"/>
      <c r="G165" s="1"/>
      <c r="H165" s="7"/>
      <c r="I165" s="1"/>
      <c r="J165" s="1"/>
      <c r="K165" s="1"/>
      <c r="L165" s="1"/>
      <c r="M165" s="1"/>
      <c r="N165" s="1"/>
      <c r="O165" s="26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1"/>
      <c r="AN165" s="1"/>
      <c r="AO165" s="1"/>
      <c r="AP165" s="1"/>
      <c r="AQ165" s="1"/>
      <c r="AR165" s="1"/>
      <c r="AS165" s="1"/>
      <c r="AT165" s="1"/>
      <c r="AU165" s="1"/>
      <c r="AV165" s="1"/>
      <c r="AW165" s="1"/>
      <c r="AX165" s="1"/>
      <c r="AY165" s="1"/>
      <c r="AZ165" s="1"/>
      <c r="BA165" s="1"/>
      <c r="BB165" s="1"/>
    </row>
    <row r="166" spans="1:54" x14ac:dyDescent="0.25">
      <c r="A166" s="1"/>
      <c r="B166" s="1"/>
      <c r="C166" s="1"/>
      <c r="D166" s="1"/>
      <c r="E166" s="1"/>
      <c r="F166" s="1"/>
      <c r="G166" s="1"/>
      <c r="H166" s="7"/>
      <c r="I166" s="1"/>
      <c r="J166" s="1"/>
      <c r="K166" s="1"/>
      <c r="L166" s="1"/>
      <c r="M166" s="1"/>
      <c r="N166" s="1"/>
      <c r="O166" s="26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  <c r="AM166" s="1"/>
      <c r="AN166" s="1"/>
      <c r="AO166" s="1"/>
      <c r="AP166" s="1"/>
      <c r="AQ166" s="1"/>
      <c r="AR166" s="1"/>
      <c r="AS166" s="1"/>
      <c r="AT166" s="1"/>
      <c r="AU166" s="1"/>
      <c r="AV166" s="1"/>
      <c r="AW166" s="1"/>
      <c r="AX166" s="1"/>
      <c r="AY166" s="1"/>
      <c r="AZ166" s="1"/>
      <c r="BA166" s="1"/>
      <c r="BB166" s="1"/>
    </row>
    <row r="167" spans="1:54" x14ac:dyDescent="0.25">
      <c r="A167" s="1"/>
      <c r="B167" s="1"/>
      <c r="C167" s="1"/>
      <c r="D167" s="1"/>
      <c r="E167" s="1"/>
      <c r="F167" s="1"/>
      <c r="G167" s="1"/>
      <c r="H167" s="7"/>
      <c r="I167" s="1"/>
      <c r="J167" s="1"/>
      <c r="K167" s="1"/>
      <c r="L167" s="1"/>
      <c r="M167" s="1"/>
      <c r="N167" s="1"/>
      <c r="O167" s="26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  <c r="AM167" s="1"/>
      <c r="AN167" s="1"/>
      <c r="AO167" s="1"/>
      <c r="AP167" s="1"/>
      <c r="AQ167" s="1"/>
      <c r="AR167" s="1"/>
      <c r="AS167" s="1"/>
      <c r="AT167" s="1"/>
      <c r="AU167" s="1"/>
      <c r="AV167" s="1"/>
      <c r="AW167" s="1"/>
      <c r="AX167" s="1"/>
      <c r="AY167" s="1"/>
      <c r="AZ167" s="1"/>
      <c r="BA167" s="1"/>
      <c r="BB167" s="1"/>
    </row>
    <row r="168" spans="1:54" x14ac:dyDescent="0.25">
      <c r="A168" s="1"/>
      <c r="B168" s="1"/>
      <c r="C168" s="1"/>
      <c r="D168" s="1"/>
      <c r="E168" s="1"/>
      <c r="F168" s="1"/>
      <c r="G168" s="1"/>
      <c r="H168" s="7"/>
      <c r="I168" s="1"/>
      <c r="J168" s="1"/>
      <c r="K168" s="1"/>
      <c r="L168" s="1"/>
      <c r="M168" s="1"/>
      <c r="N168" s="1"/>
      <c r="O168" s="26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1"/>
      <c r="AN168" s="1"/>
      <c r="AO168" s="1"/>
      <c r="AP168" s="1"/>
      <c r="AQ168" s="1"/>
      <c r="AR168" s="1"/>
      <c r="AS168" s="1"/>
      <c r="AT168" s="1"/>
      <c r="AU168" s="1"/>
      <c r="AV168" s="1"/>
      <c r="AW168" s="1"/>
      <c r="AX168" s="1"/>
      <c r="AY168" s="1"/>
      <c r="AZ168" s="1"/>
      <c r="BA168" s="1"/>
      <c r="BB168" s="1"/>
    </row>
    <row r="169" spans="1:54" x14ac:dyDescent="0.25">
      <c r="A169" s="1"/>
      <c r="B169" s="1"/>
      <c r="C169" s="1"/>
      <c r="D169" s="1"/>
      <c r="E169" s="1"/>
      <c r="F169" s="1"/>
      <c r="G169" s="1"/>
      <c r="H169" s="7"/>
      <c r="I169" s="1"/>
      <c r="J169" s="1"/>
      <c r="K169" s="1"/>
      <c r="L169" s="1"/>
      <c r="M169" s="1"/>
      <c r="N169" s="1"/>
      <c r="O169" s="26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  <c r="AM169" s="1"/>
      <c r="AN169" s="1"/>
      <c r="AO169" s="1"/>
      <c r="AP169" s="1"/>
      <c r="AQ169" s="1"/>
      <c r="AR169" s="1"/>
      <c r="AS169" s="1"/>
      <c r="AT169" s="1"/>
      <c r="AU169" s="1"/>
      <c r="AV169" s="1"/>
      <c r="AW169" s="1"/>
      <c r="AX169" s="1"/>
      <c r="AY169" s="1"/>
      <c r="AZ169" s="1"/>
      <c r="BA169" s="1"/>
      <c r="BB169" s="1"/>
    </row>
    <row r="170" spans="1:54" x14ac:dyDescent="0.25">
      <c r="A170" s="1"/>
      <c r="B170" s="1"/>
      <c r="C170" s="1"/>
      <c r="D170" s="1"/>
      <c r="E170" s="1"/>
      <c r="F170" s="1"/>
      <c r="G170" s="1"/>
      <c r="H170" s="7"/>
      <c r="I170" s="1"/>
      <c r="J170" s="1"/>
      <c r="K170" s="1"/>
      <c r="L170" s="1"/>
      <c r="M170" s="1"/>
      <c r="N170" s="1"/>
      <c r="O170" s="26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1"/>
      <c r="AN170" s="1"/>
      <c r="AO170" s="1"/>
      <c r="AP170" s="1"/>
      <c r="AQ170" s="1"/>
      <c r="AR170" s="1"/>
      <c r="AS170" s="1"/>
      <c r="AT170" s="1"/>
      <c r="AU170" s="1"/>
      <c r="AV170" s="1"/>
      <c r="AW170" s="1"/>
      <c r="AX170" s="1"/>
      <c r="AY170" s="1"/>
      <c r="AZ170" s="1"/>
      <c r="BA170" s="1"/>
      <c r="BB170" s="1"/>
    </row>
    <row r="171" spans="1:54" x14ac:dyDescent="0.25">
      <c r="A171" s="1"/>
      <c r="B171" s="1"/>
      <c r="C171" s="1"/>
      <c r="D171" s="1"/>
      <c r="E171" s="1"/>
      <c r="F171" s="1"/>
      <c r="G171" s="1"/>
      <c r="H171" s="7"/>
      <c r="I171" s="1"/>
      <c r="J171" s="1"/>
      <c r="K171" s="1"/>
      <c r="L171" s="1"/>
      <c r="M171" s="1"/>
      <c r="N171" s="1"/>
      <c r="O171" s="26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1"/>
      <c r="AN171" s="1"/>
      <c r="AO171" s="1"/>
      <c r="AP171" s="1"/>
      <c r="AQ171" s="1"/>
      <c r="AR171" s="1"/>
      <c r="AS171" s="1"/>
      <c r="AT171" s="1"/>
      <c r="AU171" s="1"/>
      <c r="AV171" s="1"/>
      <c r="AW171" s="1"/>
      <c r="AX171" s="1"/>
      <c r="AY171" s="1"/>
      <c r="AZ171" s="1"/>
      <c r="BA171" s="1"/>
      <c r="BB171" s="1"/>
    </row>
    <row r="172" spans="1:54" x14ac:dyDescent="0.25">
      <c r="A172" s="1"/>
      <c r="B172" s="1"/>
      <c r="C172" s="1"/>
      <c r="D172" s="1"/>
      <c r="E172" s="1"/>
      <c r="F172" s="1"/>
      <c r="G172" s="1"/>
      <c r="H172" s="7"/>
      <c r="I172" s="1"/>
      <c r="J172" s="1"/>
      <c r="K172" s="1"/>
      <c r="L172" s="1"/>
      <c r="M172" s="1"/>
      <c r="N172" s="1"/>
      <c r="O172" s="26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1"/>
      <c r="AN172" s="1"/>
      <c r="AO172" s="1"/>
      <c r="AP172" s="1"/>
      <c r="AQ172" s="1"/>
      <c r="AR172" s="1"/>
      <c r="AS172" s="1"/>
      <c r="AT172" s="1"/>
      <c r="AU172" s="1"/>
      <c r="AV172" s="1"/>
      <c r="AW172" s="1"/>
      <c r="AX172" s="1"/>
      <c r="AY172" s="1"/>
      <c r="AZ172" s="1"/>
      <c r="BA172" s="1"/>
      <c r="BB172" s="1"/>
    </row>
    <row r="173" spans="1:54" x14ac:dyDescent="0.25">
      <c r="A173" s="1"/>
      <c r="B173" s="1"/>
      <c r="C173" s="1"/>
      <c r="D173" s="1"/>
      <c r="E173" s="1"/>
      <c r="F173" s="1"/>
      <c r="G173" s="1"/>
      <c r="H173" s="7"/>
      <c r="I173" s="1"/>
      <c r="J173" s="1"/>
      <c r="K173" s="1"/>
      <c r="L173" s="1"/>
      <c r="M173" s="1"/>
      <c r="N173" s="1"/>
      <c r="O173" s="26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1"/>
      <c r="AN173" s="1"/>
      <c r="AO173" s="1"/>
      <c r="AP173" s="1"/>
      <c r="AQ173" s="1"/>
      <c r="AR173" s="1"/>
      <c r="AS173" s="1"/>
      <c r="AT173" s="1"/>
      <c r="AU173" s="1"/>
      <c r="AV173" s="1"/>
      <c r="AW173" s="1"/>
      <c r="AX173" s="1"/>
      <c r="AY173" s="1"/>
      <c r="AZ173" s="1"/>
      <c r="BA173" s="1"/>
      <c r="BB173" s="1"/>
    </row>
    <row r="174" spans="1:54" x14ac:dyDescent="0.25">
      <c r="A174" s="1"/>
      <c r="B174" s="1"/>
      <c r="C174" s="1"/>
      <c r="D174" s="1"/>
      <c r="E174" s="1"/>
      <c r="F174" s="1"/>
      <c r="G174" s="1"/>
      <c r="H174" s="7"/>
      <c r="I174" s="1"/>
      <c r="J174" s="1"/>
      <c r="K174" s="1"/>
      <c r="L174" s="1"/>
      <c r="M174" s="1"/>
      <c r="N174" s="1"/>
      <c r="O174" s="26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  <c r="AM174" s="1"/>
      <c r="AN174" s="1"/>
      <c r="AO174" s="1"/>
      <c r="AP174" s="1"/>
      <c r="AQ174" s="1"/>
      <c r="AR174" s="1"/>
      <c r="AS174" s="1"/>
      <c r="AT174" s="1"/>
      <c r="AU174" s="1"/>
      <c r="AV174" s="1"/>
      <c r="AW174" s="1"/>
      <c r="AX174" s="1"/>
      <c r="AY174" s="1"/>
      <c r="AZ174" s="1"/>
      <c r="BA174" s="1"/>
      <c r="BB174" s="1"/>
    </row>
    <row r="175" spans="1:54" x14ac:dyDescent="0.25">
      <c r="A175" s="1"/>
      <c r="B175" s="1"/>
      <c r="C175" s="1"/>
      <c r="D175" s="1"/>
      <c r="E175" s="1"/>
      <c r="F175" s="1"/>
      <c r="G175" s="1"/>
      <c r="H175" s="7"/>
      <c r="I175" s="1"/>
      <c r="J175" s="1"/>
      <c r="K175" s="1"/>
      <c r="L175" s="1"/>
      <c r="M175" s="1"/>
      <c r="N175" s="1"/>
      <c r="O175" s="26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1"/>
      <c r="AN175" s="1"/>
      <c r="AO175" s="1"/>
      <c r="AP175" s="1"/>
      <c r="AQ175" s="1"/>
      <c r="AR175" s="1"/>
      <c r="AS175" s="1"/>
      <c r="AT175" s="1"/>
      <c r="AU175" s="1"/>
      <c r="AV175" s="1"/>
      <c r="AW175" s="1"/>
      <c r="AX175" s="1"/>
      <c r="AY175" s="1"/>
      <c r="AZ175" s="1"/>
      <c r="BA175" s="1"/>
      <c r="BB175" s="1"/>
    </row>
    <row r="176" spans="1:54" x14ac:dyDescent="0.25">
      <c r="A176" s="1"/>
      <c r="B176" s="1"/>
      <c r="C176" s="1"/>
      <c r="D176" s="1"/>
      <c r="E176" s="1"/>
      <c r="F176" s="1"/>
      <c r="G176" s="1"/>
      <c r="H176" s="7"/>
      <c r="I176" s="1"/>
      <c r="J176" s="1"/>
      <c r="K176" s="1"/>
      <c r="L176" s="1"/>
      <c r="M176" s="1"/>
      <c r="N176" s="1"/>
      <c r="O176" s="26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1"/>
      <c r="AN176" s="1"/>
      <c r="AO176" s="1"/>
      <c r="AP176" s="1"/>
      <c r="AQ176" s="1"/>
      <c r="AR176" s="1"/>
      <c r="AS176" s="1"/>
      <c r="AT176" s="1"/>
      <c r="AU176" s="1"/>
      <c r="AV176" s="1"/>
      <c r="AW176" s="1"/>
      <c r="AX176" s="1"/>
      <c r="AY176" s="1"/>
      <c r="AZ176" s="1"/>
      <c r="BA176" s="1"/>
      <c r="BB176" s="1"/>
    </row>
    <row r="177" spans="1:54" x14ac:dyDescent="0.25">
      <c r="A177" s="1"/>
      <c r="B177" s="1"/>
      <c r="C177" s="1"/>
      <c r="D177" s="1"/>
      <c r="E177" s="1"/>
      <c r="F177" s="1"/>
      <c r="G177" s="1"/>
      <c r="H177" s="7"/>
      <c r="I177" s="1"/>
      <c r="J177" s="1"/>
      <c r="K177" s="1"/>
      <c r="L177" s="1"/>
      <c r="M177" s="1"/>
      <c r="N177" s="1"/>
      <c r="O177" s="26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  <c r="AM177" s="1"/>
      <c r="AN177" s="1"/>
      <c r="AO177" s="1"/>
      <c r="AP177" s="1"/>
      <c r="AQ177" s="1"/>
      <c r="AR177" s="1"/>
      <c r="AS177" s="1"/>
      <c r="AT177" s="1"/>
      <c r="AU177" s="1"/>
      <c r="AV177" s="1"/>
      <c r="AW177" s="1"/>
      <c r="AX177" s="1"/>
      <c r="AY177" s="1"/>
      <c r="AZ177" s="1"/>
      <c r="BA177" s="1"/>
      <c r="BB177" s="1"/>
    </row>
    <row r="178" spans="1:54" x14ac:dyDescent="0.25">
      <c r="A178" s="1"/>
      <c r="B178" s="1"/>
      <c r="C178" s="1"/>
      <c r="D178" s="1"/>
      <c r="E178" s="1"/>
      <c r="F178" s="1"/>
      <c r="G178" s="1"/>
      <c r="H178" s="7"/>
      <c r="I178" s="1"/>
      <c r="J178" s="1"/>
      <c r="K178" s="1"/>
      <c r="L178" s="1"/>
      <c r="M178" s="1"/>
      <c r="N178" s="1"/>
      <c r="O178" s="26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  <c r="AM178" s="1"/>
      <c r="AN178" s="1"/>
      <c r="AO178" s="1"/>
      <c r="AP178" s="1"/>
      <c r="AQ178" s="1"/>
      <c r="AR178" s="1"/>
      <c r="AS178" s="1"/>
      <c r="AT178" s="1"/>
      <c r="AU178" s="1"/>
      <c r="AV178" s="1"/>
      <c r="AW178" s="1"/>
      <c r="AX178" s="1"/>
      <c r="AY178" s="1"/>
      <c r="AZ178" s="1"/>
      <c r="BA178" s="1"/>
      <c r="BB178" s="1"/>
    </row>
    <row r="179" spans="1:54" x14ac:dyDescent="0.25">
      <c r="A179" s="1"/>
      <c r="B179" s="1"/>
      <c r="C179" s="1"/>
      <c r="D179" s="1"/>
      <c r="E179" s="1"/>
      <c r="F179" s="1"/>
      <c r="G179" s="1"/>
      <c r="H179" s="7"/>
      <c r="I179" s="1"/>
      <c r="J179" s="1"/>
      <c r="K179" s="1"/>
      <c r="L179" s="1"/>
      <c r="M179" s="1"/>
      <c r="N179" s="1"/>
      <c r="O179" s="26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  <c r="AM179" s="1"/>
      <c r="AN179" s="1"/>
      <c r="AO179" s="1"/>
      <c r="AP179" s="1"/>
      <c r="AQ179" s="1"/>
      <c r="AR179" s="1"/>
      <c r="AS179" s="1"/>
      <c r="AT179" s="1"/>
      <c r="AU179" s="1"/>
      <c r="AV179" s="1"/>
      <c r="AW179" s="1"/>
      <c r="AX179" s="1"/>
      <c r="AY179" s="1"/>
      <c r="AZ179" s="1"/>
      <c r="BA179" s="1"/>
      <c r="BB179" s="1"/>
    </row>
    <row r="180" spans="1:54" x14ac:dyDescent="0.25">
      <c r="A180" s="1"/>
      <c r="B180" s="1"/>
      <c r="C180" s="1"/>
      <c r="D180" s="1"/>
      <c r="E180" s="1"/>
      <c r="F180" s="1"/>
      <c r="G180" s="1"/>
      <c r="H180" s="7"/>
      <c r="I180" s="1"/>
      <c r="J180" s="1"/>
      <c r="K180" s="1"/>
      <c r="L180" s="1"/>
      <c r="M180" s="1"/>
      <c r="N180" s="1"/>
      <c r="O180" s="26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  <c r="AM180" s="1"/>
      <c r="AN180" s="1"/>
      <c r="AO180" s="1"/>
      <c r="AP180" s="1"/>
      <c r="AQ180" s="1"/>
      <c r="AR180" s="1"/>
      <c r="AS180" s="1"/>
      <c r="AT180" s="1"/>
      <c r="AU180" s="1"/>
      <c r="AV180" s="1"/>
      <c r="AW180" s="1"/>
      <c r="AX180" s="1"/>
      <c r="AY180" s="1"/>
      <c r="AZ180" s="1"/>
      <c r="BA180" s="1"/>
      <c r="BB180" s="1"/>
    </row>
    <row r="181" spans="1:54" x14ac:dyDescent="0.25">
      <c r="A181" s="1"/>
      <c r="B181" s="1"/>
      <c r="C181" s="1"/>
      <c r="D181" s="1"/>
      <c r="E181" s="1"/>
      <c r="F181" s="1"/>
      <c r="G181" s="1"/>
      <c r="H181" s="7"/>
      <c r="I181" s="1"/>
      <c r="J181" s="1"/>
      <c r="K181" s="1"/>
      <c r="L181" s="1"/>
      <c r="M181" s="1"/>
      <c r="N181" s="1"/>
      <c r="O181" s="26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  <c r="AM181" s="1"/>
      <c r="AN181" s="1"/>
      <c r="AO181" s="1"/>
      <c r="AP181" s="1"/>
      <c r="AQ181" s="1"/>
      <c r="AR181" s="1"/>
      <c r="AS181" s="1"/>
      <c r="AT181" s="1"/>
      <c r="AU181" s="1"/>
      <c r="AV181" s="1"/>
      <c r="AW181" s="1"/>
      <c r="AX181" s="1"/>
      <c r="AY181" s="1"/>
      <c r="AZ181" s="1"/>
      <c r="BA181" s="1"/>
      <c r="BB181" s="1"/>
    </row>
    <row r="182" spans="1:54" x14ac:dyDescent="0.25">
      <c r="A182" s="1"/>
      <c r="B182" s="1"/>
      <c r="C182" s="1"/>
      <c r="D182" s="1"/>
      <c r="E182" s="1"/>
      <c r="F182" s="1"/>
      <c r="G182" s="1"/>
      <c r="H182" s="7"/>
      <c r="I182" s="1"/>
      <c r="J182" s="1"/>
      <c r="K182" s="1"/>
      <c r="L182" s="1"/>
      <c r="M182" s="1"/>
      <c r="N182" s="1"/>
      <c r="O182" s="26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  <c r="AM182" s="1"/>
      <c r="AN182" s="1"/>
      <c r="AO182" s="1"/>
      <c r="AP182" s="1"/>
      <c r="AQ182" s="1"/>
      <c r="AR182" s="1"/>
      <c r="AS182" s="1"/>
      <c r="AT182" s="1"/>
      <c r="AU182" s="1"/>
      <c r="AV182" s="1"/>
      <c r="AW182" s="1"/>
      <c r="AX182" s="1"/>
      <c r="AY182" s="1"/>
      <c r="AZ182" s="1"/>
      <c r="BA182" s="1"/>
      <c r="BB182" s="1"/>
    </row>
    <row r="183" spans="1:54" x14ac:dyDescent="0.25">
      <c r="A183" s="1"/>
      <c r="B183" s="1"/>
      <c r="C183" s="1"/>
      <c r="D183" s="1"/>
      <c r="E183" s="1"/>
      <c r="F183" s="1"/>
      <c r="G183" s="1"/>
      <c r="H183" s="7"/>
      <c r="I183" s="1"/>
      <c r="J183" s="1"/>
      <c r="K183" s="1"/>
      <c r="L183" s="1"/>
      <c r="M183" s="1"/>
      <c r="N183" s="1"/>
      <c r="O183" s="26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  <c r="AM183" s="1"/>
      <c r="AN183" s="1"/>
      <c r="AO183" s="1"/>
      <c r="AP183" s="1"/>
      <c r="AQ183" s="1"/>
      <c r="AR183" s="1"/>
      <c r="AS183" s="1"/>
      <c r="AT183" s="1"/>
      <c r="AU183" s="1"/>
      <c r="AV183" s="1"/>
      <c r="AW183" s="1"/>
      <c r="AX183" s="1"/>
      <c r="AY183" s="1"/>
      <c r="AZ183" s="1"/>
      <c r="BA183" s="1"/>
      <c r="BB183" s="1"/>
    </row>
    <row r="184" spans="1:54" x14ac:dyDescent="0.25">
      <c r="A184" s="1"/>
      <c r="B184" s="1"/>
      <c r="C184" s="1"/>
      <c r="D184" s="1"/>
      <c r="E184" s="1"/>
      <c r="F184" s="1"/>
      <c r="G184" s="1"/>
      <c r="H184" s="7"/>
      <c r="I184" s="1"/>
      <c r="J184" s="1"/>
      <c r="K184" s="1"/>
      <c r="L184" s="1"/>
      <c r="M184" s="1"/>
      <c r="N184" s="1"/>
      <c r="O184" s="26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  <c r="AM184" s="1"/>
      <c r="AN184" s="1"/>
      <c r="AO184" s="1"/>
      <c r="AP184" s="1"/>
      <c r="AQ184" s="1"/>
      <c r="AR184" s="1"/>
      <c r="AS184" s="1"/>
      <c r="AT184" s="1"/>
      <c r="AU184" s="1"/>
      <c r="AV184" s="1"/>
      <c r="AW184" s="1"/>
      <c r="AX184" s="1"/>
      <c r="AY184" s="1"/>
      <c r="AZ184" s="1"/>
      <c r="BA184" s="1"/>
      <c r="BB184" s="1"/>
    </row>
    <row r="185" spans="1:54" x14ac:dyDescent="0.25">
      <c r="A185" s="1"/>
      <c r="B185" s="1"/>
      <c r="C185" s="1"/>
      <c r="D185" s="1"/>
      <c r="E185" s="1"/>
      <c r="F185" s="1"/>
      <c r="G185" s="1"/>
      <c r="H185" s="7"/>
      <c r="I185" s="1"/>
      <c r="J185" s="1"/>
      <c r="K185" s="1"/>
      <c r="L185" s="1"/>
      <c r="M185" s="1"/>
      <c r="N185" s="1"/>
      <c r="O185" s="26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  <c r="AM185" s="1"/>
      <c r="AN185" s="1"/>
      <c r="AO185" s="1"/>
      <c r="AP185" s="1"/>
      <c r="AQ185" s="1"/>
      <c r="AR185" s="1"/>
      <c r="AS185" s="1"/>
      <c r="AT185" s="1"/>
      <c r="AU185" s="1"/>
      <c r="AV185" s="1"/>
      <c r="AW185" s="1"/>
      <c r="AX185" s="1"/>
      <c r="AY185" s="1"/>
      <c r="AZ185" s="1"/>
      <c r="BA185" s="1"/>
      <c r="BB185" s="1"/>
    </row>
    <row r="186" spans="1:54" x14ac:dyDescent="0.25">
      <c r="A186" s="1"/>
      <c r="B186" s="1"/>
      <c r="C186" s="1"/>
      <c r="D186" s="1"/>
      <c r="E186" s="1"/>
      <c r="F186" s="1"/>
      <c r="G186" s="1"/>
      <c r="H186" s="7"/>
      <c r="I186" s="1"/>
      <c r="J186" s="1"/>
      <c r="K186" s="1"/>
      <c r="L186" s="1"/>
      <c r="M186" s="1"/>
      <c r="N186" s="1"/>
      <c r="O186" s="26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  <c r="AM186" s="1"/>
      <c r="AN186" s="1"/>
      <c r="AO186" s="1"/>
      <c r="AP186" s="1"/>
      <c r="AQ186" s="1"/>
      <c r="AR186" s="1"/>
      <c r="AS186" s="1"/>
      <c r="AT186" s="1"/>
      <c r="AU186" s="1"/>
      <c r="AV186" s="1"/>
      <c r="AW186" s="1"/>
      <c r="AX186" s="1"/>
      <c r="AY186" s="1"/>
      <c r="AZ186" s="1"/>
      <c r="BA186" s="1"/>
      <c r="BB186" s="1"/>
    </row>
    <row r="187" spans="1:54" x14ac:dyDescent="0.25">
      <c r="A187" s="1"/>
      <c r="B187" s="1"/>
      <c r="C187" s="1"/>
      <c r="D187" s="1"/>
      <c r="E187" s="1"/>
      <c r="F187" s="1"/>
      <c r="G187" s="1"/>
      <c r="H187" s="7"/>
      <c r="I187" s="1"/>
      <c r="J187" s="1"/>
      <c r="K187" s="1"/>
      <c r="L187" s="1"/>
      <c r="M187" s="1"/>
      <c r="N187" s="1"/>
      <c r="O187" s="26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  <c r="AM187" s="1"/>
      <c r="AN187" s="1"/>
      <c r="AO187" s="1"/>
      <c r="AP187" s="1"/>
      <c r="AQ187" s="1"/>
      <c r="AR187" s="1"/>
      <c r="AS187" s="1"/>
      <c r="AT187" s="1"/>
      <c r="AU187" s="1"/>
      <c r="AV187" s="1"/>
      <c r="AW187" s="1"/>
      <c r="AX187" s="1"/>
      <c r="AY187" s="1"/>
      <c r="AZ187" s="1"/>
      <c r="BA187" s="1"/>
      <c r="BB187" s="1"/>
    </row>
    <row r="188" spans="1:54" x14ac:dyDescent="0.25">
      <c r="A188" s="1"/>
      <c r="B188" s="1"/>
      <c r="C188" s="1"/>
      <c r="D188" s="1"/>
      <c r="E188" s="1"/>
      <c r="F188" s="1"/>
      <c r="G188" s="1"/>
      <c r="H188" s="7"/>
      <c r="I188" s="1"/>
      <c r="J188" s="1"/>
      <c r="K188" s="1"/>
      <c r="L188" s="1"/>
      <c r="M188" s="1"/>
      <c r="N188" s="1"/>
      <c r="O188" s="26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  <c r="AM188" s="1"/>
      <c r="AN188" s="1"/>
      <c r="AO188" s="1"/>
      <c r="AP188" s="1"/>
      <c r="AQ188" s="1"/>
      <c r="AR188" s="1"/>
      <c r="AS188" s="1"/>
      <c r="AT188" s="1"/>
      <c r="AU188" s="1"/>
      <c r="AV188" s="1"/>
      <c r="AW188" s="1"/>
      <c r="AX188" s="1"/>
      <c r="AY188" s="1"/>
      <c r="AZ188" s="1"/>
      <c r="BA188" s="1"/>
      <c r="BB188" s="1"/>
    </row>
    <row r="189" spans="1:54" x14ac:dyDescent="0.25">
      <c r="A189" s="1"/>
      <c r="B189" s="1"/>
      <c r="C189" s="1"/>
      <c r="D189" s="1"/>
      <c r="E189" s="1"/>
      <c r="F189" s="1"/>
      <c r="G189" s="1"/>
      <c r="H189" s="7"/>
      <c r="I189" s="1"/>
      <c r="J189" s="1"/>
      <c r="K189" s="1"/>
      <c r="L189" s="1"/>
      <c r="M189" s="1"/>
      <c r="N189" s="1"/>
      <c r="O189" s="26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  <c r="AM189" s="1"/>
      <c r="AN189" s="1"/>
      <c r="AO189" s="1"/>
      <c r="AP189" s="1"/>
      <c r="AQ189" s="1"/>
      <c r="AR189" s="1"/>
      <c r="AS189" s="1"/>
      <c r="AT189" s="1"/>
      <c r="AU189" s="1"/>
      <c r="AV189" s="1"/>
      <c r="AW189" s="1"/>
      <c r="AX189" s="1"/>
      <c r="AY189" s="1"/>
      <c r="AZ189" s="1"/>
      <c r="BA189" s="1"/>
      <c r="BB189" s="1"/>
    </row>
    <row r="190" spans="1:54" x14ac:dyDescent="0.25">
      <c r="A190" s="1"/>
      <c r="B190" s="1"/>
      <c r="C190" s="1"/>
      <c r="D190" s="1"/>
      <c r="E190" s="1"/>
      <c r="F190" s="1"/>
      <c r="G190" s="1"/>
      <c r="H190" s="7"/>
      <c r="I190" s="1"/>
      <c r="J190" s="1"/>
      <c r="K190" s="1"/>
      <c r="L190" s="1"/>
      <c r="M190" s="1"/>
      <c r="N190" s="1"/>
      <c r="O190" s="26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  <c r="AM190" s="1"/>
      <c r="AN190" s="1"/>
      <c r="AO190" s="1"/>
      <c r="AP190" s="1"/>
      <c r="AQ190" s="1"/>
      <c r="AR190" s="1"/>
      <c r="AS190" s="1"/>
      <c r="AT190" s="1"/>
      <c r="AU190" s="1"/>
      <c r="AV190" s="1"/>
      <c r="AW190" s="1"/>
      <c r="AX190" s="1"/>
      <c r="AY190" s="1"/>
      <c r="AZ190" s="1"/>
      <c r="BA190" s="1"/>
      <c r="BB190" s="1"/>
    </row>
    <row r="191" spans="1:54" x14ac:dyDescent="0.25">
      <c r="A191" s="1"/>
      <c r="B191" s="1"/>
      <c r="C191" s="1"/>
      <c r="D191" s="1"/>
      <c r="E191" s="1"/>
      <c r="F191" s="1"/>
      <c r="G191" s="1"/>
      <c r="H191" s="7"/>
      <c r="I191" s="1"/>
      <c r="J191" s="1"/>
      <c r="K191" s="1"/>
      <c r="L191" s="1"/>
      <c r="M191" s="1"/>
      <c r="N191" s="1"/>
      <c r="O191" s="26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  <c r="AM191" s="1"/>
      <c r="AN191" s="1"/>
      <c r="AO191" s="1"/>
      <c r="AP191" s="1"/>
      <c r="AQ191" s="1"/>
      <c r="AR191" s="1"/>
      <c r="AS191" s="1"/>
      <c r="AT191" s="1"/>
      <c r="AU191" s="1"/>
      <c r="AV191" s="1"/>
      <c r="AW191" s="1"/>
      <c r="AX191" s="1"/>
      <c r="AY191" s="1"/>
      <c r="AZ191" s="1"/>
      <c r="BA191" s="1"/>
      <c r="BB191" s="1"/>
    </row>
    <row r="192" spans="1:54" x14ac:dyDescent="0.25">
      <c r="A192" s="1"/>
      <c r="B192" s="1"/>
      <c r="C192" s="1"/>
      <c r="D192" s="1"/>
      <c r="E192" s="1"/>
      <c r="F192" s="1"/>
      <c r="G192" s="1"/>
      <c r="H192" s="7"/>
      <c r="I192" s="1"/>
      <c r="J192" s="1"/>
      <c r="K192" s="1"/>
      <c r="L192" s="1"/>
      <c r="M192" s="1"/>
      <c r="N192" s="1"/>
      <c r="O192" s="26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  <c r="AM192" s="1"/>
      <c r="AN192" s="1"/>
      <c r="AO192" s="1"/>
      <c r="AP192" s="1"/>
      <c r="AQ192" s="1"/>
      <c r="AR192" s="1"/>
      <c r="AS192" s="1"/>
      <c r="AT192" s="1"/>
      <c r="AU192" s="1"/>
      <c r="AV192" s="1"/>
      <c r="AW192" s="1"/>
      <c r="AX192" s="1"/>
      <c r="AY192" s="1"/>
      <c r="AZ192" s="1"/>
      <c r="BA192" s="1"/>
      <c r="BB192" s="1"/>
    </row>
    <row r="193" spans="1:54" x14ac:dyDescent="0.25">
      <c r="A193" s="1"/>
      <c r="B193" s="1"/>
      <c r="C193" s="1"/>
      <c r="D193" s="1"/>
      <c r="E193" s="1"/>
      <c r="F193" s="1"/>
      <c r="G193" s="1"/>
      <c r="H193" s="7"/>
      <c r="I193" s="1"/>
      <c r="J193" s="1"/>
      <c r="K193" s="1"/>
      <c r="L193" s="1"/>
      <c r="M193" s="1"/>
      <c r="N193" s="1"/>
      <c r="O193" s="26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  <c r="AM193" s="1"/>
      <c r="AN193" s="1"/>
      <c r="AO193" s="1"/>
      <c r="AP193" s="1"/>
      <c r="AQ193" s="1"/>
      <c r="AR193" s="1"/>
      <c r="AS193" s="1"/>
      <c r="AT193" s="1"/>
      <c r="AU193" s="1"/>
      <c r="AV193" s="1"/>
      <c r="AW193" s="1"/>
      <c r="AX193" s="1"/>
      <c r="AY193" s="1"/>
      <c r="AZ193" s="1"/>
      <c r="BA193" s="1"/>
      <c r="BB193" s="1"/>
    </row>
    <row r="194" spans="1:54" x14ac:dyDescent="0.25">
      <c r="A194" s="1"/>
      <c r="B194" s="1"/>
      <c r="C194" s="1"/>
      <c r="D194" s="1"/>
      <c r="E194" s="1"/>
      <c r="F194" s="1"/>
      <c r="G194" s="1"/>
      <c r="H194" s="7"/>
      <c r="I194" s="1"/>
      <c r="J194" s="1"/>
      <c r="K194" s="1"/>
      <c r="L194" s="1"/>
      <c r="M194" s="1"/>
      <c r="N194" s="1"/>
      <c r="O194" s="26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  <c r="AM194" s="1"/>
      <c r="AN194" s="1"/>
      <c r="AO194" s="1"/>
      <c r="AP194" s="1"/>
      <c r="AQ194" s="1"/>
      <c r="AR194" s="1"/>
      <c r="AS194" s="1"/>
      <c r="AT194" s="1"/>
      <c r="AU194" s="1"/>
      <c r="AV194" s="1"/>
      <c r="AW194" s="1"/>
      <c r="AX194" s="1"/>
      <c r="AY194" s="1"/>
      <c r="AZ194" s="1"/>
      <c r="BA194" s="1"/>
      <c r="BB194" s="1"/>
    </row>
    <row r="195" spans="1:54" x14ac:dyDescent="0.25">
      <c r="A195" s="1"/>
      <c r="B195" s="1"/>
      <c r="C195" s="1"/>
      <c r="D195" s="1"/>
      <c r="E195" s="1"/>
      <c r="F195" s="1"/>
      <c r="G195" s="1"/>
      <c r="H195" s="7"/>
      <c r="I195" s="1"/>
      <c r="J195" s="1"/>
      <c r="K195" s="1"/>
      <c r="L195" s="1"/>
      <c r="M195" s="1"/>
      <c r="N195" s="1"/>
      <c r="O195" s="26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  <c r="AM195" s="1"/>
      <c r="AN195" s="1"/>
      <c r="AO195" s="1"/>
      <c r="AP195" s="1"/>
      <c r="AQ195" s="1"/>
      <c r="AR195" s="1"/>
      <c r="AS195" s="1"/>
      <c r="AT195" s="1"/>
      <c r="AU195" s="1"/>
      <c r="AV195" s="1"/>
      <c r="AW195" s="1"/>
      <c r="AX195" s="1"/>
      <c r="AY195" s="1"/>
      <c r="AZ195" s="1"/>
      <c r="BA195" s="1"/>
      <c r="BB195" s="1"/>
    </row>
    <row r="196" spans="1:54" x14ac:dyDescent="0.25">
      <c r="A196" s="1"/>
      <c r="B196" s="1"/>
      <c r="C196" s="1"/>
      <c r="D196" s="1"/>
      <c r="E196" s="1"/>
      <c r="F196" s="1"/>
      <c r="G196" s="1"/>
      <c r="H196" s="7"/>
      <c r="I196" s="1"/>
      <c r="J196" s="1"/>
      <c r="K196" s="1"/>
      <c r="L196" s="1"/>
      <c r="M196" s="1"/>
      <c r="N196" s="1"/>
      <c r="O196" s="26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  <c r="AM196" s="1"/>
      <c r="AN196" s="1"/>
      <c r="AO196" s="1"/>
      <c r="AP196" s="1"/>
      <c r="AQ196" s="1"/>
      <c r="AR196" s="1"/>
      <c r="AS196" s="1"/>
      <c r="AT196" s="1"/>
      <c r="AU196" s="1"/>
      <c r="AV196" s="1"/>
      <c r="AW196" s="1"/>
      <c r="AX196" s="1"/>
      <c r="AY196" s="1"/>
      <c r="AZ196" s="1"/>
      <c r="BA196" s="1"/>
      <c r="BB196" s="1"/>
    </row>
    <row r="197" spans="1:54" x14ac:dyDescent="0.25">
      <c r="A197" s="1"/>
      <c r="B197" s="1"/>
      <c r="C197" s="1"/>
      <c r="D197" s="1"/>
      <c r="E197" s="1"/>
      <c r="F197" s="1"/>
      <c r="G197" s="1"/>
      <c r="H197" s="7"/>
      <c r="I197" s="1"/>
      <c r="J197" s="1"/>
      <c r="K197" s="1"/>
      <c r="L197" s="1"/>
      <c r="M197" s="1"/>
      <c r="N197" s="1"/>
      <c r="O197" s="26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  <c r="AM197" s="1"/>
      <c r="AN197" s="1"/>
      <c r="AO197" s="1"/>
      <c r="AP197" s="1"/>
      <c r="AQ197" s="1"/>
      <c r="AR197" s="1"/>
      <c r="AS197" s="1"/>
      <c r="AT197" s="1"/>
      <c r="AU197" s="1"/>
      <c r="AV197" s="1"/>
      <c r="AW197" s="1"/>
      <c r="AX197" s="1"/>
      <c r="AY197" s="1"/>
      <c r="AZ197" s="1"/>
      <c r="BA197" s="1"/>
      <c r="BB197" s="1"/>
    </row>
    <row r="198" spans="1:54" x14ac:dyDescent="0.25">
      <c r="A198" s="1"/>
      <c r="B198" s="1"/>
      <c r="C198" s="1"/>
      <c r="D198" s="1"/>
      <c r="E198" s="1"/>
      <c r="F198" s="1"/>
      <c r="G198" s="1"/>
      <c r="H198" s="7"/>
      <c r="I198" s="1"/>
      <c r="J198" s="1"/>
      <c r="K198" s="1"/>
      <c r="L198" s="1"/>
      <c r="M198" s="1"/>
      <c r="N198" s="1"/>
      <c r="O198" s="26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  <c r="AM198" s="1"/>
      <c r="AN198" s="1"/>
      <c r="AO198" s="1"/>
      <c r="AP198" s="1"/>
      <c r="AQ198" s="1"/>
      <c r="AR198" s="1"/>
      <c r="AS198" s="1"/>
      <c r="AT198" s="1"/>
      <c r="AU198" s="1"/>
      <c r="AV198" s="1"/>
      <c r="AW198" s="1"/>
      <c r="AX198" s="1"/>
      <c r="AY198" s="1"/>
      <c r="AZ198" s="1"/>
      <c r="BA198" s="1"/>
      <c r="BB198" s="1"/>
    </row>
    <row r="199" spans="1:54" x14ac:dyDescent="0.25">
      <c r="A199" s="1"/>
      <c r="B199" s="1"/>
      <c r="C199" s="1"/>
      <c r="D199" s="1"/>
      <c r="E199" s="1"/>
      <c r="F199" s="1"/>
      <c r="G199" s="1"/>
      <c r="H199" s="7"/>
      <c r="I199" s="1"/>
      <c r="J199" s="1"/>
      <c r="K199" s="1"/>
      <c r="L199" s="1"/>
      <c r="M199" s="1"/>
      <c r="N199" s="1"/>
      <c r="O199" s="26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  <c r="AM199" s="1"/>
      <c r="AN199" s="1"/>
      <c r="AO199" s="1"/>
      <c r="AP199" s="1"/>
      <c r="AQ199" s="1"/>
      <c r="AR199" s="1"/>
      <c r="AS199" s="1"/>
      <c r="AT199" s="1"/>
      <c r="AU199" s="1"/>
      <c r="AV199" s="1"/>
      <c r="AW199" s="1"/>
      <c r="AX199" s="1"/>
      <c r="AY199" s="1"/>
      <c r="AZ199" s="1"/>
      <c r="BA199" s="1"/>
      <c r="BB199" s="1"/>
    </row>
    <row r="200" spans="1:54" x14ac:dyDescent="0.25">
      <c r="A200" s="1"/>
      <c r="B200" s="1"/>
      <c r="C200" s="1"/>
      <c r="D200" s="1"/>
      <c r="E200" s="1"/>
      <c r="F200" s="1"/>
      <c r="G200" s="1"/>
      <c r="H200" s="7"/>
      <c r="I200" s="1"/>
      <c r="J200" s="1"/>
      <c r="K200" s="1"/>
      <c r="L200" s="1"/>
      <c r="M200" s="1"/>
      <c r="N200" s="1"/>
      <c r="O200" s="26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  <c r="AM200" s="1"/>
      <c r="AN200" s="1"/>
      <c r="AO200" s="1"/>
      <c r="AP200" s="1"/>
      <c r="AQ200" s="1"/>
      <c r="AR200" s="1"/>
      <c r="AS200" s="1"/>
      <c r="AT200" s="1"/>
      <c r="AU200" s="1"/>
      <c r="AV200" s="1"/>
      <c r="AW200" s="1"/>
      <c r="AX200" s="1"/>
      <c r="AY200" s="1"/>
      <c r="AZ200" s="1"/>
      <c r="BA200" s="1"/>
      <c r="BB200" s="1"/>
    </row>
    <row r="201" spans="1:54" x14ac:dyDescent="0.25">
      <c r="A201" s="1"/>
      <c r="B201" s="1"/>
      <c r="C201" s="1"/>
      <c r="D201" s="1"/>
      <c r="E201" s="1"/>
      <c r="F201" s="1"/>
      <c r="G201" s="1"/>
      <c r="H201" s="7"/>
      <c r="I201" s="1"/>
      <c r="J201" s="1"/>
      <c r="K201" s="1"/>
      <c r="L201" s="1"/>
      <c r="M201" s="1"/>
      <c r="N201" s="1"/>
      <c r="O201" s="26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  <c r="AM201" s="1"/>
      <c r="AN201" s="1"/>
      <c r="AO201" s="1"/>
      <c r="AP201" s="1"/>
      <c r="AQ201" s="1"/>
      <c r="AR201" s="1"/>
      <c r="AS201" s="1"/>
      <c r="AT201" s="1"/>
      <c r="AU201" s="1"/>
      <c r="AV201" s="1"/>
      <c r="AW201" s="1"/>
      <c r="AX201" s="1"/>
      <c r="AY201" s="1"/>
      <c r="AZ201" s="1"/>
      <c r="BA201" s="1"/>
      <c r="BB201" s="1"/>
    </row>
    <row r="202" spans="1:54" x14ac:dyDescent="0.25">
      <c r="A202" s="1"/>
      <c r="B202" s="1"/>
      <c r="C202" s="1"/>
      <c r="D202" s="1"/>
      <c r="E202" s="1"/>
      <c r="F202" s="1"/>
      <c r="G202" s="1"/>
      <c r="H202" s="7"/>
      <c r="I202" s="1"/>
      <c r="J202" s="1"/>
      <c r="K202" s="1"/>
      <c r="L202" s="1"/>
      <c r="M202" s="1"/>
      <c r="N202" s="1"/>
      <c r="O202" s="26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  <c r="AM202" s="1"/>
      <c r="AN202" s="1"/>
      <c r="AO202" s="1"/>
      <c r="AP202" s="1"/>
      <c r="AQ202" s="1"/>
      <c r="AR202" s="1"/>
      <c r="AS202" s="1"/>
      <c r="AT202" s="1"/>
      <c r="AU202" s="1"/>
      <c r="AV202" s="1"/>
      <c r="AW202" s="1"/>
      <c r="AX202" s="1"/>
      <c r="AY202" s="1"/>
      <c r="AZ202" s="1"/>
      <c r="BA202" s="1"/>
      <c r="BB202" s="1"/>
    </row>
    <row r="203" spans="1:54" x14ac:dyDescent="0.25">
      <c r="A203" s="1"/>
      <c r="B203" s="1"/>
      <c r="C203" s="1"/>
      <c r="D203" s="1"/>
      <c r="E203" s="1"/>
      <c r="F203" s="1"/>
      <c r="G203" s="1"/>
      <c r="H203" s="7"/>
      <c r="I203" s="1"/>
      <c r="J203" s="1"/>
      <c r="K203" s="1"/>
      <c r="L203" s="1"/>
      <c r="M203" s="1"/>
      <c r="N203" s="1"/>
      <c r="O203" s="26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  <c r="AM203" s="1"/>
      <c r="AN203" s="1"/>
      <c r="AO203" s="1"/>
      <c r="AP203" s="1"/>
      <c r="AQ203" s="1"/>
      <c r="AR203" s="1"/>
      <c r="AS203" s="1"/>
      <c r="AT203" s="1"/>
      <c r="AU203" s="1"/>
      <c r="AV203" s="1"/>
      <c r="AW203" s="1"/>
      <c r="AX203" s="1"/>
      <c r="AY203" s="1"/>
      <c r="AZ203" s="1"/>
      <c r="BA203" s="1"/>
      <c r="BB203" s="1"/>
    </row>
    <row r="204" spans="1:54" x14ac:dyDescent="0.25">
      <c r="A204" s="1"/>
      <c r="B204" s="1"/>
      <c r="C204" s="1"/>
      <c r="D204" s="1"/>
      <c r="E204" s="1"/>
      <c r="F204" s="1"/>
      <c r="G204" s="1"/>
      <c r="H204" s="7"/>
      <c r="I204" s="1"/>
      <c r="J204" s="1"/>
      <c r="K204" s="1"/>
      <c r="L204" s="1"/>
      <c r="M204" s="1"/>
      <c r="N204" s="1"/>
      <c r="O204" s="26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1"/>
      <c r="AM204" s="1"/>
      <c r="AN204" s="1"/>
      <c r="AO204" s="1"/>
      <c r="AP204" s="1"/>
      <c r="AQ204" s="1"/>
      <c r="AR204" s="1"/>
      <c r="AS204" s="1"/>
      <c r="AT204" s="1"/>
      <c r="AU204" s="1"/>
      <c r="AV204" s="1"/>
      <c r="AW204" s="1"/>
      <c r="AX204" s="1"/>
      <c r="AY204" s="1"/>
      <c r="AZ204" s="1"/>
      <c r="BA204" s="1"/>
      <c r="BB204" s="1"/>
    </row>
    <row r="205" spans="1:54" x14ac:dyDescent="0.25">
      <c r="A205" s="1"/>
      <c r="B205" s="1"/>
      <c r="C205" s="1"/>
      <c r="D205" s="1"/>
      <c r="E205" s="1"/>
      <c r="F205" s="1"/>
      <c r="G205" s="1"/>
      <c r="H205" s="7"/>
      <c r="I205" s="1"/>
      <c r="J205" s="1"/>
      <c r="K205" s="1"/>
      <c r="L205" s="1"/>
      <c r="M205" s="1"/>
      <c r="N205" s="1"/>
      <c r="O205" s="26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  <c r="AM205" s="1"/>
      <c r="AN205" s="1"/>
      <c r="AO205" s="1"/>
      <c r="AP205" s="1"/>
      <c r="AQ205" s="1"/>
      <c r="AR205" s="1"/>
      <c r="AS205" s="1"/>
      <c r="AT205" s="1"/>
      <c r="AU205" s="1"/>
      <c r="AV205" s="1"/>
      <c r="AW205" s="1"/>
      <c r="AX205" s="1"/>
      <c r="AY205" s="1"/>
      <c r="AZ205" s="1"/>
      <c r="BA205" s="1"/>
      <c r="BB205" s="1"/>
    </row>
    <row r="206" spans="1:54" x14ac:dyDescent="0.25">
      <c r="A206" s="1"/>
      <c r="B206" s="1"/>
      <c r="C206" s="1"/>
      <c r="D206" s="1"/>
      <c r="E206" s="1"/>
      <c r="F206" s="1"/>
      <c r="G206" s="1"/>
      <c r="H206" s="7"/>
      <c r="I206" s="1"/>
      <c r="J206" s="1"/>
      <c r="K206" s="1"/>
      <c r="L206" s="1"/>
      <c r="M206" s="1"/>
      <c r="N206" s="1"/>
      <c r="O206" s="26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  <c r="AL206" s="1"/>
      <c r="AM206" s="1"/>
      <c r="AN206" s="1"/>
      <c r="AO206" s="1"/>
      <c r="AP206" s="1"/>
      <c r="AQ206" s="1"/>
      <c r="AR206" s="1"/>
      <c r="AS206" s="1"/>
      <c r="AT206" s="1"/>
      <c r="AU206" s="1"/>
      <c r="AV206" s="1"/>
      <c r="AW206" s="1"/>
      <c r="AX206" s="1"/>
      <c r="AY206" s="1"/>
      <c r="AZ206" s="1"/>
      <c r="BA206" s="1"/>
      <c r="BB206" s="1"/>
    </row>
    <row r="207" spans="1:54" x14ac:dyDescent="0.25">
      <c r="A207" s="1"/>
      <c r="B207" s="1"/>
      <c r="C207" s="1"/>
      <c r="D207" s="1"/>
      <c r="E207" s="1"/>
      <c r="F207" s="1"/>
      <c r="G207" s="1"/>
      <c r="H207" s="7"/>
      <c r="I207" s="1"/>
      <c r="J207" s="1"/>
      <c r="K207" s="1"/>
      <c r="L207" s="1"/>
      <c r="M207" s="1"/>
      <c r="N207" s="1"/>
      <c r="O207" s="26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/>
      <c r="AM207" s="1"/>
      <c r="AN207" s="1"/>
      <c r="AO207" s="1"/>
      <c r="AP207" s="1"/>
      <c r="AQ207" s="1"/>
      <c r="AR207" s="1"/>
      <c r="AS207" s="1"/>
      <c r="AT207" s="1"/>
      <c r="AU207" s="1"/>
      <c r="AV207" s="1"/>
      <c r="AW207" s="1"/>
      <c r="AX207" s="1"/>
      <c r="AY207" s="1"/>
      <c r="AZ207" s="1"/>
      <c r="BA207" s="1"/>
      <c r="BB207" s="1"/>
    </row>
    <row r="208" spans="1:54" x14ac:dyDescent="0.25">
      <c r="A208" s="1"/>
      <c r="B208" s="1"/>
      <c r="C208" s="1"/>
      <c r="D208" s="1"/>
      <c r="E208" s="1"/>
      <c r="F208" s="1"/>
      <c r="G208" s="1"/>
      <c r="H208" s="7"/>
      <c r="I208" s="1"/>
      <c r="J208" s="1"/>
      <c r="K208" s="1"/>
      <c r="L208" s="1"/>
      <c r="M208" s="1"/>
      <c r="N208" s="1"/>
      <c r="O208" s="26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  <c r="AM208" s="1"/>
      <c r="AN208" s="1"/>
      <c r="AO208" s="1"/>
      <c r="AP208" s="1"/>
      <c r="AQ208" s="1"/>
      <c r="AR208" s="1"/>
      <c r="AS208" s="1"/>
      <c r="AT208" s="1"/>
      <c r="AU208" s="1"/>
      <c r="AV208" s="1"/>
      <c r="AW208" s="1"/>
      <c r="AX208" s="1"/>
      <c r="AY208" s="1"/>
      <c r="AZ208" s="1"/>
      <c r="BA208" s="1"/>
      <c r="BB208" s="1"/>
    </row>
    <row r="209" spans="1:54" x14ac:dyDescent="0.25">
      <c r="A209" s="1"/>
      <c r="B209" s="1"/>
      <c r="C209" s="1"/>
      <c r="D209" s="1"/>
      <c r="E209" s="1"/>
      <c r="F209" s="1"/>
      <c r="G209" s="1"/>
      <c r="H209" s="7"/>
      <c r="I209" s="1"/>
      <c r="J209" s="1"/>
      <c r="K209" s="1"/>
      <c r="L209" s="1"/>
      <c r="M209" s="1"/>
      <c r="N209" s="1"/>
      <c r="O209" s="26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  <c r="AM209" s="1"/>
      <c r="AN209" s="1"/>
      <c r="AO209" s="1"/>
      <c r="AP209" s="1"/>
      <c r="AQ209" s="1"/>
      <c r="AR209" s="1"/>
      <c r="AS209" s="1"/>
      <c r="AT209" s="1"/>
      <c r="AU209" s="1"/>
      <c r="AV209" s="1"/>
      <c r="AW209" s="1"/>
      <c r="AX209" s="1"/>
      <c r="AY209" s="1"/>
      <c r="AZ209" s="1"/>
      <c r="BA209" s="1"/>
      <c r="BB209" s="1"/>
    </row>
    <row r="210" spans="1:54" x14ac:dyDescent="0.25">
      <c r="A210" s="1"/>
      <c r="B210" s="1"/>
      <c r="C210" s="1"/>
      <c r="D210" s="1"/>
      <c r="E210" s="1"/>
      <c r="F210" s="1"/>
      <c r="G210" s="1"/>
      <c r="H210" s="7"/>
      <c r="I210" s="1"/>
      <c r="J210" s="1"/>
      <c r="K210" s="1"/>
      <c r="L210" s="1"/>
      <c r="M210" s="1"/>
      <c r="N210" s="1"/>
      <c r="O210" s="26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  <c r="AM210" s="1"/>
      <c r="AN210" s="1"/>
      <c r="AO210" s="1"/>
      <c r="AP210" s="1"/>
      <c r="AQ210" s="1"/>
      <c r="AR210" s="1"/>
      <c r="AS210" s="1"/>
      <c r="AT210" s="1"/>
      <c r="AU210" s="1"/>
      <c r="AV210" s="1"/>
      <c r="AW210" s="1"/>
      <c r="AX210" s="1"/>
      <c r="AY210" s="1"/>
      <c r="AZ210" s="1"/>
      <c r="BA210" s="1"/>
      <c r="BB210" s="1"/>
    </row>
    <row r="211" spans="1:54" x14ac:dyDescent="0.25">
      <c r="A211" s="1"/>
      <c r="B211" s="1"/>
      <c r="C211" s="1"/>
      <c r="D211" s="1"/>
      <c r="E211" s="1"/>
      <c r="F211" s="1"/>
      <c r="G211" s="1"/>
      <c r="H211" s="7"/>
      <c r="I211" s="1"/>
      <c r="J211" s="1"/>
      <c r="K211" s="1"/>
      <c r="L211" s="1"/>
      <c r="M211" s="1"/>
      <c r="N211" s="1"/>
      <c r="O211" s="26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  <c r="AM211" s="1"/>
      <c r="AN211" s="1"/>
      <c r="AO211" s="1"/>
      <c r="AP211" s="1"/>
      <c r="AQ211" s="1"/>
      <c r="AR211" s="1"/>
      <c r="AS211" s="1"/>
      <c r="AT211" s="1"/>
      <c r="AU211" s="1"/>
      <c r="AV211" s="1"/>
      <c r="AW211" s="1"/>
      <c r="AX211" s="1"/>
      <c r="AY211" s="1"/>
      <c r="AZ211" s="1"/>
      <c r="BA211" s="1"/>
      <c r="BB211" s="1"/>
    </row>
    <row r="212" spans="1:54" x14ac:dyDescent="0.25">
      <c r="A212" s="1"/>
      <c r="B212" s="1"/>
      <c r="C212" s="1"/>
      <c r="D212" s="1"/>
      <c r="E212" s="1"/>
      <c r="F212" s="1"/>
      <c r="G212" s="1"/>
      <c r="H212" s="7"/>
      <c r="I212" s="1"/>
      <c r="J212" s="1"/>
      <c r="K212" s="1"/>
      <c r="L212" s="1"/>
      <c r="M212" s="1"/>
      <c r="N212" s="1"/>
      <c r="O212" s="26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  <c r="AM212" s="1"/>
      <c r="AN212" s="1"/>
      <c r="AO212" s="1"/>
      <c r="AP212" s="1"/>
      <c r="AQ212" s="1"/>
      <c r="AR212" s="1"/>
      <c r="AS212" s="1"/>
      <c r="AT212" s="1"/>
      <c r="AU212" s="1"/>
      <c r="AV212" s="1"/>
      <c r="AW212" s="1"/>
      <c r="AX212" s="1"/>
      <c r="AY212" s="1"/>
      <c r="AZ212" s="1"/>
      <c r="BA212" s="1"/>
      <c r="BB212" s="1"/>
    </row>
    <row r="213" spans="1:54" x14ac:dyDescent="0.25">
      <c r="A213" s="1"/>
      <c r="B213" s="1"/>
      <c r="C213" s="1"/>
      <c r="D213" s="1"/>
      <c r="E213" s="1"/>
      <c r="F213" s="1"/>
      <c r="G213" s="1"/>
      <c r="H213" s="7"/>
      <c r="I213" s="1"/>
      <c r="J213" s="1"/>
      <c r="K213" s="1"/>
      <c r="L213" s="1"/>
      <c r="M213" s="1"/>
      <c r="N213" s="1"/>
      <c r="O213" s="26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  <c r="AM213" s="1"/>
      <c r="AN213" s="1"/>
      <c r="AO213" s="1"/>
      <c r="AP213" s="1"/>
      <c r="AQ213" s="1"/>
      <c r="AR213" s="1"/>
      <c r="AS213" s="1"/>
      <c r="AT213" s="1"/>
      <c r="AU213" s="1"/>
      <c r="AV213" s="1"/>
      <c r="AW213" s="1"/>
      <c r="AX213" s="1"/>
      <c r="AY213" s="1"/>
      <c r="AZ213" s="1"/>
      <c r="BA213" s="1"/>
      <c r="BB213" s="1"/>
    </row>
    <row r="214" spans="1:54" x14ac:dyDescent="0.25">
      <c r="A214" s="1"/>
      <c r="B214" s="1"/>
      <c r="C214" s="1"/>
      <c r="D214" s="1"/>
      <c r="E214" s="1"/>
      <c r="F214" s="1"/>
      <c r="G214" s="1"/>
      <c r="H214" s="7"/>
      <c r="I214" s="1"/>
      <c r="J214" s="1"/>
      <c r="K214" s="1"/>
      <c r="L214" s="1"/>
      <c r="M214" s="1"/>
      <c r="N214" s="1"/>
      <c r="O214" s="26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  <c r="AM214" s="1"/>
      <c r="AN214" s="1"/>
      <c r="AO214" s="1"/>
      <c r="AP214" s="1"/>
      <c r="AQ214" s="1"/>
      <c r="AR214" s="1"/>
      <c r="AS214" s="1"/>
      <c r="AT214" s="1"/>
      <c r="AU214" s="1"/>
      <c r="AV214" s="1"/>
      <c r="AW214" s="1"/>
      <c r="AX214" s="1"/>
      <c r="AY214" s="1"/>
      <c r="AZ214" s="1"/>
      <c r="BA214" s="1"/>
      <c r="BB214" s="1"/>
    </row>
    <row r="215" spans="1:54" x14ac:dyDescent="0.25">
      <c r="A215" s="1"/>
      <c r="B215" s="1"/>
      <c r="C215" s="1"/>
      <c r="D215" s="1"/>
      <c r="E215" s="1"/>
      <c r="F215" s="1"/>
      <c r="G215" s="1"/>
      <c r="H215" s="7"/>
      <c r="I215" s="1"/>
      <c r="J215" s="1"/>
      <c r="K215" s="1"/>
      <c r="L215" s="1"/>
      <c r="M215" s="1"/>
      <c r="N215" s="1"/>
      <c r="O215" s="26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/>
      <c r="AM215" s="1"/>
      <c r="AN215" s="1"/>
      <c r="AO215" s="1"/>
      <c r="AP215" s="1"/>
      <c r="AQ215" s="1"/>
      <c r="AR215" s="1"/>
      <c r="AS215" s="1"/>
      <c r="AT215" s="1"/>
      <c r="AU215" s="1"/>
      <c r="AV215" s="1"/>
      <c r="AW215" s="1"/>
      <c r="AX215" s="1"/>
      <c r="AY215" s="1"/>
      <c r="AZ215" s="1"/>
      <c r="BA215" s="1"/>
      <c r="BB215" s="1"/>
    </row>
    <row r="216" spans="1:54" x14ac:dyDescent="0.25">
      <c r="A216" s="1"/>
      <c r="B216" s="1"/>
      <c r="C216" s="1"/>
      <c r="D216" s="1"/>
      <c r="E216" s="1"/>
      <c r="F216" s="1"/>
      <c r="G216" s="1"/>
      <c r="H216" s="7"/>
      <c r="I216" s="1"/>
      <c r="J216" s="1"/>
      <c r="K216" s="1"/>
      <c r="L216" s="1"/>
      <c r="M216" s="1"/>
      <c r="N216" s="1"/>
      <c r="O216" s="26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/>
      <c r="AM216" s="1"/>
      <c r="AN216" s="1"/>
      <c r="AO216" s="1"/>
      <c r="AP216" s="1"/>
      <c r="AQ216" s="1"/>
      <c r="AR216" s="1"/>
      <c r="AS216" s="1"/>
      <c r="AT216" s="1"/>
      <c r="AU216" s="1"/>
      <c r="AV216" s="1"/>
      <c r="AW216" s="1"/>
      <c r="AX216" s="1"/>
      <c r="AY216" s="1"/>
      <c r="AZ216" s="1"/>
      <c r="BA216" s="1"/>
      <c r="BB216" s="1"/>
    </row>
    <row r="217" spans="1:54" x14ac:dyDescent="0.25">
      <c r="A217" s="1"/>
      <c r="B217" s="1"/>
      <c r="C217" s="1"/>
      <c r="D217" s="1"/>
      <c r="E217" s="1"/>
      <c r="F217" s="1"/>
      <c r="G217" s="1"/>
      <c r="H217" s="7"/>
      <c r="I217" s="1"/>
      <c r="J217" s="1"/>
      <c r="K217" s="1"/>
      <c r="L217" s="1"/>
      <c r="M217" s="1"/>
      <c r="N217" s="1"/>
      <c r="O217" s="26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/>
      <c r="AM217" s="1"/>
      <c r="AN217" s="1"/>
      <c r="AO217" s="1"/>
      <c r="AP217" s="1"/>
      <c r="AQ217" s="1"/>
      <c r="AR217" s="1"/>
      <c r="AS217" s="1"/>
      <c r="AT217" s="1"/>
      <c r="AU217" s="1"/>
      <c r="AV217" s="1"/>
      <c r="AW217" s="1"/>
      <c r="AX217" s="1"/>
      <c r="AY217" s="1"/>
      <c r="AZ217" s="1"/>
      <c r="BA217" s="1"/>
      <c r="BB217" s="1"/>
    </row>
    <row r="218" spans="1:54" x14ac:dyDescent="0.25">
      <c r="A218" s="1"/>
      <c r="B218" s="1"/>
      <c r="C218" s="1"/>
      <c r="D218" s="1"/>
      <c r="E218" s="1"/>
      <c r="F218" s="1"/>
      <c r="G218" s="1"/>
      <c r="H218" s="7"/>
      <c r="I218" s="1"/>
      <c r="J218" s="1"/>
      <c r="K218" s="1"/>
      <c r="L218" s="1"/>
      <c r="M218" s="1"/>
      <c r="N218" s="1"/>
      <c r="O218" s="26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1"/>
      <c r="AM218" s="1"/>
      <c r="AN218" s="1"/>
      <c r="AO218" s="1"/>
      <c r="AP218" s="1"/>
      <c r="AQ218" s="1"/>
      <c r="AR218" s="1"/>
      <c r="AS218" s="1"/>
      <c r="AT218" s="1"/>
      <c r="AU218" s="1"/>
      <c r="AV218" s="1"/>
      <c r="AW218" s="1"/>
      <c r="AX218" s="1"/>
      <c r="AY218" s="1"/>
      <c r="AZ218" s="1"/>
      <c r="BA218" s="1"/>
      <c r="BB218" s="1"/>
    </row>
    <row r="219" spans="1:54" x14ac:dyDescent="0.25">
      <c r="A219" s="1"/>
      <c r="B219" s="1"/>
      <c r="C219" s="1"/>
      <c r="D219" s="1"/>
      <c r="E219" s="1"/>
      <c r="F219" s="1"/>
      <c r="G219" s="1"/>
      <c r="H219" s="7"/>
      <c r="I219" s="1"/>
      <c r="J219" s="1"/>
      <c r="K219" s="1"/>
      <c r="L219" s="1"/>
      <c r="M219" s="1"/>
      <c r="N219" s="1"/>
      <c r="O219" s="26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1"/>
      <c r="AM219" s="1"/>
      <c r="AN219" s="1"/>
      <c r="AO219" s="1"/>
      <c r="AP219" s="1"/>
      <c r="AQ219" s="1"/>
      <c r="AR219" s="1"/>
      <c r="AS219" s="1"/>
      <c r="AT219" s="1"/>
      <c r="AU219" s="1"/>
      <c r="AV219" s="1"/>
      <c r="AW219" s="1"/>
      <c r="AX219" s="1"/>
      <c r="AY219" s="1"/>
      <c r="AZ219" s="1"/>
      <c r="BA219" s="1"/>
      <c r="BB219" s="1"/>
    </row>
    <row r="220" spans="1:54" x14ac:dyDescent="0.25">
      <c r="A220" s="1"/>
      <c r="B220" s="1"/>
      <c r="C220" s="1"/>
      <c r="D220" s="1"/>
      <c r="E220" s="1"/>
      <c r="F220" s="1"/>
      <c r="G220" s="1"/>
      <c r="H220" s="7"/>
      <c r="I220" s="1"/>
      <c r="J220" s="1"/>
      <c r="K220" s="1"/>
      <c r="L220" s="1"/>
      <c r="M220" s="1"/>
      <c r="N220" s="1"/>
      <c r="O220" s="26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  <c r="AM220" s="1"/>
      <c r="AN220" s="1"/>
      <c r="AO220" s="1"/>
      <c r="AP220" s="1"/>
      <c r="AQ220" s="1"/>
      <c r="AR220" s="1"/>
      <c r="AS220" s="1"/>
      <c r="AT220" s="1"/>
      <c r="AU220" s="1"/>
      <c r="AV220" s="1"/>
      <c r="AW220" s="1"/>
      <c r="AX220" s="1"/>
      <c r="AY220" s="1"/>
      <c r="AZ220" s="1"/>
      <c r="BA220" s="1"/>
      <c r="BB220" s="1"/>
    </row>
    <row r="221" spans="1:54" x14ac:dyDescent="0.25">
      <c r="A221" s="1"/>
      <c r="B221" s="1"/>
      <c r="C221" s="1"/>
      <c r="D221" s="1"/>
      <c r="E221" s="1"/>
      <c r="F221" s="1"/>
      <c r="G221" s="1"/>
      <c r="H221" s="7"/>
      <c r="I221" s="1"/>
      <c r="J221" s="1"/>
      <c r="K221" s="1"/>
      <c r="L221" s="1"/>
      <c r="M221" s="1"/>
      <c r="N221" s="1"/>
      <c r="O221" s="26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  <c r="AL221" s="1"/>
      <c r="AM221" s="1"/>
      <c r="AN221" s="1"/>
      <c r="AO221" s="1"/>
      <c r="AP221" s="1"/>
      <c r="AQ221" s="1"/>
      <c r="AR221" s="1"/>
      <c r="AS221" s="1"/>
      <c r="AT221" s="1"/>
      <c r="AU221" s="1"/>
      <c r="AV221" s="1"/>
      <c r="AW221" s="1"/>
      <c r="AX221" s="1"/>
      <c r="AY221" s="1"/>
      <c r="AZ221" s="1"/>
      <c r="BA221" s="1"/>
      <c r="BB221" s="1"/>
    </row>
    <row r="222" spans="1:54" x14ac:dyDescent="0.25">
      <c r="A222" s="1"/>
      <c r="B222" s="1"/>
      <c r="C222" s="1"/>
      <c r="D222" s="1"/>
      <c r="E222" s="1"/>
      <c r="F222" s="1"/>
      <c r="G222" s="1"/>
      <c r="H222" s="7"/>
      <c r="I222" s="1"/>
      <c r="J222" s="1"/>
      <c r="K222" s="1"/>
      <c r="L222" s="1"/>
      <c r="M222" s="1"/>
      <c r="N222" s="1"/>
      <c r="O222" s="26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L222" s="1"/>
      <c r="AM222" s="1"/>
      <c r="AN222" s="1"/>
      <c r="AO222" s="1"/>
      <c r="AP222" s="1"/>
      <c r="AQ222" s="1"/>
      <c r="AR222" s="1"/>
      <c r="AS222" s="1"/>
      <c r="AT222" s="1"/>
      <c r="AU222" s="1"/>
      <c r="AV222" s="1"/>
      <c r="AW222" s="1"/>
      <c r="AX222" s="1"/>
      <c r="AY222" s="1"/>
      <c r="AZ222" s="1"/>
      <c r="BA222" s="1"/>
      <c r="BB222" s="1"/>
    </row>
    <row r="223" spans="1:54" x14ac:dyDescent="0.25">
      <c r="A223" s="1"/>
      <c r="B223" s="1"/>
      <c r="C223" s="1"/>
      <c r="D223" s="1"/>
      <c r="E223" s="1"/>
      <c r="F223" s="1"/>
      <c r="G223" s="1"/>
      <c r="H223" s="7"/>
      <c r="I223" s="1"/>
      <c r="J223" s="1"/>
      <c r="K223" s="1"/>
      <c r="L223" s="1"/>
      <c r="M223" s="1"/>
      <c r="N223" s="1"/>
      <c r="O223" s="26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L223" s="1"/>
      <c r="AM223" s="1"/>
      <c r="AN223" s="1"/>
      <c r="AO223" s="1"/>
      <c r="AP223" s="1"/>
      <c r="AQ223" s="1"/>
      <c r="AR223" s="1"/>
      <c r="AS223" s="1"/>
      <c r="AT223" s="1"/>
      <c r="AU223" s="1"/>
      <c r="AV223" s="1"/>
      <c r="AW223" s="1"/>
      <c r="AX223" s="1"/>
      <c r="AY223" s="1"/>
      <c r="AZ223" s="1"/>
      <c r="BA223" s="1"/>
      <c r="BB223" s="1"/>
    </row>
    <row r="224" spans="1:54" x14ac:dyDescent="0.25">
      <c r="A224" s="1"/>
      <c r="B224" s="1"/>
      <c r="C224" s="1"/>
      <c r="D224" s="1"/>
      <c r="E224" s="1"/>
      <c r="F224" s="1"/>
      <c r="G224" s="1"/>
      <c r="H224" s="7"/>
      <c r="I224" s="1"/>
      <c r="J224" s="1"/>
      <c r="K224" s="1"/>
      <c r="L224" s="1"/>
      <c r="M224" s="1"/>
      <c r="N224" s="1"/>
      <c r="O224" s="26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  <c r="AL224" s="1"/>
      <c r="AM224" s="1"/>
      <c r="AN224" s="1"/>
      <c r="AO224" s="1"/>
      <c r="AP224" s="1"/>
      <c r="AQ224" s="1"/>
      <c r="AR224" s="1"/>
      <c r="AS224" s="1"/>
      <c r="AT224" s="1"/>
      <c r="AU224" s="1"/>
      <c r="AV224" s="1"/>
      <c r="AW224" s="1"/>
      <c r="AX224" s="1"/>
      <c r="AY224" s="1"/>
      <c r="AZ224" s="1"/>
      <c r="BA224" s="1"/>
      <c r="BB224" s="1"/>
    </row>
    <row r="225" spans="1:54" x14ac:dyDescent="0.25">
      <c r="A225" s="1"/>
      <c r="B225" s="1"/>
      <c r="C225" s="1"/>
      <c r="D225" s="1"/>
      <c r="E225" s="1"/>
      <c r="F225" s="1"/>
      <c r="G225" s="1"/>
      <c r="H225" s="7"/>
      <c r="I225" s="1"/>
      <c r="J225" s="1"/>
      <c r="K225" s="1"/>
      <c r="L225" s="1"/>
      <c r="M225" s="1"/>
      <c r="N225" s="1"/>
      <c r="O225" s="26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  <c r="AL225" s="1"/>
      <c r="AM225" s="1"/>
      <c r="AN225" s="1"/>
      <c r="AO225" s="1"/>
      <c r="AP225" s="1"/>
      <c r="AQ225" s="1"/>
      <c r="AR225" s="1"/>
      <c r="AS225" s="1"/>
      <c r="AT225" s="1"/>
      <c r="AU225" s="1"/>
      <c r="AV225" s="1"/>
      <c r="AW225" s="1"/>
      <c r="AX225" s="1"/>
      <c r="AY225" s="1"/>
      <c r="AZ225" s="1"/>
      <c r="BA225" s="1"/>
      <c r="BB225" s="1"/>
    </row>
    <row r="226" spans="1:54" x14ac:dyDescent="0.25">
      <c r="A226" s="1"/>
      <c r="B226" s="1"/>
      <c r="C226" s="1"/>
      <c r="D226" s="1"/>
      <c r="E226" s="1"/>
      <c r="F226" s="1"/>
      <c r="G226" s="1"/>
      <c r="H226" s="7"/>
      <c r="I226" s="1"/>
      <c r="J226" s="1"/>
      <c r="K226" s="1"/>
      <c r="L226" s="1"/>
      <c r="M226" s="1"/>
      <c r="N226" s="1"/>
      <c r="O226" s="26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  <c r="AL226" s="1"/>
      <c r="AM226" s="1"/>
      <c r="AN226" s="1"/>
      <c r="AO226" s="1"/>
      <c r="AP226" s="1"/>
      <c r="AQ226" s="1"/>
      <c r="AR226" s="1"/>
      <c r="AS226" s="1"/>
      <c r="AT226" s="1"/>
      <c r="AU226" s="1"/>
      <c r="AV226" s="1"/>
      <c r="AW226" s="1"/>
      <c r="AX226" s="1"/>
      <c r="AY226" s="1"/>
      <c r="AZ226" s="1"/>
      <c r="BA226" s="1"/>
      <c r="BB226" s="1"/>
    </row>
    <row r="227" spans="1:54" x14ac:dyDescent="0.25">
      <c r="A227" s="1"/>
      <c r="B227" s="1"/>
      <c r="C227" s="1"/>
      <c r="D227" s="1"/>
      <c r="E227" s="1"/>
      <c r="F227" s="1"/>
      <c r="G227" s="1"/>
      <c r="H227" s="7"/>
      <c r="I227" s="1"/>
      <c r="J227" s="1"/>
      <c r="K227" s="1"/>
      <c r="L227" s="1"/>
      <c r="M227" s="1"/>
      <c r="N227" s="1"/>
      <c r="O227" s="26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  <c r="AL227" s="1"/>
      <c r="AM227" s="1"/>
      <c r="AN227" s="1"/>
      <c r="AO227" s="1"/>
      <c r="AP227" s="1"/>
      <c r="AQ227" s="1"/>
      <c r="AR227" s="1"/>
      <c r="AS227" s="1"/>
      <c r="AT227" s="1"/>
      <c r="AU227" s="1"/>
      <c r="AV227" s="1"/>
      <c r="AW227" s="1"/>
      <c r="AX227" s="1"/>
      <c r="AY227" s="1"/>
      <c r="AZ227" s="1"/>
      <c r="BA227" s="1"/>
      <c r="BB227" s="1"/>
    </row>
    <row r="228" spans="1:54" x14ac:dyDescent="0.25">
      <c r="A228" s="1"/>
      <c r="B228" s="1"/>
      <c r="C228" s="1"/>
      <c r="D228" s="1"/>
      <c r="E228" s="1"/>
      <c r="F228" s="1"/>
      <c r="G228" s="1"/>
      <c r="H228" s="7"/>
      <c r="I228" s="1"/>
      <c r="J228" s="1"/>
      <c r="K228" s="1"/>
      <c r="L228" s="1"/>
      <c r="M228" s="1"/>
      <c r="N228" s="1"/>
      <c r="O228" s="26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  <c r="AL228" s="1"/>
      <c r="AM228" s="1"/>
      <c r="AN228" s="1"/>
      <c r="AO228" s="1"/>
      <c r="AP228" s="1"/>
      <c r="AQ228" s="1"/>
      <c r="AR228" s="1"/>
      <c r="AS228" s="1"/>
      <c r="AT228" s="1"/>
      <c r="AU228" s="1"/>
      <c r="AV228" s="1"/>
      <c r="AW228" s="1"/>
      <c r="AX228" s="1"/>
      <c r="AY228" s="1"/>
      <c r="AZ228" s="1"/>
      <c r="BA228" s="1"/>
      <c r="BB228" s="1"/>
    </row>
    <row r="229" spans="1:54" x14ac:dyDescent="0.25">
      <c r="A229" s="1"/>
      <c r="B229" s="1"/>
      <c r="C229" s="1"/>
      <c r="D229" s="1"/>
      <c r="E229" s="1"/>
      <c r="F229" s="1"/>
      <c r="G229" s="1"/>
      <c r="H229" s="7"/>
      <c r="I229" s="1"/>
      <c r="J229" s="1"/>
      <c r="K229" s="1"/>
      <c r="L229" s="1"/>
      <c r="M229" s="1"/>
      <c r="N229" s="1"/>
      <c r="O229" s="26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  <c r="AL229" s="1"/>
      <c r="AM229" s="1"/>
      <c r="AN229" s="1"/>
      <c r="AO229" s="1"/>
      <c r="AP229" s="1"/>
      <c r="AQ229" s="1"/>
      <c r="AR229" s="1"/>
      <c r="AS229" s="1"/>
      <c r="AT229" s="1"/>
      <c r="AU229" s="1"/>
      <c r="AV229" s="1"/>
      <c r="AW229" s="1"/>
      <c r="AX229" s="1"/>
      <c r="AY229" s="1"/>
      <c r="AZ229" s="1"/>
      <c r="BA229" s="1"/>
      <c r="BB229" s="1"/>
    </row>
    <row r="230" spans="1:54" x14ac:dyDescent="0.25">
      <c r="A230" s="1"/>
      <c r="B230" s="1"/>
      <c r="C230" s="1"/>
      <c r="D230" s="1"/>
      <c r="E230" s="1"/>
      <c r="F230" s="1"/>
      <c r="G230" s="1"/>
      <c r="H230" s="7"/>
      <c r="I230" s="1"/>
      <c r="J230" s="1"/>
      <c r="K230" s="1"/>
      <c r="L230" s="1"/>
      <c r="M230" s="1"/>
      <c r="N230" s="1"/>
      <c r="O230" s="26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  <c r="AL230" s="1"/>
      <c r="AM230" s="1"/>
      <c r="AN230" s="1"/>
      <c r="AO230" s="1"/>
      <c r="AP230" s="1"/>
      <c r="AQ230" s="1"/>
      <c r="AR230" s="1"/>
      <c r="AS230" s="1"/>
      <c r="AT230" s="1"/>
      <c r="AU230" s="1"/>
      <c r="AV230" s="1"/>
      <c r="AW230" s="1"/>
      <c r="AX230" s="1"/>
      <c r="AY230" s="1"/>
      <c r="AZ230" s="1"/>
      <c r="BA230" s="1"/>
      <c r="BB230" s="1"/>
    </row>
    <row r="231" spans="1:54" x14ac:dyDescent="0.25">
      <c r="A231" s="1"/>
      <c r="B231" s="1"/>
      <c r="C231" s="1"/>
      <c r="D231" s="1"/>
      <c r="E231" s="1"/>
      <c r="F231" s="1"/>
      <c r="G231" s="1"/>
      <c r="H231" s="7"/>
      <c r="I231" s="1"/>
      <c r="J231" s="1"/>
      <c r="K231" s="1"/>
      <c r="L231" s="1"/>
      <c r="M231" s="1"/>
      <c r="N231" s="1"/>
      <c r="O231" s="26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  <c r="AL231" s="1"/>
      <c r="AM231" s="1"/>
      <c r="AN231" s="1"/>
      <c r="AO231" s="1"/>
      <c r="AP231" s="1"/>
      <c r="AQ231" s="1"/>
      <c r="AR231" s="1"/>
      <c r="AS231" s="1"/>
      <c r="AT231" s="1"/>
      <c r="AU231" s="1"/>
      <c r="AV231" s="1"/>
      <c r="AW231" s="1"/>
      <c r="AX231" s="1"/>
      <c r="AY231" s="1"/>
      <c r="AZ231" s="1"/>
      <c r="BA231" s="1"/>
      <c r="BB231" s="1"/>
    </row>
    <row r="232" spans="1:54" x14ac:dyDescent="0.25">
      <c r="A232" s="1"/>
      <c r="B232" s="1"/>
      <c r="C232" s="1"/>
      <c r="D232" s="1"/>
      <c r="E232" s="1"/>
      <c r="F232" s="1"/>
      <c r="G232" s="1"/>
      <c r="H232" s="7"/>
      <c r="I232" s="1"/>
      <c r="J232" s="1"/>
      <c r="K232" s="1"/>
      <c r="L232" s="1"/>
      <c r="M232" s="1"/>
      <c r="N232" s="1"/>
      <c r="O232" s="26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  <c r="AL232" s="1"/>
      <c r="AM232" s="1"/>
      <c r="AN232" s="1"/>
      <c r="AO232" s="1"/>
      <c r="AP232" s="1"/>
      <c r="AQ232" s="1"/>
      <c r="AR232" s="1"/>
      <c r="AS232" s="1"/>
      <c r="AT232" s="1"/>
      <c r="AU232" s="1"/>
      <c r="AV232" s="1"/>
      <c r="AW232" s="1"/>
      <c r="AX232" s="1"/>
      <c r="AY232" s="1"/>
      <c r="AZ232" s="1"/>
      <c r="BA232" s="1"/>
      <c r="BB232" s="1"/>
    </row>
    <row r="233" spans="1:54" x14ac:dyDescent="0.25">
      <c r="A233" s="1"/>
      <c r="B233" s="1"/>
      <c r="C233" s="1"/>
      <c r="D233" s="1"/>
      <c r="E233" s="1"/>
      <c r="F233" s="1"/>
      <c r="G233" s="1"/>
      <c r="H233" s="7"/>
      <c r="I233" s="1"/>
      <c r="J233" s="1"/>
      <c r="K233" s="1"/>
      <c r="L233" s="1"/>
      <c r="M233" s="1"/>
      <c r="N233" s="1"/>
      <c r="O233" s="26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  <c r="AL233" s="1"/>
      <c r="AM233" s="1"/>
      <c r="AN233" s="1"/>
      <c r="AO233" s="1"/>
      <c r="AP233" s="1"/>
      <c r="AQ233" s="1"/>
      <c r="AR233" s="1"/>
      <c r="AS233" s="1"/>
      <c r="AT233" s="1"/>
      <c r="AU233" s="1"/>
      <c r="AV233" s="1"/>
      <c r="AW233" s="1"/>
      <c r="AX233" s="1"/>
      <c r="AY233" s="1"/>
      <c r="AZ233" s="1"/>
      <c r="BA233" s="1"/>
      <c r="BB233" s="1"/>
    </row>
    <row r="234" spans="1:54" x14ac:dyDescent="0.25">
      <c r="A234" s="1"/>
      <c r="B234" s="1"/>
      <c r="C234" s="1"/>
      <c r="D234" s="1"/>
      <c r="E234" s="1"/>
      <c r="F234" s="1"/>
      <c r="G234" s="1"/>
      <c r="H234" s="7"/>
      <c r="I234" s="1"/>
      <c r="J234" s="1"/>
      <c r="K234" s="1"/>
      <c r="L234" s="1"/>
      <c r="M234" s="1"/>
      <c r="N234" s="1"/>
      <c r="O234" s="26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  <c r="AL234" s="1"/>
      <c r="AM234" s="1"/>
      <c r="AN234" s="1"/>
      <c r="AO234" s="1"/>
      <c r="AP234" s="1"/>
      <c r="AQ234" s="1"/>
      <c r="AR234" s="1"/>
      <c r="AS234" s="1"/>
      <c r="AT234" s="1"/>
      <c r="AU234" s="1"/>
      <c r="AV234" s="1"/>
      <c r="AW234" s="1"/>
      <c r="AX234" s="1"/>
      <c r="AY234" s="1"/>
      <c r="AZ234" s="1"/>
      <c r="BA234" s="1"/>
      <c r="BB234" s="1"/>
    </row>
    <row r="235" spans="1:54" x14ac:dyDescent="0.25">
      <c r="A235" s="1"/>
      <c r="B235" s="1"/>
      <c r="C235" s="1"/>
      <c r="D235" s="1"/>
      <c r="E235" s="1"/>
      <c r="F235" s="1"/>
      <c r="G235" s="1"/>
      <c r="H235" s="7"/>
      <c r="I235" s="1"/>
      <c r="J235" s="1"/>
      <c r="K235" s="1"/>
      <c r="L235" s="1"/>
      <c r="M235" s="1"/>
      <c r="N235" s="1"/>
      <c r="O235" s="26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  <c r="AL235" s="1"/>
      <c r="AM235" s="1"/>
      <c r="AN235" s="1"/>
      <c r="AO235" s="1"/>
      <c r="AP235" s="1"/>
      <c r="AQ235" s="1"/>
      <c r="AR235" s="1"/>
      <c r="AS235" s="1"/>
      <c r="AT235" s="1"/>
      <c r="AU235" s="1"/>
      <c r="AV235" s="1"/>
      <c r="AW235" s="1"/>
      <c r="AX235" s="1"/>
      <c r="AY235" s="1"/>
      <c r="AZ235" s="1"/>
      <c r="BA235" s="1"/>
      <c r="BB235" s="1"/>
    </row>
    <row r="236" spans="1:54" x14ac:dyDescent="0.25">
      <c r="A236" s="1"/>
      <c r="B236" s="1"/>
      <c r="C236" s="1"/>
      <c r="D236" s="1"/>
      <c r="E236" s="1"/>
      <c r="F236" s="1"/>
      <c r="G236" s="1"/>
      <c r="H236" s="7"/>
      <c r="I236" s="1"/>
      <c r="J236" s="1"/>
      <c r="K236" s="1"/>
      <c r="L236" s="1"/>
      <c r="M236" s="1"/>
      <c r="N236" s="1"/>
      <c r="O236" s="26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  <c r="AL236" s="1"/>
      <c r="AM236" s="1"/>
      <c r="AN236" s="1"/>
      <c r="AO236" s="1"/>
      <c r="AP236" s="1"/>
      <c r="AQ236" s="1"/>
      <c r="AR236" s="1"/>
      <c r="AS236" s="1"/>
      <c r="AT236" s="1"/>
      <c r="AU236" s="1"/>
      <c r="AV236" s="1"/>
      <c r="AW236" s="1"/>
      <c r="AX236" s="1"/>
      <c r="AY236" s="1"/>
      <c r="AZ236" s="1"/>
      <c r="BA236" s="1"/>
      <c r="BB236" s="1"/>
    </row>
    <row r="237" spans="1:54" x14ac:dyDescent="0.25">
      <c r="A237" s="1"/>
      <c r="B237" s="1"/>
      <c r="C237" s="1"/>
      <c r="D237" s="1"/>
      <c r="E237" s="1"/>
      <c r="F237" s="1"/>
      <c r="G237" s="1"/>
      <c r="H237" s="7"/>
      <c r="I237" s="1"/>
      <c r="J237" s="1"/>
      <c r="K237" s="1"/>
      <c r="L237" s="1"/>
      <c r="M237" s="1"/>
      <c r="N237" s="1"/>
      <c r="O237" s="26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  <c r="AL237" s="1"/>
      <c r="AM237" s="1"/>
      <c r="AN237" s="1"/>
      <c r="AO237" s="1"/>
      <c r="AP237" s="1"/>
      <c r="AQ237" s="1"/>
      <c r="AR237" s="1"/>
      <c r="AS237" s="1"/>
      <c r="AT237" s="1"/>
      <c r="AU237" s="1"/>
      <c r="AV237" s="1"/>
      <c r="AW237" s="1"/>
      <c r="AX237" s="1"/>
      <c r="AY237" s="1"/>
      <c r="AZ237" s="1"/>
      <c r="BA237" s="1"/>
      <c r="BB237" s="1"/>
    </row>
    <row r="238" spans="1:54" x14ac:dyDescent="0.25">
      <c r="A238" s="1"/>
      <c r="B238" s="1"/>
      <c r="C238" s="1"/>
      <c r="D238" s="1"/>
      <c r="E238" s="1"/>
      <c r="F238" s="1"/>
      <c r="G238" s="1"/>
      <c r="H238" s="7"/>
      <c r="I238" s="1"/>
      <c r="J238" s="1"/>
      <c r="K238" s="1"/>
      <c r="L238" s="1"/>
      <c r="M238" s="1"/>
      <c r="N238" s="1"/>
      <c r="O238" s="26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  <c r="AL238" s="1"/>
      <c r="AM238" s="1"/>
      <c r="AN238" s="1"/>
      <c r="AO238" s="1"/>
      <c r="AP238" s="1"/>
      <c r="AQ238" s="1"/>
      <c r="AR238" s="1"/>
      <c r="AS238" s="1"/>
      <c r="AT238" s="1"/>
      <c r="AU238" s="1"/>
      <c r="AV238" s="1"/>
      <c r="AW238" s="1"/>
      <c r="AX238" s="1"/>
      <c r="AY238" s="1"/>
      <c r="AZ238" s="1"/>
      <c r="BA238" s="1"/>
      <c r="BB238" s="1"/>
    </row>
    <row r="239" spans="1:54" x14ac:dyDescent="0.25">
      <c r="A239" s="1"/>
      <c r="B239" s="1"/>
      <c r="C239" s="1"/>
      <c r="D239" s="1"/>
      <c r="E239" s="1"/>
      <c r="F239" s="1"/>
      <c r="G239" s="1"/>
      <c r="H239" s="7"/>
      <c r="I239" s="1"/>
      <c r="J239" s="1"/>
      <c r="K239" s="1"/>
      <c r="L239" s="1"/>
      <c r="M239" s="1"/>
      <c r="N239" s="1"/>
      <c r="O239" s="26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  <c r="AL239" s="1"/>
      <c r="AM239" s="1"/>
      <c r="AN239" s="1"/>
      <c r="AO239" s="1"/>
      <c r="AP239" s="1"/>
      <c r="AQ239" s="1"/>
      <c r="AR239" s="1"/>
      <c r="AS239" s="1"/>
      <c r="AT239" s="1"/>
      <c r="AU239" s="1"/>
      <c r="AV239" s="1"/>
      <c r="AW239" s="1"/>
      <c r="AX239" s="1"/>
      <c r="AY239" s="1"/>
      <c r="AZ239" s="1"/>
      <c r="BA239" s="1"/>
      <c r="BB239" s="1"/>
    </row>
    <row r="240" spans="1:54" x14ac:dyDescent="0.25">
      <c r="A240" s="1"/>
      <c r="B240" s="1"/>
      <c r="C240" s="1"/>
      <c r="D240" s="1"/>
      <c r="E240" s="1"/>
      <c r="F240" s="1"/>
      <c r="G240" s="1"/>
      <c r="H240" s="7"/>
      <c r="I240" s="1"/>
      <c r="J240" s="1"/>
      <c r="K240" s="1"/>
      <c r="L240" s="1"/>
      <c r="M240" s="1"/>
      <c r="N240" s="1"/>
      <c r="O240" s="26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  <c r="AL240" s="1"/>
      <c r="AM240" s="1"/>
      <c r="AN240" s="1"/>
      <c r="AO240" s="1"/>
      <c r="AP240" s="1"/>
      <c r="AQ240" s="1"/>
      <c r="AR240" s="1"/>
      <c r="AS240" s="1"/>
      <c r="AT240" s="1"/>
      <c r="AU240" s="1"/>
      <c r="AV240" s="1"/>
      <c r="AW240" s="1"/>
      <c r="AX240" s="1"/>
      <c r="AY240" s="1"/>
      <c r="AZ240" s="1"/>
      <c r="BA240" s="1"/>
      <c r="BB240" s="1"/>
    </row>
    <row r="241" spans="1:54" x14ac:dyDescent="0.25">
      <c r="A241" s="1"/>
      <c r="B241" s="1"/>
      <c r="C241" s="1"/>
      <c r="D241" s="1"/>
      <c r="E241" s="1"/>
      <c r="F241" s="1"/>
      <c r="G241" s="1"/>
      <c r="H241" s="7"/>
      <c r="I241" s="1"/>
      <c r="J241" s="1"/>
      <c r="K241" s="1"/>
      <c r="L241" s="1"/>
      <c r="M241" s="1"/>
      <c r="N241" s="1"/>
      <c r="O241" s="26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  <c r="AL241" s="1"/>
      <c r="AM241" s="1"/>
      <c r="AN241" s="1"/>
      <c r="AO241" s="1"/>
      <c r="AP241" s="1"/>
      <c r="AQ241" s="1"/>
      <c r="AR241" s="1"/>
      <c r="AS241" s="1"/>
      <c r="AT241" s="1"/>
      <c r="AU241" s="1"/>
      <c r="AV241" s="1"/>
      <c r="AW241" s="1"/>
      <c r="AX241" s="1"/>
      <c r="AY241" s="1"/>
      <c r="AZ241" s="1"/>
      <c r="BA241" s="1"/>
      <c r="BB241" s="1"/>
    </row>
    <row r="242" spans="1:54" x14ac:dyDescent="0.25">
      <c r="A242" s="1"/>
      <c r="B242" s="1"/>
      <c r="C242" s="1"/>
      <c r="D242" s="1"/>
      <c r="E242" s="1"/>
      <c r="F242" s="1"/>
      <c r="G242" s="1"/>
      <c r="H242" s="7"/>
      <c r="I242" s="1"/>
      <c r="J242" s="1"/>
      <c r="K242" s="1"/>
      <c r="L242" s="1"/>
      <c r="M242" s="1"/>
      <c r="N242" s="1"/>
      <c r="O242" s="26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  <c r="AL242" s="1"/>
      <c r="AM242" s="1"/>
      <c r="AN242" s="1"/>
      <c r="AO242" s="1"/>
      <c r="AP242" s="1"/>
      <c r="AQ242" s="1"/>
      <c r="AR242" s="1"/>
      <c r="AS242" s="1"/>
      <c r="AT242" s="1"/>
      <c r="AU242" s="1"/>
      <c r="AV242" s="1"/>
      <c r="AW242" s="1"/>
      <c r="AX242" s="1"/>
      <c r="AY242" s="1"/>
      <c r="AZ242" s="1"/>
      <c r="BA242" s="1"/>
      <c r="BB242" s="1"/>
    </row>
    <row r="243" spans="1:54" x14ac:dyDescent="0.25">
      <c r="A243" s="1"/>
      <c r="B243" s="1"/>
      <c r="C243" s="1"/>
      <c r="D243" s="1"/>
      <c r="E243" s="1"/>
      <c r="F243" s="1"/>
      <c r="G243" s="1"/>
      <c r="H243" s="7"/>
      <c r="I243" s="1"/>
      <c r="J243" s="1"/>
      <c r="K243" s="1"/>
      <c r="L243" s="1"/>
      <c r="M243" s="1"/>
      <c r="N243" s="1"/>
      <c r="O243" s="26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  <c r="AL243" s="1"/>
      <c r="AM243" s="1"/>
      <c r="AN243" s="1"/>
      <c r="AO243" s="1"/>
      <c r="AP243" s="1"/>
      <c r="AQ243" s="1"/>
      <c r="AR243" s="1"/>
      <c r="AS243" s="1"/>
      <c r="AT243" s="1"/>
      <c r="AU243" s="1"/>
      <c r="AV243" s="1"/>
      <c r="AW243" s="1"/>
      <c r="AX243" s="1"/>
      <c r="AY243" s="1"/>
      <c r="AZ243" s="1"/>
      <c r="BA243" s="1"/>
      <c r="BB243" s="1"/>
    </row>
    <row r="244" spans="1:54" x14ac:dyDescent="0.25">
      <c r="A244" s="1"/>
      <c r="B244" s="1"/>
      <c r="C244" s="1"/>
      <c r="D244" s="1"/>
      <c r="E244" s="1"/>
      <c r="F244" s="1"/>
      <c r="G244" s="1"/>
      <c r="H244" s="7"/>
      <c r="I244" s="1"/>
      <c r="J244" s="1"/>
      <c r="K244" s="1"/>
      <c r="L244" s="1"/>
      <c r="M244" s="1"/>
      <c r="N244" s="1"/>
      <c r="O244" s="26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"/>
      <c r="AL244" s="1"/>
      <c r="AM244" s="1"/>
      <c r="AN244" s="1"/>
      <c r="AO244" s="1"/>
      <c r="AP244" s="1"/>
      <c r="AQ244" s="1"/>
      <c r="AR244" s="1"/>
      <c r="AS244" s="1"/>
      <c r="AT244" s="1"/>
      <c r="AU244" s="1"/>
      <c r="AV244" s="1"/>
      <c r="AW244" s="1"/>
      <c r="AX244" s="1"/>
      <c r="AY244" s="1"/>
      <c r="AZ244" s="1"/>
      <c r="BA244" s="1"/>
      <c r="BB244" s="1"/>
    </row>
    <row r="245" spans="1:54" x14ac:dyDescent="0.25">
      <c r="A245" s="1"/>
      <c r="B245" s="1"/>
      <c r="C245" s="1"/>
      <c r="D245" s="1"/>
      <c r="E245" s="1"/>
      <c r="F245" s="1"/>
      <c r="G245" s="1"/>
      <c r="H245" s="7"/>
      <c r="I245" s="1"/>
      <c r="J245" s="1"/>
      <c r="K245" s="1"/>
      <c r="L245" s="1"/>
      <c r="M245" s="1"/>
      <c r="N245" s="1"/>
      <c r="O245" s="26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/>
      <c r="AL245" s="1"/>
      <c r="AM245" s="1"/>
      <c r="AN245" s="1"/>
      <c r="AO245" s="1"/>
      <c r="AP245" s="1"/>
      <c r="AQ245" s="1"/>
      <c r="AR245" s="1"/>
      <c r="AS245" s="1"/>
      <c r="AT245" s="1"/>
      <c r="AU245" s="1"/>
      <c r="AV245" s="1"/>
      <c r="AW245" s="1"/>
      <c r="AX245" s="1"/>
      <c r="AY245" s="1"/>
      <c r="AZ245" s="1"/>
      <c r="BA245" s="1"/>
      <c r="BB245" s="1"/>
    </row>
    <row r="246" spans="1:54" x14ac:dyDescent="0.25">
      <c r="A246" s="1"/>
      <c r="B246" s="1"/>
      <c r="C246" s="1"/>
      <c r="D246" s="1"/>
      <c r="E246" s="1"/>
      <c r="F246" s="1"/>
      <c r="G246" s="1"/>
      <c r="H246" s="7"/>
      <c r="I246" s="1"/>
      <c r="J246" s="1"/>
      <c r="K246" s="1"/>
      <c r="L246" s="1"/>
      <c r="M246" s="1"/>
      <c r="N246" s="1"/>
      <c r="O246" s="26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1"/>
      <c r="AL246" s="1"/>
      <c r="AM246" s="1"/>
      <c r="AN246" s="1"/>
      <c r="AO246" s="1"/>
      <c r="AP246" s="1"/>
      <c r="AQ246" s="1"/>
      <c r="AR246" s="1"/>
      <c r="AS246" s="1"/>
      <c r="AT246" s="1"/>
      <c r="AU246" s="1"/>
      <c r="AV246" s="1"/>
      <c r="AW246" s="1"/>
      <c r="AX246" s="1"/>
      <c r="AY246" s="1"/>
      <c r="AZ246" s="1"/>
      <c r="BA246" s="1"/>
      <c r="BB246" s="1"/>
    </row>
    <row r="247" spans="1:54" x14ac:dyDescent="0.25">
      <c r="A247" s="1"/>
      <c r="B247" s="1"/>
      <c r="C247" s="1"/>
      <c r="D247" s="1"/>
      <c r="E247" s="1"/>
      <c r="F247" s="1"/>
      <c r="G247" s="1"/>
      <c r="H247" s="7"/>
      <c r="I247" s="1"/>
      <c r="J247" s="1"/>
      <c r="K247" s="1"/>
      <c r="L247" s="1"/>
      <c r="M247" s="1"/>
      <c r="N247" s="1"/>
      <c r="O247" s="26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1"/>
      <c r="AL247" s="1"/>
      <c r="AM247" s="1"/>
      <c r="AN247" s="1"/>
      <c r="AO247" s="1"/>
      <c r="AP247" s="1"/>
      <c r="AQ247" s="1"/>
      <c r="AR247" s="1"/>
      <c r="AS247" s="1"/>
      <c r="AT247" s="1"/>
      <c r="AU247" s="1"/>
      <c r="AV247" s="1"/>
      <c r="AW247" s="1"/>
      <c r="AX247" s="1"/>
      <c r="AY247" s="1"/>
      <c r="AZ247" s="1"/>
      <c r="BA247" s="1"/>
      <c r="BB247" s="1"/>
    </row>
    <row r="248" spans="1:54" x14ac:dyDescent="0.25">
      <c r="A248" s="1"/>
      <c r="B248" s="1"/>
      <c r="C248" s="1"/>
      <c r="D248" s="1"/>
      <c r="E248" s="1"/>
      <c r="F248" s="1"/>
      <c r="G248" s="1"/>
      <c r="H248" s="7"/>
      <c r="I248" s="1"/>
      <c r="J248" s="1"/>
      <c r="K248" s="1"/>
      <c r="L248" s="1"/>
      <c r="M248" s="1"/>
      <c r="N248" s="1"/>
      <c r="O248" s="26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1"/>
      <c r="AL248" s="1"/>
      <c r="AM248" s="1"/>
      <c r="AN248" s="1"/>
      <c r="AO248" s="1"/>
      <c r="AP248" s="1"/>
      <c r="AQ248" s="1"/>
      <c r="AR248" s="1"/>
      <c r="AS248" s="1"/>
      <c r="AT248" s="1"/>
      <c r="AU248" s="1"/>
      <c r="AV248" s="1"/>
      <c r="AW248" s="1"/>
      <c r="AX248" s="1"/>
      <c r="AY248" s="1"/>
      <c r="AZ248" s="1"/>
      <c r="BA248" s="1"/>
      <c r="BB248" s="1"/>
    </row>
    <row r="249" spans="1:54" x14ac:dyDescent="0.25">
      <c r="A249" s="1"/>
      <c r="B249" s="1"/>
      <c r="C249" s="1"/>
      <c r="D249" s="1"/>
      <c r="E249" s="1"/>
      <c r="F249" s="1"/>
      <c r="G249" s="1"/>
      <c r="H249" s="7"/>
      <c r="I249" s="1"/>
      <c r="J249" s="1"/>
      <c r="K249" s="1"/>
      <c r="L249" s="1"/>
      <c r="M249" s="1"/>
      <c r="N249" s="1"/>
      <c r="O249" s="26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1"/>
      <c r="AL249" s="1"/>
      <c r="AM249" s="1"/>
      <c r="AN249" s="1"/>
      <c r="AO249" s="1"/>
      <c r="AP249" s="1"/>
      <c r="AQ249" s="1"/>
      <c r="AR249" s="1"/>
      <c r="AS249" s="1"/>
      <c r="AT249" s="1"/>
      <c r="AU249" s="1"/>
      <c r="AV249" s="1"/>
      <c r="AW249" s="1"/>
      <c r="AX249" s="1"/>
      <c r="AY249" s="1"/>
      <c r="AZ249" s="1"/>
      <c r="BA249" s="1"/>
      <c r="BB249" s="1"/>
    </row>
    <row r="250" spans="1:54" x14ac:dyDescent="0.25">
      <c r="A250" s="1"/>
      <c r="B250" s="1"/>
      <c r="C250" s="1"/>
      <c r="D250" s="1"/>
      <c r="E250" s="1"/>
      <c r="F250" s="1"/>
      <c r="G250" s="1"/>
      <c r="H250" s="7"/>
      <c r="I250" s="1"/>
      <c r="J250" s="1"/>
      <c r="K250" s="1"/>
      <c r="L250" s="1"/>
      <c r="M250" s="1"/>
      <c r="N250" s="1"/>
      <c r="O250" s="26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"/>
      <c r="AL250" s="1"/>
      <c r="AM250" s="1"/>
      <c r="AN250" s="1"/>
      <c r="AO250" s="1"/>
      <c r="AP250" s="1"/>
      <c r="AQ250" s="1"/>
      <c r="AR250" s="1"/>
      <c r="AS250" s="1"/>
      <c r="AT250" s="1"/>
      <c r="AU250" s="1"/>
      <c r="AV250" s="1"/>
      <c r="AW250" s="1"/>
      <c r="AX250" s="1"/>
      <c r="AY250" s="1"/>
      <c r="AZ250" s="1"/>
      <c r="BA250" s="1"/>
      <c r="BB250" s="1"/>
    </row>
    <row r="251" spans="1:54" x14ac:dyDescent="0.25">
      <c r="A251" s="1"/>
      <c r="B251" s="1"/>
      <c r="C251" s="1"/>
      <c r="D251" s="1"/>
      <c r="E251" s="1"/>
      <c r="F251" s="1"/>
      <c r="G251" s="1"/>
      <c r="H251" s="7"/>
      <c r="I251" s="1"/>
      <c r="J251" s="1"/>
      <c r="K251" s="1"/>
      <c r="L251" s="1"/>
      <c r="M251" s="1"/>
      <c r="N251" s="1"/>
      <c r="O251" s="26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1"/>
      <c r="AL251" s="1"/>
      <c r="AM251" s="1"/>
      <c r="AN251" s="1"/>
      <c r="AO251" s="1"/>
      <c r="AP251" s="1"/>
      <c r="AQ251" s="1"/>
      <c r="AR251" s="1"/>
      <c r="AS251" s="1"/>
      <c r="AT251" s="1"/>
      <c r="AU251" s="1"/>
      <c r="AV251" s="1"/>
      <c r="AW251" s="1"/>
      <c r="AX251" s="1"/>
      <c r="AY251" s="1"/>
      <c r="AZ251" s="1"/>
      <c r="BA251" s="1"/>
      <c r="BB251" s="1"/>
    </row>
    <row r="252" spans="1:54" x14ac:dyDescent="0.25">
      <c r="A252" s="1"/>
      <c r="B252" s="1"/>
      <c r="C252" s="1"/>
      <c r="D252" s="1"/>
      <c r="E252" s="1"/>
      <c r="F252" s="1"/>
      <c r="G252" s="1"/>
      <c r="H252" s="7"/>
      <c r="I252" s="1"/>
      <c r="J252" s="1"/>
      <c r="K252" s="1"/>
      <c r="L252" s="1"/>
      <c r="M252" s="1"/>
      <c r="N252" s="1"/>
      <c r="O252" s="26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1"/>
      <c r="AL252" s="1"/>
      <c r="AM252" s="1"/>
      <c r="AN252" s="1"/>
      <c r="AO252" s="1"/>
      <c r="AP252" s="1"/>
      <c r="AQ252" s="1"/>
      <c r="AR252" s="1"/>
      <c r="AS252" s="1"/>
      <c r="AT252" s="1"/>
      <c r="AU252" s="1"/>
      <c r="AV252" s="1"/>
      <c r="AW252" s="1"/>
      <c r="AX252" s="1"/>
      <c r="AY252" s="1"/>
      <c r="AZ252" s="1"/>
      <c r="BA252" s="1"/>
      <c r="BB252" s="1"/>
    </row>
    <row r="253" spans="1:54" x14ac:dyDescent="0.25">
      <c r="A253" s="1"/>
      <c r="B253" s="1"/>
      <c r="C253" s="1"/>
      <c r="D253" s="1"/>
      <c r="E253" s="1"/>
      <c r="F253" s="1"/>
      <c r="G253" s="1"/>
      <c r="H253" s="7"/>
      <c r="I253" s="1"/>
      <c r="J253" s="1"/>
      <c r="K253" s="1"/>
      <c r="L253" s="1"/>
      <c r="M253" s="1"/>
      <c r="N253" s="1"/>
      <c r="O253" s="26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1"/>
      <c r="AL253" s="1"/>
      <c r="AM253" s="1"/>
      <c r="AN253" s="1"/>
      <c r="AO253" s="1"/>
      <c r="AP253" s="1"/>
      <c r="AQ253" s="1"/>
      <c r="AR253" s="1"/>
      <c r="AS253" s="1"/>
      <c r="AT253" s="1"/>
      <c r="AU253" s="1"/>
      <c r="AV253" s="1"/>
      <c r="AW253" s="1"/>
      <c r="AX253" s="1"/>
      <c r="AY253" s="1"/>
      <c r="AZ253" s="1"/>
      <c r="BA253" s="1"/>
      <c r="BB253" s="1"/>
    </row>
    <row r="254" spans="1:54" x14ac:dyDescent="0.25">
      <c r="A254" s="1"/>
      <c r="B254" s="1"/>
      <c r="C254" s="1"/>
      <c r="D254" s="1"/>
      <c r="E254" s="1"/>
      <c r="F254" s="1"/>
      <c r="G254" s="1"/>
      <c r="H254" s="7"/>
      <c r="I254" s="1"/>
      <c r="J254" s="1"/>
      <c r="K254" s="1"/>
      <c r="L254" s="1"/>
      <c r="M254" s="1"/>
      <c r="N254" s="1"/>
      <c r="O254" s="26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  <c r="AK254" s="1"/>
      <c r="AL254" s="1"/>
      <c r="AM254" s="1"/>
      <c r="AN254" s="1"/>
      <c r="AO254" s="1"/>
      <c r="AP254" s="1"/>
      <c r="AQ254" s="1"/>
      <c r="AR254" s="1"/>
      <c r="AS254" s="1"/>
      <c r="AT254" s="1"/>
      <c r="AU254" s="1"/>
      <c r="AV254" s="1"/>
      <c r="AW254" s="1"/>
      <c r="AX254" s="1"/>
      <c r="AY254" s="1"/>
      <c r="AZ254" s="1"/>
      <c r="BA254" s="1"/>
      <c r="BB254" s="1"/>
    </row>
    <row r="255" spans="1:54" x14ac:dyDescent="0.25">
      <c r="A255" s="1"/>
      <c r="B255" s="1"/>
      <c r="C255" s="1"/>
      <c r="D255" s="1"/>
      <c r="E255" s="1"/>
      <c r="F255" s="1"/>
      <c r="G255" s="1"/>
      <c r="H255" s="7"/>
      <c r="I255" s="1"/>
      <c r="J255" s="1"/>
      <c r="K255" s="1"/>
      <c r="L255" s="1"/>
      <c r="M255" s="1"/>
      <c r="N255" s="1"/>
      <c r="O255" s="26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  <c r="AK255" s="1"/>
      <c r="AL255" s="1"/>
      <c r="AM255" s="1"/>
      <c r="AN255" s="1"/>
      <c r="AO255" s="1"/>
      <c r="AP255" s="1"/>
      <c r="AQ255" s="1"/>
      <c r="AR255" s="1"/>
      <c r="AS255" s="1"/>
      <c r="AT255" s="1"/>
      <c r="AU255" s="1"/>
      <c r="AV255" s="1"/>
      <c r="AW255" s="1"/>
      <c r="AX255" s="1"/>
      <c r="AY255" s="1"/>
      <c r="AZ255" s="1"/>
      <c r="BA255" s="1"/>
      <c r="BB255" s="1"/>
    </row>
    <row r="256" spans="1:54" x14ac:dyDescent="0.25">
      <c r="A256" s="1"/>
      <c r="B256" s="1"/>
      <c r="C256" s="1"/>
      <c r="D256" s="1"/>
      <c r="E256" s="1"/>
      <c r="F256" s="1"/>
      <c r="G256" s="1"/>
      <c r="H256" s="7"/>
      <c r="I256" s="1"/>
      <c r="J256" s="1"/>
      <c r="K256" s="1"/>
      <c r="L256" s="1"/>
      <c r="M256" s="1"/>
      <c r="N256" s="1"/>
      <c r="O256" s="26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  <c r="AK256" s="1"/>
      <c r="AL256" s="1"/>
      <c r="AM256" s="1"/>
      <c r="AN256" s="1"/>
      <c r="AO256" s="1"/>
      <c r="AP256" s="1"/>
      <c r="AQ256" s="1"/>
      <c r="AR256" s="1"/>
      <c r="AS256" s="1"/>
      <c r="AT256" s="1"/>
      <c r="AU256" s="1"/>
      <c r="AV256" s="1"/>
      <c r="AW256" s="1"/>
      <c r="AX256" s="1"/>
      <c r="AY256" s="1"/>
      <c r="AZ256" s="1"/>
      <c r="BA256" s="1"/>
      <c r="BB256" s="1"/>
    </row>
    <row r="257" spans="1:54" x14ac:dyDescent="0.25">
      <c r="A257" s="1"/>
      <c r="B257" s="1"/>
      <c r="C257" s="1"/>
      <c r="D257" s="1"/>
      <c r="E257" s="1"/>
      <c r="F257" s="1"/>
      <c r="G257" s="1"/>
      <c r="H257" s="7"/>
      <c r="I257" s="1"/>
      <c r="J257" s="1"/>
      <c r="K257" s="1"/>
      <c r="L257" s="1"/>
      <c r="M257" s="1"/>
      <c r="N257" s="1"/>
      <c r="O257" s="26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  <c r="AK257" s="1"/>
      <c r="AL257" s="1"/>
      <c r="AM257" s="1"/>
      <c r="AN257" s="1"/>
      <c r="AO257" s="1"/>
      <c r="AP257" s="1"/>
      <c r="AQ257" s="1"/>
      <c r="AR257" s="1"/>
      <c r="AS257" s="1"/>
      <c r="AT257" s="1"/>
      <c r="AU257" s="1"/>
      <c r="AV257" s="1"/>
      <c r="AW257" s="1"/>
      <c r="AX257" s="1"/>
      <c r="AY257" s="1"/>
      <c r="AZ257" s="1"/>
      <c r="BA257" s="1"/>
      <c r="BB257" s="1"/>
    </row>
    <row r="258" spans="1:54" x14ac:dyDescent="0.25">
      <c r="A258" s="1"/>
      <c r="B258" s="1"/>
      <c r="C258" s="1"/>
      <c r="D258" s="1"/>
      <c r="E258" s="1"/>
      <c r="F258" s="1"/>
      <c r="G258" s="1"/>
      <c r="H258" s="7"/>
      <c r="I258" s="1"/>
      <c r="J258" s="1"/>
      <c r="K258" s="1"/>
      <c r="L258" s="1"/>
      <c r="M258" s="1"/>
      <c r="N258" s="1"/>
      <c r="O258" s="26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  <c r="AK258" s="1"/>
      <c r="AL258" s="1"/>
      <c r="AM258" s="1"/>
      <c r="AN258" s="1"/>
      <c r="AO258" s="1"/>
      <c r="AP258" s="1"/>
      <c r="AQ258" s="1"/>
      <c r="AR258" s="1"/>
      <c r="AS258" s="1"/>
      <c r="AT258" s="1"/>
      <c r="AU258" s="1"/>
      <c r="AV258" s="1"/>
      <c r="AW258" s="1"/>
      <c r="AX258" s="1"/>
      <c r="AY258" s="1"/>
      <c r="AZ258" s="1"/>
      <c r="BA258" s="1"/>
      <c r="BB258" s="1"/>
    </row>
    <row r="259" spans="1:54" x14ac:dyDescent="0.25">
      <c r="A259" s="1"/>
      <c r="B259" s="1"/>
      <c r="C259" s="1"/>
      <c r="D259" s="1"/>
      <c r="E259" s="1"/>
      <c r="F259" s="1"/>
      <c r="G259" s="1"/>
      <c r="H259" s="7"/>
      <c r="I259" s="1"/>
      <c r="J259" s="1"/>
      <c r="K259" s="1"/>
      <c r="L259" s="1"/>
      <c r="M259" s="1"/>
      <c r="N259" s="1"/>
      <c r="O259" s="26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  <c r="AK259" s="1"/>
      <c r="AL259" s="1"/>
      <c r="AM259" s="1"/>
      <c r="AN259" s="1"/>
      <c r="AO259" s="1"/>
      <c r="AP259" s="1"/>
      <c r="AQ259" s="1"/>
      <c r="AR259" s="1"/>
      <c r="AS259" s="1"/>
      <c r="AT259" s="1"/>
      <c r="AU259" s="1"/>
      <c r="AV259" s="1"/>
      <c r="AW259" s="1"/>
      <c r="AX259" s="1"/>
      <c r="AY259" s="1"/>
      <c r="AZ259" s="1"/>
      <c r="BA259" s="1"/>
      <c r="BB259" s="1"/>
    </row>
    <row r="260" spans="1:54" x14ac:dyDescent="0.25">
      <c r="A260" s="1"/>
      <c r="B260" s="1"/>
      <c r="C260" s="1"/>
      <c r="D260" s="1"/>
      <c r="E260" s="1"/>
      <c r="F260" s="1"/>
      <c r="G260" s="1"/>
      <c r="H260" s="7"/>
      <c r="I260" s="1"/>
      <c r="J260" s="1"/>
      <c r="K260" s="1"/>
      <c r="L260" s="1"/>
      <c r="M260" s="1"/>
      <c r="N260" s="1"/>
      <c r="O260" s="26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  <c r="AK260" s="1"/>
      <c r="AL260" s="1"/>
      <c r="AM260" s="1"/>
      <c r="AN260" s="1"/>
      <c r="AO260" s="1"/>
      <c r="AP260" s="1"/>
      <c r="AQ260" s="1"/>
      <c r="AR260" s="1"/>
      <c r="AS260" s="1"/>
      <c r="AT260" s="1"/>
      <c r="AU260" s="1"/>
      <c r="AV260" s="1"/>
      <c r="AW260" s="1"/>
      <c r="AX260" s="1"/>
      <c r="AY260" s="1"/>
      <c r="AZ260" s="1"/>
      <c r="BA260" s="1"/>
      <c r="BB260" s="1"/>
    </row>
    <row r="261" spans="1:54" x14ac:dyDescent="0.25">
      <c r="A261" s="1"/>
      <c r="B261" s="1"/>
      <c r="C261" s="1"/>
      <c r="D261" s="1"/>
      <c r="E261" s="1"/>
      <c r="F261" s="1"/>
      <c r="G261" s="1"/>
      <c r="H261" s="7"/>
      <c r="I261" s="1"/>
      <c r="J261" s="1"/>
      <c r="K261" s="1"/>
      <c r="L261" s="1"/>
      <c r="M261" s="1"/>
      <c r="N261" s="1"/>
      <c r="O261" s="26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  <c r="AK261" s="1"/>
      <c r="AL261" s="1"/>
      <c r="AM261" s="1"/>
      <c r="AN261" s="1"/>
      <c r="AO261" s="1"/>
      <c r="AP261" s="1"/>
      <c r="AQ261" s="1"/>
      <c r="AR261" s="1"/>
      <c r="AS261" s="1"/>
      <c r="AT261" s="1"/>
      <c r="AU261" s="1"/>
      <c r="AV261" s="1"/>
      <c r="AW261" s="1"/>
      <c r="AX261" s="1"/>
      <c r="AY261" s="1"/>
      <c r="AZ261" s="1"/>
      <c r="BA261" s="1"/>
      <c r="BB261" s="1"/>
    </row>
    <row r="262" spans="1:54" x14ac:dyDescent="0.25">
      <c r="A262" s="1"/>
      <c r="B262" s="1"/>
      <c r="C262" s="1"/>
      <c r="D262" s="1"/>
      <c r="E262" s="1"/>
      <c r="F262" s="1"/>
      <c r="G262" s="1"/>
      <c r="H262" s="7"/>
      <c r="I262" s="1"/>
      <c r="J262" s="1"/>
      <c r="K262" s="1"/>
      <c r="L262" s="1"/>
      <c r="M262" s="1"/>
      <c r="N262" s="1"/>
      <c r="O262" s="26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  <c r="AK262" s="1"/>
      <c r="AL262" s="1"/>
      <c r="AM262" s="1"/>
      <c r="AN262" s="1"/>
      <c r="AO262" s="1"/>
      <c r="AP262" s="1"/>
      <c r="AQ262" s="1"/>
      <c r="AR262" s="1"/>
      <c r="AS262" s="1"/>
      <c r="AT262" s="1"/>
      <c r="AU262" s="1"/>
      <c r="AV262" s="1"/>
      <c r="AW262" s="1"/>
      <c r="AX262" s="1"/>
      <c r="AY262" s="1"/>
      <c r="AZ262" s="1"/>
      <c r="BA262" s="1"/>
      <c r="BB262" s="1"/>
    </row>
    <row r="263" spans="1:54" x14ac:dyDescent="0.25">
      <c r="A263" s="1"/>
      <c r="B263" s="1"/>
      <c r="C263" s="1"/>
      <c r="D263" s="1"/>
      <c r="E263" s="1"/>
      <c r="F263" s="1"/>
      <c r="G263" s="1"/>
      <c r="H263" s="7"/>
      <c r="I263" s="1"/>
      <c r="J263" s="1"/>
      <c r="K263" s="1"/>
      <c r="L263" s="1"/>
      <c r="M263" s="1"/>
      <c r="N263" s="1"/>
      <c r="O263" s="26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"/>
      <c r="AK263" s="1"/>
      <c r="AL263" s="1"/>
      <c r="AM263" s="1"/>
      <c r="AN263" s="1"/>
      <c r="AO263" s="1"/>
      <c r="AP263" s="1"/>
      <c r="AQ263" s="1"/>
      <c r="AR263" s="1"/>
      <c r="AS263" s="1"/>
      <c r="AT263" s="1"/>
      <c r="AU263" s="1"/>
      <c r="AV263" s="1"/>
      <c r="AW263" s="1"/>
      <c r="AX263" s="1"/>
      <c r="AY263" s="1"/>
      <c r="AZ263" s="1"/>
      <c r="BA263" s="1"/>
      <c r="BB263" s="1"/>
    </row>
    <row r="264" spans="1:54" x14ac:dyDescent="0.25">
      <c r="A264" s="1"/>
      <c r="B264" s="1"/>
      <c r="C264" s="1"/>
      <c r="D264" s="1"/>
      <c r="E264" s="1"/>
      <c r="F264" s="1"/>
      <c r="G264" s="1"/>
      <c r="H264" s="7"/>
      <c r="I264" s="1"/>
      <c r="J264" s="1"/>
      <c r="K264" s="1"/>
      <c r="L264" s="1"/>
      <c r="M264" s="1"/>
      <c r="N264" s="1"/>
      <c r="O264" s="26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1"/>
      <c r="AK264" s="1"/>
      <c r="AL264" s="1"/>
      <c r="AM264" s="1"/>
      <c r="AN264" s="1"/>
      <c r="AO264" s="1"/>
      <c r="AP264" s="1"/>
      <c r="AQ264" s="1"/>
      <c r="AR264" s="1"/>
      <c r="AS264" s="1"/>
      <c r="AT264" s="1"/>
      <c r="AU264" s="1"/>
      <c r="AV264" s="1"/>
      <c r="AW264" s="1"/>
      <c r="AX264" s="1"/>
      <c r="AY264" s="1"/>
      <c r="AZ264" s="1"/>
      <c r="BA264" s="1"/>
      <c r="BB264" s="1"/>
    </row>
    <row r="265" spans="1:54" x14ac:dyDescent="0.25">
      <c r="A265" s="1"/>
      <c r="B265" s="1"/>
      <c r="C265" s="1"/>
      <c r="D265" s="1"/>
      <c r="E265" s="1"/>
      <c r="F265" s="1"/>
      <c r="G265" s="1"/>
      <c r="H265" s="7"/>
      <c r="I265" s="1"/>
      <c r="J265" s="1"/>
      <c r="K265" s="1"/>
      <c r="L265" s="1"/>
      <c r="M265" s="1"/>
      <c r="N265" s="1"/>
      <c r="O265" s="26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1"/>
      <c r="AK265" s="1"/>
      <c r="AL265" s="1"/>
      <c r="AM265" s="1"/>
      <c r="AN265" s="1"/>
      <c r="AO265" s="1"/>
      <c r="AP265" s="1"/>
      <c r="AQ265" s="1"/>
      <c r="AR265" s="1"/>
      <c r="AS265" s="1"/>
      <c r="AT265" s="1"/>
      <c r="AU265" s="1"/>
      <c r="AV265" s="1"/>
      <c r="AW265" s="1"/>
      <c r="AX265" s="1"/>
      <c r="AY265" s="1"/>
      <c r="AZ265" s="1"/>
      <c r="BA265" s="1"/>
      <c r="BB265" s="1"/>
    </row>
    <row r="266" spans="1:54" x14ac:dyDescent="0.25">
      <c r="A266" s="1"/>
      <c r="B266" s="1"/>
      <c r="C266" s="1"/>
      <c r="D266" s="1"/>
      <c r="E266" s="1"/>
      <c r="F266" s="1"/>
      <c r="G266" s="1"/>
      <c r="H266" s="7"/>
      <c r="I266" s="1"/>
      <c r="J266" s="1"/>
      <c r="K266" s="1"/>
      <c r="L266" s="1"/>
      <c r="M266" s="1"/>
      <c r="N266" s="1"/>
      <c r="O266" s="26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1"/>
      <c r="AK266" s="1"/>
      <c r="AL266" s="1"/>
      <c r="AM266" s="1"/>
      <c r="AN266" s="1"/>
      <c r="AO266" s="1"/>
      <c r="AP266" s="1"/>
      <c r="AQ266" s="1"/>
      <c r="AR266" s="1"/>
      <c r="AS266" s="1"/>
      <c r="AT266" s="1"/>
      <c r="AU266" s="1"/>
      <c r="AV266" s="1"/>
      <c r="AW266" s="1"/>
      <c r="AX266" s="1"/>
      <c r="AY266" s="1"/>
      <c r="AZ266" s="1"/>
      <c r="BA266" s="1"/>
      <c r="BB266" s="1"/>
    </row>
    <row r="267" spans="1:54" x14ac:dyDescent="0.25">
      <c r="A267" s="1"/>
      <c r="B267" s="1"/>
      <c r="C267" s="1"/>
      <c r="D267" s="1"/>
      <c r="E267" s="1"/>
      <c r="F267" s="1"/>
      <c r="G267" s="1"/>
      <c r="H267" s="7"/>
      <c r="I267" s="1"/>
      <c r="J267" s="1"/>
      <c r="K267" s="1"/>
      <c r="L267" s="1"/>
      <c r="M267" s="1"/>
      <c r="N267" s="1"/>
      <c r="O267" s="26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1"/>
      <c r="AK267" s="1"/>
      <c r="AL267" s="1"/>
      <c r="AM267" s="1"/>
      <c r="AN267" s="1"/>
      <c r="AO267" s="1"/>
      <c r="AP267" s="1"/>
      <c r="AQ267" s="1"/>
      <c r="AR267" s="1"/>
      <c r="AS267" s="1"/>
      <c r="AT267" s="1"/>
      <c r="AU267" s="1"/>
      <c r="AV267" s="1"/>
      <c r="AW267" s="1"/>
      <c r="AX267" s="1"/>
      <c r="AY267" s="1"/>
      <c r="AZ267" s="1"/>
      <c r="BA267" s="1"/>
      <c r="BB267" s="1"/>
    </row>
    <row r="268" spans="1:54" x14ac:dyDescent="0.25">
      <c r="A268" s="1"/>
      <c r="B268" s="1"/>
      <c r="C268" s="1"/>
      <c r="D268" s="1"/>
      <c r="E268" s="1"/>
      <c r="F268" s="1"/>
      <c r="G268" s="1"/>
      <c r="H268" s="7"/>
      <c r="I268" s="1"/>
      <c r="J268" s="1"/>
      <c r="K268" s="1"/>
      <c r="L268" s="1"/>
      <c r="M268" s="1"/>
      <c r="N268" s="1"/>
      <c r="O268" s="26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1"/>
      <c r="AK268" s="1"/>
      <c r="AL268" s="1"/>
      <c r="AM268" s="1"/>
      <c r="AN268" s="1"/>
      <c r="AO268" s="1"/>
      <c r="AP268" s="1"/>
      <c r="AQ268" s="1"/>
      <c r="AR268" s="1"/>
      <c r="AS268" s="1"/>
      <c r="AT268" s="1"/>
      <c r="AU268" s="1"/>
      <c r="AV268" s="1"/>
      <c r="AW268" s="1"/>
      <c r="AX268" s="1"/>
      <c r="AY268" s="1"/>
      <c r="AZ268" s="1"/>
      <c r="BA268" s="1"/>
      <c r="BB268" s="1"/>
    </row>
    <row r="269" spans="1:54" x14ac:dyDescent="0.25">
      <c r="A269" s="1"/>
      <c r="B269" s="1"/>
      <c r="C269" s="1"/>
      <c r="D269" s="1"/>
      <c r="E269" s="1"/>
      <c r="F269" s="1"/>
      <c r="G269" s="1"/>
      <c r="H269" s="7"/>
      <c r="I269" s="1"/>
      <c r="J269" s="1"/>
      <c r="K269" s="1"/>
      <c r="L269" s="1"/>
      <c r="M269" s="1"/>
      <c r="N269" s="1"/>
      <c r="O269" s="26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  <c r="AJ269" s="1"/>
      <c r="AK269" s="1"/>
      <c r="AL269" s="1"/>
      <c r="AM269" s="1"/>
      <c r="AN269" s="1"/>
      <c r="AO269" s="1"/>
      <c r="AP269" s="1"/>
      <c r="AQ269" s="1"/>
      <c r="AR269" s="1"/>
      <c r="AS269" s="1"/>
      <c r="AT269" s="1"/>
      <c r="AU269" s="1"/>
      <c r="AV269" s="1"/>
      <c r="AW269" s="1"/>
      <c r="AX269" s="1"/>
      <c r="AY269" s="1"/>
      <c r="AZ269" s="1"/>
      <c r="BA269" s="1"/>
      <c r="BB269" s="1"/>
    </row>
    <row r="270" spans="1:54" x14ac:dyDescent="0.25">
      <c r="A270" s="1"/>
      <c r="B270" s="1"/>
      <c r="C270" s="1"/>
      <c r="D270" s="1"/>
      <c r="E270" s="1"/>
      <c r="F270" s="1"/>
      <c r="G270" s="1"/>
      <c r="H270" s="7"/>
      <c r="I270" s="1"/>
      <c r="J270" s="1"/>
      <c r="K270" s="1"/>
      <c r="L270" s="1"/>
      <c r="M270" s="1"/>
      <c r="N270" s="1"/>
      <c r="O270" s="26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1"/>
      <c r="AK270" s="1"/>
      <c r="AL270" s="1"/>
      <c r="AM270" s="1"/>
      <c r="AN270" s="1"/>
      <c r="AO270" s="1"/>
      <c r="AP270" s="1"/>
      <c r="AQ270" s="1"/>
      <c r="AR270" s="1"/>
      <c r="AS270" s="1"/>
      <c r="AT270" s="1"/>
      <c r="AU270" s="1"/>
      <c r="AV270" s="1"/>
      <c r="AW270" s="1"/>
      <c r="AX270" s="1"/>
      <c r="AY270" s="1"/>
      <c r="AZ270" s="1"/>
      <c r="BA270" s="1"/>
      <c r="BB270" s="1"/>
    </row>
    <row r="271" spans="1:54" x14ac:dyDescent="0.25">
      <c r="A271" s="1"/>
      <c r="B271" s="1"/>
      <c r="C271" s="1"/>
      <c r="D271" s="1"/>
      <c r="E271" s="1"/>
      <c r="F271" s="1"/>
      <c r="G271" s="1"/>
      <c r="H271" s="7"/>
      <c r="I271" s="1"/>
      <c r="J271" s="1"/>
      <c r="K271" s="1"/>
      <c r="L271" s="1"/>
      <c r="M271" s="1"/>
      <c r="N271" s="1"/>
      <c r="O271" s="26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J271" s="1"/>
      <c r="AK271" s="1"/>
      <c r="AL271" s="1"/>
      <c r="AM271" s="1"/>
      <c r="AN271" s="1"/>
      <c r="AO271" s="1"/>
      <c r="AP271" s="1"/>
      <c r="AQ271" s="1"/>
      <c r="AR271" s="1"/>
      <c r="AS271" s="1"/>
      <c r="AT271" s="1"/>
      <c r="AU271" s="1"/>
      <c r="AV271" s="1"/>
      <c r="AW271" s="1"/>
      <c r="AX271" s="1"/>
      <c r="AY271" s="1"/>
      <c r="AZ271" s="1"/>
      <c r="BA271" s="1"/>
      <c r="BB271" s="1"/>
    </row>
    <row r="272" spans="1:54" x14ac:dyDescent="0.25">
      <c r="A272" s="1"/>
      <c r="B272" s="1"/>
      <c r="C272" s="1"/>
      <c r="D272" s="1"/>
      <c r="E272" s="1"/>
      <c r="F272" s="1"/>
      <c r="G272" s="1"/>
      <c r="H272" s="7"/>
      <c r="I272" s="1"/>
      <c r="J272" s="1"/>
      <c r="K272" s="1"/>
      <c r="L272" s="1"/>
      <c r="M272" s="1"/>
      <c r="N272" s="1"/>
      <c r="O272" s="26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  <c r="AJ272" s="1"/>
      <c r="AK272" s="1"/>
      <c r="AL272" s="1"/>
      <c r="AM272" s="1"/>
      <c r="AN272" s="1"/>
      <c r="AO272" s="1"/>
      <c r="AP272" s="1"/>
      <c r="AQ272" s="1"/>
      <c r="AR272" s="1"/>
      <c r="AS272" s="1"/>
      <c r="AT272" s="1"/>
      <c r="AU272" s="1"/>
      <c r="AV272" s="1"/>
      <c r="AW272" s="1"/>
      <c r="AX272" s="1"/>
      <c r="AY272" s="1"/>
      <c r="AZ272" s="1"/>
      <c r="BA272" s="1"/>
      <c r="BB272" s="1"/>
    </row>
    <row r="273" spans="1:54" x14ac:dyDescent="0.25">
      <c r="A273" s="1"/>
      <c r="B273" s="1"/>
      <c r="C273" s="1"/>
      <c r="D273" s="1"/>
      <c r="E273" s="1"/>
      <c r="F273" s="1"/>
      <c r="G273" s="1"/>
      <c r="H273" s="7"/>
      <c r="I273" s="1"/>
      <c r="J273" s="1"/>
      <c r="K273" s="1"/>
      <c r="L273" s="1"/>
      <c r="M273" s="1"/>
      <c r="N273" s="1"/>
      <c r="O273" s="26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  <c r="AJ273" s="1"/>
      <c r="AK273" s="1"/>
      <c r="AL273" s="1"/>
      <c r="AM273" s="1"/>
      <c r="AN273" s="1"/>
      <c r="AO273" s="1"/>
      <c r="AP273" s="1"/>
      <c r="AQ273" s="1"/>
      <c r="AR273" s="1"/>
      <c r="AS273" s="1"/>
      <c r="AT273" s="1"/>
      <c r="AU273" s="1"/>
      <c r="AV273" s="1"/>
      <c r="AW273" s="1"/>
      <c r="AX273" s="1"/>
      <c r="AY273" s="1"/>
      <c r="AZ273" s="1"/>
      <c r="BA273" s="1"/>
      <c r="BB273" s="1"/>
    </row>
    <row r="274" spans="1:54" x14ac:dyDescent="0.25">
      <c r="A274" s="1"/>
      <c r="B274" s="1"/>
      <c r="C274" s="1"/>
      <c r="D274" s="1"/>
      <c r="E274" s="1"/>
      <c r="F274" s="1"/>
      <c r="G274" s="1"/>
      <c r="H274" s="7"/>
      <c r="I274" s="1"/>
      <c r="J274" s="1"/>
      <c r="K274" s="1"/>
      <c r="L274" s="1"/>
      <c r="M274" s="1"/>
      <c r="N274" s="1"/>
      <c r="O274" s="26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  <c r="AJ274" s="1"/>
      <c r="AK274" s="1"/>
      <c r="AL274" s="1"/>
      <c r="AM274" s="1"/>
      <c r="AN274" s="1"/>
      <c r="AO274" s="1"/>
      <c r="AP274" s="1"/>
      <c r="AQ274" s="1"/>
      <c r="AR274" s="1"/>
      <c r="AS274" s="1"/>
      <c r="AT274" s="1"/>
      <c r="AU274" s="1"/>
      <c r="AV274" s="1"/>
      <c r="AW274" s="1"/>
      <c r="AX274" s="1"/>
      <c r="AY274" s="1"/>
      <c r="AZ274" s="1"/>
      <c r="BA274" s="1"/>
      <c r="BB274" s="1"/>
    </row>
    <row r="275" spans="1:54" x14ac:dyDescent="0.25">
      <c r="A275" s="1"/>
      <c r="B275" s="1"/>
      <c r="C275" s="1"/>
      <c r="D275" s="1"/>
      <c r="E275" s="1"/>
      <c r="F275" s="1"/>
      <c r="G275" s="1"/>
      <c r="H275" s="7"/>
      <c r="I275" s="1"/>
      <c r="J275" s="1"/>
      <c r="K275" s="1"/>
      <c r="L275" s="1"/>
      <c r="M275" s="1"/>
      <c r="N275" s="1"/>
      <c r="O275" s="26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  <c r="AJ275" s="1"/>
      <c r="AK275" s="1"/>
      <c r="AL275" s="1"/>
      <c r="AM275" s="1"/>
      <c r="AN275" s="1"/>
      <c r="AO275" s="1"/>
      <c r="AP275" s="1"/>
      <c r="AQ275" s="1"/>
      <c r="AR275" s="1"/>
      <c r="AS275" s="1"/>
      <c r="AT275" s="1"/>
      <c r="AU275" s="1"/>
      <c r="AV275" s="1"/>
      <c r="AW275" s="1"/>
      <c r="AX275" s="1"/>
      <c r="AY275" s="1"/>
      <c r="AZ275" s="1"/>
      <c r="BA275" s="1"/>
      <c r="BB275" s="1"/>
    </row>
    <row r="276" spans="1:54" x14ac:dyDescent="0.25">
      <c r="A276" s="1"/>
      <c r="B276" s="1"/>
      <c r="C276" s="1"/>
      <c r="D276" s="1"/>
      <c r="E276" s="1"/>
      <c r="F276" s="1"/>
      <c r="G276" s="1"/>
      <c r="H276" s="7"/>
      <c r="I276" s="1"/>
      <c r="J276" s="1"/>
      <c r="K276" s="1"/>
      <c r="L276" s="1"/>
      <c r="M276" s="1"/>
      <c r="N276" s="1"/>
      <c r="O276" s="26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  <c r="AJ276" s="1"/>
      <c r="AK276" s="1"/>
      <c r="AL276" s="1"/>
      <c r="AM276" s="1"/>
      <c r="AN276" s="1"/>
      <c r="AO276" s="1"/>
      <c r="AP276" s="1"/>
      <c r="AQ276" s="1"/>
      <c r="AR276" s="1"/>
      <c r="AS276" s="1"/>
      <c r="AT276" s="1"/>
      <c r="AU276" s="1"/>
      <c r="AV276" s="1"/>
      <c r="AW276" s="1"/>
      <c r="AX276" s="1"/>
      <c r="AY276" s="1"/>
      <c r="AZ276" s="1"/>
      <c r="BA276" s="1"/>
      <c r="BB276" s="1"/>
    </row>
    <row r="277" spans="1:54" x14ac:dyDescent="0.25">
      <c r="A277" s="1"/>
      <c r="B277" s="1"/>
      <c r="C277" s="1"/>
      <c r="D277" s="1"/>
      <c r="E277" s="1"/>
      <c r="F277" s="1"/>
      <c r="G277" s="1"/>
      <c r="H277" s="7"/>
      <c r="I277" s="1"/>
      <c r="J277" s="1"/>
      <c r="K277" s="1"/>
      <c r="L277" s="1"/>
      <c r="M277" s="1"/>
      <c r="N277" s="1"/>
      <c r="O277" s="26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  <c r="AJ277" s="1"/>
      <c r="AK277" s="1"/>
      <c r="AL277" s="1"/>
      <c r="AM277" s="1"/>
      <c r="AN277" s="1"/>
      <c r="AO277" s="1"/>
      <c r="AP277" s="1"/>
      <c r="AQ277" s="1"/>
      <c r="AR277" s="1"/>
      <c r="AS277" s="1"/>
      <c r="AT277" s="1"/>
      <c r="AU277" s="1"/>
      <c r="AV277" s="1"/>
      <c r="AW277" s="1"/>
      <c r="AX277" s="1"/>
      <c r="AY277" s="1"/>
      <c r="AZ277" s="1"/>
      <c r="BA277" s="1"/>
      <c r="BB277" s="1"/>
    </row>
    <row r="278" spans="1:54" x14ac:dyDescent="0.25">
      <c r="A278" s="1"/>
      <c r="B278" s="1"/>
      <c r="C278" s="1"/>
      <c r="D278" s="1"/>
      <c r="E278" s="1"/>
      <c r="F278" s="1"/>
      <c r="G278" s="1"/>
      <c r="H278" s="7"/>
      <c r="I278" s="1"/>
      <c r="J278" s="1"/>
      <c r="K278" s="1"/>
      <c r="L278" s="1"/>
      <c r="M278" s="1"/>
      <c r="N278" s="1"/>
      <c r="O278" s="26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  <c r="AJ278" s="1"/>
      <c r="AK278" s="1"/>
      <c r="AL278" s="1"/>
      <c r="AM278" s="1"/>
      <c r="AN278" s="1"/>
      <c r="AO278" s="1"/>
      <c r="AP278" s="1"/>
      <c r="AQ278" s="1"/>
      <c r="AR278" s="1"/>
      <c r="AS278" s="1"/>
      <c r="AT278" s="1"/>
      <c r="AU278" s="1"/>
      <c r="AV278" s="1"/>
      <c r="AW278" s="1"/>
      <c r="AX278" s="1"/>
      <c r="AY278" s="1"/>
      <c r="AZ278" s="1"/>
      <c r="BA278" s="1"/>
      <c r="BB278" s="1"/>
    </row>
    <row r="279" spans="1:54" x14ac:dyDescent="0.25">
      <c r="A279" s="1"/>
      <c r="B279" s="1"/>
      <c r="C279" s="1"/>
      <c r="D279" s="1"/>
      <c r="E279" s="1"/>
      <c r="F279" s="1"/>
      <c r="G279" s="1"/>
      <c r="H279" s="7"/>
      <c r="I279" s="1"/>
      <c r="J279" s="1"/>
      <c r="K279" s="1"/>
      <c r="L279" s="1"/>
      <c r="M279" s="1"/>
      <c r="N279" s="1"/>
      <c r="O279" s="26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  <c r="AJ279" s="1"/>
      <c r="AK279" s="1"/>
      <c r="AL279" s="1"/>
      <c r="AM279" s="1"/>
      <c r="AN279" s="1"/>
      <c r="AO279" s="1"/>
      <c r="AP279" s="1"/>
      <c r="AQ279" s="1"/>
      <c r="AR279" s="1"/>
      <c r="AS279" s="1"/>
      <c r="AT279" s="1"/>
      <c r="AU279" s="1"/>
      <c r="AV279" s="1"/>
      <c r="AW279" s="1"/>
      <c r="AX279" s="1"/>
      <c r="AY279" s="1"/>
      <c r="AZ279" s="1"/>
      <c r="BA279" s="1"/>
      <c r="BB279" s="1"/>
    </row>
    <row r="280" spans="1:54" x14ac:dyDescent="0.25">
      <c r="A280" s="1"/>
      <c r="B280" s="1"/>
      <c r="C280" s="1"/>
      <c r="D280" s="1"/>
      <c r="E280" s="1"/>
      <c r="F280" s="1"/>
      <c r="G280" s="1"/>
      <c r="H280" s="7"/>
      <c r="I280" s="1"/>
      <c r="J280" s="1"/>
      <c r="K280" s="1"/>
      <c r="L280" s="1"/>
      <c r="M280" s="1"/>
      <c r="N280" s="1"/>
      <c r="O280" s="26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  <c r="AJ280" s="1"/>
      <c r="AK280" s="1"/>
      <c r="AL280" s="1"/>
      <c r="AM280" s="1"/>
      <c r="AN280" s="1"/>
      <c r="AO280" s="1"/>
      <c r="AP280" s="1"/>
      <c r="AQ280" s="1"/>
      <c r="AR280" s="1"/>
      <c r="AS280" s="1"/>
      <c r="AT280" s="1"/>
      <c r="AU280" s="1"/>
      <c r="AV280" s="1"/>
      <c r="AW280" s="1"/>
      <c r="AX280" s="1"/>
      <c r="AY280" s="1"/>
      <c r="AZ280" s="1"/>
      <c r="BA280" s="1"/>
      <c r="BB280" s="1"/>
    </row>
    <row r="281" spans="1:54" x14ac:dyDescent="0.25">
      <c r="A281" s="1"/>
      <c r="B281" s="1"/>
      <c r="C281" s="1"/>
      <c r="D281" s="1"/>
      <c r="E281" s="1"/>
      <c r="F281" s="1"/>
      <c r="G281" s="1"/>
      <c r="H281" s="7"/>
      <c r="I281" s="1"/>
      <c r="J281" s="1"/>
      <c r="K281" s="1"/>
      <c r="L281" s="1"/>
      <c r="M281" s="1"/>
      <c r="N281" s="1"/>
      <c r="O281" s="26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  <c r="AJ281" s="1"/>
      <c r="AK281" s="1"/>
      <c r="AL281" s="1"/>
      <c r="AM281" s="1"/>
      <c r="AN281" s="1"/>
      <c r="AO281" s="1"/>
      <c r="AP281" s="1"/>
      <c r="AQ281" s="1"/>
      <c r="AR281" s="1"/>
      <c r="AS281" s="1"/>
      <c r="AT281" s="1"/>
      <c r="AU281" s="1"/>
      <c r="AV281" s="1"/>
      <c r="AW281" s="1"/>
      <c r="AX281" s="1"/>
      <c r="AY281" s="1"/>
      <c r="AZ281" s="1"/>
      <c r="BA281" s="1"/>
      <c r="BB281" s="1"/>
    </row>
    <row r="282" spans="1:54" x14ac:dyDescent="0.25">
      <c r="A282" s="1"/>
      <c r="B282" s="1"/>
      <c r="C282" s="1"/>
      <c r="D282" s="1"/>
      <c r="E282" s="1"/>
      <c r="F282" s="1"/>
      <c r="G282" s="1"/>
      <c r="H282" s="7"/>
      <c r="I282" s="1"/>
      <c r="J282" s="1"/>
      <c r="K282" s="1"/>
      <c r="L282" s="1"/>
      <c r="M282" s="1"/>
      <c r="N282" s="1"/>
      <c r="O282" s="26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  <c r="AJ282" s="1"/>
      <c r="AK282" s="1"/>
      <c r="AL282" s="1"/>
      <c r="AM282" s="1"/>
      <c r="AN282" s="1"/>
      <c r="AO282" s="1"/>
      <c r="AP282" s="1"/>
      <c r="AQ282" s="1"/>
      <c r="AR282" s="1"/>
      <c r="AS282" s="1"/>
      <c r="AT282" s="1"/>
      <c r="AU282" s="1"/>
      <c r="AV282" s="1"/>
      <c r="AW282" s="1"/>
      <c r="AX282" s="1"/>
      <c r="AY282" s="1"/>
      <c r="AZ282" s="1"/>
      <c r="BA282" s="1"/>
      <c r="BB282" s="1"/>
    </row>
    <row r="283" spans="1:54" x14ac:dyDescent="0.25">
      <c r="A283" s="1"/>
      <c r="B283" s="1"/>
      <c r="C283" s="1"/>
      <c r="D283" s="1"/>
      <c r="E283" s="1"/>
      <c r="F283" s="1"/>
      <c r="G283" s="1"/>
      <c r="H283" s="7"/>
      <c r="I283" s="1"/>
      <c r="J283" s="1"/>
      <c r="K283" s="1"/>
      <c r="L283" s="1"/>
      <c r="M283" s="1"/>
      <c r="N283" s="1"/>
      <c r="O283" s="26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  <c r="AJ283" s="1"/>
      <c r="AK283" s="1"/>
      <c r="AL283" s="1"/>
      <c r="AM283" s="1"/>
      <c r="AN283" s="1"/>
      <c r="AO283" s="1"/>
      <c r="AP283" s="1"/>
      <c r="AQ283" s="1"/>
      <c r="AR283" s="1"/>
      <c r="AS283" s="1"/>
      <c r="AT283" s="1"/>
      <c r="AU283" s="1"/>
      <c r="AV283" s="1"/>
      <c r="AW283" s="1"/>
      <c r="AX283" s="1"/>
      <c r="AY283" s="1"/>
      <c r="AZ283" s="1"/>
      <c r="BA283" s="1"/>
      <c r="BB283" s="1"/>
    </row>
    <row r="284" spans="1:54" x14ac:dyDescent="0.25">
      <c r="A284" s="1"/>
      <c r="B284" s="1"/>
      <c r="C284" s="1"/>
      <c r="D284" s="1"/>
      <c r="E284" s="1"/>
      <c r="F284" s="1"/>
      <c r="G284" s="1"/>
      <c r="H284" s="7"/>
      <c r="I284" s="1"/>
      <c r="J284" s="1"/>
      <c r="K284" s="1"/>
      <c r="L284" s="1"/>
      <c r="M284" s="1"/>
      <c r="N284" s="1"/>
      <c r="O284" s="26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  <c r="AJ284" s="1"/>
      <c r="AK284" s="1"/>
      <c r="AL284" s="1"/>
      <c r="AM284" s="1"/>
      <c r="AN284" s="1"/>
      <c r="AO284" s="1"/>
      <c r="AP284" s="1"/>
      <c r="AQ284" s="1"/>
      <c r="AR284" s="1"/>
      <c r="AS284" s="1"/>
      <c r="AT284" s="1"/>
      <c r="AU284" s="1"/>
      <c r="AV284" s="1"/>
      <c r="AW284" s="1"/>
      <c r="AX284" s="1"/>
      <c r="AY284" s="1"/>
      <c r="AZ284" s="1"/>
      <c r="BA284" s="1"/>
      <c r="BB284" s="1"/>
    </row>
    <row r="285" spans="1:54" x14ac:dyDescent="0.25">
      <c r="A285" s="1"/>
      <c r="B285" s="1"/>
      <c r="C285" s="1"/>
      <c r="D285" s="1"/>
      <c r="E285" s="1"/>
      <c r="F285" s="1"/>
      <c r="G285" s="1"/>
      <c r="H285" s="7"/>
      <c r="I285" s="1"/>
      <c r="J285" s="1"/>
      <c r="K285" s="1"/>
      <c r="L285" s="1"/>
      <c r="M285" s="1"/>
      <c r="N285" s="1"/>
      <c r="O285" s="26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  <c r="AJ285" s="1"/>
      <c r="AK285" s="1"/>
      <c r="AL285" s="1"/>
      <c r="AM285" s="1"/>
      <c r="AN285" s="1"/>
      <c r="AO285" s="1"/>
      <c r="AP285" s="1"/>
      <c r="AQ285" s="1"/>
      <c r="AR285" s="1"/>
      <c r="AS285" s="1"/>
      <c r="AT285" s="1"/>
      <c r="AU285" s="1"/>
      <c r="AV285" s="1"/>
      <c r="AW285" s="1"/>
      <c r="AX285" s="1"/>
      <c r="AY285" s="1"/>
      <c r="AZ285" s="1"/>
      <c r="BA285" s="1"/>
      <c r="BB285" s="1"/>
    </row>
    <row r="286" spans="1:54" x14ac:dyDescent="0.25">
      <c r="A286" s="1"/>
      <c r="B286" s="1"/>
      <c r="C286" s="1"/>
      <c r="D286" s="1"/>
      <c r="E286" s="1"/>
      <c r="F286" s="1"/>
      <c r="G286" s="1"/>
      <c r="H286" s="7"/>
      <c r="I286" s="1"/>
      <c r="J286" s="1"/>
      <c r="K286" s="1"/>
      <c r="L286" s="1"/>
      <c r="M286" s="1"/>
      <c r="N286" s="1"/>
      <c r="O286" s="26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  <c r="AJ286" s="1"/>
      <c r="AK286" s="1"/>
      <c r="AL286" s="1"/>
      <c r="AM286" s="1"/>
      <c r="AN286" s="1"/>
      <c r="AO286" s="1"/>
      <c r="AP286" s="1"/>
      <c r="AQ286" s="1"/>
      <c r="AR286" s="1"/>
      <c r="AS286" s="1"/>
      <c r="AT286" s="1"/>
      <c r="AU286" s="1"/>
      <c r="AV286" s="1"/>
      <c r="AW286" s="1"/>
      <c r="AX286" s="1"/>
      <c r="AY286" s="1"/>
      <c r="AZ286" s="1"/>
      <c r="BA286" s="1"/>
      <c r="BB286" s="1"/>
    </row>
    <row r="287" spans="1:54" x14ac:dyDescent="0.25">
      <c r="A287" s="1"/>
      <c r="B287" s="1"/>
      <c r="C287" s="1"/>
      <c r="D287" s="1"/>
      <c r="E287" s="1"/>
      <c r="F287" s="1"/>
      <c r="G287" s="1"/>
      <c r="H287" s="7"/>
      <c r="I287" s="1"/>
      <c r="J287" s="1"/>
      <c r="K287" s="1"/>
      <c r="L287" s="1"/>
      <c r="M287" s="1"/>
      <c r="N287" s="1"/>
      <c r="O287" s="26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  <c r="AJ287" s="1"/>
      <c r="AK287" s="1"/>
      <c r="AL287" s="1"/>
      <c r="AM287" s="1"/>
      <c r="AN287" s="1"/>
      <c r="AO287" s="1"/>
      <c r="AP287" s="1"/>
      <c r="AQ287" s="1"/>
      <c r="AR287" s="1"/>
      <c r="AS287" s="1"/>
      <c r="AT287" s="1"/>
      <c r="AU287" s="1"/>
      <c r="AV287" s="1"/>
      <c r="AW287" s="1"/>
      <c r="AX287" s="1"/>
      <c r="AY287" s="1"/>
      <c r="AZ287" s="1"/>
      <c r="BA287" s="1"/>
      <c r="BB287" s="1"/>
    </row>
    <row r="288" spans="1:54" x14ac:dyDescent="0.25">
      <c r="A288" s="1"/>
      <c r="B288" s="1"/>
      <c r="C288" s="1"/>
      <c r="D288" s="1"/>
      <c r="E288" s="1"/>
      <c r="F288" s="1"/>
      <c r="G288" s="1"/>
      <c r="H288" s="7"/>
      <c r="I288" s="1"/>
      <c r="J288" s="1"/>
      <c r="K288" s="1"/>
      <c r="L288" s="1"/>
      <c r="M288" s="1"/>
      <c r="N288" s="1"/>
      <c r="O288" s="26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  <c r="AJ288" s="1"/>
      <c r="AK288" s="1"/>
      <c r="AL288" s="1"/>
      <c r="AM288" s="1"/>
      <c r="AN288" s="1"/>
      <c r="AO288" s="1"/>
      <c r="AP288" s="1"/>
      <c r="AQ288" s="1"/>
      <c r="AR288" s="1"/>
      <c r="AS288" s="1"/>
      <c r="AT288" s="1"/>
      <c r="AU288" s="1"/>
      <c r="AV288" s="1"/>
      <c r="AW288" s="1"/>
      <c r="AX288" s="1"/>
      <c r="AY288" s="1"/>
      <c r="AZ288" s="1"/>
      <c r="BA288" s="1"/>
      <c r="BB288" s="1"/>
    </row>
    <row r="289" spans="1:54" x14ac:dyDescent="0.25">
      <c r="A289" s="1"/>
      <c r="B289" s="1"/>
      <c r="C289" s="1"/>
      <c r="D289" s="1"/>
      <c r="E289" s="1"/>
      <c r="F289" s="1"/>
      <c r="G289" s="1"/>
      <c r="H289" s="7"/>
      <c r="I289" s="1"/>
      <c r="J289" s="1"/>
      <c r="K289" s="1"/>
      <c r="L289" s="1"/>
      <c r="M289" s="1"/>
      <c r="N289" s="1"/>
      <c r="O289" s="26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  <c r="AJ289" s="1"/>
      <c r="AK289" s="1"/>
      <c r="AL289" s="1"/>
      <c r="AM289" s="1"/>
      <c r="AN289" s="1"/>
      <c r="AO289" s="1"/>
      <c r="AP289" s="1"/>
      <c r="AQ289" s="1"/>
      <c r="AR289" s="1"/>
      <c r="AS289" s="1"/>
      <c r="AT289" s="1"/>
      <c r="AU289" s="1"/>
      <c r="AV289" s="1"/>
      <c r="AW289" s="1"/>
      <c r="AX289" s="1"/>
      <c r="AY289" s="1"/>
      <c r="AZ289" s="1"/>
      <c r="BA289" s="1"/>
      <c r="BB289" s="1"/>
    </row>
    <row r="290" spans="1:54" x14ac:dyDescent="0.25">
      <c r="A290" s="1"/>
      <c r="B290" s="1"/>
      <c r="C290" s="1"/>
      <c r="D290" s="1"/>
      <c r="E290" s="1"/>
      <c r="F290" s="1"/>
      <c r="G290" s="1"/>
      <c r="H290" s="7"/>
      <c r="I290" s="1"/>
      <c r="J290" s="1"/>
      <c r="K290" s="1"/>
      <c r="L290" s="1"/>
      <c r="M290" s="1"/>
      <c r="N290" s="1"/>
      <c r="O290" s="26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  <c r="AJ290" s="1"/>
      <c r="AK290" s="1"/>
      <c r="AL290" s="1"/>
      <c r="AM290" s="1"/>
      <c r="AN290" s="1"/>
      <c r="AO290" s="1"/>
      <c r="AP290" s="1"/>
      <c r="AQ290" s="1"/>
      <c r="AR290" s="1"/>
      <c r="AS290" s="1"/>
      <c r="AT290" s="1"/>
      <c r="AU290" s="1"/>
      <c r="AV290" s="1"/>
      <c r="AW290" s="1"/>
      <c r="AX290" s="1"/>
      <c r="AY290" s="1"/>
      <c r="AZ290" s="1"/>
      <c r="BA290" s="1"/>
      <c r="BB290" s="1"/>
    </row>
    <row r="291" spans="1:54" x14ac:dyDescent="0.25">
      <c r="A291" s="1"/>
      <c r="B291" s="1"/>
      <c r="C291" s="1"/>
      <c r="D291" s="1"/>
      <c r="E291" s="1"/>
      <c r="F291" s="1"/>
      <c r="G291" s="1"/>
      <c r="H291" s="7"/>
      <c r="I291" s="1"/>
      <c r="J291" s="1"/>
      <c r="K291" s="1"/>
      <c r="L291" s="1"/>
      <c r="M291" s="1"/>
      <c r="N291" s="1"/>
      <c r="O291" s="26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  <c r="AJ291" s="1"/>
      <c r="AK291" s="1"/>
      <c r="AL291" s="1"/>
      <c r="AM291" s="1"/>
      <c r="AN291" s="1"/>
      <c r="AO291" s="1"/>
      <c r="AP291" s="1"/>
      <c r="AQ291" s="1"/>
      <c r="AR291" s="1"/>
      <c r="AS291" s="1"/>
      <c r="AT291" s="1"/>
      <c r="AU291" s="1"/>
      <c r="AV291" s="1"/>
      <c r="AW291" s="1"/>
      <c r="AX291" s="1"/>
      <c r="AY291" s="1"/>
      <c r="AZ291" s="1"/>
      <c r="BA291" s="1"/>
      <c r="BB291" s="1"/>
    </row>
    <row r="292" spans="1:54" x14ac:dyDescent="0.25">
      <c r="A292" s="1"/>
      <c r="B292" s="1"/>
      <c r="C292" s="1"/>
      <c r="D292" s="1"/>
      <c r="E292" s="1"/>
      <c r="F292" s="1"/>
      <c r="G292" s="1"/>
      <c r="H292" s="7"/>
      <c r="I292" s="1"/>
      <c r="J292" s="1"/>
      <c r="K292" s="1"/>
      <c r="L292" s="1"/>
      <c r="M292" s="1"/>
      <c r="N292" s="1"/>
      <c r="O292" s="26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  <c r="AJ292" s="1"/>
      <c r="AK292" s="1"/>
      <c r="AL292" s="1"/>
      <c r="AM292" s="1"/>
      <c r="AN292" s="1"/>
      <c r="AO292" s="1"/>
      <c r="AP292" s="1"/>
      <c r="AQ292" s="1"/>
      <c r="AR292" s="1"/>
      <c r="AS292" s="1"/>
      <c r="AT292" s="1"/>
      <c r="AU292" s="1"/>
      <c r="AV292" s="1"/>
      <c r="AW292" s="1"/>
      <c r="AX292" s="1"/>
      <c r="AY292" s="1"/>
      <c r="AZ292" s="1"/>
      <c r="BA292" s="1"/>
      <c r="BB292" s="1"/>
    </row>
    <row r="293" spans="1:54" x14ac:dyDescent="0.25">
      <c r="A293" s="1"/>
      <c r="B293" s="1"/>
      <c r="C293" s="1"/>
      <c r="D293" s="1"/>
      <c r="E293" s="1"/>
      <c r="F293" s="1"/>
      <c r="G293" s="1"/>
      <c r="H293" s="7"/>
      <c r="I293" s="1"/>
      <c r="J293" s="1"/>
      <c r="K293" s="1"/>
      <c r="L293" s="1"/>
      <c r="M293" s="1"/>
      <c r="N293" s="1"/>
      <c r="O293" s="26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1"/>
      <c r="AK293" s="1"/>
      <c r="AL293" s="1"/>
      <c r="AM293" s="1"/>
      <c r="AN293" s="1"/>
      <c r="AO293" s="1"/>
      <c r="AP293" s="1"/>
      <c r="AQ293" s="1"/>
      <c r="AR293" s="1"/>
      <c r="AS293" s="1"/>
      <c r="AT293" s="1"/>
      <c r="AU293" s="1"/>
      <c r="AV293" s="1"/>
      <c r="AW293" s="1"/>
      <c r="AX293" s="1"/>
      <c r="AY293" s="1"/>
      <c r="AZ293" s="1"/>
      <c r="BA293" s="1"/>
      <c r="BB293" s="1"/>
    </row>
    <row r="294" spans="1:54" x14ac:dyDescent="0.25">
      <c r="A294" s="1"/>
      <c r="B294" s="1"/>
      <c r="C294" s="1"/>
      <c r="D294" s="1"/>
      <c r="E294" s="1"/>
      <c r="F294" s="1"/>
      <c r="G294" s="1"/>
      <c r="H294" s="7"/>
      <c r="I294" s="1"/>
      <c r="J294" s="1"/>
      <c r="K294" s="1"/>
      <c r="L294" s="1"/>
      <c r="M294" s="1"/>
      <c r="N294" s="1"/>
      <c r="O294" s="26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1"/>
      <c r="AK294" s="1"/>
      <c r="AL294" s="1"/>
      <c r="AM294" s="1"/>
      <c r="AN294" s="1"/>
      <c r="AO294" s="1"/>
      <c r="AP294" s="1"/>
      <c r="AQ294" s="1"/>
      <c r="AR294" s="1"/>
      <c r="AS294" s="1"/>
      <c r="AT294" s="1"/>
      <c r="AU294" s="1"/>
      <c r="AV294" s="1"/>
      <c r="AW294" s="1"/>
      <c r="AX294" s="1"/>
      <c r="AY294" s="1"/>
      <c r="AZ294" s="1"/>
      <c r="BA294" s="1"/>
      <c r="BB294" s="1"/>
    </row>
    <row r="295" spans="1:54" x14ac:dyDescent="0.25">
      <c r="A295" s="1"/>
      <c r="B295" s="1"/>
      <c r="C295" s="1"/>
      <c r="D295" s="1"/>
      <c r="E295" s="1"/>
      <c r="F295" s="1"/>
      <c r="G295" s="1"/>
      <c r="H295" s="7"/>
      <c r="I295" s="1"/>
      <c r="J295" s="1"/>
      <c r="K295" s="1"/>
      <c r="L295" s="1"/>
      <c r="M295" s="1"/>
      <c r="N295" s="1"/>
      <c r="O295" s="26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  <c r="AJ295" s="1"/>
      <c r="AK295" s="1"/>
      <c r="AL295" s="1"/>
      <c r="AM295" s="1"/>
      <c r="AN295" s="1"/>
      <c r="AO295" s="1"/>
      <c r="AP295" s="1"/>
      <c r="AQ295" s="1"/>
      <c r="AR295" s="1"/>
      <c r="AS295" s="1"/>
      <c r="AT295" s="1"/>
      <c r="AU295" s="1"/>
      <c r="AV295" s="1"/>
      <c r="AW295" s="1"/>
      <c r="AX295" s="1"/>
      <c r="AY295" s="1"/>
      <c r="AZ295" s="1"/>
      <c r="BA295" s="1"/>
      <c r="BB295" s="1"/>
    </row>
    <row r="296" spans="1:54" x14ac:dyDescent="0.25">
      <c r="A296" s="1"/>
      <c r="B296" s="1"/>
      <c r="C296" s="1"/>
      <c r="D296" s="1"/>
      <c r="E296" s="1"/>
      <c r="F296" s="1"/>
      <c r="G296" s="1"/>
      <c r="H296" s="7"/>
      <c r="I296" s="1"/>
      <c r="J296" s="1"/>
      <c r="K296" s="1"/>
      <c r="L296" s="1"/>
      <c r="M296" s="1"/>
      <c r="N296" s="1"/>
      <c r="O296" s="26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  <c r="AJ296" s="1"/>
      <c r="AK296" s="1"/>
      <c r="AL296" s="1"/>
      <c r="AM296" s="1"/>
      <c r="AN296" s="1"/>
      <c r="AO296" s="1"/>
      <c r="AP296" s="1"/>
      <c r="AQ296" s="1"/>
      <c r="AR296" s="1"/>
      <c r="AS296" s="1"/>
      <c r="AT296" s="1"/>
      <c r="AU296" s="1"/>
      <c r="AV296" s="1"/>
      <c r="AW296" s="1"/>
      <c r="AX296" s="1"/>
      <c r="AY296" s="1"/>
      <c r="AZ296" s="1"/>
      <c r="BA296" s="1"/>
      <c r="BB296" s="1"/>
    </row>
    <row r="297" spans="1:54" x14ac:dyDescent="0.25">
      <c r="A297" s="1"/>
      <c r="B297" s="1"/>
      <c r="C297" s="1"/>
      <c r="D297" s="1"/>
      <c r="E297" s="1"/>
      <c r="F297" s="1"/>
      <c r="G297" s="1"/>
      <c r="H297" s="7"/>
      <c r="I297" s="1"/>
      <c r="J297" s="1"/>
      <c r="K297" s="1"/>
      <c r="L297" s="1"/>
      <c r="M297" s="1"/>
      <c r="N297" s="1"/>
      <c r="O297" s="26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  <c r="AJ297" s="1"/>
      <c r="AK297" s="1"/>
      <c r="AL297" s="1"/>
      <c r="AM297" s="1"/>
      <c r="AN297" s="1"/>
      <c r="AO297" s="1"/>
      <c r="AP297" s="1"/>
      <c r="AQ297" s="1"/>
      <c r="AR297" s="1"/>
      <c r="AS297" s="1"/>
      <c r="AT297" s="1"/>
      <c r="AU297" s="1"/>
      <c r="AV297" s="1"/>
      <c r="AW297" s="1"/>
      <c r="AX297" s="1"/>
      <c r="AY297" s="1"/>
      <c r="AZ297" s="1"/>
      <c r="BA297" s="1"/>
      <c r="BB297" s="1"/>
    </row>
    <row r="298" spans="1:54" x14ac:dyDescent="0.25">
      <c r="A298" s="1"/>
      <c r="B298" s="1"/>
      <c r="C298" s="1"/>
      <c r="D298" s="1"/>
      <c r="E298" s="1"/>
      <c r="F298" s="1"/>
      <c r="G298" s="1"/>
      <c r="H298" s="7"/>
      <c r="I298" s="1"/>
      <c r="J298" s="1"/>
      <c r="K298" s="1"/>
      <c r="L298" s="1"/>
      <c r="M298" s="1"/>
      <c r="N298" s="1"/>
      <c r="O298" s="26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  <c r="AJ298" s="1"/>
      <c r="AK298" s="1"/>
      <c r="AL298" s="1"/>
      <c r="AM298" s="1"/>
      <c r="AN298" s="1"/>
      <c r="AO298" s="1"/>
      <c r="AP298" s="1"/>
      <c r="AQ298" s="1"/>
      <c r="AR298" s="1"/>
      <c r="AS298" s="1"/>
      <c r="AT298" s="1"/>
      <c r="AU298" s="1"/>
      <c r="AV298" s="1"/>
      <c r="AW298" s="1"/>
      <c r="AX298" s="1"/>
      <c r="AY298" s="1"/>
      <c r="AZ298" s="1"/>
      <c r="BA298" s="1"/>
      <c r="BB298" s="1"/>
    </row>
    <row r="299" spans="1:54" x14ac:dyDescent="0.25">
      <c r="A299" s="1"/>
      <c r="B299" s="1"/>
      <c r="C299" s="1"/>
      <c r="D299" s="1"/>
      <c r="E299" s="1"/>
      <c r="F299" s="1"/>
      <c r="G299" s="1"/>
      <c r="H299" s="7"/>
      <c r="I299" s="1"/>
      <c r="J299" s="1"/>
      <c r="K299" s="1"/>
      <c r="L299" s="1"/>
      <c r="M299" s="1"/>
      <c r="N299" s="1"/>
      <c r="O299" s="26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  <c r="AJ299" s="1"/>
      <c r="AK299" s="1"/>
      <c r="AL299" s="1"/>
      <c r="AM299" s="1"/>
      <c r="AN299" s="1"/>
      <c r="AO299" s="1"/>
      <c r="AP299" s="1"/>
      <c r="AQ299" s="1"/>
      <c r="AR299" s="1"/>
      <c r="AS299" s="1"/>
      <c r="AT299" s="1"/>
      <c r="AU299" s="1"/>
      <c r="AV299" s="1"/>
      <c r="AW299" s="1"/>
      <c r="AX299" s="1"/>
      <c r="AY299" s="1"/>
      <c r="AZ299" s="1"/>
      <c r="BA299" s="1"/>
      <c r="BB299" s="1"/>
    </row>
    <row r="300" spans="1:54" x14ac:dyDescent="0.25">
      <c r="A300" s="1"/>
      <c r="B300" s="1"/>
      <c r="C300" s="1"/>
      <c r="D300" s="1"/>
      <c r="E300" s="1"/>
      <c r="F300" s="1"/>
      <c r="G300" s="1"/>
      <c r="H300" s="7"/>
      <c r="I300" s="1"/>
      <c r="J300" s="1"/>
      <c r="K300" s="1"/>
      <c r="L300" s="1"/>
      <c r="M300" s="1"/>
      <c r="N300" s="1"/>
      <c r="O300" s="26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  <c r="AJ300" s="1"/>
      <c r="AK300" s="1"/>
      <c r="AL300" s="1"/>
      <c r="AM300" s="1"/>
      <c r="AN300" s="1"/>
      <c r="AO300" s="1"/>
      <c r="AP300" s="1"/>
      <c r="AQ300" s="1"/>
      <c r="AR300" s="1"/>
      <c r="AS300" s="1"/>
      <c r="AT300" s="1"/>
      <c r="AU300" s="1"/>
      <c r="AV300" s="1"/>
      <c r="AW300" s="1"/>
      <c r="AX300" s="1"/>
      <c r="AY300" s="1"/>
      <c r="AZ300" s="1"/>
      <c r="BA300" s="1"/>
      <c r="BB300" s="1"/>
    </row>
    <row r="301" spans="1:54" x14ac:dyDescent="0.25">
      <c r="A301" s="1"/>
      <c r="B301" s="1"/>
      <c r="C301" s="1"/>
      <c r="D301" s="1"/>
      <c r="E301" s="1"/>
      <c r="F301" s="1"/>
      <c r="G301" s="1"/>
      <c r="H301" s="7"/>
      <c r="I301" s="1"/>
      <c r="J301" s="1"/>
      <c r="K301" s="1"/>
      <c r="L301" s="1"/>
      <c r="M301" s="1"/>
      <c r="N301" s="1"/>
      <c r="O301" s="26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  <c r="AI301" s="1"/>
      <c r="AJ301" s="1"/>
      <c r="AK301" s="1"/>
      <c r="AL301" s="1"/>
      <c r="AM301" s="1"/>
      <c r="AN301" s="1"/>
      <c r="AO301" s="1"/>
      <c r="AP301" s="1"/>
      <c r="AQ301" s="1"/>
      <c r="AR301" s="1"/>
      <c r="AS301" s="1"/>
      <c r="AT301" s="1"/>
      <c r="AU301" s="1"/>
      <c r="AV301" s="1"/>
      <c r="AW301" s="1"/>
      <c r="AX301" s="1"/>
      <c r="AY301" s="1"/>
      <c r="AZ301" s="1"/>
      <c r="BA301" s="1"/>
      <c r="BB301" s="1"/>
    </row>
    <row r="302" spans="1:54" x14ac:dyDescent="0.25">
      <c r="A302" s="1"/>
      <c r="B302" s="1"/>
      <c r="C302" s="1"/>
      <c r="D302" s="1"/>
      <c r="E302" s="1"/>
      <c r="F302" s="1"/>
      <c r="G302" s="1"/>
      <c r="H302" s="7"/>
      <c r="I302" s="1"/>
      <c r="J302" s="1"/>
      <c r="K302" s="1"/>
      <c r="L302" s="1"/>
      <c r="M302" s="1"/>
      <c r="N302" s="1"/>
      <c r="O302" s="26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  <c r="AI302" s="1"/>
      <c r="AJ302" s="1"/>
      <c r="AK302" s="1"/>
      <c r="AL302" s="1"/>
      <c r="AM302" s="1"/>
      <c r="AN302" s="1"/>
      <c r="AO302" s="1"/>
      <c r="AP302" s="1"/>
      <c r="AQ302" s="1"/>
      <c r="AR302" s="1"/>
      <c r="AS302" s="1"/>
      <c r="AT302" s="1"/>
      <c r="AU302" s="1"/>
      <c r="AV302" s="1"/>
      <c r="AW302" s="1"/>
      <c r="AX302" s="1"/>
      <c r="AY302" s="1"/>
      <c r="AZ302" s="1"/>
      <c r="BA302" s="1"/>
      <c r="BB302" s="1"/>
    </row>
    <row r="303" spans="1:54" x14ac:dyDescent="0.25">
      <c r="A303" s="1"/>
      <c r="B303" s="1"/>
      <c r="C303" s="1"/>
      <c r="D303" s="1"/>
      <c r="E303" s="1"/>
      <c r="F303" s="1"/>
      <c r="G303" s="1"/>
      <c r="H303" s="7"/>
      <c r="I303" s="1"/>
      <c r="J303" s="1"/>
      <c r="K303" s="1"/>
      <c r="L303" s="1"/>
      <c r="M303" s="1"/>
      <c r="N303" s="1"/>
      <c r="O303" s="26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  <c r="AI303" s="1"/>
      <c r="AJ303" s="1"/>
      <c r="AK303" s="1"/>
      <c r="AL303" s="1"/>
      <c r="AM303" s="1"/>
      <c r="AN303" s="1"/>
      <c r="AO303" s="1"/>
      <c r="AP303" s="1"/>
      <c r="AQ303" s="1"/>
      <c r="AR303" s="1"/>
      <c r="AS303" s="1"/>
      <c r="AT303" s="1"/>
      <c r="AU303" s="1"/>
      <c r="AV303" s="1"/>
      <c r="AW303" s="1"/>
      <c r="AX303" s="1"/>
      <c r="AY303" s="1"/>
      <c r="AZ303" s="1"/>
      <c r="BA303" s="1"/>
      <c r="BB303" s="1"/>
    </row>
    <row r="304" spans="1:54" x14ac:dyDescent="0.25">
      <c r="A304" s="1"/>
      <c r="B304" s="1"/>
      <c r="C304" s="1"/>
      <c r="D304" s="1"/>
      <c r="E304" s="1"/>
      <c r="F304" s="1"/>
      <c r="G304" s="1"/>
      <c r="H304" s="7"/>
      <c r="I304" s="1"/>
      <c r="J304" s="1"/>
      <c r="K304" s="1"/>
      <c r="L304" s="1"/>
      <c r="M304" s="1"/>
      <c r="N304" s="1"/>
      <c r="O304" s="26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  <c r="AI304" s="1"/>
      <c r="AJ304" s="1"/>
      <c r="AK304" s="1"/>
      <c r="AL304" s="1"/>
      <c r="AM304" s="1"/>
      <c r="AN304" s="1"/>
      <c r="AO304" s="1"/>
      <c r="AP304" s="1"/>
      <c r="AQ304" s="1"/>
      <c r="AR304" s="1"/>
      <c r="AS304" s="1"/>
      <c r="AT304" s="1"/>
      <c r="AU304" s="1"/>
      <c r="AV304" s="1"/>
      <c r="AW304" s="1"/>
      <c r="AX304" s="1"/>
      <c r="AY304" s="1"/>
      <c r="AZ304" s="1"/>
      <c r="BA304" s="1"/>
      <c r="BB304" s="1"/>
    </row>
    <row r="305" spans="1:54" x14ac:dyDescent="0.25">
      <c r="A305" s="1"/>
      <c r="B305" s="1"/>
      <c r="C305" s="1"/>
      <c r="D305" s="1"/>
      <c r="E305" s="1"/>
      <c r="F305" s="1"/>
      <c r="G305" s="1"/>
      <c r="H305" s="7"/>
      <c r="I305" s="1"/>
      <c r="J305" s="1"/>
      <c r="K305" s="1"/>
      <c r="L305" s="1"/>
      <c r="M305" s="1"/>
      <c r="N305" s="1"/>
      <c r="O305" s="26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  <c r="AI305" s="1"/>
      <c r="AJ305" s="1"/>
      <c r="AK305" s="1"/>
      <c r="AL305" s="1"/>
      <c r="AM305" s="1"/>
      <c r="AN305" s="1"/>
      <c r="AO305" s="1"/>
      <c r="AP305" s="1"/>
      <c r="AQ305" s="1"/>
      <c r="AR305" s="1"/>
      <c r="AS305" s="1"/>
      <c r="AT305" s="1"/>
      <c r="AU305" s="1"/>
      <c r="AV305" s="1"/>
      <c r="AW305" s="1"/>
      <c r="AX305" s="1"/>
      <c r="AY305" s="1"/>
      <c r="AZ305" s="1"/>
      <c r="BA305" s="1"/>
      <c r="BB305" s="1"/>
    </row>
    <row r="306" spans="1:54" x14ac:dyDescent="0.25">
      <c r="A306" s="1"/>
      <c r="B306" s="1"/>
      <c r="C306" s="1"/>
      <c r="D306" s="1"/>
      <c r="E306" s="1"/>
      <c r="F306" s="1"/>
      <c r="G306" s="1"/>
      <c r="H306" s="7"/>
      <c r="I306" s="1"/>
      <c r="J306" s="1"/>
      <c r="K306" s="1"/>
      <c r="L306" s="1"/>
      <c r="M306" s="1"/>
      <c r="N306" s="1"/>
      <c r="O306" s="26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  <c r="AI306" s="1"/>
      <c r="AJ306" s="1"/>
      <c r="AK306" s="1"/>
      <c r="AL306" s="1"/>
      <c r="AM306" s="1"/>
      <c r="AN306" s="1"/>
      <c r="AO306" s="1"/>
      <c r="AP306" s="1"/>
      <c r="AQ306" s="1"/>
      <c r="AR306" s="1"/>
      <c r="AS306" s="1"/>
      <c r="AT306" s="1"/>
      <c r="AU306" s="1"/>
      <c r="AV306" s="1"/>
      <c r="AW306" s="1"/>
      <c r="AX306" s="1"/>
      <c r="AY306" s="1"/>
      <c r="AZ306" s="1"/>
      <c r="BA306" s="1"/>
      <c r="BB306" s="1"/>
    </row>
    <row r="307" spans="1:54" x14ac:dyDescent="0.25">
      <c r="A307" s="1"/>
      <c r="B307" s="1"/>
      <c r="C307" s="1"/>
      <c r="D307" s="1"/>
      <c r="E307" s="1"/>
      <c r="F307" s="1"/>
      <c r="G307" s="1"/>
      <c r="H307" s="7"/>
      <c r="I307" s="1"/>
      <c r="J307" s="1"/>
      <c r="K307" s="1"/>
      <c r="L307" s="1"/>
      <c r="M307" s="1"/>
      <c r="N307" s="1"/>
      <c r="O307" s="26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  <c r="AI307" s="1"/>
      <c r="AJ307" s="1"/>
      <c r="AK307" s="1"/>
      <c r="AL307" s="1"/>
      <c r="AM307" s="1"/>
      <c r="AN307" s="1"/>
      <c r="AO307" s="1"/>
      <c r="AP307" s="1"/>
      <c r="AQ307" s="1"/>
      <c r="AR307" s="1"/>
      <c r="AS307" s="1"/>
      <c r="AT307" s="1"/>
      <c r="AU307" s="1"/>
      <c r="AV307" s="1"/>
      <c r="AW307" s="1"/>
      <c r="AX307" s="1"/>
      <c r="AY307" s="1"/>
      <c r="AZ307" s="1"/>
      <c r="BA307" s="1"/>
      <c r="BB307" s="1"/>
    </row>
    <row r="308" spans="1:54" x14ac:dyDescent="0.25">
      <c r="A308" s="1"/>
      <c r="B308" s="1"/>
      <c r="C308" s="1"/>
      <c r="D308" s="1"/>
      <c r="E308" s="1"/>
      <c r="F308" s="1"/>
      <c r="G308" s="1"/>
      <c r="H308" s="7"/>
      <c r="I308" s="1"/>
      <c r="J308" s="1"/>
      <c r="K308" s="1"/>
      <c r="L308" s="1"/>
      <c r="M308" s="1"/>
      <c r="N308" s="1"/>
      <c r="O308" s="26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  <c r="AI308" s="1"/>
      <c r="AJ308" s="1"/>
      <c r="AK308" s="1"/>
      <c r="AL308" s="1"/>
      <c r="AM308" s="1"/>
      <c r="AN308" s="1"/>
      <c r="AO308" s="1"/>
      <c r="AP308" s="1"/>
      <c r="AQ308" s="1"/>
      <c r="AR308" s="1"/>
      <c r="AS308" s="1"/>
      <c r="AT308" s="1"/>
      <c r="AU308" s="1"/>
      <c r="AV308" s="1"/>
      <c r="AW308" s="1"/>
      <c r="AX308" s="1"/>
      <c r="AY308" s="1"/>
      <c r="AZ308" s="1"/>
      <c r="BA308" s="1"/>
      <c r="BB308" s="1"/>
    </row>
    <row r="309" spans="1:54" x14ac:dyDescent="0.25">
      <c r="A309" s="1"/>
      <c r="B309" s="1"/>
      <c r="C309" s="1"/>
      <c r="D309" s="1"/>
      <c r="E309" s="1"/>
      <c r="F309" s="1"/>
      <c r="G309" s="1"/>
      <c r="H309" s="7"/>
      <c r="I309" s="1"/>
      <c r="J309" s="1"/>
      <c r="K309" s="1"/>
      <c r="L309" s="1"/>
      <c r="M309" s="1"/>
      <c r="N309" s="1"/>
      <c r="O309" s="26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  <c r="AI309" s="1"/>
      <c r="AJ309" s="1"/>
      <c r="AK309" s="1"/>
      <c r="AL309" s="1"/>
      <c r="AM309" s="1"/>
      <c r="AN309" s="1"/>
      <c r="AO309" s="1"/>
      <c r="AP309" s="1"/>
      <c r="AQ309" s="1"/>
      <c r="AR309" s="1"/>
      <c r="AS309" s="1"/>
      <c r="AT309" s="1"/>
      <c r="AU309" s="1"/>
      <c r="AV309" s="1"/>
      <c r="AW309" s="1"/>
      <c r="AX309" s="1"/>
      <c r="AY309" s="1"/>
      <c r="AZ309" s="1"/>
      <c r="BA309" s="1"/>
      <c r="BB309" s="1"/>
    </row>
    <row r="310" spans="1:54" x14ac:dyDescent="0.25">
      <c r="A310" s="1"/>
      <c r="B310" s="1"/>
      <c r="C310" s="1"/>
      <c r="D310" s="1"/>
      <c r="E310" s="1"/>
      <c r="F310" s="1"/>
      <c r="G310" s="1"/>
      <c r="H310" s="7"/>
      <c r="I310" s="1"/>
      <c r="J310" s="1"/>
      <c r="K310" s="1"/>
      <c r="L310" s="1"/>
      <c r="M310" s="1"/>
      <c r="N310" s="1"/>
      <c r="O310" s="26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  <c r="AI310" s="1"/>
      <c r="AJ310" s="1"/>
      <c r="AK310" s="1"/>
      <c r="AL310" s="1"/>
      <c r="AM310" s="1"/>
      <c r="AN310" s="1"/>
      <c r="AO310" s="1"/>
      <c r="AP310" s="1"/>
      <c r="AQ310" s="1"/>
      <c r="AR310" s="1"/>
      <c r="AS310" s="1"/>
      <c r="AT310" s="1"/>
      <c r="AU310" s="1"/>
      <c r="AV310" s="1"/>
      <c r="AW310" s="1"/>
      <c r="AX310" s="1"/>
      <c r="AY310" s="1"/>
      <c r="AZ310" s="1"/>
      <c r="BA310" s="1"/>
      <c r="BB310" s="1"/>
    </row>
    <row r="311" spans="1:54" x14ac:dyDescent="0.25">
      <c r="A311" s="1"/>
      <c r="B311" s="1"/>
      <c r="C311" s="1"/>
      <c r="D311" s="1"/>
      <c r="E311" s="1"/>
      <c r="F311" s="1"/>
      <c r="G311" s="1"/>
      <c r="H311" s="7"/>
      <c r="I311" s="1"/>
      <c r="J311" s="1"/>
      <c r="K311" s="1"/>
      <c r="L311" s="1"/>
      <c r="M311" s="1"/>
      <c r="N311" s="1"/>
      <c r="O311" s="26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  <c r="AI311" s="1"/>
      <c r="AJ311" s="1"/>
      <c r="AK311" s="1"/>
      <c r="AL311" s="1"/>
      <c r="AM311" s="1"/>
      <c r="AN311" s="1"/>
      <c r="AO311" s="1"/>
      <c r="AP311" s="1"/>
      <c r="AQ311" s="1"/>
      <c r="AR311" s="1"/>
      <c r="AS311" s="1"/>
      <c r="AT311" s="1"/>
      <c r="AU311" s="1"/>
      <c r="AV311" s="1"/>
      <c r="AW311" s="1"/>
      <c r="AX311" s="1"/>
      <c r="AY311" s="1"/>
      <c r="AZ311" s="1"/>
      <c r="BA311" s="1"/>
      <c r="BB311" s="1"/>
    </row>
    <row r="312" spans="1:54" x14ac:dyDescent="0.25">
      <c r="A312" s="1"/>
      <c r="B312" s="1"/>
      <c r="C312" s="1"/>
      <c r="D312" s="1"/>
      <c r="E312" s="1"/>
      <c r="F312" s="1"/>
      <c r="G312" s="1"/>
      <c r="H312" s="7"/>
      <c r="I312" s="1"/>
      <c r="J312" s="1"/>
      <c r="K312" s="1"/>
      <c r="L312" s="1"/>
      <c r="M312" s="1"/>
      <c r="N312" s="1"/>
      <c r="O312" s="26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  <c r="AI312" s="1"/>
      <c r="AJ312" s="1"/>
      <c r="AK312" s="1"/>
      <c r="AL312" s="1"/>
      <c r="AM312" s="1"/>
      <c r="AN312" s="1"/>
      <c r="AO312" s="1"/>
      <c r="AP312" s="1"/>
      <c r="AQ312" s="1"/>
      <c r="AR312" s="1"/>
      <c r="AS312" s="1"/>
      <c r="AT312" s="1"/>
      <c r="AU312" s="1"/>
      <c r="AV312" s="1"/>
      <c r="AW312" s="1"/>
      <c r="AX312" s="1"/>
      <c r="AY312" s="1"/>
      <c r="AZ312" s="1"/>
      <c r="BA312" s="1"/>
      <c r="BB312" s="1"/>
    </row>
    <row r="313" spans="1:54" x14ac:dyDescent="0.25">
      <c r="A313" s="1"/>
      <c r="B313" s="1"/>
      <c r="C313" s="1"/>
      <c r="D313" s="1"/>
      <c r="E313" s="1"/>
      <c r="F313" s="1"/>
      <c r="G313" s="1"/>
      <c r="H313" s="7"/>
      <c r="I313" s="1"/>
      <c r="J313" s="1"/>
      <c r="K313" s="1"/>
      <c r="L313" s="1"/>
      <c r="M313" s="1"/>
      <c r="N313" s="1"/>
      <c r="O313" s="26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  <c r="AI313" s="1"/>
      <c r="AJ313" s="1"/>
      <c r="AK313" s="1"/>
      <c r="AL313" s="1"/>
      <c r="AM313" s="1"/>
      <c r="AN313" s="1"/>
      <c r="AO313" s="1"/>
      <c r="AP313" s="1"/>
      <c r="AQ313" s="1"/>
      <c r="AR313" s="1"/>
      <c r="AS313" s="1"/>
      <c r="AT313" s="1"/>
      <c r="AU313" s="1"/>
      <c r="AV313" s="1"/>
      <c r="AW313" s="1"/>
      <c r="AX313" s="1"/>
      <c r="AY313" s="1"/>
      <c r="AZ313" s="1"/>
      <c r="BA313" s="1"/>
      <c r="BB313" s="1"/>
    </row>
    <row r="314" spans="1:54" x14ac:dyDescent="0.25">
      <c r="A314" s="1"/>
      <c r="B314" s="1"/>
      <c r="C314" s="1"/>
      <c r="D314" s="1"/>
      <c r="E314" s="1"/>
      <c r="F314" s="1"/>
      <c r="G314" s="1"/>
      <c r="H314" s="7"/>
      <c r="I314" s="1"/>
      <c r="J314" s="1"/>
      <c r="K314" s="1"/>
      <c r="L314" s="1"/>
      <c r="M314" s="1"/>
      <c r="N314" s="1"/>
      <c r="O314" s="26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  <c r="AI314" s="1"/>
      <c r="AJ314" s="1"/>
      <c r="AK314" s="1"/>
      <c r="AL314" s="1"/>
      <c r="AM314" s="1"/>
      <c r="AN314" s="1"/>
      <c r="AO314" s="1"/>
      <c r="AP314" s="1"/>
      <c r="AQ314" s="1"/>
      <c r="AR314" s="1"/>
      <c r="AS314" s="1"/>
      <c r="AT314" s="1"/>
      <c r="AU314" s="1"/>
      <c r="AV314" s="1"/>
      <c r="AW314" s="1"/>
      <c r="AX314" s="1"/>
      <c r="AY314" s="1"/>
      <c r="AZ314" s="1"/>
      <c r="BA314" s="1"/>
      <c r="BB314" s="1"/>
    </row>
    <row r="315" spans="1:54" x14ac:dyDescent="0.25">
      <c r="A315" s="1"/>
      <c r="B315" s="1"/>
      <c r="C315" s="1"/>
      <c r="D315" s="1"/>
      <c r="E315" s="1"/>
      <c r="F315" s="1"/>
      <c r="G315" s="1"/>
      <c r="H315" s="7"/>
      <c r="I315" s="1"/>
      <c r="J315" s="1"/>
      <c r="K315" s="1"/>
      <c r="L315" s="1"/>
      <c r="M315" s="1"/>
      <c r="N315" s="1"/>
      <c r="O315" s="26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  <c r="AI315" s="1"/>
      <c r="AJ315" s="1"/>
      <c r="AK315" s="1"/>
      <c r="AL315" s="1"/>
      <c r="AM315" s="1"/>
      <c r="AN315" s="1"/>
      <c r="AO315" s="1"/>
      <c r="AP315" s="1"/>
      <c r="AQ315" s="1"/>
      <c r="AR315" s="1"/>
      <c r="AS315" s="1"/>
      <c r="AT315" s="1"/>
      <c r="AU315" s="1"/>
      <c r="AV315" s="1"/>
      <c r="AW315" s="1"/>
      <c r="AX315" s="1"/>
      <c r="AY315" s="1"/>
      <c r="AZ315" s="1"/>
      <c r="BA315" s="1"/>
      <c r="BB315" s="1"/>
    </row>
    <row r="316" spans="1:54" x14ac:dyDescent="0.25">
      <c r="A316" s="1"/>
      <c r="B316" s="1"/>
      <c r="C316" s="1"/>
      <c r="D316" s="1"/>
      <c r="E316" s="1"/>
      <c r="F316" s="1"/>
      <c r="G316" s="1"/>
      <c r="H316" s="7"/>
      <c r="I316" s="1"/>
      <c r="J316" s="1"/>
      <c r="K316" s="1"/>
      <c r="L316" s="1"/>
      <c r="M316" s="1"/>
      <c r="N316" s="1"/>
      <c r="O316" s="26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  <c r="AI316" s="1"/>
      <c r="AJ316" s="1"/>
      <c r="AK316" s="1"/>
      <c r="AL316" s="1"/>
      <c r="AM316" s="1"/>
      <c r="AN316" s="1"/>
      <c r="AO316" s="1"/>
      <c r="AP316" s="1"/>
      <c r="AQ316" s="1"/>
      <c r="AR316" s="1"/>
      <c r="AS316" s="1"/>
      <c r="AT316" s="1"/>
      <c r="AU316" s="1"/>
      <c r="AV316" s="1"/>
      <c r="AW316" s="1"/>
      <c r="AX316" s="1"/>
      <c r="AY316" s="1"/>
      <c r="AZ316" s="1"/>
      <c r="BA316" s="1"/>
      <c r="BB316" s="1"/>
    </row>
    <row r="317" spans="1:54" x14ac:dyDescent="0.25">
      <c r="A317" s="1"/>
      <c r="B317" s="1"/>
      <c r="C317" s="1"/>
      <c r="D317" s="1"/>
      <c r="E317" s="1"/>
      <c r="F317" s="1"/>
      <c r="G317" s="1"/>
      <c r="H317" s="7"/>
      <c r="I317" s="1"/>
      <c r="J317" s="1"/>
      <c r="K317" s="1"/>
      <c r="L317" s="1"/>
      <c r="M317" s="1"/>
      <c r="N317" s="1"/>
      <c r="O317" s="26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  <c r="AI317" s="1"/>
      <c r="AJ317" s="1"/>
      <c r="AK317" s="1"/>
      <c r="AL317" s="1"/>
      <c r="AM317" s="1"/>
      <c r="AN317" s="1"/>
      <c r="AO317" s="1"/>
      <c r="AP317" s="1"/>
      <c r="AQ317" s="1"/>
      <c r="AR317" s="1"/>
      <c r="AS317" s="1"/>
      <c r="AT317" s="1"/>
      <c r="AU317" s="1"/>
      <c r="AV317" s="1"/>
      <c r="AW317" s="1"/>
      <c r="AX317" s="1"/>
      <c r="AY317" s="1"/>
      <c r="AZ317" s="1"/>
      <c r="BA317" s="1"/>
      <c r="BB317" s="1"/>
    </row>
    <row r="318" spans="1:54" x14ac:dyDescent="0.25">
      <c r="A318" s="1"/>
      <c r="B318" s="1"/>
      <c r="C318" s="1"/>
      <c r="D318" s="1"/>
      <c r="E318" s="1"/>
      <c r="F318" s="1"/>
      <c r="G318" s="1"/>
      <c r="H318" s="7"/>
      <c r="I318" s="1"/>
      <c r="J318" s="1"/>
      <c r="K318" s="1"/>
      <c r="L318" s="1"/>
      <c r="M318" s="1"/>
      <c r="N318" s="1"/>
      <c r="O318" s="26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  <c r="AI318" s="1"/>
      <c r="AJ318" s="1"/>
      <c r="AK318" s="1"/>
      <c r="AL318" s="1"/>
      <c r="AM318" s="1"/>
      <c r="AN318" s="1"/>
      <c r="AO318" s="1"/>
      <c r="AP318" s="1"/>
      <c r="AQ318" s="1"/>
      <c r="AR318" s="1"/>
      <c r="AS318" s="1"/>
      <c r="AT318" s="1"/>
      <c r="AU318" s="1"/>
      <c r="AV318" s="1"/>
      <c r="AW318" s="1"/>
      <c r="AX318" s="1"/>
      <c r="AY318" s="1"/>
      <c r="AZ318" s="1"/>
      <c r="BA318" s="1"/>
      <c r="BB318" s="1"/>
    </row>
    <row r="319" spans="1:54" x14ac:dyDescent="0.25">
      <c r="A319" s="1"/>
      <c r="B319" s="1"/>
      <c r="C319" s="1"/>
      <c r="D319" s="1"/>
      <c r="E319" s="1"/>
      <c r="F319" s="1"/>
      <c r="G319" s="1"/>
      <c r="H319" s="7"/>
      <c r="I319" s="1"/>
      <c r="J319" s="1"/>
      <c r="K319" s="1"/>
      <c r="L319" s="1"/>
      <c r="M319" s="1"/>
      <c r="N319" s="1"/>
      <c r="O319" s="26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  <c r="AI319" s="1"/>
      <c r="AJ319" s="1"/>
      <c r="AK319" s="1"/>
      <c r="AL319" s="1"/>
      <c r="AM319" s="1"/>
      <c r="AN319" s="1"/>
      <c r="AO319" s="1"/>
      <c r="AP319" s="1"/>
      <c r="AQ319" s="1"/>
      <c r="AR319" s="1"/>
      <c r="AS319" s="1"/>
      <c r="AT319" s="1"/>
      <c r="AU319" s="1"/>
      <c r="AV319" s="1"/>
      <c r="AW319" s="1"/>
      <c r="AX319" s="1"/>
      <c r="AY319" s="1"/>
      <c r="AZ319" s="1"/>
      <c r="BA319" s="1"/>
      <c r="BB319" s="1"/>
    </row>
    <row r="320" spans="1:54" x14ac:dyDescent="0.25">
      <c r="A320" s="1"/>
      <c r="B320" s="1"/>
      <c r="C320" s="1"/>
      <c r="D320" s="1"/>
      <c r="E320" s="1"/>
      <c r="F320" s="1"/>
      <c r="G320" s="1"/>
      <c r="H320" s="7"/>
      <c r="I320" s="1"/>
      <c r="J320" s="1"/>
      <c r="K320" s="1"/>
      <c r="L320" s="1"/>
      <c r="M320" s="1"/>
      <c r="N320" s="1"/>
      <c r="O320" s="26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  <c r="AI320" s="1"/>
      <c r="AJ320" s="1"/>
      <c r="AK320" s="1"/>
      <c r="AL320" s="1"/>
      <c r="AM320" s="1"/>
      <c r="AN320" s="1"/>
      <c r="AO320" s="1"/>
      <c r="AP320" s="1"/>
      <c r="AQ320" s="1"/>
      <c r="AR320" s="1"/>
      <c r="AS320" s="1"/>
      <c r="AT320" s="1"/>
      <c r="AU320" s="1"/>
      <c r="AV320" s="1"/>
      <c r="AW320" s="1"/>
      <c r="AX320" s="1"/>
      <c r="AY320" s="1"/>
      <c r="AZ320" s="1"/>
      <c r="BA320" s="1"/>
      <c r="BB320" s="1"/>
    </row>
    <row r="321" spans="1:54" x14ac:dyDescent="0.25">
      <c r="A321" s="1"/>
      <c r="B321" s="1"/>
      <c r="C321" s="1"/>
      <c r="D321" s="1"/>
      <c r="E321" s="1"/>
      <c r="F321" s="1"/>
      <c r="G321" s="1"/>
      <c r="H321" s="7"/>
      <c r="I321" s="1"/>
      <c r="J321" s="1"/>
      <c r="K321" s="1"/>
      <c r="L321" s="1"/>
      <c r="M321" s="1"/>
      <c r="N321" s="1"/>
      <c r="O321" s="26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  <c r="AI321" s="1"/>
      <c r="AJ321" s="1"/>
      <c r="AK321" s="1"/>
      <c r="AL321" s="1"/>
      <c r="AM321" s="1"/>
      <c r="AN321" s="1"/>
      <c r="AO321" s="1"/>
      <c r="AP321" s="1"/>
      <c r="AQ321" s="1"/>
      <c r="AR321" s="1"/>
      <c r="AS321" s="1"/>
      <c r="AT321" s="1"/>
      <c r="AU321" s="1"/>
      <c r="AV321" s="1"/>
      <c r="AW321" s="1"/>
      <c r="AX321" s="1"/>
      <c r="AY321" s="1"/>
      <c r="AZ321" s="1"/>
      <c r="BA321" s="1"/>
      <c r="BB321" s="1"/>
    </row>
    <row r="322" spans="1:54" x14ac:dyDescent="0.25">
      <c r="A322" s="1"/>
      <c r="B322" s="1"/>
      <c r="C322" s="1"/>
      <c r="D322" s="1"/>
      <c r="E322" s="1"/>
      <c r="F322" s="1"/>
      <c r="G322" s="1"/>
      <c r="H322" s="7"/>
      <c r="I322" s="1"/>
      <c r="J322" s="1"/>
      <c r="K322" s="1"/>
      <c r="L322" s="1"/>
      <c r="M322" s="1"/>
      <c r="N322" s="1"/>
      <c r="O322" s="26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  <c r="AI322" s="1"/>
      <c r="AJ322" s="1"/>
      <c r="AK322" s="1"/>
      <c r="AL322" s="1"/>
      <c r="AM322" s="1"/>
      <c r="AN322" s="1"/>
      <c r="AO322" s="1"/>
      <c r="AP322" s="1"/>
      <c r="AQ322" s="1"/>
      <c r="AR322" s="1"/>
      <c r="AS322" s="1"/>
      <c r="AT322" s="1"/>
      <c r="AU322" s="1"/>
      <c r="AV322" s="1"/>
      <c r="AW322" s="1"/>
      <c r="AX322" s="1"/>
      <c r="AY322" s="1"/>
      <c r="AZ322" s="1"/>
      <c r="BA322" s="1"/>
      <c r="BB322" s="1"/>
    </row>
    <row r="323" spans="1:54" x14ac:dyDescent="0.25">
      <c r="A323" s="1"/>
      <c r="B323" s="1"/>
      <c r="C323" s="1"/>
      <c r="D323" s="1"/>
      <c r="E323" s="1"/>
      <c r="F323" s="1"/>
      <c r="G323" s="1"/>
      <c r="H323" s="7"/>
      <c r="I323" s="1"/>
      <c r="J323" s="1"/>
      <c r="K323" s="1"/>
      <c r="L323" s="1"/>
      <c r="M323" s="1"/>
      <c r="N323" s="1"/>
      <c r="O323" s="26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  <c r="AI323" s="1"/>
      <c r="AJ323" s="1"/>
      <c r="AK323" s="1"/>
      <c r="AL323" s="1"/>
      <c r="AM323" s="1"/>
      <c r="AN323" s="1"/>
      <c r="AO323" s="1"/>
      <c r="AP323" s="1"/>
      <c r="AQ323" s="1"/>
      <c r="AR323" s="1"/>
      <c r="AS323" s="1"/>
      <c r="AT323" s="1"/>
      <c r="AU323" s="1"/>
      <c r="AV323" s="1"/>
      <c r="AW323" s="1"/>
      <c r="AX323" s="1"/>
      <c r="AY323" s="1"/>
      <c r="AZ323" s="1"/>
      <c r="BA323" s="1"/>
      <c r="BB323" s="1"/>
    </row>
    <row r="324" spans="1:54" x14ac:dyDescent="0.25">
      <c r="A324" s="1"/>
      <c r="B324" s="1"/>
      <c r="C324" s="1"/>
      <c r="D324" s="1"/>
      <c r="E324" s="1"/>
      <c r="F324" s="1"/>
      <c r="G324" s="1"/>
      <c r="H324" s="7"/>
      <c r="I324" s="1"/>
      <c r="J324" s="1"/>
      <c r="K324" s="1"/>
      <c r="L324" s="1"/>
      <c r="M324" s="1"/>
      <c r="N324" s="1"/>
      <c r="O324" s="26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  <c r="AI324" s="1"/>
      <c r="AJ324" s="1"/>
      <c r="AK324" s="1"/>
      <c r="AL324" s="1"/>
      <c r="AM324" s="1"/>
      <c r="AN324" s="1"/>
      <c r="AO324" s="1"/>
      <c r="AP324" s="1"/>
      <c r="AQ324" s="1"/>
      <c r="AR324" s="1"/>
      <c r="AS324" s="1"/>
      <c r="AT324" s="1"/>
      <c r="AU324" s="1"/>
      <c r="AV324" s="1"/>
      <c r="AW324" s="1"/>
      <c r="AX324" s="1"/>
      <c r="AY324" s="1"/>
      <c r="AZ324" s="1"/>
      <c r="BA324" s="1"/>
      <c r="BB324" s="1"/>
    </row>
    <row r="325" spans="1:54" x14ac:dyDescent="0.25">
      <c r="A325" s="1"/>
      <c r="B325" s="1"/>
      <c r="C325" s="1"/>
      <c r="D325" s="1"/>
      <c r="E325" s="1"/>
      <c r="F325" s="1"/>
      <c r="G325" s="1"/>
      <c r="H325" s="7"/>
      <c r="I325" s="1"/>
      <c r="J325" s="1"/>
      <c r="K325" s="1"/>
      <c r="L325" s="1"/>
      <c r="M325" s="1"/>
      <c r="N325" s="1"/>
      <c r="O325" s="26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  <c r="AI325" s="1"/>
      <c r="AJ325" s="1"/>
      <c r="AK325" s="1"/>
      <c r="AL325" s="1"/>
      <c r="AM325" s="1"/>
      <c r="AN325" s="1"/>
      <c r="AO325" s="1"/>
      <c r="AP325" s="1"/>
      <c r="AQ325" s="1"/>
      <c r="AR325" s="1"/>
      <c r="AS325" s="1"/>
      <c r="AT325" s="1"/>
      <c r="AU325" s="1"/>
      <c r="AV325" s="1"/>
      <c r="AW325" s="1"/>
      <c r="AX325" s="1"/>
      <c r="AY325" s="1"/>
      <c r="AZ325" s="1"/>
      <c r="BA325" s="1"/>
      <c r="BB325" s="1"/>
    </row>
    <row r="326" spans="1:54" x14ac:dyDescent="0.25">
      <c r="A326" s="1"/>
      <c r="B326" s="1"/>
      <c r="C326" s="1"/>
      <c r="D326" s="1"/>
      <c r="E326" s="1"/>
      <c r="F326" s="1"/>
      <c r="G326" s="1"/>
      <c r="H326" s="7"/>
      <c r="I326" s="1"/>
      <c r="J326" s="1"/>
      <c r="K326" s="1"/>
      <c r="L326" s="1"/>
      <c r="M326" s="1"/>
      <c r="N326" s="1"/>
      <c r="O326" s="26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  <c r="AI326" s="1"/>
      <c r="AJ326" s="1"/>
      <c r="AK326" s="1"/>
      <c r="AL326" s="1"/>
      <c r="AM326" s="1"/>
      <c r="AN326" s="1"/>
      <c r="AO326" s="1"/>
      <c r="AP326" s="1"/>
      <c r="AQ326" s="1"/>
      <c r="AR326" s="1"/>
      <c r="AS326" s="1"/>
      <c r="AT326" s="1"/>
      <c r="AU326" s="1"/>
      <c r="AV326" s="1"/>
      <c r="AW326" s="1"/>
      <c r="AX326" s="1"/>
      <c r="AY326" s="1"/>
      <c r="AZ326" s="1"/>
      <c r="BA326" s="1"/>
      <c r="BB326" s="1"/>
    </row>
    <row r="327" spans="1:54" x14ac:dyDescent="0.25">
      <c r="A327" s="1"/>
      <c r="B327" s="1"/>
      <c r="C327" s="1"/>
      <c r="D327" s="1"/>
      <c r="E327" s="1"/>
      <c r="F327" s="1"/>
      <c r="G327" s="1"/>
      <c r="H327" s="7"/>
      <c r="I327" s="1"/>
      <c r="J327" s="1"/>
      <c r="K327" s="1"/>
      <c r="L327" s="1"/>
      <c r="M327" s="1"/>
      <c r="N327" s="1"/>
      <c r="O327" s="26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  <c r="AI327" s="1"/>
      <c r="AJ327" s="1"/>
      <c r="AK327" s="1"/>
      <c r="AL327" s="1"/>
      <c r="AM327" s="1"/>
      <c r="AN327" s="1"/>
      <c r="AO327" s="1"/>
      <c r="AP327" s="1"/>
      <c r="AQ327" s="1"/>
      <c r="AR327" s="1"/>
      <c r="AS327" s="1"/>
      <c r="AT327" s="1"/>
      <c r="AU327" s="1"/>
      <c r="AV327" s="1"/>
      <c r="AW327" s="1"/>
      <c r="AX327" s="1"/>
      <c r="AY327" s="1"/>
      <c r="AZ327" s="1"/>
      <c r="BA327" s="1"/>
      <c r="BB327" s="1"/>
    </row>
    <row r="328" spans="1:54" x14ac:dyDescent="0.25">
      <c r="A328" s="1"/>
      <c r="B328" s="1"/>
      <c r="C328" s="1"/>
      <c r="D328" s="1"/>
      <c r="E328" s="1"/>
      <c r="F328" s="1"/>
      <c r="G328" s="1"/>
      <c r="H328" s="7"/>
      <c r="I328" s="1"/>
      <c r="J328" s="1"/>
      <c r="K328" s="1"/>
      <c r="L328" s="1"/>
      <c r="M328" s="1"/>
      <c r="N328" s="1"/>
      <c r="O328" s="26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  <c r="AI328" s="1"/>
      <c r="AJ328" s="1"/>
      <c r="AK328" s="1"/>
      <c r="AL328" s="1"/>
      <c r="AM328" s="1"/>
      <c r="AN328" s="1"/>
      <c r="AO328" s="1"/>
      <c r="AP328" s="1"/>
      <c r="AQ328" s="1"/>
      <c r="AR328" s="1"/>
      <c r="AS328" s="1"/>
      <c r="AT328" s="1"/>
      <c r="AU328" s="1"/>
      <c r="AV328" s="1"/>
      <c r="AW328" s="1"/>
      <c r="AX328" s="1"/>
      <c r="AY328" s="1"/>
      <c r="AZ328" s="1"/>
      <c r="BA328" s="1"/>
      <c r="BB328" s="1"/>
    </row>
    <row r="329" spans="1:54" x14ac:dyDescent="0.25">
      <c r="A329" s="1"/>
      <c r="B329" s="1"/>
      <c r="C329" s="1"/>
      <c r="D329" s="1"/>
      <c r="E329" s="1"/>
      <c r="F329" s="1"/>
      <c r="G329" s="1"/>
      <c r="H329" s="7"/>
      <c r="I329" s="1"/>
      <c r="J329" s="1"/>
      <c r="K329" s="1"/>
      <c r="L329" s="1"/>
      <c r="M329" s="1"/>
      <c r="N329" s="1"/>
      <c r="O329" s="26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  <c r="AI329" s="1"/>
      <c r="AJ329" s="1"/>
      <c r="AK329" s="1"/>
      <c r="AL329" s="1"/>
      <c r="AM329" s="1"/>
      <c r="AN329" s="1"/>
      <c r="AO329" s="1"/>
      <c r="AP329" s="1"/>
      <c r="AQ329" s="1"/>
      <c r="AR329" s="1"/>
      <c r="AS329" s="1"/>
      <c r="AT329" s="1"/>
      <c r="AU329" s="1"/>
      <c r="AV329" s="1"/>
      <c r="AW329" s="1"/>
      <c r="AX329" s="1"/>
      <c r="AY329" s="1"/>
      <c r="AZ329" s="1"/>
      <c r="BA329" s="1"/>
      <c r="BB329" s="1"/>
    </row>
    <row r="330" spans="1:54" x14ac:dyDescent="0.25">
      <c r="A330" s="1"/>
      <c r="B330" s="1"/>
      <c r="C330" s="1"/>
      <c r="D330" s="1"/>
      <c r="E330" s="1"/>
      <c r="F330" s="1"/>
      <c r="G330" s="1"/>
      <c r="H330" s="7"/>
      <c r="I330" s="1"/>
      <c r="J330" s="1"/>
      <c r="K330" s="1"/>
      <c r="L330" s="1"/>
      <c r="M330" s="1"/>
      <c r="N330" s="1"/>
      <c r="O330" s="26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  <c r="AI330" s="1"/>
      <c r="AJ330" s="1"/>
      <c r="AK330" s="1"/>
      <c r="AL330" s="1"/>
      <c r="AM330" s="1"/>
      <c r="AN330" s="1"/>
      <c r="AO330" s="1"/>
      <c r="AP330" s="1"/>
      <c r="AQ330" s="1"/>
      <c r="AR330" s="1"/>
      <c r="AS330" s="1"/>
      <c r="AT330" s="1"/>
      <c r="AU330" s="1"/>
      <c r="AV330" s="1"/>
      <c r="AW330" s="1"/>
      <c r="AX330" s="1"/>
      <c r="AY330" s="1"/>
      <c r="AZ330" s="1"/>
      <c r="BA330" s="1"/>
      <c r="BB330" s="1"/>
    </row>
    <row r="331" spans="1:54" x14ac:dyDescent="0.25">
      <c r="A331" s="1"/>
      <c r="B331" s="1"/>
      <c r="C331" s="1"/>
      <c r="D331" s="1"/>
      <c r="E331" s="1"/>
      <c r="F331" s="1"/>
      <c r="G331" s="1"/>
      <c r="H331" s="7"/>
      <c r="I331" s="1"/>
      <c r="J331" s="1"/>
      <c r="K331" s="1"/>
      <c r="L331" s="1"/>
      <c r="M331" s="1"/>
      <c r="N331" s="1"/>
      <c r="O331" s="26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  <c r="AI331" s="1"/>
      <c r="AJ331" s="1"/>
      <c r="AK331" s="1"/>
      <c r="AL331" s="1"/>
      <c r="AM331" s="1"/>
      <c r="AN331" s="1"/>
      <c r="AO331" s="1"/>
      <c r="AP331" s="1"/>
      <c r="AQ331" s="1"/>
      <c r="AR331" s="1"/>
      <c r="AS331" s="1"/>
      <c r="AT331" s="1"/>
      <c r="AU331" s="1"/>
      <c r="AV331" s="1"/>
      <c r="AW331" s="1"/>
      <c r="AX331" s="1"/>
      <c r="AY331" s="1"/>
      <c r="AZ331" s="1"/>
      <c r="BA331" s="1"/>
      <c r="BB331" s="1"/>
    </row>
    <row r="332" spans="1:54" x14ac:dyDescent="0.25">
      <c r="A332" s="1"/>
      <c r="B332" s="1"/>
      <c r="C332" s="1"/>
      <c r="D332" s="1"/>
      <c r="E332" s="1"/>
      <c r="F332" s="1"/>
      <c r="G332" s="1"/>
      <c r="H332" s="7"/>
      <c r="I332" s="1"/>
      <c r="J332" s="1"/>
      <c r="K332" s="1"/>
      <c r="L332" s="1"/>
      <c r="M332" s="1"/>
      <c r="N332" s="1"/>
      <c r="O332" s="26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  <c r="AI332" s="1"/>
      <c r="AJ332" s="1"/>
      <c r="AK332" s="1"/>
      <c r="AL332" s="1"/>
      <c r="AM332" s="1"/>
      <c r="AN332" s="1"/>
      <c r="AO332" s="1"/>
      <c r="AP332" s="1"/>
      <c r="AQ332" s="1"/>
      <c r="AR332" s="1"/>
      <c r="AS332" s="1"/>
      <c r="AT332" s="1"/>
      <c r="AU332" s="1"/>
      <c r="AV332" s="1"/>
      <c r="AW332" s="1"/>
      <c r="AX332" s="1"/>
      <c r="AY332" s="1"/>
      <c r="AZ332" s="1"/>
      <c r="BA332" s="1"/>
      <c r="BB332" s="1"/>
    </row>
    <row r="333" spans="1:54" x14ac:dyDescent="0.25">
      <c r="A333" s="1"/>
      <c r="B333" s="1"/>
      <c r="C333" s="1"/>
      <c r="D333" s="1"/>
      <c r="E333" s="1"/>
      <c r="F333" s="1"/>
      <c r="G333" s="1"/>
      <c r="H333" s="7"/>
      <c r="I333" s="1"/>
      <c r="J333" s="1"/>
      <c r="K333" s="1"/>
      <c r="L333" s="1"/>
      <c r="M333" s="1"/>
      <c r="N333" s="1"/>
      <c r="O333" s="26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  <c r="AI333" s="1"/>
      <c r="AJ333" s="1"/>
      <c r="AK333" s="1"/>
      <c r="AL333" s="1"/>
      <c r="AM333" s="1"/>
      <c r="AN333" s="1"/>
      <c r="AO333" s="1"/>
      <c r="AP333" s="1"/>
      <c r="AQ333" s="1"/>
      <c r="AR333" s="1"/>
      <c r="AS333" s="1"/>
      <c r="AT333" s="1"/>
      <c r="AU333" s="1"/>
      <c r="AV333" s="1"/>
      <c r="AW333" s="1"/>
      <c r="AX333" s="1"/>
      <c r="AY333" s="1"/>
      <c r="AZ333" s="1"/>
      <c r="BA333" s="1"/>
      <c r="BB333" s="1"/>
    </row>
    <row r="334" spans="1:54" x14ac:dyDescent="0.25">
      <c r="A334" s="1"/>
      <c r="B334" s="1"/>
      <c r="C334" s="1"/>
      <c r="D334" s="1"/>
      <c r="E334" s="1"/>
      <c r="F334" s="1"/>
      <c r="G334" s="1"/>
      <c r="H334" s="7"/>
      <c r="I334" s="1"/>
      <c r="J334" s="1"/>
      <c r="K334" s="1"/>
      <c r="L334" s="1"/>
      <c r="M334" s="1"/>
      <c r="N334" s="1"/>
      <c r="O334" s="26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  <c r="AI334" s="1"/>
      <c r="AJ334" s="1"/>
      <c r="AK334" s="1"/>
      <c r="AL334" s="1"/>
      <c r="AM334" s="1"/>
      <c r="AN334" s="1"/>
      <c r="AO334" s="1"/>
      <c r="AP334" s="1"/>
      <c r="AQ334" s="1"/>
      <c r="AR334" s="1"/>
      <c r="AS334" s="1"/>
      <c r="AT334" s="1"/>
      <c r="AU334" s="1"/>
      <c r="AV334" s="1"/>
      <c r="AW334" s="1"/>
      <c r="AX334" s="1"/>
      <c r="AY334" s="1"/>
      <c r="AZ334" s="1"/>
      <c r="BA334" s="1"/>
      <c r="BB334" s="1"/>
    </row>
    <row r="335" spans="1:54" x14ac:dyDescent="0.25">
      <c r="A335" s="1"/>
      <c r="B335" s="1"/>
      <c r="C335" s="1"/>
      <c r="D335" s="1"/>
      <c r="E335" s="1"/>
      <c r="F335" s="1"/>
      <c r="G335" s="1"/>
      <c r="H335" s="7"/>
      <c r="I335" s="1"/>
      <c r="J335" s="1"/>
      <c r="K335" s="1"/>
      <c r="L335" s="1"/>
      <c r="M335" s="1"/>
      <c r="N335" s="1"/>
      <c r="O335" s="26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  <c r="AI335" s="1"/>
      <c r="AJ335" s="1"/>
      <c r="AK335" s="1"/>
      <c r="AL335" s="1"/>
      <c r="AM335" s="1"/>
      <c r="AN335" s="1"/>
      <c r="AO335" s="1"/>
      <c r="AP335" s="1"/>
      <c r="AQ335" s="1"/>
      <c r="AR335" s="1"/>
      <c r="AS335" s="1"/>
      <c r="AT335" s="1"/>
      <c r="AU335" s="1"/>
      <c r="AV335" s="1"/>
      <c r="AW335" s="1"/>
      <c r="AX335" s="1"/>
      <c r="AY335" s="1"/>
      <c r="AZ335" s="1"/>
      <c r="BA335" s="1"/>
      <c r="BB335" s="1"/>
    </row>
    <row r="336" spans="1:54" x14ac:dyDescent="0.25">
      <c r="A336" s="1"/>
      <c r="B336" s="1"/>
      <c r="C336" s="1"/>
      <c r="D336" s="1"/>
      <c r="E336" s="1"/>
      <c r="F336" s="1"/>
      <c r="G336" s="1"/>
      <c r="H336" s="7"/>
      <c r="I336" s="1"/>
      <c r="J336" s="1"/>
      <c r="K336" s="1"/>
      <c r="L336" s="1"/>
      <c r="M336" s="1"/>
      <c r="N336" s="1"/>
      <c r="O336" s="26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  <c r="AI336" s="1"/>
      <c r="AJ336" s="1"/>
      <c r="AK336" s="1"/>
      <c r="AL336" s="1"/>
      <c r="AM336" s="1"/>
      <c r="AN336" s="1"/>
      <c r="AO336" s="1"/>
      <c r="AP336" s="1"/>
      <c r="AQ336" s="1"/>
      <c r="AR336" s="1"/>
      <c r="AS336" s="1"/>
      <c r="AT336" s="1"/>
      <c r="AU336" s="1"/>
      <c r="AV336" s="1"/>
      <c r="AW336" s="1"/>
      <c r="AX336" s="1"/>
      <c r="AY336" s="1"/>
      <c r="AZ336" s="1"/>
      <c r="BA336" s="1"/>
      <c r="BB336" s="1"/>
    </row>
    <row r="337" spans="1:54" x14ac:dyDescent="0.25">
      <c r="A337" s="1"/>
      <c r="B337" s="1"/>
      <c r="C337" s="1"/>
      <c r="D337" s="1"/>
      <c r="E337" s="1"/>
      <c r="F337" s="1"/>
      <c r="G337" s="1"/>
      <c r="H337" s="7"/>
      <c r="I337" s="1"/>
      <c r="J337" s="1"/>
      <c r="K337" s="1"/>
      <c r="L337" s="1"/>
      <c r="M337" s="1"/>
      <c r="N337" s="1"/>
      <c r="O337" s="26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  <c r="AI337" s="1"/>
      <c r="AJ337" s="1"/>
      <c r="AK337" s="1"/>
      <c r="AL337" s="1"/>
      <c r="AM337" s="1"/>
      <c r="AN337" s="1"/>
      <c r="AO337" s="1"/>
      <c r="AP337" s="1"/>
      <c r="AQ337" s="1"/>
      <c r="AR337" s="1"/>
      <c r="AS337" s="1"/>
      <c r="AT337" s="1"/>
      <c r="AU337" s="1"/>
      <c r="AV337" s="1"/>
      <c r="AW337" s="1"/>
      <c r="AX337" s="1"/>
      <c r="AY337" s="1"/>
      <c r="AZ337" s="1"/>
      <c r="BA337" s="1"/>
      <c r="BB337" s="1"/>
    </row>
    <row r="338" spans="1:54" x14ac:dyDescent="0.25">
      <c r="A338" s="1"/>
      <c r="B338" s="1"/>
      <c r="C338" s="1"/>
      <c r="D338" s="1"/>
      <c r="E338" s="1"/>
      <c r="F338" s="1"/>
      <c r="G338" s="1"/>
      <c r="H338" s="7"/>
      <c r="I338" s="1"/>
      <c r="J338" s="1"/>
      <c r="K338" s="1"/>
      <c r="L338" s="1"/>
      <c r="M338" s="1"/>
      <c r="N338" s="1"/>
      <c r="O338" s="26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  <c r="AI338" s="1"/>
      <c r="AJ338" s="1"/>
      <c r="AK338" s="1"/>
      <c r="AL338" s="1"/>
      <c r="AM338" s="1"/>
      <c r="AN338" s="1"/>
      <c r="AO338" s="1"/>
      <c r="AP338" s="1"/>
      <c r="AQ338" s="1"/>
      <c r="AR338" s="1"/>
      <c r="AS338" s="1"/>
      <c r="AT338" s="1"/>
      <c r="AU338" s="1"/>
      <c r="AV338" s="1"/>
      <c r="AW338" s="1"/>
      <c r="AX338" s="1"/>
      <c r="AY338" s="1"/>
      <c r="AZ338" s="1"/>
      <c r="BA338" s="1"/>
      <c r="BB338" s="1"/>
    </row>
    <row r="339" spans="1:54" x14ac:dyDescent="0.25">
      <c r="A339" s="1"/>
      <c r="B339" s="1"/>
      <c r="C339" s="1"/>
      <c r="D339" s="1"/>
      <c r="E339" s="1"/>
      <c r="F339" s="1"/>
      <c r="G339" s="1"/>
      <c r="H339" s="7"/>
      <c r="I339" s="1"/>
      <c r="J339" s="1"/>
      <c r="K339" s="1"/>
      <c r="L339" s="1"/>
      <c r="M339" s="1"/>
      <c r="N339" s="1"/>
      <c r="O339" s="26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  <c r="AI339" s="1"/>
      <c r="AJ339" s="1"/>
      <c r="AK339" s="1"/>
      <c r="AL339" s="1"/>
      <c r="AM339" s="1"/>
      <c r="AN339" s="1"/>
      <c r="AO339" s="1"/>
      <c r="AP339" s="1"/>
      <c r="AQ339" s="1"/>
      <c r="AR339" s="1"/>
      <c r="AS339" s="1"/>
      <c r="AT339" s="1"/>
      <c r="AU339" s="1"/>
      <c r="AV339" s="1"/>
      <c r="AW339" s="1"/>
      <c r="AX339" s="1"/>
      <c r="AY339" s="1"/>
      <c r="AZ339" s="1"/>
      <c r="BA339" s="1"/>
      <c r="BB339" s="1"/>
    </row>
    <row r="340" spans="1:54" x14ac:dyDescent="0.25">
      <c r="A340" s="1"/>
      <c r="B340" s="1"/>
      <c r="C340" s="1"/>
      <c r="D340" s="1"/>
      <c r="E340" s="1"/>
      <c r="F340" s="1"/>
      <c r="G340" s="1"/>
      <c r="H340" s="7"/>
      <c r="I340" s="1"/>
      <c r="J340" s="1"/>
      <c r="K340" s="1"/>
      <c r="L340" s="1"/>
      <c r="M340" s="1"/>
      <c r="N340" s="1"/>
      <c r="O340" s="26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  <c r="AI340" s="1"/>
      <c r="AJ340" s="1"/>
      <c r="AK340" s="1"/>
      <c r="AL340" s="1"/>
      <c r="AM340" s="1"/>
      <c r="AN340" s="1"/>
      <c r="AO340" s="1"/>
      <c r="AP340" s="1"/>
      <c r="AQ340" s="1"/>
      <c r="AR340" s="1"/>
      <c r="AS340" s="1"/>
      <c r="AT340" s="1"/>
      <c r="AU340" s="1"/>
      <c r="AV340" s="1"/>
      <c r="AW340" s="1"/>
      <c r="AX340" s="1"/>
      <c r="AY340" s="1"/>
      <c r="AZ340" s="1"/>
      <c r="BA340" s="1"/>
      <c r="BB340" s="1"/>
    </row>
    <row r="341" spans="1:54" x14ac:dyDescent="0.25">
      <c r="A341" s="1"/>
      <c r="B341" s="1"/>
      <c r="C341" s="1"/>
      <c r="D341" s="1"/>
      <c r="E341" s="1"/>
      <c r="F341" s="1"/>
      <c r="G341" s="1"/>
      <c r="H341" s="7"/>
      <c r="I341" s="1"/>
      <c r="J341" s="1"/>
      <c r="K341" s="1"/>
      <c r="L341" s="1"/>
      <c r="M341" s="1"/>
      <c r="N341" s="1"/>
      <c r="O341" s="26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  <c r="AI341" s="1"/>
      <c r="AJ341" s="1"/>
      <c r="AK341" s="1"/>
      <c r="AL341" s="1"/>
      <c r="AM341" s="1"/>
      <c r="AN341" s="1"/>
      <c r="AO341" s="1"/>
      <c r="AP341" s="1"/>
      <c r="AQ341" s="1"/>
      <c r="AR341" s="1"/>
      <c r="AS341" s="1"/>
      <c r="AT341" s="1"/>
      <c r="AU341" s="1"/>
      <c r="AV341" s="1"/>
      <c r="AW341" s="1"/>
      <c r="AX341" s="1"/>
      <c r="AY341" s="1"/>
      <c r="AZ341" s="1"/>
      <c r="BA341" s="1"/>
      <c r="BB341" s="1"/>
    </row>
    <row r="342" spans="1:54" x14ac:dyDescent="0.25">
      <c r="A342" s="1"/>
      <c r="B342" s="1"/>
      <c r="C342" s="1"/>
      <c r="D342" s="1"/>
      <c r="E342" s="1"/>
      <c r="F342" s="1"/>
      <c r="G342" s="1"/>
      <c r="H342" s="7"/>
      <c r="I342" s="1"/>
      <c r="J342" s="1"/>
      <c r="K342" s="1"/>
      <c r="L342" s="1"/>
      <c r="M342" s="1"/>
      <c r="N342" s="1"/>
      <c r="O342" s="26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  <c r="AI342" s="1"/>
      <c r="AJ342" s="1"/>
      <c r="AK342" s="1"/>
      <c r="AL342" s="1"/>
      <c r="AM342" s="1"/>
      <c r="AN342" s="1"/>
      <c r="AO342" s="1"/>
      <c r="AP342" s="1"/>
      <c r="AQ342" s="1"/>
      <c r="AR342" s="1"/>
      <c r="AS342" s="1"/>
      <c r="AT342" s="1"/>
      <c r="AU342" s="1"/>
      <c r="AV342" s="1"/>
      <c r="AW342" s="1"/>
      <c r="AX342" s="1"/>
      <c r="AY342" s="1"/>
      <c r="AZ342" s="1"/>
      <c r="BA342" s="1"/>
      <c r="BB342" s="1"/>
    </row>
    <row r="343" spans="1:54" x14ac:dyDescent="0.25">
      <c r="A343" s="1"/>
      <c r="B343" s="1"/>
      <c r="C343" s="1"/>
      <c r="D343" s="1"/>
      <c r="E343" s="1"/>
      <c r="F343" s="1"/>
      <c r="G343" s="1"/>
      <c r="H343" s="7"/>
      <c r="I343" s="1"/>
      <c r="J343" s="1"/>
      <c r="K343" s="1"/>
      <c r="L343" s="1"/>
      <c r="M343" s="1"/>
      <c r="N343" s="1"/>
      <c r="O343" s="26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  <c r="AI343" s="1"/>
      <c r="AJ343" s="1"/>
      <c r="AK343" s="1"/>
      <c r="AL343" s="1"/>
      <c r="AM343" s="1"/>
      <c r="AN343" s="1"/>
      <c r="AO343" s="1"/>
      <c r="AP343" s="1"/>
      <c r="AQ343" s="1"/>
      <c r="AR343" s="1"/>
      <c r="AS343" s="1"/>
      <c r="AT343" s="1"/>
      <c r="AU343" s="1"/>
      <c r="AV343" s="1"/>
      <c r="AW343" s="1"/>
      <c r="AX343" s="1"/>
      <c r="AY343" s="1"/>
      <c r="AZ343" s="1"/>
      <c r="BA343" s="1"/>
      <c r="BB343" s="1"/>
    </row>
    <row r="344" spans="1:54" x14ac:dyDescent="0.25">
      <c r="A344" s="1"/>
      <c r="B344" s="1"/>
      <c r="C344" s="1"/>
      <c r="D344" s="1"/>
      <c r="E344" s="1"/>
      <c r="F344" s="1"/>
      <c r="G344" s="1"/>
      <c r="H344" s="7"/>
      <c r="I344" s="1"/>
      <c r="J344" s="1"/>
      <c r="K344" s="1"/>
      <c r="L344" s="1"/>
      <c r="M344" s="1"/>
      <c r="N344" s="1"/>
      <c r="O344" s="26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  <c r="AI344" s="1"/>
      <c r="AJ344" s="1"/>
      <c r="AK344" s="1"/>
      <c r="AL344" s="1"/>
      <c r="AM344" s="1"/>
      <c r="AN344" s="1"/>
      <c r="AO344" s="1"/>
      <c r="AP344" s="1"/>
      <c r="AQ344" s="1"/>
      <c r="AR344" s="1"/>
      <c r="AS344" s="1"/>
      <c r="AT344" s="1"/>
      <c r="AU344" s="1"/>
      <c r="AV344" s="1"/>
      <c r="AW344" s="1"/>
      <c r="AX344" s="1"/>
      <c r="AY344" s="1"/>
      <c r="AZ344" s="1"/>
      <c r="BA344" s="1"/>
      <c r="BB344" s="1"/>
    </row>
    <row r="345" spans="1:54" x14ac:dyDescent="0.25">
      <c r="A345" s="1"/>
      <c r="B345" s="1"/>
      <c r="C345" s="1"/>
      <c r="D345" s="1"/>
      <c r="E345" s="1"/>
      <c r="F345" s="1"/>
      <c r="G345" s="1"/>
      <c r="H345" s="7"/>
      <c r="I345" s="1"/>
      <c r="J345" s="1"/>
      <c r="K345" s="1"/>
      <c r="L345" s="1"/>
      <c r="M345" s="1"/>
      <c r="N345" s="1"/>
      <c r="O345" s="26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  <c r="AI345" s="1"/>
      <c r="AJ345" s="1"/>
      <c r="AK345" s="1"/>
      <c r="AL345" s="1"/>
      <c r="AM345" s="1"/>
      <c r="AN345" s="1"/>
      <c r="AO345" s="1"/>
      <c r="AP345" s="1"/>
      <c r="AQ345" s="1"/>
      <c r="AR345" s="1"/>
      <c r="AS345" s="1"/>
      <c r="AT345" s="1"/>
      <c r="AU345" s="1"/>
      <c r="AV345" s="1"/>
      <c r="AW345" s="1"/>
      <c r="AX345" s="1"/>
      <c r="AY345" s="1"/>
      <c r="AZ345" s="1"/>
      <c r="BA345" s="1"/>
      <c r="BB345" s="1"/>
    </row>
    <row r="346" spans="1:54" x14ac:dyDescent="0.25">
      <c r="A346" s="1"/>
      <c r="B346" s="1"/>
      <c r="C346" s="1"/>
      <c r="D346" s="1"/>
      <c r="E346" s="1"/>
      <c r="F346" s="1"/>
      <c r="G346" s="1"/>
      <c r="H346" s="7"/>
      <c r="I346" s="1"/>
      <c r="J346" s="1"/>
      <c r="K346" s="1"/>
      <c r="L346" s="1"/>
      <c r="M346" s="1"/>
      <c r="N346" s="1"/>
      <c r="O346" s="26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/>
      <c r="AI346" s="1"/>
      <c r="AJ346" s="1"/>
      <c r="AK346" s="1"/>
      <c r="AL346" s="1"/>
      <c r="AM346" s="1"/>
      <c r="AN346" s="1"/>
      <c r="AO346" s="1"/>
      <c r="AP346" s="1"/>
      <c r="AQ346" s="1"/>
      <c r="AR346" s="1"/>
      <c r="AS346" s="1"/>
      <c r="AT346" s="1"/>
      <c r="AU346" s="1"/>
      <c r="AV346" s="1"/>
      <c r="AW346" s="1"/>
      <c r="AX346" s="1"/>
      <c r="AY346" s="1"/>
      <c r="AZ346" s="1"/>
      <c r="BA346" s="1"/>
      <c r="BB346" s="1"/>
    </row>
    <row r="347" spans="1:54" x14ac:dyDescent="0.25">
      <c r="A347" s="1"/>
      <c r="B347" s="1"/>
      <c r="C347" s="1"/>
      <c r="D347" s="1"/>
      <c r="E347" s="1"/>
      <c r="F347" s="1"/>
      <c r="G347" s="1"/>
      <c r="H347" s="7"/>
      <c r="I347" s="1"/>
      <c r="J347" s="1"/>
      <c r="K347" s="1"/>
      <c r="L347" s="1"/>
      <c r="M347" s="1"/>
      <c r="N347" s="1"/>
      <c r="O347" s="26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1"/>
      <c r="AI347" s="1"/>
      <c r="AJ347" s="1"/>
      <c r="AK347" s="1"/>
      <c r="AL347" s="1"/>
      <c r="AM347" s="1"/>
      <c r="AN347" s="1"/>
      <c r="AO347" s="1"/>
      <c r="AP347" s="1"/>
      <c r="AQ347" s="1"/>
      <c r="AR347" s="1"/>
      <c r="AS347" s="1"/>
      <c r="AT347" s="1"/>
      <c r="AU347" s="1"/>
      <c r="AV347" s="1"/>
      <c r="AW347" s="1"/>
      <c r="AX347" s="1"/>
      <c r="AY347" s="1"/>
      <c r="AZ347" s="1"/>
      <c r="BA347" s="1"/>
      <c r="BB347" s="1"/>
    </row>
    <row r="348" spans="1:54" x14ac:dyDescent="0.25">
      <c r="A348" s="1"/>
      <c r="B348" s="1"/>
      <c r="C348" s="1"/>
      <c r="D348" s="1"/>
      <c r="E348" s="1"/>
      <c r="F348" s="1"/>
      <c r="G348" s="1"/>
      <c r="H348" s="7"/>
      <c r="I348" s="1"/>
      <c r="J348" s="1"/>
      <c r="K348" s="1"/>
      <c r="L348" s="1"/>
      <c r="M348" s="1"/>
      <c r="N348" s="1"/>
      <c r="O348" s="26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/>
      <c r="AI348" s="1"/>
      <c r="AJ348" s="1"/>
      <c r="AK348" s="1"/>
      <c r="AL348" s="1"/>
      <c r="AM348" s="1"/>
      <c r="AN348" s="1"/>
      <c r="AO348" s="1"/>
      <c r="AP348" s="1"/>
      <c r="AQ348" s="1"/>
      <c r="AR348" s="1"/>
      <c r="AS348" s="1"/>
      <c r="AT348" s="1"/>
      <c r="AU348" s="1"/>
      <c r="AV348" s="1"/>
      <c r="AW348" s="1"/>
      <c r="AX348" s="1"/>
      <c r="AY348" s="1"/>
      <c r="AZ348" s="1"/>
      <c r="BA348" s="1"/>
      <c r="BB348" s="1"/>
    </row>
    <row r="349" spans="1:54" x14ac:dyDescent="0.25">
      <c r="A349" s="1"/>
      <c r="B349" s="1"/>
      <c r="C349" s="1"/>
      <c r="D349" s="1"/>
      <c r="E349" s="1"/>
      <c r="F349" s="1"/>
      <c r="G349" s="1"/>
      <c r="H349" s="7"/>
      <c r="I349" s="1"/>
      <c r="J349" s="1"/>
      <c r="K349" s="1"/>
      <c r="L349" s="1"/>
      <c r="M349" s="1"/>
      <c r="N349" s="1"/>
      <c r="O349" s="26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/>
      <c r="AI349" s="1"/>
      <c r="AJ349" s="1"/>
      <c r="AK349" s="1"/>
      <c r="AL349" s="1"/>
      <c r="AM349" s="1"/>
      <c r="AN349" s="1"/>
      <c r="AO349" s="1"/>
      <c r="AP349" s="1"/>
      <c r="AQ349" s="1"/>
      <c r="AR349" s="1"/>
      <c r="AS349" s="1"/>
      <c r="AT349" s="1"/>
      <c r="AU349" s="1"/>
      <c r="AV349" s="1"/>
      <c r="AW349" s="1"/>
      <c r="AX349" s="1"/>
      <c r="AY349" s="1"/>
      <c r="AZ349" s="1"/>
      <c r="BA349" s="1"/>
      <c r="BB349" s="1"/>
    </row>
    <row r="350" spans="1:54" x14ac:dyDescent="0.25">
      <c r="A350" s="1"/>
      <c r="B350" s="1"/>
      <c r="C350" s="1"/>
      <c r="D350" s="1"/>
      <c r="E350" s="1"/>
      <c r="F350" s="1"/>
      <c r="G350" s="1"/>
      <c r="H350" s="7"/>
      <c r="I350" s="1"/>
      <c r="J350" s="1"/>
      <c r="K350" s="1"/>
      <c r="L350" s="1"/>
      <c r="M350" s="1"/>
      <c r="N350" s="1"/>
      <c r="O350" s="26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  <c r="AI350" s="1"/>
      <c r="AJ350" s="1"/>
      <c r="AK350" s="1"/>
      <c r="AL350" s="1"/>
      <c r="AM350" s="1"/>
      <c r="AN350" s="1"/>
      <c r="AO350" s="1"/>
      <c r="AP350" s="1"/>
      <c r="AQ350" s="1"/>
      <c r="AR350" s="1"/>
      <c r="AS350" s="1"/>
      <c r="AT350" s="1"/>
      <c r="AU350" s="1"/>
      <c r="AV350" s="1"/>
      <c r="AW350" s="1"/>
      <c r="AX350" s="1"/>
      <c r="AY350" s="1"/>
      <c r="AZ350" s="1"/>
      <c r="BA350" s="1"/>
      <c r="BB350" s="1"/>
    </row>
    <row r="351" spans="1:54" x14ac:dyDescent="0.25">
      <c r="A351" s="1"/>
      <c r="B351" s="1"/>
      <c r="C351" s="1"/>
      <c r="D351" s="1"/>
      <c r="E351" s="1"/>
      <c r="F351" s="1"/>
      <c r="G351" s="1"/>
      <c r="H351" s="7"/>
      <c r="I351" s="1"/>
      <c r="J351" s="1"/>
      <c r="K351" s="1"/>
      <c r="L351" s="1"/>
      <c r="M351" s="1"/>
      <c r="N351" s="1"/>
      <c r="O351" s="26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  <c r="AI351" s="1"/>
      <c r="AJ351" s="1"/>
      <c r="AK351" s="1"/>
      <c r="AL351" s="1"/>
      <c r="AM351" s="1"/>
      <c r="AN351" s="1"/>
      <c r="AO351" s="1"/>
      <c r="AP351" s="1"/>
      <c r="AQ351" s="1"/>
      <c r="AR351" s="1"/>
      <c r="AS351" s="1"/>
      <c r="AT351" s="1"/>
      <c r="AU351" s="1"/>
      <c r="AV351" s="1"/>
      <c r="AW351" s="1"/>
      <c r="AX351" s="1"/>
      <c r="AY351" s="1"/>
      <c r="AZ351" s="1"/>
      <c r="BA351" s="1"/>
      <c r="BB351" s="1"/>
    </row>
    <row r="352" spans="1:54" x14ac:dyDescent="0.25">
      <c r="A352" s="1"/>
      <c r="B352" s="1"/>
      <c r="C352" s="1"/>
      <c r="D352" s="1"/>
      <c r="E352" s="1"/>
      <c r="F352" s="1"/>
      <c r="G352" s="1"/>
      <c r="H352" s="7"/>
      <c r="I352" s="1"/>
      <c r="J352" s="1"/>
      <c r="K352" s="1"/>
      <c r="L352" s="1"/>
      <c r="M352" s="1"/>
      <c r="N352" s="1"/>
      <c r="O352" s="26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/>
      <c r="AI352" s="1"/>
      <c r="AJ352" s="1"/>
      <c r="AK352" s="1"/>
      <c r="AL352" s="1"/>
      <c r="AM352" s="1"/>
      <c r="AN352" s="1"/>
      <c r="AO352" s="1"/>
      <c r="AP352" s="1"/>
      <c r="AQ352" s="1"/>
      <c r="AR352" s="1"/>
      <c r="AS352" s="1"/>
      <c r="AT352" s="1"/>
      <c r="AU352" s="1"/>
      <c r="AV352" s="1"/>
      <c r="AW352" s="1"/>
      <c r="AX352" s="1"/>
      <c r="AY352" s="1"/>
      <c r="AZ352" s="1"/>
      <c r="BA352" s="1"/>
      <c r="BB352" s="1"/>
    </row>
    <row r="353" spans="1:54" x14ac:dyDescent="0.25">
      <c r="A353" s="1"/>
      <c r="B353" s="1"/>
      <c r="C353" s="1"/>
      <c r="D353" s="1"/>
      <c r="E353" s="1"/>
      <c r="F353" s="1"/>
      <c r="G353" s="1"/>
      <c r="H353" s="7"/>
      <c r="I353" s="1"/>
      <c r="J353" s="1"/>
      <c r="K353" s="1"/>
      <c r="L353" s="1"/>
      <c r="M353" s="1"/>
      <c r="N353" s="1"/>
      <c r="O353" s="26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/>
      <c r="AI353" s="1"/>
      <c r="AJ353" s="1"/>
      <c r="AK353" s="1"/>
      <c r="AL353" s="1"/>
      <c r="AM353" s="1"/>
      <c r="AN353" s="1"/>
      <c r="AO353" s="1"/>
      <c r="AP353" s="1"/>
      <c r="AQ353" s="1"/>
      <c r="AR353" s="1"/>
      <c r="AS353" s="1"/>
      <c r="AT353" s="1"/>
      <c r="AU353" s="1"/>
      <c r="AV353" s="1"/>
      <c r="AW353" s="1"/>
      <c r="AX353" s="1"/>
      <c r="AY353" s="1"/>
      <c r="AZ353" s="1"/>
      <c r="BA353" s="1"/>
      <c r="BB353" s="1"/>
    </row>
    <row r="354" spans="1:54" x14ac:dyDescent="0.25">
      <c r="A354" s="1"/>
      <c r="B354" s="1"/>
      <c r="C354" s="1"/>
      <c r="D354" s="1"/>
      <c r="E354" s="1"/>
      <c r="F354" s="1"/>
      <c r="G354" s="1"/>
      <c r="H354" s="7"/>
      <c r="I354" s="1"/>
      <c r="J354" s="1"/>
      <c r="K354" s="1"/>
      <c r="L354" s="1"/>
      <c r="M354" s="1"/>
      <c r="N354" s="1"/>
      <c r="O354" s="26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/>
      <c r="AI354" s="1"/>
      <c r="AJ354" s="1"/>
      <c r="AK354" s="1"/>
      <c r="AL354" s="1"/>
      <c r="AM354" s="1"/>
      <c r="AN354" s="1"/>
      <c r="AO354" s="1"/>
      <c r="AP354" s="1"/>
      <c r="AQ354" s="1"/>
      <c r="AR354" s="1"/>
      <c r="AS354" s="1"/>
      <c r="AT354" s="1"/>
      <c r="AU354" s="1"/>
      <c r="AV354" s="1"/>
      <c r="AW354" s="1"/>
      <c r="AX354" s="1"/>
      <c r="AY354" s="1"/>
      <c r="AZ354" s="1"/>
      <c r="BA354" s="1"/>
      <c r="BB354" s="1"/>
    </row>
    <row r="355" spans="1:54" x14ac:dyDescent="0.25">
      <c r="A355" s="1"/>
      <c r="B355" s="1"/>
      <c r="C355" s="1"/>
      <c r="D355" s="1"/>
      <c r="E355" s="1"/>
      <c r="F355" s="1"/>
      <c r="G355" s="1"/>
      <c r="H355" s="7"/>
      <c r="I355" s="1"/>
      <c r="J355" s="1"/>
      <c r="K355" s="1"/>
      <c r="L355" s="1"/>
      <c r="M355" s="1"/>
      <c r="N355" s="1"/>
      <c r="O355" s="26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1"/>
      <c r="AI355" s="1"/>
      <c r="AJ355" s="1"/>
      <c r="AK355" s="1"/>
      <c r="AL355" s="1"/>
      <c r="AM355" s="1"/>
      <c r="AN355" s="1"/>
      <c r="AO355" s="1"/>
      <c r="AP355" s="1"/>
      <c r="AQ355" s="1"/>
      <c r="AR355" s="1"/>
      <c r="AS355" s="1"/>
      <c r="AT355" s="1"/>
      <c r="AU355" s="1"/>
      <c r="AV355" s="1"/>
      <c r="AW355" s="1"/>
      <c r="AX355" s="1"/>
      <c r="AY355" s="1"/>
      <c r="AZ355" s="1"/>
      <c r="BA355" s="1"/>
      <c r="BB355" s="1"/>
    </row>
    <row r="356" spans="1:54" x14ac:dyDescent="0.25">
      <c r="A356" s="1"/>
      <c r="B356" s="1"/>
      <c r="C356" s="1"/>
      <c r="D356" s="1"/>
      <c r="E356" s="1"/>
      <c r="F356" s="1"/>
      <c r="G356" s="1"/>
      <c r="H356" s="7"/>
      <c r="I356" s="1"/>
      <c r="J356" s="1"/>
      <c r="K356" s="1"/>
      <c r="L356" s="1"/>
      <c r="M356" s="1"/>
      <c r="N356" s="1"/>
      <c r="O356" s="26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"/>
      <c r="AI356" s="1"/>
      <c r="AJ356" s="1"/>
      <c r="AK356" s="1"/>
      <c r="AL356" s="1"/>
      <c r="AM356" s="1"/>
      <c r="AN356" s="1"/>
      <c r="AO356" s="1"/>
      <c r="AP356" s="1"/>
      <c r="AQ356" s="1"/>
      <c r="AR356" s="1"/>
      <c r="AS356" s="1"/>
      <c r="AT356" s="1"/>
      <c r="AU356" s="1"/>
      <c r="AV356" s="1"/>
      <c r="AW356" s="1"/>
      <c r="AX356" s="1"/>
      <c r="AY356" s="1"/>
      <c r="AZ356" s="1"/>
      <c r="BA356" s="1"/>
      <c r="BB356" s="1"/>
    </row>
    <row r="357" spans="1:54" x14ac:dyDescent="0.25">
      <c r="A357" s="1"/>
      <c r="B357" s="1"/>
      <c r="C357" s="1"/>
      <c r="D357" s="1"/>
      <c r="E357" s="1"/>
      <c r="F357" s="1"/>
      <c r="G357" s="1"/>
      <c r="H357" s="7"/>
      <c r="I357" s="1"/>
      <c r="J357" s="1"/>
      <c r="K357" s="1"/>
      <c r="L357" s="1"/>
      <c r="M357" s="1"/>
      <c r="N357" s="1"/>
      <c r="O357" s="26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1"/>
      <c r="AI357" s="1"/>
      <c r="AJ357" s="1"/>
      <c r="AK357" s="1"/>
      <c r="AL357" s="1"/>
      <c r="AM357" s="1"/>
      <c r="AN357" s="1"/>
      <c r="AO357" s="1"/>
      <c r="AP357" s="1"/>
      <c r="AQ357" s="1"/>
      <c r="AR357" s="1"/>
      <c r="AS357" s="1"/>
      <c r="AT357" s="1"/>
      <c r="AU357" s="1"/>
      <c r="AV357" s="1"/>
      <c r="AW357" s="1"/>
      <c r="AX357" s="1"/>
      <c r="AY357" s="1"/>
      <c r="AZ357" s="1"/>
      <c r="BA357" s="1"/>
      <c r="BB357" s="1"/>
    </row>
    <row r="358" spans="1:54" x14ac:dyDescent="0.25">
      <c r="A358" s="1"/>
      <c r="B358" s="1"/>
      <c r="C358" s="1"/>
      <c r="D358" s="1"/>
      <c r="E358" s="1"/>
      <c r="F358" s="1"/>
      <c r="G358" s="1"/>
      <c r="H358" s="7"/>
      <c r="I358" s="1"/>
      <c r="J358" s="1"/>
      <c r="K358" s="1"/>
      <c r="L358" s="1"/>
      <c r="M358" s="1"/>
      <c r="N358" s="1"/>
      <c r="O358" s="26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1"/>
      <c r="AI358" s="1"/>
      <c r="AJ358" s="1"/>
      <c r="AK358" s="1"/>
      <c r="AL358" s="1"/>
      <c r="AM358" s="1"/>
      <c r="AN358" s="1"/>
      <c r="AO358" s="1"/>
      <c r="AP358" s="1"/>
      <c r="AQ358" s="1"/>
      <c r="AR358" s="1"/>
      <c r="AS358" s="1"/>
      <c r="AT358" s="1"/>
      <c r="AU358" s="1"/>
      <c r="AV358" s="1"/>
      <c r="AW358" s="1"/>
      <c r="AX358" s="1"/>
      <c r="AY358" s="1"/>
      <c r="AZ358" s="1"/>
      <c r="BA358" s="1"/>
      <c r="BB358" s="1"/>
    </row>
    <row r="359" spans="1:54" x14ac:dyDescent="0.25">
      <c r="A359" s="1"/>
      <c r="B359" s="1"/>
      <c r="C359" s="1"/>
      <c r="D359" s="1"/>
      <c r="E359" s="1"/>
      <c r="F359" s="1"/>
      <c r="G359" s="1"/>
      <c r="H359" s="7"/>
      <c r="I359" s="1"/>
      <c r="J359" s="1"/>
      <c r="K359" s="1"/>
      <c r="L359" s="1"/>
      <c r="M359" s="1"/>
      <c r="N359" s="1"/>
      <c r="O359" s="26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"/>
      <c r="AI359" s="1"/>
      <c r="AJ359" s="1"/>
      <c r="AK359" s="1"/>
      <c r="AL359" s="1"/>
      <c r="AM359" s="1"/>
      <c r="AN359" s="1"/>
      <c r="AO359" s="1"/>
      <c r="AP359" s="1"/>
      <c r="AQ359" s="1"/>
      <c r="AR359" s="1"/>
      <c r="AS359" s="1"/>
      <c r="AT359" s="1"/>
      <c r="AU359" s="1"/>
      <c r="AV359" s="1"/>
      <c r="AW359" s="1"/>
      <c r="AX359" s="1"/>
      <c r="AY359" s="1"/>
      <c r="AZ359" s="1"/>
      <c r="BA359" s="1"/>
      <c r="BB359" s="1"/>
    </row>
    <row r="360" spans="1:54" x14ac:dyDescent="0.25">
      <c r="A360" s="1"/>
      <c r="B360" s="1"/>
      <c r="C360" s="1"/>
      <c r="D360" s="1"/>
      <c r="E360" s="1"/>
      <c r="F360" s="1"/>
      <c r="G360" s="1"/>
      <c r="H360" s="7"/>
      <c r="I360" s="1"/>
      <c r="J360" s="1"/>
      <c r="K360" s="1"/>
      <c r="L360" s="1"/>
      <c r="M360" s="1"/>
      <c r="N360" s="1"/>
      <c r="O360" s="26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"/>
      <c r="AI360" s="1"/>
      <c r="AJ360" s="1"/>
      <c r="AK360" s="1"/>
      <c r="AL360" s="1"/>
      <c r="AM360" s="1"/>
      <c r="AN360" s="1"/>
      <c r="AO360" s="1"/>
      <c r="AP360" s="1"/>
      <c r="AQ360" s="1"/>
      <c r="AR360" s="1"/>
      <c r="AS360" s="1"/>
      <c r="AT360" s="1"/>
      <c r="AU360" s="1"/>
      <c r="AV360" s="1"/>
      <c r="AW360" s="1"/>
      <c r="AX360" s="1"/>
      <c r="AY360" s="1"/>
      <c r="AZ360" s="1"/>
      <c r="BA360" s="1"/>
      <c r="BB360" s="1"/>
    </row>
    <row r="361" spans="1:54" x14ac:dyDescent="0.25">
      <c r="A361" s="1"/>
      <c r="B361" s="1"/>
      <c r="C361" s="1"/>
      <c r="D361" s="1"/>
      <c r="E361" s="1"/>
      <c r="F361" s="1"/>
      <c r="G361" s="1"/>
      <c r="H361" s="7"/>
      <c r="I361" s="1"/>
      <c r="J361" s="1"/>
      <c r="K361" s="1"/>
      <c r="L361" s="1"/>
      <c r="M361" s="1"/>
      <c r="N361" s="1"/>
      <c r="O361" s="26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1"/>
      <c r="AI361" s="1"/>
      <c r="AJ361" s="1"/>
      <c r="AK361" s="1"/>
      <c r="AL361" s="1"/>
      <c r="AM361" s="1"/>
      <c r="AN361" s="1"/>
      <c r="AO361" s="1"/>
      <c r="AP361" s="1"/>
      <c r="AQ361" s="1"/>
      <c r="AR361" s="1"/>
      <c r="AS361" s="1"/>
      <c r="AT361" s="1"/>
      <c r="AU361" s="1"/>
      <c r="AV361" s="1"/>
      <c r="AW361" s="1"/>
      <c r="AX361" s="1"/>
      <c r="AY361" s="1"/>
      <c r="AZ361" s="1"/>
      <c r="BA361" s="1"/>
      <c r="BB361" s="1"/>
    </row>
    <row r="362" spans="1:54" x14ac:dyDescent="0.25">
      <c r="A362" s="1"/>
      <c r="B362" s="1"/>
      <c r="C362" s="1"/>
      <c r="D362" s="1"/>
      <c r="E362" s="1"/>
      <c r="F362" s="1"/>
      <c r="G362" s="1"/>
      <c r="H362" s="7"/>
      <c r="I362" s="1"/>
      <c r="J362" s="1"/>
      <c r="K362" s="1"/>
      <c r="L362" s="1"/>
      <c r="M362" s="1"/>
      <c r="N362" s="1"/>
      <c r="O362" s="26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"/>
      <c r="AI362" s="1"/>
      <c r="AJ362" s="1"/>
      <c r="AK362" s="1"/>
      <c r="AL362" s="1"/>
      <c r="AM362" s="1"/>
      <c r="AN362" s="1"/>
      <c r="AO362" s="1"/>
      <c r="AP362" s="1"/>
      <c r="AQ362" s="1"/>
      <c r="AR362" s="1"/>
      <c r="AS362" s="1"/>
      <c r="AT362" s="1"/>
      <c r="AU362" s="1"/>
      <c r="AV362" s="1"/>
      <c r="AW362" s="1"/>
      <c r="AX362" s="1"/>
      <c r="AY362" s="1"/>
      <c r="AZ362" s="1"/>
      <c r="BA362" s="1"/>
      <c r="BB362" s="1"/>
    </row>
    <row r="363" spans="1:54" x14ac:dyDescent="0.25">
      <c r="A363" s="1"/>
      <c r="B363" s="1"/>
      <c r="C363" s="1"/>
      <c r="D363" s="1"/>
      <c r="E363" s="1"/>
      <c r="F363" s="1"/>
      <c r="G363" s="1"/>
      <c r="H363" s="7"/>
      <c r="I363" s="1"/>
      <c r="J363" s="1"/>
      <c r="K363" s="1"/>
      <c r="L363" s="1"/>
      <c r="M363" s="1"/>
      <c r="N363" s="1"/>
      <c r="O363" s="26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  <c r="AI363" s="1"/>
      <c r="AJ363" s="1"/>
      <c r="AK363" s="1"/>
      <c r="AL363" s="1"/>
      <c r="AM363" s="1"/>
      <c r="AN363" s="1"/>
      <c r="AO363" s="1"/>
      <c r="AP363" s="1"/>
      <c r="AQ363" s="1"/>
      <c r="AR363" s="1"/>
      <c r="AS363" s="1"/>
      <c r="AT363" s="1"/>
      <c r="AU363" s="1"/>
      <c r="AV363" s="1"/>
      <c r="AW363" s="1"/>
      <c r="AX363" s="1"/>
      <c r="AY363" s="1"/>
      <c r="AZ363" s="1"/>
      <c r="BA363" s="1"/>
      <c r="BB363" s="1"/>
    </row>
    <row r="364" spans="1:54" x14ac:dyDescent="0.25">
      <c r="A364" s="1"/>
      <c r="B364" s="1"/>
      <c r="C364" s="1"/>
      <c r="D364" s="1"/>
      <c r="E364" s="1"/>
      <c r="F364" s="1"/>
      <c r="G364" s="1"/>
      <c r="H364" s="7"/>
      <c r="I364" s="1"/>
      <c r="J364" s="1"/>
      <c r="K364" s="1"/>
      <c r="L364" s="1"/>
      <c r="M364" s="1"/>
      <c r="N364" s="1"/>
      <c r="O364" s="26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"/>
      <c r="AI364" s="1"/>
      <c r="AJ364" s="1"/>
      <c r="AK364" s="1"/>
      <c r="AL364" s="1"/>
      <c r="AM364" s="1"/>
      <c r="AN364" s="1"/>
      <c r="AO364" s="1"/>
      <c r="AP364" s="1"/>
      <c r="AQ364" s="1"/>
      <c r="AR364" s="1"/>
      <c r="AS364" s="1"/>
      <c r="AT364" s="1"/>
      <c r="AU364" s="1"/>
      <c r="AV364" s="1"/>
      <c r="AW364" s="1"/>
      <c r="AX364" s="1"/>
      <c r="AY364" s="1"/>
      <c r="AZ364" s="1"/>
      <c r="BA364" s="1"/>
      <c r="BB364" s="1"/>
    </row>
    <row r="365" spans="1:54" x14ac:dyDescent="0.25">
      <c r="A365" s="1"/>
      <c r="B365" s="1"/>
      <c r="C365" s="1"/>
      <c r="D365" s="1"/>
      <c r="E365" s="1"/>
      <c r="F365" s="1"/>
      <c r="G365" s="1"/>
      <c r="H365" s="7"/>
      <c r="I365" s="1"/>
      <c r="J365" s="1"/>
      <c r="K365" s="1"/>
      <c r="L365" s="1"/>
      <c r="M365" s="1"/>
      <c r="N365" s="1"/>
      <c r="O365" s="26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1"/>
      <c r="AI365" s="1"/>
      <c r="AJ365" s="1"/>
      <c r="AK365" s="1"/>
      <c r="AL365" s="1"/>
      <c r="AM365" s="1"/>
      <c r="AN365" s="1"/>
      <c r="AO365" s="1"/>
      <c r="AP365" s="1"/>
      <c r="AQ365" s="1"/>
      <c r="AR365" s="1"/>
      <c r="AS365" s="1"/>
      <c r="AT365" s="1"/>
      <c r="AU365" s="1"/>
      <c r="AV365" s="1"/>
      <c r="AW365" s="1"/>
      <c r="AX365" s="1"/>
      <c r="AY365" s="1"/>
      <c r="AZ365" s="1"/>
      <c r="BA365" s="1"/>
      <c r="BB365" s="1"/>
    </row>
    <row r="366" spans="1:54" x14ac:dyDescent="0.25">
      <c r="A366" s="1"/>
      <c r="B366" s="1"/>
      <c r="C366" s="1"/>
      <c r="D366" s="1"/>
      <c r="E366" s="1"/>
      <c r="F366" s="1"/>
      <c r="G366" s="1"/>
      <c r="H366" s="7"/>
      <c r="I366" s="1"/>
      <c r="J366" s="1"/>
      <c r="K366" s="1"/>
      <c r="L366" s="1"/>
      <c r="M366" s="1"/>
      <c r="N366" s="1"/>
      <c r="O366" s="26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1"/>
      <c r="AI366" s="1"/>
      <c r="AJ366" s="1"/>
      <c r="AK366" s="1"/>
      <c r="AL366" s="1"/>
      <c r="AM366" s="1"/>
      <c r="AN366" s="1"/>
      <c r="AO366" s="1"/>
      <c r="AP366" s="1"/>
      <c r="AQ366" s="1"/>
      <c r="AR366" s="1"/>
      <c r="AS366" s="1"/>
      <c r="AT366" s="1"/>
      <c r="AU366" s="1"/>
      <c r="AV366" s="1"/>
      <c r="AW366" s="1"/>
      <c r="AX366" s="1"/>
      <c r="AY366" s="1"/>
      <c r="AZ366" s="1"/>
      <c r="BA366" s="1"/>
      <c r="BB366" s="1"/>
    </row>
    <row r="367" spans="1:54" x14ac:dyDescent="0.25">
      <c r="A367" s="1"/>
      <c r="B367" s="1"/>
      <c r="C367" s="1"/>
      <c r="D367" s="1"/>
      <c r="E367" s="1"/>
      <c r="F367" s="1"/>
      <c r="G367" s="1"/>
      <c r="H367" s="7"/>
      <c r="I367" s="1"/>
      <c r="J367" s="1"/>
      <c r="K367" s="1"/>
      <c r="L367" s="1"/>
      <c r="M367" s="1"/>
      <c r="N367" s="1"/>
      <c r="O367" s="26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  <c r="AI367" s="1"/>
      <c r="AJ367" s="1"/>
      <c r="AK367" s="1"/>
      <c r="AL367" s="1"/>
      <c r="AM367" s="1"/>
      <c r="AN367" s="1"/>
      <c r="AO367" s="1"/>
      <c r="AP367" s="1"/>
      <c r="AQ367" s="1"/>
      <c r="AR367" s="1"/>
      <c r="AS367" s="1"/>
      <c r="AT367" s="1"/>
      <c r="AU367" s="1"/>
      <c r="AV367" s="1"/>
      <c r="AW367" s="1"/>
      <c r="AX367" s="1"/>
      <c r="AY367" s="1"/>
      <c r="AZ367" s="1"/>
      <c r="BA367" s="1"/>
      <c r="BB367" s="1"/>
    </row>
    <row r="368" spans="1:54" x14ac:dyDescent="0.25">
      <c r="A368" s="1"/>
      <c r="B368" s="1"/>
      <c r="C368" s="1"/>
      <c r="D368" s="1"/>
      <c r="E368" s="1"/>
      <c r="F368" s="1"/>
      <c r="G368" s="1"/>
      <c r="H368" s="7"/>
      <c r="I368" s="1"/>
      <c r="J368" s="1"/>
      <c r="K368" s="1"/>
      <c r="L368" s="1"/>
      <c r="M368" s="1"/>
      <c r="N368" s="1"/>
      <c r="O368" s="26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  <c r="AI368" s="1"/>
      <c r="AJ368" s="1"/>
      <c r="AK368" s="1"/>
      <c r="AL368" s="1"/>
      <c r="AM368" s="1"/>
      <c r="AN368" s="1"/>
      <c r="AO368" s="1"/>
      <c r="AP368" s="1"/>
      <c r="AQ368" s="1"/>
      <c r="AR368" s="1"/>
      <c r="AS368" s="1"/>
      <c r="AT368" s="1"/>
      <c r="AU368" s="1"/>
      <c r="AV368" s="1"/>
      <c r="AW368" s="1"/>
      <c r="AX368" s="1"/>
      <c r="AY368" s="1"/>
      <c r="AZ368" s="1"/>
      <c r="BA368" s="1"/>
      <c r="BB368" s="1"/>
    </row>
    <row r="369" spans="1:54" x14ac:dyDescent="0.25">
      <c r="A369" s="1"/>
      <c r="B369" s="1"/>
      <c r="C369" s="1"/>
      <c r="D369" s="1"/>
      <c r="E369" s="1"/>
      <c r="F369" s="1"/>
      <c r="G369" s="1"/>
      <c r="H369" s="7"/>
      <c r="I369" s="1"/>
      <c r="J369" s="1"/>
      <c r="K369" s="1"/>
      <c r="L369" s="1"/>
      <c r="M369" s="1"/>
      <c r="N369" s="1"/>
      <c r="O369" s="26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  <c r="AI369" s="1"/>
      <c r="AJ369" s="1"/>
      <c r="AK369" s="1"/>
      <c r="AL369" s="1"/>
      <c r="AM369" s="1"/>
      <c r="AN369" s="1"/>
      <c r="AO369" s="1"/>
      <c r="AP369" s="1"/>
      <c r="AQ369" s="1"/>
      <c r="AR369" s="1"/>
      <c r="AS369" s="1"/>
      <c r="AT369" s="1"/>
      <c r="AU369" s="1"/>
      <c r="AV369" s="1"/>
      <c r="AW369" s="1"/>
      <c r="AX369" s="1"/>
      <c r="AY369" s="1"/>
      <c r="AZ369" s="1"/>
      <c r="BA369" s="1"/>
      <c r="BB369" s="1"/>
    </row>
    <row r="370" spans="1:54" x14ac:dyDescent="0.25">
      <c r="A370" s="1"/>
      <c r="B370" s="1"/>
      <c r="C370" s="1"/>
      <c r="D370" s="1"/>
      <c r="E370" s="1"/>
      <c r="F370" s="1"/>
      <c r="G370" s="1"/>
      <c r="H370" s="7"/>
      <c r="I370" s="1"/>
      <c r="J370" s="1"/>
      <c r="K370" s="1"/>
      <c r="L370" s="1"/>
      <c r="M370" s="1"/>
      <c r="N370" s="1"/>
      <c r="O370" s="26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  <c r="AI370" s="1"/>
      <c r="AJ370" s="1"/>
      <c r="AK370" s="1"/>
      <c r="AL370" s="1"/>
      <c r="AM370" s="1"/>
      <c r="AN370" s="1"/>
      <c r="AO370" s="1"/>
      <c r="AP370" s="1"/>
      <c r="AQ370" s="1"/>
      <c r="AR370" s="1"/>
      <c r="AS370" s="1"/>
      <c r="AT370" s="1"/>
      <c r="AU370" s="1"/>
      <c r="AV370" s="1"/>
      <c r="AW370" s="1"/>
      <c r="AX370" s="1"/>
      <c r="AY370" s="1"/>
      <c r="AZ370" s="1"/>
      <c r="BA370" s="1"/>
      <c r="BB370" s="1"/>
    </row>
    <row r="371" spans="1:54" x14ac:dyDescent="0.25">
      <c r="A371" s="1"/>
      <c r="B371" s="1"/>
      <c r="C371" s="1"/>
      <c r="D371" s="1"/>
      <c r="E371" s="1"/>
      <c r="F371" s="1"/>
      <c r="G371" s="1"/>
      <c r="H371" s="7"/>
      <c r="I371" s="1"/>
      <c r="J371" s="1"/>
      <c r="K371" s="1"/>
      <c r="L371" s="1"/>
      <c r="M371" s="1"/>
      <c r="N371" s="1"/>
      <c r="O371" s="26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  <c r="AI371" s="1"/>
      <c r="AJ371" s="1"/>
      <c r="AK371" s="1"/>
      <c r="AL371" s="1"/>
      <c r="AM371" s="1"/>
      <c r="AN371" s="1"/>
      <c r="AO371" s="1"/>
      <c r="AP371" s="1"/>
      <c r="AQ371" s="1"/>
      <c r="AR371" s="1"/>
      <c r="AS371" s="1"/>
      <c r="AT371" s="1"/>
      <c r="AU371" s="1"/>
      <c r="AV371" s="1"/>
      <c r="AW371" s="1"/>
      <c r="AX371" s="1"/>
      <c r="AY371" s="1"/>
      <c r="AZ371" s="1"/>
      <c r="BA371" s="1"/>
      <c r="BB371" s="1"/>
    </row>
    <row r="372" spans="1:54" x14ac:dyDescent="0.25">
      <c r="A372" s="1"/>
      <c r="B372" s="1"/>
      <c r="C372" s="1"/>
      <c r="D372" s="1"/>
      <c r="E372" s="1"/>
      <c r="F372" s="1"/>
      <c r="G372" s="1"/>
      <c r="H372" s="7"/>
      <c r="I372" s="1"/>
      <c r="J372" s="1"/>
      <c r="K372" s="1"/>
      <c r="L372" s="1"/>
      <c r="M372" s="1"/>
      <c r="N372" s="1"/>
      <c r="O372" s="26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1"/>
      <c r="AI372" s="1"/>
      <c r="AJ372" s="1"/>
      <c r="AK372" s="1"/>
      <c r="AL372" s="1"/>
      <c r="AM372" s="1"/>
      <c r="AN372" s="1"/>
      <c r="AO372" s="1"/>
      <c r="AP372" s="1"/>
      <c r="AQ372" s="1"/>
      <c r="AR372" s="1"/>
      <c r="AS372" s="1"/>
      <c r="AT372" s="1"/>
      <c r="AU372" s="1"/>
      <c r="AV372" s="1"/>
      <c r="AW372" s="1"/>
      <c r="AX372" s="1"/>
      <c r="AY372" s="1"/>
      <c r="AZ372" s="1"/>
      <c r="BA372" s="1"/>
      <c r="BB372" s="1"/>
    </row>
    <row r="373" spans="1:54" x14ac:dyDescent="0.25">
      <c r="A373" s="1"/>
      <c r="B373" s="1"/>
      <c r="C373" s="1"/>
      <c r="D373" s="1"/>
      <c r="E373" s="1"/>
      <c r="F373" s="1"/>
      <c r="G373" s="1"/>
      <c r="H373" s="7"/>
      <c r="I373" s="1"/>
      <c r="J373" s="1"/>
      <c r="K373" s="1"/>
      <c r="L373" s="1"/>
      <c r="M373" s="1"/>
      <c r="N373" s="1"/>
      <c r="O373" s="26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1"/>
      <c r="AI373" s="1"/>
      <c r="AJ373" s="1"/>
      <c r="AK373" s="1"/>
      <c r="AL373" s="1"/>
      <c r="AM373" s="1"/>
      <c r="AN373" s="1"/>
      <c r="AO373" s="1"/>
      <c r="AP373" s="1"/>
      <c r="AQ373" s="1"/>
      <c r="AR373" s="1"/>
      <c r="AS373" s="1"/>
      <c r="AT373" s="1"/>
      <c r="AU373" s="1"/>
      <c r="AV373" s="1"/>
      <c r="AW373" s="1"/>
      <c r="AX373" s="1"/>
      <c r="AY373" s="1"/>
      <c r="AZ373" s="1"/>
      <c r="BA373" s="1"/>
      <c r="BB373" s="1"/>
    </row>
    <row r="374" spans="1:54" x14ac:dyDescent="0.25">
      <c r="A374" s="1"/>
      <c r="B374" s="1"/>
      <c r="C374" s="1"/>
      <c r="D374" s="1"/>
      <c r="E374" s="1"/>
      <c r="F374" s="1"/>
      <c r="G374" s="1"/>
      <c r="H374" s="7"/>
      <c r="I374" s="1"/>
      <c r="J374" s="1"/>
      <c r="K374" s="1"/>
      <c r="L374" s="1"/>
      <c r="M374" s="1"/>
      <c r="N374" s="1"/>
      <c r="O374" s="26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1"/>
      <c r="AI374" s="1"/>
      <c r="AJ374" s="1"/>
      <c r="AK374" s="1"/>
      <c r="AL374" s="1"/>
      <c r="AM374" s="1"/>
      <c r="AN374" s="1"/>
      <c r="AO374" s="1"/>
      <c r="AP374" s="1"/>
      <c r="AQ374" s="1"/>
      <c r="AR374" s="1"/>
      <c r="AS374" s="1"/>
      <c r="AT374" s="1"/>
      <c r="AU374" s="1"/>
      <c r="AV374" s="1"/>
      <c r="AW374" s="1"/>
      <c r="AX374" s="1"/>
      <c r="AY374" s="1"/>
      <c r="AZ374" s="1"/>
      <c r="BA374" s="1"/>
      <c r="BB374" s="1"/>
    </row>
    <row r="375" spans="1:54" x14ac:dyDescent="0.25">
      <c r="A375" s="1"/>
      <c r="B375" s="1"/>
      <c r="C375" s="1"/>
      <c r="D375" s="1"/>
      <c r="E375" s="1"/>
      <c r="F375" s="1"/>
      <c r="G375" s="1"/>
      <c r="H375" s="7"/>
      <c r="I375" s="1"/>
      <c r="J375" s="1"/>
      <c r="K375" s="1"/>
      <c r="L375" s="1"/>
      <c r="M375" s="1"/>
      <c r="N375" s="1"/>
      <c r="O375" s="26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1"/>
      <c r="AI375" s="1"/>
      <c r="AJ375" s="1"/>
      <c r="AK375" s="1"/>
      <c r="AL375" s="1"/>
      <c r="AM375" s="1"/>
      <c r="AN375" s="1"/>
      <c r="AO375" s="1"/>
      <c r="AP375" s="1"/>
      <c r="AQ375" s="1"/>
      <c r="AR375" s="1"/>
      <c r="AS375" s="1"/>
      <c r="AT375" s="1"/>
      <c r="AU375" s="1"/>
      <c r="AV375" s="1"/>
      <c r="AW375" s="1"/>
      <c r="AX375" s="1"/>
      <c r="AY375" s="1"/>
      <c r="AZ375" s="1"/>
      <c r="BA375" s="1"/>
      <c r="BB375" s="1"/>
    </row>
    <row r="376" spans="1:54" x14ac:dyDescent="0.25">
      <c r="A376" s="1"/>
      <c r="B376" s="1"/>
      <c r="C376" s="1"/>
      <c r="D376" s="1"/>
      <c r="E376" s="1"/>
      <c r="F376" s="1"/>
      <c r="G376" s="1"/>
      <c r="H376" s="7"/>
      <c r="I376" s="1"/>
      <c r="J376" s="1"/>
      <c r="K376" s="1"/>
      <c r="L376" s="1"/>
      <c r="M376" s="1"/>
      <c r="N376" s="1"/>
      <c r="O376" s="26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1"/>
      <c r="AI376" s="1"/>
      <c r="AJ376" s="1"/>
      <c r="AK376" s="1"/>
      <c r="AL376" s="1"/>
      <c r="AM376" s="1"/>
      <c r="AN376" s="1"/>
      <c r="AO376" s="1"/>
      <c r="AP376" s="1"/>
      <c r="AQ376" s="1"/>
      <c r="AR376" s="1"/>
      <c r="AS376" s="1"/>
      <c r="AT376" s="1"/>
      <c r="AU376" s="1"/>
      <c r="AV376" s="1"/>
      <c r="AW376" s="1"/>
      <c r="AX376" s="1"/>
      <c r="AY376" s="1"/>
      <c r="AZ376" s="1"/>
      <c r="BA376" s="1"/>
      <c r="BB376" s="1"/>
    </row>
    <row r="377" spans="1:54" x14ac:dyDescent="0.25">
      <c r="A377" s="1"/>
      <c r="B377" s="1"/>
      <c r="C377" s="1"/>
      <c r="D377" s="1"/>
      <c r="E377" s="1"/>
      <c r="F377" s="1"/>
      <c r="G377" s="1"/>
      <c r="H377" s="7"/>
      <c r="I377" s="1"/>
      <c r="J377" s="1"/>
      <c r="K377" s="1"/>
      <c r="L377" s="1"/>
      <c r="M377" s="1"/>
      <c r="N377" s="1"/>
      <c r="O377" s="26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1"/>
      <c r="AI377" s="1"/>
      <c r="AJ377" s="1"/>
      <c r="AK377" s="1"/>
      <c r="AL377" s="1"/>
      <c r="AM377" s="1"/>
      <c r="AN377" s="1"/>
      <c r="AO377" s="1"/>
      <c r="AP377" s="1"/>
      <c r="AQ377" s="1"/>
      <c r="AR377" s="1"/>
      <c r="AS377" s="1"/>
      <c r="AT377" s="1"/>
      <c r="AU377" s="1"/>
      <c r="AV377" s="1"/>
      <c r="AW377" s="1"/>
      <c r="AX377" s="1"/>
      <c r="AY377" s="1"/>
      <c r="AZ377" s="1"/>
      <c r="BA377" s="1"/>
      <c r="BB377" s="1"/>
    </row>
    <row r="378" spans="1:54" x14ac:dyDescent="0.25">
      <c r="A378" s="1"/>
      <c r="B378" s="1"/>
      <c r="C378" s="1"/>
      <c r="D378" s="1"/>
      <c r="E378" s="1"/>
      <c r="F378" s="1"/>
      <c r="G378" s="1"/>
      <c r="H378" s="7"/>
      <c r="I378" s="1"/>
      <c r="J378" s="1"/>
      <c r="K378" s="1"/>
      <c r="L378" s="1"/>
      <c r="M378" s="1"/>
      <c r="N378" s="1"/>
      <c r="O378" s="26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/>
      <c r="AI378" s="1"/>
      <c r="AJ378" s="1"/>
      <c r="AK378" s="1"/>
      <c r="AL378" s="1"/>
      <c r="AM378" s="1"/>
      <c r="AN378" s="1"/>
      <c r="AO378" s="1"/>
      <c r="AP378" s="1"/>
      <c r="AQ378" s="1"/>
      <c r="AR378" s="1"/>
      <c r="AS378" s="1"/>
      <c r="AT378" s="1"/>
      <c r="AU378" s="1"/>
      <c r="AV378" s="1"/>
      <c r="AW378" s="1"/>
      <c r="AX378" s="1"/>
      <c r="AY378" s="1"/>
      <c r="AZ378" s="1"/>
      <c r="BA378" s="1"/>
      <c r="BB378" s="1"/>
    </row>
    <row r="379" spans="1:54" x14ac:dyDescent="0.25">
      <c r="A379" s="1"/>
      <c r="B379" s="1"/>
      <c r="C379" s="1"/>
      <c r="D379" s="1"/>
      <c r="E379" s="1"/>
      <c r="F379" s="1"/>
      <c r="G379" s="1"/>
      <c r="H379" s="7"/>
      <c r="I379" s="1"/>
      <c r="J379" s="1"/>
      <c r="K379" s="1"/>
      <c r="L379" s="1"/>
      <c r="M379" s="1"/>
      <c r="N379" s="1"/>
      <c r="O379" s="26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1"/>
      <c r="AI379" s="1"/>
      <c r="AJ379" s="1"/>
      <c r="AK379" s="1"/>
      <c r="AL379" s="1"/>
      <c r="AM379" s="1"/>
      <c r="AN379" s="1"/>
      <c r="AO379" s="1"/>
      <c r="AP379" s="1"/>
      <c r="AQ379" s="1"/>
      <c r="AR379" s="1"/>
      <c r="AS379" s="1"/>
      <c r="AT379" s="1"/>
      <c r="AU379" s="1"/>
      <c r="AV379" s="1"/>
      <c r="AW379" s="1"/>
      <c r="AX379" s="1"/>
      <c r="AY379" s="1"/>
      <c r="AZ379" s="1"/>
      <c r="BA379" s="1"/>
      <c r="BB379" s="1"/>
    </row>
    <row r="380" spans="1:54" x14ac:dyDescent="0.25">
      <c r="A380" s="1"/>
      <c r="B380" s="1"/>
      <c r="C380" s="1"/>
      <c r="D380" s="1"/>
      <c r="E380" s="1"/>
      <c r="F380" s="1"/>
      <c r="G380" s="1"/>
      <c r="H380" s="7"/>
      <c r="I380" s="1"/>
      <c r="J380" s="1"/>
      <c r="K380" s="1"/>
      <c r="L380" s="1"/>
      <c r="M380" s="1"/>
      <c r="N380" s="1"/>
      <c r="O380" s="26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1"/>
      <c r="AI380" s="1"/>
      <c r="AJ380" s="1"/>
      <c r="AK380" s="1"/>
      <c r="AL380" s="1"/>
      <c r="AM380" s="1"/>
      <c r="AN380" s="1"/>
      <c r="AO380" s="1"/>
      <c r="AP380" s="1"/>
      <c r="AQ380" s="1"/>
      <c r="AR380" s="1"/>
      <c r="AS380" s="1"/>
      <c r="AT380" s="1"/>
      <c r="AU380" s="1"/>
      <c r="AV380" s="1"/>
      <c r="AW380" s="1"/>
      <c r="AX380" s="1"/>
      <c r="AY380" s="1"/>
      <c r="AZ380" s="1"/>
      <c r="BA380" s="1"/>
      <c r="BB380" s="1"/>
    </row>
    <row r="381" spans="1:54" x14ac:dyDescent="0.25">
      <c r="A381" s="1"/>
      <c r="B381" s="1"/>
      <c r="C381" s="1"/>
      <c r="D381" s="1"/>
      <c r="E381" s="1"/>
      <c r="F381" s="1"/>
      <c r="G381" s="1"/>
      <c r="H381" s="7"/>
      <c r="I381" s="1"/>
      <c r="J381" s="1"/>
      <c r="K381" s="1"/>
      <c r="L381" s="1"/>
      <c r="M381" s="1"/>
      <c r="N381" s="1"/>
      <c r="O381" s="26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1"/>
      <c r="AI381" s="1"/>
      <c r="AJ381" s="1"/>
      <c r="AK381" s="1"/>
      <c r="AL381" s="1"/>
      <c r="AM381" s="1"/>
      <c r="AN381" s="1"/>
      <c r="AO381" s="1"/>
      <c r="AP381" s="1"/>
      <c r="AQ381" s="1"/>
      <c r="AR381" s="1"/>
      <c r="AS381" s="1"/>
      <c r="AT381" s="1"/>
      <c r="AU381" s="1"/>
      <c r="AV381" s="1"/>
      <c r="AW381" s="1"/>
      <c r="AX381" s="1"/>
      <c r="AY381" s="1"/>
      <c r="AZ381" s="1"/>
      <c r="BA381" s="1"/>
      <c r="BB381" s="1"/>
    </row>
    <row r="382" spans="1:54" x14ac:dyDescent="0.25">
      <c r="A382" s="1"/>
      <c r="B382" s="1"/>
      <c r="C382" s="1"/>
      <c r="D382" s="1"/>
      <c r="E382" s="1"/>
      <c r="F382" s="1"/>
      <c r="G382" s="1"/>
      <c r="H382" s="7"/>
      <c r="I382" s="1"/>
      <c r="J382" s="1"/>
      <c r="K382" s="1"/>
      <c r="L382" s="1"/>
      <c r="M382" s="1"/>
      <c r="N382" s="1"/>
      <c r="O382" s="26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1"/>
      <c r="AI382" s="1"/>
      <c r="AJ382" s="1"/>
      <c r="AK382" s="1"/>
      <c r="AL382" s="1"/>
      <c r="AM382" s="1"/>
      <c r="AN382" s="1"/>
      <c r="AO382" s="1"/>
      <c r="AP382" s="1"/>
      <c r="AQ382" s="1"/>
      <c r="AR382" s="1"/>
      <c r="AS382" s="1"/>
      <c r="AT382" s="1"/>
      <c r="AU382" s="1"/>
      <c r="AV382" s="1"/>
      <c r="AW382" s="1"/>
      <c r="AX382" s="1"/>
      <c r="AY382" s="1"/>
      <c r="AZ382" s="1"/>
      <c r="BA382" s="1"/>
      <c r="BB382" s="1"/>
    </row>
    <row r="383" spans="1:54" x14ac:dyDescent="0.25">
      <c r="A383" s="1"/>
      <c r="B383" s="1"/>
      <c r="C383" s="1"/>
      <c r="D383" s="1"/>
      <c r="E383" s="1"/>
      <c r="F383" s="1"/>
      <c r="G383" s="1"/>
      <c r="H383" s="7"/>
      <c r="I383" s="1"/>
      <c r="J383" s="1"/>
      <c r="K383" s="1"/>
      <c r="L383" s="1"/>
      <c r="M383" s="1"/>
      <c r="N383" s="1"/>
      <c r="O383" s="26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1"/>
      <c r="AI383" s="1"/>
      <c r="AJ383" s="1"/>
      <c r="AK383" s="1"/>
      <c r="AL383" s="1"/>
      <c r="AM383" s="1"/>
      <c r="AN383" s="1"/>
      <c r="AO383" s="1"/>
      <c r="AP383" s="1"/>
      <c r="AQ383" s="1"/>
      <c r="AR383" s="1"/>
      <c r="AS383" s="1"/>
      <c r="AT383" s="1"/>
      <c r="AU383" s="1"/>
      <c r="AV383" s="1"/>
      <c r="AW383" s="1"/>
      <c r="AX383" s="1"/>
      <c r="AY383" s="1"/>
      <c r="AZ383" s="1"/>
      <c r="BA383" s="1"/>
      <c r="BB383" s="1"/>
    </row>
    <row r="384" spans="1:54" x14ac:dyDescent="0.25">
      <c r="A384" s="1"/>
      <c r="B384" s="1"/>
      <c r="C384" s="1"/>
      <c r="D384" s="1"/>
      <c r="E384" s="1"/>
      <c r="F384" s="1"/>
      <c r="G384" s="1"/>
      <c r="H384" s="7"/>
      <c r="I384" s="1"/>
      <c r="J384" s="1"/>
      <c r="K384" s="1"/>
      <c r="L384" s="1"/>
      <c r="M384" s="1"/>
      <c r="N384" s="1"/>
      <c r="O384" s="26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1"/>
      <c r="AI384" s="1"/>
      <c r="AJ384" s="1"/>
      <c r="AK384" s="1"/>
      <c r="AL384" s="1"/>
      <c r="AM384" s="1"/>
      <c r="AN384" s="1"/>
      <c r="AO384" s="1"/>
      <c r="AP384" s="1"/>
      <c r="AQ384" s="1"/>
      <c r="AR384" s="1"/>
      <c r="AS384" s="1"/>
      <c r="AT384" s="1"/>
      <c r="AU384" s="1"/>
      <c r="AV384" s="1"/>
      <c r="AW384" s="1"/>
      <c r="AX384" s="1"/>
      <c r="AY384" s="1"/>
      <c r="AZ384" s="1"/>
      <c r="BA384" s="1"/>
      <c r="BB384" s="1"/>
    </row>
    <row r="385" spans="1:54" x14ac:dyDescent="0.25">
      <c r="A385" s="1"/>
      <c r="B385" s="1"/>
      <c r="C385" s="1"/>
      <c r="D385" s="1"/>
      <c r="E385" s="1"/>
      <c r="F385" s="1"/>
      <c r="G385" s="1"/>
      <c r="H385" s="7"/>
      <c r="I385" s="1"/>
      <c r="J385" s="1"/>
      <c r="K385" s="1"/>
      <c r="L385" s="1"/>
      <c r="M385" s="1"/>
      <c r="N385" s="1"/>
      <c r="O385" s="26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1"/>
      <c r="AI385" s="1"/>
      <c r="AJ385" s="1"/>
      <c r="AK385" s="1"/>
      <c r="AL385" s="1"/>
      <c r="AM385" s="1"/>
      <c r="AN385" s="1"/>
      <c r="AO385" s="1"/>
      <c r="AP385" s="1"/>
      <c r="AQ385" s="1"/>
      <c r="AR385" s="1"/>
      <c r="AS385" s="1"/>
      <c r="AT385" s="1"/>
      <c r="AU385" s="1"/>
      <c r="AV385" s="1"/>
      <c r="AW385" s="1"/>
      <c r="AX385" s="1"/>
      <c r="AY385" s="1"/>
      <c r="AZ385" s="1"/>
      <c r="BA385" s="1"/>
      <c r="BB385" s="1"/>
    </row>
    <row r="386" spans="1:54" x14ac:dyDescent="0.25">
      <c r="A386" s="1"/>
      <c r="B386" s="1"/>
      <c r="C386" s="1"/>
      <c r="D386" s="1"/>
      <c r="E386" s="1"/>
      <c r="F386" s="1"/>
      <c r="G386" s="1"/>
      <c r="H386" s="7"/>
      <c r="I386" s="1"/>
      <c r="J386" s="1"/>
      <c r="K386" s="1"/>
      <c r="L386" s="1"/>
      <c r="M386" s="1"/>
      <c r="N386" s="1"/>
      <c r="O386" s="26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1"/>
      <c r="AI386" s="1"/>
      <c r="AJ386" s="1"/>
      <c r="AK386" s="1"/>
      <c r="AL386" s="1"/>
      <c r="AM386" s="1"/>
      <c r="AN386" s="1"/>
      <c r="AO386" s="1"/>
      <c r="AP386" s="1"/>
      <c r="AQ386" s="1"/>
      <c r="AR386" s="1"/>
      <c r="AS386" s="1"/>
      <c r="AT386" s="1"/>
      <c r="AU386" s="1"/>
      <c r="AV386" s="1"/>
      <c r="AW386" s="1"/>
      <c r="AX386" s="1"/>
      <c r="AY386" s="1"/>
      <c r="AZ386" s="1"/>
      <c r="BA386" s="1"/>
      <c r="BB386" s="1"/>
    </row>
    <row r="387" spans="1:54" x14ac:dyDescent="0.25">
      <c r="A387" s="1"/>
      <c r="B387" s="1"/>
      <c r="C387" s="1"/>
      <c r="D387" s="1"/>
      <c r="E387" s="1"/>
      <c r="F387" s="1"/>
      <c r="G387" s="1"/>
      <c r="H387" s="7"/>
      <c r="I387" s="1"/>
      <c r="J387" s="1"/>
      <c r="K387" s="1"/>
      <c r="L387" s="1"/>
      <c r="M387" s="1"/>
      <c r="N387" s="1"/>
      <c r="O387" s="26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1"/>
      <c r="AI387" s="1"/>
      <c r="AJ387" s="1"/>
      <c r="AK387" s="1"/>
      <c r="AL387" s="1"/>
      <c r="AM387" s="1"/>
      <c r="AN387" s="1"/>
      <c r="AO387" s="1"/>
      <c r="AP387" s="1"/>
      <c r="AQ387" s="1"/>
      <c r="AR387" s="1"/>
      <c r="AS387" s="1"/>
      <c r="AT387" s="1"/>
      <c r="AU387" s="1"/>
      <c r="AV387" s="1"/>
      <c r="AW387" s="1"/>
      <c r="AX387" s="1"/>
      <c r="AY387" s="1"/>
      <c r="AZ387" s="1"/>
      <c r="BA387" s="1"/>
      <c r="BB387" s="1"/>
    </row>
    <row r="388" spans="1:54" x14ac:dyDescent="0.25">
      <c r="A388" s="1"/>
      <c r="B388" s="1"/>
      <c r="C388" s="1"/>
      <c r="D388" s="1"/>
      <c r="E388" s="1"/>
      <c r="F388" s="1"/>
      <c r="G388" s="1"/>
      <c r="H388" s="7"/>
      <c r="I388" s="1"/>
      <c r="J388" s="1"/>
      <c r="K388" s="1"/>
      <c r="L388" s="1"/>
      <c r="M388" s="1"/>
      <c r="N388" s="1"/>
      <c r="O388" s="26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1"/>
      <c r="AI388" s="1"/>
      <c r="AJ388" s="1"/>
      <c r="AK388" s="1"/>
      <c r="AL388" s="1"/>
      <c r="AM388" s="1"/>
      <c r="AN388" s="1"/>
      <c r="AO388" s="1"/>
      <c r="AP388" s="1"/>
      <c r="AQ388" s="1"/>
      <c r="AR388" s="1"/>
      <c r="AS388" s="1"/>
      <c r="AT388" s="1"/>
      <c r="AU388" s="1"/>
      <c r="AV388" s="1"/>
      <c r="AW388" s="1"/>
      <c r="AX388" s="1"/>
      <c r="AY388" s="1"/>
      <c r="AZ388" s="1"/>
      <c r="BA388" s="1"/>
      <c r="BB388" s="1"/>
    </row>
    <row r="389" spans="1:54" x14ac:dyDescent="0.25">
      <c r="A389" s="1"/>
      <c r="B389" s="1"/>
      <c r="C389" s="1"/>
      <c r="D389" s="1"/>
      <c r="E389" s="1"/>
      <c r="F389" s="1"/>
      <c r="G389" s="1"/>
      <c r="H389" s="7"/>
      <c r="I389" s="1"/>
      <c r="J389" s="1"/>
      <c r="K389" s="1"/>
      <c r="L389" s="1"/>
      <c r="M389" s="1"/>
      <c r="N389" s="1"/>
      <c r="O389" s="26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1"/>
      <c r="AI389" s="1"/>
      <c r="AJ389" s="1"/>
      <c r="AK389" s="1"/>
      <c r="AL389" s="1"/>
      <c r="AM389" s="1"/>
      <c r="AN389" s="1"/>
      <c r="AO389" s="1"/>
      <c r="AP389" s="1"/>
      <c r="AQ389" s="1"/>
      <c r="AR389" s="1"/>
      <c r="AS389" s="1"/>
      <c r="AT389" s="1"/>
      <c r="AU389" s="1"/>
      <c r="AV389" s="1"/>
      <c r="AW389" s="1"/>
      <c r="AX389" s="1"/>
      <c r="AY389" s="1"/>
      <c r="AZ389" s="1"/>
      <c r="BA389" s="1"/>
      <c r="BB389" s="1"/>
    </row>
    <row r="390" spans="1:54" x14ac:dyDescent="0.25">
      <c r="A390" s="1"/>
      <c r="B390" s="1"/>
      <c r="C390" s="1"/>
      <c r="D390" s="1"/>
      <c r="E390" s="1"/>
      <c r="F390" s="1"/>
      <c r="G390" s="1"/>
      <c r="H390" s="7"/>
      <c r="I390" s="1"/>
      <c r="J390" s="1"/>
      <c r="K390" s="1"/>
      <c r="L390" s="1"/>
      <c r="M390" s="1"/>
      <c r="N390" s="1"/>
      <c r="O390" s="26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1"/>
      <c r="AI390" s="1"/>
      <c r="AJ390" s="1"/>
      <c r="AK390" s="1"/>
      <c r="AL390" s="1"/>
      <c r="AM390" s="1"/>
      <c r="AN390" s="1"/>
      <c r="AO390" s="1"/>
      <c r="AP390" s="1"/>
      <c r="AQ390" s="1"/>
      <c r="AR390" s="1"/>
      <c r="AS390" s="1"/>
      <c r="AT390" s="1"/>
      <c r="AU390" s="1"/>
      <c r="AV390" s="1"/>
      <c r="AW390" s="1"/>
      <c r="AX390" s="1"/>
      <c r="AY390" s="1"/>
      <c r="AZ390" s="1"/>
      <c r="BA390" s="1"/>
      <c r="BB390" s="1"/>
    </row>
    <row r="391" spans="1:54" x14ac:dyDescent="0.25">
      <c r="A391" s="1"/>
      <c r="B391" s="1"/>
      <c r="C391" s="1"/>
      <c r="D391" s="1"/>
      <c r="E391" s="1"/>
      <c r="F391" s="1"/>
      <c r="G391" s="1"/>
      <c r="H391" s="7"/>
      <c r="I391" s="1"/>
      <c r="J391" s="1"/>
      <c r="K391" s="1"/>
      <c r="L391" s="1"/>
      <c r="M391" s="1"/>
      <c r="N391" s="1"/>
      <c r="O391" s="26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1"/>
      <c r="AI391" s="1"/>
      <c r="AJ391" s="1"/>
      <c r="AK391" s="1"/>
      <c r="AL391" s="1"/>
      <c r="AM391" s="1"/>
      <c r="AN391" s="1"/>
      <c r="AO391" s="1"/>
      <c r="AP391" s="1"/>
      <c r="AQ391" s="1"/>
      <c r="AR391" s="1"/>
      <c r="AS391" s="1"/>
      <c r="AT391" s="1"/>
      <c r="AU391" s="1"/>
      <c r="AV391" s="1"/>
      <c r="AW391" s="1"/>
      <c r="AX391" s="1"/>
      <c r="AY391" s="1"/>
      <c r="AZ391" s="1"/>
      <c r="BA391" s="1"/>
      <c r="BB391" s="1"/>
    </row>
    <row r="392" spans="1:54" x14ac:dyDescent="0.25">
      <c r="A392" s="1"/>
      <c r="B392" s="1"/>
      <c r="C392" s="1"/>
      <c r="D392" s="1"/>
      <c r="E392" s="1"/>
      <c r="F392" s="1"/>
      <c r="G392" s="1"/>
      <c r="H392" s="7"/>
      <c r="I392" s="1"/>
      <c r="J392" s="1"/>
      <c r="K392" s="1"/>
      <c r="L392" s="1"/>
      <c r="M392" s="1"/>
      <c r="N392" s="1"/>
      <c r="O392" s="26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1"/>
      <c r="AI392" s="1"/>
      <c r="AJ392" s="1"/>
      <c r="AK392" s="1"/>
      <c r="AL392" s="1"/>
      <c r="AM392" s="1"/>
      <c r="AN392" s="1"/>
      <c r="AO392" s="1"/>
      <c r="AP392" s="1"/>
      <c r="AQ392" s="1"/>
      <c r="AR392" s="1"/>
      <c r="AS392" s="1"/>
      <c r="AT392" s="1"/>
      <c r="AU392" s="1"/>
      <c r="AV392" s="1"/>
      <c r="AW392" s="1"/>
      <c r="AX392" s="1"/>
      <c r="AY392" s="1"/>
      <c r="AZ392" s="1"/>
      <c r="BA392" s="1"/>
      <c r="BB392" s="1"/>
    </row>
    <row r="393" spans="1:54" x14ac:dyDescent="0.25">
      <c r="A393" s="1"/>
      <c r="B393" s="1"/>
      <c r="C393" s="1"/>
      <c r="D393" s="1"/>
      <c r="E393" s="1"/>
      <c r="F393" s="1"/>
      <c r="G393" s="1"/>
      <c r="H393" s="7"/>
      <c r="I393" s="1"/>
      <c r="J393" s="1"/>
      <c r="K393" s="1"/>
      <c r="L393" s="1"/>
      <c r="M393" s="1"/>
      <c r="N393" s="1"/>
      <c r="O393" s="26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1"/>
      <c r="AI393" s="1"/>
      <c r="AJ393" s="1"/>
      <c r="AK393" s="1"/>
      <c r="AL393" s="1"/>
      <c r="AM393" s="1"/>
      <c r="AN393" s="1"/>
      <c r="AO393" s="1"/>
      <c r="AP393" s="1"/>
      <c r="AQ393" s="1"/>
      <c r="AR393" s="1"/>
      <c r="AS393" s="1"/>
      <c r="AT393" s="1"/>
      <c r="AU393" s="1"/>
      <c r="AV393" s="1"/>
      <c r="AW393" s="1"/>
      <c r="AX393" s="1"/>
      <c r="AY393" s="1"/>
      <c r="AZ393" s="1"/>
      <c r="BA393" s="1"/>
      <c r="BB393" s="1"/>
    </row>
    <row r="394" spans="1:54" x14ac:dyDescent="0.25">
      <c r="A394" s="1"/>
      <c r="B394" s="1"/>
      <c r="C394" s="1"/>
      <c r="D394" s="1"/>
      <c r="E394" s="1"/>
      <c r="F394" s="1"/>
      <c r="G394" s="1"/>
      <c r="H394" s="7"/>
      <c r="I394" s="1"/>
      <c r="J394" s="1"/>
      <c r="K394" s="1"/>
      <c r="L394" s="1"/>
      <c r="M394" s="1"/>
      <c r="N394" s="1"/>
      <c r="O394" s="26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1"/>
      <c r="AI394" s="1"/>
      <c r="AJ394" s="1"/>
      <c r="AK394" s="1"/>
      <c r="AL394" s="1"/>
      <c r="AM394" s="1"/>
      <c r="AN394" s="1"/>
      <c r="AO394" s="1"/>
      <c r="AP394" s="1"/>
      <c r="AQ394" s="1"/>
      <c r="AR394" s="1"/>
      <c r="AS394" s="1"/>
      <c r="AT394" s="1"/>
      <c r="AU394" s="1"/>
      <c r="AV394" s="1"/>
      <c r="AW394" s="1"/>
      <c r="AX394" s="1"/>
      <c r="AY394" s="1"/>
      <c r="AZ394" s="1"/>
      <c r="BA394" s="1"/>
      <c r="BB394" s="1"/>
    </row>
    <row r="395" spans="1:54" x14ac:dyDescent="0.25">
      <c r="A395" s="1"/>
      <c r="B395" s="1"/>
      <c r="C395" s="1"/>
      <c r="D395" s="1"/>
      <c r="E395" s="1"/>
      <c r="F395" s="1"/>
      <c r="G395" s="1"/>
      <c r="H395" s="7"/>
      <c r="I395" s="1"/>
      <c r="J395" s="1"/>
      <c r="K395" s="1"/>
      <c r="L395" s="1"/>
      <c r="M395" s="1"/>
      <c r="N395" s="1"/>
      <c r="O395" s="26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1"/>
      <c r="AI395" s="1"/>
      <c r="AJ395" s="1"/>
      <c r="AK395" s="1"/>
      <c r="AL395" s="1"/>
      <c r="AM395" s="1"/>
      <c r="AN395" s="1"/>
      <c r="AO395" s="1"/>
      <c r="AP395" s="1"/>
      <c r="AQ395" s="1"/>
      <c r="AR395" s="1"/>
      <c r="AS395" s="1"/>
      <c r="AT395" s="1"/>
      <c r="AU395" s="1"/>
      <c r="AV395" s="1"/>
      <c r="AW395" s="1"/>
      <c r="AX395" s="1"/>
      <c r="AY395" s="1"/>
      <c r="AZ395" s="1"/>
      <c r="BA395" s="1"/>
      <c r="BB395" s="1"/>
    </row>
    <row r="396" spans="1:54" x14ac:dyDescent="0.25">
      <c r="A396" s="1"/>
      <c r="B396" s="1"/>
      <c r="C396" s="1"/>
      <c r="D396" s="1"/>
      <c r="E396" s="1"/>
      <c r="F396" s="1"/>
      <c r="G396" s="1"/>
      <c r="H396" s="7"/>
      <c r="I396" s="1"/>
      <c r="J396" s="1"/>
      <c r="K396" s="1"/>
      <c r="L396" s="1"/>
      <c r="M396" s="1"/>
      <c r="N396" s="1"/>
      <c r="O396" s="26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1"/>
      <c r="AI396" s="1"/>
      <c r="AJ396" s="1"/>
      <c r="AK396" s="1"/>
      <c r="AL396" s="1"/>
      <c r="AM396" s="1"/>
      <c r="AN396" s="1"/>
      <c r="AO396" s="1"/>
      <c r="AP396" s="1"/>
      <c r="AQ396" s="1"/>
      <c r="AR396" s="1"/>
      <c r="AS396" s="1"/>
      <c r="AT396" s="1"/>
      <c r="AU396" s="1"/>
      <c r="AV396" s="1"/>
      <c r="AW396" s="1"/>
      <c r="AX396" s="1"/>
      <c r="AY396" s="1"/>
      <c r="AZ396" s="1"/>
      <c r="BA396" s="1"/>
      <c r="BB396" s="1"/>
    </row>
    <row r="397" spans="1:54" x14ac:dyDescent="0.25">
      <c r="A397" s="1"/>
      <c r="B397" s="1"/>
      <c r="C397" s="1"/>
      <c r="D397" s="1"/>
      <c r="E397" s="1"/>
      <c r="F397" s="1"/>
      <c r="G397" s="1"/>
      <c r="H397" s="7"/>
      <c r="I397" s="1"/>
      <c r="J397" s="1"/>
      <c r="K397" s="1"/>
      <c r="L397" s="1"/>
      <c r="M397" s="1"/>
      <c r="N397" s="1"/>
      <c r="O397" s="26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1"/>
      <c r="AI397" s="1"/>
      <c r="AJ397" s="1"/>
      <c r="AK397" s="1"/>
      <c r="AL397" s="1"/>
      <c r="AM397" s="1"/>
      <c r="AN397" s="1"/>
      <c r="AO397" s="1"/>
      <c r="AP397" s="1"/>
      <c r="AQ397" s="1"/>
      <c r="AR397" s="1"/>
      <c r="AS397" s="1"/>
      <c r="AT397" s="1"/>
      <c r="AU397" s="1"/>
      <c r="AV397" s="1"/>
      <c r="AW397" s="1"/>
      <c r="AX397" s="1"/>
      <c r="AY397" s="1"/>
      <c r="AZ397" s="1"/>
      <c r="BA397" s="1"/>
      <c r="BB397" s="1"/>
    </row>
    <row r="398" spans="1:54" x14ac:dyDescent="0.25">
      <c r="A398" s="1"/>
      <c r="B398" s="1"/>
      <c r="C398" s="1"/>
      <c r="D398" s="1"/>
      <c r="E398" s="1"/>
      <c r="F398" s="1"/>
      <c r="G398" s="1"/>
      <c r="H398" s="7"/>
      <c r="I398" s="1"/>
      <c r="J398" s="1"/>
      <c r="K398" s="1"/>
      <c r="L398" s="1"/>
      <c r="M398" s="1"/>
      <c r="N398" s="1"/>
      <c r="O398" s="26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1"/>
      <c r="AI398" s="1"/>
      <c r="AJ398" s="1"/>
      <c r="AK398" s="1"/>
      <c r="AL398" s="1"/>
      <c r="AM398" s="1"/>
      <c r="AN398" s="1"/>
      <c r="AO398" s="1"/>
      <c r="AP398" s="1"/>
      <c r="AQ398" s="1"/>
      <c r="AR398" s="1"/>
      <c r="AS398" s="1"/>
      <c r="AT398" s="1"/>
      <c r="AU398" s="1"/>
      <c r="AV398" s="1"/>
      <c r="AW398" s="1"/>
      <c r="AX398" s="1"/>
      <c r="AY398" s="1"/>
      <c r="AZ398" s="1"/>
      <c r="BA398" s="1"/>
      <c r="BB398" s="1"/>
    </row>
    <row r="399" spans="1:54" x14ac:dyDescent="0.25">
      <c r="A399" s="1"/>
      <c r="B399" s="1"/>
      <c r="C399" s="1"/>
      <c r="D399" s="1"/>
      <c r="E399" s="1"/>
      <c r="F399" s="1"/>
      <c r="G399" s="1"/>
      <c r="H399" s="7"/>
      <c r="I399" s="1"/>
      <c r="J399" s="1"/>
      <c r="K399" s="1"/>
      <c r="L399" s="1"/>
      <c r="M399" s="1"/>
      <c r="N399" s="1"/>
      <c r="O399" s="26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1"/>
      <c r="AI399" s="1"/>
      <c r="AJ399" s="1"/>
      <c r="AK399" s="1"/>
      <c r="AL399" s="1"/>
      <c r="AM399" s="1"/>
      <c r="AN399" s="1"/>
      <c r="AO399" s="1"/>
      <c r="AP399" s="1"/>
      <c r="AQ399" s="1"/>
      <c r="AR399" s="1"/>
      <c r="AS399" s="1"/>
      <c r="AT399" s="1"/>
      <c r="AU399" s="1"/>
      <c r="AV399" s="1"/>
      <c r="AW399" s="1"/>
      <c r="AX399" s="1"/>
      <c r="AY399" s="1"/>
      <c r="AZ399" s="1"/>
      <c r="BA399" s="1"/>
      <c r="BB399" s="1"/>
    </row>
    <row r="400" spans="1:54" x14ac:dyDescent="0.25">
      <c r="A400" s="1"/>
      <c r="B400" s="1"/>
      <c r="C400" s="1"/>
      <c r="D400" s="1"/>
      <c r="E400" s="1"/>
      <c r="F400" s="1"/>
      <c r="G400" s="1"/>
      <c r="H400" s="7"/>
      <c r="I400" s="1"/>
      <c r="J400" s="1"/>
      <c r="K400" s="1"/>
      <c r="L400" s="1"/>
      <c r="M400" s="1"/>
      <c r="N400" s="1"/>
      <c r="O400" s="26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1"/>
      <c r="AI400" s="1"/>
      <c r="AJ400" s="1"/>
      <c r="AK400" s="1"/>
      <c r="AL400" s="1"/>
      <c r="AM400" s="1"/>
      <c r="AN400" s="1"/>
      <c r="AO400" s="1"/>
      <c r="AP400" s="1"/>
      <c r="AQ400" s="1"/>
      <c r="AR400" s="1"/>
      <c r="AS400" s="1"/>
      <c r="AT400" s="1"/>
      <c r="AU400" s="1"/>
      <c r="AV400" s="1"/>
      <c r="AW400" s="1"/>
      <c r="AX400" s="1"/>
      <c r="AY400" s="1"/>
      <c r="AZ400" s="1"/>
      <c r="BA400" s="1"/>
      <c r="BB400" s="1"/>
    </row>
    <row r="401" spans="1:54" x14ac:dyDescent="0.25">
      <c r="A401" s="1"/>
      <c r="B401" s="1"/>
      <c r="C401" s="1"/>
      <c r="D401" s="1"/>
      <c r="E401" s="1"/>
      <c r="F401" s="1"/>
      <c r="G401" s="1"/>
      <c r="H401" s="7"/>
      <c r="I401" s="1"/>
      <c r="J401" s="1"/>
      <c r="K401" s="1"/>
      <c r="L401" s="1"/>
      <c r="M401" s="1"/>
      <c r="N401" s="1"/>
      <c r="O401" s="26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1"/>
      <c r="AI401" s="1"/>
      <c r="AJ401" s="1"/>
      <c r="AK401" s="1"/>
      <c r="AL401" s="1"/>
      <c r="AM401" s="1"/>
      <c r="AN401" s="1"/>
      <c r="AO401" s="1"/>
      <c r="AP401" s="1"/>
      <c r="AQ401" s="1"/>
      <c r="AR401" s="1"/>
      <c r="AS401" s="1"/>
      <c r="AT401" s="1"/>
      <c r="AU401" s="1"/>
      <c r="AV401" s="1"/>
      <c r="AW401" s="1"/>
      <c r="AX401" s="1"/>
      <c r="AY401" s="1"/>
      <c r="AZ401" s="1"/>
      <c r="BA401" s="1"/>
      <c r="BB401" s="1"/>
    </row>
    <row r="402" spans="1:54" x14ac:dyDescent="0.25">
      <c r="A402" s="1"/>
      <c r="B402" s="1"/>
      <c r="C402" s="1"/>
      <c r="D402" s="1"/>
      <c r="E402" s="1"/>
      <c r="F402" s="1"/>
      <c r="G402" s="1"/>
      <c r="H402" s="7"/>
      <c r="I402" s="1"/>
      <c r="J402" s="1"/>
      <c r="K402" s="1"/>
      <c r="L402" s="1"/>
      <c r="M402" s="1"/>
      <c r="N402" s="1"/>
      <c r="O402" s="26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1"/>
      <c r="AI402" s="1"/>
      <c r="AJ402" s="1"/>
      <c r="AK402" s="1"/>
      <c r="AL402" s="1"/>
      <c r="AM402" s="1"/>
      <c r="AN402" s="1"/>
      <c r="AO402" s="1"/>
      <c r="AP402" s="1"/>
      <c r="AQ402" s="1"/>
      <c r="AR402" s="1"/>
      <c r="AS402" s="1"/>
      <c r="AT402" s="1"/>
      <c r="AU402" s="1"/>
      <c r="AV402" s="1"/>
      <c r="AW402" s="1"/>
      <c r="AX402" s="1"/>
      <c r="AY402" s="1"/>
      <c r="AZ402" s="1"/>
      <c r="BA402" s="1"/>
      <c r="BB402" s="1"/>
    </row>
    <row r="403" spans="1:54" x14ac:dyDescent="0.25">
      <c r="A403" s="1"/>
      <c r="B403" s="1"/>
      <c r="C403" s="1"/>
      <c r="D403" s="1"/>
      <c r="E403" s="1"/>
      <c r="F403" s="1"/>
      <c r="G403" s="1"/>
      <c r="H403" s="7"/>
      <c r="I403" s="1"/>
      <c r="J403" s="1"/>
      <c r="K403" s="1"/>
      <c r="L403" s="1"/>
      <c r="M403" s="1"/>
      <c r="N403" s="1"/>
      <c r="O403" s="26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1"/>
      <c r="AI403" s="1"/>
      <c r="AJ403" s="1"/>
      <c r="AK403" s="1"/>
      <c r="AL403" s="1"/>
      <c r="AM403" s="1"/>
      <c r="AN403" s="1"/>
      <c r="AO403" s="1"/>
      <c r="AP403" s="1"/>
      <c r="AQ403" s="1"/>
      <c r="AR403" s="1"/>
      <c r="AS403" s="1"/>
      <c r="AT403" s="1"/>
      <c r="AU403" s="1"/>
      <c r="AV403" s="1"/>
      <c r="AW403" s="1"/>
      <c r="AX403" s="1"/>
      <c r="AY403" s="1"/>
      <c r="AZ403" s="1"/>
      <c r="BA403" s="1"/>
      <c r="BB403" s="1"/>
    </row>
    <row r="404" spans="1:54" x14ac:dyDescent="0.25">
      <c r="A404" s="1"/>
      <c r="B404" s="1"/>
      <c r="C404" s="1"/>
      <c r="D404" s="1"/>
      <c r="E404" s="1"/>
      <c r="F404" s="1"/>
      <c r="G404" s="1"/>
      <c r="H404" s="7"/>
      <c r="I404" s="1"/>
      <c r="J404" s="1"/>
      <c r="K404" s="1"/>
      <c r="L404" s="1"/>
      <c r="M404" s="1"/>
      <c r="N404" s="1"/>
      <c r="O404" s="26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1"/>
      <c r="AI404" s="1"/>
      <c r="AJ404" s="1"/>
      <c r="AK404" s="1"/>
      <c r="AL404" s="1"/>
      <c r="AM404" s="1"/>
      <c r="AN404" s="1"/>
      <c r="AO404" s="1"/>
      <c r="AP404" s="1"/>
      <c r="AQ404" s="1"/>
      <c r="AR404" s="1"/>
      <c r="AS404" s="1"/>
      <c r="AT404" s="1"/>
      <c r="AU404" s="1"/>
      <c r="AV404" s="1"/>
      <c r="AW404" s="1"/>
      <c r="AX404" s="1"/>
      <c r="AY404" s="1"/>
      <c r="AZ404" s="1"/>
      <c r="BA404" s="1"/>
      <c r="BB404" s="1"/>
    </row>
    <row r="405" spans="1:54" x14ac:dyDescent="0.25">
      <c r="A405" s="1"/>
      <c r="B405" s="1"/>
      <c r="C405" s="1"/>
      <c r="D405" s="1"/>
      <c r="E405" s="1"/>
      <c r="F405" s="1"/>
      <c r="G405" s="1"/>
      <c r="H405" s="7"/>
      <c r="I405" s="1"/>
      <c r="J405" s="1"/>
      <c r="K405" s="1"/>
      <c r="L405" s="1"/>
      <c r="M405" s="1"/>
      <c r="N405" s="1"/>
      <c r="O405" s="26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1"/>
      <c r="AI405" s="1"/>
      <c r="AJ405" s="1"/>
      <c r="AK405" s="1"/>
      <c r="AL405" s="1"/>
      <c r="AM405" s="1"/>
      <c r="AN405" s="1"/>
      <c r="AO405" s="1"/>
      <c r="AP405" s="1"/>
      <c r="AQ405" s="1"/>
      <c r="AR405" s="1"/>
      <c r="AS405" s="1"/>
      <c r="AT405" s="1"/>
      <c r="AU405" s="1"/>
      <c r="AV405" s="1"/>
      <c r="AW405" s="1"/>
      <c r="AX405" s="1"/>
      <c r="AY405" s="1"/>
      <c r="AZ405" s="1"/>
      <c r="BA405" s="1"/>
      <c r="BB405" s="1"/>
    </row>
    <row r="406" spans="1:54" x14ac:dyDescent="0.25">
      <c r="A406" s="1"/>
      <c r="B406" s="1"/>
      <c r="C406" s="1"/>
      <c r="D406" s="1"/>
      <c r="E406" s="1"/>
      <c r="F406" s="1"/>
      <c r="G406" s="1"/>
      <c r="H406" s="7"/>
      <c r="I406" s="1"/>
      <c r="J406" s="1"/>
      <c r="K406" s="1"/>
      <c r="L406" s="1"/>
      <c r="M406" s="1"/>
      <c r="N406" s="1"/>
      <c r="O406" s="26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1"/>
      <c r="AI406" s="1"/>
      <c r="AJ406" s="1"/>
      <c r="AK406" s="1"/>
      <c r="AL406" s="1"/>
      <c r="AM406" s="1"/>
      <c r="AN406" s="1"/>
      <c r="AO406" s="1"/>
      <c r="AP406" s="1"/>
      <c r="AQ406" s="1"/>
      <c r="AR406" s="1"/>
      <c r="AS406" s="1"/>
      <c r="AT406" s="1"/>
      <c r="AU406" s="1"/>
      <c r="AV406" s="1"/>
      <c r="AW406" s="1"/>
      <c r="AX406" s="1"/>
      <c r="AY406" s="1"/>
      <c r="AZ406" s="1"/>
      <c r="BA406" s="1"/>
      <c r="BB406" s="1"/>
    </row>
    <row r="407" spans="1:54" x14ac:dyDescent="0.25">
      <c r="A407" s="1"/>
      <c r="B407" s="1"/>
      <c r="C407" s="1"/>
      <c r="D407" s="1"/>
      <c r="E407" s="1"/>
      <c r="F407" s="1"/>
      <c r="G407" s="1"/>
      <c r="H407" s="7"/>
      <c r="I407" s="1"/>
      <c r="J407" s="1"/>
      <c r="K407" s="1"/>
      <c r="L407" s="1"/>
      <c r="M407" s="1"/>
      <c r="N407" s="1"/>
      <c r="O407" s="26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  <c r="AH407" s="1"/>
      <c r="AI407" s="1"/>
      <c r="AJ407" s="1"/>
      <c r="AK407" s="1"/>
      <c r="AL407" s="1"/>
      <c r="AM407" s="1"/>
      <c r="AN407" s="1"/>
      <c r="AO407" s="1"/>
      <c r="AP407" s="1"/>
      <c r="AQ407" s="1"/>
      <c r="AR407" s="1"/>
      <c r="AS407" s="1"/>
      <c r="AT407" s="1"/>
      <c r="AU407" s="1"/>
      <c r="AV407" s="1"/>
      <c r="AW407" s="1"/>
      <c r="AX407" s="1"/>
      <c r="AY407" s="1"/>
      <c r="AZ407" s="1"/>
      <c r="BA407" s="1"/>
      <c r="BB407" s="1"/>
    </row>
    <row r="408" spans="1:54" x14ac:dyDescent="0.25">
      <c r="A408" s="1"/>
      <c r="B408" s="1"/>
      <c r="C408" s="1"/>
      <c r="D408" s="1"/>
      <c r="E408" s="1"/>
      <c r="F408" s="1"/>
      <c r="G408" s="1"/>
      <c r="H408" s="7"/>
      <c r="I408" s="1"/>
      <c r="J408" s="1"/>
      <c r="K408" s="1"/>
      <c r="L408" s="1"/>
      <c r="M408" s="1"/>
      <c r="N408" s="1"/>
      <c r="O408" s="26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s="1"/>
      <c r="AI408" s="1"/>
      <c r="AJ408" s="1"/>
      <c r="AK408" s="1"/>
      <c r="AL408" s="1"/>
      <c r="AM408" s="1"/>
      <c r="AN408" s="1"/>
      <c r="AO408" s="1"/>
      <c r="AP408" s="1"/>
      <c r="AQ408" s="1"/>
      <c r="AR408" s="1"/>
      <c r="AS408" s="1"/>
      <c r="AT408" s="1"/>
      <c r="AU408" s="1"/>
      <c r="AV408" s="1"/>
      <c r="AW408" s="1"/>
      <c r="AX408" s="1"/>
      <c r="AY408" s="1"/>
      <c r="AZ408" s="1"/>
      <c r="BA408" s="1"/>
      <c r="BB408" s="1"/>
    </row>
    <row r="409" spans="1:54" x14ac:dyDescent="0.25">
      <c r="A409" s="1"/>
      <c r="B409" s="1"/>
      <c r="C409" s="1"/>
      <c r="D409" s="1"/>
      <c r="E409" s="1"/>
      <c r="F409" s="1"/>
      <c r="G409" s="1"/>
      <c r="H409" s="7"/>
      <c r="I409" s="1"/>
      <c r="J409" s="1"/>
      <c r="K409" s="1"/>
      <c r="L409" s="1"/>
      <c r="M409" s="1"/>
      <c r="N409" s="1"/>
      <c r="O409" s="26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  <c r="AH409" s="1"/>
      <c r="AI409" s="1"/>
      <c r="AJ409" s="1"/>
      <c r="AK409" s="1"/>
      <c r="AL409" s="1"/>
      <c r="AM409" s="1"/>
      <c r="AN409" s="1"/>
      <c r="AO409" s="1"/>
      <c r="AP409" s="1"/>
      <c r="AQ409" s="1"/>
      <c r="AR409" s="1"/>
      <c r="AS409" s="1"/>
      <c r="AT409" s="1"/>
      <c r="AU409" s="1"/>
      <c r="AV409" s="1"/>
      <c r="AW409" s="1"/>
      <c r="AX409" s="1"/>
      <c r="AY409" s="1"/>
      <c r="AZ409" s="1"/>
      <c r="BA409" s="1"/>
      <c r="BB409" s="1"/>
    </row>
    <row r="410" spans="1:54" x14ac:dyDescent="0.25">
      <c r="A410" s="1"/>
      <c r="B410" s="1"/>
      <c r="C410" s="1"/>
      <c r="D410" s="1"/>
      <c r="E410" s="1"/>
      <c r="F410" s="1"/>
      <c r="G410" s="1"/>
      <c r="H410" s="7"/>
      <c r="I410" s="1"/>
      <c r="J410" s="1"/>
      <c r="K410" s="1"/>
      <c r="L410" s="1"/>
      <c r="M410" s="1"/>
      <c r="N410" s="1"/>
      <c r="O410" s="26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s="1"/>
      <c r="AI410" s="1"/>
      <c r="AJ410" s="1"/>
      <c r="AK410" s="1"/>
      <c r="AL410" s="1"/>
      <c r="AM410" s="1"/>
      <c r="AN410" s="1"/>
      <c r="AO410" s="1"/>
      <c r="AP410" s="1"/>
      <c r="AQ410" s="1"/>
      <c r="AR410" s="1"/>
      <c r="AS410" s="1"/>
      <c r="AT410" s="1"/>
      <c r="AU410" s="1"/>
      <c r="AV410" s="1"/>
      <c r="AW410" s="1"/>
      <c r="AX410" s="1"/>
      <c r="AY410" s="1"/>
      <c r="AZ410" s="1"/>
      <c r="BA410" s="1"/>
      <c r="BB410" s="1"/>
    </row>
    <row r="411" spans="1:54" x14ac:dyDescent="0.25">
      <c r="A411" s="1"/>
      <c r="B411" s="1"/>
      <c r="C411" s="1"/>
      <c r="D411" s="1"/>
      <c r="E411" s="1"/>
      <c r="F411" s="1"/>
      <c r="G411" s="1"/>
      <c r="H411" s="7"/>
      <c r="I411" s="1"/>
      <c r="J411" s="1"/>
      <c r="K411" s="1"/>
      <c r="L411" s="1"/>
      <c r="M411" s="1"/>
      <c r="N411" s="1"/>
      <c r="O411" s="26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  <c r="AH411" s="1"/>
      <c r="AI411" s="1"/>
      <c r="AJ411" s="1"/>
      <c r="AK411" s="1"/>
      <c r="AL411" s="1"/>
      <c r="AM411" s="1"/>
      <c r="AN411" s="1"/>
      <c r="AO411" s="1"/>
      <c r="AP411" s="1"/>
      <c r="AQ411" s="1"/>
      <c r="AR411" s="1"/>
      <c r="AS411" s="1"/>
      <c r="AT411" s="1"/>
      <c r="AU411" s="1"/>
      <c r="AV411" s="1"/>
      <c r="AW411" s="1"/>
      <c r="AX411" s="1"/>
      <c r="AY411" s="1"/>
      <c r="AZ411" s="1"/>
      <c r="BA411" s="1"/>
      <c r="BB411" s="1"/>
    </row>
    <row r="412" spans="1:54" x14ac:dyDescent="0.25">
      <c r="A412" s="1"/>
      <c r="B412" s="1"/>
      <c r="C412" s="1"/>
      <c r="D412" s="1"/>
      <c r="E412" s="1"/>
      <c r="F412" s="1"/>
      <c r="G412" s="1"/>
      <c r="H412" s="7"/>
      <c r="I412" s="1"/>
      <c r="J412" s="1"/>
      <c r="K412" s="1"/>
      <c r="L412" s="1"/>
      <c r="M412" s="1"/>
      <c r="N412" s="1"/>
      <c r="O412" s="26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1"/>
      <c r="AI412" s="1"/>
      <c r="AJ412" s="1"/>
      <c r="AK412" s="1"/>
      <c r="AL412" s="1"/>
      <c r="AM412" s="1"/>
      <c r="AN412" s="1"/>
      <c r="AO412" s="1"/>
      <c r="AP412" s="1"/>
      <c r="AQ412" s="1"/>
      <c r="AR412" s="1"/>
      <c r="AS412" s="1"/>
      <c r="AT412" s="1"/>
      <c r="AU412" s="1"/>
      <c r="AV412" s="1"/>
      <c r="AW412" s="1"/>
      <c r="AX412" s="1"/>
      <c r="AY412" s="1"/>
      <c r="AZ412" s="1"/>
      <c r="BA412" s="1"/>
      <c r="BB412" s="1"/>
    </row>
    <row r="413" spans="1:54" x14ac:dyDescent="0.25">
      <c r="A413" s="1"/>
      <c r="B413" s="1"/>
      <c r="C413" s="1"/>
      <c r="D413" s="1"/>
      <c r="E413" s="1"/>
      <c r="F413" s="1"/>
      <c r="G413" s="1"/>
      <c r="H413" s="7"/>
      <c r="I413" s="1"/>
      <c r="J413" s="1"/>
      <c r="K413" s="1"/>
      <c r="L413" s="1"/>
      <c r="M413" s="1"/>
      <c r="N413" s="1"/>
      <c r="O413" s="26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  <c r="AH413" s="1"/>
      <c r="AI413" s="1"/>
      <c r="AJ413" s="1"/>
      <c r="AK413" s="1"/>
      <c r="AL413" s="1"/>
      <c r="AM413" s="1"/>
      <c r="AN413" s="1"/>
      <c r="AO413" s="1"/>
      <c r="AP413" s="1"/>
      <c r="AQ413" s="1"/>
      <c r="AR413" s="1"/>
      <c r="AS413" s="1"/>
      <c r="AT413" s="1"/>
      <c r="AU413" s="1"/>
      <c r="AV413" s="1"/>
      <c r="AW413" s="1"/>
      <c r="AX413" s="1"/>
      <c r="AY413" s="1"/>
      <c r="AZ413" s="1"/>
      <c r="BA413" s="1"/>
      <c r="BB413" s="1"/>
    </row>
    <row r="414" spans="1:54" x14ac:dyDescent="0.25">
      <c r="A414" s="1"/>
      <c r="B414" s="1"/>
      <c r="C414" s="1"/>
      <c r="D414" s="1"/>
      <c r="E414" s="1"/>
      <c r="F414" s="1"/>
      <c r="G414" s="1"/>
      <c r="H414" s="7"/>
      <c r="I414" s="1"/>
      <c r="J414" s="1"/>
      <c r="K414" s="1"/>
      <c r="L414" s="1"/>
      <c r="M414" s="1"/>
      <c r="N414" s="1"/>
      <c r="O414" s="26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1"/>
      <c r="AI414" s="1"/>
      <c r="AJ414" s="1"/>
      <c r="AK414" s="1"/>
      <c r="AL414" s="1"/>
      <c r="AM414" s="1"/>
      <c r="AN414" s="1"/>
      <c r="AO414" s="1"/>
      <c r="AP414" s="1"/>
      <c r="AQ414" s="1"/>
      <c r="AR414" s="1"/>
      <c r="AS414" s="1"/>
      <c r="AT414" s="1"/>
      <c r="AU414" s="1"/>
      <c r="AV414" s="1"/>
      <c r="AW414" s="1"/>
      <c r="AX414" s="1"/>
      <c r="AY414" s="1"/>
      <c r="AZ414" s="1"/>
      <c r="BA414" s="1"/>
      <c r="BB414" s="1"/>
    </row>
    <row r="415" spans="1:54" x14ac:dyDescent="0.25">
      <c r="A415" s="1"/>
      <c r="B415" s="1"/>
      <c r="C415" s="1"/>
      <c r="D415" s="1"/>
      <c r="E415" s="1"/>
      <c r="F415" s="1"/>
      <c r="G415" s="1"/>
      <c r="H415" s="7"/>
      <c r="I415" s="1"/>
      <c r="J415" s="1"/>
      <c r="K415" s="1"/>
      <c r="L415" s="1"/>
      <c r="M415" s="1"/>
      <c r="N415" s="1"/>
      <c r="O415" s="26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  <c r="AH415" s="1"/>
      <c r="AI415" s="1"/>
      <c r="AJ415" s="1"/>
      <c r="AK415" s="1"/>
      <c r="AL415" s="1"/>
      <c r="AM415" s="1"/>
      <c r="AN415" s="1"/>
      <c r="AO415" s="1"/>
      <c r="AP415" s="1"/>
      <c r="AQ415" s="1"/>
      <c r="AR415" s="1"/>
      <c r="AS415" s="1"/>
      <c r="AT415" s="1"/>
      <c r="AU415" s="1"/>
      <c r="AV415" s="1"/>
      <c r="AW415" s="1"/>
      <c r="AX415" s="1"/>
      <c r="AY415" s="1"/>
      <c r="AZ415" s="1"/>
      <c r="BA415" s="1"/>
      <c r="BB415" s="1"/>
    </row>
    <row r="416" spans="1:54" x14ac:dyDescent="0.25">
      <c r="A416" s="1"/>
      <c r="B416" s="1"/>
      <c r="C416" s="1"/>
      <c r="D416" s="1"/>
      <c r="E416" s="1"/>
      <c r="F416" s="1"/>
      <c r="G416" s="1"/>
      <c r="H416" s="7"/>
      <c r="I416" s="1"/>
      <c r="J416" s="1"/>
      <c r="K416" s="1"/>
      <c r="L416" s="1"/>
      <c r="M416" s="1"/>
      <c r="N416" s="1"/>
      <c r="O416" s="26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  <c r="AH416" s="1"/>
      <c r="AI416" s="1"/>
      <c r="AJ416" s="1"/>
      <c r="AK416" s="1"/>
      <c r="AL416" s="1"/>
      <c r="AM416" s="1"/>
      <c r="AN416" s="1"/>
      <c r="AO416" s="1"/>
      <c r="AP416" s="1"/>
      <c r="AQ416" s="1"/>
      <c r="AR416" s="1"/>
      <c r="AS416" s="1"/>
      <c r="AT416" s="1"/>
      <c r="AU416" s="1"/>
      <c r="AV416" s="1"/>
      <c r="AW416" s="1"/>
      <c r="AX416" s="1"/>
      <c r="AY416" s="1"/>
      <c r="AZ416" s="1"/>
      <c r="BA416" s="1"/>
      <c r="BB416" s="1"/>
    </row>
    <row r="417" spans="1:54" x14ac:dyDescent="0.25">
      <c r="A417" s="1"/>
      <c r="B417" s="1"/>
      <c r="C417" s="1"/>
      <c r="D417" s="1"/>
      <c r="E417" s="1"/>
      <c r="F417" s="1"/>
      <c r="G417" s="1"/>
      <c r="H417" s="7"/>
      <c r="I417" s="1"/>
      <c r="J417" s="1"/>
      <c r="K417" s="1"/>
      <c r="L417" s="1"/>
      <c r="M417" s="1"/>
      <c r="N417" s="1"/>
      <c r="O417" s="26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  <c r="AH417" s="1"/>
      <c r="AI417" s="1"/>
      <c r="AJ417" s="1"/>
      <c r="AK417" s="1"/>
      <c r="AL417" s="1"/>
      <c r="AM417" s="1"/>
      <c r="AN417" s="1"/>
      <c r="AO417" s="1"/>
      <c r="AP417" s="1"/>
      <c r="AQ417" s="1"/>
      <c r="AR417" s="1"/>
      <c r="AS417" s="1"/>
      <c r="AT417" s="1"/>
      <c r="AU417" s="1"/>
      <c r="AV417" s="1"/>
      <c r="AW417" s="1"/>
      <c r="AX417" s="1"/>
      <c r="AY417" s="1"/>
      <c r="AZ417" s="1"/>
      <c r="BA417" s="1"/>
      <c r="BB417" s="1"/>
    </row>
    <row r="418" spans="1:54" x14ac:dyDescent="0.25">
      <c r="A418" s="1"/>
      <c r="B418" s="1"/>
      <c r="C418" s="1"/>
      <c r="D418" s="1"/>
      <c r="E418" s="1"/>
      <c r="F418" s="1"/>
      <c r="G418" s="1"/>
      <c r="H418" s="7"/>
      <c r="I418" s="1"/>
      <c r="J418" s="1"/>
      <c r="K418" s="1"/>
      <c r="L418" s="1"/>
      <c r="M418" s="1"/>
      <c r="N418" s="1"/>
      <c r="O418" s="26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  <c r="AH418" s="1"/>
      <c r="AI418" s="1"/>
      <c r="AJ418" s="1"/>
      <c r="AK418" s="1"/>
      <c r="AL418" s="1"/>
      <c r="AM418" s="1"/>
      <c r="AN418" s="1"/>
      <c r="AO418" s="1"/>
      <c r="AP418" s="1"/>
      <c r="AQ418" s="1"/>
      <c r="AR418" s="1"/>
      <c r="AS418" s="1"/>
      <c r="AT418" s="1"/>
      <c r="AU418" s="1"/>
      <c r="AV418" s="1"/>
      <c r="AW418" s="1"/>
      <c r="AX418" s="1"/>
      <c r="AY418" s="1"/>
      <c r="AZ418" s="1"/>
      <c r="BA418" s="1"/>
      <c r="BB418" s="1"/>
    </row>
    <row r="419" spans="1:54" x14ac:dyDescent="0.25">
      <c r="A419" s="1"/>
      <c r="B419" s="1"/>
      <c r="C419" s="1"/>
      <c r="D419" s="1"/>
      <c r="E419" s="1"/>
      <c r="F419" s="1"/>
      <c r="G419" s="1"/>
      <c r="H419" s="7"/>
      <c r="I419" s="1"/>
      <c r="J419" s="1"/>
      <c r="K419" s="1"/>
      <c r="L419" s="1"/>
      <c r="M419" s="1"/>
      <c r="N419" s="1"/>
      <c r="O419" s="26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  <c r="AH419" s="1"/>
      <c r="AI419" s="1"/>
      <c r="AJ419" s="1"/>
      <c r="AK419" s="1"/>
      <c r="AL419" s="1"/>
      <c r="AM419" s="1"/>
      <c r="AN419" s="1"/>
      <c r="AO419" s="1"/>
      <c r="AP419" s="1"/>
      <c r="AQ419" s="1"/>
      <c r="AR419" s="1"/>
      <c r="AS419" s="1"/>
      <c r="AT419" s="1"/>
      <c r="AU419" s="1"/>
      <c r="AV419" s="1"/>
      <c r="AW419" s="1"/>
      <c r="AX419" s="1"/>
      <c r="AY419" s="1"/>
      <c r="AZ419" s="1"/>
      <c r="BA419" s="1"/>
      <c r="BB419" s="1"/>
    </row>
    <row r="420" spans="1:54" x14ac:dyDescent="0.25">
      <c r="A420" s="1"/>
      <c r="B420" s="1"/>
      <c r="C420" s="1"/>
      <c r="D420" s="1"/>
      <c r="E420" s="1"/>
      <c r="F420" s="1"/>
      <c r="G420" s="1"/>
      <c r="H420" s="7"/>
      <c r="I420" s="1"/>
      <c r="J420" s="1"/>
      <c r="K420" s="1"/>
      <c r="L420" s="1"/>
      <c r="M420" s="1"/>
      <c r="N420" s="1"/>
      <c r="O420" s="26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  <c r="AH420" s="1"/>
      <c r="AI420" s="1"/>
      <c r="AJ420" s="1"/>
      <c r="AK420" s="1"/>
      <c r="AL420" s="1"/>
      <c r="AM420" s="1"/>
      <c r="AN420" s="1"/>
      <c r="AO420" s="1"/>
      <c r="AP420" s="1"/>
      <c r="AQ420" s="1"/>
      <c r="AR420" s="1"/>
      <c r="AS420" s="1"/>
      <c r="AT420" s="1"/>
      <c r="AU420" s="1"/>
      <c r="AV420" s="1"/>
      <c r="AW420" s="1"/>
      <c r="AX420" s="1"/>
      <c r="AY420" s="1"/>
      <c r="AZ420" s="1"/>
      <c r="BA420" s="1"/>
      <c r="BB420" s="1"/>
    </row>
    <row r="421" spans="1:54" x14ac:dyDescent="0.25">
      <c r="A421" s="1"/>
      <c r="B421" s="1"/>
      <c r="C421" s="1"/>
      <c r="D421" s="1"/>
      <c r="E421" s="1"/>
      <c r="F421" s="1"/>
      <c r="G421" s="1"/>
      <c r="H421" s="7"/>
      <c r="I421" s="1"/>
      <c r="J421" s="1"/>
      <c r="K421" s="1"/>
      <c r="L421" s="1"/>
      <c r="M421" s="1"/>
      <c r="N421" s="1"/>
      <c r="O421" s="26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  <c r="AH421" s="1"/>
      <c r="AI421" s="1"/>
      <c r="AJ421" s="1"/>
      <c r="AK421" s="1"/>
      <c r="AL421" s="1"/>
      <c r="AM421" s="1"/>
      <c r="AN421" s="1"/>
      <c r="AO421" s="1"/>
      <c r="AP421" s="1"/>
      <c r="AQ421" s="1"/>
      <c r="AR421" s="1"/>
      <c r="AS421" s="1"/>
      <c r="AT421" s="1"/>
      <c r="AU421" s="1"/>
      <c r="AV421" s="1"/>
      <c r="AW421" s="1"/>
      <c r="AX421" s="1"/>
      <c r="AY421" s="1"/>
      <c r="AZ421" s="1"/>
      <c r="BA421" s="1"/>
      <c r="BB421" s="1"/>
    </row>
    <row r="422" spans="1:54" x14ac:dyDescent="0.25">
      <c r="A422" s="1"/>
      <c r="B422" s="1"/>
      <c r="C422" s="1"/>
      <c r="D422" s="1"/>
      <c r="E422" s="1"/>
      <c r="F422" s="1"/>
      <c r="G422" s="1"/>
      <c r="H422" s="7"/>
      <c r="I422" s="1"/>
      <c r="J422" s="1"/>
      <c r="K422" s="1"/>
      <c r="L422" s="1"/>
      <c r="M422" s="1"/>
      <c r="N422" s="1"/>
      <c r="O422" s="26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  <c r="AH422" s="1"/>
      <c r="AI422" s="1"/>
      <c r="AJ422" s="1"/>
      <c r="AK422" s="1"/>
      <c r="AL422" s="1"/>
      <c r="AM422" s="1"/>
      <c r="AN422" s="1"/>
      <c r="AO422" s="1"/>
      <c r="AP422" s="1"/>
      <c r="AQ422" s="1"/>
      <c r="AR422" s="1"/>
      <c r="AS422" s="1"/>
      <c r="AT422" s="1"/>
      <c r="AU422" s="1"/>
      <c r="AV422" s="1"/>
      <c r="AW422" s="1"/>
      <c r="AX422" s="1"/>
      <c r="AY422" s="1"/>
      <c r="AZ422" s="1"/>
      <c r="BA422" s="1"/>
      <c r="BB422" s="1"/>
    </row>
    <row r="423" spans="1:54" x14ac:dyDescent="0.25">
      <c r="A423" s="1"/>
      <c r="B423" s="1"/>
      <c r="C423" s="1"/>
      <c r="D423" s="1"/>
      <c r="E423" s="1"/>
      <c r="F423" s="1"/>
      <c r="G423" s="1"/>
      <c r="H423" s="7"/>
      <c r="I423" s="1"/>
      <c r="J423" s="1"/>
      <c r="K423" s="1"/>
      <c r="L423" s="1"/>
      <c r="M423" s="1"/>
      <c r="N423" s="1"/>
      <c r="O423" s="26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  <c r="AH423" s="1"/>
      <c r="AI423" s="1"/>
      <c r="AJ423" s="1"/>
      <c r="AK423" s="1"/>
      <c r="AL423" s="1"/>
      <c r="AM423" s="1"/>
      <c r="AN423" s="1"/>
      <c r="AO423" s="1"/>
      <c r="AP423" s="1"/>
      <c r="AQ423" s="1"/>
      <c r="AR423" s="1"/>
      <c r="AS423" s="1"/>
      <c r="AT423" s="1"/>
      <c r="AU423" s="1"/>
      <c r="AV423" s="1"/>
      <c r="AW423" s="1"/>
      <c r="AX423" s="1"/>
      <c r="AY423" s="1"/>
      <c r="AZ423" s="1"/>
      <c r="BA423" s="1"/>
      <c r="BB423" s="1"/>
    </row>
    <row r="424" spans="1:54" x14ac:dyDescent="0.25">
      <c r="A424" s="1"/>
      <c r="B424" s="1"/>
      <c r="C424" s="1"/>
      <c r="D424" s="1"/>
      <c r="E424" s="1"/>
      <c r="F424" s="1"/>
      <c r="G424" s="1"/>
      <c r="H424" s="7"/>
      <c r="I424" s="1"/>
      <c r="J424" s="1"/>
      <c r="K424" s="1"/>
      <c r="L424" s="1"/>
      <c r="M424" s="1"/>
      <c r="N424" s="1"/>
      <c r="O424" s="26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  <c r="AH424" s="1"/>
      <c r="AI424" s="1"/>
      <c r="AJ424" s="1"/>
      <c r="AK424" s="1"/>
      <c r="AL424" s="1"/>
      <c r="AM424" s="1"/>
      <c r="AN424" s="1"/>
      <c r="AO424" s="1"/>
      <c r="AP424" s="1"/>
      <c r="AQ424" s="1"/>
      <c r="AR424" s="1"/>
      <c r="AS424" s="1"/>
      <c r="AT424" s="1"/>
      <c r="AU424" s="1"/>
      <c r="AV424" s="1"/>
      <c r="AW424" s="1"/>
      <c r="AX424" s="1"/>
      <c r="AY424" s="1"/>
      <c r="AZ424" s="1"/>
      <c r="BA424" s="1"/>
      <c r="BB424" s="1"/>
    </row>
    <row r="425" spans="1:54" x14ac:dyDescent="0.25">
      <c r="A425" s="1"/>
      <c r="B425" s="1"/>
      <c r="C425" s="1"/>
      <c r="D425" s="1"/>
      <c r="E425" s="1"/>
      <c r="F425" s="1"/>
      <c r="G425" s="1"/>
      <c r="H425" s="7"/>
      <c r="I425" s="1"/>
      <c r="J425" s="1"/>
      <c r="K425" s="1"/>
      <c r="L425" s="1"/>
      <c r="M425" s="1"/>
      <c r="N425" s="1"/>
      <c r="O425" s="26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  <c r="AH425" s="1"/>
      <c r="AI425" s="1"/>
      <c r="AJ425" s="1"/>
      <c r="AK425" s="1"/>
      <c r="AL425" s="1"/>
      <c r="AM425" s="1"/>
      <c r="AN425" s="1"/>
      <c r="AO425" s="1"/>
      <c r="AP425" s="1"/>
      <c r="AQ425" s="1"/>
      <c r="AR425" s="1"/>
      <c r="AS425" s="1"/>
      <c r="AT425" s="1"/>
      <c r="AU425" s="1"/>
      <c r="AV425" s="1"/>
      <c r="AW425" s="1"/>
      <c r="AX425" s="1"/>
      <c r="AY425" s="1"/>
      <c r="AZ425" s="1"/>
      <c r="BA425" s="1"/>
      <c r="BB425" s="1"/>
    </row>
    <row r="426" spans="1:54" x14ac:dyDescent="0.25">
      <c r="A426" s="1"/>
      <c r="B426" s="1"/>
      <c r="C426" s="1"/>
      <c r="D426" s="1"/>
      <c r="E426" s="1"/>
      <c r="F426" s="1"/>
      <c r="G426" s="1"/>
      <c r="H426" s="7"/>
      <c r="I426" s="1"/>
      <c r="J426" s="1"/>
      <c r="K426" s="1"/>
      <c r="L426" s="1"/>
      <c r="M426" s="1"/>
      <c r="N426" s="1"/>
      <c r="O426" s="26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  <c r="AH426" s="1"/>
      <c r="AI426" s="1"/>
      <c r="AJ426" s="1"/>
      <c r="AK426" s="1"/>
      <c r="AL426" s="1"/>
      <c r="AM426" s="1"/>
      <c r="AN426" s="1"/>
      <c r="AO426" s="1"/>
      <c r="AP426" s="1"/>
      <c r="AQ426" s="1"/>
      <c r="AR426" s="1"/>
      <c r="AS426" s="1"/>
      <c r="AT426" s="1"/>
      <c r="AU426" s="1"/>
      <c r="AV426" s="1"/>
      <c r="AW426" s="1"/>
      <c r="AX426" s="1"/>
      <c r="AY426" s="1"/>
      <c r="AZ426" s="1"/>
      <c r="BA426" s="1"/>
      <c r="BB426" s="1"/>
    </row>
    <row r="427" spans="1:54" x14ac:dyDescent="0.25">
      <c r="A427" s="1"/>
      <c r="B427" s="1"/>
      <c r="C427" s="1"/>
      <c r="D427" s="1"/>
      <c r="E427" s="1"/>
      <c r="F427" s="1"/>
      <c r="G427" s="1"/>
      <c r="H427" s="7"/>
      <c r="I427" s="1"/>
      <c r="J427" s="1"/>
      <c r="K427" s="1"/>
      <c r="L427" s="1"/>
      <c r="M427" s="1"/>
      <c r="N427" s="1"/>
      <c r="O427" s="26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  <c r="AH427" s="1"/>
      <c r="AI427" s="1"/>
      <c r="AJ427" s="1"/>
      <c r="AK427" s="1"/>
      <c r="AL427" s="1"/>
      <c r="AM427" s="1"/>
      <c r="AN427" s="1"/>
      <c r="AO427" s="1"/>
      <c r="AP427" s="1"/>
      <c r="AQ427" s="1"/>
      <c r="AR427" s="1"/>
      <c r="AS427" s="1"/>
      <c r="AT427" s="1"/>
      <c r="AU427" s="1"/>
      <c r="AV427" s="1"/>
      <c r="AW427" s="1"/>
      <c r="AX427" s="1"/>
      <c r="AY427" s="1"/>
      <c r="AZ427" s="1"/>
      <c r="BA427" s="1"/>
      <c r="BB427" s="1"/>
    </row>
    <row r="428" spans="1:54" x14ac:dyDescent="0.25">
      <c r="A428" s="1"/>
      <c r="B428" s="1"/>
      <c r="C428" s="1"/>
      <c r="D428" s="1"/>
      <c r="E428" s="1"/>
      <c r="F428" s="1"/>
      <c r="G428" s="1"/>
      <c r="H428" s="7"/>
      <c r="I428" s="1"/>
      <c r="J428" s="1"/>
      <c r="K428" s="1"/>
      <c r="L428" s="1"/>
      <c r="M428" s="1"/>
      <c r="N428" s="1"/>
      <c r="O428" s="26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  <c r="AH428" s="1"/>
      <c r="AI428" s="1"/>
      <c r="AJ428" s="1"/>
      <c r="AK428" s="1"/>
      <c r="AL428" s="1"/>
      <c r="AM428" s="1"/>
      <c r="AN428" s="1"/>
      <c r="AO428" s="1"/>
      <c r="AP428" s="1"/>
      <c r="AQ428" s="1"/>
      <c r="AR428" s="1"/>
      <c r="AS428" s="1"/>
      <c r="AT428" s="1"/>
      <c r="AU428" s="1"/>
      <c r="AV428" s="1"/>
      <c r="AW428" s="1"/>
      <c r="AX428" s="1"/>
      <c r="AY428" s="1"/>
      <c r="AZ428" s="1"/>
      <c r="BA428" s="1"/>
      <c r="BB428" s="1"/>
    </row>
    <row r="429" spans="1:54" x14ac:dyDescent="0.25">
      <c r="A429" s="1"/>
      <c r="B429" s="1"/>
      <c r="C429" s="1"/>
      <c r="D429" s="1"/>
      <c r="E429" s="1"/>
      <c r="F429" s="1"/>
      <c r="G429" s="1"/>
      <c r="H429" s="7"/>
      <c r="I429" s="1"/>
      <c r="J429" s="1"/>
      <c r="K429" s="1"/>
      <c r="L429" s="1"/>
      <c r="M429" s="1"/>
      <c r="N429" s="1"/>
      <c r="O429" s="26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  <c r="AH429" s="1"/>
      <c r="AI429" s="1"/>
      <c r="AJ429" s="1"/>
      <c r="AK429" s="1"/>
      <c r="AL429" s="1"/>
      <c r="AM429" s="1"/>
      <c r="AN429" s="1"/>
      <c r="AO429" s="1"/>
      <c r="AP429" s="1"/>
      <c r="AQ429" s="1"/>
      <c r="AR429" s="1"/>
      <c r="AS429" s="1"/>
      <c r="AT429" s="1"/>
      <c r="AU429" s="1"/>
      <c r="AV429" s="1"/>
      <c r="AW429" s="1"/>
      <c r="AX429" s="1"/>
      <c r="AY429" s="1"/>
      <c r="AZ429" s="1"/>
      <c r="BA429" s="1"/>
      <c r="BB429" s="1"/>
    </row>
    <row r="430" spans="1:54" x14ac:dyDescent="0.25">
      <c r="A430" s="1"/>
      <c r="B430" s="1"/>
      <c r="C430" s="1"/>
      <c r="D430" s="1"/>
      <c r="E430" s="1"/>
      <c r="F430" s="1"/>
      <c r="G430" s="1"/>
      <c r="H430" s="7"/>
      <c r="I430" s="1"/>
      <c r="J430" s="1"/>
      <c r="K430" s="1"/>
      <c r="L430" s="1"/>
      <c r="M430" s="1"/>
      <c r="N430" s="1"/>
      <c r="O430" s="26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  <c r="AH430" s="1"/>
      <c r="AI430" s="1"/>
      <c r="AJ430" s="1"/>
      <c r="AK430" s="1"/>
      <c r="AL430" s="1"/>
      <c r="AM430" s="1"/>
      <c r="AN430" s="1"/>
      <c r="AO430" s="1"/>
      <c r="AP430" s="1"/>
      <c r="AQ430" s="1"/>
      <c r="AR430" s="1"/>
      <c r="AS430" s="1"/>
      <c r="AT430" s="1"/>
      <c r="AU430" s="1"/>
      <c r="AV430" s="1"/>
      <c r="AW430" s="1"/>
      <c r="AX430" s="1"/>
      <c r="AY430" s="1"/>
      <c r="AZ430" s="1"/>
      <c r="BA430" s="1"/>
      <c r="BB430" s="1"/>
    </row>
    <row r="431" spans="1:54" x14ac:dyDescent="0.25">
      <c r="A431" s="1"/>
      <c r="B431" s="1"/>
      <c r="C431" s="1"/>
      <c r="D431" s="1"/>
      <c r="E431" s="1"/>
      <c r="F431" s="1"/>
      <c r="G431" s="1"/>
      <c r="H431" s="7"/>
      <c r="I431" s="1"/>
      <c r="J431" s="1"/>
      <c r="K431" s="1"/>
      <c r="L431" s="1"/>
      <c r="M431" s="1"/>
      <c r="N431" s="1"/>
      <c r="O431" s="26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  <c r="AH431" s="1"/>
      <c r="AI431" s="1"/>
      <c r="AJ431" s="1"/>
      <c r="AK431" s="1"/>
      <c r="AL431" s="1"/>
      <c r="AM431" s="1"/>
      <c r="AN431" s="1"/>
      <c r="AO431" s="1"/>
      <c r="AP431" s="1"/>
      <c r="AQ431" s="1"/>
      <c r="AR431" s="1"/>
      <c r="AS431" s="1"/>
      <c r="AT431" s="1"/>
      <c r="AU431" s="1"/>
      <c r="AV431" s="1"/>
      <c r="AW431" s="1"/>
      <c r="AX431" s="1"/>
      <c r="AY431" s="1"/>
      <c r="AZ431" s="1"/>
      <c r="BA431" s="1"/>
      <c r="BB431" s="1"/>
    </row>
    <row r="432" spans="1:54" x14ac:dyDescent="0.25">
      <c r="A432" s="1"/>
      <c r="B432" s="1"/>
      <c r="C432" s="1"/>
      <c r="D432" s="1"/>
      <c r="E432" s="1"/>
      <c r="F432" s="1"/>
      <c r="G432" s="1"/>
      <c r="H432" s="7"/>
      <c r="I432" s="1"/>
      <c r="J432" s="1"/>
      <c r="K432" s="1"/>
      <c r="L432" s="1"/>
      <c r="M432" s="1"/>
      <c r="N432" s="1"/>
      <c r="O432" s="26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  <c r="AH432" s="1"/>
      <c r="AI432" s="1"/>
      <c r="AJ432" s="1"/>
      <c r="AK432" s="1"/>
      <c r="AL432" s="1"/>
      <c r="AM432" s="1"/>
      <c r="AN432" s="1"/>
      <c r="AO432" s="1"/>
      <c r="AP432" s="1"/>
      <c r="AQ432" s="1"/>
      <c r="AR432" s="1"/>
      <c r="AS432" s="1"/>
      <c r="AT432" s="1"/>
      <c r="AU432" s="1"/>
      <c r="AV432" s="1"/>
      <c r="AW432" s="1"/>
      <c r="AX432" s="1"/>
      <c r="AY432" s="1"/>
      <c r="AZ432" s="1"/>
      <c r="BA432" s="1"/>
      <c r="BB432" s="1"/>
    </row>
    <row r="433" spans="1:54" x14ac:dyDescent="0.25">
      <c r="A433" s="1"/>
      <c r="B433" s="1"/>
      <c r="C433" s="1"/>
      <c r="D433" s="1"/>
      <c r="E433" s="1"/>
      <c r="F433" s="1"/>
      <c r="G433" s="1"/>
      <c r="H433" s="7"/>
      <c r="I433" s="1"/>
      <c r="J433" s="1"/>
      <c r="K433" s="1"/>
      <c r="L433" s="1"/>
      <c r="M433" s="1"/>
      <c r="N433" s="1"/>
      <c r="O433" s="26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  <c r="AH433" s="1"/>
      <c r="AI433" s="1"/>
      <c r="AJ433" s="1"/>
      <c r="AK433" s="1"/>
      <c r="AL433" s="1"/>
      <c r="AM433" s="1"/>
      <c r="AN433" s="1"/>
      <c r="AO433" s="1"/>
      <c r="AP433" s="1"/>
      <c r="AQ433" s="1"/>
      <c r="AR433" s="1"/>
      <c r="AS433" s="1"/>
      <c r="AT433" s="1"/>
      <c r="AU433" s="1"/>
      <c r="AV433" s="1"/>
      <c r="AW433" s="1"/>
      <c r="AX433" s="1"/>
      <c r="AY433" s="1"/>
      <c r="AZ433" s="1"/>
      <c r="BA433" s="1"/>
      <c r="BB433" s="1"/>
    </row>
    <row r="434" spans="1:54" x14ac:dyDescent="0.25">
      <c r="A434" s="1"/>
      <c r="B434" s="1"/>
      <c r="C434" s="1"/>
      <c r="D434" s="1"/>
      <c r="E434" s="1"/>
      <c r="F434" s="1"/>
      <c r="G434" s="1"/>
      <c r="H434" s="7"/>
      <c r="I434" s="1"/>
      <c r="J434" s="1"/>
      <c r="K434" s="1"/>
      <c r="L434" s="1"/>
      <c r="M434" s="1"/>
      <c r="N434" s="1"/>
      <c r="O434" s="26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  <c r="AH434" s="1"/>
      <c r="AI434" s="1"/>
      <c r="AJ434" s="1"/>
      <c r="AK434" s="1"/>
      <c r="AL434" s="1"/>
      <c r="AM434" s="1"/>
      <c r="AN434" s="1"/>
      <c r="AO434" s="1"/>
      <c r="AP434" s="1"/>
      <c r="AQ434" s="1"/>
      <c r="AR434" s="1"/>
      <c r="AS434" s="1"/>
      <c r="AT434" s="1"/>
      <c r="AU434" s="1"/>
      <c r="AV434" s="1"/>
      <c r="AW434" s="1"/>
      <c r="AX434" s="1"/>
      <c r="AY434" s="1"/>
      <c r="AZ434" s="1"/>
      <c r="BA434" s="1"/>
      <c r="BB434" s="1"/>
    </row>
    <row r="435" spans="1:54" x14ac:dyDescent="0.25">
      <c r="A435" s="1"/>
      <c r="B435" s="1"/>
      <c r="C435" s="1"/>
      <c r="D435" s="1"/>
      <c r="E435" s="1"/>
      <c r="F435" s="1"/>
      <c r="G435" s="1"/>
      <c r="H435" s="7"/>
      <c r="I435" s="1"/>
      <c r="J435" s="1"/>
      <c r="K435" s="1"/>
      <c r="L435" s="1"/>
      <c r="M435" s="1"/>
      <c r="N435" s="1"/>
      <c r="O435" s="26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  <c r="AH435" s="1"/>
      <c r="AI435" s="1"/>
      <c r="AJ435" s="1"/>
      <c r="AK435" s="1"/>
      <c r="AL435" s="1"/>
      <c r="AM435" s="1"/>
      <c r="AN435" s="1"/>
      <c r="AO435" s="1"/>
      <c r="AP435" s="1"/>
      <c r="AQ435" s="1"/>
      <c r="AR435" s="1"/>
      <c r="AS435" s="1"/>
      <c r="AT435" s="1"/>
      <c r="AU435" s="1"/>
      <c r="AV435" s="1"/>
      <c r="AW435" s="1"/>
      <c r="AX435" s="1"/>
      <c r="AY435" s="1"/>
      <c r="AZ435" s="1"/>
      <c r="BA435" s="1"/>
      <c r="BB435" s="1"/>
    </row>
    <row r="436" spans="1:54" x14ac:dyDescent="0.25">
      <c r="A436" s="1"/>
      <c r="B436" s="1"/>
      <c r="C436" s="1"/>
      <c r="D436" s="1"/>
      <c r="E436" s="1"/>
      <c r="F436" s="1"/>
      <c r="G436" s="1"/>
      <c r="H436" s="7"/>
      <c r="I436" s="1"/>
      <c r="J436" s="1"/>
      <c r="K436" s="1"/>
      <c r="L436" s="1"/>
      <c r="M436" s="1"/>
      <c r="N436" s="1"/>
      <c r="O436" s="26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  <c r="AH436" s="1"/>
      <c r="AI436" s="1"/>
      <c r="AJ436" s="1"/>
      <c r="AK436" s="1"/>
      <c r="AL436" s="1"/>
      <c r="AM436" s="1"/>
      <c r="AN436" s="1"/>
      <c r="AO436" s="1"/>
      <c r="AP436" s="1"/>
      <c r="AQ436" s="1"/>
      <c r="AR436" s="1"/>
      <c r="AS436" s="1"/>
      <c r="AT436" s="1"/>
      <c r="AU436" s="1"/>
      <c r="AV436" s="1"/>
      <c r="AW436" s="1"/>
      <c r="AX436" s="1"/>
      <c r="AY436" s="1"/>
      <c r="AZ436" s="1"/>
      <c r="BA436" s="1"/>
      <c r="BB436" s="1"/>
    </row>
    <row r="437" spans="1:54" x14ac:dyDescent="0.25">
      <c r="A437" s="1"/>
      <c r="B437" s="1"/>
      <c r="C437" s="1"/>
      <c r="D437" s="1"/>
      <c r="E437" s="1"/>
      <c r="F437" s="1"/>
      <c r="G437" s="1"/>
      <c r="H437" s="7"/>
      <c r="I437" s="1"/>
      <c r="J437" s="1"/>
      <c r="K437" s="1"/>
      <c r="L437" s="1"/>
      <c r="M437" s="1"/>
      <c r="N437" s="1"/>
      <c r="O437" s="26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  <c r="AH437" s="1"/>
      <c r="AI437" s="1"/>
      <c r="AJ437" s="1"/>
      <c r="AK437" s="1"/>
      <c r="AL437" s="1"/>
      <c r="AM437" s="1"/>
      <c r="AN437" s="1"/>
      <c r="AO437" s="1"/>
      <c r="AP437" s="1"/>
      <c r="AQ437" s="1"/>
      <c r="AR437" s="1"/>
      <c r="AS437" s="1"/>
      <c r="AT437" s="1"/>
      <c r="AU437" s="1"/>
      <c r="AV437" s="1"/>
      <c r="AW437" s="1"/>
      <c r="AX437" s="1"/>
      <c r="AY437" s="1"/>
      <c r="AZ437" s="1"/>
      <c r="BA437" s="1"/>
      <c r="BB437" s="1"/>
    </row>
    <row r="438" spans="1:54" x14ac:dyDescent="0.25">
      <c r="A438" s="1"/>
      <c r="B438" s="1"/>
      <c r="C438" s="1"/>
      <c r="D438" s="1"/>
      <c r="E438" s="1"/>
      <c r="F438" s="1"/>
      <c r="G438" s="1"/>
      <c r="H438" s="7"/>
      <c r="I438" s="1"/>
      <c r="J438" s="1"/>
      <c r="K438" s="1"/>
      <c r="L438" s="1"/>
      <c r="M438" s="1"/>
      <c r="N438" s="1"/>
      <c r="O438" s="26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  <c r="AH438" s="1"/>
      <c r="AI438" s="1"/>
      <c r="AJ438" s="1"/>
      <c r="AK438" s="1"/>
      <c r="AL438" s="1"/>
      <c r="AM438" s="1"/>
      <c r="AN438" s="1"/>
      <c r="AO438" s="1"/>
      <c r="AP438" s="1"/>
      <c r="AQ438" s="1"/>
      <c r="AR438" s="1"/>
      <c r="AS438" s="1"/>
      <c r="AT438" s="1"/>
      <c r="AU438" s="1"/>
      <c r="AV438" s="1"/>
      <c r="AW438" s="1"/>
      <c r="AX438" s="1"/>
      <c r="AY438" s="1"/>
      <c r="AZ438" s="1"/>
      <c r="BA438" s="1"/>
      <c r="BB438" s="1"/>
    </row>
    <row r="439" spans="1:54" x14ac:dyDescent="0.25">
      <c r="A439" s="1"/>
      <c r="B439" s="1"/>
      <c r="C439" s="1"/>
      <c r="D439" s="1"/>
      <c r="E439" s="1"/>
      <c r="F439" s="1"/>
      <c r="G439" s="1"/>
      <c r="H439" s="7"/>
      <c r="I439" s="1"/>
      <c r="J439" s="1"/>
      <c r="K439" s="1"/>
      <c r="L439" s="1"/>
      <c r="M439" s="1"/>
      <c r="N439" s="1"/>
      <c r="O439" s="26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  <c r="AH439" s="1"/>
      <c r="AI439" s="1"/>
      <c r="AJ439" s="1"/>
      <c r="AK439" s="1"/>
      <c r="AL439" s="1"/>
      <c r="AM439" s="1"/>
      <c r="AN439" s="1"/>
      <c r="AO439" s="1"/>
      <c r="AP439" s="1"/>
      <c r="AQ439" s="1"/>
      <c r="AR439" s="1"/>
      <c r="AS439" s="1"/>
      <c r="AT439" s="1"/>
      <c r="AU439" s="1"/>
      <c r="AV439" s="1"/>
      <c r="AW439" s="1"/>
      <c r="AX439" s="1"/>
      <c r="AY439" s="1"/>
      <c r="AZ439" s="1"/>
      <c r="BA439" s="1"/>
      <c r="BB439" s="1"/>
    </row>
    <row r="440" spans="1:54" x14ac:dyDescent="0.25">
      <c r="A440" s="1"/>
      <c r="B440" s="1"/>
      <c r="C440" s="1"/>
      <c r="D440" s="1"/>
      <c r="E440" s="1"/>
      <c r="F440" s="1"/>
      <c r="G440" s="1"/>
      <c r="H440" s="7"/>
      <c r="I440" s="1"/>
      <c r="J440" s="1"/>
      <c r="K440" s="1"/>
      <c r="L440" s="1"/>
      <c r="M440" s="1"/>
      <c r="N440" s="1"/>
      <c r="O440" s="26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  <c r="AH440" s="1"/>
      <c r="AI440" s="1"/>
      <c r="AJ440" s="1"/>
      <c r="AK440" s="1"/>
      <c r="AL440" s="1"/>
      <c r="AM440" s="1"/>
      <c r="AN440" s="1"/>
      <c r="AO440" s="1"/>
      <c r="AP440" s="1"/>
      <c r="AQ440" s="1"/>
      <c r="AR440" s="1"/>
      <c r="AS440" s="1"/>
      <c r="AT440" s="1"/>
      <c r="AU440" s="1"/>
      <c r="AV440" s="1"/>
      <c r="AW440" s="1"/>
      <c r="AX440" s="1"/>
      <c r="AY440" s="1"/>
      <c r="AZ440" s="1"/>
      <c r="BA440" s="1"/>
      <c r="BB440" s="1"/>
    </row>
    <row r="441" spans="1:54" x14ac:dyDescent="0.25">
      <c r="A441" s="1"/>
      <c r="B441" s="1"/>
      <c r="C441" s="1"/>
      <c r="D441" s="1"/>
      <c r="E441" s="1"/>
      <c r="F441" s="1"/>
      <c r="G441" s="1"/>
      <c r="H441" s="7"/>
      <c r="I441" s="1"/>
      <c r="J441" s="1"/>
      <c r="K441" s="1"/>
      <c r="L441" s="1"/>
      <c r="M441" s="1"/>
      <c r="N441" s="1"/>
      <c r="O441" s="26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  <c r="AH441" s="1"/>
      <c r="AI441" s="1"/>
      <c r="AJ441" s="1"/>
      <c r="AK441" s="1"/>
      <c r="AL441" s="1"/>
      <c r="AM441" s="1"/>
      <c r="AN441" s="1"/>
      <c r="AO441" s="1"/>
      <c r="AP441" s="1"/>
      <c r="AQ441" s="1"/>
      <c r="AR441" s="1"/>
      <c r="AS441" s="1"/>
      <c r="AT441" s="1"/>
      <c r="AU441" s="1"/>
      <c r="AV441" s="1"/>
      <c r="AW441" s="1"/>
      <c r="AX441" s="1"/>
      <c r="AY441" s="1"/>
      <c r="AZ441" s="1"/>
      <c r="BA441" s="1"/>
      <c r="BB441" s="1"/>
    </row>
    <row r="442" spans="1:54" x14ac:dyDescent="0.25">
      <c r="A442" s="1"/>
      <c r="B442" s="1"/>
      <c r="C442" s="1"/>
      <c r="D442" s="1"/>
      <c r="E442" s="1"/>
      <c r="F442" s="1"/>
      <c r="G442" s="1"/>
      <c r="H442" s="7"/>
      <c r="I442" s="1"/>
      <c r="J442" s="1"/>
      <c r="K442" s="1"/>
      <c r="L442" s="1"/>
      <c r="M442" s="1"/>
      <c r="N442" s="1"/>
      <c r="O442" s="26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  <c r="AH442" s="1"/>
      <c r="AI442" s="1"/>
      <c r="AJ442" s="1"/>
      <c r="AK442" s="1"/>
      <c r="AL442" s="1"/>
      <c r="AM442" s="1"/>
      <c r="AN442" s="1"/>
      <c r="AO442" s="1"/>
      <c r="AP442" s="1"/>
      <c r="AQ442" s="1"/>
      <c r="AR442" s="1"/>
      <c r="AS442" s="1"/>
      <c r="AT442" s="1"/>
      <c r="AU442" s="1"/>
      <c r="AV442" s="1"/>
      <c r="AW442" s="1"/>
      <c r="AX442" s="1"/>
      <c r="AY442" s="1"/>
      <c r="AZ442" s="1"/>
      <c r="BA442" s="1"/>
      <c r="BB442" s="1"/>
    </row>
    <row r="443" spans="1:54" x14ac:dyDescent="0.25">
      <c r="A443" s="1"/>
      <c r="B443" s="1"/>
      <c r="C443" s="1"/>
      <c r="D443" s="1"/>
      <c r="E443" s="1"/>
      <c r="F443" s="1"/>
      <c r="G443" s="1"/>
      <c r="H443" s="7"/>
      <c r="I443" s="1"/>
      <c r="J443" s="1"/>
      <c r="K443" s="1"/>
      <c r="L443" s="1"/>
      <c r="M443" s="1"/>
      <c r="N443" s="1"/>
      <c r="O443" s="26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  <c r="AH443" s="1"/>
      <c r="AI443" s="1"/>
      <c r="AJ443" s="1"/>
      <c r="AK443" s="1"/>
      <c r="AL443" s="1"/>
      <c r="AM443" s="1"/>
      <c r="AN443" s="1"/>
      <c r="AO443" s="1"/>
      <c r="AP443" s="1"/>
      <c r="AQ443" s="1"/>
      <c r="AR443" s="1"/>
      <c r="AS443" s="1"/>
      <c r="AT443" s="1"/>
      <c r="AU443" s="1"/>
      <c r="AV443" s="1"/>
      <c r="AW443" s="1"/>
      <c r="AX443" s="1"/>
      <c r="AY443" s="1"/>
      <c r="AZ443" s="1"/>
      <c r="BA443" s="1"/>
      <c r="BB443" s="1"/>
    </row>
    <row r="444" spans="1:54" x14ac:dyDescent="0.25">
      <c r="A444" s="1"/>
      <c r="B444" s="1"/>
      <c r="C444" s="1"/>
      <c r="D444" s="1"/>
      <c r="E444" s="1"/>
      <c r="F444" s="1"/>
      <c r="G444" s="1"/>
      <c r="H444" s="7"/>
      <c r="I444" s="1"/>
      <c r="J444" s="1"/>
      <c r="K444" s="1"/>
      <c r="L444" s="1"/>
      <c r="M444" s="1"/>
      <c r="N444" s="1"/>
      <c r="O444" s="26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  <c r="AH444" s="1"/>
      <c r="AI444" s="1"/>
      <c r="AJ444" s="1"/>
      <c r="AK444" s="1"/>
      <c r="AL444" s="1"/>
      <c r="AM444" s="1"/>
      <c r="AN444" s="1"/>
      <c r="AO444" s="1"/>
      <c r="AP444" s="1"/>
      <c r="AQ444" s="1"/>
      <c r="AR444" s="1"/>
      <c r="AS444" s="1"/>
      <c r="AT444" s="1"/>
      <c r="AU444" s="1"/>
      <c r="AV444" s="1"/>
      <c r="AW444" s="1"/>
      <c r="AX444" s="1"/>
      <c r="AY444" s="1"/>
      <c r="AZ444" s="1"/>
      <c r="BA444" s="1"/>
      <c r="BB444" s="1"/>
    </row>
    <row r="445" spans="1:54" x14ac:dyDescent="0.25">
      <c r="A445" s="1"/>
      <c r="B445" s="1"/>
      <c r="C445" s="1"/>
      <c r="D445" s="1"/>
      <c r="E445" s="1"/>
      <c r="F445" s="1"/>
      <c r="G445" s="1"/>
      <c r="H445" s="7"/>
      <c r="I445" s="1"/>
      <c r="J445" s="1"/>
      <c r="K445" s="1"/>
      <c r="L445" s="1"/>
      <c r="M445" s="1"/>
      <c r="N445" s="1"/>
      <c r="O445" s="26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  <c r="AH445" s="1"/>
      <c r="AI445" s="1"/>
      <c r="AJ445" s="1"/>
      <c r="AK445" s="1"/>
      <c r="AL445" s="1"/>
      <c r="AM445" s="1"/>
      <c r="AN445" s="1"/>
      <c r="AO445" s="1"/>
      <c r="AP445" s="1"/>
      <c r="AQ445" s="1"/>
      <c r="AR445" s="1"/>
      <c r="AS445" s="1"/>
      <c r="AT445" s="1"/>
      <c r="AU445" s="1"/>
      <c r="AV445" s="1"/>
      <c r="AW445" s="1"/>
      <c r="AX445" s="1"/>
      <c r="AY445" s="1"/>
      <c r="AZ445" s="1"/>
      <c r="BA445" s="1"/>
      <c r="BB445" s="1"/>
    </row>
    <row r="446" spans="1:54" x14ac:dyDescent="0.25">
      <c r="A446" s="1"/>
      <c r="B446" s="1"/>
      <c r="C446" s="1"/>
      <c r="D446" s="1"/>
      <c r="E446" s="1"/>
      <c r="F446" s="1"/>
      <c r="G446" s="1"/>
      <c r="H446" s="7"/>
      <c r="I446" s="1"/>
      <c r="J446" s="1"/>
      <c r="K446" s="1"/>
      <c r="L446" s="1"/>
      <c r="M446" s="1"/>
      <c r="N446" s="1"/>
      <c r="O446" s="26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  <c r="AH446" s="1"/>
      <c r="AI446" s="1"/>
      <c r="AJ446" s="1"/>
      <c r="AK446" s="1"/>
      <c r="AL446" s="1"/>
      <c r="AM446" s="1"/>
      <c r="AN446" s="1"/>
      <c r="AO446" s="1"/>
      <c r="AP446" s="1"/>
      <c r="AQ446" s="1"/>
      <c r="AR446" s="1"/>
      <c r="AS446" s="1"/>
      <c r="AT446" s="1"/>
      <c r="AU446" s="1"/>
      <c r="AV446" s="1"/>
      <c r="AW446" s="1"/>
      <c r="AX446" s="1"/>
      <c r="AY446" s="1"/>
      <c r="AZ446" s="1"/>
      <c r="BA446" s="1"/>
      <c r="BB446" s="1"/>
    </row>
    <row r="447" spans="1:54" x14ac:dyDescent="0.25">
      <c r="A447" s="1"/>
      <c r="B447" s="1"/>
      <c r="C447" s="1"/>
      <c r="D447" s="1"/>
      <c r="E447" s="1"/>
      <c r="F447" s="1"/>
      <c r="G447" s="1"/>
      <c r="H447" s="7"/>
      <c r="I447" s="1"/>
      <c r="J447" s="1"/>
      <c r="K447" s="1"/>
      <c r="L447" s="1"/>
      <c r="M447" s="1"/>
      <c r="N447" s="1"/>
      <c r="O447" s="26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  <c r="AH447" s="1"/>
      <c r="AI447" s="1"/>
      <c r="AJ447" s="1"/>
      <c r="AK447" s="1"/>
      <c r="AL447" s="1"/>
      <c r="AM447" s="1"/>
      <c r="AN447" s="1"/>
      <c r="AO447" s="1"/>
      <c r="AP447" s="1"/>
      <c r="AQ447" s="1"/>
      <c r="AR447" s="1"/>
      <c r="AS447" s="1"/>
      <c r="AT447" s="1"/>
      <c r="AU447" s="1"/>
      <c r="AV447" s="1"/>
      <c r="AW447" s="1"/>
      <c r="AX447" s="1"/>
      <c r="AY447" s="1"/>
      <c r="AZ447" s="1"/>
      <c r="BA447" s="1"/>
      <c r="BB447" s="1"/>
    </row>
    <row r="448" spans="1:54" x14ac:dyDescent="0.25">
      <c r="A448" s="1"/>
      <c r="B448" s="1"/>
      <c r="C448" s="1"/>
      <c r="D448" s="1"/>
      <c r="E448" s="1"/>
      <c r="F448" s="1"/>
      <c r="G448" s="1"/>
      <c r="H448" s="7"/>
      <c r="I448" s="1"/>
      <c r="J448" s="1"/>
      <c r="K448" s="1"/>
      <c r="L448" s="1"/>
      <c r="M448" s="1"/>
      <c r="N448" s="1"/>
      <c r="O448" s="26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  <c r="AH448" s="1"/>
      <c r="AI448" s="1"/>
      <c r="AJ448" s="1"/>
      <c r="AK448" s="1"/>
      <c r="AL448" s="1"/>
      <c r="AM448" s="1"/>
      <c r="AN448" s="1"/>
      <c r="AO448" s="1"/>
      <c r="AP448" s="1"/>
      <c r="AQ448" s="1"/>
      <c r="AR448" s="1"/>
      <c r="AS448" s="1"/>
      <c r="AT448" s="1"/>
      <c r="AU448" s="1"/>
      <c r="AV448" s="1"/>
      <c r="AW448" s="1"/>
      <c r="AX448" s="1"/>
      <c r="AY448" s="1"/>
      <c r="AZ448" s="1"/>
      <c r="BA448" s="1"/>
      <c r="BB448" s="1"/>
    </row>
    <row r="449" spans="1:54" x14ac:dyDescent="0.25">
      <c r="A449" s="1"/>
      <c r="B449" s="1"/>
      <c r="C449" s="1"/>
      <c r="D449" s="1"/>
      <c r="E449" s="1"/>
      <c r="F449" s="1"/>
      <c r="G449" s="1"/>
      <c r="H449" s="7"/>
      <c r="I449" s="1"/>
      <c r="J449" s="1"/>
      <c r="K449" s="1"/>
      <c r="L449" s="1"/>
      <c r="M449" s="1"/>
      <c r="N449" s="1"/>
      <c r="O449" s="26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  <c r="AH449" s="1"/>
      <c r="AI449" s="1"/>
      <c r="AJ449" s="1"/>
      <c r="AK449" s="1"/>
      <c r="AL449" s="1"/>
      <c r="AM449" s="1"/>
      <c r="AN449" s="1"/>
      <c r="AO449" s="1"/>
      <c r="AP449" s="1"/>
      <c r="AQ449" s="1"/>
      <c r="AR449" s="1"/>
      <c r="AS449" s="1"/>
      <c r="AT449" s="1"/>
      <c r="AU449" s="1"/>
      <c r="AV449" s="1"/>
      <c r="AW449" s="1"/>
      <c r="AX449" s="1"/>
      <c r="AY449" s="1"/>
      <c r="AZ449" s="1"/>
      <c r="BA449" s="1"/>
      <c r="BB449" s="1"/>
    </row>
    <row r="450" spans="1:54" x14ac:dyDescent="0.25">
      <c r="A450" s="1"/>
      <c r="B450" s="1"/>
      <c r="C450" s="1"/>
      <c r="D450" s="1"/>
      <c r="E450" s="1"/>
      <c r="F450" s="1"/>
      <c r="G450" s="1"/>
      <c r="H450" s="7"/>
      <c r="I450" s="1"/>
      <c r="J450" s="1"/>
      <c r="K450" s="1"/>
      <c r="L450" s="1"/>
      <c r="M450" s="1"/>
      <c r="N450" s="1"/>
      <c r="O450" s="26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  <c r="AH450" s="1"/>
      <c r="AI450" s="1"/>
      <c r="AJ450" s="1"/>
      <c r="AK450" s="1"/>
      <c r="AL450" s="1"/>
      <c r="AM450" s="1"/>
      <c r="AN450" s="1"/>
      <c r="AO450" s="1"/>
      <c r="AP450" s="1"/>
      <c r="AQ450" s="1"/>
      <c r="AR450" s="1"/>
      <c r="AS450" s="1"/>
      <c r="AT450" s="1"/>
      <c r="AU450" s="1"/>
      <c r="AV450" s="1"/>
      <c r="AW450" s="1"/>
      <c r="AX450" s="1"/>
      <c r="AY450" s="1"/>
      <c r="AZ450" s="1"/>
      <c r="BA450" s="1"/>
      <c r="BB450" s="1"/>
    </row>
    <row r="451" spans="1:54" x14ac:dyDescent="0.25">
      <c r="A451" s="1"/>
      <c r="B451" s="1"/>
      <c r="C451" s="1"/>
      <c r="D451" s="1"/>
      <c r="E451" s="1"/>
      <c r="F451" s="1"/>
      <c r="G451" s="1"/>
      <c r="H451" s="7"/>
      <c r="I451" s="1"/>
      <c r="J451" s="1"/>
      <c r="K451" s="1"/>
      <c r="L451" s="1"/>
      <c r="M451" s="1"/>
      <c r="N451" s="1"/>
      <c r="O451" s="26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  <c r="AH451" s="1"/>
      <c r="AI451" s="1"/>
      <c r="AJ451" s="1"/>
      <c r="AK451" s="1"/>
      <c r="AL451" s="1"/>
      <c r="AM451" s="1"/>
      <c r="AN451" s="1"/>
      <c r="AO451" s="1"/>
      <c r="AP451" s="1"/>
      <c r="AQ451" s="1"/>
      <c r="AR451" s="1"/>
      <c r="AS451" s="1"/>
      <c r="AT451" s="1"/>
      <c r="AU451" s="1"/>
      <c r="AV451" s="1"/>
      <c r="AW451" s="1"/>
      <c r="AX451" s="1"/>
      <c r="AY451" s="1"/>
      <c r="AZ451" s="1"/>
      <c r="BA451" s="1"/>
      <c r="BB451" s="1"/>
    </row>
    <row r="452" spans="1:54" x14ac:dyDescent="0.25">
      <c r="A452" s="1"/>
      <c r="B452" s="1"/>
      <c r="C452" s="1"/>
      <c r="D452" s="1"/>
      <c r="E452" s="1"/>
      <c r="F452" s="1"/>
      <c r="G452" s="1"/>
      <c r="H452" s="7"/>
      <c r="I452" s="1"/>
      <c r="J452" s="1"/>
      <c r="K452" s="1"/>
      <c r="L452" s="1"/>
      <c r="M452" s="1"/>
      <c r="N452" s="1"/>
      <c r="O452" s="26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  <c r="AH452" s="1"/>
      <c r="AI452" s="1"/>
      <c r="AJ452" s="1"/>
      <c r="AK452" s="1"/>
      <c r="AL452" s="1"/>
      <c r="AM452" s="1"/>
      <c r="AN452" s="1"/>
      <c r="AO452" s="1"/>
      <c r="AP452" s="1"/>
      <c r="AQ452" s="1"/>
      <c r="AR452" s="1"/>
      <c r="AS452" s="1"/>
      <c r="AT452" s="1"/>
      <c r="AU452" s="1"/>
      <c r="AV452" s="1"/>
      <c r="AW452" s="1"/>
      <c r="AX452" s="1"/>
      <c r="AY452" s="1"/>
      <c r="AZ452" s="1"/>
      <c r="BA452" s="1"/>
      <c r="BB452" s="1"/>
    </row>
    <row r="453" spans="1:54" x14ac:dyDescent="0.25">
      <c r="A453" s="1"/>
      <c r="B453" s="1"/>
      <c r="C453" s="1"/>
      <c r="D453" s="1"/>
      <c r="E453" s="1"/>
      <c r="F453" s="1"/>
      <c r="G453" s="1"/>
      <c r="H453" s="7"/>
      <c r="I453" s="1"/>
      <c r="J453" s="1"/>
      <c r="K453" s="1"/>
      <c r="L453" s="1"/>
      <c r="M453" s="1"/>
      <c r="N453" s="1"/>
      <c r="O453" s="26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  <c r="AH453" s="1"/>
      <c r="AI453" s="1"/>
      <c r="AJ453" s="1"/>
      <c r="AK453" s="1"/>
      <c r="AL453" s="1"/>
      <c r="AM453" s="1"/>
      <c r="AN453" s="1"/>
      <c r="AO453" s="1"/>
      <c r="AP453" s="1"/>
      <c r="AQ453" s="1"/>
      <c r="AR453" s="1"/>
      <c r="AS453" s="1"/>
      <c r="AT453" s="1"/>
      <c r="AU453" s="1"/>
      <c r="AV453" s="1"/>
      <c r="AW453" s="1"/>
      <c r="AX453" s="1"/>
      <c r="AY453" s="1"/>
      <c r="AZ453" s="1"/>
      <c r="BA453" s="1"/>
      <c r="BB453" s="1"/>
    </row>
    <row r="454" spans="1:54" x14ac:dyDescent="0.25">
      <c r="A454" s="1"/>
      <c r="B454" s="1"/>
      <c r="C454" s="1"/>
      <c r="D454" s="1"/>
      <c r="E454" s="1"/>
      <c r="F454" s="1"/>
      <c r="G454" s="1"/>
      <c r="H454" s="7"/>
      <c r="I454" s="1"/>
      <c r="J454" s="1"/>
      <c r="K454" s="1"/>
      <c r="L454" s="1"/>
      <c r="M454" s="1"/>
      <c r="N454" s="1"/>
      <c r="O454" s="26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  <c r="AH454" s="1"/>
      <c r="AI454" s="1"/>
      <c r="AJ454" s="1"/>
      <c r="AK454" s="1"/>
      <c r="AL454" s="1"/>
      <c r="AM454" s="1"/>
      <c r="AN454" s="1"/>
      <c r="AO454" s="1"/>
      <c r="AP454" s="1"/>
      <c r="AQ454" s="1"/>
      <c r="AR454" s="1"/>
      <c r="AS454" s="1"/>
      <c r="AT454" s="1"/>
      <c r="AU454" s="1"/>
      <c r="AV454" s="1"/>
      <c r="AW454" s="1"/>
      <c r="AX454" s="1"/>
      <c r="AY454" s="1"/>
      <c r="AZ454" s="1"/>
      <c r="BA454" s="1"/>
      <c r="BB454" s="1"/>
    </row>
    <row r="455" spans="1:54" x14ac:dyDescent="0.25">
      <c r="A455" s="1"/>
      <c r="B455" s="1"/>
      <c r="C455" s="1"/>
      <c r="D455" s="1"/>
      <c r="E455" s="1"/>
      <c r="F455" s="1"/>
      <c r="G455" s="1"/>
      <c r="H455" s="7"/>
      <c r="I455" s="1"/>
      <c r="J455" s="1"/>
      <c r="K455" s="1"/>
      <c r="L455" s="1"/>
      <c r="M455" s="1"/>
      <c r="N455" s="1"/>
      <c r="O455" s="26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  <c r="AH455" s="1"/>
      <c r="AI455" s="1"/>
      <c r="AJ455" s="1"/>
      <c r="AK455" s="1"/>
      <c r="AL455" s="1"/>
      <c r="AM455" s="1"/>
      <c r="AN455" s="1"/>
      <c r="AO455" s="1"/>
      <c r="AP455" s="1"/>
      <c r="AQ455" s="1"/>
      <c r="AR455" s="1"/>
      <c r="AS455" s="1"/>
      <c r="AT455" s="1"/>
      <c r="AU455" s="1"/>
      <c r="AV455" s="1"/>
      <c r="AW455" s="1"/>
      <c r="AX455" s="1"/>
      <c r="AY455" s="1"/>
      <c r="AZ455" s="1"/>
      <c r="BA455" s="1"/>
      <c r="BB455" s="1"/>
    </row>
    <row r="456" spans="1:54" x14ac:dyDescent="0.25">
      <c r="A456" s="1"/>
      <c r="B456" s="1"/>
      <c r="C456" s="1"/>
      <c r="D456" s="1"/>
      <c r="E456" s="1"/>
      <c r="F456" s="1"/>
      <c r="G456" s="1"/>
      <c r="H456" s="7"/>
      <c r="I456" s="1"/>
      <c r="J456" s="1"/>
      <c r="K456" s="1"/>
      <c r="L456" s="1"/>
      <c r="M456" s="1"/>
      <c r="N456" s="1"/>
      <c r="O456" s="26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/>
      <c r="AH456" s="1"/>
      <c r="AI456" s="1"/>
      <c r="AJ456" s="1"/>
      <c r="AK456" s="1"/>
      <c r="AL456" s="1"/>
      <c r="AM456" s="1"/>
      <c r="AN456" s="1"/>
      <c r="AO456" s="1"/>
      <c r="AP456" s="1"/>
      <c r="AQ456" s="1"/>
      <c r="AR456" s="1"/>
      <c r="AS456" s="1"/>
      <c r="AT456" s="1"/>
      <c r="AU456" s="1"/>
      <c r="AV456" s="1"/>
      <c r="AW456" s="1"/>
      <c r="AX456" s="1"/>
      <c r="AY456" s="1"/>
      <c r="AZ456" s="1"/>
      <c r="BA456" s="1"/>
      <c r="BB456" s="1"/>
    </row>
    <row r="457" spans="1:54" x14ac:dyDescent="0.25">
      <c r="A457" s="1"/>
      <c r="B457" s="1"/>
      <c r="C457" s="1"/>
      <c r="D457" s="1"/>
      <c r="E457" s="1"/>
      <c r="F457" s="1"/>
      <c r="G457" s="1"/>
      <c r="H457" s="7"/>
      <c r="I457" s="1"/>
      <c r="J457" s="1"/>
      <c r="K457" s="1"/>
      <c r="L457" s="1"/>
      <c r="M457" s="1"/>
      <c r="N457" s="1"/>
      <c r="O457" s="26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1"/>
      <c r="AH457" s="1"/>
      <c r="AI457" s="1"/>
      <c r="AJ457" s="1"/>
      <c r="AK457" s="1"/>
      <c r="AL457" s="1"/>
      <c r="AM457" s="1"/>
      <c r="AN457" s="1"/>
      <c r="AO457" s="1"/>
      <c r="AP457" s="1"/>
      <c r="AQ457" s="1"/>
      <c r="AR457" s="1"/>
      <c r="AS457" s="1"/>
      <c r="AT457" s="1"/>
      <c r="AU457" s="1"/>
      <c r="AV457" s="1"/>
      <c r="AW457" s="1"/>
      <c r="AX457" s="1"/>
      <c r="AY457" s="1"/>
      <c r="AZ457" s="1"/>
      <c r="BA457" s="1"/>
      <c r="BB457" s="1"/>
    </row>
    <row r="458" spans="1:54" x14ac:dyDescent="0.25">
      <c r="A458" s="1"/>
      <c r="B458" s="1"/>
      <c r="C458" s="1"/>
      <c r="D458" s="1"/>
      <c r="E458" s="1"/>
      <c r="F458" s="1"/>
      <c r="G458" s="1"/>
      <c r="H458" s="7"/>
      <c r="I458" s="1"/>
      <c r="J458" s="1"/>
      <c r="K458" s="1"/>
      <c r="L458" s="1"/>
      <c r="M458" s="1"/>
      <c r="N458" s="1"/>
      <c r="O458" s="26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/>
      <c r="AH458" s="1"/>
      <c r="AI458" s="1"/>
      <c r="AJ458" s="1"/>
      <c r="AK458" s="1"/>
      <c r="AL458" s="1"/>
      <c r="AM458" s="1"/>
      <c r="AN458" s="1"/>
      <c r="AO458" s="1"/>
      <c r="AP458" s="1"/>
      <c r="AQ458" s="1"/>
      <c r="AR458" s="1"/>
      <c r="AS458" s="1"/>
      <c r="AT458" s="1"/>
      <c r="AU458" s="1"/>
      <c r="AV458" s="1"/>
      <c r="AW458" s="1"/>
      <c r="AX458" s="1"/>
      <c r="AY458" s="1"/>
      <c r="AZ458" s="1"/>
      <c r="BA458" s="1"/>
      <c r="BB458" s="1"/>
    </row>
    <row r="459" spans="1:54" x14ac:dyDescent="0.25">
      <c r="A459" s="1"/>
      <c r="B459" s="1"/>
      <c r="C459" s="1"/>
      <c r="D459" s="1"/>
      <c r="E459" s="1"/>
      <c r="F459" s="1"/>
      <c r="G459" s="1"/>
      <c r="H459" s="7"/>
      <c r="I459" s="1"/>
      <c r="J459" s="1"/>
      <c r="K459" s="1"/>
      <c r="L459" s="1"/>
      <c r="M459" s="1"/>
      <c r="N459" s="1"/>
      <c r="O459" s="26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/>
      <c r="AH459" s="1"/>
      <c r="AI459" s="1"/>
      <c r="AJ459" s="1"/>
      <c r="AK459" s="1"/>
      <c r="AL459" s="1"/>
      <c r="AM459" s="1"/>
      <c r="AN459" s="1"/>
      <c r="AO459" s="1"/>
      <c r="AP459" s="1"/>
      <c r="AQ459" s="1"/>
      <c r="AR459" s="1"/>
      <c r="AS459" s="1"/>
      <c r="AT459" s="1"/>
      <c r="AU459" s="1"/>
      <c r="AV459" s="1"/>
      <c r="AW459" s="1"/>
      <c r="AX459" s="1"/>
      <c r="AY459" s="1"/>
      <c r="AZ459" s="1"/>
      <c r="BA459" s="1"/>
      <c r="BB459" s="1"/>
    </row>
    <row r="460" spans="1:54" x14ac:dyDescent="0.25">
      <c r="A460" s="1"/>
      <c r="B460" s="1"/>
      <c r="C460" s="1"/>
      <c r="D460" s="1"/>
      <c r="E460" s="1"/>
      <c r="F460" s="1"/>
      <c r="G460" s="1"/>
      <c r="H460" s="7"/>
      <c r="I460" s="1"/>
      <c r="J460" s="1"/>
      <c r="K460" s="1"/>
      <c r="L460" s="1"/>
      <c r="M460" s="1"/>
      <c r="N460" s="1"/>
      <c r="O460" s="26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/>
      <c r="AH460" s="1"/>
      <c r="AI460" s="1"/>
      <c r="AJ460" s="1"/>
      <c r="AK460" s="1"/>
      <c r="AL460" s="1"/>
      <c r="AM460" s="1"/>
      <c r="AN460" s="1"/>
      <c r="AO460" s="1"/>
      <c r="AP460" s="1"/>
      <c r="AQ460" s="1"/>
      <c r="AR460" s="1"/>
      <c r="AS460" s="1"/>
      <c r="AT460" s="1"/>
      <c r="AU460" s="1"/>
      <c r="AV460" s="1"/>
      <c r="AW460" s="1"/>
      <c r="AX460" s="1"/>
      <c r="AY460" s="1"/>
      <c r="AZ460" s="1"/>
      <c r="BA460" s="1"/>
      <c r="BB460" s="1"/>
    </row>
    <row r="461" spans="1:54" x14ac:dyDescent="0.25">
      <c r="A461" s="1"/>
      <c r="B461" s="1"/>
      <c r="C461" s="1"/>
      <c r="D461" s="1"/>
      <c r="E461" s="1"/>
      <c r="F461" s="1"/>
      <c r="G461" s="1"/>
      <c r="H461" s="7"/>
      <c r="I461" s="1"/>
      <c r="J461" s="1"/>
      <c r="K461" s="1"/>
      <c r="L461" s="1"/>
      <c r="M461" s="1"/>
      <c r="N461" s="1"/>
      <c r="O461" s="26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1"/>
      <c r="AH461" s="1"/>
      <c r="AI461" s="1"/>
      <c r="AJ461" s="1"/>
      <c r="AK461" s="1"/>
      <c r="AL461" s="1"/>
      <c r="AM461" s="1"/>
      <c r="AN461" s="1"/>
      <c r="AO461" s="1"/>
      <c r="AP461" s="1"/>
      <c r="AQ461" s="1"/>
      <c r="AR461" s="1"/>
      <c r="AS461" s="1"/>
      <c r="AT461" s="1"/>
      <c r="AU461" s="1"/>
      <c r="AV461" s="1"/>
      <c r="AW461" s="1"/>
      <c r="AX461" s="1"/>
      <c r="AY461" s="1"/>
      <c r="AZ461" s="1"/>
      <c r="BA461" s="1"/>
      <c r="BB461" s="1"/>
    </row>
    <row r="462" spans="1:54" x14ac:dyDescent="0.25">
      <c r="A462" s="1"/>
      <c r="B462" s="1"/>
      <c r="C462" s="1"/>
      <c r="D462" s="1"/>
      <c r="E462" s="1"/>
      <c r="F462" s="1"/>
      <c r="G462" s="1"/>
      <c r="H462" s="7"/>
      <c r="I462" s="1"/>
      <c r="J462" s="1"/>
      <c r="K462" s="1"/>
      <c r="L462" s="1"/>
      <c r="M462" s="1"/>
      <c r="N462" s="1"/>
      <c r="O462" s="26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  <c r="AH462" s="1"/>
      <c r="AI462" s="1"/>
      <c r="AJ462" s="1"/>
      <c r="AK462" s="1"/>
      <c r="AL462" s="1"/>
      <c r="AM462" s="1"/>
      <c r="AN462" s="1"/>
      <c r="AO462" s="1"/>
      <c r="AP462" s="1"/>
      <c r="AQ462" s="1"/>
      <c r="AR462" s="1"/>
      <c r="AS462" s="1"/>
      <c r="AT462" s="1"/>
      <c r="AU462" s="1"/>
      <c r="AV462" s="1"/>
      <c r="AW462" s="1"/>
      <c r="AX462" s="1"/>
      <c r="AY462" s="1"/>
      <c r="AZ462" s="1"/>
      <c r="BA462" s="1"/>
      <c r="BB462" s="1"/>
    </row>
    <row r="463" spans="1:54" x14ac:dyDescent="0.25">
      <c r="A463" s="1"/>
      <c r="B463" s="1"/>
      <c r="C463" s="1"/>
      <c r="D463" s="1"/>
      <c r="E463" s="1"/>
      <c r="F463" s="1"/>
      <c r="G463" s="1"/>
      <c r="H463" s="7"/>
      <c r="I463" s="1"/>
      <c r="J463" s="1"/>
      <c r="K463" s="1"/>
      <c r="L463" s="1"/>
      <c r="M463" s="1"/>
      <c r="N463" s="1"/>
      <c r="O463" s="26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1"/>
      <c r="AH463" s="1"/>
      <c r="AI463" s="1"/>
      <c r="AJ463" s="1"/>
      <c r="AK463" s="1"/>
      <c r="AL463" s="1"/>
      <c r="AM463" s="1"/>
      <c r="AN463" s="1"/>
      <c r="AO463" s="1"/>
      <c r="AP463" s="1"/>
      <c r="AQ463" s="1"/>
      <c r="AR463" s="1"/>
      <c r="AS463" s="1"/>
      <c r="AT463" s="1"/>
      <c r="AU463" s="1"/>
      <c r="AV463" s="1"/>
      <c r="AW463" s="1"/>
      <c r="AX463" s="1"/>
      <c r="AY463" s="1"/>
      <c r="AZ463" s="1"/>
      <c r="BA463" s="1"/>
      <c r="BB463" s="1"/>
    </row>
    <row r="464" spans="1:54" x14ac:dyDescent="0.25">
      <c r="A464" s="1"/>
      <c r="B464" s="1"/>
      <c r="C464" s="1"/>
      <c r="D464" s="1"/>
      <c r="E464" s="1"/>
      <c r="F464" s="1"/>
      <c r="G464" s="1"/>
      <c r="H464" s="7"/>
      <c r="I464" s="1"/>
      <c r="J464" s="1"/>
      <c r="K464" s="1"/>
      <c r="L464" s="1"/>
      <c r="M464" s="1"/>
      <c r="N464" s="1"/>
      <c r="O464" s="26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/>
      <c r="AH464" s="1"/>
      <c r="AI464" s="1"/>
      <c r="AJ464" s="1"/>
      <c r="AK464" s="1"/>
      <c r="AL464" s="1"/>
      <c r="AM464" s="1"/>
      <c r="AN464" s="1"/>
      <c r="AO464" s="1"/>
      <c r="AP464" s="1"/>
      <c r="AQ464" s="1"/>
      <c r="AR464" s="1"/>
      <c r="AS464" s="1"/>
      <c r="AT464" s="1"/>
      <c r="AU464" s="1"/>
      <c r="AV464" s="1"/>
      <c r="AW464" s="1"/>
      <c r="AX464" s="1"/>
      <c r="AY464" s="1"/>
      <c r="AZ464" s="1"/>
      <c r="BA464" s="1"/>
      <c r="BB464" s="1"/>
    </row>
    <row r="465" spans="1:54" x14ac:dyDescent="0.25">
      <c r="A465" s="1"/>
      <c r="B465" s="1"/>
      <c r="C465" s="1"/>
      <c r="D465" s="1"/>
      <c r="E465" s="1"/>
      <c r="F465" s="1"/>
      <c r="G465" s="1"/>
      <c r="H465" s="7"/>
      <c r="I465" s="1"/>
      <c r="J465" s="1"/>
      <c r="K465" s="1"/>
      <c r="L465" s="1"/>
      <c r="M465" s="1"/>
      <c r="N465" s="1"/>
      <c r="O465" s="26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1"/>
      <c r="AH465" s="1"/>
      <c r="AI465" s="1"/>
      <c r="AJ465" s="1"/>
      <c r="AK465" s="1"/>
      <c r="AL465" s="1"/>
      <c r="AM465" s="1"/>
      <c r="AN465" s="1"/>
      <c r="AO465" s="1"/>
      <c r="AP465" s="1"/>
      <c r="AQ465" s="1"/>
      <c r="AR465" s="1"/>
      <c r="AS465" s="1"/>
      <c r="AT465" s="1"/>
      <c r="AU465" s="1"/>
      <c r="AV465" s="1"/>
      <c r="AW465" s="1"/>
      <c r="AX465" s="1"/>
      <c r="AY465" s="1"/>
      <c r="AZ465" s="1"/>
      <c r="BA465" s="1"/>
      <c r="BB465" s="1"/>
    </row>
    <row r="466" spans="1:54" x14ac:dyDescent="0.25">
      <c r="A466" s="1"/>
      <c r="B466" s="1"/>
      <c r="C466" s="1"/>
      <c r="D466" s="1"/>
      <c r="E466" s="1"/>
      <c r="F466" s="1"/>
      <c r="G466" s="1"/>
      <c r="H466" s="7"/>
      <c r="I466" s="1"/>
      <c r="J466" s="1"/>
      <c r="K466" s="1"/>
      <c r="L466" s="1"/>
      <c r="M466" s="1"/>
      <c r="N466" s="1"/>
      <c r="O466" s="26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/>
      <c r="AH466" s="1"/>
      <c r="AI466" s="1"/>
      <c r="AJ466" s="1"/>
      <c r="AK466" s="1"/>
      <c r="AL466" s="1"/>
      <c r="AM466" s="1"/>
      <c r="AN466" s="1"/>
      <c r="AO466" s="1"/>
      <c r="AP466" s="1"/>
      <c r="AQ466" s="1"/>
      <c r="AR466" s="1"/>
      <c r="AS466" s="1"/>
      <c r="AT466" s="1"/>
      <c r="AU466" s="1"/>
      <c r="AV466" s="1"/>
      <c r="AW466" s="1"/>
      <c r="AX466" s="1"/>
      <c r="AY466" s="1"/>
      <c r="AZ466" s="1"/>
      <c r="BA466" s="1"/>
      <c r="BB466" s="1"/>
    </row>
    <row r="467" spans="1:54" x14ac:dyDescent="0.25">
      <c r="A467" s="1"/>
      <c r="B467" s="1"/>
      <c r="C467" s="1"/>
      <c r="D467" s="1"/>
      <c r="E467" s="1"/>
      <c r="F467" s="1"/>
      <c r="G467" s="1"/>
      <c r="H467" s="7"/>
      <c r="I467" s="1"/>
      <c r="J467" s="1"/>
      <c r="K467" s="1"/>
      <c r="L467" s="1"/>
      <c r="M467" s="1"/>
      <c r="N467" s="1"/>
      <c r="O467" s="26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1"/>
      <c r="AH467" s="1"/>
      <c r="AI467" s="1"/>
      <c r="AJ467" s="1"/>
      <c r="AK467" s="1"/>
      <c r="AL467" s="1"/>
      <c r="AM467" s="1"/>
      <c r="AN467" s="1"/>
      <c r="AO467" s="1"/>
      <c r="AP467" s="1"/>
      <c r="AQ467" s="1"/>
      <c r="AR467" s="1"/>
      <c r="AS467" s="1"/>
      <c r="AT467" s="1"/>
      <c r="AU467" s="1"/>
      <c r="AV467" s="1"/>
      <c r="AW467" s="1"/>
      <c r="AX467" s="1"/>
      <c r="AY467" s="1"/>
      <c r="AZ467" s="1"/>
      <c r="BA467" s="1"/>
      <c r="BB467" s="1"/>
    </row>
    <row r="468" spans="1:54" x14ac:dyDescent="0.25">
      <c r="A468" s="1"/>
      <c r="B468" s="1"/>
      <c r="C468" s="1"/>
      <c r="D468" s="1"/>
      <c r="E468" s="1"/>
      <c r="F468" s="1"/>
      <c r="G468" s="1"/>
      <c r="H468" s="7"/>
      <c r="I468" s="1"/>
      <c r="J468" s="1"/>
      <c r="K468" s="1"/>
      <c r="L468" s="1"/>
      <c r="M468" s="1"/>
      <c r="N468" s="1"/>
      <c r="O468" s="26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/>
      <c r="AH468" s="1"/>
      <c r="AI468" s="1"/>
      <c r="AJ468" s="1"/>
      <c r="AK468" s="1"/>
      <c r="AL468" s="1"/>
      <c r="AM468" s="1"/>
      <c r="AN468" s="1"/>
      <c r="AO468" s="1"/>
      <c r="AP468" s="1"/>
      <c r="AQ468" s="1"/>
      <c r="AR468" s="1"/>
      <c r="AS468" s="1"/>
      <c r="AT468" s="1"/>
      <c r="AU468" s="1"/>
      <c r="AV468" s="1"/>
      <c r="AW468" s="1"/>
      <c r="AX468" s="1"/>
      <c r="AY468" s="1"/>
      <c r="AZ468" s="1"/>
      <c r="BA468" s="1"/>
      <c r="BB468" s="1"/>
    </row>
    <row r="469" spans="1:54" x14ac:dyDescent="0.25">
      <c r="A469" s="1"/>
      <c r="B469" s="1"/>
      <c r="C469" s="1"/>
      <c r="D469" s="1"/>
      <c r="E469" s="1"/>
      <c r="F469" s="1"/>
      <c r="G469" s="1"/>
      <c r="H469" s="7"/>
      <c r="I469" s="1"/>
      <c r="J469" s="1"/>
      <c r="K469" s="1"/>
      <c r="L469" s="1"/>
      <c r="M469" s="1"/>
      <c r="N469" s="1"/>
      <c r="O469" s="26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1"/>
      <c r="AH469" s="1"/>
      <c r="AI469" s="1"/>
      <c r="AJ469" s="1"/>
      <c r="AK469" s="1"/>
      <c r="AL469" s="1"/>
      <c r="AM469" s="1"/>
      <c r="AN469" s="1"/>
      <c r="AO469" s="1"/>
      <c r="AP469" s="1"/>
      <c r="AQ469" s="1"/>
      <c r="AR469" s="1"/>
      <c r="AS469" s="1"/>
      <c r="AT469" s="1"/>
      <c r="AU469" s="1"/>
      <c r="AV469" s="1"/>
      <c r="AW469" s="1"/>
      <c r="AX469" s="1"/>
      <c r="AY469" s="1"/>
      <c r="AZ469" s="1"/>
      <c r="BA469" s="1"/>
      <c r="BB469" s="1"/>
    </row>
    <row r="470" spans="1:54" x14ac:dyDescent="0.25">
      <c r="A470" s="1"/>
      <c r="B470" s="1"/>
      <c r="C470" s="1"/>
      <c r="D470" s="1"/>
      <c r="E470" s="1"/>
      <c r="F470" s="1"/>
      <c r="G470" s="1"/>
      <c r="H470" s="7"/>
      <c r="I470" s="1"/>
      <c r="J470" s="1"/>
      <c r="K470" s="1"/>
      <c r="L470" s="1"/>
      <c r="M470" s="1"/>
      <c r="N470" s="1"/>
      <c r="O470" s="26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/>
      <c r="AH470" s="1"/>
      <c r="AI470" s="1"/>
      <c r="AJ470" s="1"/>
      <c r="AK470" s="1"/>
      <c r="AL470" s="1"/>
      <c r="AM470" s="1"/>
      <c r="AN470" s="1"/>
      <c r="AO470" s="1"/>
      <c r="AP470" s="1"/>
      <c r="AQ470" s="1"/>
      <c r="AR470" s="1"/>
      <c r="AS470" s="1"/>
      <c r="AT470" s="1"/>
      <c r="AU470" s="1"/>
      <c r="AV470" s="1"/>
      <c r="AW470" s="1"/>
      <c r="AX470" s="1"/>
      <c r="AY470" s="1"/>
      <c r="AZ470" s="1"/>
      <c r="BA470" s="1"/>
      <c r="BB470" s="1"/>
    </row>
    <row r="471" spans="1:54" x14ac:dyDescent="0.25">
      <c r="A471" s="1"/>
      <c r="B471" s="1"/>
      <c r="C471" s="1"/>
      <c r="D471" s="1"/>
      <c r="E471" s="1"/>
      <c r="F471" s="1"/>
      <c r="G471" s="1"/>
      <c r="H471" s="7"/>
      <c r="I471" s="1"/>
      <c r="J471" s="1"/>
      <c r="K471" s="1"/>
      <c r="L471" s="1"/>
      <c r="M471" s="1"/>
      <c r="N471" s="1"/>
      <c r="O471" s="26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1"/>
      <c r="AH471" s="1"/>
      <c r="AI471" s="1"/>
      <c r="AJ471" s="1"/>
      <c r="AK471" s="1"/>
      <c r="AL471" s="1"/>
      <c r="AM471" s="1"/>
      <c r="AN471" s="1"/>
      <c r="AO471" s="1"/>
      <c r="AP471" s="1"/>
      <c r="AQ471" s="1"/>
      <c r="AR471" s="1"/>
      <c r="AS471" s="1"/>
      <c r="AT471" s="1"/>
      <c r="AU471" s="1"/>
      <c r="AV471" s="1"/>
      <c r="AW471" s="1"/>
      <c r="AX471" s="1"/>
      <c r="AY471" s="1"/>
      <c r="AZ471" s="1"/>
      <c r="BA471" s="1"/>
      <c r="BB471" s="1"/>
    </row>
    <row r="472" spans="1:54" x14ac:dyDescent="0.25">
      <c r="A472" s="1"/>
      <c r="B472" s="1"/>
      <c r="C472" s="1"/>
      <c r="D472" s="1"/>
      <c r="E472" s="1"/>
      <c r="F472" s="1"/>
      <c r="G472" s="1"/>
      <c r="H472" s="7"/>
      <c r="I472" s="1"/>
      <c r="J472" s="1"/>
      <c r="K472" s="1"/>
      <c r="L472" s="1"/>
      <c r="M472" s="1"/>
      <c r="N472" s="1"/>
      <c r="O472" s="26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1"/>
      <c r="AH472" s="1"/>
      <c r="AI472" s="1"/>
      <c r="AJ472" s="1"/>
      <c r="AK472" s="1"/>
      <c r="AL472" s="1"/>
      <c r="AM472" s="1"/>
      <c r="AN472" s="1"/>
      <c r="AO472" s="1"/>
      <c r="AP472" s="1"/>
      <c r="AQ472" s="1"/>
      <c r="AR472" s="1"/>
      <c r="AS472" s="1"/>
      <c r="AT472" s="1"/>
      <c r="AU472" s="1"/>
      <c r="AV472" s="1"/>
      <c r="AW472" s="1"/>
      <c r="AX472" s="1"/>
      <c r="AY472" s="1"/>
      <c r="AZ472" s="1"/>
      <c r="BA472" s="1"/>
      <c r="BB472" s="1"/>
    </row>
    <row r="473" spans="1:54" x14ac:dyDescent="0.25">
      <c r="A473" s="1"/>
      <c r="B473" s="1"/>
      <c r="C473" s="1"/>
      <c r="D473" s="1"/>
      <c r="E473" s="1"/>
      <c r="F473" s="1"/>
      <c r="G473" s="1"/>
      <c r="H473" s="7"/>
      <c r="I473" s="1"/>
      <c r="J473" s="1"/>
      <c r="K473" s="1"/>
      <c r="L473" s="1"/>
      <c r="M473" s="1"/>
      <c r="N473" s="1"/>
      <c r="O473" s="26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1"/>
      <c r="AH473" s="1"/>
      <c r="AI473" s="1"/>
      <c r="AJ473" s="1"/>
      <c r="AK473" s="1"/>
      <c r="AL473" s="1"/>
      <c r="AM473" s="1"/>
      <c r="AN473" s="1"/>
      <c r="AO473" s="1"/>
      <c r="AP473" s="1"/>
      <c r="AQ473" s="1"/>
      <c r="AR473" s="1"/>
      <c r="AS473" s="1"/>
      <c r="AT473" s="1"/>
      <c r="AU473" s="1"/>
      <c r="AV473" s="1"/>
      <c r="AW473" s="1"/>
      <c r="AX473" s="1"/>
      <c r="AY473" s="1"/>
      <c r="AZ473" s="1"/>
      <c r="BA473" s="1"/>
      <c r="BB473" s="1"/>
    </row>
    <row r="474" spans="1:54" x14ac:dyDescent="0.25">
      <c r="A474" s="1"/>
      <c r="B474" s="1"/>
      <c r="C474" s="1"/>
      <c r="D474" s="1"/>
      <c r="E474" s="1"/>
      <c r="F474" s="1"/>
      <c r="G474" s="1"/>
      <c r="H474" s="7"/>
      <c r="I474" s="1"/>
      <c r="J474" s="1"/>
      <c r="K474" s="1"/>
      <c r="L474" s="1"/>
      <c r="M474" s="1"/>
      <c r="N474" s="1"/>
      <c r="O474" s="26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"/>
      <c r="AH474" s="1"/>
      <c r="AI474" s="1"/>
      <c r="AJ474" s="1"/>
      <c r="AK474" s="1"/>
      <c r="AL474" s="1"/>
      <c r="AM474" s="1"/>
      <c r="AN474" s="1"/>
      <c r="AO474" s="1"/>
      <c r="AP474" s="1"/>
      <c r="AQ474" s="1"/>
      <c r="AR474" s="1"/>
      <c r="AS474" s="1"/>
      <c r="AT474" s="1"/>
      <c r="AU474" s="1"/>
      <c r="AV474" s="1"/>
      <c r="AW474" s="1"/>
      <c r="AX474" s="1"/>
      <c r="AY474" s="1"/>
      <c r="AZ474" s="1"/>
      <c r="BA474" s="1"/>
      <c r="BB474" s="1"/>
    </row>
    <row r="475" spans="1:54" x14ac:dyDescent="0.25">
      <c r="A475" s="1"/>
      <c r="B475" s="1"/>
      <c r="C475" s="1"/>
      <c r="D475" s="1"/>
      <c r="E475" s="1"/>
      <c r="F475" s="1"/>
      <c r="G475" s="1"/>
      <c r="H475" s="7"/>
      <c r="I475" s="1"/>
      <c r="J475" s="1"/>
      <c r="K475" s="1"/>
      <c r="L475" s="1"/>
      <c r="M475" s="1"/>
      <c r="N475" s="1"/>
      <c r="O475" s="26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1"/>
      <c r="AH475" s="1"/>
      <c r="AI475" s="1"/>
      <c r="AJ475" s="1"/>
      <c r="AK475" s="1"/>
      <c r="AL475" s="1"/>
      <c r="AM475" s="1"/>
      <c r="AN475" s="1"/>
      <c r="AO475" s="1"/>
      <c r="AP475" s="1"/>
      <c r="AQ475" s="1"/>
      <c r="AR475" s="1"/>
      <c r="AS475" s="1"/>
      <c r="AT475" s="1"/>
      <c r="AU475" s="1"/>
      <c r="AV475" s="1"/>
      <c r="AW475" s="1"/>
      <c r="AX475" s="1"/>
      <c r="AY475" s="1"/>
      <c r="AZ475" s="1"/>
      <c r="BA475" s="1"/>
      <c r="BB475" s="1"/>
    </row>
    <row r="476" spans="1:54" x14ac:dyDescent="0.25">
      <c r="A476" s="1"/>
      <c r="B476" s="1"/>
      <c r="C476" s="1"/>
      <c r="D476" s="1"/>
      <c r="E476" s="1"/>
      <c r="F476" s="1"/>
      <c r="G476" s="1"/>
      <c r="H476" s="7"/>
      <c r="I476" s="1"/>
      <c r="J476" s="1"/>
      <c r="K476" s="1"/>
      <c r="L476" s="1"/>
      <c r="M476" s="1"/>
      <c r="N476" s="1"/>
      <c r="O476" s="26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/>
      <c r="AH476" s="1"/>
      <c r="AI476" s="1"/>
      <c r="AJ476" s="1"/>
      <c r="AK476" s="1"/>
      <c r="AL476" s="1"/>
      <c r="AM476" s="1"/>
      <c r="AN476" s="1"/>
      <c r="AO476" s="1"/>
      <c r="AP476" s="1"/>
      <c r="AQ476" s="1"/>
      <c r="AR476" s="1"/>
      <c r="AS476" s="1"/>
      <c r="AT476" s="1"/>
      <c r="AU476" s="1"/>
      <c r="AV476" s="1"/>
      <c r="AW476" s="1"/>
      <c r="AX476" s="1"/>
      <c r="AY476" s="1"/>
      <c r="AZ476" s="1"/>
      <c r="BA476" s="1"/>
      <c r="BB476" s="1"/>
    </row>
    <row r="477" spans="1:54" x14ac:dyDescent="0.25">
      <c r="A477" s="1"/>
      <c r="B477" s="1"/>
      <c r="C477" s="1"/>
      <c r="D477" s="1"/>
      <c r="E477" s="1"/>
      <c r="F477" s="1"/>
      <c r="G477" s="1"/>
      <c r="H477" s="7"/>
      <c r="I477" s="1"/>
      <c r="J477" s="1"/>
      <c r="K477" s="1"/>
      <c r="L477" s="1"/>
      <c r="M477" s="1"/>
      <c r="N477" s="1"/>
      <c r="O477" s="26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1"/>
      <c r="AH477" s="1"/>
      <c r="AI477" s="1"/>
      <c r="AJ477" s="1"/>
      <c r="AK477" s="1"/>
      <c r="AL477" s="1"/>
      <c r="AM477" s="1"/>
      <c r="AN477" s="1"/>
      <c r="AO477" s="1"/>
      <c r="AP477" s="1"/>
      <c r="AQ477" s="1"/>
      <c r="AR477" s="1"/>
      <c r="AS477" s="1"/>
      <c r="AT477" s="1"/>
      <c r="AU477" s="1"/>
      <c r="AV477" s="1"/>
      <c r="AW477" s="1"/>
      <c r="AX477" s="1"/>
      <c r="AY477" s="1"/>
      <c r="AZ477" s="1"/>
      <c r="BA477" s="1"/>
      <c r="BB477" s="1"/>
    </row>
    <row r="478" spans="1:54" x14ac:dyDescent="0.25">
      <c r="A478" s="1"/>
      <c r="B478" s="1"/>
      <c r="C478" s="1"/>
      <c r="D478" s="1"/>
      <c r="E478" s="1"/>
      <c r="F478" s="1"/>
      <c r="G478" s="1"/>
      <c r="H478" s="7"/>
      <c r="I478" s="1"/>
      <c r="J478" s="1"/>
      <c r="K478" s="1"/>
      <c r="L478" s="1"/>
      <c r="M478" s="1"/>
      <c r="N478" s="1"/>
      <c r="O478" s="26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/>
      <c r="AH478" s="1"/>
      <c r="AI478" s="1"/>
      <c r="AJ478" s="1"/>
      <c r="AK478" s="1"/>
      <c r="AL478" s="1"/>
      <c r="AM478" s="1"/>
      <c r="AN478" s="1"/>
      <c r="AO478" s="1"/>
      <c r="AP478" s="1"/>
      <c r="AQ478" s="1"/>
      <c r="AR478" s="1"/>
      <c r="AS478" s="1"/>
      <c r="AT478" s="1"/>
      <c r="AU478" s="1"/>
      <c r="AV478" s="1"/>
      <c r="AW478" s="1"/>
      <c r="AX478" s="1"/>
      <c r="AY478" s="1"/>
      <c r="AZ478" s="1"/>
      <c r="BA478" s="1"/>
      <c r="BB478" s="1"/>
    </row>
    <row r="479" spans="1:54" x14ac:dyDescent="0.25">
      <c r="A479" s="1"/>
      <c r="B479" s="1"/>
      <c r="C479" s="1"/>
      <c r="D479" s="1"/>
      <c r="E479" s="1"/>
      <c r="F479" s="1"/>
      <c r="G479" s="1"/>
      <c r="H479" s="7"/>
      <c r="I479" s="1"/>
      <c r="J479" s="1"/>
      <c r="K479" s="1"/>
      <c r="L479" s="1"/>
      <c r="M479" s="1"/>
      <c r="N479" s="1"/>
      <c r="O479" s="26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1"/>
      <c r="AH479" s="1"/>
      <c r="AI479" s="1"/>
      <c r="AJ479" s="1"/>
      <c r="AK479" s="1"/>
      <c r="AL479" s="1"/>
      <c r="AM479" s="1"/>
      <c r="AN479" s="1"/>
      <c r="AO479" s="1"/>
      <c r="AP479" s="1"/>
      <c r="AQ479" s="1"/>
      <c r="AR479" s="1"/>
      <c r="AS479" s="1"/>
      <c r="AT479" s="1"/>
      <c r="AU479" s="1"/>
      <c r="AV479" s="1"/>
      <c r="AW479" s="1"/>
      <c r="AX479" s="1"/>
      <c r="AY479" s="1"/>
      <c r="AZ479" s="1"/>
      <c r="BA479" s="1"/>
      <c r="BB479" s="1"/>
    </row>
    <row r="480" spans="1:54" x14ac:dyDescent="0.25">
      <c r="A480" s="1"/>
      <c r="B480" s="1"/>
      <c r="C480" s="1"/>
      <c r="D480" s="1"/>
      <c r="E480" s="1"/>
      <c r="F480" s="1"/>
      <c r="G480" s="1"/>
      <c r="H480" s="7"/>
      <c r="I480" s="1"/>
      <c r="J480" s="1"/>
      <c r="K480" s="1"/>
      <c r="L480" s="1"/>
      <c r="M480" s="1"/>
      <c r="N480" s="1"/>
      <c r="O480" s="26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1"/>
      <c r="AH480" s="1"/>
      <c r="AI480" s="1"/>
      <c r="AJ480" s="1"/>
      <c r="AK480" s="1"/>
      <c r="AL480" s="1"/>
      <c r="AM480" s="1"/>
      <c r="AN480" s="1"/>
      <c r="AO480" s="1"/>
      <c r="AP480" s="1"/>
      <c r="AQ480" s="1"/>
      <c r="AR480" s="1"/>
      <c r="AS480" s="1"/>
      <c r="AT480" s="1"/>
      <c r="AU480" s="1"/>
      <c r="AV480" s="1"/>
      <c r="AW480" s="1"/>
      <c r="AX480" s="1"/>
      <c r="AY480" s="1"/>
      <c r="AZ480" s="1"/>
      <c r="BA480" s="1"/>
      <c r="BB480" s="1"/>
    </row>
    <row r="481" spans="1:54" x14ac:dyDescent="0.25">
      <c r="A481" s="1"/>
      <c r="B481" s="1"/>
      <c r="C481" s="1"/>
      <c r="D481" s="1"/>
      <c r="E481" s="1"/>
      <c r="F481" s="1"/>
      <c r="G481" s="1"/>
      <c r="H481" s="7"/>
      <c r="I481" s="1"/>
      <c r="J481" s="1"/>
      <c r="K481" s="1"/>
      <c r="L481" s="1"/>
      <c r="M481" s="1"/>
      <c r="N481" s="1"/>
      <c r="O481" s="26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1"/>
      <c r="AH481" s="1"/>
      <c r="AI481" s="1"/>
      <c r="AJ481" s="1"/>
      <c r="AK481" s="1"/>
      <c r="AL481" s="1"/>
      <c r="AM481" s="1"/>
      <c r="AN481" s="1"/>
      <c r="AO481" s="1"/>
      <c r="AP481" s="1"/>
      <c r="AQ481" s="1"/>
      <c r="AR481" s="1"/>
      <c r="AS481" s="1"/>
      <c r="AT481" s="1"/>
      <c r="AU481" s="1"/>
      <c r="AV481" s="1"/>
      <c r="AW481" s="1"/>
      <c r="AX481" s="1"/>
      <c r="AY481" s="1"/>
      <c r="AZ481" s="1"/>
      <c r="BA481" s="1"/>
      <c r="BB481" s="1"/>
    </row>
  </sheetData>
  <autoFilter ref="A3:AI81" xr:uid="{51416630-3BA5-4384-890E-4BC53F45750F}"/>
  <pageMargins left="0.75" right="0.75" top="1" bottom="1" header="0.5" footer="0.5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Uaer4</cp:lastModifiedBy>
  <dcterms:created xsi:type="dcterms:W3CDTF">2025-04-24T13:16:28Z</dcterms:created>
  <dcterms:modified xsi:type="dcterms:W3CDTF">2025-04-25T12:52:20Z</dcterms:modified>
</cp:coreProperties>
</file>