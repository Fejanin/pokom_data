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Ташкент\"/>
    </mc:Choice>
  </mc:AlternateContent>
  <xr:revisionPtr revIDLastSave="0" documentId="13_ncr:1_{9B6233D0-83D6-49CB-883F-A3975D05FE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H17" i="1" s="1"/>
  <c r="R18" i="1"/>
  <c r="R19" i="1"/>
  <c r="H19" i="1" s="1"/>
  <c r="R20" i="1"/>
  <c r="R21" i="1"/>
  <c r="R22" i="1"/>
  <c r="R23" i="1"/>
  <c r="R24" i="1"/>
  <c r="H24" i="1" s="1"/>
  <c r="R25" i="1"/>
  <c r="R26" i="1"/>
  <c r="H26" i="1" s="1"/>
  <c r="R27" i="1"/>
  <c r="R28" i="1"/>
  <c r="H28" i="1" s="1"/>
  <c r="R29" i="1"/>
  <c r="R30" i="1"/>
  <c r="H30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H45" i="1" s="1"/>
  <c r="R46" i="1"/>
  <c r="R47" i="1"/>
  <c r="R48" i="1"/>
  <c r="H48" i="1" s="1"/>
  <c r="R49" i="1"/>
  <c r="R50" i="1"/>
  <c r="R51" i="1"/>
  <c r="R52" i="1"/>
  <c r="R53" i="1"/>
  <c r="R54" i="1"/>
  <c r="R55" i="1"/>
  <c r="R56" i="1"/>
  <c r="R57" i="1"/>
  <c r="R58" i="1"/>
  <c r="H58" i="1" s="1"/>
  <c r="R59" i="1"/>
  <c r="H59" i="1" s="1"/>
  <c r="R60" i="1"/>
  <c r="H60" i="1" s="1"/>
  <c r="R61" i="1"/>
  <c r="H61" i="1" s="1"/>
  <c r="R62" i="1"/>
  <c r="H62" i="1" s="1"/>
  <c r="R63" i="1"/>
  <c r="H63" i="1" s="1"/>
  <c r="R64" i="1"/>
  <c r="H64" i="1" s="1"/>
  <c r="R65" i="1"/>
  <c r="H65" i="1" s="1"/>
  <c r="R66" i="1"/>
  <c r="H66" i="1" s="1"/>
  <c r="R67" i="1"/>
  <c r="H67" i="1" s="1"/>
  <c r="R68" i="1"/>
  <c r="H68" i="1" s="1"/>
  <c r="R69" i="1"/>
  <c r="H69" i="1" s="1"/>
  <c r="R70" i="1"/>
  <c r="H70" i="1" s="1"/>
  <c r="R71" i="1"/>
  <c r="H71" i="1" s="1"/>
  <c r="R72" i="1"/>
  <c r="H72" i="1" s="1"/>
  <c r="R73" i="1"/>
  <c r="H73" i="1" s="1"/>
  <c r="R74" i="1"/>
  <c r="H74" i="1" s="1"/>
  <c r="R75" i="1"/>
  <c r="H75" i="1" s="1"/>
  <c r="R76" i="1"/>
  <c r="H76" i="1" s="1"/>
  <c r="R77" i="1"/>
  <c r="H77" i="1" s="1"/>
  <c r="R78" i="1"/>
  <c r="H78" i="1" s="1"/>
  <c r="R79" i="1"/>
  <c r="H79" i="1" s="1"/>
  <c r="R80" i="1"/>
  <c r="H80" i="1" s="1"/>
  <c r="R81" i="1"/>
  <c r="H81" i="1" s="1"/>
  <c r="R6" i="1"/>
  <c r="H35" i="1" l="1"/>
  <c r="F35" i="1"/>
  <c r="S35" i="1" s="1"/>
  <c r="H33" i="1"/>
  <c r="F33" i="1"/>
  <c r="S33" i="1" s="1"/>
  <c r="H31" i="1"/>
  <c r="F31" i="1"/>
  <c r="S31" i="1" s="1"/>
  <c r="H27" i="1"/>
  <c r="F27" i="1"/>
  <c r="S27" i="1" s="1"/>
  <c r="H25" i="1"/>
  <c r="F25" i="1"/>
  <c r="S25" i="1" s="1"/>
  <c r="T25" i="1" s="1"/>
  <c r="H23" i="1"/>
  <c r="F23" i="1"/>
  <c r="S23" i="1" s="1"/>
  <c r="T23" i="1" s="1"/>
  <c r="H21" i="1"/>
  <c r="F21" i="1"/>
  <c r="S21" i="1" s="1"/>
  <c r="T21" i="1" s="1"/>
  <c r="H15" i="1"/>
  <c r="F15" i="1"/>
  <c r="S15" i="1" s="1"/>
  <c r="T15" i="1" s="1"/>
  <c r="H13" i="1"/>
  <c r="F13" i="1"/>
  <c r="S13" i="1" s="1"/>
  <c r="H11" i="1"/>
  <c r="F11" i="1"/>
  <c r="S11" i="1" s="1"/>
  <c r="T11" i="1" s="1"/>
  <c r="H9" i="1"/>
  <c r="F9" i="1"/>
  <c r="S9" i="1" s="1"/>
  <c r="H57" i="1"/>
  <c r="F57" i="1"/>
  <c r="H55" i="1"/>
  <c r="F55" i="1"/>
  <c r="S55" i="1" s="1"/>
  <c r="T55" i="1" s="1"/>
  <c r="H53" i="1"/>
  <c r="F53" i="1"/>
  <c r="S53" i="1" s="1"/>
  <c r="T53" i="1" s="1"/>
  <c r="H51" i="1"/>
  <c r="F51" i="1"/>
  <c r="S51" i="1" s="1"/>
  <c r="T51" i="1" s="1"/>
  <c r="H43" i="1"/>
  <c r="F43" i="1"/>
  <c r="S43" i="1" s="1"/>
  <c r="T43" i="1" s="1"/>
  <c r="H6" i="1"/>
  <c r="F6" i="1"/>
  <c r="H56" i="1"/>
  <c r="F56" i="1"/>
  <c r="S56" i="1" s="1"/>
  <c r="H54" i="1"/>
  <c r="F54" i="1"/>
  <c r="S54" i="1" s="1"/>
  <c r="T54" i="1" s="1"/>
  <c r="H52" i="1"/>
  <c r="F52" i="1"/>
  <c r="S52" i="1" s="1"/>
  <c r="T52" i="1" s="1"/>
  <c r="F50" i="1"/>
  <c r="S50" i="1" s="1"/>
  <c r="H44" i="1"/>
  <c r="F44" i="1"/>
  <c r="S44" i="1" s="1"/>
  <c r="T44" i="1" s="1"/>
  <c r="H38" i="1"/>
  <c r="F38" i="1"/>
  <c r="S38" i="1" s="1"/>
  <c r="H36" i="1"/>
  <c r="F36" i="1"/>
  <c r="S36" i="1" s="1"/>
  <c r="T36" i="1" s="1"/>
  <c r="H34" i="1"/>
  <c r="F34" i="1"/>
  <c r="S34" i="1" s="1"/>
  <c r="T34" i="1" s="1"/>
  <c r="H32" i="1"/>
  <c r="F32" i="1"/>
  <c r="S32" i="1" s="1"/>
  <c r="T32" i="1" s="1"/>
  <c r="H22" i="1"/>
  <c r="F22" i="1"/>
  <c r="S22" i="1" s="1"/>
  <c r="T22" i="1" s="1"/>
  <c r="H20" i="1"/>
  <c r="F20" i="1"/>
  <c r="S20" i="1" s="1"/>
  <c r="T20" i="1" s="1"/>
  <c r="H18" i="1"/>
  <c r="F18" i="1"/>
  <c r="S18" i="1" s="1"/>
  <c r="T18" i="1" s="1"/>
  <c r="H16" i="1"/>
  <c r="F16" i="1"/>
  <c r="S16" i="1" s="1"/>
  <c r="T16" i="1" s="1"/>
  <c r="H14" i="1"/>
  <c r="F14" i="1"/>
  <c r="S14" i="1" s="1"/>
  <c r="T14" i="1" s="1"/>
  <c r="H12" i="1"/>
  <c r="F12" i="1"/>
  <c r="S12" i="1" s="1"/>
  <c r="H10" i="1"/>
  <c r="F10" i="1"/>
  <c r="S10" i="1" s="1"/>
  <c r="H8" i="1"/>
  <c r="F8" i="1"/>
  <c r="S8" i="1" s="1"/>
  <c r="T8" i="1" s="1"/>
  <c r="R5" i="1"/>
  <c r="S6" i="1" l="1"/>
  <c r="AJ35" i="1"/>
  <c r="AJ33" i="1"/>
  <c r="AJ31" i="1"/>
  <c r="AJ27" i="1"/>
  <c r="AJ15" i="1"/>
  <c r="G49" i="1"/>
  <c r="H49" i="1" s="1"/>
  <c r="E49" i="1"/>
  <c r="F49" i="1" s="1"/>
  <c r="S49" i="1" s="1"/>
  <c r="E48" i="1"/>
  <c r="F48" i="1" s="1"/>
  <c r="S48" i="1" s="1"/>
  <c r="G47" i="1"/>
  <c r="H47" i="1" s="1"/>
  <c r="E47" i="1"/>
  <c r="E45" i="1"/>
  <c r="F45" i="1" s="1"/>
  <c r="S45" i="1" s="1"/>
  <c r="T45" i="1" s="1"/>
  <c r="AJ45" i="1" s="1"/>
  <c r="G42" i="1"/>
  <c r="H42" i="1" s="1"/>
  <c r="E42" i="1"/>
  <c r="F42" i="1" s="1"/>
  <c r="S42" i="1" s="1"/>
  <c r="G41" i="1"/>
  <c r="H41" i="1" s="1"/>
  <c r="E41" i="1"/>
  <c r="F41" i="1" s="1"/>
  <c r="S41" i="1" s="1"/>
  <c r="G40" i="1"/>
  <c r="H40" i="1" s="1"/>
  <c r="E40" i="1"/>
  <c r="F40" i="1" s="1"/>
  <c r="S40" i="1" s="1"/>
  <c r="G39" i="1"/>
  <c r="H39" i="1" s="1"/>
  <c r="E39" i="1"/>
  <c r="G37" i="1"/>
  <c r="H37" i="1" s="1"/>
  <c r="E37" i="1"/>
  <c r="F37" i="1" s="1"/>
  <c r="S37" i="1" s="1"/>
  <c r="E30" i="1"/>
  <c r="F30" i="1" s="1"/>
  <c r="S30" i="1" s="1"/>
  <c r="T30" i="1" s="1"/>
  <c r="G29" i="1"/>
  <c r="H29" i="1" s="1"/>
  <c r="E29" i="1"/>
  <c r="E28" i="1"/>
  <c r="F28" i="1" s="1"/>
  <c r="S28" i="1" s="1"/>
  <c r="T28" i="1" s="1"/>
  <c r="E26" i="1"/>
  <c r="F26" i="1" s="1"/>
  <c r="S26" i="1" s="1"/>
  <c r="T26" i="1" s="1"/>
  <c r="E24" i="1"/>
  <c r="E19" i="1"/>
  <c r="F19" i="1" s="1"/>
  <c r="S19" i="1" s="1"/>
  <c r="T19" i="1" s="1"/>
  <c r="E17" i="1"/>
  <c r="G7" i="1"/>
  <c r="H7" i="1" s="1"/>
  <c r="E7" i="1"/>
  <c r="F7" i="1" s="1"/>
  <c r="S7" i="1" s="1"/>
  <c r="G46" i="1"/>
  <c r="H46" i="1" s="1"/>
  <c r="E46" i="1"/>
  <c r="AJ11" i="1"/>
  <c r="W13" i="1"/>
  <c r="AJ16" i="1"/>
  <c r="AJ22" i="1"/>
  <c r="W50" i="1"/>
  <c r="S64" i="1"/>
  <c r="W64" i="1" s="1"/>
  <c r="S65" i="1"/>
  <c r="W65" i="1" s="1"/>
  <c r="S66" i="1"/>
  <c r="W66" i="1" s="1"/>
  <c r="S67" i="1"/>
  <c r="W67" i="1" s="1"/>
  <c r="S68" i="1"/>
  <c r="W68" i="1" s="1"/>
  <c r="S69" i="1"/>
  <c r="W69" i="1" s="1"/>
  <c r="S70" i="1"/>
  <c r="W70" i="1" s="1"/>
  <c r="S71" i="1"/>
  <c r="W71" i="1" s="1"/>
  <c r="S72" i="1"/>
  <c r="W72" i="1" s="1"/>
  <c r="S73" i="1"/>
  <c r="W73" i="1" s="1"/>
  <c r="S74" i="1"/>
  <c r="W74" i="1" s="1"/>
  <c r="S75" i="1"/>
  <c r="W75" i="1" s="1"/>
  <c r="S76" i="1"/>
  <c r="W76" i="1" s="1"/>
  <c r="S77" i="1"/>
  <c r="W77" i="1" s="1"/>
  <c r="S78" i="1"/>
  <c r="W78" i="1" s="1"/>
  <c r="S79" i="1"/>
  <c r="W79" i="1" s="1"/>
  <c r="S80" i="1"/>
  <c r="W80" i="1" s="1"/>
  <c r="S81" i="1"/>
  <c r="W81" i="1" s="1"/>
  <c r="S57" i="1"/>
  <c r="S58" i="1"/>
  <c r="W58" i="1" s="1"/>
  <c r="S59" i="1"/>
  <c r="W59" i="1" s="1"/>
  <c r="S60" i="1"/>
  <c r="W60" i="1" s="1"/>
  <c r="S61" i="1"/>
  <c r="W61" i="1" s="1"/>
  <c r="S62" i="1"/>
  <c r="W62" i="1" s="1"/>
  <c r="S63" i="1"/>
  <c r="W63" i="1" s="1"/>
  <c r="X6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50" i="1"/>
  <c r="M44" i="1"/>
  <c r="M43" i="1"/>
  <c r="M38" i="1"/>
  <c r="M36" i="1"/>
  <c r="M35" i="1"/>
  <c r="M34" i="1"/>
  <c r="M33" i="1"/>
  <c r="M32" i="1"/>
  <c r="M31" i="1"/>
  <c r="M27" i="1"/>
  <c r="M25" i="1"/>
  <c r="M23" i="1"/>
  <c r="M22" i="1"/>
  <c r="M21" i="1"/>
  <c r="AJ20" i="1"/>
  <c r="M20" i="1"/>
  <c r="AJ18" i="1"/>
  <c r="M18" i="1"/>
  <c r="M16" i="1"/>
  <c r="M15" i="1"/>
  <c r="AJ14" i="1"/>
  <c r="M14" i="1"/>
  <c r="M13" i="1"/>
  <c r="M12" i="1"/>
  <c r="M11" i="1"/>
  <c r="M10" i="1"/>
  <c r="M9" i="1"/>
  <c r="AJ8" i="1"/>
  <c r="M8" i="1"/>
  <c r="M6" i="1"/>
  <c r="AH5" i="1"/>
  <c r="AG5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L5" i="1"/>
  <c r="T40" i="1" l="1"/>
  <c r="T49" i="1"/>
  <c r="W49" i="1" s="1"/>
  <c r="T37" i="1"/>
  <c r="AJ37" i="1" s="1"/>
  <c r="W40" i="1"/>
  <c r="T41" i="1"/>
  <c r="AJ41" i="1" s="1"/>
  <c r="T42" i="1"/>
  <c r="AJ42" i="1" s="1"/>
  <c r="M46" i="1"/>
  <c r="F46" i="1"/>
  <c r="S46" i="1" s="1"/>
  <c r="T46" i="1" s="1"/>
  <c r="M17" i="1"/>
  <c r="F17" i="1"/>
  <c r="S17" i="1" s="1"/>
  <c r="M24" i="1"/>
  <c r="F24" i="1"/>
  <c r="S24" i="1" s="1"/>
  <c r="T24" i="1" s="1"/>
  <c r="AJ24" i="1" s="1"/>
  <c r="M39" i="1"/>
  <c r="F39" i="1"/>
  <c r="S39" i="1" s="1"/>
  <c r="T39" i="1" s="1"/>
  <c r="H5" i="1"/>
  <c r="M29" i="1"/>
  <c r="F29" i="1"/>
  <c r="S29" i="1" s="1"/>
  <c r="T29" i="1" s="1"/>
  <c r="F47" i="1"/>
  <c r="S47" i="1" s="1"/>
  <c r="T47" i="1" s="1"/>
  <c r="AJ47" i="1" s="1"/>
  <c r="T7" i="1"/>
  <c r="AJ7" i="1" s="1"/>
  <c r="AJ40" i="1"/>
  <c r="W56" i="1"/>
  <c r="W52" i="1"/>
  <c r="W30" i="1"/>
  <c r="AJ19" i="1"/>
  <c r="AJ21" i="1"/>
  <c r="AJ23" i="1"/>
  <c r="AJ25" i="1"/>
  <c r="AJ43" i="1"/>
  <c r="AJ52" i="1"/>
  <c r="AJ54" i="1"/>
  <c r="AJ56" i="1"/>
  <c r="W57" i="1"/>
  <c r="W53" i="1"/>
  <c r="AJ9" i="1"/>
  <c r="AJ26" i="1"/>
  <c r="AJ28" i="1"/>
  <c r="AJ30" i="1"/>
  <c r="AJ32" i="1"/>
  <c r="AJ34" i="1"/>
  <c r="AJ36" i="1"/>
  <c r="AJ38" i="1"/>
  <c r="AJ44" i="1"/>
  <c r="AJ48" i="1"/>
  <c r="AJ51" i="1"/>
  <c r="AJ53" i="1"/>
  <c r="AJ55" i="1"/>
  <c r="AJ57" i="1"/>
  <c r="W35" i="1"/>
  <c r="W33" i="1"/>
  <c r="W31" i="1"/>
  <c r="W27" i="1"/>
  <c r="W15" i="1"/>
  <c r="W11" i="1"/>
  <c r="W45" i="1"/>
  <c r="M49" i="1"/>
  <c r="M48" i="1"/>
  <c r="M47" i="1"/>
  <c r="M26" i="1"/>
  <c r="M30" i="1"/>
  <c r="M45" i="1"/>
  <c r="M42" i="1"/>
  <c r="W41" i="1"/>
  <c r="M41" i="1"/>
  <c r="M40" i="1"/>
  <c r="M37" i="1"/>
  <c r="M28" i="1"/>
  <c r="G5" i="1"/>
  <c r="M19" i="1"/>
  <c r="E5" i="1"/>
  <c r="M7" i="1"/>
  <c r="X80" i="1"/>
  <c r="X78" i="1"/>
  <c r="X76" i="1"/>
  <c r="X74" i="1"/>
  <c r="X72" i="1"/>
  <c r="X70" i="1"/>
  <c r="X68" i="1"/>
  <c r="X66" i="1"/>
  <c r="X64" i="1"/>
  <c r="X61" i="1"/>
  <c r="X57" i="1"/>
  <c r="X53" i="1"/>
  <c r="X49" i="1"/>
  <c r="X45" i="1"/>
  <c r="X41" i="1"/>
  <c r="X37" i="1"/>
  <c r="X33" i="1"/>
  <c r="X25" i="1"/>
  <c r="X21" i="1"/>
  <c r="X17" i="1"/>
  <c r="X13" i="1"/>
  <c r="X9" i="1"/>
  <c r="X81" i="1"/>
  <c r="X79" i="1"/>
  <c r="X77" i="1"/>
  <c r="X75" i="1"/>
  <c r="X73" i="1"/>
  <c r="X71" i="1"/>
  <c r="X69" i="1"/>
  <c r="X67" i="1"/>
  <c r="X65" i="1"/>
  <c r="X63" i="1"/>
  <c r="X59" i="1"/>
  <c r="X55" i="1"/>
  <c r="X51" i="1"/>
  <c r="X43" i="1"/>
  <c r="X35" i="1"/>
  <c r="X31" i="1"/>
  <c r="X27" i="1"/>
  <c r="X23" i="1"/>
  <c r="X19" i="1"/>
  <c r="X15" i="1"/>
  <c r="X11" i="1"/>
  <c r="X7" i="1"/>
  <c r="W22" i="1"/>
  <c r="X22" i="1"/>
  <c r="W20" i="1"/>
  <c r="X20" i="1"/>
  <c r="W18" i="1"/>
  <c r="X18" i="1"/>
  <c r="W16" i="1"/>
  <c r="X16" i="1"/>
  <c r="W14" i="1"/>
  <c r="X14" i="1"/>
  <c r="W12" i="1"/>
  <c r="X12" i="1"/>
  <c r="W10" i="1"/>
  <c r="X10" i="1"/>
  <c r="W8" i="1"/>
  <c r="X8" i="1"/>
  <c r="W6" i="1"/>
  <c r="X62" i="1"/>
  <c r="X60" i="1"/>
  <c r="X58" i="1"/>
  <c r="X56" i="1"/>
  <c r="X54" i="1"/>
  <c r="X52" i="1"/>
  <c r="X50" i="1"/>
  <c r="X48" i="1"/>
  <c r="X44" i="1"/>
  <c r="X42" i="1"/>
  <c r="X40" i="1"/>
  <c r="X38" i="1"/>
  <c r="X36" i="1"/>
  <c r="X34" i="1"/>
  <c r="X32" i="1"/>
  <c r="X30" i="1"/>
  <c r="X28" i="1"/>
  <c r="X26" i="1"/>
  <c r="W24" i="1" l="1"/>
  <c r="T17" i="1"/>
  <c r="AJ17" i="1" s="1"/>
  <c r="AJ39" i="1"/>
  <c r="X47" i="1"/>
  <c r="AJ49" i="1"/>
  <c r="X29" i="1"/>
  <c r="W42" i="1"/>
  <c r="X24" i="1"/>
  <c r="W47" i="1"/>
  <c r="W17" i="1"/>
  <c r="AJ29" i="1"/>
  <c r="W29" i="1"/>
  <c r="F5" i="1"/>
  <c r="W37" i="1"/>
  <c r="X39" i="1"/>
  <c r="W7" i="1"/>
  <c r="W9" i="1"/>
  <c r="W44" i="1"/>
  <c r="W19" i="1"/>
  <c r="W23" i="1"/>
  <c r="W32" i="1"/>
  <c r="W36" i="1"/>
  <c r="AJ46" i="1"/>
  <c r="W39" i="1"/>
  <c r="W28" i="1"/>
  <c r="W38" i="1"/>
  <c r="W51" i="1"/>
  <c r="W55" i="1"/>
  <c r="W48" i="1"/>
  <c r="W26" i="1"/>
  <c r="W21" i="1"/>
  <c r="W25" i="1"/>
  <c r="W34" i="1"/>
  <c r="W43" i="1"/>
  <c r="W54" i="1"/>
  <c r="M5" i="1"/>
  <c r="S5" i="1"/>
  <c r="X46" i="1"/>
  <c r="AJ5" i="1" l="1"/>
  <c r="T5" i="1"/>
  <c r="W46" i="1"/>
</calcChain>
</file>

<file path=xl/sharedStrings.xml><?xml version="1.0" encoding="utf-8"?>
<sst xmlns="http://schemas.openxmlformats.org/spreadsheetml/2006/main" count="250" uniqueCount="134">
  <si>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</si>
  <si>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</si>
  <si>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</si>
  <si>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</si>
  <si>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</si>
  <si>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</si>
  <si>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</si>
  <si>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</si>
  <si>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</si>
  <si>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</si>
  <si>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</si>
  <si>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</si>
  <si>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</si>
  <si>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</si>
  <si>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</si>
  <si>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</si>
  <si>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</si>
  <si>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</si>
  <si>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</si>
  <si>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</si>
  <si>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</si>
  <si>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</si>
  <si>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</si>
  <si>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16,04,</t>
  </si>
  <si>
    <t>23,04,</t>
  </si>
  <si>
    <t>24,04,</t>
  </si>
  <si>
    <t>17,04,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</si>
  <si>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</si>
  <si>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</si>
  <si>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</si>
  <si>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</si>
  <si>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</si>
  <si>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</si>
  <si>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</si>
  <si>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</si>
  <si>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</si>
  <si>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</si>
  <si>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</si>
  <si>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</si>
  <si>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</si>
  <si>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</si>
  <si>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</si>
  <si>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</si>
  <si>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</si>
  <si>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</si>
  <si>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</si>
  <si>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</si>
  <si>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нужно увеличить продажи / нет в бланке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</si>
  <si>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</si>
  <si>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</si>
  <si>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</si>
  <si>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</si>
  <si>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</si>
  <si>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</si>
  <si>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</si>
  <si>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</si>
  <si>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</si>
  <si>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</si>
  <si>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</si>
  <si>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</si>
  <si>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</si>
  <si>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</si>
  <si>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</si>
  <si>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</si>
  <si>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</si>
  <si>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</si>
  <si>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</si>
  <si>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</si>
  <si>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</si>
  <si>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</si>
  <si>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</si>
  <si>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</si>
  <si>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</si>
  <si>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</si>
  <si>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</si>
  <si>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</si>
  <si>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</si>
  <si>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</si>
  <si>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</si>
  <si>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</si>
  <si>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завод не отгружает / мин 200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</si>
  <si>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</si>
  <si>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</si>
  <si>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</si>
  <si>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</si>
  <si>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</si>
  <si>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</si>
  <si>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</si>
  <si>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</si>
  <si>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</si>
  <si>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</si>
  <si>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</si>
  <si>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</si>
  <si>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</si>
  <si>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</si>
  <si>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</si>
  <si>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</si>
  <si>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</si>
  <si>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</si>
  <si>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</si>
  <si>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</si>
  <si>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</si>
  <si>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</si>
  <si>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</si>
  <si>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</si>
  <si>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</si>
  <si>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</si>
  <si>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</si>
  <si>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</si>
  <si>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</si>
  <si>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</si>
  <si>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</si>
  <si>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</si>
  <si>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</si>
  <si>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</si>
  <si>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</si>
  <si>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</si>
  <si>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</si>
  <si>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</si>
  <si>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</si>
  <si>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</si>
  <si>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</si>
  <si>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</si>
  <si>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У_1201 В/к колбасы Сервелат Мясорубский с мелкорубленным окороком Бордо Весовой фиброуз Стародворье  П</t>
  </si>
  <si>
    <t>У_1204 Копченые колбасы Салями Мясорубская с рубленым шпиком Бордо Весовой фиброуз Стародворье  ПОКОМ</t>
  </si>
  <si>
    <t>У_1314-Сосиски Молокуши миникушай Вязанка Ф/в 0,45 амилюкс мгс Вязанка</t>
  </si>
  <si>
    <t>У_1409 Сосиски Сочинки по-баварски ТМ Стародворье полиамид мгс вес СК3  ПОКОМ</t>
  </si>
  <si>
    <t>У_1523-Сосиски Вязанка Молочные ТМ Стародворские колбасы</t>
  </si>
  <si>
    <t>У_1728-Сосиски сливочные по-стародворски в оболочке</t>
  </si>
  <si>
    <t>уценка</t>
  </si>
  <si>
    <t>нужно увеличить продажи</t>
  </si>
  <si>
    <t>ср за 25,04,25</t>
  </si>
  <si>
    <t>ИТОГО ОСТАТОК</t>
  </si>
  <si>
    <t>НОВ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</si>
</sst>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2" tint="-0.749992370372631"/>
      <name val="Arial"/>
    </font>
    <font>
      <b/>
      <sz val="11"/>
      <color theme="2" tint="-0.749992370372631"/>
      <name val="Calibri"/>
    </font>
    <font>
      <sz val="11"/>
      <color theme="2" tint="-0.74999237037263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2" fontId="1" fillId="8" borderId="1" xfId="1" applyNumberFormat="1" applyFill="1"/>
    <xf numFmtId="164" fontId="1" fillId="8" borderId="2" xfId="1" applyNumberFormat="1" applyFill="1" applyBorder="1"/>
    <xf numFmtId="164" fontId="6" fillId="6" borderId="1" xfId="1" applyNumberFormat="1" applyFont="1" applyFill="1"/>
    <xf numFmtId="164" fontId="1" fillId="9" borderId="1" xfId="1" applyNumberFormat="1" applyFill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5" borderId="1" xfId="1" applyNumberFormat="1" applyFont="1" applyFill="1"/>
    <xf numFmtId="164" fontId="7" fillId="8" borderId="1" xfId="1" applyNumberFormat="1" applyFont="1" applyFill="1"/>
    <xf numFmtId="164" fontId="7" fillId="7" borderId="1" xfId="1" applyNumberFormat="1" applyFont="1" applyFill="1"/>
    <xf numFmtId="0" fontId="9" fillId="0" borderId="0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4,04,25-25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24.04.2025 - 25.04.2025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24.04.25</v>
          </cell>
          <cell r="E6" t="str">
            <v>25.04.25</v>
          </cell>
        </row>
        <row r="8">
          <cell r="A8" t="str">
            <v>1721-Сосиски Вязанка Сливочные ТМ Стародворские колбасы</v>
          </cell>
          <cell r="C8">
            <v>640.90800000000002</v>
          </cell>
          <cell r="E8">
            <v>640.90800000000002</v>
          </cell>
        </row>
        <row r="9">
          <cell r="A9" t="str">
            <v>2074-Сосиски Молочные для завтрака Особый рецепт</v>
          </cell>
          <cell r="C9">
            <v>688.12099999999998</v>
          </cell>
          <cell r="E9">
            <v>688.12099999999998</v>
          </cell>
        </row>
        <row r="10">
          <cell r="A10" t="str">
            <v>7187 ГРУДИНКА ПРЕМИУМ к/в мл/к в/у 0.3кг_50с  ОСТАНКИНО</v>
          </cell>
          <cell r="C10">
            <v>642</v>
          </cell>
          <cell r="E10">
            <v>642</v>
          </cell>
        </row>
        <row r="11">
          <cell r="A11" t="str">
            <v>7070 СОЧНЫЕ ПМ сос п/о мгс 1.5*4_А_50с  ОСТАНКИНО</v>
          </cell>
          <cell r="C11">
            <v>403.536</v>
          </cell>
          <cell r="E11">
            <v>403.536</v>
          </cell>
        </row>
        <row r="12">
          <cell r="A12" t="str">
            <v>1445 Сосиски «Сочные без свинины» Весовые ТМ «Особый рецепт» 1,3 кг  ПОКОМ</v>
          </cell>
          <cell r="C12">
            <v>300.66500000000002</v>
          </cell>
          <cell r="E12">
            <v>300.66500000000002</v>
          </cell>
        </row>
        <row r="13">
          <cell r="A13" t="str">
            <v>1411 Сосиски «Сочинки Сливочные» Весовые ТМ «Стародворье» 1,35 кг  ПОКОМ</v>
          </cell>
          <cell r="C13">
            <v>256.08199999999999</v>
          </cell>
          <cell r="E13">
            <v>256.08199999999999</v>
          </cell>
        </row>
        <row r="14">
          <cell r="A14" t="str">
            <v>Сервелат полусухой с/к ВУ ОХЛ 300гр МИРАТОРГ</v>
          </cell>
          <cell r="C14">
            <v>169</v>
          </cell>
          <cell r="E14">
            <v>169</v>
          </cell>
        </row>
        <row r="15">
          <cell r="A15" t="str">
            <v>1231 Сосиски Сливочные Дугушки Дугушка Весовые П/а Стародворье, вес 1кг</v>
          </cell>
          <cell r="C15">
            <v>156.74700000000001</v>
          </cell>
          <cell r="E15">
            <v>156.74700000000001</v>
          </cell>
        </row>
        <row r="16">
          <cell r="A16" t="str">
            <v>Вареные колбасы Сливушка Вязанка Фикс.вес 0,45 П/а Вязанка  ПОКОМ</v>
          </cell>
          <cell r="C16">
            <v>308</v>
          </cell>
          <cell r="E16">
            <v>308</v>
          </cell>
        </row>
        <row r="17">
          <cell r="A17" t="str">
            <v>1202 В/к колбасы Сервелат Мясорубский с мелкорубленным окороком срез Бордо Фикс.вес 0,35 фиброуз Ста</v>
          </cell>
          <cell r="C17">
            <v>407</v>
          </cell>
          <cell r="E17">
            <v>407</v>
          </cell>
        </row>
        <row r="18">
          <cell r="A18" t="str">
            <v>4087   СЕРВЕЛАТ КОПЧЕНЫЙ НА БУКЕ в/к в/К 0,35</v>
          </cell>
          <cell r="C18">
            <v>385</v>
          </cell>
          <cell r="E18">
            <v>385</v>
          </cell>
        </row>
        <row r="19">
          <cell r="A19" t="str">
            <v>КОПЧ БЕКОН НАР ВУ ШТ 0.18КГ К1.8  ЧЕРКИЗОВО</v>
          </cell>
          <cell r="C19">
            <v>297</v>
          </cell>
          <cell r="E19">
            <v>297</v>
          </cell>
        </row>
        <row r="20">
          <cell r="A20" t="str">
            <v>1370-Сосиски Сочинки Бордо Весовой п/а Стародворье</v>
          </cell>
          <cell r="C20">
            <v>183.381</v>
          </cell>
          <cell r="E20">
            <v>183.381</v>
          </cell>
        </row>
        <row r="21">
          <cell r="A21" t="str">
            <v>СОС КОПЧ ПО-Ч ЛОТ ПМО ЗА ШТ 0.4КГ K1.6  ЧЕРКИЗОВО</v>
          </cell>
          <cell r="C21">
            <v>325</v>
          </cell>
          <cell r="E21">
            <v>325</v>
          </cell>
        </row>
        <row r="22">
          <cell r="A22" t="str">
            <v>1224 В/к колбасы «Сочинка по-европейски с сочной грудинкой» Весовой фиброуз ТМ «Стародворье»  ПОКОМ</v>
          </cell>
          <cell r="C22">
            <v>152.04</v>
          </cell>
          <cell r="D22">
            <v>0.71699999999999997</v>
          </cell>
          <cell r="E22">
            <v>151.32300000000001</v>
          </cell>
        </row>
        <row r="23">
          <cell r="A23" t="str">
            <v>1205 Копченые колбасы Салями Мясорубская с рубленым шпиком срез Бордо ф/в 0,35 фиброуз Стародворье  ПОКОМ</v>
          </cell>
          <cell r="C23">
            <v>374</v>
          </cell>
          <cell r="E23">
            <v>374</v>
          </cell>
        </row>
        <row r="24">
          <cell r="A24" t="str">
            <v>1314-Сосиски Молокуши миникушай Вязанка Ф/в 0,45 амилюкс мгс Вязанка</v>
          </cell>
          <cell r="C24">
            <v>226</v>
          </cell>
          <cell r="E24">
            <v>226</v>
          </cell>
        </row>
        <row r="25">
          <cell r="A25" t="str">
            <v>ВК СЕРВ ГОСТ СРЕЗ ФИБ ВУ ШТ 0.5КГ К2  ЧЕРКИЗОВО</v>
          </cell>
          <cell r="C25">
            <v>129</v>
          </cell>
          <cell r="E25">
            <v>129</v>
          </cell>
        </row>
        <row r="26">
          <cell r="A26" t="str">
            <v>6652 ШПИКАЧКИ СОЧНЫЕ С БЕКОНОМ п/о мгс 1*3  ОСТАНКИНО</v>
          </cell>
          <cell r="C26">
            <v>172.78200000000001</v>
          </cell>
          <cell r="E26">
            <v>172.78200000000001</v>
          </cell>
        </row>
        <row r="27">
          <cell r="A27" t="str">
            <v>0222-Ветчины Дугушка Дугушка б/о Стародворье, 1кг</v>
          </cell>
          <cell r="C27">
            <v>131.76</v>
          </cell>
          <cell r="E27">
            <v>131.76</v>
          </cell>
        </row>
        <row r="28">
          <cell r="A28" t="str">
            <v>2205-Сосиски Молочные для завтрака ТМ Особый рецепт 0,4кг</v>
          </cell>
          <cell r="C28">
            <v>330</v>
          </cell>
          <cell r="E28">
            <v>330</v>
          </cell>
        </row>
        <row r="29">
          <cell r="A29" t="str">
            <v>СК БОГОРОДСКАЯ ПРЕСС ФИБ ВУ ШТ0.3КГ К3.6  ЧЕРКИЗОВО</v>
          </cell>
          <cell r="C29">
            <v>168</v>
          </cell>
          <cell r="E29">
            <v>168</v>
          </cell>
        </row>
        <row r="30">
          <cell r="A30" t="str">
            <v>Вареные колбасы Докторская ГОСТ Вязанка Фикс.вес 0,4 Вектор Вязанка  ПОКОМ</v>
          </cell>
          <cell r="C30">
            <v>213</v>
          </cell>
          <cell r="E30">
            <v>213</v>
          </cell>
        </row>
        <row r="31">
          <cell r="A31" t="str">
            <v>2634 Колбаса Дугушка Стародворская ТМ Стародворье ТС Дугушка  ПОКОМ</v>
          </cell>
          <cell r="C31">
            <v>137.565</v>
          </cell>
          <cell r="E31">
            <v>137.565</v>
          </cell>
        </row>
        <row r="32">
          <cell r="A32" t="str">
            <v>5608 СЕРВЕЛАТ ФИНСКИЙ в/к в/у срез 0.35кг_СНГ</v>
          </cell>
          <cell r="C32">
            <v>296</v>
          </cell>
          <cell r="E32">
            <v>296</v>
          </cell>
        </row>
        <row r="33">
          <cell r="A33" t="str">
            <v>0178 Ветчины Нежная Особая Особая Весовые П/а Особый рецепт большой батон  ПОКОМ</v>
          </cell>
          <cell r="C33">
            <v>110.83799999999999</v>
          </cell>
          <cell r="E33">
            <v>110.83799999999999</v>
          </cell>
        </row>
        <row r="34">
          <cell r="A34" t="str">
            <v>1284-Сосиски Баварушки ТМ Баварушка в оболочке амицел в модифицированной газовой среде 0,6 кг.</v>
          </cell>
          <cell r="C34">
            <v>136</v>
          </cell>
          <cell r="E34">
            <v>136</v>
          </cell>
        </row>
        <row r="35">
          <cell r="A35" t="str">
            <v>6095 ЮБИЛЕЙНАЯ с/к в/у 1/250 8шт_UZ</v>
          </cell>
          <cell r="C35">
            <v>198</v>
          </cell>
          <cell r="E35">
            <v>198</v>
          </cell>
        </row>
        <row r="36">
          <cell r="A36" t="str">
            <v>2472 Сардельки Левантские Особая Без свинины Весовые NDX мгс Особый рецепт, вес 1кг</v>
          </cell>
          <cell r="C36">
            <v>116.24299999999999</v>
          </cell>
          <cell r="E36">
            <v>116.24299999999999</v>
          </cell>
        </row>
        <row r="37">
          <cell r="A37" t="str">
            <v>1118 В/к колбасы Салями Запеченая Дугушка  Вектор Стародворье, 1кг</v>
          </cell>
          <cell r="C37">
            <v>93.159000000000006</v>
          </cell>
          <cell r="E37">
            <v>93.159000000000006</v>
          </cell>
        </row>
        <row r="38">
          <cell r="A38" t="str">
            <v>4079 СЕРВЕЛАТ КОПЧЕНЫЙ НА БУКЕ в/к в/у_СНГ</v>
          </cell>
          <cell r="C38">
            <v>95.06</v>
          </cell>
          <cell r="E38">
            <v>95.06</v>
          </cell>
        </row>
        <row r="39">
          <cell r="A39" t="str">
            <v>1201 В/к колбасы Сервелат Мясорубский с мелкорубленным окороком Бордо Весовой фиброуз Стародворье  П</v>
          </cell>
          <cell r="C39">
            <v>97.093000000000004</v>
          </cell>
          <cell r="E39">
            <v>97.093000000000004</v>
          </cell>
        </row>
        <row r="40">
          <cell r="A40" t="str">
            <v>1523-Сосиски Вязанка Молочные ТМ Стародворские колбасы</v>
          </cell>
          <cell r="C40">
            <v>96.736999999999995</v>
          </cell>
          <cell r="E40">
            <v>96.736999999999995</v>
          </cell>
        </row>
        <row r="41">
          <cell r="A41" t="str">
            <v>1120 В/к колбасы Сервелат Запеченный Дугушка Вес Вектор Стародворье, вес 1кг</v>
          </cell>
          <cell r="C41">
            <v>89.69</v>
          </cell>
          <cell r="E41">
            <v>89.69</v>
          </cell>
        </row>
        <row r="42">
          <cell r="A42" t="str">
            <v>1372-Сосиски Сочинки с сочным окороком Бордо Фикс.вес 0,4 П/а мгс Стародворье</v>
          </cell>
          <cell r="C42">
            <v>273</v>
          </cell>
          <cell r="E42">
            <v>273</v>
          </cell>
        </row>
        <row r="43">
          <cell r="A43" t="str">
            <v>1371-Сосиски Сочинки с сочной грудинкой Бордо Фикс.вес 0,4 П/а мгс Стародворье</v>
          </cell>
          <cell r="C43">
            <v>271</v>
          </cell>
          <cell r="E43">
            <v>271</v>
          </cell>
        </row>
        <row r="44">
          <cell r="A44" t="str">
            <v>6094 ЮБИЛЕЙНАЯ с/к в/у_UZ</v>
          </cell>
          <cell r="C44">
            <v>46.360999999999997</v>
          </cell>
          <cell r="E44">
            <v>46.360999999999997</v>
          </cell>
        </row>
        <row r="45">
          <cell r="A45" t="str">
            <v>ВК БАЛЫКОВАЯ ПО-ЧЕРКИЗ СРЕЗ ШТ0,3 К1,8  ЧЕРКИЗОВО</v>
          </cell>
          <cell r="C45">
            <v>146</v>
          </cell>
          <cell r="E45">
            <v>146</v>
          </cell>
        </row>
        <row r="46">
          <cell r="A46" t="str">
            <v>1875-Колбаса Филейная оригинальная ТМ Особый рецепт в оболочке полиамид.  ПОКОМ</v>
          </cell>
          <cell r="C46">
            <v>128.61799999999999</v>
          </cell>
          <cell r="E46">
            <v>128.61799999999999</v>
          </cell>
        </row>
        <row r="47">
          <cell r="A47" t="str">
            <v>СК САЛЯМИНИ ВУ ШТ 0.18 КГ  ЧЕРКИЗОВО</v>
          </cell>
          <cell r="C47">
            <v>212</v>
          </cell>
          <cell r="E47">
            <v>212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88.076999999999998</v>
          </cell>
          <cell r="E48">
            <v>88.076999999999998</v>
          </cell>
        </row>
        <row r="49">
          <cell r="A49" t="str">
            <v>ВАР МОЛОЧНАЯ ПО-ЧЕ НМО ШТ 0.4КГ К2.4  ЧЕРКИЗОВО</v>
          </cell>
          <cell r="C49">
            <v>182</v>
          </cell>
          <cell r="E49">
            <v>182</v>
          </cell>
        </row>
        <row r="50">
          <cell r="A50" t="str">
            <v>Вареные колбасы «Филейская» Фикс.вес 0,45 Вектор ТМ «Вязанка»  ПОКОМ</v>
          </cell>
          <cell r="C50">
            <v>156</v>
          </cell>
          <cell r="E50">
            <v>156</v>
          </cell>
        </row>
        <row r="51">
          <cell r="A51" t="str">
            <v>ВЕТЧ МРАМОРНАЯ ПО-ЧЕРКИЗОВСКИ ШТ 0,4 КГ  ЧЕРКИЗОВО</v>
          </cell>
          <cell r="C51">
            <v>125</v>
          </cell>
          <cell r="E51">
            <v>125</v>
          </cell>
        </row>
        <row r="52">
          <cell r="A52" t="str">
            <v>1869-Колбаса Молочная ТМ Особый рецепт в оболочке полиамид большой батон.  ПОКОМ</v>
          </cell>
          <cell r="C52">
            <v>117.316</v>
          </cell>
          <cell r="E52">
            <v>117.316</v>
          </cell>
        </row>
        <row r="53">
          <cell r="A53" t="str">
            <v>ВАР МОЛОЧНАЯ ПО-Ч НМО 1 КГ К3  ЧЕРКИЗОВО</v>
          </cell>
          <cell r="C53">
            <v>66.510999999999996</v>
          </cell>
          <cell r="E53">
            <v>66.510999999999996</v>
          </cell>
        </row>
        <row r="54">
          <cell r="A54" t="str">
            <v>1867-Колбаса Филейная ТМ Особый рецепт в оболочке полиамид большой батон.  ПОКОМ</v>
          </cell>
          <cell r="C54">
            <v>109.504</v>
          </cell>
          <cell r="E54">
            <v>109.504</v>
          </cell>
        </row>
        <row r="55">
          <cell r="A55" t="str">
            <v>1870-Колбаса Со шпиком ТМ Особый рецепт в оболочке полиамид большой батон.  ПОКОМ</v>
          </cell>
          <cell r="C55">
            <v>104.842</v>
          </cell>
          <cell r="E55">
            <v>104.842</v>
          </cell>
        </row>
        <row r="56">
          <cell r="A56" t="str">
            <v>6853 МОЛОЧНЫЕ ПРЕМИУМ ПМ сос п/о мгс 1*6  ОСТАНКИНО</v>
          </cell>
          <cell r="C56">
            <v>77.808999999999997</v>
          </cell>
          <cell r="E56">
            <v>77.808999999999997</v>
          </cell>
        </row>
        <row r="57">
          <cell r="A57" t="str">
            <v>7075 МОЛОЧ.ПРЕМИУМ ПМ сос п/о мгс 1.5*4_О_50с  ОСТАНКИНО</v>
          </cell>
          <cell r="C57">
            <v>82.896000000000001</v>
          </cell>
          <cell r="E57">
            <v>82.896000000000001</v>
          </cell>
        </row>
        <row r="58">
          <cell r="A58" t="str">
            <v>6076 МЯСНАЯ Папа может вар п/о 0.4кг_UZ</v>
          </cell>
          <cell r="C58">
            <v>223</v>
          </cell>
          <cell r="E58">
            <v>223</v>
          </cell>
        </row>
        <row r="59">
          <cell r="A59" t="str">
            <v>6072 ЭКСТРА Папа может вар п/о 0.4кг_UZ</v>
          </cell>
          <cell r="C59">
            <v>199</v>
          </cell>
          <cell r="E59">
            <v>199</v>
          </cell>
        </row>
        <row r="60">
          <cell r="A60" t="str">
            <v>Вареные колбасы Молокуша Вязанка Вес п/а Вязанка  ПОКОМ</v>
          </cell>
          <cell r="C60">
            <v>62.54</v>
          </cell>
          <cell r="E60">
            <v>62.54</v>
          </cell>
        </row>
        <row r="61">
          <cell r="A61" t="str">
            <v>СК БОРОДИНСКАЯ СРЕЗ ФИБ ВУ 0.3КГ ШТ К3.6  ЧЕРКИЗОВО</v>
          </cell>
          <cell r="C61">
            <v>74</v>
          </cell>
          <cell r="E61">
            <v>74</v>
          </cell>
        </row>
        <row r="62">
          <cell r="A62" t="str">
            <v>6346 ФИЛЕЙНАЯ Папа может вар п/о 0.5кг_СНГ  ОСТАНКИНО</v>
          </cell>
          <cell r="C62">
            <v>127</v>
          </cell>
          <cell r="E62">
            <v>127</v>
          </cell>
        </row>
        <row r="63">
          <cell r="A63" t="str">
            <v>МХБ Ветчина для завтрака ШТ. ОХЛ п/а 400г*6 (2,4кг) МИРАТОРГ</v>
          </cell>
          <cell r="C63">
            <v>61</v>
          </cell>
          <cell r="E63">
            <v>61</v>
          </cell>
        </row>
        <row r="64">
          <cell r="A64" t="str">
            <v>СВ ФУЭТ ЭКСТРА 0.15КГ К0.9  ЧЕРКИЗОВО</v>
          </cell>
          <cell r="C64">
            <v>50</v>
          </cell>
          <cell r="E64">
            <v>50</v>
          </cell>
        </row>
        <row r="65">
          <cell r="A65" t="str">
            <v>СК САЛЬЧИЧОН С РОЗОВЫМ ПЕРЦ. СРЕЗ ШТ 0,3  ЧЕРКИЗОВО</v>
          </cell>
          <cell r="C65">
            <v>44</v>
          </cell>
          <cell r="E65">
            <v>44</v>
          </cell>
        </row>
        <row r="66">
          <cell r="A66" t="str">
            <v>СК СЕРВЕЛЕТТИ ПРЕСС СРЕЗ БО ВУ ШТ 0.25КГ  ЧЕРКИЗОВО</v>
          </cell>
          <cell r="C66">
            <v>40</v>
          </cell>
          <cell r="E66">
            <v>40</v>
          </cell>
        </row>
        <row r="67">
          <cell r="A67" t="str">
            <v>1851-Колбаса Филедворская по-стародворски ТМ Стародворье в оболочке полиамид 0,4 кг.  ПОКОМ</v>
          </cell>
          <cell r="C67">
            <v>87</v>
          </cell>
          <cell r="E67">
            <v>87</v>
          </cell>
        </row>
        <row r="68">
          <cell r="A68" t="str">
            <v>2150 В/к колбасы Рубленая Запеченная Дугушка Весовые Вектор Стародворье, вес 1кг</v>
          </cell>
          <cell r="C68">
            <v>28.003</v>
          </cell>
          <cell r="E68">
            <v>28.003</v>
          </cell>
        </row>
        <row r="69">
          <cell r="A69" t="str">
            <v>1444 Сосиски «Сочные без свинины» ф/в 0,4 кг ТМ «Особый рецепт»  ПОКОМ</v>
          </cell>
          <cell r="C69">
            <v>78</v>
          </cell>
          <cell r="E69">
            <v>78</v>
          </cell>
        </row>
        <row r="70">
          <cell r="A70" t="str">
            <v>СК САЛЬЧИЧОН НАРЕЗ ФИБ ЗА ШТ 0.1КГ К1.2  ЧЕРКИЗОВО</v>
          </cell>
          <cell r="C70">
            <v>59</v>
          </cell>
          <cell r="E70">
            <v>59</v>
          </cell>
        </row>
        <row r="71">
          <cell r="A71" t="str">
            <v>6092 АРОМАТНАЯ с/к в/у 1/250 8шт_UZ</v>
          </cell>
          <cell r="C71">
            <v>52</v>
          </cell>
          <cell r="E71">
            <v>52</v>
          </cell>
        </row>
        <row r="72">
          <cell r="A72" t="str">
            <v>1871-Колбаса Филейная оригинальная ТМ Особый рецепт в оболочке полиамид 0,4 кг.  ПОКОМ</v>
          </cell>
          <cell r="C72">
            <v>83</v>
          </cell>
          <cell r="E72">
            <v>83</v>
          </cell>
        </row>
        <row r="73">
          <cell r="A73" t="str">
            <v>МХБ Сервелат Мраморный ШТ. в/к ВУ ОХЛ 330г*6 (1,98кг)  МИРАТОРГ</v>
          </cell>
          <cell r="C73">
            <v>44</v>
          </cell>
          <cell r="E73">
            <v>44</v>
          </cell>
        </row>
        <row r="74">
          <cell r="A74" t="str">
            <v>Стейк Стриплойн зам. DF 320г*6(1,92кг) BLACK ANGUS  МИРАТОРГ</v>
          </cell>
          <cell r="C74">
            <v>12</v>
          </cell>
          <cell r="E74">
            <v>12</v>
          </cell>
        </row>
        <row r="75">
          <cell r="A75" t="str">
            <v>Вареные колбасы «Филейская» Весовые Вектор ТМ «Вязанка»  ПОКОМ</v>
          </cell>
          <cell r="C75">
            <v>25.844999999999999</v>
          </cell>
          <cell r="E75">
            <v>25.844999999999999</v>
          </cell>
        </row>
        <row r="76">
          <cell r="A76" t="str">
            <v>Наггетсы куриные хрустящие 300г*12 (3,6кг) Мираторг Россия</v>
          </cell>
          <cell r="C76">
            <v>49</v>
          </cell>
          <cell r="E76">
            <v>49</v>
          </cell>
        </row>
        <row r="77">
          <cell r="A77" t="str">
            <v>Наггетсы куриные Классические 300г*12 (3,6кг) Мираторг Россия</v>
          </cell>
          <cell r="C77">
            <v>49</v>
          </cell>
          <cell r="E77">
            <v>49</v>
          </cell>
        </row>
        <row r="78">
          <cell r="A78" t="str">
            <v>Сервела Коньячный в/к ВУ ОХЛ 375гр  МИРАТОРГ</v>
          </cell>
          <cell r="C78">
            <v>27</v>
          </cell>
          <cell r="E78">
            <v>27</v>
          </cell>
        </row>
        <row r="79">
          <cell r="A79" t="str">
            <v>КОПЧ ГРУДИНКА ПО-ЧЕРК ВУ ШТ 0.3КГ К1.8  ЧЕРКИЗОВО</v>
          </cell>
          <cell r="C79">
            <v>25</v>
          </cell>
          <cell r="E79">
            <v>25</v>
          </cell>
        </row>
        <row r="80">
          <cell r="A80" t="str">
            <v>1952-Колбаса Со шпиком ТМ Особый рецепт в оболочке полиамид 0,5 кг.  ПОКОМ</v>
          </cell>
          <cell r="C80">
            <v>42</v>
          </cell>
          <cell r="E80">
            <v>42</v>
          </cell>
        </row>
        <row r="81">
          <cell r="A81" t="str">
            <v>С/к колбасы Швейцарская Бордо Фикс.вес 0,17 Фиброуз терм/п Стародворье</v>
          </cell>
          <cell r="C81">
            <v>38</v>
          </cell>
          <cell r="E81">
            <v>38</v>
          </cell>
        </row>
        <row r="82">
          <cell r="A82" t="str">
            <v>2027 Ветчина Нежная п/а ТМ Особый рецепт шт. 0,4кг</v>
          </cell>
          <cell r="C82">
            <v>30</v>
          </cell>
          <cell r="E82">
            <v>30</v>
          </cell>
        </row>
        <row r="83">
          <cell r="A83" t="str">
            <v>СК БРАУНШВЕЙГСКАЯ ГОСТ БО СРЕЗ ШТ 0,2КГ  ЧЕРКИЗОВО</v>
          </cell>
          <cell r="C83">
            <v>24</v>
          </cell>
          <cell r="E83">
            <v>24</v>
          </cell>
        </row>
        <row r="84">
          <cell r="A84" t="str">
            <v>С/к колбасы Баварская Бавария Фикс.вес 0,17 б/о терм/п Стародворье</v>
          </cell>
          <cell r="C84">
            <v>25</v>
          </cell>
          <cell r="E84">
            <v>25</v>
          </cell>
        </row>
        <row r="85">
          <cell r="A85" t="str">
            <v>0262 Ветчина «Сочинка с сочным окороком» Весовой п/а ТМ «Стародворье»  ПОКОМ</v>
          </cell>
          <cell r="C85">
            <v>14.843999999999999</v>
          </cell>
          <cell r="E85">
            <v>14.843999999999999</v>
          </cell>
        </row>
        <row r="86">
          <cell r="A86" t="str">
            <v>МХБ Колбаса вареная Классическая ШТ. ОХЛ п/а 470г*6 (2,82кг) МИРАТОРГ</v>
          </cell>
          <cell r="C86">
            <v>24</v>
          </cell>
          <cell r="E86">
            <v>24</v>
          </cell>
        </row>
        <row r="87">
          <cell r="A87" t="str">
            <v>МХБ Колбаса с/к "Куршская" ВУ ОХЛ 280г*8 (2,24 кг)  МИРАТОРГ</v>
          </cell>
          <cell r="C87">
            <v>13</v>
          </cell>
          <cell r="E87">
            <v>13</v>
          </cell>
        </row>
        <row r="88">
          <cell r="A88" t="str">
            <v>МХБ Ветчина для завтрака ВЕС ОХЛ п/а 400г*6 (2,4кг) МИРАТОРГ</v>
          </cell>
          <cell r="C88">
            <v>6</v>
          </cell>
          <cell r="E88">
            <v>6</v>
          </cell>
        </row>
        <row r="89">
          <cell r="A89" t="str">
            <v>Сырники с клубн.нач. 280гр ЗАМ  МИРАТОРГ</v>
          </cell>
          <cell r="C89">
            <v>28</v>
          </cell>
          <cell r="E89">
            <v>28</v>
          </cell>
        </row>
        <row r="90">
          <cell r="A90" t="str">
            <v>Пельмени Пуговки с говядиной и свининой No Name Весовые Сфера No Name 5 кг  ПОКОМ</v>
          </cell>
          <cell r="C90">
            <v>25</v>
          </cell>
          <cell r="E90">
            <v>25</v>
          </cell>
        </row>
        <row r="91">
          <cell r="A91" t="str">
            <v>МХБ Колбаса варено-копченая Сервелат ШТ. Ф/О ОХЛ В/У 375г*6 (2,25кг) МИРАТОРГ</v>
          </cell>
          <cell r="C91">
            <v>13</v>
          </cell>
          <cell r="E91">
            <v>13</v>
          </cell>
        </row>
        <row r="92">
          <cell r="A92" t="str">
            <v>Сырники с вишневой начинкой ЗАМ 280гр*4 (1,12кг) Мираторг Трио Россия</v>
          </cell>
          <cell r="C92">
            <v>24</v>
          </cell>
          <cell r="E92">
            <v>24</v>
          </cell>
        </row>
        <row r="93">
          <cell r="A93" t="str">
            <v>Палочки рыбные из фарша тресковых пород 270г*12 (3,24кг) ООО "Мираторг Запад" РОССИЯ  МИРАТОРГ</v>
          </cell>
          <cell r="C93">
            <v>27</v>
          </cell>
          <cell r="E93">
            <v>27</v>
          </cell>
        </row>
        <row r="94">
          <cell r="A94" t="str">
            <v>0235 С/к колбасы Салями Охотничья Бордо Весовые б/о терм/п 180 Стародворье</v>
          </cell>
          <cell r="C94">
            <v>2.968</v>
          </cell>
          <cell r="E94">
            <v>2.968</v>
          </cell>
        </row>
        <row r="95">
          <cell r="A95" t="str">
            <v>МХБ Колбаса вареная Докторская ШТ. п/а ОХЛ 470г*6 (2,82 кг) МИРАТОРГ</v>
          </cell>
          <cell r="C95">
            <v>10</v>
          </cell>
          <cell r="E95">
            <v>10</v>
          </cell>
        </row>
        <row r="96">
          <cell r="A96" t="str">
            <v>Фарш говяжий зам 0,4кг ШТ  TF  МИРАТОРГ</v>
          </cell>
          <cell r="C96">
            <v>10</v>
          </cell>
          <cell r="E96">
            <v>10</v>
          </cell>
        </row>
        <row r="97">
          <cell r="A97" t="str">
            <v>С/к колбасы Швейцарская Бордо Фикс.вес 0,17 Фиброуз терм/п Стародворье</v>
          </cell>
          <cell r="C97">
            <v>14</v>
          </cell>
          <cell r="E97">
            <v>14</v>
          </cell>
        </row>
        <row r="98">
          <cell r="A98" t="str">
            <v>Пельмени Отборные из говядины Медвежье ушко 0,9 Псевдозащип Стародворье  ПОКОМ</v>
          </cell>
          <cell r="C98">
            <v>9</v>
          </cell>
          <cell r="E98">
            <v>9</v>
          </cell>
        </row>
        <row r="99">
          <cell r="A99" t="str">
            <v>МХБ Колбаса сыровяленая Сальчичон ШТ. ф/о ОХЛ 300г*6 (1,8 кг) МИРАТОРГ</v>
          </cell>
          <cell r="C99">
            <v>6</v>
          </cell>
          <cell r="E99">
            <v>6</v>
          </cell>
        </row>
        <row r="100">
          <cell r="A100" t="str">
            <v>0232 С/к колбасы Княжеская Бордо Весовые б/о терм/п Стародворье</v>
          </cell>
          <cell r="C100">
            <v>1.554</v>
          </cell>
          <cell r="E100">
            <v>1.554</v>
          </cell>
        </row>
        <row r="101">
          <cell r="A101" t="str">
            <v>У_Фарш куриный "Домашний",зам,в/у0,75кг*8(6кг)  МИРАТОРГ</v>
          </cell>
          <cell r="C101">
            <v>12</v>
          </cell>
          <cell r="D101">
            <v>2</v>
          </cell>
          <cell r="E101">
            <v>10</v>
          </cell>
        </row>
        <row r="102">
          <cell r="A102" t="str">
            <v>МХБ Колбаса вареная Молочная ШТ. п/а ОХЛ 470*6 (2,82 кг) МИРАТОРГ</v>
          </cell>
          <cell r="C102">
            <v>6</v>
          </cell>
          <cell r="E102">
            <v>6</v>
          </cell>
        </row>
        <row r="103">
          <cell r="A103" t="str">
            <v>Чебупицца курочка По-итальянски Чебупицца Фикс.вес 0,25 Лоток Горячая штучка  ПОКОМ</v>
          </cell>
          <cell r="C103">
            <v>9</v>
          </cell>
          <cell r="E103">
            <v>9</v>
          </cell>
        </row>
        <row r="104">
          <cell r="A104" t="str">
            <v>Наггетсы куриные Классические 1500г*6 (9кг), ООО "Мираторг Запад" РОССИЯ  МИРАТОРГ</v>
          </cell>
          <cell r="C104">
            <v>2</v>
          </cell>
          <cell r="E104">
            <v>2</v>
          </cell>
        </row>
        <row r="105">
          <cell r="A105" t="str">
            <v>Пельмени «Сочные» ГВ зам пакет 700г*8  МИРАТОРГ</v>
          </cell>
          <cell r="C105">
            <v>7</v>
          </cell>
          <cell r="E105">
            <v>7</v>
          </cell>
        </row>
        <row r="106">
          <cell r="A106" t="str">
            <v>Ягодный морс 300г*10 зам  МИРАТОРГ</v>
          </cell>
          <cell r="C106">
            <v>4</v>
          </cell>
          <cell r="E106">
            <v>4</v>
          </cell>
        </row>
        <row r="107">
          <cell r="A107" t="str">
            <v>Ягодный коктейль 300г зам  МИРАТОРГ</v>
          </cell>
          <cell r="C107">
            <v>5</v>
          </cell>
          <cell r="E107">
            <v>5</v>
          </cell>
        </row>
        <row r="108">
          <cell r="A108" t="str">
            <v>Чебупай сочное яблоко Чебупай Фикс.вес 0,2 Лоток Горячая штучка  ПОКОМ</v>
          </cell>
          <cell r="C108">
            <v>9</v>
          </cell>
          <cell r="E108">
            <v>9</v>
          </cell>
        </row>
        <row r="109">
          <cell r="A109" t="str">
            <v>Чебупай спелая вишня Чебупай Фикс.вес 0,2 Лоток Горячая штучка  ПОКОМ</v>
          </cell>
          <cell r="C109">
            <v>9</v>
          </cell>
          <cell r="E109">
            <v>9</v>
          </cell>
        </row>
        <row r="110">
          <cell r="A110" t="str">
            <v>Сотэ с прованскими травами 400г зам  МИРАТОРГ</v>
          </cell>
          <cell r="C110">
            <v>5</v>
          </cell>
          <cell r="E110">
            <v>5</v>
          </cell>
        </row>
        <row r="111">
          <cell r="A111" t="str">
            <v>СК САЛЬЧИЧОН С РОЗОВЫМ ПЕРЦЕМ НАР ШТ 85Г  ЧЕРКИЗОВО</v>
          </cell>
          <cell r="C111">
            <v>5</v>
          </cell>
          <cell r="E111">
            <v>5</v>
          </cell>
        </row>
        <row r="112">
          <cell r="A112" t="str">
            <v>Шампиньоны рез. 400*20 зам  МИРАТОРГ</v>
          </cell>
          <cell r="C112">
            <v>4</v>
          </cell>
          <cell r="E112">
            <v>4</v>
          </cell>
        </row>
        <row r="113">
          <cell r="A113" t="str">
            <v>МХБ Колбаса варено-копченая Сервелат Финский ШТ. Ф/О ОХЛ В/У 375г*6 (2,25кг) МИРАТОРГ</v>
          </cell>
          <cell r="C113">
            <v>2</v>
          </cell>
          <cell r="E113">
            <v>2</v>
          </cell>
        </row>
        <row r="114">
          <cell r="A114" t="str">
            <v>Карибская смесь с/м 400г*10 (4кг) Мираторг Россия</v>
          </cell>
          <cell r="C114">
            <v>3</v>
          </cell>
          <cell r="E114">
            <v>3</v>
          </cell>
        </row>
        <row r="115">
          <cell r="A115" t="str">
            <v>Итальянская смесь с/м 400г*10 (4кг) Vитамин  МИРАТОРГ</v>
          </cell>
          <cell r="C115">
            <v>3</v>
          </cell>
          <cell r="E115">
            <v>3</v>
          </cell>
        </row>
        <row r="116">
          <cell r="A116" t="str">
            <v>Микс полезных овощей 400 зам  МИРАТОРГ</v>
          </cell>
          <cell r="C116">
            <v>1</v>
          </cell>
          <cell r="E116">
            <v>1</v>
          </cell>
        </row>
        <row r="117">
          <cell r="A117" t="str">
            <v>Гавайская смесь 400г*20 (8кг) Vитамин Мираторг РОССИЯ  МИРАТОРГ</v>
          </cell>
          <cell r="C117">
            <v>1</v>
          </cell>
          <cell r="E117">
            <v>1</v>
          </cell>
        </row>
        <row r="118">
          <cell r="A118" t="str">
            <v>БОНУС_1202 В/к колбасы Сервелат Мясорубский с мелкорубленным окороком срез Бордо Фикс.вес 0,35 фибро</v>
          </cell>
          <cell r="C118">
            <v>1</v>
          </cell>
          <cell r="E118">
            <v>1</v>
          </cell>
        </row>
        <row r="119">
          <cell r="A119" t="str">
            <v>Лечо по-венгерски 0,4кг ОФ зам кор  МИРАТОРГ</v>
          </cell>
          <cell r="C119">
            <v>1</v>
          </cell>
          <cell r="E119">
            <v>1</v>
          </cell>
        </row>
        <row r="120">
          <cell r="A120" t="str">
            <v>БОНУС_2150 В/к колбасы Рубленая Запеченная Дугушка Весовые Вектор Стародворье, вес 1кг</v>
          </cell>
          <cell r="C120">
            <v>56.017000000000003</v>
          </cell>
          <cell r="E120">
            <v>56.017000000000003</v>
          </cell>
        </row>
        <row r="121">
          <cell r="A121" t="str">
            <v>БОНУС_1205 Копченые колбасы Салями Мясорубская с рубленым шпиком срез Бордо ф/в 0,35 фиброуз Стародворье</v>
          </cell>
          <cell r="C121">
            <v>52</v>
          </cell>
          <cell r="E121">
            <v>52</v>
          </cell>
        </row>
        <row r="122">
          <cell r="A122" t="str">
            <v>БОНУС_2074-Сосиски Молочные для завтрака Особый рецепт</v>
          </cell>
          <cell r="C122">
            <v>44.012999999999998</v>
          </cell>
          <cell r="E122">
            <v>44.012999999999998</v>
          </cell>
        </row>
        <row r="123">
          <cell r="A123" t="str">
            <v>БОНУС_2472 Сардельки Левантские Особая Без свинины Весовые NDX мгс Особый рецепт, вес 1кг</v>
          </cell>
          <cell r="C123">
            <v>42.341999999999999</v>
          </cell>
          <cell r="E123">
            <v>42.341999999999999</v>
          </cell>
        </row>
        <row r="124">
          <cell r="A124" t="str">
            <v>БОНУС_2205-Сосиски Молочные для завтрака ТМ Особый рецепт 0,4кг</v>
          </cell>
          <cell r="C124">
            <v>37</v>
          </cell>
          <cell r="E124">
            <v>37</v>
          </cell>
        </row>
        <row r="125">
          <cell r="A125" t="str">
            <v>БОНУС_1372-Сосиски Сочинки с сочным окороком Бордо Фикс.вес 0,4 П/а мгс Стародворье</v>
          </cell>
          <cell r="C125">
            <v>34</v>
          </cell>
          <cell r="E125">
            <v>34</v>
          </cell>
        </row>
        <row r="126">
          <cell r="A126" t="str">
            <v>БОНУС_1370-Сосиски Сочинки Бордо Весовой п/а Стародворье</v>
          </cell>
          <cell r="C126">
            <v>27.370999999999999</v>
          </cell>
          <cell r="E126">
            <v>27.370999999999999</v>
          </cell>
        </row>
        <row r="127">
          <cell r="A127" t="str">
            <v>БОНУС_1875-Колбаса Филейная оригинальная ТМ Особый рецепт в оболочке полиамид.  ПОКОМ</v>
          </cell>
          <cell r="C127">
            <v>20.92</v>
          </cell>
          <cell r="E127">
            <v>20.92</v>
          </cell>
        </row>
        <row r="128">
          <cell r="A128" t="str">
            <v>БОНУС_1411 Сосиски «Сочинки Сливочные» Весовые ТМ «Стародворье» 1,35 кг  ПОКОМ</v>
          </cell>
          <cell r="C128">
            <v>19.077999999999999</v>
          </cell>
          <cell r="E128">
            <v>19.077999999999999</v>
          </cell>
        </row>
        <row r="129">
          <cell r="A129" t="str">
            <v>БОНУС_1445 Сосиски «Сочные без свинины» Весовые ТМ «Особый рецепт» 1,3 кг  ПОКОМ</v>
          </cell>
          <cell r="C129">
            <v>17.998000000000001</v>
          </cell>
          <cell r="E129">
            <v>17.998000000000001</v>
          </cell>
        </row>
        <row r="130">
          <cell r="A130" t="str">
            <v>БОНУС_0178 Ветчины Нежная Особая Особая Весовые П/а Особый рецепт большой батон  ПОКОМ</v>
          </cell>
          <cell r="C130">
            <v>17.661000000000001</v>
          </cell>
          <cell r="E130">
            <v>17.661000000000001</v>
          </cell>
        </row>
        <row r="131">
          <cell r="A131" t="str">
            <v>БОНУС_1204 Копченые колбасы Салями Мясорубская с рубленым шпиком Бордо Весовой фиброуз Стародворье  ПОКОМ</v>
          </cell>
          <cell r="C131">
            <v>15.079000000000001</v>
          </cell>
          <cell r="E131">
            <v>15.079000000000001</v>
          </cell>
        </row>
        <row r="132">
          <cell r="A132" t="str">
            <v>БОНУС_1869-Колбаса Молочная ТМ Особый рецепт в оболочке полиамид большой батон.  ПОКОМ</v>
          </cell>
          <cell r="C132">
            <v>15.085000000000001</v>
          </cell>
          <cell r="E132">
            <v>15.085000000000001</v>
          </cell>
        </row>
        <row r="133">
          <cell r="A133" t="str">
            <v>БОНУС_1870-Колбаса Со шпиком ТМ Особый рецепт в оболочке полиамид большой батон.  ПОКОМ</v>
          </cell>
          <cell r="C133">
            <v>14.967000000000001</v>
          </cell>
          <cell r="E133">
            <v>14.967000000000001</v>
          </cell>
        </row>
        <row r="134">
          <cell r="A134" t="str">
            <v>БОНУС_1871-Колбаса Филейная оригинальная ТМ Особый рецепт в оболочке полиамид 0,4 кг.  ПОКОМ</v>
          </cell>
          <cell r="C134">
            <v>10</v>
          </cell>
          <cell r="E134">
            <v>10</v>
          </cell>
        </row>
        <row r="135">
          <cell r="A135" t="str">
            <v>БОНУС_1523-Сосиски Вязанка Молочные ТМ Стародворские колбасы</v>
          </cell>
          <cell r="C135">
            <v>9.4540000000000006</v>
          </cell>
          <cell r="E135">
            <v>9.4540000000000006</v>
          </cell>
        </row>
        <row r="136">
          <cell r="A136" t="str">
            <v>БОНУС_1201 В/к колбасы Сервелат Мясорубский с мелкорубленным окороком Бордо Весовой фиброуз Стародворье  ПОКОМ</v>
          </cell>
          <cell r="C136">
            <v>5.0259999999999998</v>
          </cell>
          <cell r="E136">
            <v>5.0259999999999998</v>
          </cell>
        </row>
        <row r="137">
          <cell r="A137" t="str">
            <v>БОНУС_1867-Колбаса Филейная ТМ Особый рецепт в оболочке полиамид большой батон.  ПОКОМ</v>
          </cell>
          <cell r="C137">
            <v>4.7489999999999997</v>
          </cell>
          <cell r="E137">
            <v>4.7489999999999997</v>
          </cell>
        </row>
        <row r="138">
          <cell r="A138" t="str">
            <v>БОНУС_1444 Сосиски «Сочные без свинины» ф/в 0,4 кг ТМ «Особый рецепт»  ПОКОМ</v>
          </cell>
          <cell r="C138">
            <v>4</v>
          </cell>
          <cell r="E138">
            <v>4</v>
          </cell>
        </row>
        <row r="139">
          <cell r="A139" t="str">
            <v>БОНУС_1314-Сосиски Молокуши миникушай Вязанка Ф/в 0,45 амилюкс мгс Вязанка</v>
          </cell>
          <cell r="C139">
            <v>1</v>
          </cell>
          <cell r="E139">
            <v>1</v>
          </cell>
        </row>
        <row r="140">
          <cell r="A140" t="str">
            <v>Итого</v>
          </cell>
          <cell r="C140">
            <v>13135.855</v>
          </cell>
          <cell r="D140">
            <v>2.7170000000000001</v>
          </cell>
          <cell r="E140">
            <v>13133.138000000001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14.28515625" bestFit="1" customWidth="1"/>
    <col min="7" max="7" width="7" customWidth="1"/>
    <col min="8" max="8" width="18.42578125" bestFit="1" customWidth="1"/>
    <col min="9" max="9" width="5" style="9" customWidth="1"/>
    <col min="10" max="10" width="5" customWidth="1"/>
    <col min="11" max="11" width="8" customWidth="1"/>
    <col min="12" max="15" width="0.5703125" customWidth="1"/>
    <col min="16" max="16" width="7" style="32" customWidth="1"/>
    <col min="17" max="17" width="7" customWidth="1"/>
    <col min="18" max="18" width="15.5703125" bestFit="1" customWidth="1"/>
    <col min="19" max="21" width="7" customWidth="1"/>
    <col min="22" max="22" width="15.42578125" customWidth="1"/>
    <col min="23" max="24" width="5" customWidth="1"/>
    <col min="25" max="34" width="6" customWidth="1"/>
    <col min="35" max="35" width="20" customWidth="1"/>
    <col min="36" max="36" width="7" customWidth="1"/>
    <col min="37" max="55" width="8" customWidth="1"/>
  </cols>
  <sheetData>
    <row r="1" spans="1:55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2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2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133</v>
      </c>
      <c r="G3" s="2" t="s">
        <v>5</v>
      </c>
      <c r="H3" s="2" t="s">
        <v>132</v>
      </c>
      <c r="I3" s="8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7" t="s">
        <v>13</v>
      </c>
      <c r="Q3" s="2" t="s">
        <v>13</v>
      </c>
      <c r="R3" s="2" t="s">
        <v>131</v>
      </c>
      <c r="S3" s="2" t="s">
        <v>14</v>
      </c>
      <c r="T3" s="3" t="s">
        <v>15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26" t="s">
        <v>23</v>
      </c>
      <c r="Q4" s="1" t="s">
        <v>24</v>
      </c>
      <c r="R4" s="1"/>
      <c r="S4" s="1" t="s">
        <v>25</v>
      </c>
      <c r="T4" s="1"/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SUM(E6:E481)</f>
        <v>7020.4340000000011</v>
      </c>
      <c r="F5" s="4">
        <f>SUM(F6:F481)</f>
        <v>13591.008000000002</v>
      </c>
      <c r="G5" s="4">
        <f>SUM(G6:G481)</f>
        <v>3906.4040000000009</v>
      </c>
      <c r="H5" s="4">
        <f>SUM(H6:H481)</f>
        <v>8584.7445238095243</v>
      </c>
      <c r="I5" s="7"/>
      <c r="J5" s="1"/>
      <c r="K5" s="1"/>
      <c r="L5" s="4">
        <f t="shared" ref="L5:U5" si="0">SUM(L6:L481)</f>
        <v>0</v>
      </c>
      <c r="M5" s="4">
        <f t="shared" si="0"/>
        <v>7020.4340000000011</v>
      </c>
      <c r="N5" s="4">
        <f t="shared" si="0"/>
        <v>0</v>
      </c>
      <c r="O5" s="4">
        <f t="shared" si="0"/>
        <v>0</v>
      </c>
      <c r="P5" s="28">
        <f t="shared" si="0"/>
        <v>12673.809523809527</v>
      </c>
      <c r="Q5" s="4">
        <f t="shared" si="0"/>
        <v>13962.609710550885</v>
      </c>
      <c r="R5" s="4">
        <f t="shared" si="0"/>
        <v>7435.3669999999984</v>
      </c>
      <c r="S5" s="4">
        <f t="shared" si="0"/>
        <v>2822.1634000000008</v>
      </c>
      <c r="T5" s="4">
        <f t="shared" si="0"/>
        <v>17199.56801904762</v>
      </c>
      <c r="U5" s="4">
        <f t="shared" si="0"/>
        <v>0</v>
      </c>
      <c r="V5" s="1"/>
      <c r="W5" s="1"/>
      <c r="X5" s="1"/>
      <c r="Y5" s="4">
        <f t="shared" ref="Y5:AH5" si="1">SUM(Y6:Y481)</f>
        <v>2257.109199999999</v>
      </c>
      <c r="Z5" s="4">
        <f t="shared" si="1"/>
        <v>2273.018599999999</v>
      </c>
      <c r="AA5" s="4">
        <f t="shared" si="1"/>
        <v>1720.4665999999997</v>
      </c>
      <c r="AB5" s="4">
        <f t="shared" si="1"/>
        <v>2039.6191999999994</v>
      </c>
      <c r="AC5" s="4">
        <f t="shared" si="1"/>
        <v>1629.7556</v>
      </c>
      <c r="AD5" s="4">
        <f t="shared" si="1"/>
        <v>1562.3093999999996</v>
      </c>
      <c r="AE5" s="4">
        <f t="shared" si="1"/>
        <v>2259.0810000000006</v>
      </c>
      <c r="AF5" s="4">
        <f t="shared" si="1"/>
        <v>2203.2172</v>
      </c>
      <c r="AG5" s="4">
        <f t="shared" si="1"/>
        <v>2151.5071999999991</v>
      </c>
      <c r="AH5" s="4">
        <f t="shared" si="1"/>
        <v>2635.1811999999995</v>
      </c>
      <c r="AI5" s="1"/>
      <c r="AJ5" s="4">
        <f>SUM(AJ6:AJ481)</f>
        <v>13099.600400000001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2" t="s">
        <v>36</v>
      </c>
      <c r="B6" s="12" t="s">
        <v>37</v>
      </c>
      <c r="C6" s="12"/>
      <c r="D6" s="12"/>
      <c r="E6" s="12"/>
      <c r="F6" s="1">
        <f t="shared" ref="F6:F7" si="2">E6+R6</f>
        <v>0</v>
      </c>
      <c r="G6" s="12"/>
      <c r="H6" s="1">
        <f t="shared" ref="H6:H7" si="3">G6+P6-R6</f>
        <v>0</v>
      </c>
      <c r="I6" s="13">
        <v>0</v>
      </c>
      <c r="J6" s="12" t="e">
        <v>#N/A</v>
      </c>
      <c r="K6" s="12" t="s">
        <v>38</v>
      </c>
      <c r="L6" s="12"/>
      <c r="M6" s="12">
        <f t="shared" ref="M6:M37" si="4">E6-L6</f>
        <v>0</v>
      </c>
      <c r="N6" s="12"/>
      <c r="O6" s="12"/>
      <c r="P6" s="29"/>
      <c r="Q6" s="12"/>
      <c r="R6" s="12">
        <f>IFERROR(VLOOKUP(A6,[1]TDSheet!$A:$F,3,0),0)</f>
        <v>0</v>
      </c>
      <c r="S6" s="1">
        <f>F6/5</f>
        <v>0</v>
      </c>
      <c r="T6" s="14"/>
      <c r="U6" s="14"/>
      <c r="V6" s="12"/>
      <c r="W6" s="12" t="e">
        <f t="shared" ref="W6:W37" si="5">(G6+P6+Q6+T6)/S6</f>
        <v>#DIV/0!</v>
      </c>
      <c r="X6" s="12" t="e">
        <f t="shared" ref="X6:X37" si="6">(G6+P6+Q6)/S6</f>
        <v>#DIV/0!</v>
      </c>
      <c r="Y6" s="12">
        <v>0</v>
      </c>
      <c r="Z6" s="12">
        <v>0</v>
      </c>
      <c r="AA6" s="12">
        <v>-0.4</v>
      </c>
      <c r="AB6" s="12">
        <v>-0.2</v>
      </c>
      <c r="AC6" s="12">
        <v>-0.2</v>
      </c>
      <c r="AD6" s="12">
        <v>0</v>
      </c>
      <c r="AE6" s="12">
        <v>-0.6</v>
      </c>
      <c r="AF6" s="12">
        <v>-5.2</v>
      </c>
      <c r="AG6" s="12">
        <v>-1.4</v>
      </c>
      <c r="AH6" s="12">
        <v>6</v>
      </c>
      <c r="AI6" s="12" t="s">
        <v>39</v>
      </c>
      <c r="AJ6" s="12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40</v>
      </c>
      <c r="B7" s="1" t="s">
        <v>41</v>
      </c>
      <c r="C7" s="1">
        <v>426.61200000000002</v>
      </c>
      <c r="D7" s="1"/>
      <c r="E7" s="16">
        <f>237.541+E64</f>
        <v>290.04199999999997</v>
      </c>
      <c r="F7" s="1">
        <f t="shared" si="2"/>
        <v>400.88</v>
      </c>
      <c r="G7" s="16">
        <f>72.46+G64</f>
        <v>52.653999999999996</v>
      </c>
      <c r="H7" s="1">
        <f t="shared" si="3"/>
        <v>341.81600000000003</v>
      </c>
      <c r="I7" s="7">
        <v>1</v>
      </c>
      <c r="J7" s="1">
        <v>50</v>
      </c>
      <c r="K7" s="1"/>
      <c r="L7" s="1"/>
      <c r="M7" s="1">
        <f t="shared" si="4"/>
        <v>290.04199999999997</v>
      </c>
      <c r="N7" s="1"/>
      <c r="O7" s="1"/>
      <c r="P7" s="26">
        <v>400</v>
      </c>
      <c r="Q7" s="1">
        <v>400</v>
      </c>
      <c r="R7" s="1">
        <f>IFERROR(VLOOKUP(A7,[1]TDSheet!$A:$F,3,0),0)</f>
        <v>110.83799999999999</v>
      </c>
      <c r="S7" s="1">
        <f>F7/5</f>
        <v>80.176000000000002</v>
      </c>
      <c r="T7" s="5">
        <f>18*S7-Q7-P7-G7</f>
        <v>590.51400000000012</v>
      </c>
      <c r="U7" s="5"/>
      <c r="V7" s="1"/>
      <c r="W7" s="1">
        <f t="shared" si="5"/>
        <v>18</v>
      </c>
      <c r="X7" s="1">
        <f t="shared" si="6"/>
        <v>10.634778487327878</v>
      </c>
      <c r="Y7" s="1">
        <v>39.485199999999999</v>
      </c>
      <c r="Z7" s="1">
        <v>56.013199999999998</v>
      </c>
      <c r="AA7" s="1">
        <v>45.081599999999987</v>
      </c>
      <c r="AB7" s="1">
        <v>52.767600000000002</v>
      </c>
      <c r="AC7" s="1">
        <v>47.139800000000001</v>
      </c>
      <c r="AD7" s="1">
        <v>37.405200000000001</v>
      </c>
      <c r="AE7" s="1">
        <v>64.895200000000003</v>
      </c>
      <c r="AF7" s="1">
        <v>79.818799999999996</v>
      </c>
      <c r="AG7" s="1">
        <v>79.673199999999994</v>
      </c>
      <c r="AH7" s="1">
        <v>29.937000000000001</v>
      </c>
      <c r="AI7" s="1" t="s">
        <v>42</v>
      </c>
      <c r="AJ7" s="1">
        <f>I7*T7</f>
        <v>590.51400000000012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43</v>
      </c>
      <c r="B8" s="1" t="s">
        <v>41</v>
      </c>
      <c r="C8" s="1">
        <v>424.44200000000001</v>
      </c>
      <c r="D8" s="1"/>
      <c r="E8" s="1">
        <v>198.05699999999999</v>
      </c>
      <c r="F8" s="1">
        <f>E8+R8</f>
        <v>329.81700000000001</v>
      </c>
      <c r="G8" s="1">
        <v>166.23500000000001</v>
      </c>
      <c r="H8" s="1">
        <f>G8+P8-R8</f>
        <v>384.47500000000002</v>
      </c>
      <c r="I8" s="7">
        <v>1</v>
      </c>
      <c r="J8" s="1">
        <v>55</v>
      </c>
      <c r="K8" s="1"/>
      <c r="L8" s="1"/>
      <c r="M8" s="1">
        <f t="shared" si="4"/>
        <v>198.05699999999999</v>
      </c>
      <c r="N8" s="1"/>
      <c r="O8" s="1"/>
      <c r="P8" s="26">
        <v>350</v>
      </c>
      <c r="Q8" s="1">
        <v>400</v>
      </c>
      <c r="R8" s="1">
        <f>IFERROR(VLOOKUP(A8,[1]TDSheet!$A:$F,3,0),0)</f>
        <v>131.76</v>
      </c>
      <c r="S8" s="1">
        <f t="shared" ref="S8:S56" si="7">F8/5</f>
        <v>65.963400000000007</v>
      </c>
      <c r="T8" s="5">
        <f t="shared" ref="T8:T9" si="8">18*S8-Q8-P8-G8</f>
        <v>271.10620000000006</v>
      </c>
      <c r="U8" s="5"/>
      <c r="V8" s="1"/>
      <c r="W8" s="1">
        <f t="shared" si="5"/>
        <v>18</v>
      </c>
      <c r="X8" s="1">
        <f t="shared" si="6"/>
        <v>13.890051149576886</v>
      </c>
      <c r="Y8" s="1">
        <v>64.472200000000001</v>
      </c>
      <c r="Z8" s="1">
        <v>47.720999999999997</v>
      </c>
      <c r="AA8" s="1">
        <v>41.454999999999998</v>
      </c>
      <c r="AB8" s="1">
        <v>50.347799999999999</v>
      </c>
      <c r="AC8" s="1">
        <v>36.951999999999998</v>
      </c>
      <c r="AD8" s="1">
        <v>46.1402</v>
      </c>
      <c r="AE8" s="1">
        <v>58.483400000000003</v>
      </c>
      <c r="AF8" s="1">
        <v>37.0152</v>
      </c>
      <c r="AG8" s="1">
        <v>37.874600000000001</v>
      </c>
      <c r="AH8" s="1">
        <v>69.441600000000008</v>
      </c>
      <c r="AI8" s="1"/>
      <c r="AJ8" s="1">
        <f>I8*T8</f>
        <v>271.10620000000006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44</v>
      </c>
      <c r="B9" s="1" t="s">
        <v>41</v>
      </c>
      <c r="C9" s="1">
        <v>52.305</v>
      </c>
      <c r="D9" s="1"/>
      <c r="E9" s="1">
        <v>4.9290000000000003</v>
      </c>
      <c r="F9" s="1">
        <f t="shared" ref="F9:F57" si="9">E9+R9</f>
        <v>6.4830000000000005</v>
      </c>
      <c r="G9" s="1">
        <v>47.375999999999998</v>
      </c>
      <c r="H9" s="1">
        <f t="shared" ref="H9:H72" si="10">G9+P9-R9</f>
        <v>45.821999999999996</v>
      </c>
      <c r="I9" s="7">
        <v>1</v>
      </c>
      <c r="J9" s="1">
        <v>180</v>
      </c>
      <c r="K9" s="1"/>
      <c r="L9" s="1"/>
      <c r="M9" s="1">
        <f t="shared" si="4"/>
        <v>4.9290000000000003</v>
      </c>
      <c r="N9" s="1"/>
      <c r="O9" s="1"/>
      <c r="P9" s="26">
        <v>0</v>
      </c>
      <c r="Q9" s="1">
        <v>0</v>
      </c>
      <c r="R9" s="1">
        <f>IFERROR(VLOOKUP(A9,[1]TDSheet!$A:$F,3,0),0)</f>
        <v>1.554</v>
      </c>
      <c r="S9" s="1">
        <f t="shared" si="7"/>
        <v>1.2966000000000002</v>
      </c>
      <c r="T9" s="5"/>
      <c r="U9" s="5"/>
      <c r="V9" s="1"/>
      <c r="W9" s="1">
        <f t="shared" si="5"/>
        <v>36.538639518741313</v>
      </c>
      <c r="X9" s="1">
        <f t="shared" si="6"/>
        <v>36.538639518741313</v>
      </c>
      <c r="Y9" s="1">
        <v>0.3962</v>
      </c>
      <c r="Z9" s="1">
        <v>0.99819999999999998</v>
      </c>
      <c r="AA9" s="1">
        <v>8.2000000000000007E-3</v>
      </c>
      <c r="AB9" s="1">
        <v>1.4618</v>
      </c>
      <c r="AC9" s="1">
        <v>1.9774</v>
      </c>
      <c r="AD9" s="1">
        <v>0.82140000000000002</v>
      </c>
      <c r="AE9" s="1">
        <v>1.4903999999999999</v>
      </c>
      <c r="AF9" s="1">
        <v>0.82639999999999991</v>
      </c>
      <c r="AG9" s="1">
        <v>7.7800000000000008E-2</v>
      </c>
      <c r="AH9" s="1">
        <v>0.83019999999999994</v>
      </c>
      <c r="AI9" s="24" t="s">
        <v>45</v>
      </c>
      <c r="AJ9" s="1">
        <f>I9*T9</f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2" t="s">
        <v>46</v>
      </c>
      <c r="B10" s="12" t="s">
        <v>41</v>
      </c>
      <c r="C10" s="12">
        <v>20.84</v>
      </c>
      <c r="D10" s="12"/>
      <c r="E10" s="12">
        <v>4.7969999999999997</v>
      </c>
      <c r="F10" s="1">
        <f t="shared" si="9"/>
        <v>7.7649999999999997</v>
      </c>
      <c r="G10" s="12">
        <v>14.93</v>
      </c>
      <c r="H10" s="1">
        <f t="shared" si="10"/>
        <v>11.962</v>
      </c>
      <c r="I10" s="13">
        <v>0</v>
      </c>
      <c r="J10" s="12">
        <v>180</v>
      </c>
      <c r="K10" s="12" t="s">
        <v>38</v>
      </c>
      <c r="L10" s="12"/>
      <c r="M10" s="12">
        <f t="shared" si="4"/>
        <v>4.7969999999999997</v>
      </c>
      <c r="N10" s="12"/>
      <c r="O10" s="12"/>
      <c r="P10" s="29">
        <v>0</v>
      </c>
      <c r="Q10" s="12"/>
      <c r="R10" s="12">
        <f>IFERROR(VLOOKUP(A10,[1]TDSheet!$A:$F,3,0),0)</f>
        <v>2.968</v>
      </c>
      <c r="S10" s="1">
        <f t="shared" si="7"/>
        <v>1.5529999999999999</v>
      </c>
      <c r="T10" s="14"/>
      <c r="U10" s="14"/>
      <c r="V10" s="12"/>
      <c r="W10" s="12">
        <f t="shared" si="5"/>
        <v>9.6136509980682554</v>
      </c>
      <c r="X10" s="12">
        <f t="shared" si="6"/>
        <v>9.6136509980682554</v>
      </c>
      <c r="Y10" s="12">
        <v>1.2687999999999999</v>
      </c>
      <c r="Z10" s="12">
        <v>1.8740000000000001</v>
      </c>
      <c r="AA10" s="12">
        <v>0.29699999999999999</v>
      </c>
      <c r="AB10" s="12">
        <v>1.4858</v>
      </c>
      <c r="AC10" s="12">
        <v>1.9074</v>
      </c>
      <c r="AD10" s="12">
        <v>1.4892000000000001</v>
      </c>
      <c r="AE10" s="12">
        <v>1.7834000000000001</v>
      </c>
      <c r="AF10" s="12">
        <v>0.81720000000000004</v>
      </c>
      <c r="AG10" s="12">
        <v>7.3200000000000001E-2</v>
      </c>
      <c r="AH10" s="12">
        <v>1.0316000000000001</v>
      </c>
      <c r="AI10" s="15" t="s">
        <v>47</v>
      </c>
      <c r="AJ10" s="12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48</v>
      </c>
      <c r="B11" s="1" t="s">
        <v>41</v>
      </c>
      <c r="C11" s="1">
        <v>84.960999999999999</v>
      </c>
      <c r="D11" s="1"/>
      <c r="E11" s="1">
        <v>45.956000000000003</v>
      </c>
      <c r="F11" s="1">
        <f t="shared" si="9"/>
        <v>60.800000000000004</v>
      </c>
      <c r="G11" s="1">
        <v>25.495999999999999</v>
      </c>
      <c r="H11" s="1">
        <f t="shared" si="10"/>
        <v>10.651999999999999</v>
      </c>
      <c r="I11" s="7">
        <v>1</v>
      </c>
      <c r="J11" s="1">
        <v>50</v>
      </c>
      <c r="K11" s="1"/>
      <c r="L11" s="1"/>
      <c r="M11" s="1">
        <f t="shared" si="4"/>
        <v>45.956000000000003</v>
      </c>
      <c r="N11" s="1"/>
      <c r="O11" s="1"/>
      <c r="P11" s="26">
        <v>0</v>
      </c>
      <c r="Q11" s="1">
        <v>80</v>
      </c>
      <c r="R11" s="1">
        <f>IFERROR(VLOOKUP(A11,[1]TDSheet!$A:$F,3,0),0)</f>
        <v>14.843999999999999</v>
      </c>
      <c r="S11" s="1">
        <f t="shared" si="7"/>
        <v>12.16</v>
      </c>
      <c r="T11" s="5">
        <f>17*S11-Q11-P11-G11</f>
        <v>101.224</v>
      </c>
      <c r="U11" s="5"/>
      <c r="V11" s="1"/>
      <c r="W11" s="1">
        <f t="shared" si="5"/>
        <v>17</v>
      </c>
      <c r="X11" s="1">
        <f t="shared" si="6"/>
        <v>8.6756578947368421</v>
      </c>
      <c r="Y11" s="1">
        <v>6.7453999999999992</v>
      </c>
      <c r="Z11" s="1">
        <v>5.0880000000000001</v>
      </c>
      <c r="AA11" s="1">
        <v>8.1170000000000009</v>
      </c>
      <c r="AB11" s="1">
        <v>4.6042000000000014</v>
      </c>
      <c r="AC11" s="1">
        <v>2.1598000000000002</v>
      </c>
      <c r="AD11" s="1">
        <v>10.8428</v>
      </c>
      <c r="AE11" s="1">
        <v>0</v>
      </c>
      <c r="AF11" s="1">
        <v>17.7636</v>
      </c>
      <c r="AG11" s="1">
        <v>10.837400000000001</v>
      </c>
      <c r="AH11" s="1">
        <v>0</v>
      </c>
      <c r="AI11" s="1"/>
      <c r="AJ11" s="1">
        <f>I11*T11</f>
        <v>101.224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2" t="s">
        <v>49</v>
      </c>
      <c r="B12" s="12" t="s">
        <v>41</v>
      </c>
      <c r="C12" s="12"/>
      <c r="D12" s="12"/>
      <c r="E12" s="12"/>
      <c r="F12" s="1">
        <f t="shared" si="9"/>
        <v>0</v>
      </c>
      <c r="G12" s="12"/>
      <c r="H12" s="1">
        <f t="shared" si="10"/>
        <v>0</v>
      </c>
      <c r="I12" s="13">
        <v>0</v>
      </c>
      <c r="J12" s="12" t="e">
        <v>#N/A</v>
      </c>
      <c r="K12" s="12" t="s">
        <v>38</v>
      </c>
      <c r="L12" s="12"/>
      <c r="M12" s="12">
        <f t="shared" si="4"/>
        <v>0</v>
      </c>
      <c r="N12" s="12"/>
      <c r="O12" s="12"/>
      <c r="P12" s="29"/>
      <c r="Q12" s="12"/>
      <c r="R12" s="12">
        <f>IFERROR(VLOOKUP(A12,[1]TDSheet!$A:$F,3,0),0)</f>
        <v>0</v>
      </c>
      <c r="S12" s="1">
        <f t="shared" si="7"/>
        <v>0</v>
      </c>
      <c r="T12" s="14"/>
      <c r="U12" s="14"/>
      <c r="V12" s="12"/>
      <c r="W12" s="12" t="e">
        <f t="shared" si="5"/>
        <v>#DIV/0!</v>
      </c>
      <c r="X12" s="12" t="e">
        <f t="shared" si="6"/>
        <v>#DIV/0!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 t="s">
        <v>50</v>
      </c>
      <c r="AJ12" s="12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2" t="s">
        <v>51</v>
      </c>
      <c r="B13" s="12" t="s">
        <v>41</v>
      </c>
      <c r="C13" s="12"/>
      <c r="D13" s="12"/>
      <c r="E13" s="12"/>
      <c r="F13" s="1">
        <f t="shared" si="9"/>
        <v>0</v>
      </c>
      <c r="G13" s="12"/>
      <c r="H13" s="1">
        <f t="shared" si="10"/>
        <v>0</v>
      </c>
      <c r="I13" s="13">
        <v>0</v>
      </c>
      <c r="J13" s="12" t="e">
        <v>#N/A</v>
      </c>
      <c r="K13" s="12" t="s">
        <v>38</v>
      </c>
      <c r="L13" s="12"/>
      <c r="M13" s="12">
        <f t="shared" si="4"/>
        <v>0</v>
      </c>
      <c r="N13" s="12"/>
      <c r="O13" s="12"/>
      <c r="P13" s="29"/>
      <c r="Q13" s="12"/>
      <c r="R13" s="12">
        <f>IFERROR(VLOOKUP(A13,[1]TDSheet!$A:$F,3,0),0)</f>
        <v>0</v>
      </c>
      <c r="S13" s="1">
        <f t="shared" si="7"/>
        <v>0</v>
      </c>
      <c r="T13" s="14"/>
      <c r="U13" s="14"/>
      <c r="V13" s="12"/>
      <c r="W13" s="12" t="e">
        <f t="shared" si="5"/>
        <v>#DIV/0!</v>
      </c>
      <c r="X13" s="12" t="e">
        <f t="shared" si="6"/>
        <v>#DIV/0!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 t="s">
        <v>50</v>
      </c>
      <c r="AJ13" s="12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52</v>
      </c>
      <c r="B14" s="1" t="s">
        <v>41</v>
      </c>
      <c r="C14" s="1">
        <v>270.57799999999997</v>
      </c>
      <c r="D14" s="1"/>
      <c r="E14" s="1">
        <v>137.054</v>
      </c>
      <c r="F14" s="1">
        <f t="shared" si="9"/>
        <v>230.21300000000002</v>
      </c>
      <c r="G14" s="1">
        <v>64.998000000000005</v>
      </c>
      <c r="H14" s="1">
        <f t="shared" si="10"/>
        <v>271.839</v>
      </c>
      <c r="I14" s="7">
        <v>1</v>
      </c>
      <c r="J14" s="1">
        <v>60</v>
      </c>
      <c r="K14" s="1"/>
      <c r="L14" s="1"/>
      <c r="M14" s="1">
        <f t="shared" si="4"/>
        <v>137.054</v>
      </c>
      <c r="N14" s="1"/>
      <c r="O14" s="1"/>
      <c r="P14" s="26">
        <v>300</v>
      </c>
      <c r="Q14" s="1">
        <v>200</v>
      </c>
      <c r="R14" s="1">
        <f>IFERROR(VLOOKUP(A14,[1]TDSheet!$A:$F,3,0),0)</f>
        <v>93.159000000000006</v>
      </c>
      <c r="S14" s="1">
        <f t="shared" si="7"/>
        <v>46.042600000000007</v>
      </c>
      <c r="T14" s="5">
        <f t="shared" ref="T14:T49" si="11">18*S14-Q14-P14-G14</f>
        <v>263.76880000000011</v>
      </c>
      <c r="U14" s="5"/>
      <c r="V14" s="1"/>
      <c r="W14" s="1">
        <f t="shared" si="5"/>
        <v>18</v>
      </c>
      <c r="X14" s="1">
        <f t="shared" si="6"/>
        <v>12.271201018187504</v>
      </c>
      <c r="Y14" s="1">
        <v>52.094200000000001</v>
      </c>
      <c r="Z14" s="1">
        <v>38.1008</v>
      </c>
      <c r="AA14" s="1">
        <v>33.098999999999997</v>
      </c>
      <c r="AB14" s="1">
        <v>39.427</v>
      </c>
      <c r="AC14" s="1">
        <v>32.1708</v>
      </c>
      <c r="AD14" s="1">
        <v>34.6402</v>
      </c>
      <c r="AE14" s="1">
        <v>39.449399999999997</v>
      </c>
      <c r="AF14" s="1">
        <v>-4.3792</v>
      </c>
      <c r="AG14" s="1">
        <v>28.030799999999999</v>
      </c>
      <c r="AH14" s="1">
        <v>48.481200000000001</v>
      </c>
      <c r="AI14" s="1"/>
      <c r="AJ14" s="1">
        <f t="shared" ref="AJ14:AJ49" si="12">I14*T14</f>
        <v>263.76880000000011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53</v>
      </c>
      <c r="B15" s="1" t="s">
        <v>41</v>
      </c>
      <c r="C15" s="1">
        <v>299.51299999999998</v>
      </c>
      <c r="D15" s="1"/>
      <c r="E15" s="1">
        <v>199.62200000000001</v>
      </c>
      <c r="F15" s="1">
        <f t="shared" si="9"/>
        <v>289.31200000000001</v>
      </c>
      <c r="G15" s="1">
        <v>51.587000000000003</v>
      </c>
      <c r="H15" s="1">
        <f t="shared" si="10"/>
        <v>311.89699999999999</v>
      </c>
      <c r="I15" s="7">
        <v>1</v>
      </c>
      <c r="J15" s="1">
        <v>60</v>
      </c>
      <c r="K15" s="1"/>
      <c r="L15" s="1"/>
      <c r="M15" s="1">
        <f t="shared" si="4"/>
        <v>199.62200000000001</v>
      </c>
      <c r="N15" s="1"/>
      <c r="O15" s="1"/>
      <c r="P15" s="26">
        <v>350</v>
      </c>
      <c r="Q15" s="1">
        <v>350</v>
      </c>
      <c r="R15" s="1">
        <f>IFERROR(VLOOKUP(A15,[1]TDSheet!$A:$F,3,0),0)</f>
        <v>89.69</v>
      </c>
      <c r="S15" s="1">
        <f t="shared" si="7"/>
        <v>57.862400000000001</v>
      </c>
      <c r="T15" s="5">
        <f t="shared" si="11"/>
        <v>289.9362000000001</v>
      </c>
      <c r="U15" s="5"/>
      <c r="V15" s="1"/>
      <c r="W15" s="1">
        <f t="shared" si="5"/>
        <v>18</v>
      </c>
      <c r="X15" s="1">
        <f t="shared" si="6"/>
        <v>12.98921233823692</v>
      </c>
      <c r="Y15" s="1">
        <v>30.3642</v>
      </c>
      <c r="Z15" s="1">
        <v>57.274999999999999</v>
      </c>
      <c r="AA15" s="1">
        <v>35.036000000000001</v>
      </c>
      <c r="AB15" s="1">
        <v>30.5366</v>
      </c>
      <c r="AC15" s="1">
        <v>38.046799999999998</v>
      </c>
      <c r="AD15" s="1">
        <v>31.278400000000001</v>
      </c>
      <c r="AE15" s="1">
        <v>49.44</v>
      </c>
      <c r="AF15" s="1">
        <v>5.8708</v>
      </c>
      <c r="AG15" s="1">
        <v>34.788600000000002</v>
      </c>
      <c r="AH15" s="1">
        <v>64.041200000000003</v>
      </c>
      <c r="AI15" s="1" t="s">
        <v>54</v>
      </c>
      <c r="AJ15" s="1">
        <f t="shared" si="12"/>
        <v>289.9362000000001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55</v>
      </c>
      <c r="B16" s="1" t="s">
        <v>41</v>
      </c>
      <c r="C16" s="1">
        <v>124.34399999999999</v>
      </c>
      <c r="D16" s="1"/>
      <c r="E16" s="1">
        <v>-0.73299999999999998</v>
      </c>
      <c r="F16" s="1">
        <f t="shared" si="9"/>
        <v>96.36</v>
      </c>
      <c r="G16" s="1">
        <v>-0.193</v>
      </c>
      <c r="H16" s="1">
        <f t="shared" si="10"/>
        <v>2.7139999999999986</v>
      </c>
      <c r="I16" s="7">
        <v>1</v>
      </c>
      <c r="J16" s="1">
        <v>40</v>
      </c>
      <c r="K16" s="1"/>
      <c r="L16" s="1"/>
      <c r="M16" s="1">
        <f t="shared" si="4"/>
        <v>-0.73299999999999998</v>
      </c>
      <c r="N16" s="1"/>
      <c r="O16" s="1"/>
      <c r="P16" s="26">
        <v>100</v>
      </c>
      <c r="Q16" s="1">
        <v>150</v>
      </c>
      <c r="R16" s="1">
        <f>IFERROR(VLOOKUP(A16,[1]TDSheet!$A:$F,3,0),0)</f>
        <v>97.093000000000004</v>
      </c>
      <c r="S16" s="1">
        <f t="shared" si="7"/>
        <v>19.271999999999998</v>
      </c>
      <c r="T16" s="5">
        <f t="shared" si="11"/>
        <v>97.088999999999956</v>
      </c>
      <c r="U16" s="5"/>
      <c r="V16" s="1"/>
      <c r="W16" s="1">
        <f t="shared" si="5"/>
        <v>18</v>
      </c>
      <c r="X16" s="1">
        <f t="shared" si="6"/>
        <v>12.962173100871732</v>
      </c>
      <c r="Y16" s="1">
        <v>16.814800000000002</v>
      </c>
      <c r="Z16" s="1">
        <v>6.9978000000000007</v>
      </c>
      <c r="AA16" s="1">
        <v>17.8386</v>
      </c>
      <c r="AB16" s="1">
        <v>9.9391999999999996</v>
      </c>
      <c r="AC16" s="1">
        <v>13.804</v>
      </c>
      <c r="AD16" s="1">
        <v>16.576799999999999</v>
      </c>
      <c r="AE16" s="1">
        <v>18.571000000000002</v>
      </c>
      <c r="AF16" s="1">
        <v>28.954999999999998</v>
      </c>
      <c r="AG16" s="1">
        <v>28.401800000000001</v>
      </c>
      <c r="AH16" s="1">
        <v>0</v>
      </c>
      <c r="AI16" s="1"/>
      <c r="AJ16" s="1">
        <f t="shared" si="12"/>
        <v>97.088999999999956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56</v>
      </c>
      <c r="B17" s="1" t="s">
        <v>37</v>
      </c>
      <c r="C17" s="1">
        <v>283</v>
      </c>
      <c r="D17" s="1"/>
      <c r="E17" s="16">
        <f>88+E66</f>
        <v>90</v>
      </c>
      <c r="F17" s="1">
        <f t="shared" si="9"/>
        <v>497</v>
      </c>
      <c r="G17" s="1">
        <v>-6</v>
      </c>
      <c r="H17" s="1">
        <f t="shared" si="10"/>
        <v>15.571428571428612</v>
      </c>
      <c r="I17" s="7">
        <v>0.35</v>
      </c>
      <c r="J17" s="1">
        <v>40</v>
      </c>
      <c r="K17" s="1"/>
      <c r="L17" s="1"/>
      <c r="M17" s="1">
        <f t="shared" si="4"/>
        <v>90</v>
      </c>
      <c r="N17" s="1"/>
      <c r="O17" s="1"/>
      <c r="P17" s="26">
        <v>428.57142857142861</v>
      </c>
      <c r="Q17" s="1">
        <v>428.57142857142861</v>
      </c>
      <c r="R17" s="1">
        <f>IFERROR(VLOOKUP(A17,[1]TDSheet!$A:$F,3,0),0)</f>
        <v>407</v>
      </c>
      <c r="S17" s="1">
        <f t="shared" si="7"/>
        <v>99.4</v>
      </c>
      <c r="T17" s="5">
        <f>17*S17-Q17-P17-G17</f>
        <v>838.65714285714284</v>
      </c>
      <c r="U17" s="5"/>
      <c r="V17" s="1"/>
      <c r="W17" s="1">
        <f t="shared" si="5"/>
        <v>17</v>
      </c>
      <c r="X17" s="1">
        <f t="shared" si="6"/>
        <v>8.5628054038516819</v>
      </c>
      <c r="Y17" s="1">
        <v>76.8</v>
      </c>
      <c r="Z17" s="1">
        <v>105.6</v>
      </c>
      <c r="AA17" s="1">
        <v>21.2</v>
      </c>
      <c r="AB17" s="1">
        <v>50.8</v>
      </c>
      <c r="AC17" s="1">
        <v>50.4</v>
      </c>
      <c r="AD17" s="1">
        <v>82.8</v>
      </c>
      <c r="AE17" s="1">
        <v>69.599999999999994</v>
      </c>
      <c r="AF17" s="1">
        <v>106.4</v>
      </c>
      <c r="AG17" s="1">
        <v>79</v>
      </c>
      <c r="AH17" s="1">
        <v>85.2</v>
      </c>
      <c r="AI17" s="1"/>
      <c r="AJ17" s="1">
        <f t="shared" si="12"/>
        <v>293.52999999999997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57</v>
      </c>
      <c r="B18" s="1" t="s">
        <v>41</v>
      </c>
      <c r="C18" s="1">
        <v>34.6</v>
      </c>
      <c r="D18" s="1"/>
      <c r="E18" s="1">
        <v>-0.72</v>
      </c>
      <c r="F18" s="1">
        <f t="shared" si="9"/>
        <v>87.356999999999999</v>
      </c>
      <c r="G18" s="1"/>
      <c r="H18" s="1">
        <f t="shared" si="10"/>
        <v>11.923000000000002</v>
      </c>
      <c r="I18" s="7">
        <v>1</v>
      </c>
      <c r="J18" s="1">
        <v>40</v>
      </c>
      <c r="K18" s="1"/>
      <c r="L18" s="1"/>
      <c r="M18" s="1">
        <f t="shared" si="4"/>
        <v>-0.72</v>
      </c>
      <c r="N18" s="1"/>
      <c r="O18" s="1"/>
      <c r="P18" s="26">
        <v>100</v>
      </c>
      <c r="Q18" s="1">
        <v>150</v>
      </c>
      <c r="R18" s="1">
        <f>IFERROR(VLOOKUP(A18,[1]TDSheet!$A:$F,3,0),0)</f>
        <v>88.076999999999998</v>
      </c>
      <c r="S18" s="1">
        <f t="shared" si="7"/>
        <v>17.471399999999999</v>
      </c>
      <c r="T18" s="5">
        <f t="shared" si="11"/>
        <v>64.485199999999963</v>
      </c>
      <c r="U18" s="5"/>
      <c r="V18" s="1"/>
      <c r="W18" s="1">
        <f t="shared" si="5"/>
        <v>18</v>
      </c>
      <c r="X18" s="1">
        <f t="shared" si="6"/>
        <v>14.309099442517486</v>
      </c>
      <c r="Y18" s="1">
        <v>-2.3090000000000002</v>
      </c>
      <c r="Z18" s="1">
        <v>23.312799999999999</v>
      </c>
      <c r="AA18" s="1">
        <v>18.0686</v>
      </c>
      <c r="AB18" s="1">
        <v>11.051</v>
      </c>
      <c r="AC18" s="1">
        <v>16.8826</v>
      </c>
      <c r="AD18" s="1">
        <v>14.519399999999999</v>
      </c>
      <c r="AE18" s="1">
        <v>19.543199999999999</v>
      </c>
      <c r="AF18" s="1">
        <v>27.794</v>
      </c>
      <c r="AG18" s="1">
        <v>30.1358</v>
      </c>
      <c r="AH18" s="1">
        <v>0</v>
      </c>
      <c r="AI18" s="1"/>
      <c r="AJ18" s="1">
        <f t="shared" si="12"/>
        <v>64.485199999999963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58</v>
      </c>
      <c r="B19" s="1" t="s">
        <v>37</v>
      </c>
      <c r="C19" s="1">
        <v>476</v>
      </c>
      <c r="D19" s="1"/>
      <c r="E19" s="16">
        <f>207+E67</f>
        <v>237</v>
      </c>
      <c r="F19" s="1">
        <f t="shared" si="9"/>
        <v>611</v>
      </c>
      <c r="G19" s="1"/>
      <c r="H19" s="1">
        <f t="shared" si="10"/>
        <v>54.571428571428612</v>
      </c>
      <c r="I19" s="7">
        <v>0.35</v>
      </c>
      <c r="J19" s="1">
        <v>40</v>
      </c>
      <c r="K19" s="1"/>
      <c r="L19" s="1"/>
      <c r="M19" s="1">
        <f t="shared" si="4"/>
        <v>237</v>
      </c>
      <c r="N19" s="1"/>
      <c r="O19" s="1"/>
      <c r="P19" s="26">
        <v>428.57142857142861</v>
      </c>
      <c r="Q19" s="1">
        <v>428.57142857142861</v>
      </c>
      <c r="R19" s="1">
        <f>IFERROR(VLOOKUP(A19,[1]TDSheet!$A:$F,3,0),0)</f>
        <v>374</v>
      </c>
      <c r="S19" s="1">
        <f t="shared" si="7"/>
        <v>122.2</v>
      </c>
      <c r="T19" s="5">
        <f>15*S19-Q19-P19-G19</f>
        <v>975.85714285714266</v>
      </c>
      <c r="U19" s="5"/>
      <c r="V19" s="1"/>
      <c r="W19" s="1">
        <f t="shared" si="5"/>
        <v>15</v>
      </c>
      <c r="X19" s="1">
        <f t="shared" si="6"/>
        <v>7.0142623334112697</v>
      </c>
      <c r="Y19" s="1">
        <v>105</v>
      </c>
      <c r="Z19" s="1">
        <v>19.2</v>
      </c>
      <c r="AA19" s="1">
        <v>29.8</v>
      </c>
      <c r="AB19" s="1">
        <v>66.2</v>
      </c>
      <c r="AC19" s="1">
        <v>22.8</v>
      </c>
      <c r="AD19" s="1">
        <v>41</v>
      </c>
      <c r="AE19" s="1">
        <v>60.6</v>
      </c>
      <c r="AF19" s="1">
        <v>-3.2</v>
      </c>
      <c r="AG19" s="1">
        <v>-0.6</v>
      </c>
      <c r="AH19" s="1">
        <v>85.4</v>
      </c>
      <c r="AI19" s="1"/>
      <c r="AJ19" s="1">
        <f t="shared" si="12"/>
        <v>341.5499999999999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59</v>
      </c>
      <c r="B20" s="1" t="s">
        <v>41</v>
      </c>
      <c r="C20" s="1"/>
      <c r="D20" s="1"/>
      <c r="E20" s="1">
        <v>1.7000000000000001E-2</v>
      </c>
      <c r="F20" s="1">
        <f t="shared" si="9"/>
        <v>152.05699999999999</v>
      </c>
      <c r="G20" s="1">
        <v>-0.71699999999999997</v>
      </c>
      <c r="H20" s="1">
        <f t="shared" si="10"/>
        <v>-2.757000000000005</v>
      </c>
      <c r="I20" s="7">
        <v>1</v>
      </c>
      <c r="J20" s="1">
        <v>40</v>
      </c>
      <c r="K20" s="1"/>
      <c r="L20" s="1"/>
      <c r="M20" s="1">
        <f t="shared" si="4"/>
        <v>1.7000000000000001E-2</v>
      </c>
      <c r="N20" s="1"/>
      <c r="O20" s="1"/>
      <c r="P20" s="26">
        <v>150</v>
      </c>
      <c r="Q20" s="1">
        <v>100</v>
      </c>
      <c r="R20" s="1">
        <f>IFERROR(VLOOKUP(A20,[1]TDSheet!$A:$F,3,0),0)</f>
        <v>152.04</v>
      </c>
      <c r="S20" s="1">
        <f t="shared" si="7"/>
        <v>30.411399999999997</v>
      </c>
      <c r="T20" s="5">
        <f>16*S20-Q20-P20-G20</f>
        <v>237.29939999999996</v>
      </c>
      <c r="U20" s="5"/>
      <c r="V20" s="1"/>
      <c r="W20" s="1">
        <f t="shared" si="5"/>
        <v>16</v>
      </c>
      <c r="X20" s="1">
        <f t="shared" si="6"/>
        <v>8.1970247999105599</v>
      </c>
      <c r="Y20" s="1">
        <v>0</v>
      </c>
      <c r="Z20" s="1">
        <v>26.065200000000001</v>
      </c>
      <c r="AA20" s="1">
        <v>15.234400000000001</v>
      </c>
      <c r="AB20" s="1">
        <v>11.714600000000001</v>
      </c>
      <c r="AC20" s="1">
        <v>18.170000000000002</v>
      </c>
      <c r="AD20" s="1">
        <v>16.2606</v>
      </c>
      <c r="AE20" s="1">
        <v>18.934999999999999</v>
      </c>
      <c r="AF20" s="1">
        <v>30.006599999999999</v>
      </c>
      <c r="AG20" s="1">
        <v>29.688800000000001</v>
      </c>
      <c r="AH20" s="1">
        <v>0</v>
      </c>
      <c r="AI20" s="1"/>
      <c r="AJ20" s="1">
        <f t="shared" si="12"/>
        <v>237.29939999999996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60</v>
      </c>
      <c r="B21" s="1" t="s">
        <v>41</v>
      </c>
      <c r="C21" s="1">
        <v>158.47300000000001</v>
      </c>
      <c r="D21" s="1"/>
      <c r="E21" s="1">
        <v>111.458</v>
      </c>
      <c r="F21" s="1">
        <f t="shared" si="9"/>
        <v>268.20500000000004</v>
      </c>
      <c r="G21" s="1">
        <v>2.0920000000000001</v>
      </c>
      <c r="H21" s="1">
        <f t="shared" si="10"/>
        <v>-4.6550000000000011</v>
      </c>
      <c r="I21" s="7">
        <v>1</v>
      </c>
      <c r="J21" s="1">
        <v>45</v>
      </c>
      <c r="K21" s="1"/>
      <c r="L21" s="1"/>
      <c r="M21" s="1">
        <f t="shared" si="4"/>
        <v>111.458</v>
      </c>
      <c r="N21" s="1"/>
      <c r="O21" s="1"/>
      <c r="P21" s="26">
        <v>150</v>
      </c>
      <c r="Q21" s="1">
        <v>150</v>
      </c>
      <c r="R21" s="1">
        <f>IFERROR(VLOOKUP(A21,[1]TDSheet!$A:$F,3,0),0)</f>
        <v>156.74700000000001</v>
      </c>
      <c r="S21" s="1">
        <f t="shared" si="7"/>
        <v>53.641000000000005</v>
      </c>
      <c r="T21" s="5">
        <f>14*S21-Q21-P21-G21</f>
        <v>448.88200000000006</v>
      </c>
      <c r="U21" s="5"/>
      <c r="V21" s="1"/>
      <c r="W21" s="1">
        <f t="shared" si="5"/>
        <v>14</v>
      </c>
      <c r="X21" s="1">
        <f t="shared" si="6"/>
        <v>5.6317369176562693</v>
      </c>
      <c r="Y21" s="1">
        <v>18.746600000000001</v>
      </c>
      <c r="Z21" s="1">
        <v>7.9151999999999996</v>
      </c>
      <c r="AA21" s="1">
        <v>23.599599999999999</v>
      </c>
      <c r="AB21" s="1">
        <v>7.7530000000000001</v>
      </c>
      <c r="AC21" s="1">
        <v>9.8803999999999998</v>
      </c>
      <c r="AD21" s="1">
        <v>17.6982</v>
      </c>
      <c r="AE21" s="1">
        <v>20.2302</v>
      </c>
      <c r="AF21" s="1">
        <v>30.508199999999999</v>
      </c>
      <c r="AG21" s="1">
        <v>29.3428</v>
      </c>
      <c r="AH21" s="1">
        <v>0</v>
      </c>
      <c r="AI21" s="1"/>
      <c r="AJ21" s="1">
        <f t="shared" si="12"/>
        <v>448.88200000000006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61</v>
      </c>
      <c r="B22" s="1" t="s">
        <v>37</v>
      </c>
      <c r="C22" s="1">
        <v>6</v>
      </c>
      <c r="D22" s="1"/>
      <c r="E22" s="1">
        <v>-2</v>
      </c>
      <c r="F22" s="1">
        <f t="shared" si="9"/>
        <v>134</v>
      </c>
      <c r="G22" s="1"/>
      <c r="H22" s="1">
        <f t="shared" si="10"/>
        <v>-2.666666666666714</v>
      </c>
      <c r="I22" s="7">
        <v>0.6</v>
      </c>
      <c r="J22" s="1">
        <v>45</v>
      </c>
      <c r="K22" s="1"/>
      <c r="L22" s="1"/>
      <c r="M22" s="1">
        <f t="shared" si="4"/>
        <v>-2</v>
      </c>
      <c r="N22" s="1"/>
      <c r="O22" s="1"/>
      <c r="P22" s="26">
        <v>133.33333333333329</v>
      </c>
      <c r="Q22" s="1">
        <v>166.66666666666671</v>
      </c>
      <c r="R22" s="1">
        <f>IFERROR(VLOOKUP(A22,[1]TDSheet!$A:$F,3,0),0)</f>
        <v>136</v>
      </c>
      <c r="S22" s="1">
        <f t="shared" si="7"/>
        <v>26.8</v>
      </c>
      <c r="T22" s="5">
        <f t="shared" si="11"/>
        <v>182.40000000000006</v>
      </c>
      <c r="U22" s="5"/>
      <c r="V22" s="1"/>
      <c r="W22" s="1">
        <f t="shared" si="5"/>
        <v>18.000000000000004</v>
      </c>
      <c r="X22" s="1">
        <f t="shared" si="6"/>
        <v>11.194029850746269</v>
      </c>
      <c r="Y22" s="1">
        <v>18.8</v>
      </c>
      <c r="Z22" s="1">
        <v>0.2</v>
      </c>
      <c r="AA22" s="1">
        <v>2.2000000000000002</v>
      </c>
      <c r="AB22" s="1">
        <v>13.4</v>
      </c>
      <c r="AC22" s="1">
        <v>14</v>
      </c>
      <c r="AD22" s="1">
        <v>8.6</v>
      </c>
      <c r="AE22" s="1">
        <v>15.2</v>
      </c>
      <c r="AF22" s="1">
        <v>-1.6</v>
      </c>
      <c r="AG22" s="1">
        <v>0.4</v>
      </c>
      <c r="AH22" s="1">
        <v>32.799999999999997</v>
      </c>
      <c r="AI22" s="1"/>
      <c r="AJ22" s="1">
        <f t="shared" si="12"/>
        <v>109.44000000000004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62</v>
      </c>
      <c r="B23" s="1" t="s">
        <v>37</v>
      </c>
      <c r="C23" s="1">
        <v>109</v>
      </c>
      <c r="D23" s="1"/>
      <c r="E23" s="1">
        <v>-4</v>
      </c>
      <c r="F23" s="1">
        <f t="shared" si="9"/>
        <v>222</v>
      </c>
      <c r="G23" s="1"/>
      <c r="H23" s="1">
        <f t="shared" si="10"/>
        <v>-3.7777777777777999</v>
      </c>
      <c r="I23" s="7">
        <v>0.45</v>
      </c>
      <c r="J23" s="1">
        <v>45</v>
      </c>
      <c r="K23" s="1"/>
      <c r="L23" s="1"/>
      <c r="M23" s="1">
        <f t="shared" si="4"/>
        <v>-4</v>
      </c>
      <c r="N23" s="1"/>
      <c r="O23" s="1"/>
      <c r="P23" s="26">
        <v>222.2222222222222</v>
      </c>
      <c r="Q23" s="1">
        <v>0</v>
      </c>
      <c r="R23" s="1">
        <f>IFERROR(VLOOKUP(A23,[1]TDSheet!$A:$F,3,0),0)</f>
        <v>226</v>
      </c>
      <c r="S23" s="1">
        <f t="shared" si="7"/>
        <v>44.4</v>
      </c>
      <c r="T23" s="5">
        <f>13*S23-Q23-P23-G23</f>
        <v>354.97777777777776</v>
      </c>
      <c r="U23" s="5"/>
      <c r="V23" s="1"/>
      <c r="W23" s="1">
        <f t="shared" si="5"/>
        <v>12.999999999999998</v>
      </c>
      <c r="X23" s="1">
        <f t="shared" si="6"/>
        <v>5.005005005005005</v>
      </c>
      <c r="Y23" s="1">
        <v>-17.600000000000001</v>
      </c>
      <c r="Z23" s="1">
        <v>17.600000000000001</v>
      </c>
      <c r="AA23" s="1">
        <v>11</v>
      </c>
      <c r="AB23" s="1">
        <v>12.4</v>
      </c>
      <c r="AC23" s="1">
        <v>13.2</v>
      </c>
      <c r="AD23" s="1">
        <v>11.4</v>
      </c>
      <c r="AE23" s="1">
        <v>20.399999999999999</v>
      </c>
      <c r="AF23" s="1">
        <v>37.6</v>
      </c>
      <c r="AG23" s="1">
        <v>35</v>
      </c>
      <c r="AH23" s="1">
        <v>43.8</v>
      </c>
      <c r="AI23" s="1"/>
      <c r="AJ23" s="1">
        <f t="shared" si="12"/>
        <v>159.74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63</v>
      </c>
      <c r="B24" s="1" t="s">
        <v>41</v>
      </c>
      <c r="C24" s="1">
        <v>187.41800000000001</v>
      </c>
      <c r="D24" s="1"/>
      <c r="E24" s="16">
        <f>53.506+E68</f>
        <v>57.881999999999998</v>
      </c>
      <c r="F24" s="1">
        <f t="shared" si="9"/>
        <v>241.26300000000001</v>
      </c>
      <c r="G24" s="1">
        <v>2.5379999999999998</v>
      </c>
      <c r="H24" s="1">
        <f t="shared" si="10"/>
        <v>69.157000000000011</v>
      </c>
      <c r="I24" s="7">
        <v>1</v>
      </c>
      <c r="J24" s="1">
        <v>45</v>
      </c>
      <c r="K24" s="1"/>
      <c r="L24" s="1"/>
      <c r="M24" s="1">
        <f t="shared" si="4"/>
        <v>57.881999999999998</v>
      </c>
      <c r="N24" s="1"/>
      <c r="O24" s="1"/>
      <c r="P24" s="26">
        <v>250</v>
      </c>
      <c r="Q24" s="1">
        <v>400</v>
      </c>
      <c r="R24" s="1">
        <f>IFERROR(VLOOKUP(A24,[1]TDSheet!$A:$F,3,0),0)</f>
        <v>183.381</v>
      </c>
      <c r="S24" s="1">
        <f t="shared" si="7"/>
        <v>48.252600000000001</v>
      </c>
      <c r="T24" s="5">
        <f t="shared" si="11"/>
        <v>216.00880000000006</v>
      </c>
      <c r="U24" s="5"/>
      <c r="V24" s="1"/>
      <c r="W24" s="1">
        <f t="shared" si="5"/>
        <v>18</v>
      </c>
      <c r="X24" s="1">
        <f t="shared" si="6"/>
        <v>13.523374906222669</v>
      </c>
      <c r="Y24" s="1">
        <v>77.245800000000003</v>
      </c>
      <c r="Z24" s="1">
        <v>24.716200000000001</v>
      </c>
      <c r="AA24" s="1">
        <v>25.936399999999999</v>
      </c>
      <c r="AB24" s="1">
        <v>55.318600000000004</v>
      </c>
      <c r="AC24" s="1">
        <v>8.5498000000000012</v>
      </c>
      <c r="AD24" s="1">
        <v>0</v>
      </c>
      <c r="AE24" s="1">
        <v>18.121200000000002</v>
      </c>
      <c r="AF24" s="1">
        <v>42.95</v>
      </c>
      <c r="AG24" s="1">
        <v>61.126199999999997</v>
      </c>
      <c r="AH24" s="1">
        <v>54.539400000000001</v>
      </c>
      <c r="AI24" s="1" t="s">
        <v>64</v>
      </c>
      <c r="AJ24" s="1">
        <f t="shared" si="12"/>
        <v>216.00880000000006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65</v>
      </c>
      <c r="B25" s="1" t="s">
        <v>37</v>
      </c>
      <c r="C25" s="1">
        <v>303</v>
      </c>
      <c r="D25" s="1"/>
      <c r="E25" s="1">
        <v>153</v>
      </c>
      <c r="F25" s="1">
        <f t="shared" si="9"/>
        <v>424</v>
      </c>
      <c r="G25" s="1">
        <v>3</v>
      </c>
      <c r="H25" s="1">
        <f t="shared" si="10"/>
        <v>107</v>
      </c>
      <c r="I25" s="7">
        <v>0.4</v>
      </c>
      <c r="J25" s="1">
        <v>45</v>
      </c>
      <c r="K25" s="1"/>
      <c r="L25" s="1"/>
      <c r="M25" s="1">
        <f t="shared" si="4"/>
        <v>153</v>
      </c>
      <c r="N25" s="1"/>
      <c r="O25" s="1"/>
      <c r="P25" s="26">
        <v>375</v>
      </c>
      <c r="Q25" s="1">
        <v>375</v>
      </c>
      <c r="R25" s="1">
        <f>IFERROR(VLOOKUP(A25,[1]TDSheet!$A:$F,3,0),0)</f>
        <v>271</v>
      </c>
      <c r="S25" s="1">
        <f t="shared" si="7"/>
        <v>84.8</v>
      </c>
      <c r="T25" s="5">
        <f t="shared" ref="T25:T26" si="13">17*S25-Q25-P25-G25</f>
        <v>688.59999999999991</v>
      </c>
      <c r="U25" s="5"/>
      <c r="V25" s="1"/>
      <c r="W25" s="1">
        <f t="shared" si="5"/>
        <v>17</v>
      </c>
      <c r="X25" s="1">
        <f t="shared" si="6"/>
        <v>8.8797169811320753</v>
      </c>
      <c r="Y25" s="1">
        <v>35.4</v>
      </c>
      <c r="Z25" s="1">
        <v>73</v>
      </c>
      <c r="AA25" s="1">
        <v>25.4</v>
      </c>
      <c r="AB25" s="1">
        <v>40.6</v>
      </c>
      <c r="AC25" s="1">
        <v>44.6</v>
      </c>
      <c r="AD25" s="1">
        <v>39.6</v>
      </c>
      <c r="AE25" s="1">
        <v>46.4</v>
      </c>
      <c r="AF25" s="1">
        <v>75.2</v>
      </c>
      <c r="AG25" s="1">
        <v>44.8</v>
      </c>
      <c r="AH25" s="1">
        <v>47.8</v>
      </c>
      <c r="AI25" s="1" t="s">
        <v>42</v>
      </c>
      <c r="AJ25" s="1">
        <f t="shared" si="12"/>
        <v>275.44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66</v>
      </c>
      <c r="B26" s="1" t="s">
        <v>37</v>
      </c>
      <c r="C26" s="1">
        <v>295</v>
      </c>
      <c r="D26" s="1"/>
      <c r="E26" s="16">
        <f>123+E69</f>
        <v>132</v>
      </c>
      <c r="F26" s="1">
        <f t="shared" si="9"/>
        <v>405</v>
      </c>
      <c r="G26" s="1">
        <v>-9</v>
      </c>
      <c r="H26" s="1">
        <f t="shared" si="10"/>
        <v>93</v>
      </c>
      <c r="I26" s="7">
        <v>0.4</v>
      </c>
      <c r="J26" s="1">
        <v>45</v>
      </c>
      <c r="K26" s="1"/>
      <c r="L26" s="1"/>
      <c r="M26" s="1">
        <f t="shared" si="4"/>
        <v>132</v>
      </c>
      <c r="N26" s="1"/>
      <c r="O26" s="1"/>
      <c r="P26" s="26">
        <v>375</v>
      </c>
      <c r="Q26" s="1">
        <v>375</v>
      </c>
      <c r="R26" s="1">
        <f>IFERROR(VLOOKUP(A26,[1]TDSheet!$A:$F,3,0),0)</f>
        <v>273</v>
      </c>
      <c r="S26" s="1">
        <f t="shared" si="7"/>
        <v>81</v>
      </c>
      <c r="T26" s="5">
        <f t="shared" si="13"/>
        <v>636</v>
      </c>
      <c r="U26" s="5"/>
      <c r="V26" s="1"/>
      <c r="W26" s="1">
        <f t="shared" si="5"/>
        <v>17</v>
      </c>
      <c r="X26" s="1">
        <f t="shared" si="6"/>
        <v>9.1481481481481488</v>
      </c>
      <c r="Y26" s="1">
        <v>32</v>
      </c>
      <c r="Z26" s="1">
        <v>71.8</v>
      </c>
      <c r="AA26" s="1">
        <v>16.8</v>
      </c>
      <c r="AB26" s="1">
        <v>40.4</v>
      </c>
      <c r="AC26" s="1">
        <v>49.8</v>
      </c>
      <c r="AD26" s="1">
        <v>36</v>
      </c>
      <c r="AE26" s="1">
        <v>45</v>
      </c>
      <c r="AF26" s="1">
        <v>42</v>
      </c>
      <c r="AG26" s="1">
        <v>47.4</v>
      </c>
      <c r="AH26" s="1">
        <v>49.4</v>
      </c>
      <c r="AI26" s="1" t="s">
        <v>42</v>
      </c>
      <c r="AJ26" s="1">
        <f t="shared" si="12"/>
        <v>254.4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67</v>
      </c>
      <c r="B27" s="1" t="s">
        <v>41</v>
      </c>
      <c r="C27" s="1">
        <v>52.25</v>
      </c>
      <c r="D27" s="1"/>
      <c r="E27" s="1">
        <v>-5.1150000000000002</v>
      </c>
      <c r="F27" s="1">
        <f t="shared" si="9"/>
        <v>-5.1150000000000002</v>
      </c>
      <c r="G27" s="1"/>
      <c r="H27" s="1">
        <f t="shared" si="10"/>
        <v>0</v>
      </c>
      <c r="I27" s="7">
        <v>1</v>
      </c>
      <c r="J27" s="1">
        <v>45</v>
      </c>
      <c r="K27" s="1"/>
      <c r="L27" s="1"/>
      <c r="M27" s="1">
        <f t="shared" si="4"/>
        <v>-5.1150000000000002</v>
      </c>
      <c r="N27" s="1"/>
      <c r="O27" s="1"/>
      <c r="P27" s="26">
        <v>0</v>
      </c>
      <c r="Q27" s="1">
        <v>0</v>
      </c>
      <c r="R27" s="1">
        <f>IFERROR(VLOOKUP(A27,[1]TDSheet!$A:$F,3,0),0)</f>
        <v>0</v>
      </c>
      <c r="S27" s="1">
        <f t="shared" si="7"/>
        <v>-1.0230000000000001</v>
      </c>
      <c r="T27" s="5"/>
      <c r="U27" s="5"/>
      <c r="V27" s="1"/>
      <c r="W27" s="1">
        <f t="shared" si="5"/>
        <v>0</v>
      </c>
      <c r="X27" s="1">
        <f t="shared" si="6"/>
        <v>0</v>
      </c>
      <c r="Y27" s="1">
        <v>-2.2675999999999998</v>
      </c>
      <c r="Z27" s="1">
        <v>-1.6468</v>
      </c>
      <c r="AA27" s="1">
        <v>3.5444</v>
      </c>
      <c r="AB27" s="1">
        <v>5.8918000000000008</v>
      </c>
      <c r="AC27" s="1">
        <v>1.589</v>
      </c>
      <c r="AD27" s="1">
        <v>3.5724</v>
      </c>
      <c r="AE27" s="1">
        <v>7.2114000000000003</v>
      </c>
      <c r="AF27" s="1">
        <v>10.528</v>
      </c>
      <c r="AG27" s="1">
        <v>6.4802000000000008</v>
      </c>
      <c r="AH27" s="1">
        <v>0</v>
      </c>
      <c r="AI27" s="1"/>
      <c r="AJ27" s="1">
        <f t="shared" si="12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68</v>
      </c>
      <c r="B28" s="1" t="s">
        <v>41</v>
      </c>
      <c r="C28" s="1">
        <v>212.46199999999999</v>
      </c>
      <c r="D28" s="1"/>
      <c r="E28" s="16">
        <f>55.56+E70</f>
        <v>63.606999999999999</v>
      </c>
      <c r="F28" s="1">
        <f t="shared" si="9"/>
        <v>319.68899999999996</v>
      </c>
      <c r="G28" s="1">
        <v>-6.2640000000000002</v>
      </c>
      <c r="H28" s="1">
        <f t="shared" si="10"/>
        <v>87.653999999999996</v>
      </c>
      <c r="I28" s="7">
        <v>1</v>
      </c>
      <c r="J28" s="1">
        <v>40</v>
      </c>
      <c r="K28" s="1"/>
      <c r="L28" s="1"/>
      <c r="M28" s="1">
        <f t="shared" si="4"/>
        <v>63.606999999999999</v>
      </c>
      <c r="N28" s="1"/>
      <c r="O28" s="1"/>
      <c r="P28" s="26">
        <v>350</v>
      </c>
      <c r="Q28" s="1">
        <v>450</v>
      </c>
      <c r="R28" s="1">
        <f>IFERROR(VLOOKUP(A28,[1]TDSheet!$A:$F,3,0),0)</f>
        <v>256.08199999999999</v>
      </c>
      <c r="S28" s="1">
        <f t="shared" si="7"/>
        <v>63.937799999999996</v>
      </c>
      <c r="T28" s="5">
        <f t="shared" si="11"/>
        <v>357.14440000000002</v>
      </c>
      <c r="U28" s="5"/>
      <c r="V28" s="1"/>
      <c r="W28" s="1">
        <f t="shared" si="5"/>
        <v>18</v>
      </c>
      <c r="X28" s="1">
        <f t="shared" si="6"/>
        <v>12.414190040946044</v>
      </c>
      <c r="Y28" s="1">
        <v>50.796999999999997</v>
      </c>
      <c r="Z28" s="1">
        <v>52.100800000000007</v>
      </c>
      <c r="AA28" s="1">
        <v>30.1144</v>
      </c>
      <c r="AB28" s="1">
        <v>43.735199999999999</v>
      </c>
      <c r="AC28" s="1">
        <v>32.511600000000001</v>
      </c>
      <c r="AD28" s="1">
        <v>38.621600000000001</v>
      </c>
      <c r="AE28" s="1">
        <v>36.813200000000002</v>
      </c>
      <c r="AF28" s="1">
        <v>61.632800000000003</v>
      </c>
      <c r="AG28" s="1">
        <v>49.444000000000003</v>
      </c>
      <c r="AH28" s="1">
        <v>59.072999999999993</v>
      </c>
      <c r="AI28" s="1" t="s">
        <v>69</v>
      </c>
      <c r="AJ28" s="1">
        <f t="shared" si="12"/>
        <v>357.14440000000002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70</v>
      </c>
      <c r="B29" s="1" t="s">
        <v>37</v>
      </c>
      <c r="C29" s="1">
        <v>537</v>
      </c>
      <c r="D29" s="1"/>
      <c r="E29" s="16">
        <f>300+E71</f>
        <v>343</v>
      </c>
      <c r="F29" s="1">
        <f t="shared" si="9"/>
        <v>421</v>
      </c>
      <c r="G29" s="16">
        <f>11+G71</f>
        <v>0</v>
      </c>
      <c r="H29" s="1">
        <f t="shared" si="10"/>
        <v>422</v>
      </c>
      <c r="I29" s="7">
        <v>0.4</v>
      </c>
      <c r="J29" s="1">
        <v>40</v>
      </c>
      <c r="K29" s="1"/>
      <c r="L29" s="1"/>
      <c r="M29" s="1">
        <f t="shared" si="4"/>
        <v>343</v>
      </c>
      <c r="N29" s="1"/>
      <c r="O29" s="1"/>
      <c r="P29" s="26">
        <v>500</v>
      </c>
      <c r="Q29" s="1">
        <v>250</v>
      </c>
      <c r="R29" s="1">
        <f>IFERROR(VLOOKUP(A29,[1]TDSheet!$A:$F,3,0),0)</f>
        <v>78</v>
      </c>
      <c r="S29" s="1">
        <f t="shared" si="7"/>
        <v>84.2</v>
      </c>
      <c r="T29" s="5">
        <f>17*S29-Q29-P29-G29</f>
        <v>681.40000000000009</v>
      </c>
      <c r="U29" s="5"/>
      <c r="V29" s="1"/>
      <c r="W29" s="1">
        <f t="shared" si="5"/>
        <v>17</v>
      </c>
      <c r="X29" s="1">
        <f t="shared" si="6"/>
        <v>8.9073634204275525</v>
      </c>
      <c r="Y29" s="1">
        <v>59.6</v>
      </c>
      <c r="Z29" s="1">
        <v>17.8</v>
      </c>
      <c r="AA29" s="1">
        <v>43.6</v>
      </c>
      <c r="AB29" s="1">
        <v>8</v>
      </c>
      <c r="AC29" s="1">
        <v>13.4</v>
      </c>
      <c r="AD29" s="1">
        <v>43.2</v>
      </c>
      <c r="AE29" s="1">
        <v>45</v>
      </c>
      <c r="AF29" s="1">
        <v>48.6</v>
      </c>
      <c r="AG29" s="1">
        <v>28.2</v>
      </c>
      <c r="AH29" s="1">
        <v>42</v>
      </c>
      <c r="AI29" s="1"/>
      <c r="AJ29" s="1">
        <f t="shared" si="12"/>
        <v>272.56000000000006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71</v>
      </c>
      <c r="B30" s="1" t="s">
        <v>41</v>
      </c>
      <c r="C30" s="1">
        <v>226.69900000000001</v>
      </c>
      <c r="D30" s="1"/>
      <c r="E30" s="16">
        <f>42.276+E72</f>
        <v>50.940000000000005</v>
      </c>
      <c r="F30" s="1">
        <f t="shared" si="9"/>
        <v>351.60500000000002</v>
      </c>
      <c r="G30" s="1">
        <v>4.0259999999999998</v>
      </c>
      <c r="H30" s="1">
        <f t="shared" si="10"/>
        <v>203.36099999999999</v>
      </c>
      <c r="I30" s="7">
        <v>1</v>
      </c>
      <c r="J30" s="1">
        <v>40</v>
      </c>
      <c r="K30" s="1"/>
      <c r="L30" s="1"/>
      <c r="M30" s="1">
        <f t="shared" si="4"/>
        <v>50.940000000000005</v>
      </c>
      <c r="N30" s="1"/>
      <c r="O30" s="1"/>
      <c r="P30" s="26">
        <v>500</v>
      </c>
      <c r="Q30" s="1">
        <v>300</v>
      </c>
      <c r="R30" s="1">
        <f>IFERROR(VLOOKUP(A30,[1]TDSheet!$A:$F,3,0),0)</f>
        <v>300.66500000000002</v>
      </c>
      <c r="S30" s="1">
        <f t="shared" si="7"/>
        <v>70.320999999999998</v>
      </c>
      <c r="T30" s="5">
        <f t="shared" si="11"/>
        <v>461.75200000000001</v>
      </c>
      <c r="U30" s="5"/>
      <c r="V30" s="1"/>
      <c r="W30" s="1">
        <f t="shared" si="5"/>
        <v>18</v>
      </c>
      <c r="X30" s="1">
        <f t="shared" si="6"/>
        <v>11.433654242687108</v>
      </c>
      <c r="Y30" s="1">
        <v>31.195599999999999</v>
      </c>
      <c r="Z30" s="1">
        <v>86.638599999999997</v>
      </c>
      <c r="AA30" s="1">
        <v>36.289200000000001</v>
      </c>
      <c r="AB30" s="1">
        <v>39.682399999999987</v>
      </c>
      <c r="AC30" s="1">
        <v>51.965400000000002</v>
      </c>
      <c r="AD30" s="1">
        <v>44.451999999999998</v>
      </c>
      <c r="AE30" s="1">
        <v>63.459200000000003</v>
      </c>
      <c r="AF30" s="1">
        <v>78.9392</v>
      </c>
      <c r="AG30" s="1">
        <v>45.481999999999999</v>
      </c>
      <c r="AH30" s="1">
        <v>78.061999999999998</v>
      </c>
      <c r="AI30" s="1"/>
      <c r="AJ30" s="1">
        <f t="shared" si="12"/>
        <v>461.75200000000001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1" t="s">
        <v>72</v>
      </c>
      <c r="B31" s="1" t="s">
        <v>37</v>
      </c>
      <c r="C31" s="1"/>
      <c r="D31" s="1"/>
      <c r="E31" s="1">
        <v>-15</v>
      </c>
      <c r="F31" s="1">
        <f t="shared" si="9"/>
        <v>-15</v>
      </c>
      <c r="G31" s="1"/>
      <c r="H31" s="1">
        <f t="shared" si="10"/>
        <v>0</v>
      </c>
      <c r="I31" s="7">
        <v>0.35</v>
      </c>
      <c r="J31" s="1">
        <v>45</v>
      </c>
      <c r="K31" s="1"/>
      <c r="L31" s="1"/>
      <c r="M31" s="1">
        <f t="shared" si="4"/>
        <v>-15</v>
      </c>
      <c r="N31" s="1"/>
      <c r="O31" s="1"/>
      <c r="P31" s="26">
        <v>0</v>
      </c>
      <c r="Q31" s="1">
        <v>228.57142857142861</v>
      </c>
      <c r="R31" s="1">
        <f>IFERROR(VLOOKUP(A31,[1]TDSheet!$A:$F,3,0),0)</f>
        <v>0</v>
      </c>
      <c r="S31" s="1">
        <f t="shared" si="7"/>
        <v>-3</v>
      </c>
      <c r="T31" s="5"/>
      <c r="U31" s="5"/>
      <c r="V31" s="1"/>
      <c r="W31" s="1">
        <f t="shared" si="5"/>
        <v>-76.190476190476204</v>
      </c>
      <c r="X31" s="1">
        <f t="shared" si="6"/>
        <v>-76.190476190476204</v>
      </c>
      <c r="Y31" s="1">
        <v>31.4</v>
      </c>
      <c r="Z31" s="1">
        <v>14.6</v>
      </c>
      <c r="AA31" s="1">
        <v>13.4</v>
      </c>
      <c r="AB31" s="1">
        <v>13</v>
      </c>
      <c r="AC31" s="1">
        <v>5.8</v>
      </c>
      <c r="AD31" s="1">
        <v>10.4</v>
      </c>
      <c r="AE31" s="1">
        <v>21.4</v>
      </c>
      <c r="AF31" s="1">
        <v>25.4</v>
      </c>
      <c r="AG31" s="1">
        <v>20.6</v>
      </c>
      <c r="AH31" s="1">
        <v>1.2</v>
      </c>
      <c r="AI31" s="1"/>
      <c r="AJ31" s="1">
        <f t="shared" si="12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1" t="s">
        <v>73</v>
      </c>
      <c r="B32" s="1" t="s">
        <v>41</v>
      </c>
      <c r="C32" s="1">
        <v>185</v>
      </c>
      <c r="D32" s="1"/>
      <c r="E32" s="1"/>
      <c r="F32" s="1">
        <f t="shared" si="9"/>
        <v>96.736999999999995</v>
      </c>
      <c r="G32" s="1"/>
      <c r="H32" s="1">
        <f t="shared" si="10"/>
        <v>3.2630000000000052</v>
      </c>
      <c r="I32" s="7">
        <v>1</v>
      </c>
      <c r="J32" s="1">
        <v>45</v>
      </c>
      <c r="K32" s="1"/>
      <c r="L32" s="1"/>
      <c r="M32" s="1">
        <f t="shared" si="4"/>
        <v>0</v>
      </c>
      <c r="N32" s="1"/>
      <c r="O32" s="1"/>
      <c r="P32" s="26">
        <v>100</v>
      </c>
      <c r="Q32" s="1">
        <v>150</v>
      </c>
      <c r="R32" s="1">
        <f>IFERROR(VLOOKUP(A32,[1]TDSheet!$A:$F,3,0),0)</f>
        <v>96.736999999999995</v>
      </c>
      <c r="S32" s="1">
        <f t="shared" si="7"/>
        <v>19.3474</v>
      </c>
      <c r="T32" s="5">
        <f t="shared" si="11"/>
        <v>98.253199999999993</v>
      </c>
      <c r="U32" s="5"/>
      <c r="V32" s="1"/>
      <c r="W32" s="1">
        <f t="shared" si="5"/>
        <v>18</v>
      </c>
      <c r="X32" s="1">
        <f t="shared" si="6"/>
        <v>12.921632880903895</v>
      </c>
      <c r="Y32" s="1">
        <v>-3.7848000000000002</v>
      </c>
      <c r="Z32" s="1">
        <v>14.282400000000001</v>
      </c>
      <c r="AA32" s="1">
        <v>5.0250000000000004</v>
      </c>
      <c r="AB32" s="1">
        <v>14.044600000000001</v>
      </c>
      <c r="AC32" s="1">
        <v>22.450199999999999</v>
      </c>
      <c r="AD32" s="1">
        <v>12.824400000000001</v>
      </c>
      <c r="AE32" s="1">
        <v>20.8032</v>
      </c>
      <c r="AF32" s="1">
        <v>46.749000000000002</v>
      </c>
      <c r="AG32" s="1">
        <v>38.573</v>
      </c>
      <c r="AH32" s="1">
        <v>62.840200000000003</v>
      </c>
      <c r="AI32" s="1"/>
      <c r="AJ32" s="1">
        <f t="shared" si="12"/>
        <v>98.253199999999993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1" t="s">
        <v>74</v>
      </c>
      <c r="B33" s="1" t="s">
        <v>37</v>
      </c>
      <c r="C33" s="1"/>
      <c r="D33" s="1"/>
      <c r="E33" s="1">
        <v>-4</v>
      </c>
      <c r="F33" s="1">
        <f t="shared" si="9"/>
        <v>-4</v>
      </c>
      <c r="G33" s="1"/>
      <c r="H33" s="1">
        <f t="shared" si="10"/>
        <v>444.44444444444451</v>
      </c>
      <c r="I33" s="7">
        <v>0.45</v>
      </c>
      <c r="J33" s="1">
        <v>45</v>
      </c>
      <c r="K33" s="1"/>
      <c r="L33" s="1"/>
      <c r="M33" s="1">
        <f t="shared" si="4"/>
        <v>-4</v>
      </c>
      <c r="N33" s="1"/>
      <c r="O33" s="1"/>
      <c r="P33" s="26">
        <v>444.44444444444451</v>
      </c>
      <c r="Q33" s="1">
        <v>333.33333333333331</v>
      </c>
      <c r="R33" s="1">
        <f>IFERROR(VLOOKUP(A33,[1]TDSheet!$A:$F,3,0),0)</f>
        <v>0</v>
      </c>
      <c r="S33" s="1">
        <f t="shared" si="7"/>
        <v>-0.8</v>
      </c>
      <c r="T33" s="5"/>
      <c r="U33" s="5"/>
      <c r="V33" s="1"/>
      <c r="W33" s="1">
        <f t="shared" si="5"/>
        <v>-972.22222222222229</v>
      </c>
      <c r="X33" s="1">
        <f t="shared" si="6"/>
        <v>-972.22222222222229</v>
      </c>
      <c r="Y33" s="1">
        <v>30</v>
      </c>
      <c r="Z33" s="1">
        <v>60</v>
      </c>
      <c r="AA33" s="1">
        <v>29.2</v>
      </c>
      <c r="AB33" s="1">
        <v>35.4</v>
      </c>
      <c r="AC33" s="1">
        <v>32.6</v>
      </c>
      <c r="AD33" s="1">
        <v>39</v>
      </c>
      <c r="AE33" s="1">
        <v>33.4</v>
      </c>
      <c r="AF33" s="1">
        <v>58.6</v>
      </c>
      <c r="AG33" s="1">
        <v>65</v>
      </c>
      <c r="AH33" s="1">
        <v>71.599999999999994</v>
      </c>
      <c r="AI33" s="1"/>
      <c r="AJ33" s="1">
        <f t="shared" si="12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1" t="s">
        <v>75</v>
      </c>
      <c r="B34" s="1" t="s">
        <v>41</v>
      </c>
      <c r="C34" s="1">
        <v>506.56299999999999</v>
      </c>
      <c r="D34" s="1"/>
      <c r="E34" s="1">
        <v>259.59199999999998</v>
      </c>
      <c r="F34" s="1">
        <f t="shared" si="9"/>
        <v>900.5</v>
      </c>
      <c r="G34" s="1">
        <v>7.6779999999999999</v>
      </c>
      <c r="H34" s="1">
        <f t="shared" si="10"/>
        <v>66.769999999999982</v>
      </c>
      <c r="I34" s="7">
        <v>1</v>
      </c>
      <c r="J34" s="1">
        <v>45</v>
      </c>
      <c r="K34" s="1"/>
      <c r="L34" s="1"/>
      <c r="M34" s="1">
        <f t="shared" si="4"/>
        <v>259.59199999999998</v>
      </c>
      <c r="N34" s="1"/>
      <c r="O34" s="1"/>
      <c r="P34" s="26">
        <v>700</v>
      </c>
      <c r="Q34" s="1">
        <v>700</v>
      </c>
      <c r="R34" s="1">
        <f>IFERROR(VLOOKUP(A34,[1]TDSheet!$A:$F,3,0),0)</f>
        <v>640.90800000000002</v>
      </c>
      <c r="S34" s="1">
        <f t="shared" si="7"/>
        <v>180.1</v>
      </c>
      <c r="T34" s="5">
        <f>16*S34-Q34-P34-G34</f>
        <v>1473.9219999999998</v>
      </c>
      <c r="U34" s="5"/>
      <c r="V34" s="1"/>
      <c r="W34" s="1">
        <f t="shared" si="5"/>
        <v>15.999999999999998</v>
      </c>
      <c r="X34" s="1">
        <f t="shared" si="6"/>
        <v>7.8160910605219316</v>
      </c>
      <c r="Y34" s="1">
        <v>98.6922</v>
      </c>
      <c r="Z34" s="1">
        <v>107.6404</v>
      </c>
      <c r="AA34" s="1">
        <v>63.856999999999992</v>
      </c>
      <c r="AB34" s="1">
        <v>64.816000000000003</v>
      </c>
      <c r="AC34" s="1">
        <v>101.94459999999999</v>
      </c>
      <c r="AD34" s="1">
        <v>77.189400000000006</v>
      </c>
      <c r="AE34" s="1">
        <v>94.509199999999993</v>
      </c>
      <c r="AF34" s="1">
        <v>121.8096</v>
      </c>
      <c r="AG34" s="1">
        <v>118.0616</v>
      </c>
      <c r="AH34" s="1">
        <v>217.45419999999999</v>
      </c>
      <c r="AI34" s="1"/>
      <c r="AJ34" s="1">
        <f t="shared" si="12"/>
        <v>1473.9219999999998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1" t="s">
        <v>76</v>
      </c>
      <c r="B35" s="1" t="s">
        <v>41</v>
      </c>
      <c r="C35" s="1">
        <v>85.924999999999997</v>
      </c>
      <c r="D35" s="1"/>
      <c r="E35" s="1">
        <v>5.4349999999999996</v>
      </c>
      <c r="F35" s="1">
        <f t="shared" si="9"/>
        <v>5.4349999999999996</v>
      </c>
      <c r="G35" s="1">
        <v>-0.112</v>
      </c>
      <c r="H35" s="1">
        <f t="shared" si="10"/>
        <v>-0.112</v>
      </c>
      <c r="I35" s="7">
        <v>1</v>
      </c>
      <c r="J35" s="1">
        <v>40</v>
      </c>
      <c r="K35" s="1"/>
      <c r="L35" s="1"/>
      <c r="M35" s="1">
        <f t="shared" si="4"/>
        <v>5.4349999999999996</v>
      </c>
      <c r="N35" s="1"/>
      <c r="O35" s="1"/>
      <c r="P35" s="26">
        <v>0</v>
      </c>
      <c r="Q35" s="1">
        <v>100</v>
      </c>
      <c r="R35" s="1">
        <f>IFERROR(VLOOKUP(A35,[1]TDSheet!$A:$F,3,0),0)</f>
        <v>0</v>
      </c>
      <c r="S35" s="1">
        <f t="shared" si="7"/>
        <v>1.087</v>
      </c>
      <c r="T35" s="5"/>
      <c r="U35" s="5"/>
      <c r="V35" s="1"/>
      <c r="W35" s="1">
        <f t="shared" si="5"/>
        <v>91.893284268629259</v>
      </c>
      <c r="X35" s="1">
        <f t="shared" si="6"/>
        <v>91.893284268629259</v>
      </c>
      <c r="Y35" s="1">
        <v>12.9772</v>
      </c>
      <c r="Z35" s="1">
        <v>-0.1676</v>
      </c>
      <c r="AA35" s="1">
        <v>11.728400000000001</v>
      </c>
      <c r="AB35" s="1">
        <v>0</v>
      </c>
      <c r="AC35" s="1">
        <v>4.9908000000000001</v>
      </c>
      <c r="AD35" s="1">
        <v>8.2157999999999998</v>
      </c>
      <c r="AE35" s="1">
        <v>9.1988000000000003</v>
      </c>
      <c r="AF35" s="1">
        <v>-4.9188000000000001</v>
      </c>
      <c r="AG35" s="1">
        <v>0</v>
      </c>
      <c r="AH35" s="1">
        <v>20.519600000000001</v>
      </c>
      <c r="AI35" s="1"/>
      <c r="AJ35" s="1">
        <f t="shared" si="12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1" t="s">
        <v>77</v>
      </c>
      <c r="B36" s="1" t="s">
        <v>37</v>
      </c>
      <c r="C36" s="1">
        <v>435</v>
      </c>
      <c r="D36" s="1"/>
      <c r="E36" s="1">
        <v>150</v>
      </c>
      <c r="F36" s="1">
        <f t="shared" si="9"/>
        <v>237</v>
      </c>
      <c r="G36" s="1">
        <v>220</v>
      </c>
      <c r="H36" s="1">
        <f t="shared" si="10"/>
        <v>383</v>
      </c>
      <c r="I36" s="7">
        <v>0.4</v>
      </c>
      <c r="J36" s="1">
        <v>55</v>
      </c>
      <c r="K36" s="1"/>
      <c r="L36" s="1"/>
      <c r="M36" s="1">
        <f t="shared" si="4"/>
        <v>150</v>
      </c>
      <c r="N36" s="1"/>
      <c r="O36" s="1"/>
      <c r="P36" s="26">
        <v>250</v>
      </c>
      <c r="Q36" s="1">
        <v>250</v>
      </c>
      <c r="R36" s="1">
        <f>IFERROR(VLOOKUP(A36,[1]TDSheet!$A:$F,3,0),0)</f>
        <v>87</v>
      </c>
      <c r="S36" s="1">
        <f t="shared" si="7"/>
        <v>47.4</v>
      </c>
      <c r="T36" s="5">
        <f t="shared" si="11"/>
        <v>133.19999999999993</v>
      </c>
      <c r="U36" s="5"/>
      <c r="V36" s="1"/>
      <c r="W36" s="1">
        <f t="shared" si="5"/>
        <v>18</v>
      </c>
      <c r="X36" s="1">
        <f t="shared" si="6"/>
        <v>15.18987341772152</v>
      </c>
      <c r="Y36" s="1">
        <v>52.6</v>
      </c>
      <c r="Z36" s="1">
        <v>35.4</v>
      </c>
      <c r="AA36" s="1">
        <v>31.6</v>
      </c>
      <c r="AB36" s="1">
        <v>32.799999999999997</v>
      </c>
      <c r="AC36" s="1">
        <v>35.799999999999997</v>
      </c>
      <c r="AD36" s="1">
        <v>33.200000000000003</v>
      </c>
      <c r="AE36" s="1">
        <v>25</v>
      </c>
      <c r="AF36" s="1">
        <v>23.4</v>
      </c>
      <c r="AG36" s="1">
        <v>35</v>
      </c>
      <c r="AH36" s="1">
        <v>31.8</v>
      </c>
      <c r="AI36" s="1"/>
      <c r="AJ36" s="1">
        <f t="shared" si="12"/>
        <v>53.279999999999973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1" t="s">
        <v>78</v>
      </c>
      <c r="B37" s="1" t="s">
        <v>41</v>
      </c>
      <c r="C37" s="1">
        <v>738.00699999999995</v>
      </c>
      <c r="D37" s="1"/>
      <c r="E37" s="16">
        <f>336.571+E73</f>
        <v>398.30700000000002</v>
      </c>
      <c r="F37" s="1">
        <f t="shared" si="9"/>
        <v>507.81100000000004</v>
      </c>
      <c r="G37" s="16">
        <f>248.05+G73</f>
        <v>240.88300000000001</v>
      </c>
      <c r="H37" s="1">
        <f t="shared" si="10"/>
        <v>831.37900000000002</v>
      </c>
      <c r="I37" s="7">
        <v>1</v>
      </c>
      <c r="J37" s="1">
        <v>60</v>
      </c>
      <c r="K37" s="1"/>
      <c r="L37" s="1"/>
      <c r="M37" s="1">
        <f t="shared" si="4"/>
        <v>398.30700000000002</v>
      </c>
      <c r="N37" s="1"/>
      <c r="O37" s="1"/>
      <c r="P37" s="26">
        <v>700</v>
      </c>
      <c r="Q37" s="1">
        <v>400</v>
      </c>
      <c r="R37" s="1">
        <f>IFERROR(VLOOKUP(A37,[1]TDSheet!$A:$F,3,0),0)</f>
        <v>109.504</v>
      </c>
      <c r="S37" s="1">
        <f t="shared" si="7"/>
        <v>101.5622</v>
      </c>
      <c r="T37" s="5">
        <f t="shared" si="11"/>
        <v>487.23659999999995</v>
      </c>
      <c r="U37" s="5"/>
      <c r="V37" s="1"/>
      <c r="W37" s="1">
        <f t="shared" si="5"/>
        <v>18</v>
      </c>
      <c r="X37" s="1">
        <f t="shared" si="6"/>
        <v>13.202579306080411</v>
      </c>
      <c r="Y37" s="1">
        <v>58.765200000000007</v>
      </c>
      <c r="Z37" s="1">
        <v>85.500399999999999</v>
      </c>
      <c r="AA37" s="1">
        <v>85.436199999999999</v>
      </c>
      <c r="AB37" s="1">
        <v>56.302600000000012</v>
      </c>
      <c r="AC37" s="1">
        <v>64.710799999999992</v>
      </c>
      <c r="AD37" s="1">
        <v>58.065399999999997</v>
      </c>
      <c r="AE37" s="1">
        <v>95.907600000000002</v>
      </c>
      <c r="AF37" s="1">
        <v>42.9452</v>
      </c>
      <c r="AG37" s="1">
        <v>44.039400000000001</v>
      </c>
      <c r="AH37" s="1">
        <v>99.839399999999998</v>
      </c>
      <c r="AI37" s="1"/>
      <c r="AJ37" s="1">
        <f t="shared" si="12"/>
        <v>487.23659999999995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1" t="s">
        <v>79</v>
      </c>
      <c r="B38" s="1" t="s">
        <v>37</v>
      </c>
      <c r="C38" s="1"/>
      <c r="D38" s="1"/>
      <c r="E38" s="1">
        <v>-5</v>
      </c>
      <c r="F38" s="1">
        <f t="shared" si="9"/>
        <v>-5</v>
      </c>
      <c r="G38" s="1"/>
      <c r="H38" s="1">
        <f t="shared" si="10"/>
        <v>0</v>
      </c>
      <c r="I38" s="7">
        <v>0.5</v>
      </c>
      <c r="J38" s="1">
        <v>60</v>
      </c>
      <c r="K38" s="1"/>
      <c r="L38" s="1"/>
      <c r="M38" s="1">
        <f t="shared" ref="M38:M69" si="14">E38-L38</f>
        <v>-5</v>
      </c>
      <c r="N38" s="1"/>
      <c r="O38" s="1"/>
      <c r="P38" s="26">
        <v>0</v>
      </c>
      <c r="Q38" s="1">
        <v>300</v>
      </c>
      <c r="R38" s="1">
        <f>IFERROR(VLOOKUP(A38,[1]TDSheet!$A:$F,3,0),0)</f>
        <v>0</v>
      </c>
      <c r="S38" s="1">
        <f t="shared" si="7"/>
        <v>-1</v>
      </c>
      <c r="T38" s="5"/>
      <c r="U38" s="5"/>
      <c r="V38" s="1"/>
      <c r="W38" s="1">
        <f t="shared" ref="W38:W69" si="15">(G38+P38+Q38+T38)/S38</f>
        <v>-300</v>
      </c>
      <c r="X38" s="1">
        <f t="shared" ref="X38:X69" si="16">(G38+P38+Q38)/S38</f>
        <v>-300</v>
      </c>
      <c r="Y38" s="1">
        <v>17.399999999999999</v>
      </c>
      <c r="Z38" s="1">
        <v>18.600000000000001</v>
      </c>
      <c r="AA38" s="1">
        <v>17.399999999999999</v>
      </c>
      <c r="AB38" s="1">
        <v>24.8</v>
      </c>
      <c r="AC38" s="1">
        <v>20.2</v>
      </c>
      <c r="AD38" s="1">
        <v>24.4</v>
      </c>
      <c r="AE38" s="1">
        <v>18.2</v>
      </c>
      <c r="AF38" s="1">
        <v>25.2</v>
      </c>
      <c r="AG38" s="1">
        <v>36.799999999999997</v>
      </c>
      <c r="AH38" s="1">
        <v>28</v>
      </c>
      <c r="AI38" s="1" t="s">
        <v>80</v>
      </c>
      <c r="AJ38" s="1">
        <f t="shared" si="12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81</v>
      </c>
      <c r="B39" s="1" t="s">
        <v>41</v>
      </c>
      <c r="C39" s="1">
        <v>537.39200000000005</v>
      </c>
      <c r="D39" s="1"/>
      <c r="E39" s="16">
        <f>344.992+E74</f>
        <v>384.42900000000003</v>
      </c>
      <c r="F39" s="1">
        <f t="shared" si="9"/>
        <v>501.745</v>
      </c>
      <c r="G39" s="16">
        <f>88.033+G74</f>
        <v>70.287999999999997</v>
      </c>
      <c r="H39" s="1">
        <f t="shared" si="10"/>
        <v>452.97199999999998</v>
      </c>
      <c r="I39" s="7">
        <v>1</v>
      </c>
      <c r="J39" s="1">
        <v>60</v>
      </c>
      <c r="K39" s="1"/>
      <c r="L39" s="1"/>
      <c r="M39" s="1">
        <f t="shared" si="14"/>
        <v>384.42900000000003</v>
      </c>
      <c r="N39" s="1"/>
      <c r="O39" s="1"/>
      <c r="P39" s="26">
        <v>500</v>
      </c>
      <c r="Q39" s="1">
        <v>200</v>
      </c>
      <c r="R39" s="1">
        <f>IFERROR(VLOOKUP(A39,[1]TDSheet!$A:$F,3,0),0)</f>
        <v>117.316</v>
      </c>
      <c r="S39" s="1">
        <f t="shared" si="7"/>
        <v>100.349</v>
      </c>
      <c r="T39" s="5">
        <f t="shared" ref="T39:T40" si="17">16*S39-Q39-P39-G39</f>
        <v>835.29600000000005</v>
      </c>
      <c r="U39" s="5"/>
      <c r="V39" s="1"/>
      <c r="W39" s="1">
        <f t="shared" si="15"/>
        <v>16</v>
      </c>
      <c r="X39" s="1">
        <f t="shared" si="16"/>
        <v>7.6760904443492208</v>
      </c>
      <c r="Y39" s="1">
        <v>59.334600000000002</v>
      </c>
      <c r="Z39" s="1">
        <v>78.549799999999991</v>
      </c>
      <c r="AA39" s="1">
        <v>63.152200000000008</v>
      </c>
      <c r="AB39" s="1">
        <v>80.092999999999989</v>
      </c>
      <c r="AC39" s="1">
        <v>87.305800000000005</v>
      </c>
      <c r="AD39" s="1">
        <v>43.424400000000013</v>
      </c>
      <c r="AE39" s="1">
        <v>122.80240000000001</v>
      </c>
      <c r="AF39" s="1">
        <v>82.569600000000008</v>
      </c>
      <c r="AG39" s="1">
        <v>82.569600000000008</v>
      </c>
      <c r="AH39" s="1">
        <v>54.171199999999999</v>
      </c>
      <c r="AI39" s="1"/>
      <c r="AJ39" s="1">
        <f t="shared" si="12"/>
        <v>835.29600000000005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82</v>
      </c>
      <c r="B40" s="1" t="s">
        <v>41</v>
      </c>
      <c r="C40" s="1">
        <v>708.58</v>
      </c>
      <c r="D40" s="1"/>
      <c r="E40" s="16">
        <f>332.007+E75</f>
        <v>359.39499999999998</v>
      </c>
      <c r="F40" s="1">
        <f t="shared" si="9"/>
        <v>464.23699999999997</v>
      </c>
      <c r="G40" s="16">
        <f>284.115+G75</f>
        <v>279.15300000000002</v>
      </c>
      <c r="H40" s="1">
        <f t="shared" si="10"/>
        <v>574.31100000000004</v>
      </c>
      <c r="I40" s="7">
        <v>1</v>
      </c>
      <c r="J40" s="1">
        <v>60</v>
      </c>
      <c r="K40" s="1"/>
      <c r="L40" s="1"/>
      <c r="M40" s="1">
        <f t="shared" si="14"/>
        <v>359.39499999999998</v>
      </c>
      <c r="N40" s="1"/>
      <c r="O40" s="1"/>
      <c r="P40" s="26">
        <v>400</v>
      </c>
      <c r="Q40" s="1">
        <v>100</v>
      </c>
      <c r="R40" s="1">
        <f>IFERROR(VLOOKUP(A40,[1]TDSheet!$A:$F,3,0),0)</f>
        <v>104.842</v>
      </c>
      <c r="S40" s="1">
        <f t="shared" si="7"/>
        <v>92.847399999999993</v>
      </c>
      <c r="T40" s="5">
        <f t="shared" si="17"/>
        <v>706.40539999999987</v>
      </c>
      <c r="U40" s="5"/>
      <c r="V40" s="1"/>
      <c r="W40" s="1">
        <f t="shared" si="15"/>
        <v>16</v>
      </c>
      <c r="X40" s="1">
        <f t="shared" si="16"/>
        <v>8.3917589507083683</v>
      </c>
      <c r="Y40" s="1">
        <v>49.596200000000003</v>
      </c>
      <c r="Z40" s="1">
        <v>60.602400000000003</v>
      </c>
      <c r="AA40" s="1">
        <v>64.268599999999992</v>
      </c>
      <c r="AB40" s="1">
        <v>67.176999999999992</v>
      </c>
      <c r="AC40" s="1">
        <v>61.669400000000003</v>
      </c>
      <c r="AD40" s="1">
        <v>49.305399999999999</v>
      </c>
      <c r="AE40" s="1">
        <v>61.301200000000009</v>
      </c>
      <c r="AF40" s="1">
        <v>118.1164</v>
      </c>
      <c r="AG40" s="1">
        <v>112.1048</v>
      </c>
      <c r="AH40" s="1">
        <v>0</v>
      </c>
      <c r="AI40" s="1"/>
      <c r="AJ40" s="1">
        <f t="shared" si="12"/>
        <v>706.40539999999987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83</v>
      </c>
      <c r="B41" s="1" t="s">
        <v>37</v>
      </c>
      <c r="C41" s="1">
        <v>319</v>
      </c>
      <c r="D41" s="1"/>
      <c r="E41" s="16">
        <f>149+E76</f>
        <v>174</v>
      </c>
      <c r="F41" s="1">
        <f t="shared" si="9"/>
        <v>257</v>
      </c>
      <c r="G41" s="16">
        <f>10+G76</f>
        <v>6</v>
      </c>
      <c r="H41" s="1">
        <f t="shared" si="10"/>
        <v>173</v>
      </c>
      <c r="I41" s="7">
        <v>0.4</v>
      </c>
      <c r="J41" s="1">
        <v>60</v>
      </c>
      <c r="K41" s="1"/>
      <c r="L41" s="1"/>
      <c r="M41" s="1">
        <f t="shared" si="14"/>
        <v>174</v>
      </c>
      <c r="N41" s="1"/>
      <c r="O41" s="1"/>
      <c r="P41" s="26">
        <v>250</v>
      </c>
      <c r="Q41" s="1">
        <v>375</v>
      </c>
      <c r="R41" s="1">
        <f>IFERROR(VLOOKUP(A41,[1]TDSheet!$A:$F,3,0),0)</f>
        <v>83</v>
      </c>
      <c r="S41" s="1">
        <f t="shared" si="7"/>
        <v>51.4</v>
      </c>
      <c r="T41" s="5">
        <f t="shared" si="11"/>
        <v>294.19999999999993</v>
      </c>
      <c r="U41" s="5"/>
      <c r="V41" s="1"/>
      <c r="W41" s="1">
        <f t="shared" si="15"/>
        <v>18</v>
      </c>
      <c r="X41" s="1">
        <f t="shared" si="16"/>
        <v>12.27626459143969</v>
      </c>
      <c r="Y41" s="1">
        <v>70.400000000000006</v>
      </c>
      <c r="Z41" s="1">
        <v>39.6</v>
      </c>
      <c r="AA41" s="1">
        <v>63</v>
      </c>
      <c r="AB41" s="1">
        <v>83.8</v>
      </c>
      <c r="AC41" s="1">
        <v>27.6</v>
      </c>
      <c r="AD41" s="1">
        <v>0</v>
      </c>
      <c r="AE41" s="1">
        <v>-0.6</v>
      </c>
      <c r="AF41" s="1">
        <v>29.6</v>
      </c>
      <c r="AG41" s="1">
        <v>36.4</v>
      </c>
      <c r="AH41" s="1">
        <v>62</v>
      </c>
      <c r="AI41" s="1" t="s">
        <v>84</v>
      </c>
      <c r="AJ41" s="1">
        <f t="shared" si="12"/>
        <v>117.67999999999998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85</v>
      </c>
      <c r="B42" s="1" t="s">
        <v>41</v>
      </c>
      <c r="C42" s="1">
        <v>856.28300000000002</v>
      </c>
      <c r="D42" s="1"/>
      <c r="E42" s="16">
        <f>357.675+E77</f>
        <v>422.67500000000001</v>
      </c>
      <c r="F42" s="1">
        <f t="shared" si="9"/>
        <v>551.29300000000001</v>
      </c>
      <c r="G42" s="16">
        <f>307.835+G77</f>
        <v>268.64499999999998</v>
      </c>
      <c r="H42" s="1">
        <f t="shared" si="10"/>
        <v>640.02700000000004</v>
      </c>
      <c r="I42" s="7">
        <v>1</v>
      </c>
      <c r="J42" s="1">
        <v>60</v>
      </c>
      <c r="K42" s="1"/>
      <c r="L42" s="1"/>
      <c r="M42" s="1">
        <f t="shared" si="14"/>
        <v>422.67500000000001</v>
      </c>
      <c r="N42" s="1"/>
      <c r="O42" s="1"/>
      <c r="P42" s="26">
        <v>500</v>
      </c>
      <c r="Q42" s="1">
        <v>400</v>
      </c>
      <c r="R42" s="1">
        <f>IFERROR(VLOOKUP(A42,[1]TDSheet!$A:$F,3,0),0)</f>
        <v>128.61799999999999</v>
      </c>
      <c r="S42" s="1">
        <f t="shared" si="7"/>
        <v>110.2586</v>
      </c>
      <c r="T42" s="5">
        <f t="shared" si="11"/>
        <v>816.00980000000004</v>
      </c>
      <c r="U42" s="5"/>
      <c r="V42" s="1"/>
      <c r="W42" s="1">
        <f t="shared" si="15"/>
        <v>18</v>
      </c>
      <c r="X42" s="1">
        <f t="shared" si="16"/>
        <v>10.599127868483729</v>
      </c>
      <c r="Y42" s="1">
        <v>74.565799999999996</v>
      </c>
      <c r="Z42" s="1">
        <v>112.387</v>
      </c>
      <c r="AA42" s="1">
        <v>76.830799999999996</v>
      </c>
      <c r="AB42" s="1">
        <v>99.215400000000002</v>
      </c>
      <c r="AC42" s="1">
        <v>55.567799999999998</v>
      </c>
      <c r="AD42" s="1">
        <v>8.0313999999999997</v>
      </c>
      <c r="AE42" s="1">
        <v>121.01779999999999</v>
      </c>
      <c r="AF42" s="1">
        <v>70.008200000000002</v>
      </c>
      <c r="AG42" s="1">
        <v>61.3202</v>
      </c>
      <c r="AH42" s="1">
        <v>71.735600000000005</v>
      </c>
      <c r="AI42" s="1"/>
      <c r="AJ42" s="1">
        <f t="shared" si="12"/>
        <v>816.00980000000004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86</v>
      </c>
      <c r="B43" s="1" t="s">
        <v>37</v>
      </c>
      <c r="C43" s="1">
        <v>324</v>
      </c>
      <c r="D43" s="1"/>
      <c r="E43" s="1">
        <v>110</v>
      </c>
      <c r="F43" s="1">
        <f t="shared" si="9"/>
        <v>152</v>
      </c>
      <c r="G43" s="1">
        <v>198</v>
      </c>
      <c r="H43" s="1">
        <f t="shared" si="10"/>
        <v>156</v>
      </c>
      <c r="I43" s="7">
        <v>0.5</v>
      </c>
      <c r="J43" s="1">
        <v>60</v>
      </c>
      <c r="K43" s="1"/>
      <c r="L43" s="1"/>
      <c r="M43" s="1">
        <f t="shared" si="14"/>
        <v>110</v>
      </c>
      <c r="N43" s="1"/>
      <c r="O43" s="1"/>
      <c r="P43" s="26">
        <v>0</v>
      </c>
      <c r="Q43" s="1">
        <v>200</v>
      </c>
      <c r="R43" s="1">
        <f>IFERROR(VLOOKUP(A43,[1]TDSheet!$A:$F,3,0),0)</f>
        <v>42</v>
      </c>
      <c r="S43" s="1">
        <f t="shared" si="7"/>
        <v>30.4</v>
      </c>
      <c r="T43" s="5">
        <f t="shared" si="11"/>
        <v>149.19999999999993</v>
      </c>
      <c r="U43" s="5"/>
      <c r="V43" s="1"/>
      <c r="W43" s="1">
        <f t="shared" si="15"/>
        <v>18</v>
      </c>
      <c r="X43" s="1">
        <f t="shared" si="16"/>
        <v>13.092105263157896</v>
      </c>
      <c r="Y43" s="1">
        <v>34.799999999999997</v>
      </c>
      <c r="Z43" s="1">
        <v>12</v>
      </c>
      <c r="AA43" s="1">
        <v>30</v>
      </c>
      <c r="AB43" s="1">
        <v>14.6</v>
      </c>
      <c r="AC43" s="1">
        <v>14.8</v>
      </c>
      <c r="AD43" s="1">
        <v>26.4</v>
      </c>
      <c r="AE43" s="1">
        <v>17.600000000000001</v>
      </c>
      <c r="AF43" s="1">
        <v>-13</v>
      </c>
      <c r="AG43" s="1">
        <v>11.8</v>
      </c>
      <c r="AH43" s="1">
        <v>5.6</v>
      </c>
      <c r="AI43" s="1"/>
      <c r="AJ43" s="1">
        <f t="shared" si="12"/>
        <v>74.599999999999966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87</v>
      </c>
      <c r="B44" s="1" t="s">
        <v>37</v>
      </c>
      <c r="C44" s="1">
        <v>250</v>
      </c>
      <c r="D44" s="1"/>
      <c r="E44" s="1">
        <v>138</v>
      </c>
      <c r="F44" s="1">
        <f t="shared" si="9"/>
        <v>168</v>
      </c>
      <c r="G44" s="1">
        <v>36</v>
      </c>
      <c r="H44" s="1">
        <f t="shared" si="10"/>
        <v>6</v>
      </c>
      <c r="I44" s="7">
        <v>0.4</v>
      </c>
      <c r="J44" s="1">
        <v>50</v>
      </c>
      <c r="K44" s="1"/>
      <c r="L44" s="1"/>
      <c r="M44" s="1">
        <f t="shared" si="14"/>
        <v>138</v>
      </c>
      <c r="N44" s="1"/>
      <c r="O44" s="1"/>
      <c r="P44" s="26">
        <v>0</v>
      </c>
      <c r="Q44" s="1">
        <v>250</v>
      </c>
      <c r="R44" s="1">
        <f>IFERROR(VLOOKUP(A44,[1]TDSheet!$A:$F,3,0),0)</f>
        <v>30</v>
      </c>
      <c r="S44" s="1">
        <f t="shared" si="7"/>
        <v>33.6</v>
      </c>
      <c r="T44" s="5">
        <f>17*S44-Q44-P44-G44</f>
        <v>285.20000000000005</v>
      </c>
      <c r="U44" s="5"/>
      <c r="V44" s="1"/>
      <c r="W44" s="1">
        <f t="shared" si="15"/>
        <v>17</v>
      </c>
      <c r="X44" s="1">
        <f t="shared" si="16"/>
        <v>8.511904761904761</v>
      </c>
      <c r="Y44" s="1">
        <v>13.8</v>
      </c>
      <c r="Z44" s="1">
        <v>3.6</v>
      </c>
      <c r="AA44" s="1">
        <v>18</v>
      </c>
      <c r="AB44" s="1">
        <v>2</v>
      </c>
      <c r="AC44" s="1">
        <v>14.8</v>
      </c>
      <c r="AD44" s="1">
        <v>10</v>
      </c>
      <c r="AE44" s="1">
        <v>12.4</v>
      </c>
      <c r="AF44" s="1">
        <v>28.8</v>
      </c>
      <c r="AG44" s="1">
        <v>20.2</v>
      </c>
      <c r="AH44" s="1">
        <v>5.2</v>
      </c>
      <c r="AI44" s="1"/>
      <c r="AJ44" s="1">
        <f t="shared" si="12"/>
        <v>114.08000000000003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88</v>
      </c>
      <c r="B45" s="1" t="s">
        <v>41</v>
      </c>
      <c r="C45" s="1">
        <v>674.74099999999999</v>
      </c>
      <c r="D45" s="1"/>
      <c r="E45" s="16">
        <f>216.853+E78</f>
        <v>243.14000000000001</v>
      </c>
      <c r="F45" s="1">
        <f t="shared" si="9"/>
        <v>931.26099999999997</v>
      </c>
      <c r="G45" s="1">
        <v>10.298</v>
      </c>
      <c r="H45" s="1">
        <f t="shared" si="10"/>
        <v>222.17700000000002</v>
      </c>
      <c r="I45" s="7">
        <v>1</v>
      </c>
      <c r="J45" s="1">
        <v>40</v>
      </c>
      <c r="K45" s="1"/>
      <c r="L45" s="1"/>
      <c r="M45" s="1">
        <f t="shared" si="14"/>
        <v>243.14000000000001</v>
      </c>
      <c r="N45" s="1"/>
      <c r="O45" s="1"/>
      <c r="P45" s="26">
        <v>900</v>
      </c>
      <c r="Q45" s="1">
        <v>1300</v>
      </c>
      <c r="R45" s="1">
        <f>IFERROR(VLOOKUP(A45,[1]TDSheet!$A:$F,3,0),0)</f>
        <v>688.12099999999998</v>
      </c>
      <c r="S45" s="1">
        <f t="shared" si="7"/>
        <v>186.25219999999999</v>
      </c>
      <c r="T45" s="5">
        <f t="shared" si="11"/>
        <v>1142.2415999999996</v>
      </c>
      <c r="U45" s="5"/>
      <c r="V45" s="1"/>
      <c r="W45" s="1">
        <f t="shared" si="15"/>
        <v>17.999999999999996</v>
      </c>
      <c r="X45" s="1">
        <f t="shared" si="16"/>
        <v>11.867231635384709</v>
      </c>
      <c r="Y45" s="1">
        <v>170.7062</v>
      </c>
      <c r="Z45" s="1">
        <v>157.10579999999999</v>
      </c>
      <c r="AA45" s="1">
        <v>121.3802</v>
      </c>
      <c r="AB45" s="1">
        <v>149.50800000000001</v>
      </c>
      <c r="AC45" s="1">
        <v>99.543199999999999</v>
      </c>
      <c r="AD45" s="1">
        <v>122.8976</v>
      </c>
      <c r="AE45" s="1">
        <v>177.56960000000001</v>
      </c>
      <c r="AF45" s="1">
        <v>186.5068</v>
      </c>
      <c r="AG45" s="1">
        <v>178.52080000000001</v>
      </c>
      <c r="AH45" s="1">
        <v>241.73</v>
      </c>
      <c r="AI45" s="1" t="s">
        <v>89</v>
      </c>
      <c r="AJ45" s="1">
        <f t="shared" si="12"/>
        <v>1142.2415999999996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1" t="s">
        <v>90</v>
      </c>
      <c r="B46" s="1" t="s">
        <v>41</v>
      </c>
      <c r="C46" s="1"/>
      <c r="D46" s="1"/>
      <c r="E46" s="16">
        <f>E50</f>
        <v>207.20699999999999</v>
      </c>
      <c r="F46" s="1">
        <f>E46+R49</f>
        <v>323.45</v>
      </c>
      <c r="G46" s="16">
        <f>G50</f>
        <v>560.10199999999998</v>
      </c>
      <c r="H46" s="25">
        <f>G46+P46-R50</f>
        <v>422.53699999999998</v>
      </c>
      <c r="I46" s="7">
        <v>1</v>
      </c>
      <c r="J46" s="1">
        <v>60</v>
      </c>
      <c r="K46" s="1" t="s">
        <v>91</v>
      </c>
      <c r="L46" s="1"/>
      <c r="M46" s="1">
        <f t="shared" si="14"/>
        <v>207.20699999999999</v>
      </c>
      <c r="N46" s="1"/>
      <c r="O46" s="1"/>
      <c r="P46" s="26">
        <v>0</v>
      </c>
      <c r="Q46" s="1">
        <v>300</v>
      </c>
      <c r="R46" s="1">
        <f>IFERROR(VLOOKUP(A46,[1]TDSheet!$A:$F,3,0),0)</f>
        <v>0</v>
      </c>
      <c r="S46" s="1">
        <f t="shared" si="7"/>
        <v>64.69</v>
      </c>
      <c r="T46" s="5">
        <f t="shared" si="11"/>
        <v>304.3180000000001</v>
      </c>
      <c r="U46" s="5"/>
      <c r="V46" s="1"/>
      <c r="W46" s="1">
        <f t="shared" si="15"/>
        <v>18</v>
      </c>
      <c r="X46" s="1">
        <f t="shared" si="16"/>
        <v>13.295748956562065</v>
      </c>
      <c r="Y46" s="1">
        <v>62.803800000000003</v>
      </c>
      <c r="Z46" s="1">
        <v>53.181800000000003</v>
      </c>
      <c r="AA46" s="1">
        <v>50.882399999999997</v>
      </c>
      <c r="AB46" s="1">
        <v>72.921199999999999</v>
      </c>
      <c r="AC46" s="1">
        <v>35.092599999999997</v>
      </c>
      <c r="AD46" s="1">
        <v>0</v>
      </c>
      <c r="AE46" s="1">
        <v>63.048000000000002</v>
      </c>
      <c r="AF46" s="1">
        <v>34.984400000000008</v>
      </c>
      <c r="AG46" s="1">
        <v>39.599200000000003</v>
      </c>
      <c r="AH46" s="1">
        <v>11.9422</v>
      </c>
      <c r="AI46" s="1" t="s">
        <v>54</v>
      </c>
      <c r="AJ46" s="1">
        <f t="shared" si="12"/>
        <v>304.3180000000001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92</v>
      </c>
      <c r="B47" s="1" t="s">
        <v>41</v>
      </c>
      <c r="C47" s="1">
        <v>633.01599999999996</v>
      </c>
      <c r="D47" s="1"/>
      <c r="E47" s="16">
        <f>80.655+E79</f>
        <v>180.55099999999999</v>
      </c>
      <c r="F47" s="1">
        <f t="shared" si="9"/>
        <v>208.55399999999997</v>
      </c>
      <c r="G47" s="16">
        <f>319.987+G79</f>
        <v>281.44200000000001</v>
      </c>
      <c r="H47" s="1">
        <f t="shared" si="10"/>
        <v>253.43900000000002</v>
      </c>
      <c r="I47" s="7">
        <v>1</v>
      </c>
      <c r="J47" s="1">
        <v>70</v>
      </c>
      <c r="K47" s="1"/>
      <c r="L47" s="1"/>
      <c r="M47" s="1">
        <f t="shared" si="14"/>
        <v>180.55099999999999</v>
      </c>
      <c r="N47" s="1"/>
      <c r="O47" s="1"/>
      <c r="P47" s="26">
        <v>0</v>
      </c>
      <c r="Q47" s="1">
        <v>400</v>
      </c>
      <c r="R47" s="1">
        <f>IFERROR(VLOOKUP(A47,[1]TDSheet!$A:$F,3,0),0)</f>
        <v>28.003</v>
      </c>
      <c r="S47" s="1">
        <f t="shared" si="7"/>
        <v>41.710799999999992</v>
      </c>
      <c r="T47" s="5">
        <f t="shared" si="11"/>
        <v>69.352399999999875</v>
      </c>
      <c r="U47" s="5"/>
      <c r="V47" s="1"/>
      <c r="W47" s="1">
        <f t="shared" si="15"/>
        <v>18</v>
      </c>
      <c r="X47" s="1">
        <f t="shared" si="16"/>
        <v>16.337303528103035</v>
      </c>
      <c r="Y47" s="1">
        <v>54.906599999999997</v>
      </c>
      <c r="Z47" s="1">
        <v>45.410400000000003</v>
      </c>
      <c r="AA47" s="1">
        <v>38.8108</v>
      </c>
      <c r="AB47" s="1">
        <v>48.449599999999997</v>
      </c>
      <c r="AC47" s="1">
        <v>16.1174</v>
      </c>
      <c r="AD47" s="1">
        <v>20.751799999999999</v>
      </c>
      <c r="AE47" s="1">
        <v>45.137800000000013</v>
      </c>
      <c r="AF47" s="1">
        <v>-7.9296000000000006</v>
      </c>
      <c r="AG47" s="1">
        <v>24.040800000000001</v>
      </c>
      <c r="AH47" s="1">
        <v>74.7774</v>
      </c>
      <c r="AI47" s="1" t="s">
        <v>54</v>
      </c>
      <c r="AJ47" s="1">
        <f t="shared" si="12"/>
        <v>69.352399999999875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93</v>
      </c>
      <c r="B48" s="1" t="s">
        <v>37</v>
      </c>
      <c r="C48" s="1">
        <v>821</v>
      </c>
      <c r="D48" s="1"/>
      <c r="E48" s="16">
        <f>153+E80</f>
        <v>175</v>
      </c>
      <c r="F48" s="1">
        <f t="shared" si="9"/>
        <v>505</v>
      </c>
      <c r="G48" s="1"/>
      <c r="H48" s="1">
        <f t="shared" si="10"/>
        <v>545</v>
      </c>
      <c r="I48" s="7">
        <v>0.4</v>
      </c>
      <c r="J48" s="1">
        <v>40</v>
      </c>
      <c r="K48" s="1"/>
      <c r="L48" s="1"/>
      <c r="M48" s="1">
        <f t="shared" si="14"/>
        <v>175</v>
      </c>
      <c r="N48" s="1"/>
      <c r="O48" s="1"/>
      <c r="P48" s="26">
        <v>875</v>
      </c>
      <c r="Q48" s="1">
        <v>1000</v>
      </c>
      <c r="R48" s="1">
        <f>IFERROR(VLOOKUP(A48,[1]TDSheet!$A:$F,3,0),0)</f>
        <v>330</v>
      </c>
      <c r="S48" s="1">
        <f t="shared" si="7"/>
        <v>101</v>
      </c>
      <c r="T48" s="5"/>
      <c r="U48" s="5"/>
      <c r="V48" s="1"/>
      <c r="W48" s="1">
        <f t="shared" si="15"/>
        <v>18.564356435643564</v>
      </c>
      <c r="X48" s="1">
        <f t="shared" si="16"/>
        <v>18.564356435643564</v>
      </c>
      <c r="Y48" s="1">
        <v>156.80000000000001</v>
      </c>
      <c r="Z48" s="1">
        <v>131.19999999999999</v>
      </c>
      <c r="AA48" s="1">
        <v>90.8</v>
      </c>
      <c r="AB48" s="1">
        <v>120.6</v>
      </c>
      <c r="AC48" s="1">
        <v>69</v>
      </c>
      <c r="AD48" s="1">
        <v>90.4</v>
      </c>
      <c r="AE48" s="1">
        <v>106.2</v>
      </c>
      <c r="AF48" s="1">
        <v>97</v>
      </c>
      <c r="AG48" s="1">
        <v>107.6</v>
      </c>
      <c r="AH48" s="1">
        <v>227.8</v>
      </c>
      <c r="AI48" s="1"/>
      <c r="AJ48" s="1">
        <f t="shared" si="12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94</v>
      </c>
      <c r="B49" s="1" t="s">
        <v>41</v>
      </c>
      <c r="C49" s="1">
        <v>576.20600000000002</v>
      </c>
      <c r="D49" s="1"/>
      <c r="E49" s="16">
        <f>255.619+E81</f>
        <v>289.096</v>
      </c>
      <c r="F49" s="1">
        <f t="shared" si="9"/>
        <v>405.339</v>
      </c>
      <c r="G49" s="16">
        <f>125.272+G81</f>
        <v>116.628</v>
      </c>
      <c r="H49" s="1">
        <f t="shared" si="10"/>
        <v>350.38499999999999</v>
      </c>
      <c r="I49" s="7">
        <v>1</v>
      </c>
      <c r="J49" s="1">
        <v>40</v>
      </c>
      <c r="K49" s="1"/>
      <c r="L49" s="1"/>
      <c r="M49" s="1">
        <f t="shared" si="14"/>
        <v>289.096</v>
      </c>
      <c r="N49" s="1"/>
      <c r="O49" s="1"/>
      <c r="P49" s="26">
        <v>350</v>
      </c>
      <c r="Q49" s="1">
        <v>300</v>
      </c>
      <c r="R49" s="1">
        <f>IFERROR(VLOOKUP(A49,[1]TDSheet!$A:$F,3,0),0)</f>
        <v>116.24299999999999</v>
      </c>
      <c r="S49" s="1">
        <f t="shared" si="7"/>
        <v>81.067800000000005</v>
      </c>
      <c r="T49" s="5">
        <f>17*S49-Q49-P49-G49</f>
        <v>611.52460000000008</v>
      </c>
      <c r="U49" s="5"/>
      <c r="V49" s="1"/>
      <c r="W49" s="1">
        <f t="shared" si="15"/>
        <v>16.999999999999996</v>
      </c>
      <c r="X49" s="1">
        <f t="shared" si="16"/>
        <v>9.4566276622777465</v>
      </c>
      <c r="Y49" s="1">
        <v>74.38000000000001</v>
      </c>
      <c r="Z49" s="1">
        <v>66.489400000000003</v>
      </c>
      <c r="AA49" s="1">
        <v>46.83</v>
      </c>
      <c r="AB49" s="1">
        <v>73.261200000000002</v>
      </c>
      <c r="AC49" s="1">
        <v>38.764600000000002</v>
      </c>
      <c r="AD49" s="1">
        <v>47.242800000000003</v>
      </c>
      <c r="AE49" s="1">
        <v>86.790400000000005</v>
      </c>
      <c r="AF49" s="1">
        <v>80.720399999999998</v>
      </c>
      <c r="AG49" s="1">
        <v>40.392000000000003</v>
      </c>
      <c r="AH49" s="1">
        <v>98.791799999999995</v>
      </c>
      <c r="AI49" s="1" t="s">
        <v>54</v>
      </c>
      <c r="AJ49" s="1">
        <f t="shared" si="12"/>
        <v>611.52460000000008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2" t="s">
        <v>95</v>
      </c>
      <c r="B50" s="12" t="s">
        <v>41</v>
      </c>
      <c r="C50" s="12">
        <v>836.25900000000001</v>
      </c>
      <c r="D50" s="12"/>
      <c r="E50" s="16">
        <v>207.20699999999999</v>
      </c>
      <c r="F50" s="1">
        <f t="shared" si="9"/>
        <v>344.77199999999999</v>
      </c>
      <c r="G50" s="16">
        <v>560.10199999999998</v>
      </c>
      <c r="H50" s="12">
        <v>0</v>
      </c>
      <c r="I50" s="13">
        <v>0</v>
      </c>
      <c r="J50" s="12"/>
      <c r="K50" s="12" t="s">
        <v>96</v>
      </c>
      <c r="L50" s="12"/>
      <c r="M50" s="12">
        <f t="shared" si="14"/>
        <v>207.20699999999999</v>
      </c>
      <c r="N50" s="12"/>
      <c r="O50" s="12"/>
      <c r="P50" s="29"/>
      <c r="Q50" s="12"/>
      <c r="R50" s="12">
        <f>IFERROR(VLOOKUP(A50,[1]TDSheet!$A:$F,3,0),0)</f>
        <v>137.565</v>
      </c>
      <c r="S50" s="1">
        <f t="shared" si="7"/>
        <v>68.954399999999993</v>
      </c>
      <c r="T50" s="14"/>
      <c r="U50" s="14"/>
      <c r="V50" s="12"/>
      <c r="W50" s="12">
        <f t="shared" si="15"/>
        <v>8.1227883934890315</v>
      </c>
      <c r="X50" s="12">
        <f t="shared" si="16"/>
        <v>8.1227883934890315</v>
      </c>
      <c r="Y50" s="12">
        <v>62.803800000000003</v>
      </c>
      <c r="Z50" s="12">
        <v>53.181800000000003</v>
      </c>
      <c r="AA50" s="12">
        <v>50.882399999999997</v>
      </c>
      <c r="AB50" s="12">
        <v>72.921199999999999</v>
      </c>
      <c r="AC50" s="12">
        <v>35.092599999999997</v>
      </c>
      <c r="AD50" s="12">
        <v>47.344999999999999</v>
      </c>
      <c r="AE50" s="12">
        <v>63.048000000000002</v>
      </c>
      <c r="AF50" s="12">
        <v>34.984400000000008</v>
      </c>
      <c r="AG50" s="12">
        <v>39.599200000000003</v>
      </c>
      <c r="AH50" s="12">
        <v>59.841999999999999</v>
      </c>
      <c r="AI50" s="12"/>
      <c r="AJ50" s="12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116</v>
      </c>
      <c r="B51" s="1" t="s">
        <v>41</v>
      </c>
      <c r="C51" s="1">
        <v>117.529</v>
      </c>
      <c r="D51" s="1"/>
      <c r="E51" s="1">
        <v>77.430000000000007</v>
      </c>
      <c r="F51" s="1">
        <f t="shared" si="9"/>
        <v>103.27500000000001</v>
      </c>
      <c r="G51" s="1">
        <v>5.46</v>
      </c>
      <c r="H51" s="1">
        <f t="shared" si="10"/>
        <v>79.614999999999995</v>
      </c>
      <c r="I51" s="7">
        <v>1</v>
      </c>
      <c r="J51" s="1">
        <v>50</v>
      </c>
      <c r="K51" s="1"/>
      <c r="L51" s="1"/>
      <c r="M51" s="1">
        <f t="shared" si="14"/>
        <v>77.430000000000007</v>
      </c>
      <c r="N51" s="1"/>
      <c r="O51" s="1"/>
      <c r="P51" s="26">
        <v>100</v>
      </c>
      <c r="Q51" s="1">
        <v>100</v>
      </c>
      <c r="R51" s="1">
        <f>IFERROR(VLOOKUP(A51,[1]TDSheet!$A:$F,3,0),0)</f>
        <v>25.844999999999999</v>
      </c>
      <c r="S51" s="1">
        <f t="shared" si="7"/>
        <v>20.655000000000001</v>
      </c>
      <c r="T51" s="5">
        <f t="shared" ref="T51:T57" si="18">18*S51-Q51-P51-G51</f>
        <v>166.33</v>
      </c>
      <c r="U51" s="5"/>
      <c r="V51" s="1"/>
      <c r="W51" s="1">
        <f t="shared" si="15"/>
        <v>17.999999999999996</v>
      </c>
      <c r="X51" s="1">
        <f t="shared" si="16"/>
        <v>9.9472282740256581</v>
      </c>
      <c r="Y51" s="1">
        <v>24.9056</v>
      </c>
      <c r="Z51" s="1">
        <v>2.1402000000000001</v>
      </c>
      <c r="AA51" s="1">
        <v>12.6754</v>
      </c>
      <c r="AB51" s="1">
        <v>13.949400000000001</v>
      </c>
      <c r="AC51" s="1">
        <v>8.5684000000000005</v>
      </c>
      <c r="AD51" s="1">
        <v>9.5191999999999997</v>
      </c>
      <c r="AE51" s="1">
        <v>13.788</v>
      </c>
      <c r="AF51" s="1">
        <v>15.5586</v>
      </c>
      <c r="AG51" s="1">
        <v>12.621600000000001</v>
      </c>
      <c r="AH51" s="1">
        <v>21.080400000000001</v>
      </c>
      <c r="AI51" s="1"/>
      <c r="AJ51" s="1">
        <f t="shared" ref="AJ51:AJ57" si="19">I51*T51</f>
        <v>166.33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117</v>
      </c>
      <c r="B52" s="1" t="s">
        <v>37</v>
      </c>
      <c r="C52" s="1">
        <v>46</v>
      </c>
      <c r="D52" s="1"/>
      <c r="E52" s="1">
        <v>11</v>
      </c>
      <c r="F52" s="1">
        <f t="shared" si="9"/>
        <v>167</v>
      </c>
      <c r="G52" s="1"/>
      <c r="H52" s="1">
        <f t="shared" si="10"/>
        <v>66.2222222222222</v>
      </c>
      <c r="I52" s="7">
        <v>0.45</v>
      </c>
      <c r="J52" s="1">
        <v>50</v>
      </c>
      <c r="K52" s="1"/>
      <c r="L52" s="1"/>
      <c r="M52" s="1">
        <f t="shared" si="14"/>
        <v>11</v>
      </c>
      <c r="N52" s="1"/>
      <c r="O52" s="1"/>
      <c r="P52" s="26">
        <v>222.2222222222222</v>
      </c>
      <c r="Q52" s="1">
        <v>222.2222222222222</v>
      </c>
      <c r="R52" s="1">
        <f>IFERROR(VLOOKUP(A52,[1]TDSheet!$A:$F,3,0),0)</f>
        <v>156</v>
      </c>
      <c r="S52" s="1">
        <f t="shared" si="7"/>
        <v>33.4</v>
      </c>
      <c r="T52" s="5">
        <f t="shared" si="18"/>
        <v>156.75555555555556</v>
      </c>
      <c r="U52" s="5"/>
      <c r="V52" s="1"/>
      <c r="W52" s="1">
        <f t="shared" si="15"/>
        <v>18</v>
      </c>
      <c r="X52" s="1">
        <f t="shared" si="16"/>
        <v>13.306719893546241</v>
      </c>
      <c r="Y52" s="1">
        <v>40.6</v>
      </c>
      <c r="Z52" s="1">
        <v>22.6</v>
      </c>
      <c r="AA52" s="1">
        <v>24.6</v>
      </c>
      <c r="AB52" s="1">
        <v>28.8</v>
      </c>
      <c r="AC52" s="1">
        <v>24</v>
      </c>
      <c r="AD52" s="1">
        <v>33.799999999999997</v>
      </c>
      <c r="AE52" s="1">
        <v>31.2</v>
      </c>
      <c r="AF52" s="1">
        <v>35</v>
      </c>
      <c r="AG52" s="1">
        <v>57</v>
      </c>
      <c r="AH52" s="1">
        <v>54.4</v>
      </c>
      <c r="AI52" s="1"/>
      <c r="AJ52" s="1">
        <f t="shared" si="19"/>
        <v>70.540000000000006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118</v>
      </c>
      <c r="B53" s="1" t="s">
        <v>37</v>
      </c>
      <c r="C53" s="1">
        <v>250</v>
      </c>
      <c r="D53" s="1"/>
      <c r="E53" s="1">
        <v>160</v>
      </c>
      <c r="F53" s="1">
        <f t="shared" si="9"/>
        <v>373</v>
      </c>
      <c r="G53" s="1"/>
      <c r="H53" s="1">
        <f t="shared" si="10"/>
        <v>162</v>
      </c>
      <c r="I53" s="7">
        <v>0.4</v>
      </c>
      <c r="J53" s="1">
        <v>50</v>
      </c>
      <c r="K53" s="1"/>
      <c r="L53" s="1"/>
      <c r="M53" s="1">
        <f t="shared" si="14"/>
        <v>160</v>
      </c>
      <c r="N53" s="1"/>
      <c r="O53" s="1"/>
      <c r="P53" s="26">
        <v>375</v>
      </c>
      <c r="Q53" s="1">
        <v>250</v>
      </c>
      <c r="R53" s="1">
        <f>IFERROR(VLOOKUP(A53,[1]TDSheet!$A:$F,3,0),0)</f>
        <v>213</v>
      </c>
      <c r="S53" s="1">
        <f t="shared" si="7"/>
        <v>74.599999999999994</v>
      </c>
      <c r="T53" s="5">
        <f>16*S53-Q53-P53-G53</f>
        <v>568.59999999999991</v>
      </c>
      <c r="U53" s="5"/>
      <c r="V53" s="1"/>
      <c r="W53" s="1">
        <f t="shared" si="15"/>
        <v>16</v>
      </c>
      <c r="X53" s="1">
        <f t="shared" si="16"/>
        <v>8.3780160857908861</v>
      </c>
      <c r="Y53" s="1">
        <v>25.8</v>
      </c>
      <c r="Z53" s="1">
        <v>46.2</v>
      </c>
      <c r="AA53" s="1">
        <v>43.4</v>
      </c>
      <c r="AB53" s="1">
        <v>23.2</v>
      </c>
      <c r="AC53" s="1">
        <v>34.6</v>
      </c>
      <c r="AD53" s="1">
        <v>26.6</v>
      </c>
      <c r="AE53" s="1">
        <v>43.2</v>
      </c>
      <c r="AF53" s="1">
        <v>71</v>
      </c>
      <c r="AG53" s="1">
        <v>57.8</v>
      </c>
      <c r="AH53" s="1">
        <v>48.6</v>
      </c>
      <c r="AI53" s="1"/>
      <c r="AJ53" s="1">
        <f t="shared" si="19"/>
        <v>227.43999999999997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119</v>
      </c>
      <c r="B54" s="1" t="s">
        <v>41</v>
      </c>
      <c r="C54" s="1">
        <v>148.697</v>
      </c>
      <c r="D54" s="1"/>
      <c r="E54" s="1">
        <v>66.367999999999995</v>
      </c>
      <c r="F54" s="1">
        <f t="shared" si="9"/>
        <v>128.90799999999999</v>
      </c>
      <c r="G54" s="1">
        <v>63.648000000000003</v>
      </c>
      <c r="H54" s="1">
        <f t="shared" si="10"/>
        <v>101.108</v>
      </c>
      <c r="I54" s="7">
        <v>1</v>
      </c>
      <c r="J54" s="1">
        <v>50</v>
      </c>
      <c r="K54" s="1"/>
      <c r="L54" s="1"/>
      <c r="M54" s="1">
        <f t="shared" si="14"/>
        <v>66.367999999999995</v>
      </c>
      <c r="N54" s="1"/>
      <c r="O54" s="1"/>
      <c r="P54" s="26">
        <v>100</v>
      </c>
      <c r="Q54" s="1">
        <v>100</v>
      </c>
      <c r="R54" s="1">
        <f>IFERROR(VLOOKUP(A54,[1]TDSheet!$A:$F,3,0),0)</f>
        <v>62.54</v>
      </c>
      <c r="S54" s="1">
        <f t="shared" si="7"/>
        <v>25.781599999999997</v>
      </c>
      <c r="T54" s="5">
        <f t="shared" si="18"/>
        <v>200.42079999999996</v>
      </c>
      <c r="U54" s="5"/>
      <c r="V54" s="1"/>
      <c r="W54" s="1">
        <f t="shared" si="15"/>
        <v>18.000000000000004</v>
      </c>
      <c r="X54" s="1">
        <f t="shared" si="16"/>
        <v>10.226207838148138</v>
      </c>
      <c r="Y54" s="1">
        <v>21.547599999999999</v>
      </c>
      <c r="Z54" s="1">
        <v>7.4947999999999997</v>
      </c>
      <c r="AA54" s="1">
        <v>17.145800000000001</v>
      </c>
      <c r="AB54" s="1">
        <v>15.8568</v>
      </c>
      <c r="AC54" s="1">
        <v>8.4109999999999996</v>
      </c>
      <c r="AD54" s="1">
        <v>12.446400000000001</v>
      </c>
      <c r="AE54" s="1">
        <v>12.026999999999999</v>
      </c>
      <c r="AF54" s="1">
        <v>24.9512</v>
      </c>
      <c r="AG54" s="1">
        <v>21.7942</v>
      </c>
      <c r="AH54" s="1">
        <v>20.4556</v>
      </c>
      <c r="AI54" s="1"/>
      <c r="AJ54" s="1">
        <f t="shared" si="19"/>
        <v>200.42079999999996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120</v>
      </c>
      <c r="B55" s="1" t="s">
        <v>37</v>
      </c>
      <c r="C55" s="1">
        <v>334</v>
      </c>
      <c r="D55" s="1"/>
      <c r="E55" s="1">
        <v>297</v>
      </c>
      <c r="F55" s="1">
        <f t="shared" si="9"/>
        <v>605</v>
      </c>
      <c r="G55" s="1">
        <v>-8</v>
      </c>
      <c r="H55" s="1">
        <f t="shared" si="10"/>
        <v>128.44444444444451</v>
      </c>
      <c r="I55" s="7">
        <v>0.45</v>
      </c>
      <c r="J55" s="1">
        <v>50</v>
      </c>
      <c r="K55" s="1"/>
      <c r="L55" s="1"/>
      <c r="M55" s="1">
        <f t="shared" si="14"/>
        <v>297</v>
      </c>
      <c r="N55" s="1"/>
      <c r="O55" s="1"/>
      <c r="P55" s="26">
        <v>444.44444444444451</v>
      </c>
      <c r="Q55" s="1">
        <v>555.55555555555554</v>
      </c>
      <c r="R55" s="1">
        <f>IFERROR(VLOOKUP(A55,[1]TDSheet!$A:$F,3,0),0)</f>
        <v>308</v>
      </c>
      <c r="S55" s="1">
        <f t="shared" si="7"/>
        <v>121</v>
      </c>
      <c r="T55" s="5">
        <f>16*S55-Q55-P55-G55</f>
        <v>943.99999999999977</v>
      </c>
      <c r="U55" s="5"/>
      <c r="V55" s="1"/>
      <c r="W55" s="1">
        <f t="shared" si="15"/>
        <v>15.999999999999998</v>
      </c>
      <c r="X55" s="1">
        <f t="shared" si="16"/>
        <v>8.1983471074380159</v>
      </c>
      <c r="Y55" s="1">
        <v>86.2</v>
      </c>
      <c r="Z55" s="1">
        <v>103.2</v>
      </c>
      <c r="AA55" s="1">
        <v>25.4</v>
      </c>
      <c r="AB55" s="1">
        <v>55.8</v>
      </c>
      <c r="AC55" s="1">
        <v>68</v>
      </c>
      <c r="AD55" s="1">
        <v>65.2</v>
      </c>
      <c r="AE55" s="1">
        <v>53.2</v>
      </c>
      <c r="AF55" s="1">
        <v>106.2</v>
      </c>
      <c r="AG55" s="1">
        <v>81.599999999999994</v>
      </c>
      <c r="AH55" s="1">
        <v>88.6</v>
      </c>
      <c r="AI55" s="1" t="s">
        <v>54</v>
      </c>
      <c r="AJ55" s="1">
        <f t="shared" si="19"/>
        <v>424.7999999999999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121</v>
      </c>
      <c r="B56" s="1" t="s">
        <v>37</v>
      </c>
      <c r="C56" s="1">
        <v>72</v>
      </c>
      <c r="D56" s="1"/>
      <c r="E56" s="1">
        <v>30</v>
      </c>
      <c r="F56" s="1">
        <f t="shared" si="9"/>
        <v>55</v>
      </c>
      <c r="G56" s="1">
        <v>42</v>
      </c>
      <c r="H56" s="1">
        <f t="shared" si="10"/>
        <v>17</v>
      </c>
      <c r="I56" s="7">
        <v>0.17</v>
      </c>
      <c r="J56" s="1">
        <v>180</v>
      </c>
      <c r="K56" s="1"/>
      <c r="L56" s="1"/>
      <c r="M56" s="1">
        <f t="shared" si="14"/>
        <v>30</v>
      </c>
      <c r="N56" s="1"/>
      <c r="O56" s="1"/>
      <c r="P56" s="26">
        <v>0</v>
      </c>
      <c r="Q56" s="1">
        <v>294.11764705882348</v>
      </c>
      <c r="R56" s="1">
        <f>IFERROR(VLOOKUP(A56,[1]TDSheet!$A:$F,3,0),0)</f>
        <v>25</v>
      </c>
      <c r="S56" s="1">
        <f t="shared" si="7"/>
        <v>11</v>
      </c>
      <c r="T56" s="5"/>
      <c r="U56" s="5"/>
      <c r="V56" s="1"/>
      <c r="W56" s="1">
        <f t="shared" si="15"/>
        <v>30.556149732620316</v>
      </c>
      <c r="X56" s="1">
        <f t="shared" si="16"/>
        <v>30.556149732620316</v>
      </c>
      <c r="Y56" s="1">
        <v>8.6</v>
      </c>
      <c r="Z56" s="1">
        <v>10.6</v>
      </c>
      <c r="AA56" s="1">
        <v>6.6</v>
      </c>
      <c r="AB56" s="1">
        <v>16</v>
      </c>
      <c r="AC56" s="1">
        <v>13</v>
      </c>
      <c r="AD56" s="1">
        <v>6</v>
      </c>
      <c r="AE56" s="1">
        <v>7.2</v>
      </c>
      <c r="AF56" s="1">
        <v>11.4</v>
      </c>
      <c r="AG56" s="1">
        <v>8</v>
      </c>
      <c r="AH56" s="1">
        <v>3.2</v>
      </c>
      <c r="AI56" s="1"/>
      <c r="AJ56" s="1">
        <f t="shared" si="1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0" t="s">
        <v>122</v>
      </c>
      <c r="B57" s="1" t="s">
        <v>37</v>
      </c>
      <c r="C57" s="1">
        <v>300</v>
      </c>
      <c r="D57" s="1"/>
      <c r="E57" s="1">
        <v>34</v>
      </c>
      <c r="F57" s="1">
        <f t="shared" si="9"/>
        <v>72</v>
      </c>
      <c r="G57" s="1">
        <v>266</v>
      </c>
      <c r="H57" s="1">
        <f t="shared" si="10"/>
        <v>228</v>
      </c>
      <c r="I57" s="7">
        <v>0.17</v>
      </c>
      <c r="J57" s="1">
        <v>180</v>
      </c>
      <c r="K57" s="1"/>
      <c r="L57" s="1"/>
      <c r="M57" s="1">
        <f t="shared" si="14"/>
        <v>34</v>
      </c>
      <c r="N57" s="1"/>
      <c r="O57" s="1"/>
      <c r="P57" s="26">
        <v>0</v>
      </c>
      <c r="Q57" s="1">
        <v>0</v>
      </c>
      <c r="R57" s="1">
        <f>IFERROR(VLOOKUP(A57,[1]TDSheet!$A:$F,3,0),0)</f>
        <v>38</v>
      </c>
      <c r="S57" s="1">
        <f t="shared" ref="S38:S69" si="20">E57/5</f>
        <v>6.8</v>
      </c>
      <c r="T57" s="5"/>
      <c r="U57" s="5"/>
      <c r="V57" s="1"/>
      <c r="W57" s="1">
        <f t="shared" si="15"/>
        <v>39.117647058823529</v>
      </c>
      <c r="X57" s="1">
        <f t="shared" si="16"/>
        <v>39.117647058823529</v>
      </c>
      <c r="Y57" s="1">
        <v>14</v>
      </c>
      <c r="Z57" s="1">
        <v>16.600000000000001</v>
      </c>
      <c r="AA57" s="1">
        <v>26.4</v>
      </c>
      <c r="AB57" s="1">
        <v>16.399999999999999</v>
      </c>
      <c r="AC57" s="1">
        <v>19.600000000000001</v>
      </c>
      <c r="AD57" s="1">
        <v>0</v>
      </c>
      <c r="AE57" s="1">
        <v>34</v>
      </c>
      <c r="AF57" s="1">
        <v>0</v>
      </c>
      <c r="AG57" s="1">
        <v>10.6</v>
      </c>
      <c r="AH57" s="1">
        <v>11</v>
      </c>
      <c r="AI57" s="15" t="s">
        <v>130</v>
      </c>
      <c r="AJ57" s="1">
        <f t="shared" si="1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20" t="s">
        <v>123</v>
      </c>
      <c r="B58" s="21" t="s">
        <v>41</v>
      </c>
      <c r="C58" s="20"/>
      <c r="D58" s="20">
        <v>25.34</v>
      </c>
      <c r="E58" s="20"/>
      <c r="F58" s="20"/>
      <c r="G58" s="20">
        <v>25.34</v>
      </c>
      <c r="H58" s="1">
        <f t="shared" si="10"/>
        <v>25.34</v>
      </c>
      <c r="I58" s="22">
        <v>0</v>
      </c>
      <c r="J58" s="20"/>
      <c r="K58" s="21" t="s">
        <v>129</v>
      </c>
      <c r="L58" s="20"/>
      <c r="M58" s="20">
        <f t="shared" si="14"/>
        <v>0</v>
      </c>
      <c r="N58" s="20"/>
      <c r="O58" s="20"/>
      <c r="P58" s="30"/>
      <c r="Q58" s="20"/>
      <c r="R58" s="20">
        <f>IFERROR(VLOOKUP(A58,[1]TDSheet!$A:$F,3,0),0)</f>
        <v>0</v>
      </c>
      <c r="S58" s="20">
        <f t="shared" si="20"/>
        <v>0</v>
      </c>
      <c r="T58" s="23"/>
      <c r="U58" s="23"/>
      <c r="V58" s="20"/>
      <c r="W58" s="20" t="e">
        <f t="shared" si="15"/>
        <v>#DIV/0!</v>
      </c>
      <c r="X58" s="20" t="e">
        <f t="shared" si="16"/>
        <v>#DIV/0!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/>
      <c r="AJ58" s="20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20" t="s">
        <v>124</v>
      </c>
      <c r="B59" s="21" t="s">
        <v>41</v>
      </c>
      <c r="C59" s="20"/>
      <c r="D59" s="20">
        <v>34.6</v>
      </c>
      <c r="E59" s="20"/>
      <c r="F59" s="20"/>
      <c r="G59" s="20">
        <v>34.6</v>
      </c>
      <c r="H59" s="1">
        <f t="shared" si="10"/>
        <v>34.6</v>
      </c>
      <c r="I59" s="22">
        <v>0</v>
      </c>
      <c r="J59" s="20"/>
      <c r="K59" s="21" t="s">
        <v>129</v>
      </c>
      <c r="L59" s="20"/>
      <c r="M59" s="20">
        <f t="shared" si="14"/>
        <v>0</v>
      </c>
      <c r="N59" s="20"/>
      <c r="O59" s="20"/>
      <c r="P59" s="30"/>
      <c r="Q59" s="20"/>
      <c r="R59" s="20">
        <f>IFERROR(VLOOKUP(A59,[1]TDSheet!$A:$F,3,0),0)</f>
        <v>0</v>
      </c>
      <c r="S59" s="20">
        <f t="shared" si="20"/>
        <v>0</v>
      </c>
      <c r="T59" s="23"/>
      <c r="U59" s="23"/>
      <c r="V59" s="20"/>
      <c r="W59" s="20" t="e">
        <f t="shared" si="15"/>
        <v>#DIV/0!</v>
      </c>
      <c r="X59" s="20" t="e">
        <f t="shared" si="16"/>
        <v>#DIV/0!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/>
      <c r="AJ59" s="20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20" t="s">
        <v>125</v>
      </c>
      <c r="B60" s="21" t="s">
        <v>37</v>
      </c>
      <c r="C60" s="20"/>
      <c r="D60" s="20">
        <v>109</v>
      </c>
      <c r="E60" s="20"/>
      <c r="F60" s="20"/>
      <c r="G60" s="20">
        <v>109</v>
      </c>
      <c r="H60" s="1">
        <f t="shared" si="10"/>
        <v>109</v>
      </c>
      <c r="I60" s="22">
        <v>0</v>
      </c>
      <c r="J60" s="20"/>
      <c r="K60" s="21" t="s">
        <v>129</v>
      </c>
      <c r="L60" s="20"/>
      <c r="M60" s="20">
        <f t="shared" si="14"/>
        <v>0</v>
      </c>
      <c r="N60" s="20"/>
      <c r="O60" s="20"/>
      <c r="P60" s="30"/>
      <c r="Q60" s="20"/>
      <c r="R60" s="20">
        <f>IFERROR(VLOOKUP(A60,[1]TDSheet!$A:$F,3,0),0)</f>
        <v>0</v>
      </c>
      <c r="S60" s="20">
        <f t="shared" si="20"/>
        <v>0</v>
      </c>
      <c r="T60" s="23"/>
      <c r="U60" s="23"/>
      <c r="V60" s="20"/>
      <c r="W60" s="20" t="e">
        <f t="shared" si="15"/>
        <v>#DIV/0!</v>
      </c>
      <c r="X60" s="20" t="e">
        <f t="shared" si="16"/>
        <v>#DIV/0!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/>
      <c r="AJ60" s="20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20" t="s">
        <v>126</v>
      </c>
      <c r="B61" s="21" t="s">
        <v>41</v>
      </c>
      <c r="C61" s="20"/>
      <c r="D61" s="20">
        <v>52.25</v>
      </c>
      <c r="E61" s="20"/>
      <c r="F61" s="20"/>
      <c r="G61" s="20">
        <v>52.25</v>
      </c>
      <c r="H61" s="1">
        <f t="shared" si="10"/>
        <v>52.25</v>
      </c>
      <c r="I61" s="22">
        <v>0</v>
      </c>
      <c r="J61" s="20"/>
      <c r="K61" s="21" t="s">
        <v>129</v>
      </c>
      <c r="L61" s="20"/>
      <c r="M61" s="20">
        <f t="shared" si="14"/>
        <v>0</v>
      </c>
      <c r="N61" s="20"/>
      <c r="O61" s="20"/>
      <c r="P61" s="30"/>
      <c r="Q61" s="20"/>
      <c r="R61" s="20">
        <f>IFERROR(VLOOKUP(A61,[1]TDSheet!$A:$F,3,0),0)</f>
        <v>0</v>
      </c>
      <c r="S61" s="20">
        <f t="shared" si="20"/>
        <v>0</v>
      </c>
      <c r="T61" s="23"/>
      <c r="U61" s="23"/>
      <c r="V61" s="20"/>
      <c r="W61" s="20" t="e">
        <f t="shared" si="15"/>
        <v>#DIV/0!</v>
      </c>
      <c r="X61" s="20" t="e">
        <f t="shared" si="16"/>
        <v>#DIV/0!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/>
      <c r="AJ61" s="20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20" t="s">
        <v>127</v>
      </c>
      <c r="B62" s="21" t="s">
        <v>41</v>
      </c>
      <c r="C62" s="20"/>
      <c r="D62" s="20">
        <v>185</v>
      </c>
      <c r="E62" s="20"/>
      <c r="F62" s="20"/>
      <c r="G62" s="20">
        <v>185</v>
      </c>
      <c r="H62" s="1">
        <f t="shared" si="10"/>
        <v>185</v>
      </c>
      <c r="I62" s="22">
        <v>0</v>
      </c>
      <c r="J62" s="20"/>
      <c r="K62" s="21" t="s">
        <v>129</v>
      </c>
      <c r="L62" s="20"/>
      <c r="M62" s="20">
        <f t="shared" si="14"/>
        <v>0</v>
      </c>
      <c r="N62" s="20"/>
      <c r="O62" s="20"/>
      <c r="P62" s="30"/>
      <c r="Q62" s="20"/>
      <c r="R62" s="20">
        <f>IFERROR(VLOOKUP(A62,[1]TDSheet!$A:$F,3,0),0)</f>
        <v>0</v>
      </c>
      <c r="S62" s="20">
        <f t="shared" si="20"/>
        <v>0</v>
      </c>
      <c r="T62" s="23"/>
      <c r="U62" s="23"/>
      <c r="V62" s="20"/>
      <c r="W62" s="20" t="e">
        <f t="shared" si="15"/>
        <v>#DIV/0!</v>
      </c>
      <c r="X62" s="20" t="e">
        <f t="shared" si="16"/>
        <v>#DIV/0!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/>
      <c r="AJ62" s="20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20" t="s">
        <v>128</v>
      </c>
      <c r="B63" s="21" t="s">
        <v>41</v>
      </c>
      <c r="C63" s="20"/>
      <c r="D63" s="20">
        <v>14.3</v>
      </c>
      <c r="E63" s="20"/>
      <c r="F63" s="20"/>
      <c r="G63" s="20">
        <v>14.3</v>
      </c>
      <c r="H63" s="1">
        <f t="shared" si="10"/>
        <v>14.3</v>
      </c>
      <c r="I63" s="22">
        <v>0</v>
      </c>
      <c r="J63" s="20"/>
      <c r="K63" s="21" t="s">
        <v>129</v>
      </c>
      <c r="L63" s="20"/>
      <c r="M63" s="20">
        <f t="shared" si="14"/>
        <v>0</v>
      </c>
      <c r="N63" s="20"/>
      <c r="O63" s="20"/>
      <c r="P63" s="30"/>
      <c r="Q63" s="20"/>
      <c r="R63" s="20">
        <f>IFERROR(VLOOKUP(A63,[1]TDSheet!$A:$F,3,0),0)</f>
        <v>0</v>
      </c>
      <c r="S63" s="20">
        <f t="shared" si="20"/>
        <v>0</v>
      </c>
      <c r="T63" s="23"/>
      <c r="U63" s="23"/>
      <c r="V63" s="20"/>
      <c r="W63" s="20" t="e">
        <f t="shared" si="15"/>
        <v>#DIV/0!</v>
      </c>
      <c r="X63" s="20" t="e">
        <f t="shared" si="16"/>
        <v>#DIV/0!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/>
      <c r="AJ63" s="20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7" t="s">
        <v>97</v>
      </c>
      <c r="B64" s="17" t="s">
        <v>41</v>
      </c>
      <c r="C64" s="17">
        <v>-19.963999999999999</v>
      </c>
      <c r="D64" s="17">
        <v>67.584999999999994</v>
      </c>
      <c r="E64" s="16">
        <v>52.500999999999998</v>
      </c>
      <c r="F64" s="16"/>
      <c r="G64" s="16">
        <v>-19.806000000000001</v>
      </c>
      <c r="H64" s="1">
        <f t="shared" si="10"/>
        <v>-37.466999999999999</v>
      </c>
      <c r="I64" s="18">
        <v>0</v>
      </c>
      <c r="J64" s="17"/>
      <c r="K64" s="17" t="s">
        <v>98</v>
      </c>
      <c r="L64" s="17"/>
      <c r="M64" s="17">
        <f t="shared" si="14"/>
        <v>52.500999999999998</v>
      </c>
      <c r="N64" s="17"/>
      <c r="O64" s="17"/>
      <c r="P64" s="31"/>
      <c r="Q64" s="17">
        <v>0</v>
      </c>
      <c r="R64" s="17">
        <f>IFERROR(VLOOKUP(A64,[1]TDSheet!$A:$F,3,0),0)</f>
        <v>17.661000000000001</v>
      </c>
      <c r="S64" s="17">
        <f t="shared" si="20"/>
        <v>10.5002</v>
      </c>
      <c r="T64" s="19"/>
      <c r="U64" s="19"/>
      <c r="V64" s="17"/>
      <c r="W64" s="17">
        <f t="shared" si="15"/>
        <v>-1.8862497857183675</v>
      </c>
      <c r="X64" s="17">
        <f t="shared" si="16"/>
        <v>-1.8862497857183675</v>
      </c>
      <c r="Y64" s="17">
        <v>7.4804000000000004</v>
      </c>
      <c r="Z64" s="17">
        <v>10.991199999999999</v>
      </c>
      <c r="AA64" s="17">
        <v>10.4558</v>
      </c>
      <c r="AB64" s="17">
        <v>22.629000000000001</v>
      </c>
      <c r="AC64" s="17">
        <v>11.0336</v>
      </c>
      <c r="AD64" s="17">
        <v>5.0026000000000002</v>
      </c>
      <c r="AE64" s="17">
        <v>19.802800000000001</v>
      </c>
      <c r="AF64" s="17">
        <v>14.9948</v>
      </c>
      <c r="AG64" s="17">
        <v>14.9948</v>
      </c>
      <c r="AH64" s="17">
        <v>2.9929999999999999</v>
      </c>
      <c r="AI64" s="17"/>
      <c r="AJ64" s="17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7" t="s">
        <v>99</v>
      </c>
      <c r="B65" s="17" t="s">
        <v>41</v>
      </c>
      <c r="C65" s="17"/>
      <c r="D65" s="17">
        <v>10.034000000000001</v>
      </c>
      <c r="E65" s="17"/>
      <c r="F65" s="17"/>
      <c r="G65" s="17"/>
      <c r="H65" s="1">
        <f t="shared" si="10"/>
        <v>-5.0259999999999998</v>
      </c>
      <c r="I65" s="18">
        <v>0</v>
      </c>
      <c r="J65" s="17"/>
      <c r="K65" s="17" t="s">
        <v>98</v>
      </c>
      <c r="L65" s="17"/>
      <c r="M65" s="17">
        <f t="shared" si="14"/>
        <v>0</v>
      </c>
      <c r="N65" s="17"/>
      <c r="O65" s="17"/>
      <c r="P65" s="31"/>
      <c r="Q65" s="17">
        <v>0</v>
      </c>
      <c r="R65" s="17">
        <f>IFERROR(VLOOKUP(A65,[1]TDSheet!$A:$F,3,0),0)</f>
        <v>5.0259999999999998</v>
      </c>
      <c r="S65" s="17">
        <f t="shared" si="20"/>
        <v>0</v>
      </c>
      <c r="T65" s="19"/>
      <c r="U65" s="19"/>
      <c r="V65" s="17"/>
      <c r="W65" s="17" t="e">
        <f t="shared" si="15"/>
        <v>#DIV/0!</v>
      </c>
      <c r="X65" s="17" t="e">
        <f t="shared" si="16"/>
        <v>#DIV/0!</v>
      </c>
      <c r="Y65" s="17">
        <v>2.0068000000000001</v>
      </c>
      <c r="Z65" s="17">
        <v>1.4366000000000001</v>
      </c>
      <c r="AA65" s="17">
        <v>0.14319999999999999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/>
      <c r="AJ65" s="17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7" t="s">
        <v>100</v>
      </c>
      <c r="B66" s="17" t="s">
        <v>37</v>
      </c>
      <c r="C66" s="17">
        <v>-1</v>
      </c>
      <c r="D66" s="17">
        <v>5</v>
      </c>
      <c r="E66" s="16">
        <v>2</v>
      </c>
      <c r="F66" s="16"/>
      <c r="G66" s="17"/>
      <c r="H66" s="1">
        <f t="shared" si="10"/>
        <v>-1</v>
      </c>
      <c r="I66" s="18">
        <v>0</v>
      </c>
      <c r="J66" s="17"/>
      <c r="K66" s="17" t="s">
        <v>98</v>
      </c>
      <c r="L66" s="17"/>
      <c r="M66" s="17">
        <f t="shared" si="14"/>
        <v>2</v>
      </c>
      <c r="N66" s="17"/>
      <c r="O66" s="17"/>
      <c r="P66" s="31"/>
      <c r="Q66" s="17">
        <v>0</v>
      </c>
      <c r="R66" s="17">
        <f>IFERROR(VLOOKUP(A66,[1]TDSheet!$A:$F,3,0),0)</f>
        <v>1</v>
      </c>
      <c r="S66" s="17">
        <f t="shared" si="20"/>
        <v>0.4</v>
      </c>
      <c r="T66" s="19"/>
      <c r="U66" s="19"/>
      <c r="V66" s="17"/>
      <c r="W66" s="17">
        <f t="shared" si="15"/>
        <v>0</v>
      </c>
      <c r="X66" s="17">
        <f t="shared" si="16"/>
        <v>0</v>
      </c>
      <c r="Y66" s="17">
        <v>0.6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/>
      <c r="AJ66" s="17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7" t="s">
        <v>101</v>
      </c>
      <c r="B67" s="17" t="s">
        <v>37</v>
      </c>
      <c r="C67" s="17">
        <v>-44</v>
      </c>
      <c r="D67" s="17">
        <v>101</v>
      </c>
      <c r="E67" s="16">
        <v>30</v>
      </c>
      <c r="F67" s="16"/>
      <c r="G67" s="17"/>
      <c r="H67" s="1">
        <f t="shared" si="10"/>
        <v>-52</v>
      </c>
      <c r="I67" s="18">
        <v>0</v>
      </c>
      <c r="J67" s="17"/>
      <c r="K67" s="17" t="s">
        <v>98</v>
      </c>
      <c r="L67" s="17"/>
      <c r="M67" s="17">
        <f t="shared" si="14"/>
        <v>30</v>
      </c>
      <c r="N67" s="17"/>
      <c r="O67" s="17"/>
      <c r="P67" s="31"/>
      <c r="Q67" s="17">
        <v>0</v>
      </c>
      <c r="R67" s="17">
        <f>IFERROR(VLOOKUP(A67,[1]TDSheet!$A:$F,3,0),0)</f>
        <v>52</v>
      </c>
      <c r="S67" s="17">
        <f t="shared" si="20"/>
        <v>6</v>
      </c>
      <c r="T67" s="19"/>
      <c r="U67" s="19"/>
      <c r="V67" s="17"/>
      <c r="W67" s="17">
        <f t="shared" si="15"/>
        <v>0</v>
      </c>
      <c r="X67" s="17">
        <f t="shared" si="16"/>
        <v>0</v>
      </c>
      <c r="Y67" s="17">
        <v>12</v>
      </c>
      <c r="Z67" s="17">
        <v>2.2000000000000002</v>
      </c>
      <c r="AA67" s="17">
        <v>3.4</v>
      </c>
      <c r="AB67" s="17">
        <v>10.8</v>
      </c>
      <c r="AC67" s="17">
        <v>2.4</v>
      </c>
      <c r="AD67" s="17">
        <v>6.6</v>
      </c>
      <c r="AE67" s="17">
        <v>6.8</v>
      </c>
      <c r="AF67" s="17">
        <v>0</v>
      </c>
      <c r="AG67" s="17">
        <v>0</v>
      </c>
      <c r="AH67" s="17">
        <v>0</v>
      </c>
      <c r="AI67" s="17"/>
      <c r="AJ67" s="17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7" t="s">
        <v>102</v>
      </c>
      <c r="B68" s="17" t="s">
        <v>41</v>
      </c>
      <c r="C68" s="17">
        <v>-30.917999999999999</v>
      </c>
      <c r="D68" s="17">
        <v>42.555999999999997</v>
      </c>
      <c r="E68" s="16">
        <v>4.3760000000000003</v>
      </c>
      <c r="F68" s="16"/>
      <c r="G68" s="17"/>
      <c r="H68" s="1">
        <f t="shared" si="10"/>
        <v>-27.370999999999999</v>
      </c>
      <c r="I68" s="18">
        <v>0</v>
      </c>
      <c r="J68" s="17"/>
      <c r="K68" s="17" t="s">
        <v>98</v>
      </c>
      <c r="L68" s="17"/>
      <c r="M68" s="17">
        <f t="shared" si="14"/>
        <v>4.3760000000000003</v>
      </c>
      <c r="N68" s="17"/>
      <c r="O68" s="17"/>
      <c r="P68" s="31"/>
      <c r="Q68" s="17">
        <v>0</v>
      </c>
      <c r="R68" s="17">
        <f>IFERROR(VLOOKUP(A68,[1]TDSheet!$A:$F,3,0),0)</f>
        <v>27.370999999999999</v>
      </c>
      <c r="S68" s="17">
        <f t="shared" si="20"/>
        <v>0.87520000000000009</v>
      </c>
      <c r="T68" s="19"/>
      <c r="U68" s="19"/>
      <c r="V68" s="17"/>
      <c r="W68" s="17">
        <f t="shared" si="15"/>
        <v>0</v>
      </c>
      <c r="X68" s="17">
        <f t="shared" si="16"/>
        <v>0</v>
      </c>
      <c r="Y68" s="17">
        <v>7.6360000000000001</v>
      </c>
      <c r="Z68" s="17">
        <v>2.0653999999999999</v>
      </c>
      <c r="AA68" s="17">
        <v>1.1768000000000001</v>
      </c>
      <c r="AB68" s="17">
        <v>6.3356000000000003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/>
      <c r="AJ68" s="17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7" t="s">
        <v>103</v>
      </c>
      <c r="B69" s="17" t="s">
        <v>37</v>
      </c>
      <c r="C69" s="17">
        <v>-4</v>
      </c>
      <c r="D69" s="17">
        <v>34</v>
      </c>
      <c r="E69" s="16">
        <v>9</v>
      </c>
      <c r="F69" s="16"/>
      <c r="G69" s="17"/>
      <c r="H69" s="1">
        <f t="shared" si="10"/>
        <v>-34</v>
      </c>
      <c r="I69" s="18">
        <v>0</v>
      </c>
      <c r="J69" s="17"/>
      <c r="K69" s="17" t="s">
        <v>98</v>
      </c>
      <c r="L69" s="17"/>
      <c r="M69" s="17">
        <f t="shared" si="14"/>
        <v>9</v>
      </c>
      <c r="N69" s="17"/>
      <c r="O69" s="17"/>
      <c r="P69" s="31"/>
      <c r="Q69" s="17">
        <v>0</v>
      </c>
      <c r="R69" s="17">
        <f>IFERROR(VLOOKUP(A69,[1]TDSheet!$A:$F,3,0),0)</f>
        <v>34</v>
      </c>
      <c r="S69" s="17">
        <f t="shared" si="20"/>
        <v>1.8</v>
      </c>
      <c r="T69" s="19"/>
      <c r="U69" s="19"/>
      <c r="V69" s="17"/>
      <c r="W69" s="17">
        <f t="shared" si="15"/>
        <v>0</v>
      </c>
      <c r="X69" s="17">
        <f t="shared" si="16"/>
        <v>0</v>
      </c>
      <c r="Y69" s="17">
        <v>4.4000000000000004</v>
      </c>
      <c r="Z69" s="17">
        <v>10.199999999999999</v>
      </c>
      <c r="AA69" s="17">
        <v>1.8</v>
      </c>
      <c r="AB69" s="17">
        <v>4.5999999999999996</v>
      </c>
      <c r="AC69" s="17">
        <v>5.4</v>
      </c>
      <c r="AD69" s="17">
        <v>6.8</v>
      </c>
      <c r="AE69" s="17">
        <v>5.2</v>
      </c>
      <c r="AF69" s="17">
        <v>6.4</v>
      </c>
      <c r="AG69" s="17">
        <v>2.6</v>
      </c>
      <c r="AH69" s="17">
        <v>5.6</v>
      </c>
      <c r="AI69" s="17"/>
      <c r="AJ69" s="17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7" t="s">
        <v>104</v>
      </c>
      <c r="B70" s="17" t="s">
        <v>41</v>
      </c>
      <c r="C70" s="17">
        <v>-12.086</v>
      </c>
      <c r="D70" s="17">
        <v>25.513000000000002</v>
      </c>
      <c r="E70" s="16">
        <v>8.0470000000000006</v>
      </c>
      <c r="F70" s="16"/>
      <c r="G70" s="17"/>
      <c r="H70" s="1">
        <f t="shared" si="10"/>
        <v>-19.077999999999999</v>
      </c>
      <c r="I70" s="18">
        <v>0</v>
      </c>
      <c r="J70" s="17"/>
      <c r="K70" s="17" t="s">
        <v>98</v>
      </c>
      <c r="L70" s="17"/>
      <c r="M70" s="17">
        <f t="shared" ref="M70:M81" si="21">E70-L70</f>
        <v>8.0470000000000006</v>
      </c>
      <c r="N70" s="17"/>
      <c r="O70" s="17"/>
      <c r="P70" s="31"/>
      <c r="Q70" s="17">
        <v>0</v>
      </c>
      <c r="R70" s="17">
        <f>IFERROR(VLOOKUP(A70,[1]TDSheet!$A:$F,3,0),0)</f>
        <v>19.077999999999999</v>
      </c>
      <c r="S70" s="17">
        <f t="shared" ref="S70:S81" si="22">E70/5</f>
        <v>1.6094000000000002</v>
      </c>
      <c r="T70" s="19"/>
      <c r="U70" s="19"/>
      <c r="V70" s="17"/>
      <c r="W70" s="17">
        <f t="shared" ref="W70:W81" si="23">(G70+P70+Q70+T70)/S70</f>
        <v>0</v>
      </c>
      <c r="X70" s="17">
        <f t="shared" ref="X70:X81" si="24">(G70+P70+Q70)/S70</f>
        <v>0</v>
      </c>
      <c r="Y70" s="17">
        <v>3.2229999999999999</v>
      </c>
      <c r="Z70" s="17">
        <v>5.2504</v>
      </c>
      <c r="AA70" s="17">
        <v>2.7080000000000002</v>
      </c>
      <c r="AB70" s="17">
        <v>5.9413999999999998</v>
      </c>
      <c r="AC70" s="17">
        <v>2.9916</v>
      </c>
      <c r="AD70" s="17">
        <v>4.6656000000000004</v>
      </c>
      <c r="AE70" s="17">
        <v>4.0814000000000004</v>
      </c>
      <c r="AF70" s="17">
        <v>2.9445999999999999</v>
      </c>
      <c r="AG70" s="17">
        <v>2.4281999999999999</v>
      </c>
      <c r="AH70" s="17">
        <v>4.3323999999999998</v>
      </c>
      <c r="AI70" s="17"/>
      <c r="AJ70" s="17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7" t="s">
        <v>105</v>
      </c>
      <c r="B71" s="17" t="s">
        <v>37</v>
      </c>
      <c r="C71" s="17">
        <v>-33</v>
      </c>
      <c r="D71" s="17">
        <v>82</v>
      </c>
      <c r="E71" s="16">
        <v>43</v>
      </c>
      <c r="F71" s="16"/>
      <c r="G71" s="16">
        <v>-11</v>
      </c>
      <c r="H71" s="1">
        <f t="shared" si="10"/>
        <v>-15</v>
      </c>
      <c r="I71" s="18">
        <v>0</v>
      </c>
      <c r="J71" s="17"/>
      <c r="K71" s="17" t="s">
        <v>98</v>
      </c>
      <c r="L71" s="17"/>
      <c r="M71" s="17">
        <f t="shared" si="21"/>
        <v>43</v>
      </c>
      <c r="N71" s="17"/>
      <c r="O71" s="17"/>
      <c r="P71" s="31"/>
      <c r="Q71" s="17">
        <v>0</v>
      </c>
      <c r="R71" s="17">
        <f>IFERROR(VLOOKUP(A71,[1]TDSheet!$A:$F,3,0),0)</f>
        <v>4</v>
      </c>
      <c r="S71" s="17">
        <f t="shared" si="22"/>
        <v>8.6</v>
      </c>
      <c r="T71" s="19"/>
      <c r="U71" s="19"/>
      <c r="V71" s="17"/>
      <c r="W71" s="17">
        <f t="shared" si="23"/>
        <v>-1.2790697674418605</v>
      </c>
      <c r="X71" s="17">
        <f t="shared" si="24"/>
        <v>-1.2790697674418605</v>
      </c>
      <c r="Y71" s="17">
        <v>7.2</v>
      </c>
      <c r="Z71" s="17">
        <v>3</v>
      </c>
      <c r="AA71" s="17">
        <v>5.2</v>
      </c>
      <c r="AB71" s="17">
        <v>1.4</v>
      </c>
      <c r="AC71" s="17">
        <v>2</v>
      </c>
      <c r="AD71" s="17">
        <v>6</v>
      </c>
      <c r="AE71" s="17">
        <v>5.6</v>
      </c>
      <c r="AF71" s="17">
        <v>4.4000000000000004</v>
      </c>
      <c r="AG71" s="17">
        <v>2.2000000000000002</v>
      </c>
      <c r="AH71" s="17">
        <v>5</v>
      </c>
      <c r="AI71" s="17"/>
      <c r="AJ71" s="17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7" t="s">
        <v>106</v>
      </c>
      <c r="B72" s="17" t="s">
        <v>41</v>
      </c>
      <c r="C72" s="17">
        <v>-18.164000000000001</v>
      </c>
      <c r="D72" s="17">
        <v>47.408999999999999</v>
      </c>
      <c r="E72" s="16">
        <v>8.6639999999999997</v>
      </c>
      <c r="F72" s="16"/>
      <c r="G72" s="17"/>
      <c r="H72" s="1">
        <f t="shared" si="10"/>
        <v>-17.998000000000001</v>
      </c>
      <c r="I72" s="18">
        <v>0</v>
      </c>
      <c r="J72" s="17"/>
      <c r="K72" s="17" t="s">
        <v>98</v>
      </c>
      <c r="L72" s="17"/>
      <c r="M72" s="17">
        <f t="shared" si="21"/>
        <v>8.6639999999999997</v>
      </c>
      <c r="N72" s="17"/>
      <c r="O72" s="17"/>
      <c r="P72" s="31"/>
      <c r="Q72" s="17">
        <v>0</v>
      </c>
      <c r="R72" s="17">
        <f>IFERROR(VLOOKUP(A72,[1]TDSheet!$A:$F,3,0),0)</f>
        <v>17.998000000000001</v>
      </c>
      <c r="S72" s="17">
        <f t="shared" si="22"/>
        <v>1.7327999999999999</v>
      </c>
      <c r="T72" s="19"/>
      <c r="U72" s="19"/>
      <c r="V72" s="17"/>
      <c r="W72" s="17">
        <f t="shared" si="23"/>
        <v>0</v>
      </c>
      <c r="X72" s="17">
        <f t="shared" si="24"/>
        <v>0</v>
      </c>
      <c r="Y72" s="17">
        <v>4.1162000000000001</v>
      </c>
      <c r="Z72" s="17">
        <v>14.2386</v>
      </c>
      <c r="AA72" s="17">
        <v>5.9813999999999998</v>
      </c>
      <c r="AB72" s="17">
        <v>5.8567999999999998</v>
      </c>
      <c r="AC72" s="17">
        <v>7.7248000000000001</v>
      </c>
      <c r="AD72" s="17">
        <v>7.3135999999999992</v>
      </c>
      <c r="AE72" s="17">
        <v>13.099600000000001</v>
      </c>
      <c r="AF72" s="17">
        <v>8.557599999999999</v>
      </c>
      <c r="AG72" s="17">
        <v>2.6221999999999999</v>
      </c>
      <c r="AH72" s="17">
        <v>9.4176000000000002</v>
      </c>
      <c r="AI72" s="17"/>
      <c r="AJ72" s="17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7" t="s">
        <v>107</v>
      </c>
      <c r="B73" s="17" t="s">
        <v>41</v>
      </c>
      <c r="C73" s="17">
        <v>-24.279</v>
      </c>
      <c r="D73" s="17">
        <v>81.233999999999995</v>
      </c>
      <c r="E73" s="16">
        <v>61.735999999999997</v>
      </c>
      <c r="F73" s="16"/>
      <c r="G73" s="16">
        <v>-7.1669999999999998</v>
      </c>
      <c r="H73" s="1">
        <f t="shared" ref="H73:H81" si="25">G73+P73-R73</f>
        <v>-11.916</v>
      </c>
      <c r="I73" s="18">
        <v>0</v>
      </c>
      <c r="J73" s="17"/>
      <c r="K73" s="17" t="s">
        <v>98</v>
      </c>
      <c r="L73" s="17"/>
      <c r="M73" s="17">
        <f t="shared" si="21"/>
        <v>61.735999999999997</v>
      </c>
      <c r="N73" s="17"/>
      <c r="O73" s="17"/>
      <c r="P73" s="31"/>
      <c r="Q73" s="17">
        <v>0</v>
      </c>
      <c r="R73" s="17">
        <f>IFERROR(VLOOKUP(A73,[1]TDSheet!$A:$F,3,0),0)</f>
        <v>4.7489999999999997</v>
      </c>
      <c r="S73" s="17">
        <f t="shared" si="22"/>
        <v>12.347199999999999</v>
      </c>
      <c r="T73" s="19"/>
      <c r="U73" s="19"/>
      <c r="V73" s="17"/>
      <c r="W73" s="17">
        <f t="shared" si="23"/>
        <v>-0.58045548788389278</v>
      </c>
      <c r="X73" s="17">
        <f t="shared" si="24"/>
        <v>-0.58045548788389278</v>
      </c>
      <c r="Y73" s="17">
        <v>5.3330000000000002</v>
      </c>
      <c r="Z73" s="17">
        <v>4.9744000000000002</v>
      </c>
      <c r="AA73" s="17">
        <v>7.9537999999999993</v>
      </c>
      <c r="AB73" s="17">
        <v>3.4238</v>
      </c>
      <c r="AC73" s="17">
        <v>4.4067999999999996</v>
      </c>
      <c r="AD73" s="17">
        <v>8.9141999999999992</v>
      </c>
      <c r="AE73" s="17">
        <v>5.4630000000000001</v>
      </c>
      <c r="AF73" s="17">
        <v>0</v>
      </c>
      <c r="AG73" s="17">
        <v>0</v>
      </c>
      <c r="AH73" s="17">
        <v>0</v>
      </c>
      <c r="AI73" s="17"/>
      <c r="AJ73" s="17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7" t="s">
        <v>108</v>
      </c>
      <c r="B74" s="17" t="s">
        <v>41</v>
      </c>
      <c r="C74" s="17">
        <v>-31.154</v>
      </c>
      <c r="D74" s="17">
        <v>60.024999999999999</v>
      </c>
      <c r="E74" s="16">
        <v>39.436999999999998</v>
      </c>
      <c r="F74" s="16"/>
      <c r="G74" s="16">
        <v>-17.745000000000001</v>
      </c>
      <c r="H74" s="1">
        <f t="shared" si="25"/>
        <v>-32.83</v>
      </c>
      <c r="I74" s="18">
        <v>0</v>
      </c>
      <c r="J74" s="17"/>
      <c r="K74" s="17" t="s">
        <v>98</v>
      </c>
      <c r="L74" s="17"/>
      <c r="M74" s="17">
        <f t="shared" si="21"/>
        <v>39.436999999999998</v>
      </c>
      <c r="N74" s="17"/>
      <c r="O74" s="17"/>
      <c r="P74" s="31"/>
      <c r="Q74" s="17">
        <v>0</v>
      </c>
      <c r="R74" s="17">
        <f>IFERROR(VLOOKUP(A74,[1]TDSheet!$A:$F,3,0),0)</f>
        <v>15.085000000000001</v>
      </c>
      <c r="S74" s="17">
        <f t="shared" si="22"/>
        <v>7.8873999999999995</v>
      </c>
      <c r="T74" s="19"/>
      <c r="U74" s="19"/>
      <c r="V74" s="17"/>
      <c r="W74" s="17">
        <f t="shared" si="23"/>
        <v>-2.2497908055886606</v>
      </c>
      <c r="X74" s="17">
        <f t="shared" si="24"/>
        <v>-2.2497908055886606</v>
      </c>
      <c r="Y74" s="17">
        <v>7.6665999999999999</v>
      </c>
      <c r="Z74" s="17">
        <v>7.2304000000000004</v>
      </c>
      <c r="AA74" s="17">
        <v>7.4055999999999997</v>
      </c>
      <c r="AB74" s="17">
        <v>3.9510000000000001</v>
      </c>
      <c r="AC74" s="17">
        <v>11.465999999999999</v>
      </c>
      <c r="AD74" s="17">
        <v>4.4833999999999996</v>
      </c>
      <c r="AE74" s="17">
        <v>13.9094</v>
      </c>
      <c r="AF74" s="17">
        <v>4.4359999999999999</v>
      </c>
      <c r="AG74" s="17">
        <v>4.4359999999999999</v>
      </c>
      <c r="AH74" s="17">
        <v>8.0373999999999999</v>
      </c>
      <c r="AI74" s="17"/>
      <c r="AJ74" s="17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7" t="s">
        <v>109</v>
      </c>
      <c r="B75" s="17" t="s">
        <v>41</v>
      </c>
      <c r="C75" s="17">
        <v>-12.298</v>
      </c>
      <c r="D75" s="17">
        <v>42.097000000000001</v>
      </c>
      <c r="E75" s="16">
        <v>27.388000000000002</v>
      </c>
      <c r="F75" s="16"/>
      <c r="G75" s="16">
        <v>-4.9619999999999997</v>
      </c>
      <c r="H75" s="1">
        <f t="shared" si="25"/>
        <v>-19.929000000000002</v>
      </c>
      <c r="I75" s="18">
        <v>0</v>
      </c>
      <c r="J75" s="17"/>
      <c r="K75" s="17" t="s">
        <v>98</v>
      </c>
      <c r="L75" s="17"/>
      <c r="M75" s="17">
        <f t="shared" si="21"/>
        <v>27.388000000000002</v>
      </c>
      <c r="N75" s="17"/>
      <c r="O75" s="17"/>
      <c r="P75" s="31"/>
      <c r="Q75" s="17">
        <v>0</v>
      </c>
      <c r="R75" s="17">
        <f>IFERROR(VLOOKUP(A75,[1]TDSheet!$A:$F,3,0),0)</f>
        <v>14.967000000000001</v>
      </c>
      <c r="S75" s="17">
        <f t="shared" si="22"/>
        <v>5.4776000000000007</v>
      </c>
      <c r="T75" s="19"/>
      <c r="U75" s="19"/>
      <c r="V75" s="17"/>
      <c r="W75" s="17">
        <f t="shared" si="23"/>
        <v>-0.90587118446034742</v>
      </c>
      <c r="X75" s="17">
        <f t="shared" si="24"/>
        <v>-0.90587118446034742</v>
      </c>
      <c r="Y75" s="17">
        <v>3.4407999999999999</v>
      </c>
      <c r="Z75" s="17">
        <v>13.021800000000001</v>
      </c>
      <c r="AA75" s="17">
        <v>2.9964</v>
      </c>
      <c r="AB75" s="17">
        <v>2.4929999999999999</v>
      </c>
      <c r="AC75" s="17">
        <v>1.9890000000000001</v>
      </c>
      <c r="AD75" s="17">
        <v>2.0142000000000002</v>
      </c>
      <c r="AE75" s="17">
        <v>1.9912000000000001</v>
      </c>
      <c r="AF75" s="17">
        <v>16.973199999999999</v>
      </c>
      <c r="AG75" s="17">
        <v>16.973199999999999</v>
      </c>
      <c r="AH75" s="17">
        <v>0</v>
      </c>
      <c r="AI75" s="17"/>
      <c r="AJ75" s="17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7" t="s">
        <v>110</v>
      </c>
      <c r="B76" s="17" t="s">
        <v>37</v>
      </c>
      <c r="C76" s="17">
        <v>-40</v>
      </c>
      <c r="D76" s="17">
        <v>78</v>
      </c>
      <c r="E76" s="16">
        <v>25</v>
      </c>
      <c r="F76" s="16"/>
      <c r="G76" s="16">
        <v>-4</v>
      </c>
      <c r="H76" s="1">
        <f t="shared" si="25"/>
        <v>-14</v>
      </c>
      <c r="I76" s="18">
        <v>0</v>
      </c>
      <c r="J76" s="17"/>
      <c r="K76" s="17" t="s">
        <v>98</v>
      </c>
      <c r="L76" s="17"/>
      <c r="M76" s="17">
        <f t="shared" si="21"/>
        <v>25</v>
      </c>
      <c r="N76" s="17"/>
      <c r="O76" s="17"/>
      <c r="P76" s="31"/>
      <c r="Q76" s="17">
        <v>0</v>
      </c>
      <c r="R76" s="17">
        <f>IFERROR(VLOOKUP(A76,[1]TDSheet!$A:$F,3,0),0)</f>
        <v>10</v>
      </c>
      <c r="S76" s="17">
        <f t="shared" si="22"/>
        <v>5</v>
      </c>
      <c r="T76" s="19"/>
      <c r="U76" s="19"/>
      <c r="V76" s="17"/>
      <c r="W76" s="17">
        <f t="shared" si="23"/>
        <v>-0.8</v>
      </c>
      <c r="X76" s="17">
        <f t="shared" si="24"/>
        <v>-0.8</v>
      </c>
      <c r="Y76" s="17">
        <v>8.6</v>
      </c>
      <c r="Z76" s="17">
        <v>6.6</v>
      </c>
      <c r="AA76" s="17">
        <v>8</v>
      </c>
      <c r="AB76" s="17">
        <v>12.2</v>
      </c>
      <c r="AC76" s="17">
        <v>3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/>
      <c r="AJ76" s="17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7" t="s">
        <v>111</v>
      </c>
      <c r="B77" s="17" t="s">
        <v>41</v>
      </c>
      <c r="C77" s="17">
        <v>-48.234999999999999</v>
      </c>
      <c r="D77" s="17">
        <v>94.918000000000006</v>
      </c>
      <c r="E77" s="16">
        <v>65</v>
      </c>
      <c r="F77" s="16"/>
      <c r="G77" s="16">
        <v>-39.19</v>
      </c>
      <c r="H77" s="1">
        <f t="shared" si="25"/>
        <v>-60.11</v>
      </c>
      <c r="I77" s="18">
        <v>0</v>
      </c>
      <c r="J77" s="17"/>
      <c r="K77" s="17" t="s">
        <v>98</v>
      </c>
      <c r="L77" s="17"/>
      <c r="M77" s="17">
        <f t="shared" si="21"/>
        <v>65</v>
      </c>
      <c r="N77" s="17"/>
      <c r="O77" s="17"/>
      <c r="P77" s="31"/>
      <c r="Q77" s="17">
        <v>0</v>
      </c>
      <c r="R77" s="17">
        <f>IFERROR(VLOOKUP(A77,[1]TDSheet!$A:$F,3,0),0)</f>
        <v>20.92</v>
      </c>
      <c r="S77" s="17">
        <f t="shared" si="22"/>
        <v>13</v>
      </c>
      <c r="T77" s="19"/>
      <c r="U77" s="19"/>
      <c r="V77" s="17"/>
      <c r="W77" s="17">
        <f t="shared" si="23"/>
        <v>-3.0146153846153845</v>
      </c>
      <c r="X77" s="17">
        <f t="shared" si="24"/>
        <v>-3.0146153846153845</v>
      </c>
      <c r="Y77" s="17">
        <v>9.3338000000000001</v>
      </c>
      <c r="Z77" s="17">
        <v>18.312799999999999</v>
      </c>
      <c r="AA77" s="17">
        <v>12.049200000000001</v>
      </c>
      <c r="AB77" s="17">
        <v>13.3436</v>
      </c>
      <c r="AC77" s="17">
        <v>7.2173999999999996</v>
      </c>
      <c r="AD77" s="17">
        <v>0.48299999999999998</v>
      </c>
      <c r="AE77" s="17">
        <v>17.837</v>
      </c>
      <c r="AF77" s="17">
        <v>9.6815999999999995</v>
      </c>
      <c r="AG77" s="17">
        <v>7.2629999999999999</v>
      </c>
      <c r="AH77" s="17">
        <v>12.102600000000001</v>
      </c>
      <c r="AI77" s="17"/>
      <c r="AJ77" s="17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7" t="s">
        <v>112</v>
      </c>
      <c r="B78" s="17" t="s">
        <v>41</v>
      </c>
      <c r="C78" s="17">
        <v>-69.114000000000004</v>
      </c>
      <c r="D78" s="17">
        <v>133.35400000000001</v>
      </c>
      <c r="E78" s="16">
        <v>26.286999999999999</v>
      </c>
      <c r="F78" s="16"/>
      <c r="G78" s="17"/>
      <c r="H78" s="1">
        <f t="shared" si="25"/>
        <v>-44.012999999999998</v>
      </c>
      <c r="I78" s="18">
        <v>0</v>
      </c>
      <c r="J78" s="17"/>
      <c r="K78" s="17" t="s">
        <v>98</v>
      </c>
      <c r="L78" s="17"/>
      <c r="M78" s="17">
        <f t="shared" si="21"/>
        <v>26.286999999999999</v>
      </c>
      <c r="N78" s="17"/>
      <c r="O78" s="17"/>
      <c r="P78" s="31"/>
      <c r="Q78" s="17">
        <v>0</v>
      </c>
      <c r="R78" s="17">
        <f>IFERROR(VLOOKUP(A78,[1]TDSheet!$A:$F,3,0),0)</f>
        <v>44.012999999999998</v>
      </c>
      <c r="S78" s="17">
        <f t="shared" si="22"/>
        <v>5.2573999999999996</v>
      </c>
      <c r="T78" s="19"/>
      <c r="U78" s="19"/>
      <c r="V78" s="17"/>
      <c r="W78" s="17">
        <f t="shared" si="23"/>
        <v>0</v>
      </c>
      <c r="X78" s="17">
        <f t="shared" si="24"/>
        <v>0</v>
      </c>
      <c r="Y78" s="17">
        <v>15.815200000000001</v>
      </c>
      <c r="Z78" s="17">
        <v>21.065799999999999</v>
      </c>
      <c r="AA78" s="17">
        <v>10.9794</v>
      </c>
      <c r="AB78" s="17">
        <v>13.3108</v>
      </c>
      <c r="AC78" s="17">
        <v>12.0562</v>
      </c>
      <c r="AD78" s="17">
        <v>18.241599999999998</v>
      </c>
      <c r="AE78" s="17">
        <v>17.868400000000001</v>
      </c>
      <c r="AF78" s="17">
        <v>22.340199999999999</v>
      </c>
      <c r="AG78" s="17">
        <v>16.312000000000001</v>
      </c>
      <c r="AH78" s="17">
        <v>26.585000000000001</v>
      </c>
      <c r="AI78" s="17"/>
      <c r="AJ78" s="17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7" t="s">
        <v>113</v>
      </c>
      <c r="B79" s="17" t="s">
        <v>41</v>
      </c>
      <c r="C79" s="17">
        <v>-119.126</v>
      </c>
      <c r="D79" s="17">
        <v>208.61500000000001</v>
      </c>
      <c r="E79" s="16">
        <v>99.896000000000001</v>
      </c>
      <c r="F79" s="16"/>
      <c r="G79" s="16">
        <v>-38.545000000000002</v>
      </c>
      <c r="H79" s="1">
        <f t="shared" si="25"/>
        <v>-94.562000000000012</v>
      </c>
      <c r="I79" s="18">
        <v>0</v>
      </c>
      <c r="J79" s="17"/>
      <c r="K79" s="17" t="s">
        <v>98</v>
      </c>
      <c r="L79" s="17"/>
      <c r="M79" s="17">
        <f t="shared" si="21"/>
        <v>99.896000000000001</v>
      </c>
      <c r="N79" s="17"/>
      <c r="O79" s="17"/>
      <c r="P79" s="31"/>
      <c r="Q79" s="17">
        <v>0</v>
      </c>
      <c r="R79" s="17">
        <f>IFERROR(VLOOKUP(A79,[1]TDSheet!$A:$F,3,0),0)</f>
        <v>56.017000000000003</v>
      </c>
      <c r="S79" s="17">
        <f t="shared" si="22"/>
        <v>19.979199999999999</v>
      </c>
      <c r="T79" s="19"/>
      <c r="U79" s="19"/>
      <c r="V79" s="17"/>
      <c r="W79" s="17">
        <f t="shared" si="23"/>
        <v>-1.9292564266837513</v>
      </c>
      <c r="X79" s="17">
        <f t="shared" si="24"/>
        <v>-1.9292564266837513</v>
      </c>
      <c r="Y79" s="17">
        <v>27.705200000000001</v>
      </c>
      <c r="Z79" s="17">
        <v>25.145</v>
      </c>
      <c r="AA79" s="17">
        <v>14.2204</v>
      </c>
      <c r="AB79" s="17">
        <v>16.2728</v>
      </c>
      <c r="AC79" s="17">
        <v>3.6789999999999998</v>
      </c>
      <c r="AD79" s="17">
        <v>11.067</v>
      </c>
      <c r="AE79" s="17">
        <v>14.423400000000001</v>
      </c>
      <c r="AF79" s="17">
        <v>0</v>
      </c>
      <c r="AG79" s="17">
        <v>2.4470000000000001</v>
      </c>
      <c r="AH79" s="17">
        <v>29.491199999999999</v>
      </c>
      <c r="AI79" s="17"/>
      <c r="AJ79" s="17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7" t="s">
        <v>114</v>
      </c>
      <c r="B80" s="17" t="s">
        <v>37</v>
      </c>
      <c r="C80" s="17">
        <v>-71</v>
      </c>
      <c r="D80" s="17">
        <v>166</v>
      </c>
      <c r="E80" s="16">
        <v>22</v>
      </c>
      <c r="F80" s="16"/>
      <c r="G80" s="17"/>
      <c r="H80" s="1">
        <f t="shared" si="25"/>
        <v>-37</v>
      </c>
      <c r="I80" s="18">
        <v>0</v>
      </c>
      <c r="J80" s="17"/>
      <c r="K80" s="17" t="s">
        <v>98</v>
      </c>
      <c r="L80" s="17"/>
      <c r="M80" s="17">
        <f t="shared" si="21"/>
        <v>22</v>
      </c>
      <c r="N80" s="17"/>
      <c r="O80" s="17"/>
      <c r="P80" s="31"/>
      <c r="Q80" s="17">
        <v>0</v>
      </c>
      <c r="R80" s="17">
        <f>IFERROR(VLOOKUP(A80,[1]TDSheet!$A:$F,3,0),0)</f>
        <v>37</v>
      </c>
      <c r="S80" s="17">
        <f t="shared" si="22"/>
        <v>4.4000000000000004</v>
      </c>
      <c r="T80" s="19"/>
      <c r="U80" s="19"/>
      <c r="V80" s="17"/>
      <c r="W80" s="17">
        <f t="shared" si="23"/>
        <v>0</v>
      </c>
      <c r="X80" s="17">
        <f t="shared" si="24"/>
        <v>0</v>
      </c>
      <c r="Y80" s="17">
        <v>19.600000000000001</v>
      </c>
      <c r="Z80" s="17">
        <v>19.600000000000001</v>
      </c>
      <c r="AA80" s="17">
        <v>8</v>
      </c>
      <c r="AB80" s="17">
        <v>16.2</v>
      </c>
      <c r="AC80" s="17">
        <v>8</v>
      </c>
      <c r="AD80" s="17">
        <v>13</v>
      </c>
      <c r="AE80" s="17">
        <v>10.8</v>
      </c>
      <c r="AF80" s="17">
        <v>9</v>
      </c>
      <c r="AG80" s="17">
        <v>10.4</v>
      </c>
      <c r="AH80" s="17">
        <v>28.8</v>
      </c>
      <c r="AI80" s="17"/>
      <c r="AJ80" s="17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7" t="s">
        <v>115</v>
      </c>
      <c r="B81" s="17" t="s">
        <v>41</v>
      </c>
      <c r="C81" s="17">
        <v>-58.381</v>
      </c>
      <c r="D81" s="17">
        <v>102.226</v>
      </c>
      <c r="E81" s="16">
        <v>33.476999999999997</v>
      </c>
      <c r="F81" s="16"/>
      <c r="G81" s="16">
        <v>-8.6440000000000001</v>
      </c>
      <c r="H81" s="1">
        <f t="shared" si="25"/>
        <v>-50.985999999999997</v>
      </c>
      <c r="I81" s="18">
        <v>0</v>
      </c>
      <c r="J81" s="17"/>
      <c r="K81" s="17" t="s">
        <v>98</v>
      </c>
      <c r="L81" s="17"/>
      <c r="M81" s="17">
        <f t="shared" si="21"/>
        <v>33.476999999999997</v>
      </c>
      <c r="N81" s="17"/>
      <c r="O81" s="17"/>
      <c r="P81" s="31"/>
      <c r="Q81" s="17">
        <v>0</v>
      </c>
      <c r="R81" s="17">
        <f>IFERROR(VLOOKUP(A81,[1]TDSheet!$A:$F,3,0),0)</f>
        <v>42.341999999999999</v>
      </c>
      <c r="S81" s="17">
        <f t="shared" si="22"/>
        <v>6.6953999999999994</v>
      </c>
      <c r="T81" s="19"/>
      <c r="U81" s="19"/>
      <c r="V81" s="17"/>
      <c r="W81" s="17">
        <f t="shared" si="23"/>
        <v>-1.2910356364070856</v>
      </c>
      <c r="X81" s="17">
        <f t="shared" si="24"/>
        <v>-1.2910356364070856</v>
      </c>
      <c r="Y81" s="17">
        <v>11.3028</v>
      </c>
      <c r="Z81" s="17">
        <v>11.3172</v>
      </c>
      <c r="AA81" s="17">
        <v>5.9720000000000004</v>
      </c>
      <c r="AB81" s="17">
        <v>7.8287999999999993</v>
      </c>
      <c r="AC81" s="17">
        <v>4.6551999999999998</v>
      </c>
      <c r="AD81" s="17">
        <v>8.1468000000000007</v>
      </c>
      <c r="AE81" s="17">
        <v>12.829599999999999</v>
      </c>
      <c r="AF81" s="17">
        <v>8.9871999999999996</v>
      </c>
      <c r="AG81" s="17">
        <v>2.9371999999999998</v>
      </c>
      <c r="AH81" s="17">
        <v>10.805199999999999</v>
      </c>
      <c r="AI81" s="17"/>
      <c r="AJ81" s="17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/>
      <c r="B82" s="1"/>
      <c r="C82" s="1"/>
      <c r="D82" s="1"/>
      <c r="E82" s="1"/>
      <c r="F82" s="1"/>
      <c r="G82" s="1"/>
      <c r="H82" s="1"/>
      <c r="I82" s="7"/>
      <c r="J82" s="1"/>
      <c r="K82" s="1"/>
      <c r="L82" s="1"/>
      <c r="M82" s="1"/>
      <c r="N82" s="1"/>
      <c r="O82" s="1"/>
      <c r="P82" s="2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/>
      <c r="B83" s="1"/>
      <c r="C83" s="1"/>
      <c r="D83" s="1"/>
      <c r="E83" s="1"/>
      <c r="F83" s="1"/>
      <c r="G83" s="1"/>
      <c r="H83" s="1"/>
      <c r="I83" s="7"/>
      <c r="J83" s="1"/>
      <c r="K83" s="1"/>
      <c r="L83" s="1"/>
      <c r="M83" s="1"/>
      <c r="N83" s="1"/>
      <c r="O83" s="1"/>
      <c r="P83" s="2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/>
      <c r="B84" s="1"/>
      <c r="C84" s="1"/>
      <c r="D84" s="1"/>
      <c r="E84" s="1"/>
      <c r="F84" s="1"/>
      <c r="G84" s="1"/>
      <c r="H84" s="1"/>
      <c r="I84" s="7"/>
      <c r="J84" s="1"/>
      <c r="K84" s="1"/>
      <c r="L84" s="1"/>
      <c r="M84" s="1"/>
      <c r="N84" s="1"/>
      <c r="O84" s="1"/>
      <c r="P84" s="2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/>
      <c r="B85" s="1"/>
      <c r="C85" s="1"/>
      <c r="D85" s="1"/>
      <c r="E85" s="1"/>
      <c r="F85" s="1"/>
      <c r="G85" s="1"/>
      <c r="H85" s="1"/>
      <c r="I85" s="7"/>
      <c r="J85" s="1"/>
      <c r="K85" s="1"/>
      <c r="L85" s="1"/>
      <c r="M85" s="1"/>
      <c r="N85" s="1"/>
      <c r="O85" s="1"/>
      <c r="P85" s="2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/>
      <c r="B86" s="1"/>
      <c r="C86" s="1"/>
      <c r="D86" s="1"/>
      <c r="E86" s="1"/>
      <c r="F86" s="1"/>
      <c r="G86" s="1"/>
      <c r="H86" s="1"/>
      <c r="I86" s="7"/>
      <c r="J86" s="1"/>
      <c r="K86" s="1"/>
      <c r="L86" s="1"/>
      <c r="M86" s="1"/>
      <c r="N86" s="1"/>
      <c r="O86" s="1"/>
      <c r="P86" s="2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/>
      <c r="B87" s="1"/>
      <c r="C87" s="1"/>
      <c r="D87" s="1"/>
      <c r="E87" s="1"/>
      <c r="F87" s="1"/>
      <c r="G87" s="1"/>
      <c r="H87" s="1"/>
      <c r="I87" s="7"/>
      <c r="J87" s="1"/>
      <c r="K87" s="1"/>
      <c r="L87" s="1"/>
      <c r="M87" s="1"/>
      <c r="N87" s="1"/>
      <c r="O87" s="1"/>
      <c r="P87" s="2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/>
      <c r="B88" s="1"/>
      <c r="C88" s="1"/>
      <c r="D88" s="1"/>
      <c r="E88" s="1"/>
      <c r="F88" s="1"/>
      <c r="G88" s="1"/>
      <c r="H88" s="1"/>
      <c r="I88" s="7"/>
      <c r="J88" s="1"/>
      <c r="K88" s="1"/>
      <c r="L88" s="1"/>
      <c r="M88" s="1"/>
      <c r="N88" s="1"/>
      <c r="O88" s="1"/>
      <c r="P88" s="2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/>
      <c r="B89" s="1"/>
      <c r="C89" s="1"/>
      <c r="D89" s="1"/>
      <c r="E89" s="1"/>
      <c r="F89" s="1"/>
      <c r="G89" s="1"/>
      <c r="H89" s="1"/>
      <c r="I89" s="7"/>
      <c r="J89" s="1"/>
      <c r="K89" s="1"/>
      <c r="L89" s="1"/>
      <c r="M89" s="1"/>
      <c r="N89" s="1"/>
      <c r="O89" s="1"/>
      <c r="P89" s="2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/>
      <c r="B90" s="1"/>
      <c r="C90" s="1"/>
      <c r="D90" s="1"/>
      <c r="E90" s="1"/>
      <c r="F90" s="1"/>
      <c r="G90" s="1"/>
      <c r="H90" s="1"/>
      <c r="I90" s="7"/>
      <c r="J90" s="1"/>
      <c r="K90" s="1"/>
      <c r="L90" s="1"/>
      <c r="M90" s="1"/>
      <c r="N90" s="1"/>
      <c r="O90" s="1"/>
      <c r="P90" s="2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/>
      <c r="B91" s="1"/>
      <c r="C91" s="1"/>
      <c r="D91" s="1"/>
      <c r="E91" s="1"/>
      <c r="F91" s="1"/>
      <c r="G91" s="1"/>
      <c r="H91" s="1"/>
      <c r="I91" s="7"/>
      <c r="J91" s="1"/>
      <c r="K91" s="1"/>
      <c r="L91" s="1"/>
      <c r="M91" s="1"/>
      <c r="N91" s="1"/>
      <c r="O91" s="1"/>
      <c r="P91" s="2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/>
      <c r="B92" s="1"/>
      <c r="C92" s="1"/>
      <c r="D92" s="1"/>
      <c r="E92" s="1"/>
      <c r="F92" s="1"/>
      <c r="G92" s="1"/>
      <c r="H92" s="1"/>
      <c r="I92" s="7"/>
      <c r="J92" s="1"/>
      <c r="K92" s="1"/>
      <c r="L92" s="1"/>
      <c r="M92" s="1"/>
      <c r="N92" s="1"/>
      <c r="O92" s="1"/>
      <c r="P92" s="2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/>
      <c r="B93" s="1"/>
      <c r="C93" s="1"/>
      <c r="D93" s="1"/>
      <c r="E93" s="1"/>
      <c r="F93" s="1"/>
      <c r="G93" s="1"/>
      <c r="H93" s="1"/>
      <c r="I93" s="7"/>
      <c r="J93" s="1"/>
      <c r="K93" s="1"/>
      <c r="L93" s="1"/>
      <c r="M93" s="1"/>
      <c r="N93" s="1"/>
      <c r="O93" s="1"/>
      <c r="P93" s="2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/>
      <c r="B94" s="1"/>
      <c r="C94" s="1"/>
      <c r="D94" s="1"/>
      <c r="E94" s="1"/>
      <c r="F94" s="1"/>
      <c r="G94" s="1"/>
      <c r="H94" s="1"/>
      <c r="I94" s="7"/>
      <c r="J94" s="1"/>
      <c r="K94" s="1"/>
      <c r="L94" s="1"/>
      <c r="M94" s="1"/>
      <c r="N94" s="1"/>
      <c r="O94" s="1"/>
      <c r="P94" s="2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/>
      <c r="B95" s="1"/>
      <c r="C95" s="1"/>
      <c r="D95" s="1"/>
      <c r="E95" s="1"/>
      <c r="F95" s="1"/>
      <c r="G95" s="1"/>
      <c r="H95" s="1"/>
      <c r="I95" s="7"/>
      <c r="J95" s="1"/>
      <c r="K95" s="1"/>
      <c r="L95" s="1"/>
      <c r="M95" s="1"/>
      <c r="N95" s="1"/>
      <c r="O95" s="1"/>
      <c r="P95" s="2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/>
      <c r="B96" s="1"/>
      <c r="C96" s="1"/>
      <c r="D96" s="1"/>
      <c r="E96" s="1"/>
      <c r="F96" s="1"/>
      <c r="G96" s="1"/>
      <c r="H96" s="1"/>
      <c r="I96" s="7"/>
      <c r="J96" s="1"/>
      <c r="K96" s="1"/>
      <c r="L96" s="1"/>
      <c r="M96" s="1"/>
      <c r="N96" s="1"/>
      <c r="O96" s="1"/>
      <c r="P96" s="2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/>
      <c r="B97" s="1"/>
      <c r="C97" s="1"/>
      <c r="D97" s="1"/>
      <c r="E97" s="1"/>
      <c r="F97" s="1"/>
      <c r="G97" s="1"/>
      <c r="H97" s="1"/>
      <c r="I97" s="7"/>
      <c r="J97" s="1"/>
      <c r="K97" s="1"/>
      <c r="L97" s="1"/>
      <c r="M97" s="1"/>
      <c r="N97" s="1"/>
      <c r="O97" s="1"/>
      <c r="P97" s="2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1"/>
      <c r="P98" s="2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1"/>
      <c r="P99" s="2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1"/>
      <c r="P100" s="2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1"/>
      <c r="P101" s="2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2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2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2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2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2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2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2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2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2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2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2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2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2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2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2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2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2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2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2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2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2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2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2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2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2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2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2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2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2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2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2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2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2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2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2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2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2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2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2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2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2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2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2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2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2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2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2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2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2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2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2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2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2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2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2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2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2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2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2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2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2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2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2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2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2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2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2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2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2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2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2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2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2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2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2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2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2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2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2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2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2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2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2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2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2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2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2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2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2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2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2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2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2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2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2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2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2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2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2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2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2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2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2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2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2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2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2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2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2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2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2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2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2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2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2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2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2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2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2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2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2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2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2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2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2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2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2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26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26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26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26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26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26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26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26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26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26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26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26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26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26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26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26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26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26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26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26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26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26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26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26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26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26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26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26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26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26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26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26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26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26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26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26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26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26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26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26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26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26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26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26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26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26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26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26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26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26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26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26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26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26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26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26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26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26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26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26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26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26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26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26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26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26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26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26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26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26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26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26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26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26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26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26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26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26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26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26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26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26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26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26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26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26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26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26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26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26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26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26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26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26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26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26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26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26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26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26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26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26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26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26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26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26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26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26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26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26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26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26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26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26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26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26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26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26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26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26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26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26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26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26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26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26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26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26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26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26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26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26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26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26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26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26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26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26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26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26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26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26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26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26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26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26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26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26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26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26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26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26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26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26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26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26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26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26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26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26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26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26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26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26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26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26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26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26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26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26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26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26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26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26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26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26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26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26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26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26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26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26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26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26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26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26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26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26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26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26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26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26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26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26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26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26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26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26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26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26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26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26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26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26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26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26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26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26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26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26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26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26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26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26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26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26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26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26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26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26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26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26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26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26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26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26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26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26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26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26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26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26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26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26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26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26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26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26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26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26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26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26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26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26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26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26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26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26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26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26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26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26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26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</sheetData>
  <autoFilter ref="A3:AJ81" xr:uid="{51416630-3BA5-4384-890E-4BC53F45750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2025-04-24T13:16:28Z</dcterms:created>
  <dcterms:modified xsi:type="dcterms:W3CDTF">2025-04-25T13:30:57Z</dcterms:modified>
</cp:coreProperties>
</file>