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1\Desktop\"/>
    </mc:Choice>
  </mc:AlternateContent>
  <xr:revisionPtr revIDLastSave="0" documentId="13_ncr:1_{8CD00F23-AE4A-4E00-BD31-D82964DC8E39}" xr6:coauthVersionLast="45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Заказ" sheetId="102" r:id="rId1"/>
  </sheets>
  <definedNames>
    <definedName name="_xlnm._FilterDatabase" localSheetId="0" hidden="1">Заказ!$D$1:$D$23</definedName>
  </definedNames>
  <calcPr calcId="18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8" i="102" l="1"/>
  <c r="D23" i="102" s="1"/>
  <c r="D3" i="102"/>
  <c r="E4" i="102" l="1"/>
  <c r="E5" i="102"/>
  <c r="G5" i="102" s="1"/>
  <c r="E6" i="102"/>
  <c r="G6" i="102" s="1"/>
  <c r="E7" i="102"/>
  <c r="G7" i="102" s="1"/>
  <c r="E8" i="102"/>
  <c r="G8" i="102" s="1"/>
  <c r="E9" i="102"/>
  <c r="G9" i="102" s="1"/>
  <c r="E10" i="102"/>
  <c r="G10" i="102" s="1"/>
  <c r="E11" i="102"/>
  <c r="E12" i="102"/>
  <c r="E13" i="102"/>
  <c r="G13" i="102" s="1"/>
  <c r="E14" i="102"/>
  <c r="G14" i="102" s="1"/>
  <c r="E15" i="102"/>
  <c r="G15" i="102" s="1"/>
  <c r="E16" i="102"/>
  <c r="G16" i="102" s="1"/>
  <c r="E17" i="102"/>
  <c r="G17" i="102" s="1"/>
  <c r="E19" i="102"/>
  <c r="E20" i="102"/>
  <c r="G20" i="102" s="1"/>
  <c r="G21" i="102"/>
  <c r="E22" i="102"/>
  <c r="G22" i="102" s="1"/>
  <c r="G11" i="102"/>
  <c r="G12" i="102"/>
  <c r="G19" i="102" l="1"/>
  <c r="E18" i="102"/>
  <c r="G4" i="102"/>
  <c r="E3" i="102"/>
  <c r="AC4" i="102"/>
  <c r="AC5" i="102"/>
  <c r="AC6" i="102"/>
  <c r="AC7" i="102"/>
  <c r="AC8" i="102"/>
  <c r="AC9" i="102"/>
  <c r="AC10" i="102"/>
  <c r="AC11" i="102"/>
  <c r="AC12" i="102"/>
  <c r="AC13" i="102"/>
  <c r="AC14" i="102"/>
  <c r="AC15" i="102"/>
  <c r="AC16" i="102"/>
  <c r="AC17" i="102"/>
  <c r="AC22" i="102"/>
  <c r="AE17" i="102"/>
  <c r="AE16" i="102"/>
  <c r="AE15" i="102"/>
  <c r="AE14" i="102"/>
  <c r="AE13" i="102"/>
  <c r="AE12" i="102"/>
  <c r="AE11" i="102"/>
  <c r="AE10" i="102"/>
  <c r="AE9" i="102"/>
  <c r="AE8" i="102"/>
  <c r="AE7" i="102"/>
  <c r="AE6" i="102"/>
  <c r="AE5" i="102"/>
  <c r="AE4" i="102"/>
  <c r="AE22" i="102"/>
  <c r="AE20" i="102"/>
  <c r="AE19" i="102"/>
  <c r="E23" i="102" l="1"/>
  <c r="G18" i="102"/>
  <c r="AE18" i="102"/>
  <c r="AC21" i="102"/>
  <c r="AC3" i="102"/>
  <c r="AE21" i="102"/>
  <c r="AE3" i="102"/>
  <c r="AC19" i="102" l="1"/>
  <c r="AC20" i="102"/>
  <c r="AC18" i="102" l="1"/>
</calcChain>
</file>

<file path=xl/sharedStrings.xml><?xml version="1.0" encoding="utf-8"?>
<sst xmlns="http://schemas.openxmlformats.org/spreadsheetml/2006/main" count="28" uniqueCount="28">
  <si>
    <t>Заказ</t>
  </si>
  <si>
    <t>ВЕС</t>
  </si>
  <si>
    <t>ПОКОМ</t>
  </si>
  <si>
    <t xml:space="preserve"> 083  Колбаса Швейцарская 0,17 кг., ШТ., сырокопченая   ПОКОМ</t>
  </si>
  <si>
    <t xml:space="preserve"> 217  Колбаса Докторская Дугушка, ВЕС, НЕ ГОСТ, ТМ Стародворье ПОКОМ</t>
  </si>
  <si>
    <t xml:space="preserve"> 219  Колбаса Докторская Особая ТМ Особый рецепт, ВЕС  ПОКОМ</t>
  </si>
  <si>
    <t xml:space="preserve"> 230  Колбаса Молочная Особая ТМ Особый рецепт, п/а, ВЕС. ПОКОМ</t>
  </si>
  <si>
    <t xml:space="preserve"> 235  Колбаса Особая ТМ Особый рецепт, ВЕС, ТМ Стародворье ПОКОМ</t>
  </si>
  <si>
    <t xml:space="preserve"> 247  Сардельки Нежные, ВЕС.  ПОКОМ</t>
  </si>
  <si>
    <t xml:space="preserve"> 248  Сардельки Сочные ТМ Особый рецепт,   ПОКОМ</t>
  </si>
  <si>
    <t xml:space="preserve"> 255  Сосиски Молочные для завтрака ТМ Особый рецепт, п/а МГС, ВЕС, ТМ Стародворье  ПОКОМ</t>
  </si>
  <si>
    <t xml:space="preserve"> 257  Сосиски Молочные оригинальные ТМ Особый рецепт, ВЕС.   ПОКОМ</t>
  </si>
  <si>
    <t xml:space="preserve"> 268  Сосиски Филейбургские с филе сочного окорока, ВЕС, ТМ Баварушка  ПОКОМ</t>
  </si>
  <si>
    <t xml:space="preserve"> 271  Колбаса Сервелат Левантский ТМ Особый Рецепт, ВЕС. ПОКОМ</t>
  </si>
  <si>
    <t>Останкино</t>
  </si>
  <si>
    <t>4614 ВЕТЧ.ЛЮБИТЕЛЬСКАЯ п/о _ ОСТАНКИНО</t>
  </si>
  <si>
    <t>1006 Бекон Орловский в/у 0,35кг/шт (Знаменский СГЦ)   МК</t>
  </si>
  <si>
    <t>15011 Свиная Элитная с/к в/у 0,25кг ТМ ДД (Ресурс Волга)  МК</t>
  </si>
  <si>
    <t>Мир Колбас</t>
  </si>
  <si>
    <t>ЗАКАЗ</t>
  </si>
  <si>
    <t>ОСТАТОК</t>
  </si>
  <si>
    <t xml:space="preserve"> 017  Сосиски Вязанка Сливочные, Вязанка амицел ВЕС.ПОКОМ</t>
  </si>
  <si>
    <t xml:space="preserve"> 318  Сосиски Датские ТМ Зареченские, ВЕС  ПОКОМ</t>
  </si>
  <si>
    <t xml:space="preserve"> 330  Колбаса вареная Филейская ТМ Вязанка ТС Классическая ВЕС  ПОКОМ</t>
  </si>
  <si>
    <t>Заказ,кг</t>
  </si>
  <si>
    <t>Остаток
на складе</t>
  </si>
  <si>
    <t>Нет 
на складе</t>
  </si>
  <si>
    <t>Заказ Полякова 24.01.24.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</si>
</sst>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8"/>
      <color theme="1"/>
      <name val="Calibri Light"/>
      <family val="2"/>
      <charset val="204"/>
      <scheme val="major"/>
    </font>
    <font>
      <b/>
      <sz val="14"/>
      <color theme="1"/>
      <name val="Calibri Light"/>
      <family val="2"/>
      <charset val="204"/>
      <scheme val="major"/>
    </font>
    <font>
      <b/>
      <sz val="12"/>
      <color theme="1"/>
      <name val="Calibri Light"/>
      <family val="2"/>
      <charset val="204"/>
      <scheme val="major"/>
    </font>
    <font>
      <sz val="12"/>
      <color theme="1"/>
      <name val="Calibri Light"/>
      <family val="2"/>
      <charset val="204"/>
      <scheme val="major"/>
    </font>
    <font>
      <b/>
      <sz val="11"/>
      <color theme="1"/>
      <name val="Calibri"/>
      <family val="2"/>
      <scheme val="minor"/>
    </font>
    <font>
      <sz val="14"/>
      <color theme="1"/>
      <name val="Calibri Light"/>
      <family val="2"/>
      <charset val="204"/>
      <scheme val="maj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EDF4"/>
        <bgColor indexed="64"/>
      </patternFill>
    </fill>
    <fill>
      <patternFill patternType="solid">
        <fgColor rgb="FF9FDEEB"/>
        <bgColor indexed="64"/>
      </patternFill>
    </fill>
    <fill>
      <patternFill patternType="solid">
        <fgColor rgb="FFE3F5F9"/>
        <bgColor indexed="64"/>
      </patternFill>
    </fill>
    <fill>
      <patternFill patternType="solid">
        <fgColor rgb="FFC3EBF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0" borderId="0" xfId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1" fontId="4" fillId="0" borderId="7" xfId="0" applyNumberFormat="1" applyFont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0" fontId="2" fillId="5" borderId="5" xfId="1" applyFont="1" applyFill="1" applyBorder="1" applyAlignment="1">
      <alignment horizontal="center" vertical="center"/>
    </xf>
    <xf numFmtId="1" fontId="2" fillId="6" borderId="3" xfId="0" applyNumberFormat="1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" fillId="4" borderId="10" xfId="1" applyFont="1" applyFill="1" applyBorder="1" applyAlignment="1">
      <alignment horizontal="center" vertical="center"/>
    </xf>
    <xf numFmtId="0" fontId="3" fillId="4" borderId="10" xfId="1" applyFont="1" applyFill="1" applyBorder="1" applyAlignment="1">
      <alignment horizontal="center" vertical="center" wrapText="1"/>
    </xf>
    <xf numFmtId="1" fontId="2" fillId="5" borderId="1" xfId="1" applyNumberFormat="1" applyFont="1" applyFill="1" applyBorder="1" applyAlignment="1">
      <alignment horizontal="center" vertical="center"/>
    </xf>
    <xf numFmtId="1" fontId="4" fillId="0" borderId="6" xfId="0" applyNumberFormat="1" applyFont="1" applyBorder="1" applyAlignment="1">
      <alignment horizontal="center" vertical="center"/>
    </xf>
    <xf numFmtId="1" fontId="2" fillId="6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vertical="top"/>
    </xf>
    <xf numFmtId="0" fontId="2" fillId="6" borderId="10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/>
    </xf>
    <xf numFmtId="0" fontId="2" fillId="5" borderId="4" xfId="1" applyFont="1" applyFill="1" applyBorder="1" applyAlignment="1">
      <alignment horizontal="center" vertical="center"/>
    </xf>
    <xf numFmtId="0" fontId="2" fillId="5" borderId="10" xfId="1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vertical="top"/>
    </xf>
    <xf numFmtId="0" fontId="4" fillId="2" borderId="8" xfId="0" applyFont="1" applyFill="1" applyBorder="1" applyAlignment="1">
      <alignment vertical="top"/>
    </xf>
    <xf numFmtId="0" fontId="4" fillId="2" borderId="9" xfId="0" applyFont="1" applyFill="1" applyBorder="1" applyAlignment="1">
      <alignment vertical="top"/>
    </xf>
    <xf numFmtId="0" fontId="4" fillId="0" borderId="8" xfId="1" applyFont="1" applyFill="1" applyBorder="1" applyAlignment="1">
      <alignment horizontal="center" vertical="center"/>
    </xf>
    <xf numFmtId="0" fontId="4" fillId="0" borderId="7" xfId="1" applyFont="1" applyFill="1" applyBorder="1" applyAlignment="1">
      <alignment horizontal="center" vertical="center"/>
    </xf>
    <xf numFmtId="1" fontId="4" fillId="0" borderId="13" xfId="0" applyNumberFormat="1" applyFont="1" applyBorder="1" applyAlignment="1">
      <alignment horizontal="center" vertical="center"/>
    </xf>
    <xf numFmtId="1" fontId="2" fillId="5" borderId="1" xfId="0" applyNumberFormat="1" applyFont="1" applyFill="1" applyBorder="1" applyAlignment="1">
      <alignment horizontal="center" vertical="center"/>
    </xf>
    <xf numFmtId="1" fontId="2" fillId="5" borderId="13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4" fillId="0" borderId="9" xfId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1" fontId="4" fillId="0" borderId="8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1" fontId="4" fillId="0" borderId="9" xfId="0" applyNumberFormat="1" applyFont="1" applyBorder="1" applyAlignment="1">
      <alignment horizontal="center" vertical="center"/>
    </xf>
  </cellXfs>
  <cellStyles count="2">
    <cellStyle name="Обычный" xfId="0" builtinId="0"/>
    <cellStyle name="УровеньСтрок_1" xfId="1" builtinId="1" iLevel="0"/>
  </cellStyles>
  <dxfs count="0"/>
  <tableStyles count="0" defaultTableStyle="TableStyleMedium2" defaultPivotStyle="PivotStyleLight16"/>
  <colors>
    <mruColors>
      <color rgb="FFE3F5F9"/>
      <color rgb="FFC3EBF3"/>
      <color rgb="FFCCEDF4"/>
      <color rgb="FF9FDEEB"/>
      <color rgb="FF9AD4E8"/>
      <color rgb="FFBBDCF3"/>
      <color rgb="FFADD5F1"/>
      <color rgb="FF8DC5EB"/>
      <color rgb="FF2B5FC7"/>
      <color rgb="FF1174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78B97-0E2D-4749-BC1D-1A1F6C386240}">
  <sheetPr>
    <outlinePr applyStyles="1" summaryBelow="0" summaryRight="0"/>
  </sheetPr>
  <dimension ref="B1:AE24"/>
  <sheetViews>
    <sheetView tabSelected="1" zoomScale="80" zoomScaleNormal="80" workbookViewId="0">
      <selection activeCell="P14" sqref="P14"/>
    </sheetView>
  </sheetViews>
  <sheetFormatPr defaultRowHeight="15" outlineLevelRow="1" x14ac:dyDescent="0.25"/>
  <cols>
    <col min="1" max="1" width="2.5703125" customWidth="1"/>
    <col min="2" max="2" width="91" style="1" customWidth="1"/>
    <col min="3" max="3" width="23.42578125" style="1" hidden="1" customWidth="1"/>
    <col min="4" max="4" width="20.140625" style="1" customWidth="1"/>
    <col min="5" max="5" width="16" style="1" customWidth="1"/>
    <col min="6" max="6" width="22" style="1" hidden="1" customWidth="1"/>
    <col min="7" max="7" width="19.85546875" style="1" hidden="1" customWidth="1"/>
    <col min="8" max="8" width="10.7109375" style="1" customWidth="1"/>
    <col min="9" max="23" width="9.140625" style="1"/>
    <col min="24" max="25" width="9.140625" style="2"/>
    <col min="26" max="26" width="9.140625" style="1"/>
    <col min="27" max="31" width="9.140625" style="1" hidden="1" customWidth="1"/>
  </cols>
  <sheetData>
    <row r="1" spans="2:31" ht="15.75" thickBot="1" x14ac:dyDescent="0.3">
      <c r="B1" s="1" t="s">
        <v>27</v>
      </c>
    </row>
    <row r="2" spans="2:31" ht="38.25" thickBot="1" x14ac:dyDescent="0.3">
      <c r="B2" s="28"/>
      <c r="C2" s="30"/>
      <c r="D2" s="30" t="s">
        <v>0</v>
      </c>
      <c r="E2" s="31" t="s">
        <v>24</v>
      </c>
      <c r="F2" s="32" t="s">
        <v>25</v>
      </c>
      <c r="G2" s="38" t="s">
        <v>26</v>
      </c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5"/>
      <c r="Y2" s="5"/>
      <c r="Z2" s="4"/>
      <c r="AA2" s="21" t="s">
        <v>1</v>
      </c>
      <c r="AB2" s="14"/>
      <c r="AC2" s="21" t="s">
        <v>19</v>
      </c>
      <c r="AD2" s="14"/>
      <c r="AE2" s="22" t="s">
        <v>20</v>
      </c>
    </row>
    <row r="3" spans="2:31" s="3" customFormat="1" ht="19.5" thickBot="1" x14ac:dyDescent="0.3">
      <c r="B3" s="27" t="s">
        <v>2</v>
      </c>
      <c r="C3" s="17"/>
      <c r="D3" s="17">
        <f>SUM(D4:D17)</f>
        <v>16520</v>
      </c>
      <c r="E3" s="23">
        <f>SUM(E4:E17)</f>
        <v>16420.400000000001</v>
      </c>
      <c r="F3" s="18"/>
      <c r="G3" s="17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7"/>
      <c r="Y3" s="7"/>
      <c r="Z3" s="6"/>
      <c r="AA3" s="12"/>
      <c r="AB3" s="15"/>
      <c r="AC3" s="13">
        <f>SUM(AC4:AC17)</f>
        <v>13.0289</v>
      </c>
      <c r="AD3" s="15"/>
      <c r="AE3" s="13">
        <f>SUM(AE4:AE17)</f>
        <v>0</v>
      </c>
    </row>
    <row r="4" spans="2:31" ht="16.5" customHeight="1" outlineLevel="1" x14ac:dyDescent="0.25">
      <c r="B4" s="40" t="s">
        <v>21</v>
      </c>
      <c r="C4" s="50">
        <v>1</v>
      </c>
      <c r="D4" s="50">
        <v>900</v>
      </c>
      <c r="E4" s="51">
        <f t="shared" ref="E4:E6" si="0">D4*C4</f>
        <v>900</v>
      </c>
      <c r="F4" s="37"/>
      <c r="G4" s="44">
        <f t="shared" ref="G4:G6" si="1">E4-F4</f>
        <v>900</v>
      </c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9"/>
      <c r="Y4" s="9"/>
      <c r="Z4" s="8"/>
      <c r="AA4" s="11">
        <v>1</v>
      </c>
      <c r="AB4" s="8"/>
      <c r="AC4" s="11">
        <f t="shared" ref="AC4" si="2">AA4*C4</f>
        <v>1</v>
      </c>
      <c r="AD4" s="8"/>
      <c r="AE4" s="11">
        <f t="shared" ref="AE4" si="3">AA4*F4</f>
        <v>0</v>
      </c>
    </row>
    <row r="5" spans="2:31" ht="16.5" customHeight="1" outlineLevel="1" x14ac:dyDescent="0.25">
      <c r="B5" s="29" t="s">
        <v>3</v>
      </c>
      <c r="C5" s="36">
        <v>0.17</v>
      </c>
      <c r="D5" s="36">
        <v>120</v>
      </c>
      <c r="E5" s="16">
        <f t="shared" si="0"/>
        <v>20.400000000000002</v>
      </c>
      <c r="F5" s="37"/>
      <c r="G5" s="44">
        <f t="shared" si="1"/>
        <v>20.400000000000002</v>
      </c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9"/>
      <c r="Y5" s="9"/>
      <c r="Z5" s="8"/>
      <c r="AA5" s="11">
        <v>0.17</v>
      </c>
      <c r="AB5" s="8"/>
      <c r="AC5" s="11">
        <f t="shared" ref="AC5" si="4">AA5*C5</f>
        <v>2.8900000000000006E-2</v>
      </c>
      <c r="AD5" s="8"/>
      <c r="AE5" s="11">
        <f t="shared" ref="AE5" si="5">AA5*F5</f>
        <v>0</v>
      </c>
    </row>
    <row r="6" spans="2:31" ht="16.5" customHeight="1" outlineLevel="1" x14ac:dyDescent="0.25">
      <c r="B6" s="29" t="s">
        <v>4</v>
      </c>
      <c r="C6" s="36">
        <v>1</v>
      </c>
      <c r="D6" s="36">
        <v>200</v>
      </c>
      <c r="E6" s="16">
        <f t="shared" si="0"/>
        <v>200</v>
      </c>
      <c r="F6" s="37"/>
      <c r="G6" s="44">
        <f t="shared" si="1"/>
        <v>200</v>
      </c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9"/>
      <c r="Y6" s="9"/>
      <c r="Z6" s="8"/>
      <c r="AA6" s="11">
        <v>1</v>
      </c>
      <c r="AB6" s="8"/>
      <c r="AC6" s="11">
        <f t="shared" ref="AC6:AC13" si="6">AA6*C6</f>
        <v>1</v>
      </c>
      <c r="AD6" s="8"/>
      <c r="AE6" s="11">
        <f t="shared" ref="AE6:AE13" si="7">AA6*F6</f>
        <v>0</v>
      </c>
    </row>
    <row r="7" spans="2:31" ht="16.5" customHeight="1" outlineLevel="1" x14ac:dyDescent="0.25">
      <c r="B7" s="29" t="s">
        <v>5</v>
      </c>
      <c r="C7" s="36">
        <v>1</v>
      </c>
      <c r="D7" s="36">
        <v>4000</v>
      </c>
      <c r="E7" s="16">
        <f t="shared" ref="E7:E15" si="8">D7*C7</f>
        <v>4000</v>
      </c>
      <c r="F7" s="37"/>
      <c r="G7" s="44">
        <f t="shared" ref="G7:G15" si="9">E7-F7</f>
        <v>4000</v>
      </c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8"/>
      <c r="AA7" s="11">
        <v>1</v>
      </c>
      <c r="AB7" s="8"/>
      <c r="AC7" s="11">
        <f t="shared" si="6"/>
        <v>1</v>
      </c>
      <c r="AD7" s="8"/>
      <c r="AE7" s="11">
        <f t="shared" si="7"/>
        <v>0</v>
      </c>
    </row>
    <row r="8" spans="2:31" ht="16.5" customHeight="1" outlineLevel="1" x14ac:dyDescent="0.25">
      <c r="B8" s="29" t="s">
        <v>6</v>
      </c>
      <c r="C8" s="36">
        <v>1</v>
      </c>
      <c r="D8" s="36">
        <v>4000</v>
      </c>
      <c r="E8" s="16">
        <f t="shared" si="8"/>
        <v>4000</v>
      </c>
      <c r="F8" s="37"/>
      <c r="G8" s="44">
        <f t="shared" si="9"/>
        <v>4000</v>
      </c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9"/>
      <c r="Y8" s="9"/>
      <c r="Z8" s="8"/>
      <c r="AA8" s="11">
        <v>1</v>
      </c>
      <c r="AB8" s="8"/>
      <c r="AC8" s="11">
        <f t="shared" si="6"/>
        <v>1</v>
      </c>
      <c r="AD8" s="8"/>
      <c r="AE8" s="11">
        <f t="shared" si="7"/>
        <v>0</v>
      </c>
    </row>
    <row r="9" spans="2:31" ht="16.5" customHeight="1" outlineLevel="1" x14ac:dyDescent="0.25">
      <c r="B9" s="29" t="s">
        <v>7</v>
      </c>
      <c r="C9" s="36">
        <v>1</v>
      </c>
      <c r="D9" s="36">
        <v>4000</v>
      </c>
      <c r="E9" s="16">
        <f t="shared" si="8"/>
        <v>4000</v>
      </c>
      <c r="F9" s="37"/>
      <c r="G9" s="44">
        <f t="shared" si="9"/>
        <v>4000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9"/>
      <c r="Y9" s="9"/>
      <c r="Z9" s="8"/>
      <c r="AA9" s="11">
        <v>1</v>
      </c>
      <c r="AB9" s="8"/>
      <c r="AC9" s="11">
        <f t="shared" si="6"/>
        <v>1</v>
      </c>
      <c r="AD9" s="8"/>
      <c r="AE9" s="11">
        <f t="shared" si="7"/>
        <v>0</v>
      </c>
    </row>
    <row r="10" spans="2:31" ht="16.5" customHeight="1" outlineLevel="1" x14ac:dyDescent="0.25">
      <c r="B10" s="29" t="s">
        <v>8</v>
      </c>
      <c r="C10" s="36">
        <v>1</v>
      </c>
      <c r="D10" s="36">
        <v>200</v>
      </c>
      <c r="E10" s="16">
        <f t="shared" si="8"/>
        <v>200</v>
      </c>
      <c r="F10" s="37"/>
      <c r="G10" s="44">
        <f t="shared" si="9"/>
        <v>200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9"/>
      <c r="Y10" s="9"/>
      <c r="Z10" s="8"/>
      <c r="AA10" s="11">
        <v>1</v>
      </c>
      <c r="AB10" s="8"/>
      <c r="AC10" s="11">
        <f t="shared" si="6"/>
        <v>1</v>
      </c>
      <c r="AD10" s="8"/>
      <c r="AE10" s="11">
        <f t="shared" si="7"/>
        <v>0</v>
      </c>
    </row>
    <row r="11" spans="2:31" ht="16.5" customHeight="1" outlineLevel="1" x14ac:dyDescent="0.25">
      <c r="B11" s="29" t="s">
        <v>9</v>
      </c>
      <c r="C11" s="36">
        <v>1</v>
      </c>
      <c r="D11" s="36">
        <v>100</v>
      </c>
      <c r="E11" s="16">
        <f t="shared" si="8"/>
        <v>100</v>
      </c>
      <c r="F11" s="37"/>
      <c r="G11" s="44">
        <f t="shared" si="9"/>
        <v>100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9"/>
      <c r="Y11" s="9"/>
      <c r="Z11" s="8"/>
      <c r="AA11" s="11">
        <v>1</v>
      </c>
      <c r="AB11" s="8"/>
      <c r="AC11" s="11">
        <f t="shared" si="6"/>
        <v>1</v>
      </c>
      <c r="AD11" s="8"/>
      <c r="AE11" s="11">
        <f t="shared" si="7"/>
        <v>0</v>
      </c>
    </row>
    <row r="12" spans="2:31" ht="16.5" customHeight="1" outlineLevel="1" x14ac:dyDescent="0.25">
      <c r="B12" s="29" t="s">
        <v>10</v>
      </c>
      <c r="C12" s="36">
        <v>1</v>
      </c>
      <c r="D12" s="36">
        <v>500</v>
      </c>
      <c r="E12" s="16">
        <f t="shared" si="8"/>
        <v>500</v>
      </c>
      <c r="F12" s="37"/>
      <c r="G12" s="44">
        <f t="shared" si="9"/>
        <v>500</v>
      </c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9"/>
      <c r="Y12" s="9"/>
      <c r="Z12" s="8"/>
      <c r="AA12" s="11">
        <v>1</v>
      </c>
      <c r="AB12" s="8"/>
      <c r="AC12" s="11">
        <f t="shared" si="6"/>
        <v>1</v>
      </c>
      <c r="AD12" s="8"/>
      <c r="AE12" s="11">
        <f t="shared" si="7"/>
        <v>0</v>
      </c>
    </row>
    <row r="13" spans="2:31" ht="16.5" customHeight="1" outlineLevel="1" x14ac:dyDescent="0.25">
      <c r="B13" s="29" t="s">
        <v>11</v>
      </c>
      <c r="C13" s="36">
        <v>1</v>
      </c>
      <c r="D13" s="36">
        <v>650</v>
      </c>
      <c r="E13" s="16">
        <f t="shared" si="8"/>
        <v>650</v>
      </c>
      <c r="F13" s="37"/>
      <c r="G13" s="44">
        <f t="shared" si="9"/>
        <v>650</v>
      </c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9"/>
      <c r="Y13" s="9"/>
      <c r="Z13" s="8"/>
      <c r="AA13" s="11">
        <v>1</v>
      </c>
      <c r="AB13" s="8"/>
      <c r="AC13" s="11">
        <f t="shared" si="6"/>
        <v>1</v>
      </c>
      <c r="AD13" s="8"/>
      <c r="AE13" s="11">
        <f t="shared" si="7"/>
        <v>0</v>
      </c>
    </row>
    <row r="14" spans="2:31" ht="16.5" customHeight="1" outlineLevel="1" x14ac:dyDescent="0.25">
      <c r="B14" s="29" t="s">
        <v>12</v>
      </c>
      <c r="C14" s="36">
        <v>1</v>
      </c>
      <c r="D14" s="36">
        <v>350</v>
      </c>
      <c r="E14" s="16">
        <f t="shared" si="8"/>
        <v>350</v>
      </c>
      <c r="F14" s="37"/>
      <c r="G14" s="44">
        <f t="shared" si="9"/>
        <v>350</v>
      </c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9"/>
      <c r="Y14" s="9"/>
      <c r="Z14" s="8"/>
      <c r="AA14" s="11">
        <v>1</v>
      </c>
      <c r="AB14" s="8"/>
      <c r="AC14" s="11">
        <f t="shared" ref="AC14:AC15" si="10">AA14*C14</f>
        <v>1</v>
      </c>
      <c r="AD14" s="8"/>
      <c r="AE14" s="11">
        <f t="shared" ref="AE14:AE15" si="11">AA14*F14</f>
        <v>0</v>
      </c>
    </row>
    <row r="15" spans="2:31" ht="16.5" customHeight="1" outlineLevel="1" x14ac:dyDescent="0.25">
      <c r="B15" s="29" t="s">
        <v>13</v>
      </c>
      <c r="C15" s="36">
        <v>1</v>
      </c>
      <c r="D15" s="36">
        <v>200</v>
      </c>
      <c r="E15" s="16">
        <f t="shared" si="8"/>
        <v>200</v>
      </c>
      <c r="F15" s="37"/>
      <c r="G15" s="44">
        <f t="shared" si="9"/>
        <v>200</v>
      </c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9"/>
      <c r="Y15" s="9"/>
      <c r="Z15" s="8"/>
      <c r="AA15" s="11">
        <v>1</v>
      </c>
      <c r="AB15" s="8"/>
      <c r="AC15" s="11">
        <f t="shared" si="10"/>
        <v>1</v>
      </c>
      <c r="AD15" s="8"/>
      <c r="AE15" s="11">
        <f t="shared" si="11"/>
        <v>0</v>
      </c>
    </row>
    <row r="16" spans="2:31" ht="16.5" customHeight="1" outlineLevel="1" x14ac:dyDescent="0.25">
      <c r="B16" s="29" t="s">
        <v>22</v>
      </c>
      <c r="C16" s="36">
        <v>1</v>
      </c>
      <c r="D16" s="36">
        <v>1200</v>
      </c>
      <c r="E16" s="16">
        <f t="shared" ref="E16:E20" si="12">D16*C16</f>
        <v>1200</v>
      </c>
      <c r="F16" s="37"/>
      <c r="G16" s="44">
        <f t="shared" ref="G16:G20" si="13">E16-F16</f>
        <v>1200</v>
      </c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9"/>
      <c r="Y16" s="9"/>
      <c r="Z16" s="8"/>
      <c r="AA16" s="11">
        <v>1</v>
      </c>
      <c r="AB16" s="8"/>
      <c r="AC16" s="11">
        <f t="shared" ref="AC16:AC17" si="14">AA16*C16</f>
        <v>1</v>
      </c>
      <c r="AD16" s="8"/>
      <c r="AE16" s="11">
        <f t="shared" ref="AE16:AE17" si="15">AA16*F16</f>
        <v>0</v>
      </c>
    </row>
    <row r="17" spans="2:31" ht="16.5" customHeight="1" outlineLevel="1" thickBot="1" x14ac:dyDescent="0.3">
      <c r="B17" s="41" t="s">
        <v>23</v>
      </c>
      <c r="C17" s="52">
        <v>1</v>
      </c>
      <c r="D17" s="52">
        <v>100</v>
      </c>
      <c r="E17" s="53">
        <f t="shared" si="12"/>
        <v>100</v>
      </c>
      <c r="F17" s="37"/>
      <c r="G17" s="44">
        <f t="shared" si="13"/>
        <v>100</v>
      </c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9"/>
      <c r="Y17" s="9"/>
      <c r="Z17" s="8"/>
      <c r="AA17" s="11">
        <v>1</v>
      </c>
      <c r="AB17" s="8"/>
      <c r="AC17" s="11">
        <f t="shared" si="14"/>
        <v>1</v>
      </c>
      <c r="AD17" s="8"/>
      <c r="AE17" s="11">
        <f t="shared" si="15"/>
        <v>0</v>
      </c>
    </row>
    <row r="18" spans="2:31" s="3" customFormat="1" ht="19.5" hidden="1" collapsed="1" thickBot="1" x14ac:dyDescent="0.3">
      <c r="B18" s="27" t="s">
        <v>18</v>
      </c>
      <c r="C18" s="35"/>
      <c r="D18" s="17">
        <f>SUM(D19:D20)</f>
        <v>320</v>
      </c>
      <c r="E18" s="45">
        <f>SUM(E19:E20)</f>
        <v>100</v>
      </c>
      <c r="F18" s="34"/>
      <c r="G18" s="45">
        <f t="shared" si="13"/>
        <v>100</v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7"/>
      <c r="Y18" s="7"/>
      <c r="Z18" s="6"/>
      <c r="AA18" s="12"/>
      <c r="AB18" s="15"/>
      <c r="AC18" s="13">
        <f>SUM(AC19:AC20)</f>
        <v>0.185</v>
      </c>
      <c r="AD18" s="15"/>
      <c r="AE18" s="13">
        <f>SUM(AE19:AE20)</f>
        <v>0</v>
      </c>
    </row>
    <row r="19" spans="2:31" ht="16.5" hidden="1" customHeight="1" outlineLevel="1" x14ac:dyDescent="0.25">
      <c r="B19" s="39" t="s">
        <v>16</v>
      </c>
      <c r="C19" s="43">
        <v>0.35</v>
      </c>
      <c r="D19" s="42">
        <v>200</v>
      </c>
      <c r="E19" s="24">
        <f t="shared" si="12"/>
        <v>70</v>
      </c>
      <c r="F19" s="33"/>
      <c r="G19" s="44">
        <f t="shared" si="13"/>
        <v>70</v>
      </c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9"/>
      <c r="Y19" s="9"/>
      <c r="Z19" s="8"/>
      <c r="AA19" s="11">
        <v>0.35</v>
      </c>
      <c r="AB19" s="8"/>
      <c r="AC19" s="11">
        <f t="shared" ref="AC19:AC20" si="16">AA19*C19</f>
        <v>0.12249999999999998</v>
      </c>
      <c r="AD19" s="8"/>
      <c r="AE19" s="11">
        <f t="shared" ref="AE19:AE20" si="17">AA19*F19</f>
        <v>0</v>
      </c>
    </row>
    <row r="20" spans="2:31" ht="16.5" hidden="1" customHeight="1" outlineLevel="1" thickBot="1" x14ac:dyDescent="0.3">
      <c r="B20" s="39" t="s">
        <v>17</v>
      </c>
      <c r="C20" s="43">
        <v>0.25</v>
      </c>
      <c r="D20" s="49">
        <v>120</v>
      </c>
      <c r="E20" s="16">
        <f t="shared" si="12"/>
        <v>30</v>
      </c>
      <c r="F20" s="33"/>
      <c r="G20" s="44">
        <f t="shared" si="13"/>
        <v>30</v>
      </c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9"/>
      <c r="Y20" s="9"/>
      <c r="Z20" s="8"/>
      <c r="AA20" s="11">
        <v>0.25</v>
      </c>
      <c r="AB20" s="8"/>
      <c r="AC20" s="11">
        <f t="shared" si="16"/>
        <v>6.25E-2</v>
      </c>
      <c r="AD20" s="8"/>
      <c r="AE20" s="11">
        <f t="shared" si="17"/>
        <v>0</v>
      </c>
    </row>
    <row r="21" spans="2:31" s="3" customFormat="1" ht="19.5" hidden="1" collapsed="1" thickBot="1" x14ac:dyDescent="0.3">
      <c r="B21" s="27" t="s">
        <v>14</v>
      </c>
      <c r="C21" s="17"/>
      <c r="D21" s="17">
        <v>150</v>
      </c>
      <c r="E21" s="45">
        <v>150</v>
      </c>
      <c r="F21" s="34"/>
      <c r="G21" s="46">
        <f t="shared" ref="G21:G22" si="18">E21-F21</f>
        <v>150</v>
      </c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7"/>
      <c r="Y21" s="7"/>
      <c r="Z21" s="6"/>
      <c r="AA21" s="12"/>
      <c r="AB21" s="15"/>
      <c r="AC21" s="13">
        <f>SUM(AC22:AC22)</f>
        <v>1</v>
      </c>
      <c r="AD21" s="15"/>
      <c r="AE21" s="13">
        <f>SUM(AE22:AE22)</f>
        <v>0</v>
      </c>
    </row>
    <row r="22" spans="2:31" ht="16.5" hidden="1" customHeight="1" outlineLevel="1" thickBot="1" x14ac:dyDescent="0.3">
      <c r="B22" s="29" t="s">
        <v>15</v>
      </c>
      <c r="C22" s="10">
        <v>1</v>
      </c>
      <c r="D22" s="10">
        <v>150</v>
      </c>
      <c r="E22" s="16">
        <f t="shared" ref="E21:E22" si="19">D22*C22</f>
        <v>150</v>
      </c>
      <c r="F22" s="33"/>
      <c r="G22" s="44">
        <f t="shared" si="18"/>
        <v>150</v>
      </c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9"/>
      <c r="Y22" s="9"/>
      <c r="Z22" s="8"/>
      <c r="AA22" s="11">
        <v>1</v>
      </c>
      <c r="AB22" s="8"/>
      <c r="AC22" s="11">
        <f t="shared" ref="AC22" si="20">AA22*C22</f>
        <v>1</v>
      </c>
      <c r="AD22" s="8"/>
      <c r="AE22" s="11">
        <f t="shared" ref="AE22" si="21">AA22*F22</f>
        <v>0</v>
      </c>
    </row>
    <row r="23" spans="2:31" ht="19.5" hidden="1" thickBot="1" x14ac:dyDescent="0.3">
      <c r="B23" s="26"/>
      <c r="C23" s="25"/>
      <c r="D23" s="19">
        <f>D21+D18</f>
        <v>470</v>
      </c>
      <c r="E23" s="25">
        <f>E21+E18</f>
        <v>250</v>
      </c>
      <c r="F23" s="48"/>
      <c r="G23" s="47"/>
      <c r="AA23" s="20"/>
      <c r="AB23" s="20"/>
      <c r="AC23" s="20"/>
      <c r="AD23" s="20"/>
      <c r="AE23" s="20"/>
    </row>
    <row r="24" spans="2:31" hidden="1" x14ac:dyDescent="0.25"/>
  </sheetData>
  <phoneticPr fontId="7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Заказ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User1</cp:lastModifiedBy>
  <cp:lastPrinted>2023-06-23T08:55:51Z</cp:lastPrinted>
  <dcterms:created xsi:type="dcterms:W3CDTF">2015-06-05T18:19:34Z</dcterms:created>
  <dcterms:modified xsi:type="dcterms:W3CDTF">2024-01-24T11:09:58Z</dcterms:modified>
</cp:coreProperties>
</file>