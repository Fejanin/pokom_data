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A57B113-F7E0-47C5-849D-31B6417744AA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Основной ассортимент" sheetId="2" r:id="rId1"/>
    <sheet name="2 фронт" sheetId="3" r:id="rId2"/>
  </sheets>
  <definedNames>
    <definedName name="_xlnm._FilterDatabase" localSheetId="0" hidden="1">'Основной ассортимент'!$A$2:$C$2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1" i="3" l="1"/>
  <c r="I31" i="3" l="1"/>
  <c r="H31" i="3"/>
  <c r="C20" i="3"/>
  <c r="C19" i="3"/>
  <c r="C18" i="3"/>
</calcChain>
</file>

<file path=xl/sharedStrings.xml><?xml version="1.0" encoding="utf-8"?>
<sst xmlns="http://schemas.openxmlformats.org/spreadsheetml/2006/main" count="88" uniqueCount="67">
  <si>
    <t>Наименование</t>
  </si>
  <si>
    <t>Ветчина вареная Нежная ТМ Особый рецепт полиамид вес большой батон СК3</t>
  </si>
  <si>
    <t>Ветчина Дугушка ТМ Стародворье ТС Дугушка диплекс вес СК1</t>
  </si>
  <si>
    <t>Ветчина Филейская ТМ Вязанка ТС Столичная полиамид вес СК3</t>
  </si>
  <si>
    <t>Колбаса вареная Вязанка со шпиком ТМ Стародворские колбасы ТС Вязанка вектор вес УВС2 СК1</t>
  </si>
  <si>
    <t>Колбаса вареная Докторская ГОСТ ТМ Вязанка вектор вес СК3</t>
  </si>
  <si>
    <t>Колбаса вареная Докторская ТМ Стародворье ТС Дугушка полиамид вес СК3</t>
  </si>
  <si>
    <t>Колбаса вареная Дугушка со шпиком ТМ Стародворье ТС Дугушка полиамид вес НД СК1</t>
  </si>
  <si>
    <t>Колбаса вареная из мяса птицы Докторская Особая ТМ Особый рецепт полиамид вес ВЗ</t>
  </si>
  <si>
    <t>Колбаса вареная из мяса птицы Молочная Особая ТМ Особый рецепт полиамид вес ВЗ</t>
  </si>
  <si>
    <t>Колбаса вареная из мяса птицы Особая ТМ Особый рецепт полиамид вес ВЗ</t>
  </si>
  <si>
    <t>Колбаса вареная Молочная Дугушка ТМ Стародворье ТС Дугушка полиамид вес СК1</t>
  </si>
  <si>
    <t>Колбаса вареная Сливушка ТМ Вязанка полиамид вес СК3</t>
  </si>
  <si>
    <t>Колбаса вареная Филейская ТМ Вязанка ТС Классическая полиамид вес ВЗ</t>
  </si>
  <si>
    <t>Колбаса варено-копченая Мясорубская ТМ Стародворье с рубленой грудинкой фиброуз в/у ф/в 0,35 кг срез СК2</t>
  </si>
  <si>
    <t>Колбаса варено-копченая Рубленая запеченная ТМ Стародворье ТС Дугушка вектор вес УВС3 СК1</t>
  </si>
  <si>
    <t>Колбаса варено-копченая Салями запеченная ТМ Стародворье ТС Дугушка вектор вес УВС1 СК2</t>
  </si>
  <si>
    <t>Колбаса варено-копченая Салями Филейбургская зернистая ТМ Баварушка фиброуз в/у вес УВС СК2</t>
  </si>
  <si>
    <t>Колбаса варено-копченая Сервелат запеченный ТМ Стародворье ТС Дугушка вектор весовая УВС3 СК2</t>
  </si>
  <si>
    <t>Колбаса варено-копченая Сервелат Мясорубский ТМ Стародворье с мелкорубленным окороком фиброуз в/у вес СК2</t>
  </si>
  <si>
    <t>Колбаса варено-копченая Сервелат Мясорубский ТМ Стародворье с мелкорубленным окороком фиброуз в/у ф/в 0,35 кг срез СК2</t>
  </si>
  <si>
    <t>Колбаса варено-копченая Сочинка по-европейски с сочной грудинкой ТМ Стародворье фиброуз в/у вес СК2</t>
  </si>
  <si>
    <t>Колбаса варено-копченая Сочинка по-фински с сочным окороком ТМ Стародворье фиброуз в/у вес СК2</t>
  </si>
  <si>
    <t>Колбаса варено-копченая Филейбургская с душистым чесноком ТМ Баварушка фиброуз в/у вес УВС СК2</t>
  </si>
  <si>
    <t>Колбаса варено-копченая Филейбургская с сочным окороком ТМ Баварушка фиброуз в/у вес УВС СК2</t>
  </si>
  <si>
    <t>Сосиски Баварские ТМ Стародворье айпил мгс ф/в 0,42 кг УВС3 НД СК3</t>
  </si>
  <si>
    <t>Сосиски Ганноверские ТМ Стародворье амилюкс мгс вес УВС2 НД СК3</t>
  </si>
  <si>
    <t>Сосиски Сочинки по-баварски с сыром ТМ Стародворье полиамид мгс ф/в 0,4 кг СК2</t>
  </si>
  <si>
    <t>Сосиски Сочинки по-баварски ТМ Стародворье полиамид мгс ф/в 0,4 кг СК3</t>
  </si>
  <si>
    <t>Итого</t>
  </si>
  <si>
    <t>Потребность  месяц</t>
  </si>
  <si>
    <t>Потребность на  неделю</t>
  </si>
  <si>
    <t>Торговая Марка (SAP SKU)</t>
  </si>
  <si>
    <t>Торговая Серия (SAP SKU)</t>
  </si>
  <si>
    <t>Потребность на месяц, кг</t>
  </si>
  <si>
    <t>Потребность на неделю, кг</t>
  </si>
  <si>
    <t>Горячая штучка</t>
  </si>
  <si>
    <t>Бельмеши</t>
  </si>
  <si>
    <t>Пекерсы</t>
  </si>
  <si>
    <t>Супермени</t>
  </si>
  <si>
    <t>Чебуманы</t>
  </si>
  <si>
    <t>ПГП</t>
  </si>
  <si>
    <t>Колбасный стандарт</t>
  </si>
  <si>
    <t>Владимирский Стандарт ЗПФ</t>
  </si>
  <si>
    <t>Особый рецепт</t>
  </si>
  <si>
    <t>Пельмени Левантские ТМ Особый рецепт ф/п сфера ф/в 0,8 кг МГ</t>
  </si>
  <si>
    <t>Зареченские</t>
  </si>
  <si>
    <t>Выгодная цена</t>
  </si>
  <si>
    <t>Зареченские продукты</t>
  </si>
  <si>
    <t>Особая Без свинины</t>
  </si>
  <si>
    <t>Стародворье</t>
  </si>
  <si>
    <t>Фирменная</t>
  </si>
  <si>
    <t>Ядрена копоть</t>
  </si>
  <si>
    <t>Вареные колбасы «Муромская» Весовой п/а ТМ «Зареченские»</t>
  </si>
  <si>
    <t>Вареные колбасы «Нежная» НТУ Весовые П/а ТМ «Зареченские»</t>
  </si>
  <si>
    <t>Ветчины «Нежная» Весовой п/а ТМ «Зареченские» большой батон</t>
  </si>
  <si>
    <t>Вареные колбасы Молочная По-стародворски Фирменная Весовые П/а Стародворье</t>
  </si>
  <si>
    <t>Вареные колбасы Русская По-стародворски Фирменная Весовые П/а Стародворье</t>
  </si>
  <si>
    <t>Вареные колбасы Докторская По-стародворски Фирменная Фикс.вес 0,5 П/а Стародворье</t>
  </si>
  <si>
    <t>Вареные колбасы Молочная По-стародворски Фирменная Фикс.вес 0,5 П/а Стародворье</t>
  </si>
  <si>
    <t>Сосиски Классические Ядрена копоть Фикс.вес 0,42 ц/о мгс Ядрена копоть</t>
  </si>
  <si>
    <t>Сосиски с горчицей Ядрена копоть Фикс.вес 0,33 ц/о мгс Ядрена копоть</t>
  </si>
  <si>
    <t>Сосиски С соусом Барбекю Ядрена копоть Фикс.вес 0,33 ц/о мгс Ядрена копоть</t>
  </si>
  <si>
    <t>Сосиски с сыром Ядрена копоть Фикс.вес 0,33 ц/о мгс Ядрена копоть</t>
  </si>
  <si>
    <t>Сосиски с сыром Ядрена копоть Фикс.вес 0,42 ц/о мгс Ядрена копоть</t>
  </si>
  <si>
    <t>2 вида</t>
  </si>
  <si>
    <t>кратно ящику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</si>
</sst>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94">
    <xf numFmtId="0" fontId="0" fillId="0" borderId="0" xfId="0"/>
    <xf numFmtId="0" fontId="3" fillId="0" borderId="0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1" xfId="0" applyNumberFormat="1" applyBorder="1"/>
    <xf numFmtId="1" fontId="0" fillId="0" borderId="0" xfId="0" applyNumberFormat="1"/>
    <xf numFmtId="1" fontId="0" fillId="0" borderId="3" xfId="0" applyNumberFormat="1" applyBorder="1"/>
    <xf numFmtId="1" fontId="0" fillId="0" borderId="6" xfId="0" applyNumberFormat="1" applyBorder="1"/>
    <xf numFmtId="1" fontId="0" fillId="0" borderId="0" xfId="0" applyNumberFormat="1" applyFill="1" applyBorder="1"/>
    <xf numFmtId="1" fontId="0" fillId="2" borderId="5" xfId="0" applyNumberFormat="1" applyFill="1" applyBorder="1"/>
    <xf numFmtId="0" fontId="0" fillId="0" borderId="0" xfId="0" applyFont="1"/>
    <xf numFmtId="0" fontId="0" fillId="2" borderId="11" xfId="0" applyFill="1" applyBorder="1"/>
    <xf numFmtId="0" fontId="0" fillId="2" borderId="5" xfId="0" applyFill="1" applyBorder="1"/>
    <xf numFmtId="0" fontId="0" fillId="0" borderId="35" xfId="0" applyFont="1" applyBorder="1" applyAlignment="1">
      <alignment horizontal="center" vertical="center" wrapText="1"/>
    </xf>
    <xf numFmtId="0" fontId="0" fillId="0" borderId="36" xfId="0" applyFont="1" applyBorder="1"/>
    <xf numFmtId="0" fontId="0" fillId="0" borderId="37" xfId="0" applyFont="1" applyBorder="1"/>
    <xf numFmtId="0" fontId="0" fillId="0" borderId="38" xfId="0" applyFont="1" applyBorder="1"/>
    <xf numFmtId="0" fontId="0" fillId="0" borderId="39" xfId="0" applyFont="1" applyBorder="1"/>
    <xf numFmtId="0" fontId="0" fillId="0" borderId="40" xfId="0" applyFont="1" applyBorder="1"/>
    <xf numFmtId="0" fontId="0" fillId="0" borderId="41" xfId="0" applyFont="1" applyBorder="1" applyAlignment="1">
      <alignment horizontal="center" vertical="center" wrapText="1"/>
    </xf>
    <xf numFmtId="0" fontId="0" fillId="0" borderId="42" xfId="0" applyFont="1" applyBorder="1"/>
    <xf numFmtId="0" fontId="0" fillId="0" borderId="43" xfId="0" applyFont="1" applyBorder="1"/>
    <xf numFmtId="0" fontId="0" fillId="0" borderId="44" xfId="0" applyFont="1" applyBorder="1"/>
    <xf numFmtId="0" fontId="0" fillId="0" borderId="45" xfId="0" applyFont="1" applyBorder="1"/>
    <xf numFmtId="0" fontId="0" fillId="0" borderId="46" xfId="0" applyFont="1" applyBorder="1"/>
    <xf numFmtId="0" fontId="2" fillId="0" borderId="35" xfId="0" applyFont="1" applyBorder="1" applyAlignment="1">
      <alignment vertical="center"/>
    </xf>
    <xf numFmtId="0" fontId="0" fillId="2" borderId="36" xfId="3" applyFont="1" applyFill="1" applyBorder="1"/>
    <xf numFmtId="0" fontId="0" fillId="2" borderId="37" xfId="3" applyFont="1" applyFill="1" applyBorder="1"/>
    <xf numFmtId="0" fontId="0" fillId="2" borderId="38" xfId="3" applyFont="1" applyFill="1" applyBorder="1"/>
    <xf numFmtId="0" fontId="2" fillId="0" borderId="41" xfId="0" applyFont="1" applyBorder="1" applyAlignment="1">
      <alignment vertical="center"/>
    </xf>
    <xf numFmtId="0" fontId="0" fillId="2" borderId="42" xfId="3" applyFont="1" applyFill="1" applyBorder="1"/>
    <xf numFmtId="0" fontId="0" fillId="2" borderId="43" xfId="3" applyFont="1" applyFill="1" applyBorder="1"/>
    <xf numFmtId="0" fontId="0" fillId="2" borderId="43" xfId="3" applyFont="1" applyFill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5" xfId="0" applyBorder="1"/>
    <xf numFmtId="0" fontId="0" fillId="2" borderId="42" xfId="3" applyFont="1" applyFill="1" applyBorder="1" applyAlignment="1">
      <alignment horizontal="center" vertical="center"/>
    </xf>
    <xf numFmtId="0" fontId="0" fillId="2" borderId="44" xfId="3" applyFont="1" applyFill="1" applyBorder="1" applyAlignment="1">
      <alignment horizontal="center" vertical="center"/>
    </xf>
    <xf numFmtId="0" fontId="0" fillId="3" borderId="0" xfId="0" applyFont="1" applyFill="1"/>
    <xf numFmtId="0" fontId="4" fillId="3" borderId="6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 wrapText="1"/>
    </xf>
    <xf numFmtId="0" fontId="0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3" borderId="30" xfId="1" applyFont="1" applyFill="1" applyBorder="1"/>
    <xf numFmtId="0" fontId="0" fillId="3" borderId="4" xfId="1" applyFont="1" applyFill="1" applyBorder="1"/>
    <xf numFmtId="0" fontId="0" fillId="3" borderId="4" xfId="0" applyFont="1" applyFill="1" applyBorder="1"/>
    <xf numFmtId="0" fontId="0" fillId="3" borderId="31" xfId="0" applyFont="1" applyFill="1" applyBorder="1"/>
    <xf numFmtId="0" fontId="0" fillId="3" borderId="15" xfId="1" applyFont="1" applyFill="1" applyBorder="1"/>
    <xf numFmtId="0" fontId="0" fillId="3" borderId="1" xfId="1" applyFont="1" applyFill="1" applyBorder="1"/>
    <xf numFmtId="0" fontId="0" fillId="3" borderId="1" xfId="0" applyFont="1" applyFill="1" applyBorder="1"/>
    <xf numFmtId="0" fontId="0" fillId="3" borderId="16" xfId="0" applyFont="1" applyFill="1" applyBorder="1"/>
    <xf numFmtId="0" fontId="0" fillId="3" borderId="17" xfId="1" applyFont="1" applyFill="1" applyBorder="1"/>
    <xf numFmtId="0" fontId="0" fillId="3" borderId="18" xfId="1" applyFont="1" applyFill="1" applyBorder="1"/>
    <xf numFmtId="0" fontId="0" fillId="3" borderId="18" xfId="0" applyFont="1" applyFill="1" applyBorder="1"/>
    <xf numFmtId="0" fontId="0" fillId="3" borderId="19" xfId="0" applyFont="1" applyFill="1" applyBorder="1"/>
    <xf numFmtId="0" fontId="2" fillId="0" borderId="5" xfId="0" applyFont="1" applyBorder="1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0" fillId="0" borderId="47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  <xf numFmtId="0" fontId="0" fillId="0" borderId="21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20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22" xfId="0" applyFont="1" applyFill="1" applyBorder="1" applyAlignment="1">
      <alignment vertical="center" wrapText="1"/>
    </xf>
    <xf numFmtId="0" fontId="0" fillId="0" borderId="25" xfId="0" applyFont="1" applyFill="1" applyBorder="1" applyAlignment="1">
      <alignment vertical="center" wrapText="1"/>
    </xf>
    <xf numFmtId="0" fontId="0" fillId="0" borderId="18" xfId="0" applyFont="1" applyFill="1" applyBorder="1" applyAlignment="1">
      <alignment vertical="center" wrapText="1"/>
    </xf>
    <xf numFmtId="0" fontId="0" fillId="0" borderId="24" xfId="0" applyFont="1" applyFill="1" applyBorder="1" applyAlignment="1">
      <alignment vertical="center" wrapText="1"/>
    </xf>
    <xf numFmtId="0" fontId="0" fillId="0" borderId="26" xfId="0" applyFont="1" applyBorder="1" applyAlignment="1">
      <alignment vertical="center"/>
    </xf>
    <xf numFmtId="0" fontId="0" fillId="0" borderId="27" xfId="0" applyFont="1" applyBorder="1" applyAlignment="1">
      <alignment vertical="center"/>
    </xf>
    <xf numFmtId="0" fontId="0" fillId="0" borderId="29" xfId="0" applyFont="1" applyBorder="1" applyAlignment="1">
      <alignment vertical="center"/>
    </xf>
    <xf numFmtId="0" fontId="5" fillId="0" borderId="23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0" fillId="3" borderId="11" xfId="0" applyFont="1" applyFill="1" applyBorder="1" applyAlignment="1">
      <alignment horizontal="center" wrapText="1"/>
    </xf>
    <xf numFmtId="0" fontId="0" fillId="3" borderId="12" xfId="0" applyFont="1" applyFill="1" applyBorder="1" applyAlignment="1">
      <alignment horizontal="center" wrapText="1"/>
    </xf>
    <xf numFmtId="0" fontId="0" fillId="3" borderId="13" xfId="0" applyFont="1" applyFill="1" applyBorder="1" applyAlignment="1">
      <alignment horizontal="center" wrapText="1"/>
    </xf>
    <xf numFmtId="0" fontId="4" fillId="3" borderId="10" xfId="1" applyFont="1" applyFill="1" applyBorder="1" applyAlignment="1">
      <alignment horizontal="center" vertical="center" wrapText="1"/>
    </xf>
    <xf numFmtId="0" fontId="4" fillId="3" borderId="34" xfId="1" applyFont="1" applyFill="1" applyBorder="1" applyAlignment="1">
      <alignment horizontal="center" vertical="center" wrapText="1"/>
    </xf>
    <xf numFmtId="0" fontId="0" fillId="3" borderId="32" xfId="1" applyFont="1" applyFill="1" applyBorder="1" applyAlignment="1">
      <alignment horizontal="center"/>
    </xf>
    <xf numFmtId="0" fontId="0" fillId="3" borderId="33" xfId="1" applyFont="1" applyFill="1" applyBorder="1" applyAlignment="1">
      <alignment horizontal="center"/>
    </xf>
    <xf numFmtId="0" fontId="0" fillId="3" borderId="24" xfId="2" applyFont="1" applyFill="1" applyBorder="1" applyAlignment="1">
      <alignment horizontal="center"/>
    </xf>
    <xf numFmtId="0" fontId="0" fillId="3" borderId="25" xfId="2" applyFont="1" applyFill="1" applyBorder="1" applyAlignment="1">
      <alignment horizontal="center"/>
    </xf>
    <xf numFmtId="0" fontId="5" fillId="0" borderId="21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 wrapText="1"/>
    </xf>
    <xf numFmtId="0" fontId="6" fillId="0" borderId="20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22" xfId="0" applyFont="1" applyFill="1" applyBorder="1" applyAlignment="1">
      <alignment vertical="center" wrapText="1"/>
    </xf>
    <xf numFmtId="0" fontId="2" fillId="0" borderId="28" xfId="0" applyFont="1" applyBorder="1" applyAlignment="1">
      <alignment horizontal="center" vertical="center"/>
    </xf>
    <xf numFmtId="0" fontId="0" fillId="0" borderId="1" xfId="0" applyBorder="1"/>
  </cellXfs>
  <cellStyles count="4">
    <cellStyle name="Обычный" xfId="0" builtinId="0"/>
    <cellStyle name="Обычный 11" xfId="1" xr:uid="{00000000-0005-0000-0000-000001000000}"/>
    <cellStyle name="Обычный 11 2" xfId="2" xr:uid="{00000000-0005-0000-0000-000002000000}"/>
    <cellStyle name="Обычный 24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zoomScale="70" zoomScaleNormal="70" workbookViewId="0">
      <selection activeCell="J19" sqref="J19"/>
    </sheetView>
  </sheetViews>
  <sheetFormatPr defaultRowHeight="15" x14ac:dyDescent="0.25"/>
  <cols>
    <col min="1" max="1" width="86.85546875" customWidth="1"/>
    <col min="2" max="2" width="13" customWidth="1"/>
    <col min="3" max="3" width="12.85546875" customWidth="1"/>
  </cols>
  <sheetData>
    <row r="1" spans="1:5" ht="24" customHeight="1" x14ac:dyDescent="0.25">
      <c r="A1" s="3"/>
    </row>
    <row r="2" spans="1:5" s="5" customFormat="1" ht="51.75" customHeight="1" x14ac:dyDescent="0.25">
      <c r="A2" s="4" t="s">
        <v>0</v>
      </c>
      <c r="B2" s="4" t="s">
        <v>30</v>
      </c>
      <c r="C2" s="4" t="s">
        <v>31</v>
      </c>
    </row>
    <row r="3" spans="1:5" x14ac:dyDescent="0.25">
      <c r="A3" s="2" t="s">
        <v>4</v>
      </c>
      <c r="B3" s="6">
        <v>256.3283426443204</v>
      </c>
      <c r="C3" s="6">
        <v>64.0820856610801</v>
      </c>
      <c r="D3" s="7"/>
      <c r="E3" s="7"/>
    </row>
    <row r="4" spans="1:5" x14ac:dyDescent="0.25">
      <c r="A4" s="2" t="s">
        <v>8</v>
      </c>
      <c r="B4" s="6">
        <v>787.25820788530484</v>
      </c>
      <c r="C4" s="6">
        <v>196.81455197132621</v>
      </c>
      <c r="D4" s="7"/>
      <c r="E4" s="7"/>
    </row>
    <row r="5" spans="1:5" x14ac:dyDescent="0.25">
      <c r="A5" s="2" t="s">
        <v>1</v>
      </c>
      <c r="B5" s="6">
        <v>763.17039596832251</v>
      </c>
      <c r="C5" s="6">
        <v>190.79259899208063</v>
      </c>
      <c r="D5" s="7"/>
      <c r="E5" s="7"/>
    </row>
    <row r="6" spans="1:5" x14ac:dyDescent="0.25">
      <c r="A6" s="2" t="s">
        <v>13</v>
      </c>
      <c r="B6" s="6">
        <v>150.42926253687318</v>
      </c>
      <c r="C6" s="6">
        <v>37.607315634218295</v>
      </c>
      <c r="D6" s="7"/>
      <c r="E6" s="7"/>
    </row>
    <row r="7" spans="1:5" x14ac:dyDescent="0.25">
      <c r="A7" s="2" t="s">
        <v>10</v>
      </c>
      <c r="B7" s="6">
        <v>641.87336309523812</v>
      </c>
      <c r="C7" s="6">
        <v>160.46834077380953</v>
      </c>
      <c r="D7" s="7"/>
      <c r="E7" s="7"/>
    </row>
    <row r="8" spans="1:5" x14ac:dyDescent="0.25">
      <c r="A8" s="2" t="s">
        <v>28</v>
      </c>
      <c r="B8" s="6">
        <v>330.10120481927714</v>
      </c>
      <c r="C8" s="6">
        <v>82.525301204819286</v>
      </c>
      <c r="D8" s="7"/>
      <c r="E8" s="7"/>
    </row>
    <row r="9" spans="1:5" x14ac:dyDescent="0.25">
      <c r="A9" s="2" t="s">
        <v>2</v>
      </c>
      <c r="B9" s="6">
        <v>512.11599022004884</v>
      </c>
      <c r="C9" s="6">
        <v>128.02899755501221</v>
      </c>
      <c r="D9" s="7"/>
      <c r="E9" s="7"/>
    </row>
    <row r="10" spans="1:5" x14ac:dyDescent="0.25">
      <c r="A10" s="2" t="s">
        <v>26</v>
      </c>
      <c r="B10" s="6">
        <v>844.35854063018257</v>
      </c>
      <c r="C10" s="6">
        <v>211.08963515754564</v>
      </c>
      <c r="D10" s="7"/>
      <c r="E10" s="7"/>
    </row>
    <row r="11" spans="1:5" x14ac:dyDescent="0.25">
      <c r="A11" s="2" t="s">
        <v>21</v>
      </c>
      <c r="B11" s="6">
        <v>70.099664991624792</v>
      </c>
      <c r="C11" s="6">
        <v>17.524916247906198</v>
      </c>
      <c r="D11" s="7"/>
      <c r="E11" s="7"/>
    </row>
    <row r="12" spans="1:5" x14ac:dyDescent="0.25">
      <c r="A12" s="2" t="s">
        <v>24</v>
      </c>
      <c r="B12" s="6">
        <v>120.40968130921618</v>
      </c>
      <c r="C12" s="6">
        <v>30.102420327304046</v>
      </c>
      <c r="D12" s="7"/>
      <c r="E12" s="7"/>
    </row>
    <row r="13" spans="1:5" x14ac:dyDescent="0.25">
      <c r="A13" s="2" t="s">
        <v>15</v>
      </c>
      <c r="B13" s="6">
        <v>329.50217543859651</v>
      </c>
      <c r="C13" s="6">
        <v>82.375543859649127</v>
      </c>
      <c r="D13" s="7"/>
      <c r="E13" s="7"/>
    </row>
    <row r="14" spans="1:5" x14ac:dyDescent="0.25">
      <c r="A14" s="2" t="s">
        <v>18</v>
      </c>
      <c r="B14" s="6">
        <v>115.44474885844748</v>
      </c>
      <c r="C14" s="6">
        <v>28.861187214611871</v>
      </c>
      <c r="D14" s="7"/>
      <c r="E14" s="7"/>
    </row>
    <row r="15" spans="1:5" x14ac:dyDescent="0.25">
      <c r="A15" s="2" t="s">
        <v>22</v>
      </c>
      <c r="B15" s="6">
        <v>51.717495395948426</v>
      </c>
      <c r="C15" s="6">
        <v>12.929373848987106</v>
      </c>
      <c r="D15" s="7"/>
      <c r="E15" s="7"/>
    </row>
    <row r="16" spans="1:5" x14ac:dyDescent="0.25">
      <c r="A16" s="2" t="s">
        <v>20</v>
      </c>
      <c r="B16" s="6">
        <v>40.664739884393065</v>
      </c>
      <c r="C16" s="6">
        <v>10.166184971098266</v>
      </c>
      <c r="D16" s="7"/>
      <c r="E16" s="7"/>
    </row>
    <row r="17" spans="1:5" x14ac:dyDescent="0.25">
      <c r="A17" s="2" t="s">
        <v>3</v>
      </c>
      <c r="B17" s="6">
        <v>355.30918604651163</v>
      </c>
      <c r="C17" s="6">
        <v>88.827296511627907</v>
      </c>
      <c r="D17" s="7"/>
      <c r="E17" s="7"/>
    </row>
    <row r="18" spans="1:5" x14ac:dyDescent="0.25">
      <c r="A18" s="2" t="s">
        <v>17</v>
      </c>
      <c r="B18" s="6">
        <v>123.50686807653574</v>
      </c>
      <c r="C18" s="6">
        <v>30.876717019133935</v>
      </c>
      <c r="D18" s="7"/>
      <c r="E18" s="7"/>
    </row>
    <row r="19" spans="1:5" x14ac:dyDescent="0.25">
      <c r="A19" s="2" t="s">
        <v>16</v>
      </c>
      <c r="B19" s="6">
        <v>94.359208333333299</v>
      </c>
      <c r="C19" s="6">
        <v>23.589802083333325</v>
      </c>
      <c r="D19" s="7"/>
      <c r="E19" s="7"/>
    </row>
    <row r="20" spans="1:5" x14ac:dyDescent="0.25">
      <c r="A20" s="2" t="s">
        <v>14</v>
      </c>
      <c r="B20" s="6">
        <v>48.258278145695371</v>
      </c>
      <c r="C20" s="6">
        <v>12.064569536423843</v>
      </c>
      <c r="D20" s="7"/>
      <c r="E20" s="7"/>
    </row>
    <row r="21" spans="1:5" x14ac:dyDescent="0.25">
      <c r="A21" s="2" t="s">
        <v>5</v>
      </c>
      <c r="B21" s="6">
        <v>168.03380471380467</v>
      </c>
      <c r="C21" s="6">
        <v>42.008451178451168</v>
      </c>
      <c r="D21" s="7"/>
      <c r="E21" s="7"/>
    </row>
    <row r="22" spans="1:5" x14ac:dyDescent="0.25">
      <c r="A22" s="2" t="s">
        <v>6</v>
      </c>
      <c r="B22" s="6">
        <v>305.26643835616431</v>
      </c>
      <c r="C22" s="6">
        <v>76.316609589041079</v>
      </c>
      <c r="D22" s="7"/>
      <c r="E22" s="7"/>
    </row>
    <row r="23" spans="1:5" x14ac:dyDescent="0.25">
      <c r="A23" s="2" t="s">
        <v>12</v>
      </c>
      <c r="B23" s="6">
        <v>92.305551684088286</v>
      </c>
      <c r="C23" s="6">
        <v>23.076387921022071</v>
      </c>
      <c r="D23" s="7"/>
      <c r="E23" s="7"/>
    </row>
    <row r="24" spans="1:5" x14ac:dyDescent="0.25">
      <c r="A24" s="2" t="s">
        <v>19</v>
      </c>
      <c r="B24" s="6">
        <v>83.490545876887325</v>
      </c>
      <c r="C24" s="6">
        <v>20.872636469221831</v>
      </c>
      <c r="D24" s="7"/>
      <c r="E24" s="7"/>
    </row>
    <row r="25" spans="1:5" x14ac:dyDescent="0.25">
      <c r="A25" s="2" t="s">
        <v>25</v>
      </c>
      <c r="B25" s="6">
        <v>78.835555555555558</v>
      </c>
      <c r="C25" s="6">
        <v>19.70888888888889</v>
      </c>
      <c r="D25" s="7"/>
      <c r="E25" s="7"/>
    </row>
    <row r="26" spans="1:5" x14ac:dyDescent="0.25">
      <c r="A26" s="2" t="s">
        <v>11</v>
      </c>
      <c r="B26" s="6">
        <v>156.52394293125812</v>
      </c>
      <c r="C26" s="6">
        <v>39.13098573281453</v>
      </c>
      <c r="D26" s="7"/>
      <c r="E26" s="7"/>
    </row>
    <row r="27" spans="1:5" x14ac:dyDescent="0.25">
      <c r="A27" s="2" t="s">
        <v>9</v>
      </c>
      <c r="B27" s="6">
        <v>394.36947089947091</v>
      </c>
      <c r="C27" s="6">
        <v>98.592367724867728</v>
      </c>
      <c r="D27" s="7"/>
      <c r="E27" s="7"/>
    </row>
    <row r="28" spans="1:5" x14ac:dyDescent="0.25">
      <c r="A28" s="2" t="s">
        <v>7</v>
      </c>
      <c r="B28" s="6">
        <v>94.509247311827934</v>
      </c>
      <c r="C28" s="6">
        <v>23.627311827956984</v>
      </c>
      <c r="D28" s="7"/>
      <c r="E28" s="7"/>
    </row>
    <row r="29" spans="1:5" x14ac:dyDescent="0.25">
      <c r="A29" s="2" t="s">
        <v>27</v>
      </c>
      <c r="B29" s="6">
        <v>44.663923182441692</v>
      </c>
      <c r="C29" s="6">
        <v>11.165980795610423</v>
      </c>
      <c r="D29" s="7"/>
      <c r="E29" s="7"/>
    </row>
    <row r="30" spans="1:5" ht="15.75" thickBot="1" x14ac:dyDescent="0.3">
      <c r="A30" s="3" t="s">
        <v>23</v>
      </c>
      <c r="B30" s="8">
        <v>112.09206085753803</v>
      </c>
      <c r="C30" s="8">
        <v>28.023015214384507</v>
      </c>
      <c r="D30" s="7"/>
      <c r="E30" s="7"/>
    </row>
    <row r="31" spans="1:5" ht="15.75" thickBot="1" x14ac:dyDescent="0.3">
      <c r="A31" s="9" t="s">
        <v>29</v>
      </c>
      <c r="B31" s="11">
        <v>7164.9978956489067</v>
      </c>
      <c r="C31" s="11">
        <v>1791.2494739122267</v>
      </c>
      <c r="D31" s="10"/>
      <c r="E31" s="7"/>
    </row>
    <row r="32" spans="1:5" x14ac:dyDescent="0.25">
      <c r="B32" s="1"/>
    </row>
    <row r="33" spans="2:2" x14ac:dyDescent="0.25">
      <c r="B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tabSelected="1" topLeftCell="A7" zoomScale="80" zoomScaleNormal="80" workbookViewId="0">
      <selection activeCell="O24" sqref="O24"/>
    </sheetView>
  </sheetViews>
  <sheetFormatPr defaultRowHeight="15" x14ac:dyDescent="0.25"/>
  <cols>
    <col min="1" max="1" width="30" customWidth="1"/>
    <col min="2" max="2" width="27.5703125" customWidth="1"/>
    <col min="3" max="3" width="13.42578125" customWidth="1"/>
    <col min="4" max="4" width="14.7109375" customWidth="1"/>
    <col min="5" max="5" width="14.85546875" customWidth="1"/>
    <col min="7" max="7" width="31.85546875" customWidth="1"/>
    <col min="10" max="10" width="16.85546875" customWidth="1"/>
  </cols>
  <sheetData>
    <row r="1" spans="1:9" ht="15.75" thickBot="1" x14ac:dyDescent="0.3">
      <c r="A1" s="78" t="s">
        <v>41</v>
      </c>
      <c r="B1" s="79"/>
      <c r="C1" s="79"/>
      <c r="D1" s="80"/>
      <c r="E1" s="39"/>
      <c r="F1" s="39"/>
      <c r="G1" s="12"/>
      <c r="H1" s="12"/>
      <c r="I1" s="12"/>
    </row>
    <row r="2" spans="1:9" ht="30.75" thickBot="1" x14ac:dyDescent="0.3">
      <c r="A2" s="40" t="s">
        <v>32</v>
      </c>
      <c r="B2" s="41" t="s">
        <v>33</v>
      </c>
      <c r="C2" s="42" t="s">
        <v>34</v>
      </c>
      <c r="D2" s="43" t="s">
        <v>35</v>
      </c>
      <c r="E2" s="39"/>
      <c r="F2" s="39"/>
      <c r="G2" s="12"/>
      <c r="H2" s="12"/>
      <c r="I2" s="12"/>
    </row>
    <row r="3" spans="1:9" x14ac:dyDescent="0.25">
      <c r="A3" s="44" t="s">
        <v>36</v>
      </c>
      <c r="B3" s="45" t="s">
        <v>37</v>
      </c>
      <c r="C3" s="46">
        <v>6</v>
      </c>
      <c r="D3" s="47">
        <v>1.5</v>
      </c>
      <c r="E3" s="39"/>
      <c r="F3" s="39"/>
      <c r="G3" s="12"/>
      <c r="H3" s="12"/>
      <c r="I3" s="12"/>
    </row>
    <row r="4" spans="1:9" x14ac:dyDescent="0.25">
      <c r="A4" s="48" t="s">
        <v>36</v>
      </c>
      <c r="B4" s="49" t="s">
        <v>38</v>
      </c>
      <c r="C4" s="50">
        <v>4</v>
      </c>
      <c r="D4" s="51">
        <v>1</v>
      </c>
      <c r="E4" s="39"/>
      <c r="F4" s="39"/>
      <c r="G4" s="12"/>
      <c r="H4" s="12"/>
      <c r="I4" s="12"/>
    </row>
    <row r="5" spans="1:9" x14ac:dyDescent="0.25">
      <c r="A5" s="48" t="s">
        <v>36</v>
      </c>
      <c r="B5" s="49" t="s">
        <v>39</v>
      </c>
      <c r="C5" s="50">
        <v>4</v>
      </c>
      <c r="D5" s="51">
        <v>1</v>
      </c>
      <c r="E5" s="39" t="s">
        <v>65</v>
      </c>
      <c r="F5" s="39"/>
      <c r="G5" s="12"/>
      <c r="H5" s="12"/>
      <c r="I5" s="12"/>
    </row>
    <row r="6" spans="1:9" ht="15.75" thickBot="1" x14ac:dyDescent="0.3">
      <c r="A6" s="52" t="s">
        <v>36</v>
      </c>
      <c r="B6" s="53" t="s">
        <v>40</v>
      </c>
      <c r="C6" s="54">
        <v>4</v>
      </c>
      <c r="D6" s="55">
        <v>1</v>
      </c>
      <c r="E6" s="39"/>
      <c r="F6" s="39"/>
      <c r="G6" s="12"/>
      <c r="H6" s="12"/>
      <c r="I6" s="12"/>
    </row>
    <row r="7" spans="1:9" x14ac:dyDescent="0.25">
      <c r="A7" s="39"/>
      <c r="B7" s="39"/>
      <c r="C7" s="39"/>
      <c r="D7" s="39"/>
      <c r="E7" s="39"/>
      <c r="F7" s="39"/>
      <c r="G7" s="12"/>
      <c r="H7" s="12"/>
      <c r="I7" s="12"/>
    </row>
    <row r="8" spans="1:9" ht="15.75" thickBot="1" x14ac:dyDescent="0.3">
      <c r="A8" s="39"/>
      <c r="B8" s="39"/>
      <c r="C8" s="39"/>
      <c r="D8" s="39"/>
      <c r="E8" s="39"/>
      <c r="F8" s="39"/>
      <c r="G8" s="12"/>
      <c r="H8" s="12"/>
      <c r="I8" s="12"/>
    </row>
    <row r="9" spans="1:9" ht="30.75" thickBot="1" x14ac:dyDescent="0.3">
      <c r="A9" s="40" t="s">
        <v>32</v>
      </c>
      <c r="B9" s="81" t="s">
        <v>33</v>
      </c>
      <c r="C9" s="82"/>
      <c r="D9" s="42" t="s">
        <v>34</v>
      </c>
      <c r="E9" s="43" t="s">
        <v>35</v>
      </c>
      <c r="F9" s="39"/>
      <c r="G9" s="12"/>
      <c r="H9" s="12"/>
      <c r="I9" s="12"/>
    </row>
    <row r="10" spans="1:9" x14ac:dyDescent="0.25">
      <c r="A10" s="44" t="s">
        <v>42</v>
      </c>
      <c r="B10" s="83" t="s">
        <v>43</v>
      </c>
      <c r="C10" s="84"/>
      <c r="D10" s="46">
        <v>20</v>
      </c>
      <c r="E10" s="47">
        <v>5</v>
      </c>
      <c r="F10" s="39"/>
      <c r="G10" s="12"/>
      <c r="H10" s="12"/>
      <c r="I10" s="12"/>
    </row>
    <row r="11" spans="1:9" ht="15.75" thickBot="1" x14ac:dyDescent="0.3">
      <c r="A11" s="52" t="s">
        <v>44</v>
      </c>
      <c r="B11" s="85" t="s">
        <v>45</v>
      </c>
      <c r="C11" s="86"/>
      <c r="D11" s="54">
        <v>20</v>
      </c>
      <c r="E11" s="55">
        <v>5</v>
      </c>
      <c r="F11" s="39"/>
      <c r="G11" s="12"/>
      <c r="H11" s="12"/>
      <c r="I11" s="12"/>
    </row>
    <row r="12" spans="1:9" x14ac:dyDescent="0.25">
      <c r="A12" s="12"/>
      <c r="B12" s="12"/>
      <c r="C12" s="12"/>
      <c r="D12" s="12"/>
      <c r="E12" s="12"/>
      <c r="F12" s="12"/>
      <c r="G12" s="12"/>
      <c r="H12" s="12"/>
      <c r="I12" s="12"/>
    </row>
    <row r="13" spans="1:9" ht="15.75" thickBot="1" x14ac:dyDescent="0.3">
      <c r="A13" s="12"/>
      <c r="B13" s="12"/>
      <c r="C13" s="12"/>
      <c r="D13" s="12"/>
      <c r="E13" s="12"/>
      <c r="F13" s="12"/>
      <c r="G13" s="12"/>
      <c r="H13" s="12"/>
      <c r="I13" s="12"/>
    </row>
    <row r="14" spans="1:9" ht="60.75" thickBot="1" x14ac:dyDescent="0.3">
      <c r="A14" s="27" t="s">
        <v>32</v>
      </c>
      <c r="B14" s="31" t="s">
        <v>33</v>
      </c>
      <c r="C14" s="92" t="s">
        <v>0</v>
      </c>
      <c r="D14" s="92"/>
      <c r="E14" s="92"/>
      <c r="F14" s="92"/>
      <c r="G14" s="92"/>
      <c r="H14" s="15" t="s">
        <v>34</v>
      </c>
      <c r="I14" s="21" t="s">
        <v>35</v>
      </c>
    </row>
    <row r="15" spans="1:9" x14ac:dyDescent="0.25">
      <c r="A15" s="28" t="s">
        <v>46</v>
      </c>
      <c r="B15" s="32" t="s">
        <v>47</v>
      </c>
      <c r="C15" s="87" t="s">
        <v>53</v>
      </c>
      <c r="D15" s="88"/>
      <c r="E15" s="88"/>
      <c r="F15" s="88"/>
      <c r="G15" s="89"/>
      <c r="H15" s="16">
        <v>40</v>
      </c>
      <c r="I15" s="22">
        <v>10</v>
      </c>
    </row>
    <row r="16" spans="1:9" x14ac:dyDescent="0.25">
      <c r="A16" s="29"/>
      <c r="B16" s="33" t="s">
        <v>48</v>
      </c>
      <c r="C16" s="75" t="s">
        <v>54</v>
      </c>
      <c r="D16" s="90"/>
      <c r="E16" s="90"/>
      <c r="F16" s="90"/>
      <c r="G16" s="91"/>
      <c r="H16" s="17">
        <v>40</v>
      </c>
      <c r="I16" s="23">
        <v>10</v>
      </c>
    </row>
    <row r="17" spans="1:12" ht="15.75" thickBot="1" x14ac:dyDescent="0.3">
      <c r="A17" s="29" t="s">
        <v>42</v>
      </c>
      <c r="B17" s="33" t="s">
        <v>47</v>
      </c>
      <c r="C17" s="75" t="s">
        <v>55</v>
      </c>
      <c r="D17" s="76"/>
      <c r="E17" s="76"/>
      <c r="F17" s="76"/>
      <c r="G17" s="77"/>
      <c r="H17" s="17">
        <v>40</v>
      </c>
      <c r="I17" s="23">
        <v>10</v>
      </c>
    </row>
    <row r="18" spans="1:12" x14ac:dyDescent="0.25">
      <c r="A18" s="28" t="s">
        <v>44</v>
      </c>
      <c r="B18" s="32" t="s">
        <v>49</v>
      </c>
      <c r="C18" s="63" t="str">
        <f>HYPERLINK("https://abi.ru/products/Охлажденные/Особый рецепт/Особая Без свинины/Вареные колбасы/P002563/","Вареные колбасы Докторская оригинальная Особая Без свинины Весовые П/а Особый рецепт")</f>
        <v>Вареные колбасы Докторская оригинальная Особая Без свинины Весовые П/а Особый рецепт</v>
      </c>
      <c r="D18" s="64"/>
      <c r="E18" s="64"/>
      <c r="F18" s="64"/>
      <c r="G18" s="65"/>
      <c r="H18" s="16">
        <v>40</v>
      </c>
      <c r="I18" s="22">
        <v>10</v>
      </c>
    </row>
    <row r="19" spans="1:12" x14ac:dyDescent="0.25">
      <c r="A19" s="29"/>
      <c r="B19" s="34"/>
      <c r="C19" s="6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D19" s="67"/>
      <c r="E19" s="67"/>
      <c r="F19" s="67"/>
      <c r="G19" s="68"/>
      <c r="H19" s="17">
        <v>40</v>
      </c>
      <c r="I19" s="23">
        <v>10</v>
      </c>
    </row>
    <row r="20" spans="1:12" ht="15.75" thickBot="1" x14ac:dyDescent="0.3">
      <c r="A20" s="18"/>
      <c r="B20" s="35"/>
      <c r="C20" s="69" t="str">
        <f>HYPERLINK("https://abi.ru/products/Охлажденные/Особый рецепт/Особая Без свинины/Вареные колбасы/P002768/","Вареные колбасы Докторская оригинальная Особая Без свинины Фикс.вес 0,4 П/а Особый рецепт")</f>
        <v>Вареные колбасы Докторская оригинальная Особая Без свинины Фикс.вес 0,4 П/а Особый рецепт</v>
      </c>
      <c r="D20" s="70"/>
      <c r="E20" s="70"/>
      <c r="F20" s="70"/>
      <c r="G20" s="71"/>
      <c r="H20" s="18">
        <v>20</v>
      </c>
      <c r="I20" s="24">
        <v>5</v>
      </c>
    </row>
    <row r="21" spans="1:12" ht="15.75" thickBot="1" x14ac:dyDescent="0.3">
      <c r="B21" s="36"/>
      <c r="C21" s="60"/>
      <c r="D21" s="61"/>
      <c r="E21" s="61"/>
      <c r="F21" s="61"/>
      <c r="G21" s="62"/>
      <c r="H21" s="19"/>
      <c r="I21" s="25"/>
    </row>
    <row r="22" spans="1:12" x14ac:dyDescent="0.25">
      <c r="A22" s="28" t="s">
        <v>50</v>
      </c>
      <c r="B22" s="37" t="s">
        <v>51</v>
      </c>
      <c r="C22" s="63" t="s">
        <v>56</v>
      </c>
      <c r="D22" s="64"/>
      <c r="E22" s="64"/>
      <c r="F22" s="64"/>
      <c r="G22" s="65"/>
      <c r="H22" s="16">
        <v>40</v>
      </c>
      <c r="I22" s="22">
        <v>10</v>
      </c>
    </row>
    <row r="23" spans="1:12" x14ac:dyDescent="0.25">
      <c r="A23" s="29"/>
      <c r="B23" s="34"/>
      <c r="C23" s="66" t="s">
        <v>57</v>
      </c>
      <c r="D23" s="67"/>
      <c r="E23" s="67"/>
      <c r="F23" s="67"/>
      <c r="G23" s="68"/>
      <c r="H23" s="17">
        <v>40</v>
      </c>
      <c r="I23" s="23">
        <v>10</v>
      </c>
    </row>
    <row r="24" spans="1:12" x14ac:dyDescent="0.25">
      <c r="A24" s="29"/>
      <c r="B24" s="34"/>
      <c r="C24" s="66" t="s">
        <v>58</v>
      </c>
      <c r="D24" s="67"/>
      <c r="E24" s="67"/>
      <c r="F24" s="67"/>
      <c r="G24" s="68"/>
      <c r="H24" s="17">
        <v>40</v>
      </c>
      <c r="I24" s="23">
        <v>10</v>
      </c>
    </row>
    <row r="25" spans="1:12" ht="15.75" thickBot="1" x14ac:dyDescent="0.3">
      <c r="A25" s="30"/>
      <c r="B25" s="38"/>
      <c r="C25" s="69" t="s">
        <v>59</v>
      </c>
      <c r="D25" s="70"/>
      <c r="E25" s="70"/>
      <c r="F25" s="70"/>
      <c r="G25" s="71"/>
      <c r="H25" s="18">
        <v>40</v>
      </c>
      <c r="I25" s="24">
        <v>10</v>
      </c>
    </row>
    <row r="26" spans="1:12" x14ac:dyDescent="0.25">
      <c r="A26" s="28" t="s">
        <v>52</v>
      </c>
      <c r="B26" s="37" t="s">
        <v>52</v>
      </c>
      <c r="C26" s="72" t="s">
        <v>60</v>
      </c>
      <c r="D26" s="72"/>
      <c r="E26" s="72"/>
      <c r="F26" s="72"/>
      <c r="G26" s="72"/>
      <c r="H26" s="16">
        <v>4</v>
      </c>
      <c r="I26" s="22">
        <v>1</v>
      </c>
      <c r="J26" t="s">
        <v>66</v>
      </c>
      <c r="K26" s="93">
        <v>2.52</v>
      </c>
    </row>
    <row r="27" spans="1:12" x14ac:dyDescent="0.25">
      <c r="A27" s="17"/>
      <c r="B27" s="23"/>
      <c r="C27" s="73" t="s">
        <v>61</v>
      </c>
      <c r="D27" s="73"/>
      <c r="E27" s="73"/>
      <c r="F27" s="73"/>
      <c r="G27" s="73"/>
      <c r="H27" s="17">
        <v>4</v>
      </c>
      <c r="I27" s="23">
        <v>1</v>
      </c>
      <c r="J27" t="s">
        <v>66</v>
      </c>
      <c r="K27" s="93">
        <v>1.98</v>
      </c>
    </row>
    <row r="28" spans="1:12" x14ac:dyDescent="0.25">
      <c r="A28" s="17"/>
      <c r="B28" s="23"/>
      <c r="C28" s="73" t="s">
        <v>62</v>
      </c>
      <c r="D28" s="73"/>
      <c r="E28" s="73"/>
      <c r="F28" s="73"/>
      <c r="G28" s="73"/>
      <c r="H28" s="17">
        <v>4</v>
      </c>
      <c r="I28" s="23">
        <v>1</v>
      </c>
      <c r="J28" t="s">
        <v>66</v>
      </c>
      <c r="K28" s="93">
        <v>1.98</v>
      </c>
    </row>
    <row r="29" spans="1:12" x14ac:dyDescent="0.25">
      <c r="A29" s="17"/>
      <c r="B29" s="23"/>
      <c r="C29" s="73" t="s">
        <v>63</v>
      </c>
      <c r="D29" s="73"/>
      <c r="E29" s="73"/>
      <c r="F29" s="73"/>
      <c r="G29" s="73"/>
      <c r="H29" s="17">
        <v>4</v>
      </c>
      <c r="I29" s="23">
        <v>1</v>
      </c>
      <c r="J29" t="s">
        <v>66</v>
      </c>
      <c r="K29" s="93">
        <v>1.98</v>
      </c>
    </row>
    <row r="30" spans="1:12" ht="15.75" thickBot="1" x14ac:dyDescent="0.3">
      <c r="A30" s="20"/>
      <c r="B30" s="24"/>
      <c r="C30" s="74" t="s">
        <v>64</v>
      </c>
      <c r="D30" s="74"/>
      <c r="E30" s="74"/>
      <c r="F30" s="74"/>
      <c r="G30" s="74"/>
      <c r="H30" s="20">
        <v>4</v>
      </c>
      <c r="I30" s="26">
        <v>1</v>
      </c>
      <c r="J30" t="s">
        <v>66</v>
      </c>
      <c r="K30" s="93">
        <v>2.52</v>
      </c>
    </row>
    <row r="31" spans="1:12" ht="15.75" thickBot="1" x14ac:dyDescent="0.3">
      <c r="A31" s="57" t="s">
        <v>29</v>
      </c>
      <c r="B31" s="58"/>
      <c r="C31" s="58"/>
      <c r="D31" s="58"/>
      <c r="E31" s="58"/>
      <c r="F31" s="58"/>
      <c r="G31" s="59"/>
      <c r="H31" s="13">
        <f>SUM(H15:H30)</f>
        <v>400</v>
      </c>
      <c r="I31" s="14">
        <f>SUM(I15:I30)</f>
        <v>100</v>
      </c>
      <c r="L31" s="56">
        <f>SUM(I15:I25)+SUM(K26:K30)</f>
        <v>105.98</v>
      </c>
    </row>
  </sheetData>
  <mergeCells count="22">
    <mergeCell ref="C17:G17"/>
    <mergeCell ref="C18:G18"/>
    <mergeCell ref="C19:G19"/>
    <mergeCell ref="C20:G20"/>
    <mergeCell ref="A1:D1"/>
    <mergeCell ref="B9:C9"/>
    <mergeCell ref="B10:C10"/>
    <mergeCell ref="B11:C11"/>
    <mergeCell ref="C15:G15"/>
    <mergeCell ref="C16:G16"/>
    <mergeCell ref="C14:G14"/>
    <mergeCell ref="A31:G31"/>
    <mergeCell ref="C21:G21"/>
    <mergeCell ref="C22:G22"/>
    <mergeCell ref="C23:G23"/>
    <mergeCell ref="C24:G24"/>
    <mergeCell ref="C25:G25"/>
    <mergeCell ref="C26:G26"/>
    <mergeCell ref="C27:G27"/>
    <mergeCell ref="C29:G29"/>
    <mergeCell ref="C28:G28"/>
    <mergeCell ref="C30:G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Основной ассортимент</vt:lpstr>
      <vt:lpstr>2 фронт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2023-10-27T13:13:36Z</dcterms:modified>
</cp:coreProperties>
</file>