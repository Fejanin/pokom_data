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59A86EC6-A82D-4349-8389-D5F2FE306A4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Y310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Y243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P87" i="1"/>
  <c r="X84" i="1"/>
  <c r="Y83" i="1"/>
  <c r="X83" i="1"/>
  <c r="BP82" i="1"/>
  <c r="BO82" i="1"/>
  <c r="BN82" i="1"/>
  <c r="BM82" i="1"/>
  <c r="Z82" i="1"/>
  <c r="Y82" i="1"/>
  <c r="P82" i="1"/>
  <c r="BO81" i="1"/>
  <c r="BM81" i="1"/>
  <c r="Y81" i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N65" i="1"/>
  <c r="BM65" i="1"/>
  <c r="Z65" i="1"/>
  <c r="Y65" i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591" i="1" s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9" i="1" l="1"/>
  <c r="Y33" i="1"/>
  <c r="Y41" i="1"/>
  <c r="Y56" i="1"/>
  <c r="Y62" i="1"/>
  <c r="BP67" i="1"/>
  <c r="BN67" i="1"/>
  <c r="Z67" i="1"/>
  <c r="Z68" i="1" s="1"/>
  <c r="Y69" i="1"/>
  <c r="Y78" i="1"/>
  <c r="BP71" i="1"/>
  <c r="BN71" i="1"/>
  <c r="Z71" i="1"/>
  <c r="BP75" i="1"/>
  <c r="BN75" i="1"/>
  <c r="Z75" i="1"/>
  <c r="Z90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BP120" i="1"/>
  <c r="BN120" i="1"/>
  <c r="Z120" i="1"/>
  <c r="BP123" i="1"/>
  <c r="BN123" i="1"/>
  <c r="Z123" i="1"/>
  <c r="Y128" i="1"/>
  <c r="BP132" i="1"/>
  <c r="BN132" i="1"/>
  <c r="Z132" i="1"/>
  <c r="Z133" i="1" s="1"/>
  <c r="Y134" i="1"/>
  <c r="Y140" i="1"/>
  <c r="BP137" i="1"/>
  <c r="BN137" i="1"/>
  <c r="Z137" i="1"/>
  <c r="Z139" i="1" s="1"/>
  <c r="BP158" i="1"/>
  <c r="BN158" i="1"/>
  <c r="Z158" i="1"/>
  <c r="Z161" i="1" s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BP203" i="1"/>
  <c r="BN203" i="1"/>
  <c r="Z203" i="1"/>
  <c r="BP207" i="1"/>
  <c r="BN207" i="1"/>
  <c r="Z207" i="1"/>
  <c r="BP215" i="1"/>
  <c r="BN215" i="1"/>
  <c r="Z215" i="1"/>
  <c r="BP219" i="1"/>
  <c r="BN219" i="1"/>
  <c r="Z219" i="1"/>
  <c r="BP232" i="1"/>
  <c r="BN232" i="1"/>
  <c r="Z232" i="1"/>
  <c r="BP236" i="1"/>
  <c r="BN236" i="1"/>
  <c r="Z236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1" i="1"/>
  <c r="Y266" i="1"/>
  <c r="BP265" i="1"/>
  <c r="BN265" i="1"/>
  <c r="Z265" i="1"/>
  <c r="Z266" i="1" s="1"/>
  <c r="Y267" i="1"/>
  <c r="O601" i="1"/>
  <c r="Y273" i="1"/>
  <c r="BP270" i="1"/>
  <c r="BN270" i="1"/>
  <c r="Z270" i="1"/>
  <c r="BP279" i="1"/>
  <c r="BN279" i="1"/>
  <c r="Z279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BP350" i="1"/>
  <c r="BN350" i="1"/>
  <c r="Z350" i="1"/>
  <c r="BP358" i="1"/>
  <c r="BN358" i="1"/>
  <c r="Z358" i="1"/>
  <c r="Y360" i="1"/>
  <c r="V601" i="1"/>
  <c r="Y365" i="1"/>
  <c r="Y364" i="1"/>
  <c r="BP363" i="1"/>
  <c r="BN363" i="1"/>
  <c r="Z363" i="1"/>
  <c r="Z364" i="1" s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35" i="1"/>
  <c r="BN435" i="1"/>
  <c r="Z435" i="1"/>
  <c r="BP440" i="1"/>
  <c r="BN440" i="1"/>
  <c r="Z440" i="1"/>
  <c r="P601" i="1"/>
  <c r="H9" i="1"/>
  <c r="B601" i="1"/>
  <c r="X592" i="1"/>
  <c r="X593" i="1"/>
  <c r="Z23" i="1"/>
  <c r="Z28" i="1" s="1"/>
  <c r="BN23" i="1"/>
  <c r="Y592" i="1" s="1"/>
  <c r="Z24" i="1"/>
  <c r="BN24" i="1"/>
  <c r="Z25" i="1"/>
  <c r="BN25" i="1"/>
  <c r="Z27" i="1"/>
  <c r="BN27" i="1"/>
  <c r="Y28" i="1"/>
  <c r="Z31" i="1"/>
  <c r="Z32" i="1" s="1"/>
  <c r="BN31" i="1"/>
  <c r="BP31" i="1"/>
  <c r="Y593" i="1" s="1"/>
  <c r="Z37" i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Y68" i="1"/>
  <c r="BP65" i="1"/>
  <c r="BP73" i="1"/>
  <c r="BN73" i="1"/>
  <c r="Z73" i="1"/>
  <c r="Y77" i="1"/>
  <c r="BP81" i="1"/>
  <c r="BN81" i="1"/>
  <c r="Z81" i="1"/>
  <c r="Z83" i="1" s="1"/>
  <c r="Y90" i="1"/>
  <c r="BP94" i="1"/>
  <c r="BN94" i="1"/>
  <c r="Z94" i="1"/>
  <c r="BP96" i="1"/>
  <c r="BN96" i="1"/>
  <c r="Z96" i="1"/>
  <c r="Z102" i="1" s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9" i="1"/>
  <c r="BP119" i="1"/>
  <c r="BN119" i="1"/>
  <c r="Z119" i="1"/>
  <c r="BP122" i="1"/>
  <c r="BN122" i="1"/>
  <c r="Z122" i="1"/>
  <c r="BP126" i="1"/>
  <c r="BN126" i="1"/>
  <c r="Z126" i="1"/>
  <c r="Y133" i="1"/>
  <c r="Y139" i="1"/>
  <c r="BP143" i="1"/>
  <c r="BN143" i="1"/>
  <c r="Z143" i="1"/>
  <c r="Z144" i="1" s="1"/>
  <c r="Y145" i="1"/>
  <c r="Y150" i="1"/>
  <c r="BP147" i="1"/>
  <c r="BN147" i="1"/>
  <c r="Z147" i="1"/>
  <c r="Z149" i="1" s="1"/>
  <c r="Y161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Y193" i="1"/>
  <c r="BP197" i="1"/>
  <c r="BN197" i="1"/>
  <c r="Z197" i="1"/>
  <c r="Z198" i="1" s="1"/>
  <c r="Y199" i="1"/>
  <c r="Y210" i="1"/>
  <c r="BP201" i="1"/>
  <c r="BN201" i="1"/>
  <c r="Z201" i="1"/>
  <c r="Z209" i="1" s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Z226" i="1" s="1"/>
  <c r="Y227" i="1"/>
  <c r="K601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Y282" i="1"/>
  <c r="BP277" i="1"/>
  <c r="BN277" i="1"/>
  <c r="Z277" i="1"/>
  <c r="Z282" i="1" s="1"/>
  <c r="BP281" i="1"/>
  <c r="BN281" i="1"/>
  <c r="Z281" i="1"/>
  <c r="Y283" i="1"/>
  <c r="Q601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41" i="1"/>
  <c r="BP338" i="1"/>
  <c r="BN338" i="1"/>
  <c r="Z338" i="1"/>
  <c r="Y347" i="1"/>
  <c r="Y346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94" i="1"/>
  <c r="BN394" i="1"/>
  <c r="Z394" i="1"/>
  <c r="Y396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60" i="1"/>
  <c r="BP456" i="1"/>
  <c r="BN456" i="1"/>
  <c r="Z456" i="1"/>
  <c r="Y461" i="1"/>
  <c r="BP465" i="1"/>
  <c r="BN465" i="1"/>
  <c r="Z465" i="1"/>
  <c r="Y467" i="1"/>
  <c r="Y471" i="1"/>
  <c r="BP470" i="1"/>
  <c r="BN470" i="1"/>
  <c r="Z470" i="1"/>
  <c r="Z471" i="1" s="1"/>
  <c r="AB601" i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Y503" i="1"/>
  <c r="BP500" i="1"/>
  <c r="BN500" i="1"/>
  <c r="Z500" i="1"/>
  <c r="BP514" i="1"/>
  <c r="BN514" i="1"/>
  <c r="Z514" i="1"/>
  <c r="Y518" i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G601" i="1"/>
  <c r="X601" i="1"/>
  <c r="E601" i="1"/>
  <c r="Y91" i="1"/>
  <c r="F601" i="1"/>
  <c r="Y110" i="1"/>
  <c r="H601" i="1"/>
  <c r="Y155" i="1"/>
  <c r="L601" i="1"/>
  <c r="Y261" i="1"/>
  <c r="Y316" i="1"/>
  <c r="U601" i="1"/>
  <c r="Y325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Z395" i="1" s="1"/>
  <c r="Y409" i="1"/>
  <c r="BP406" i="1"/>
  <c r="BN406" i="1"/>
  <c r="Z406" i="1"/>
  <c r="Y413" i="1"/>
  <c r="BP417" i="1"/>
  <c r="BN417" i="1"/>
  <c r="Z417" i="1"/>
  <c r="Y425" i="1"/>
  <c r="BP424" i="1"/>
  <c r="BN424" i="1"/>
  <c r="Z424" i="1"/>
  <c r="Z425" i="1" s="1"/>
  <c r="Y426" i="1"/>
  <c r="BP434" i="1"/>
  <c r="BN434" i="1"/>
  <c r="Z434" i="1"/>
  <c r="BP437" i="1"/>
  <c r="BN437" i="1"/>
  <c r="Z437" i="1"/>
  <c r="Z442" i="1" s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BP459" i="1"/>
  <c r="BN459" i="1"/>
  <c r="Z459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BP511" i="1"/>
  <c r="BN511" i="1"/>
  <c r="Z511" i="1"/>
  <c r="Z517" i="1" s="1"/>
  <c r="BP515" i="1"/>
  <c r="BN515" i="1"/>
  <c r="Z515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4" i="1" l="1"/>
  <c r="Z523" i="1"/>
  <c r="Z502" i="1"/>
  <c r="Z495" i="1"/>
  <c r="Z41" i="1"/>
  <c r="Z596" i="1" s="1"/>
  <c r="Y595" i="1"/>
  <c r="X594" i="1"/>
  <c r="Z565" i="1"/>
  <c r="Z547" i="1"/>
  <c r="Z460" i="1"/>
  <c r="Z421" i="1"/>
  <c r="Z238" i="1"/>
  <c r="Z183" i="1"/>
  <c r="Z128" i="1"/>
  <c r="Z332" i="1"/>
  <c r="Z273" i="1"/>
  <c r="Z116" i="1"/>
  <c r="Z77" i="1"/>
  <c r="Y591" i="1"/>
</calcChain>
</file>

<file path=xl/sharedStrings.xml><?xml version="1.0" encoding="utf-8"?>
<sst xmlns="http://schemas.openxmlformats.org/spreadsheetml/2006/main" count="2732" uniqueCount="967">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</sst>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50</v>
      </c>
      <c r="Y159" s="664">
        <f>IFERROR(IF(X159="",0,CEILING((X159/$H159),1)*$H159),"")</f>
        <v>54</v>
      </c>
      <c r="Z159" s="36">
        <f>IFERROR(IF(Y159=0,"",ROUNDUP(Y159/H159,0)*0.01898),"")</f>
        <v>0.11388000000000001</v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53.250000000000007</v>
      </c>
      <c r="BN159" s="64">
        <f>IFERROR(Y159*I159/H159,"0")</f>
        <v>57.510000000000005</v>
      </c>
      <c r="BO159" s="64">
        <f>IFERROR(1/J159*(X159/H159),"0")</f>
        <v>8.6805555555555552E-2</v>
      </c>
      <c r="BP159" s="64">
        <f>IFERROR(1/J159*(Y159/H159),"0")</f>
        <v>9.375E-2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5.5555555555555554</v>
      </c>
      <c r="Y161" s="665">
        <f>IFERROR(Y157/H157,"0")+IFERROR(Y158/H158,"0")+IFERROR(Y159/H159,"0")+IFERROR(Y160/H160,"0")</f>
        <v>6</v>
      </c>
      <c r="Z161" s="665">
        <f>IFERROR(IF(Z157="",0,Z157),"0")+IFERROR(IF(Z158="",0,Z158),"0")+IFERROR(IF(Z159="",0,Z159),"0")+IFERROR(IF(Z160="",0,Z160),"0")</f>
        <v>0.11388000000000001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50</v>
      </c>
      <c r="Y162" s="665">
        <f>IFERROR(SUM(Y157:Y160),"0")</f>
        <v>54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2500</v>
      </c>
      <c r="Y335" s="664">
        <f>IFERROR(IF(X335="",0,CEILING((X335/$H335),1)*$H335),"")</f>
        <v>2503.7999999999997</v>
      </c>
      <c r="Z335" s="36">
        <f>IFERROR(IF(Y335=0,"",ROUNDUP(Y335/H335,0)*0.01898),"")</f>
        <v>6.0925799999999999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2664.4230769230771</v>
      </c>
      <c r="BN335" s="64">
        <f>IFERROR(Y335*I335/H335,"0")</f>
        <v>2668.473</v>
      </c>
      <c r="BO335" s="64">
        <f>IFERROR(1/J335*(X335/H335),"0")</f>
        <v>5.0080128205128203</v>
      </c>
      <c r="BP335" s="64">
        <f>IFERROR(1/J335*(Y335/H335),"0")</f>
        <v>5.015625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320.5128205128205</v>
      </c>
      <c r="Y340" s="665">
        <f>IFERROR(Y335/H335,"0")+IFERROR(Y336/H336,"0")+IFERROR(Y337/H337,"0")+IFERROR(Y338/H338,"0")+IFERROR(Y339/H339,"0")</f>
        <v>321</v>
      </c>
      <c r="Z340" s="665">
        <f>IFERROR(IF(Z335="",0,Z335),"0")+IFERROR(IF(Z336="",0,Z336),"0")+IFERROR(IF(Z337="",0,Z337),"0")+IFERROR(IF(Z338="",0,Z338),"0")+IFERROR(IF(Z339="",0,Z339),"0")</f>
        <v>6.0925799999999999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2500</v>
      </c>
      <c r="Y341" s="665">
        <f>IFERROR(SUM(Y335:Y339),"0")</f>
        <v>2503.7999999999997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2550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2557.7999999999997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2717.6730769230771</v>
      </c>
      <c r="Y592" s="665">
        <f>IFERROR(SUM(BN22:BN588),"0")</f>
        <v>2725.9830000000002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6</v>
      </c>
      <c r="Y593" s="38">
        <f>ROUNDUP(SUM(BP22:BP588),0)</f>
        <v>6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2867.6730769230771</v>
      </c>
      <c r="Y594" s="665">
        <f>GrossWeightTotalR+PalletQtyTotalR*25</f>
        <v>2875.9830000000002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326.06837606837604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327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6.2064599999999999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54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2503.7999999999997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2025-04-15T09:10:25Z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