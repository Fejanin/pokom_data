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2,04,25 Пушкарный\"/>
    </mc:Choice>
  </mc:AlternateContent>
  <xr:revisionPtr revIDLastSave="0" documentId="13_ncr:1_{583CF65A-FE85-4FC4-92B1-30836B82ABB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P547" i="2"/>
  <c r="BO547" i="2"/>
  <c r="BM547" i="2"/>
  <c r="Y547" i="2"/>
  <c r="BN547" i="2" s="1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P523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N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Y491" i="2"/>
  <c r="BN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P484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Z445" i="2"/>
  <c r="Y445" i="2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Z432" i="2"/>
  <c r="Y432" i="2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Z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P389" i="2"/>
  <c r="BO389" i="2"/>
  <c r="BN389" i="2"/>
  <c r="BM389" i="2"/>
  <c r="Z389" i="2"/>
  <c r="Y389" i="2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Z356" i="2"/>
  <c r="Y356" i="2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Z314" i="2"/>
  <c r="Z315" i="2" s="1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Y274" i="2" s="1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P259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BP234" i="2" s="1"/>
  <c r="P234" i="2"/>
  <c r="BP233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Z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BN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P137" i="2"/>
  <c r="BO137" i="2"/>
  <c r="BN137" i="2"/>
  <c r="BM137" i="2"/>
  <c r="Z137" i="2"/>
  <c r="Y137" i="2"/>
  <c r="P137" i="2"/>
  <c r="X134" i="2"/>
  <c r="X133" i="2"/>
  <c r="BO132" i="2"/>
  <c r="BM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P76" i="2"/>
  <c r="BO76" i="2"/>
  <c r="BN76" i="2"/>
  <c r="BM76" i="2"/>
  <c r="Z76" i="2"/>
  <c r="Y76" i="2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Y33" i="2"/>
  <c r="X33" i="2"/>
  <c r="Y32" i="2"/>
  <c r="X32" i="2"/>
  <c r="BP31" i="2"/>
  <c r="BO31" i="2"/>
  <c r="BN31" i="2"/>
  <c r="BM31" i="2"/>
  <c r="Z31" i="2"/>
  <c r="Z32" i="2" s="1"/>
  <c r="Y31" i="2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N25" i="2"/>
  <c r="BM25" i="2"/>
  <c r="Z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538" i="2" l="1"/>
  <c r="BN545" i="2"/>
  <c r="BN564" i="2"/>
  <c r="Z44" i="2"/>
  <c r="Z45" i="2" s="1"/>
  <c r="BN44" i="2"/>
  <c r="BP44" i="2"/>
  <c r="Y45" i="2"/>
  <c r="Z50" i="2"/>
  <c r="BN50" i="2"/>
  <c r="Z60" i="2"/>
  <c r="BN60" i="2"/>
  <c r="Z93" i="2"/>
  <c r="BN93" i="2"/>
  <c r="Z95" i="2"/>
  <c r="BN95" i="2"/>
  <c r="Z158" i="2"/>
  <c r="BN158" i="2"/>
  <c r="Z176" i="2"/>
  <c r="Z204" i="2"/>
  <c r="Z220" i="2"/>
  <c r="BN220" i="2"/>
  <c r="Z236" i="2"/>
  <c r="BN236" i="2"/>
  <c r="Z242" i="2"/>
  <c r="BN242" i="2"/>
  <c r="Z278" i="2"/>
  <c r="BN278" i="2"/>
  <c r="BP339" i="2"/>
  <c r="Z367" i="2"/>
  <c r="BN367" i="2"/>
  <c r="Z368" i="2"/>
  <c r="Z412" i="2"/>
  <c r="Z501" i="2"/>
  <c r="BP544" i="2"/>
  <c r="BN555" i="2"/>
  <c r="BN379" i="2"/>
  <c r="BN203" i="2"/>
  <c r="BP393" i="2"/>
  <c r="Z159" i="2"/>
  <c r="Z379" i="2"/>
  <c r="Z324" i="2"/>
  <c r="X596" i="2"/>
  <c r="K602" i="2"/>
  <c r="X602" i="2"/>
  <c r="Z22" i="2"/>
  <c r="BP22" i="2"/>
  <c r="Z40" i="2"/>
  <c r="Z71" i="2"/>
  <c r="BP71" i="2"/>
  <c r="BN98" i="2"/>
  <c r="Z99" i="2"/>
  <c r="BP108" i="2"/>
  <c r="Z131" i="2"/>
  <c r="BP131" i="2"/>
  <c r="Z148" i="2"/>
  <c r="BP148" i="2"/>
  <c r="H602" i="2"/>
  <c r="BN160" i="2"/>
  <c r="I602" i="2"/>
  <c r="BN205" i="2"/>
  <c r="BN215" i="2"/>
  <c r="Z231" i="2"/>
  <c r="Z250" i="2"/>
  <c r="Z251" i="2" s="1"/>
  <c r="Z257" i="2"/>
  <c r="BN271" i="2"/>
  <c r="Z286" i="2"/>
  <c r="Z287" i="2" s="1"/>
  <c r="Y287" i="2"/>
  <c r="Y316" i="2"/>
  <c r="Z351" i="2"/>
  <c r="BP363" i="2"/>
  <c r="Z369" i="2"/>
  <c r="BP369" i="2"/>
  <c r="Z382" i="2"/>
  <c r="BP382" i="2"/>
  <c r="BN407" i="2"/>
  <c r="BP419" i="2"/>
  <c r="Y443" i="2"/>
  <c r="BN437" i="2"/>
  <c r="BP459" i="2"/>
  <c r="Y476" i="2"/>
  <c r="Z491" i="2"/>
  <c r="BP491" i="2"/>
  <c r="BP492" i="2"/>
  <c r="Z506" i="2"/>
  <c r="BP506" i="2"/>
  <c r="BN507" i="2"/>
  <c r="Z509" i="2"/>
  <c r="BP509" i="2"/>
  <c r="BN510" i="2"/>
  <c r="Z512" i="2"/>
  <c r="Z539" i="2"/>
  <c r="Y549" i="2"/>
  <c r="Z545" i="2"/>
  <c r="Y587" i="2"/>
  <c r="Z370" i="2"/>
  <c r="Z98" i="2"/>
  <c r="Z123" i="2"/>
  <c r="BN131" i="2"/>
  <c r="Y133" i="2"/>
  <c r="Z160" i="2"/>
  <c r="BP178" i="2"/>
  <c r="J602" i="2"/>
  <c r="Y210" i="2"/>
  <c r="Z205" i="2"/>
  <c r="Z215" i="2"/>
  <c r="Z235" i="2"/>
  <c r="Z271" i="2"/>
  <c r="Y282" i="2"/>
  <c r="BP308" i="2"/>
  <c r="BP404" i="2"/>
  <c r="Z407" i="2"/>
  <c r="Z437" i="2"/>
  <c r="BP486" i="2"/>
  <c r="Z507" i="2"/>
  <c r="BP508" i="2"/>
  <c r="Z5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Z243" i="2" s="1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Z573" i="2" s="1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Z340" i="2" l="1"/>
  <c r="Z395" i="2"/>
  <c r="Z77" i="2"/>
  <c r="X595" i="2"/>
  <c r="Z183" i="2"/>
  <c r="Z346" i="2"/>
  <c r="Z133" i="2"/>
  <c r="Z83" i="2"/>
  <c r="Z28" i="2"/>
  <c r="Z110" i="2"/>
  <c r="Z524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<sst xmlns="http://schemas.openxmlformats.org/spreadsheetml/2006/main" count="4539" uniqueCount="970">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</sst>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5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/>
      <c r="I5" s="1026"/>
      <c r="J5" s="1026"/>
      <c r="K5" s="1026"/>
      <c r="L5" s="1026"/>
      <c r="M5" s="1026"/>
      <c r="N5" s="69"/>
      <c r="P5" s="26" t="s">
        <v>4</v>
      </c>
      <c r="Q5" s="1028">
        <v>45771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65</v>
      </c>
      <c r="L17" s="979" t="s">
        <v>63</v>
      </c>
      <c r="M17" s="979" t="s">
        <v>2</v>
      </c>
      <c r="N17" s="979" t="s">
        <v>62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64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73">
        <v>4680115886230</v>
      </c>
      <c r="E24" s="673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">
        <v>89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73">
        <v>4680115886247</v>
      </c>
      <c r="E25" s="673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">
        <v>93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73">
        <v>4680115885905</v>
      </c>
      <c r="E26" s="673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73">
        <v>4607091388244</v>
      </c>
      <c r="E27" s="673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80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1"/>
      <c r="P28" s="677" t="s">
        <v>40</v>
      </c>
      <c r="Q28" s="678"/>
      <c r="R28" s="678"/>
      <c r="S28" s="678"/>
      <c r="T28" s="678"/>
      <c r="U28" s="678"/>
      <c r="V28" s="67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1"/>
      <c r="P29" s="677" t="s">
        <v>40</v>
      </c>
      <c r="Q29" s="678"/>
      <c r="R29" s="678"/>
      <c r="S29" s="678"/>
      <c r="T29" s="678"/>
      <c r="U29" s="678"/>
      <c r="V29" s="67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72" t="s">
        <v>101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73">
        <v>4607091388503</v>
      </c>
      <c r="E31" s="673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81"/>
      <c r="P32" s="677" t="s">
        <v>40</v>
      </c>
      <c r="Q32" s="678"/>
      <c r="R32" s="678"/>
      <c r="S32" s="678"/>
      <c r="T32" s="678"/>
      <c r="U32" s="678"/>
      <c r="V32" s="67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1"/>
      <c r="P33" s="677" t="s">
        <v>40</v>
      </c>
      <c r="Q33" s="678"/>
      <c r="R33" s="678"/>
      <c r="S33" s="678"/>
      <c r="T33" s="678"/>
      <c r="U33" s="678"/>
      <c r="V33" s="67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8" t="s">
        <v>107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2"/>
      <c r="AB34" s="52"/>
      <c r="AC34" s="52"/>
    </row>
    <row r="35" spans="1:68" ht="16.5" customHeight="1" x14ac:dyDescent="0.25">
      <c r="A35" s="694" t="s">
        <v>108</v>
      </c>
      <c r="B35" s="694"/>
      <c r="C35" s="694"/>
      <c r="D35" s="694"/>
      <c r="E35" s="694"/>
      <c r="F35" s="694"/>
      <c r="G35" s="694"/>
      <c r="H35" s="694"/>
      <c r="I35" s="694"/>
      <c r="J35" s="694"/>
      <c r="K35" s="694"/>
      <c r="L35" s="694"/>
      <c r="M35" s="694"/>
      <c r="N35" s="694"/>
      <c r="O35" s="694"/>
      <c r="P35" s="694"/>
      <c r="Q35" s="694"/>
      <c r="R35" s="694"/>
      <c r="S35" s="694"/>
      <c r="T35" s="694"/>
      <c r="U35" s="694"/>
      <c r="V35" s="694"/>
      <c r="W35" s="694"/>
      <c r="X35" s="694"/>
      <c r="Y35" s="694"/>
      <c r="Z35" s="694"/>
      <c r="AA35" s="62"/>
      <c r="AB35" s="62"/>
      <c r="AC35" s="62"/>
    </row>
    <row r="36" spans="1:68" ht="14.25" customHeight="1" x14ac:dyDescent="0.25">
      <c r="A36" s="672" t="s">
        <v>109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3">
        <v>4607091385670</v>
      </c>
      <c r="E37" s="673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300</v>
      </c>
      <c r="Y37" s="53">
        <f>IFERROR(IF(X37="",0,CEILING((X37/$H37),1)*$H37),"")</f>
        <v>302.40000000000003</v>
      </c>
      <c r="Z37" s="39">
        <f>IFERROR(IF(Y37=0,"",ROUNDUP(Y37/H37,0)*0.01898),"")</f>
        <v>0.53144000000000002</v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312.08333333333331</v>
      </c>
      <c r="BN37" s="75">
        <f>IFERROR(Y37*I37/H37,"0")</f>
        <v>314.58000000000004</v>
      </c>
      <c r="BO37" s="75">
        <f>IFERROR(1/J37*(X37/H37),"0")</f>
        <v>0.43402777777777773</v>
      </c>
      <c r="BP37" s="75">
        <f>IFERROR(1/J37*(Y37/H37),"0")</f>
        <v>0.4375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73">
        <v>4607091385687</v>
      </c>
      <c r="E38" s="673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73">
        <v>4680115882539</v>
      </c>
      <c r="E39" s="673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73">
        <v>4680115883949</v>
      </c>
      <c r="E40" s="673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80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1"/>
      <c r="P41" s="677" t="s">
        <v>40</v>
      </c>
      <c r="Q41" s="678"/>
      <c r="R41" s="678"/>
      <c r="S41" s="678"/>
      <c r="T41" s="678"/>
      <c r="U41" s="678"/>
      <c r="V41" s="679"/>
      <c r="W41" s="40" t="s">
        <v>39</v>
      </c>
      <c r="X41" s="41">
        <f>IFERROR(X37/H37,"0")+IFERROR(X38/H38,"0")+IFERROR(X39/H39,"0")+IFERROR(X40/H40,"0")</f>
        <v>27.777777777777775</v>
      </c>
      <c r="Y41" s="41">
        <f>IFERROR(Y37/H37,"0")+IFERROR(Y38/H38,"0")+IFERROR(Y39/H39,"0")+IFERROR(Y40/H40,"0")</f>
        <v>28</v>
      </c>
      <c r="Z41" s="41">
        <f>IFERROR(IF(Z37="",0,Z37),"0")+IFERROR(IF(Z38="",0,Z38),"0")+IFERROR(IF(Z39="",0,Z39),"0")+IFERROR(IF(Z40="",0,Z40),"0")</f>
        <v>0.53144000000000002</v>
      </c>
      <c r="AA41" s="64"/>
      <c r="AB41" s="64"/>
      <c r="AC41" s="64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1"/>
      <c r="P42" s="677" t="s">
        <v>40</v>
      </c>
      <c r="Q42" s="678"/>
      <c r="R42" s="678"/>
      <c r="S42" s="678"/>
      <c r="T42" s="678"/>
      <c r="U42" s="678"/>
      <c r="V42" s="679"/>
      <c r="W42" s="40" t="s">
        <v>0</v>
      </c>
      <c r="X42" s="41">
        <f>IFERROR(SUM(X37:X40),"0")</f>
        <v>300</v>
      </c>
      <c r="Y42" s="41">
        <f>IFERROR(SUM(Y37:Y40),"0")</f>
        <v>302.40000000000003</v>
      </c>
      <c r="Z42" s="40"/>
      <c r="AA42" s="64"/>
      <c r="AB42" s="64"/>
      <c r="AC42" s="64"/>
    </row>
    <row r="43" spans="1:68" ht="14.25" customHeight="1" x14ac:dyDescent="0.25">
      <c r="A43" s="672" t="s">
        <v>78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73">
        <v>4680115884915</v>
      </c>
      <c r="E44" s="673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80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1"/>
      <c r="P45" s="677" t="s">
        <v>40</v>
      </c>
      <c r="Q45" s="678"/>
      <c r="R45" s="678"/>
      <c r="S45" s="678"/>
      <c r="T45" s="678"/>
      <c r="U45" s="678"/>
      <c r="V45" s="67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1"/>
      <c r="P46" s="677" t="s">
        <v>40</v>
      </c>
      <c r="Q46" s="678"/>
      <c r="R46" s="678"/>
      <c r="S46" s="678"/>
      <c r="T46" s="678"/>
      <c r="U46" s="678"/>
      <c r="V46" s="67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4" t="s">
        <v>129</v>
      </c>
      <c r="B47" s="694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4"/>
      <c r="R47" s="694"/>
      <c r="S47" s="694"/>
      <c r="T47" s="694"/>
      <c r="U47" s="694"/>
      <c r="V47" s="694"/>
      <c r="W47" s="694"/>
      <c r="X47" s="694"/>
      <c r="Y47" s="694"/>
      <c r="Z47" s="694"/>
      <c r="AA47" s="62"/>
      <c r="AB47" s="62"/>
      <c r="AC47" s="62"/>
    </row>
    <row r="48" spans="1:68" ht="14.25" customHeight="1" x14ac:dyDescent="0.25">
      <c r="A48" s="672" t="s">
        <v>109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3">
        <v>4680115885882</v>
      </c>
      <c r="E49" s="673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150</v>
      </c>
      <c r="Y49" s="53">
        <f t="shared" ref="Y49:Y54" si="6">IFERROR(IF(X49="",0,CEILING((X49/$H49),1)*$H49),"")</f>
        <v>156.79999999999998</v>
      </c>
      <c r="Z49" s="39">
        <f>IFERROR(IF(Y49=0,"",ROUNDUP(Y49/H49,0)*0.01898),"")</f>
        <v>0.26572000000000001</v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155.82589285714286</v>
      </c>
      <c r="BN49" s="75">
        <f t="shared" ref="BN49:BN54" si="8">IFERROR(Y49*I49/H49,"0")</f>
        <v>162.88999999999999</v>
      </c>
      <c r="BO49" s="75">
        <f t="shared" ref="BO49:BO54" si="9">IFERROR(1/J49*(X49/H49),"0")</f>
        <v>0.20926339285714288</v>
      </c>
      <c r="BP49" s="75">
        <f t="shared" ref="BP49:BP54" si="10">IFERROR(1/J49*(Y49/H49),"0")</f>
        <v>0.21875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73">
        <v>4680115881426</v>
      </c>
      <c r="E50" s="673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73">
        <v>4680115880283</v>
      </c>
      <c r="E51" s="673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73">
        <v>4680115881525</v>
      </c>
      <c r="E52" s="673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3">
        <v>4680115885899</v>
      </c>
      <c r="E53" s="673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21</v>
      </c>
      <c r="Y53" s="53">
        <f t="shared" si="6"/>
        <v>21</v>
      </c>
      <c r="Z53" s="39">
        <f>IFERROR(IF(Y53=0,"",ROUNDUP(Y53/H53,0)*0.00651),"")</f>
        <v>6.5100000000000005E-2</v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22.799999999999997</v>
      </c>
      <c r="BN53" s="75">
        <f t="shared" si="8"/>
        <v>22.799999999999997</v>
      </c>
      <c r="BO53" s="75">
        <f t="shared" si="9"/>
        <v>5.4945054945054951E-2</v>
      </c>
      <c r="BP53" s="75">
        <f t="shared" si="10"/>
        <v>5.4945054945054951E-2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3">
        <v>4680115881419</v>
      </c>
      <c r="E54" s="673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7" t="s">
        <v>45</v>
      </c>
      <c r="V54" s="37" t="s">
        <v>45</v>
      </c>
      <c r="W54" s="38" t="s">
        <v>0</v>
      </c>
      <c r="X54" s="56">
        <v>1188</v>
      </c>
      <c r="Y54" s="53">
        <f t="shared" si="6"/>
        <v>1188</v>
      </c>
      <c r="Z54" s="39">
        <f>IFERROR(IF(Y54=0,"",ROUNDUP(Y54/H54,0)*0.00902),"")</f>
        <v>2.3812800000000003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1243.4399999999998</v>
      </c>
      <c r="BN54" s="75">
        <f t="shared" si="8"/>
        <v>1243.4399999999998</v>
      </c>
      <c r="BO54" s="75">
        <f t="shared" si="9"/>
        <v>2</v>
      </c>
      <c r="BP54" s="75">
        <f t="shared" si="10"/>
        <v>2</v>
      </c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39</v>
      </c>
      <c r="X55" s="41">
        <f>IFERROR(X49/H49,"0")+IFERROR(X50/H50,"0")+IFERROR(X51/H51,"0")+IFERROR(X52/H52,"0")+IFERROR(X53/H53,"0")+IFERROR(X54/H54,"0")</f>
        <v>287.39285714285717</v>
      </c>
      <c r="Y55" s="41">
        <f>IFERROR(Y49/H49,"0")+IFERROR(Y50/H50,"0")+IFERROR(Y51/H51,"0")+IFERROR(Y52/H52,"0")+IFERROR(Y53/H53,"0")+IFERROR(Y54/H54,"0")</f>
        <v>288</v>
      </c>
      <c r="Z55" s="41">
        <f>IFERROR(IF(Z49="",0,Z49),"0")+IFERROR(IF(Z50="",0,Z50),"0")+IFERROR(IF(Z51="",0,Z51),"0")+IFERROR(IF(Z52="",0,Z52),"0")+IFERROR(IF(Z53="",0,Z53),"0")+IFERROR(IF(Z54="",0,Z54),"0")</f>
        <v>2.7121000000000004</v>
      </c>
      <c r="AA55" s="64"/>
      <c r="AB55" s="64"/>
      <c r="AC55" s="64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1"/>
      <c r="P56" s="677" t="s">
        <v>40</v>
      </c>
      <c r="Q56" s="678"/>
      <c r="R56" s="678"/>
      <c r="S56" s="678"/>
      <c r="T56" s="678"/>
      <c r="U56" s="678"/>
      <c r="V56" s="679"/>
      <c r="W56" s="40" t="s">
        <v>0</v>
      </c>
      <c r="X56" s="41">
        <f>IFERROR(SUM(X49:X54),"0")</f>
        <v>1359</v>
      </c>
      <c r="Y56" s="41">
        <f>IFERROR(SUM(Y49:Y54),"0")</f>
        <v>1365.8</v>
      </c>
      <c r="Z56" s="40"/>
      <c r="AA56" s="64"/>
      <c r="AB56" s="64"/>
      <c r="AC56" s="64"/>
    </row>
    <row r="57" spans="1:68" ht="14.25" customHeight="1" x14ac:dyDescent="0.25">
      <c r="A57" s="672" t="s">
        <v>149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3">
        <v>4680115881440</v>
      </c>
      <c r="E58" s="673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600</v>
      </c>
      <c r="Y58" s="53">
        <f>IFERROR(IF(X58="",0,CEILING((X58/$H58),1)*$H58),"")</f>
        <v>604.80000000000007</v>
      </c>
      <c r="Z58" s="39">
        <f>IFERROR(IF(Y58=0,"",ROUNDUP(Y58/H58,0)*0.01898),"")</f>
        <v>1.06288</v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624.16666666666663</v>
      </c>
      <c r="BN58" s="75">
        <f>IFERROR(Y58*I58/H58,"0")</f>
        <v>629.16000000000008</v>
      </c>
      <c r="BO58" s="75">
        <f>IFERROR(1/J58*(X58/H58),"0")</f>
        <v>0.86805555555555547</v>
      </c>
      <c r="BP58" s="75">
        <f>IFERROR(1/J58*(Y58/H58),"0")</f>
        <v>0.875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73">
        <v>4680115882751</v>
      </c>
      <c r="E59" s="673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73">
        <v>4680115885950</v>
      </c>
      <c r="E60" s="673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3">
        <v>4680115881433</v>
      </c>
      <c r="E61" s="673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7" t="s">
        <v>45</v>
      </c>
      <c r="V61" s="37" t="s">
        <v>45</v>
      </c>
      <c r="W61" s="38" t="s">
        <v>0</v>
      </c>
      <c r="X61" s="56">
        <v>491.4</v>
      </c>
      <c r="Y61" s="53">
        <f>IFERROR(IF(X61="",0,CEILING((X61/$H61),1)*$H61),"")</f>
        <v>491.40000000000003</v>
      </c>
      <c r="Z61" s="39">
        <f>IFERROR(IF(Y61=0,"",ROUNDUP(Y61/H61,0)*0.00651),"")</f>
        <v>1.18482</v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524.16</v>
      </c>
      <c r="BN61" s="75">
        <f>IFERROR(Y61*I61/H61,"0")</f>
        <v>524.16</v>
      </c>
      <c r="BO61" s="75">
        <f>IFERROR(1/J61*(X61/H61),"0")</f>
        <v>0.99999999999999989</v>
      </c>
      <c r="BP61" s="75">
        <f>IFERROR(1/J61*(Y61/H61),"0")</f>
        <v>1</v>
      </c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39</v>
      </c>
      <c r="X62" s="41">
        <f>IFERROR(X58/H58,"0")+IFERROR(X59/H59,"0")+IFERROR(X60/H60,"0")+IFERROR(X61/H61,"0")</f>
        <v>237.55555555555551</v>
      </c>
      <c r="Y62" s="41">
        <f>IFERROR(Y58/H58,"0")+IFERROR(Y59/H59,"0")+IFERROR(Y60/H60,"0")+IFERROR(Y61/H61,"0")</f>
        <v>238</v>
      </c>
      <c r="Z62" s="41">
        <f>IFERROR(IF(Z58="",0,Z58),"0")+IFERROR(IF(Z59="",0,Z59),"0")+IFERROR(IF(Z60="",0,Z60),"0")+IFERROR(IF(Z61="",0,Z61),"0")</f>
        <v>2.2477</v>
      </c>
      <c r="AA62" s="64"/>
      <c r="AB62" s="64"/>
      <c r="AC62" s="64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1"/>
      <c r="P63" s="677" t="s">
        <v>40</v>
      </c>
      <c r="Q63" s="678"/>
      <c r="R63" s="678"/>
      <c r="S63" s="678"/>
      <c r="T63" s="678"/>
      <c r="U63" s="678"/>
      <c r="V63" s="679"/>
      <c r="W63" s="40" t="s">
        <v>0</v>
      </c>
      <c r="X63" s="41">
        <f>IFERROR(SUM(X58:X61),"0")</f>
        <v>1091.4000000000001</v>
      </c>
      <c r="Y63" s="41">
        <f>IFERROR(SUM(Y58:Y61),"0")</f>
        <v>1096.2</v>
      </c>
      <c r="Z63" s="40"/>
      <c r="AA63" s="64"/>
      <c r="AB63" s="64"/>
      <c r="AC63" s="64"/>
    </row>
    <row r="64" spans="1:68" ht="14.25" customHeight="1" x14ac:dyDescent="0.25">
      <c r="A64" s="672" t="s">
        <v>160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73">
        <v>4680115885073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73">
        <v>4680115885059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73">
        <v>4680115885097</v>
      </c>
      <c r="E67" s="673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1"/>
      <c r="P69" s="677" t="s">
        <v>40</v>
      </c>
      <c r="Q69" s="678"/>
      <c r="R69" s="678"/>
      <c r="S69" s="678"/>
      <c r="T69" s="678"/>
      <c r="U69" s="678"/>
      <c r="V69" s="67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72" t="s">
        <v>78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3">
        <v>4680115881891</v>
      </c>
      <c r="E71" s="673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3">
        <v>4680115885769</v>
      </c>
      <c r="E72" s="673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3">
        <v>4680115884410</v>
      </c>
      <c r="E73" s="673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80</v>
      </c>
      <c r="Y73" s="53">
        <f t="shared" si="11"/>
        <v>84</v>
      </c>
      <c r="Z73" s="39">
        <f>IFERROR(IF(Y73=0,"",ROUNDUP(Y73/H73,0)*0.01898),"")</f>
        <v>0.1898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84.828571428571422</v>
      </c>
      <c r="BN73" s="75">
        <f t="shared" si="13"/>
        <v>89.07</v>
      </c>
      <c r="BO73" s="75">
        <f t="shared" si="14"/>
        <v>0.14880952380952381</v>
      </c>
      <c r="BP73" s="75">
        <f t="shared" si="15"/>
        <v>0.15625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73">
        <v>4680115884311</v>
      </c>
      <c r="E74" s="673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73">
        <v>4680115885929</v>
      </c>
      <c r="E75" s="673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73">
        <v>4680115884403</v>
      </c>
      <c r="E76" s="673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39</v>
      </c>
      <c r="X77" s="41">
        <f>IFERROR(X71/H71,"0")+IFERROR(X72/H72,"0")+IFERROR(X73/H73,"0")+IFERROR(X74/H74,"0")+IFERROR(X75/H75,"0")+IFERROR(X76/H76,"0")</f>
        <v>9.5238095238095237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</v>
      </c>
      <c r="AA77" s="64"/>
      <c r="AB77" s="64"/>
      <c r="AC77" s="64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1"/>
      <c r="P78" s="677" t="s">
        <v>40</v>
      </c>
      <c r="Q78" s="678"/>
      <c r="R78" s="678"/>
      <c r="S78" s="678"/>
      <c r="T78" s="678"/>
      <c r="U78" s="678"/>
      <c r="V78" s="679"/>
      <c r="W78" s="40" t="s">
        <v>0</v>
      </c>
      <c r="X78" s="41">
        <f>IFERROR(SUM(X71:X76),"0")</f>
        <v>80</v>
      </c>
      <c r="Y78" s="41">
        <f>IFERROR(SUM(Y71:Y76),"0")</f>
        <v>84</v>
      </c>
      <c r="Z78" s="40"/>
      <c r="AA78" s="64"/>
      <c r="AB78" s="64"/>
      <c r="AC78" s="64"/>
    </row>
    <row r="79" spans="1:68" ht="14.25" customHeight="1" x14ac:dyDescent="0.25">
      <c r="A79" s="672" t="s">
        <v>186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4301060366</v>
      </c>
      <c r="D81" s="673">
        <v>4680115881532</v>
      </c>
      <c r="E81" s="673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73">
        <v>4680115881464</v>
      </c>
      <c r="E82" s="673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1"/>
      <c r="P84" s="677" t="s">
        <v>40</v>
      </c>
      <c r="Q84" s="678"/>
      <c r="R84" s="678"/>
      <c r="S84" s="678"/>
      <c r="T84" s="678"/>
      <c r="U84" s="678"/>
      <c r="V84" s="679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694" t="s">
        <v>194</v>
      </c>
      <c r="B85" s="694"/>
      <c r="C85" s="694"/>
      <c r="D85" s="694"/>
      <c r="E85" s="694"/>
      <c r="F85" s="694"/>
      <c r="G85" s="694"/>
      <c r="H85" s="694"/>
      <c r="I85" s="694"/>
      <c r="J85" s="694"/>
      <c r="K85" s="694"/>
      <c r="L85" s="694"/>
      <c r="M85" s="694"/>
      <c r="N85" s="694"/>
      <c r="O85" s="694"/>
      <c r="P85" s="694"/>
      <c r="Q85" s="694"/>
      <c r="R85" s="694"/>
      <c r="S85" s="694"/>
      <c r="T85" s="694"/>
      <c r="U85" s="694"/>
      <c r="V85" s="694"/>
      <c r="W85" s="694"/>
      <c r="X85" s="694"/>
      <c r="Y85" s="694"/>
      <c r="Z85" s="694"/>
      <c r="AA85" s="62"/>
      <c r="AB85" s="62"/>
      <c r="AC85" s="62"/>
    </row>
    <row r="86" spans="1:68" ht="14.25" customHeight="1" x14ac:dyDescent="0.25">
      <c r="A86" s="672" t="s">
        <v>109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3">
        <v>4680115881327</v>
      </c>
      <c r="E87" s="673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300</v>
      </c>
      <c r="Y87" s="53">
        <f>IFERROR(IF(X87="",0,CEILING((X87/$H87),1)*$H87),"")</f>
        <v>302.40000000000003</v>
      </c>
      <c r="Z87" s="39">
        <f>IFERROR(IF(Y87=0,"",ROUNDUP(Y87/H87,0)*0.01898),"")</f>
        <v>0.53144000000000002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312.08333333333331</v>
      </c>
      <c r="BN87" s="75">
        <f>IFERROR(Y87*I87/H87,"0")</f>
        <v>314.58000000000004</v>
      </c>
      <c r="BO87" s="75">
        <f>IFERROR(1/J87*(X87/H87),"0")</f>
        <v>0.43402777777777773</v>
      </c>
      <c r="BP87" s="75">
        <f>IFERROR(1/J87*(Y87/H87),"0")</f>
        <v>0.4375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73">
        <v>4680115881518</v>
      </c>
      <c r="E88" s="673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3">
        <v>4680115881303</v>
      </c>
      <c r="E89" s="673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7" t="s">
        <v>45</v>
      </c>
      <c r="V89" s="37" t="s">
        <v>45</v>
      </c>
      <c r="W89" s="38" t="s">
        <v>0</v>
      </c>
      <c r="X89" s="56">
        <v>108</v>
      </c>
      <c r="Y89" s="53">
        <f>IFERROR(IF(X89="",0,CEILING((X89/$H89),1)*$H89),"")</f>
        <v>108</v>
      </c>
      <c r="Z89" s="39">
        <f>IFERROR(IF(Y89=0,"",ROUNDUP(Y89/H89,0)*0.00902),"")</f>
        <v>0.21648000000000001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113.04</v>
      </c>
      <c r="BN89" s="75">
        <f>IFERROR(Y89*I89/H89,"0")</f>
        <v>113.04</v>
      </c>
      <c r="BO89" s="75">
        <f>IFERROR(1/J89*(X89/H89),"0")</f>
        <v>0.18181818181818182</v>
      </c>
      <c r="BP89" s="75">
        <f>IFERROR(1/J89*(Y89/H89),"0")</f>
        <v>0.18181818181818182</v>
      </c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39</v>
      </c>
      <c r="X90" s="41">
        <f>IFERROR(X87/H87,"0")+IFERROR(X88/H88,"0")+IFERROR(X89/H89,"0")</f>
        <v>51.777777777777771</v>
      </c>
      <c r="Y90" s="41">
        <f>IFERROR(Y87/H87,"0")+IFERROR(Y88/H88,"0")+IFERROR(Y89/H89,"0")</f>
        <v>52</v>
      </c>
      <c r="Z90" s="41">
        <f>IFERROR(IF(Z87="",0,Z87),"0")+IFERROR(IF(Z88="",0,Z88),"0")+IFERROR(IF(Z89="",0,Z89),"0")</f>
        <v>0.74792000000000003</v>
      </c>
      <c r="AA90" s="64"/>
      <c r="AB90" s="64"/>
      <c r="AC90" s="64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1"/>
      <c r="P91" s="677" t="s">
        <v>40</v>
      </c>
      <c r="Q91" s="678"/>
      <c r="R91" s="678"/>
      <c r="S91" s="678"/>
      <c r="T91" s="678"/>
      <c r="U91" s="678"/>
      <c r="V91" s="679"/>
      <c r="W91" s="40" t="s">
        <v>0</v>
      </c>
      <c r="X91" s="41">
        <f>IFERROR(SUM(X87:X89),"0")</f>
        <v>408</v>
      </c>
      <c r="Y91" s="41">
        <f>IFERROR(SUM(Y87:Y89),"0")</f>
        <v>410.40000000000003</v>
      </c>
      <c r="Z91" s="40"/>
      <c r="AA91" s="64"/>
      <c r="AB91" s="64"/>
      <c r="AC91" s="64"/>
    </row>
    <row r="92" spans="1:68" ht="14.25" customHeight="1" x14ac:dyDescent="0.25">
      <c r="A92" s="672" t="s">
        <v>78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80</v>
      </c>
      <c r="Y94" s="53">
        <f t="shared" si="16"/>
        <v>81</v>
      </c>
      <c r="Z94" s="39">
        <f>IFERROR(IF(Y94=0,"",ROUNDUP(Y94/H94,0)*0.01898),"")</f>
        <v>0.1898</v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85.125925925925927</v>
      </c>
      <c r="BN94" s="75">
        <f t="shared" si="18"/>
        <v>86.190000000000012</v>
      </c>
      <c r="BO94" s="75">
        <f t="shared" si="19"/>
        <v>0.15432098765432101</v>
      </c>
      <c r="BP94" s="75">
        <f t="shared" si="20"/>
        <v>0.15625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73">
        <v>4607091386967</v>
      </c>
      <c r="E95" s="673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4" t="s">
        <v>208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73">
        <v>4680115884953</v>
      </c>
      <c r="E96" s="673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5" t="s">
        <v>212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customHeight="1" x14ac:dyDescent="0.25">
      <c r="A97" s="60" t="s">
        <v>214</v>
      </c>
      <c r="B97" s="60" t="s">
        <v>215</v>
      </c>
      <c r="C97" s="34">
        <v>4301051718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946" t="s">
        <v>216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customHeight="1" x14ac:dyDescent="0.25">
      <c r="A98" s="60" t="s">
        <v>214</v>
      </c>
      <c r="B98" s="60" t="s">
        <v>217</v>
      </c>
      <c r="C98" s="34">
        <v>4301052039</v>
      </c>
      <c r="D98" s="673">
        <v>4607091385731</v>
      </c>
      <c r="E98" s="673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934" t="s">
        <v>218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73">
        <v>4680115880894</v>
      </c>
      <c r="E99" s="673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3">
        <v>4680115880214</v>
      </c>
      <c r="E100" s="673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73">
        <v>4680115880214</v>
      </c>
      <c r="E101" s="673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9.8765432098765444</v>
      </c>
      <c r="Y102" s="41">
        <f>IFERROR(Y93/H93,"0")+IFERROR(Y94/H94,"0")+IFERROR(Y95/H95,"0")+IFERROR(Y96/H96,"0")+IFERROR(Y97/H97,"0")+IFERROR(Y98/H98,"0")+IFERROR(Y99/H99,"0")+IFERROR(Y100/H100,"0")+IFERROR(Y101/H101,"0")</f>
        <v>10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0.1898</v>
      </c>
      <c r="AA102" s="64"/>
      <c r="AB102" s="64"/>
      <c r="AC102" s="64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1"/>
      <c r="P103" s="677" t="s">
        <v>40</v>
      </c>
      <c r="Q103" s="678"/>
      <c r="R103" s="678"/>
      <c r="S103" s="678"/>
      <c r="T103" s="678"/>
      <c r="U103" s="678"/>
      <c r="V103" s="679"/>
      <c r="W103" s="40" t="s">
        <v>0</v>
      </c>
      <c r="X103" s="41">
        <f>IFERROR(SUM(X93:X101),"0")</f>
        <v>80</v>
      </c>
      <c r="Y103" s="41">
        <f>IFERROR(SUM(Y93:Y101),"0")</f>
        <v>81</v>
      </c>
      <c r="Z103" s="40"/>
      <c r="AA103" s="64"/>
      <c r="AB103" s="64"/>
      <c r="AC103" s="64"/>
    </row>
    <row r="104" spans="1:68" ht="16.5" customHeight="1" x14ac:dyDescent="0.25">
      <c r="A104" s="694" t="s">
        <v>225</v>
      </c>
      <c r="B104" s="694"/>
      <c r="C104" s="694"/>
      <c r="D104" s="694"/>
      <c r="E104" s="694"/>
      <c r="F104" s="694"/>
      <c r="G104" s="694"/>
      <c r="H104" s="694"/>
      <c r="I104" s="694"/>
      <c r="J104" s="694"/>
      <c r="K104" s="694"/>
      <c r="L104" s="694"/>
      <c r="M104" s="694"/>
      <c r="N104" s="694"/>
      <c r="O104" s="694"/>
      <c r="P104" s="694"/>
      <c r="Q104" s="694"/>
      <c r="R104" s="694"/>
      <c r="S104" s="694"/>
      <c r="T104" s="694"/>
      <c r="U104" s="694"/>
      <c r="V104" s="694"/>
      <c r="W104" s="694"/>
      <c r="X104" s="694"/>
      <c r="Y104" s="694"/>
      <c r="Z104" s="694"/>
      <c r="AA104" s="62"/>
      <c r="AB104" s="62"/>
      <c r="AC104" s="62"/>
    </row>
    <row r="105" spans="1:68" ht="14.25" customHeight="1" x14ac:dyDescent="0.25">
      <c r="A105" s="672" t="s">
        <v>109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3">
        <v>4680115882133</v>
      </c>
      <c r="E106" s="673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73">
        <v>4680115880269</v>
      </c>
      <c r="E107" s="673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73">
        <v>4680115880429</v>
      </c>
      <c r="E108" s="673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73">
        <v>4680115881457</v>
      </c>
      <c r="E109" s="673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1"/>
      <c r="P111" s="677" t="s">
        <v>40</v>
      </c>
      <c r="Q111" s="678"/>
      <c r="R111" s="678"/>
      <c r="S111" s="678"/>
      <c r="T111" s="678"/>
      <c r="U111" s="678"/>
      <c r="V111" s="679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672" t="s">
        <v>149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73">
        <v>4680115881488</v>
      </c>
      <c r="E113" s="673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73">
        <v>4680115882775</v>
      </c>
      <c r="E114" s="673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3">
        <v>4680115880658</v>
      </c>
      <c r="E115" s="673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1"/>
      <c r="P117" s="677" t="s">
        <v>40</v>
      </c>
      <c r="Q117" s="678"/>
      <c r="R117" s="678"/>
      <c r="S117" s="678"/>
      <c r="T117" s="678"/>
      <c r="U117" s="678"/>
      <c r="V117" s="679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72" t="s">
        <v>78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673">
        <v>4607091385168</v>
      </c>
      <c r="E120" s="673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22" t="s">
        <v>246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673">
        <v>4607091385168</v>
      </c>
      <c r="E121" s="673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673">
        <v>4607091383256</v>
      </c>
      <c r="E123" s="673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5" t="s">
        <v>253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673">
        <v>4607091385748</v>
      </c>
      <c r="E125" s="673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7" t="s">
        <v>257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3">
        <v>4680115884533</v>
      </c>
      <c r="E126" s="673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673">
        <v>4680115882645</v>
      </c>
      <c r="E127" s="673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5"/>
      <c r="R127" s="675"/>
      <c r="S127" s="675"/>
      <c r="T127" s="676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680"/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1"/>
      <c r="P129" s="677" t="s">
        <v>40</v>
      </c>
      <c r="Q129" s="678"/>
      <c r="R129" s="678"/>
      <c r="S129" s="678"/>
      <c r="T129" s="678"/>
      <c r="U129" s="678"/>
      <c r="V129" s="679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672" t="s">
        <v>186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673">
        <v>4680115882652</v>
      </c>
      <c r="E131" s="673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673">
        <v>4680115880238</v>
      </c>
      <c r="E132" s="673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5"/>
      <c r="R132" s="675"/>
      <c r="S132" s="675"/>
      <c r="T132" s="676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680"/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1"/>
      <c r="P134" s="677" t="s">
        <v>40</v>
      </c>
      <c r="Q134" s="678"/>
      <c r="R134" s="678"/>
      <c r="S134" s="678"/>
      <c r="T134" s="678"/>
      <c r="U134" s="678"/>
      <c r="V134" s="67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694" t="s">
        <v>270</v>
      </c>
      <c r="B135" s="694"/>
      <c r="C135" s="694"/>
      <c r="D135" s="694"/>
      <c r="E135" s="694"/>
      <c r="F135" s="694"/>
      <c r="G135" s="694"/>
      <c r="H135" s="694"/>
      <c r="I135" s="694"/>
      <c r="J135" s="694"/>
      <c r="K135" s="694"/>
      <c r="L135" s="694"/>
      <c r="M135" s="694"/>
      <c r="N135" s="694"/>
      <c r="O135" s="694"/>
      <c r="P135" s="694"/>
      <c r="Q135" s="694"/>
      <c r="R135" s="694"/>
      <c r="S135" s="694"/>
      <c r="T135" s="694"/>
      <c r="U135" s="694"/>
      <c r="V135" s="694"/>
      <c r="W135" s="694"/>
      <c r="X135" s="694"/>
      <c r="Y135" s="694"/>
      <c r="Z135" s="694"/>
      <c r="AA135" s="62"/>
      <c r="AB135" s="62"/>
      <c r="AC135" s="62"/>
    </row>
    <row r="136" spans="1:68" ht="14.25" customHeight="1" x14ac:dyDescent="0.25">
      <c r="A136" s="672" t="s">
        <v>109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4301011564</v>
      </c>
      <c r="D138" s="673">
        <v>4680115882577</v>
      </c>
      <c r="E138" s="673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5"/>
      <c r="R138" s="675"/>
      <c r="S138" s="675"/>
      <c r="T138" s="676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80"/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1"/>
      <c r="P140" s="677" t="s">
        <v>40</v>
      </c>
      <c r="Q140" s="678"/>
      <c r="R140" s="678"/>
      <c r="S140" s="678"/>
      <c r="T140" s="678"/>
      <c r="U140" s="678"/>
      <c r="V140" s="67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72" t="s">
        <v>160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4301031234</v>
      </c>
      <c r="D143" s="673">
        <v>4680115883444</v>
      </c>
      <c r="E143" s="673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5"/>
      <c r="R143" s="675"/>
      <c r="S143" s="675"/>
      <c r="T143" s="676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80"/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1"/>
      <c r="P145" s="677" t="s">
        <v>40</v>
      </c>
      <c r="Q145" s="678"/>
      <c r="R145" s="678"/>
      <c r="S145" s="678"/>
      <c r="T145" s="678"/>
      <c r="U145" s="678"/>
      <c r="V145" s="67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672" t="s">
        <v>78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673">
        <v>4680115882584</v>
      </c>
      <c r="E148" s="673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5"/>
      <c r="R148" s="675"/>
      <c r="S148" s="675"/>
      <c r="T148" s="676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680"/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1"/>
      <c r="P150" s="677" t="s">
        <v>40</v>
      </c>
      <c r="Q150" s="678"/>
      <c r="R150" s="678"/>
      <c r="S150" s="678"/>
      <c r="T150" s="678"/>
      <c r="U150" s="678"/>
      <c r="V150" s="67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694" t="s">
        <v>107</v>
      </c>
      <c r="B151" s="694"/>
      <c r="C151" s="694"/>
      <c r="D151" s="694"/>
      <c r="E151" s="694"/>
      <c r="F151" s="694"/>
      <c r="G151" s="694"/>
      <c r="H151" s="694"/>
      <c r="I151" s="694"/>
      <c r="J151" s="694"/>
      <c r="K151" s="694"/>
      <c r="L151" s="694"/>
      <c r="M151" s="694"/>
      <c r="N151" s="694"/>
      <c r="O151" s="694"/>
      <c r="P151" s="694"/>
      <c r="Q151" s="694"/>
      <c r="R151" s="694"/>
      <c r="S151" s="694"/>
      <c r="T151" s="694"/>
      <c r="U151" s="694"/>
      <c r="V151" s="694"/>
      <c r="W151" s="694"/>
      <c r="X151" s="694"/>
      <c r="Y151" s="694"/>
      <c r="Z151" s="694"/>
      <c r="AA151" s="62"/>
      <c r="AB151" s="62"/>
      <c r="AC151" s="62"/>
    </row>
    <row r="152" spans="1:68" ht="14.25" customHeight="1" x14ac:dyDescent="0.25">
      <c r="A152" s="672" t="s">
        <v>109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673">
        <v>4607091384604</v>
      </c>
      <c r="E153" s="673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5"/>
      <c r="R153" s="675"/>
      <c r="S153" s="675"/>
      <c r="T153" s="676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80"/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1"/>
      <c r="P155" s="677" t="s">
        <v>40</v>
      </c>
      <c r="Q155" s="678"/>
      <c r="R155" s="678"/>
      <c r="S155" s="678"/>
      <c r="T155" s="678"/>
      <c r="U155" s="678"/>
      <c r="V155" s="67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672" t="s">
        <v>160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673">
        <v>4607091387667</v>
      </c>
      <c r="E157" s="673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3">
        <v>4607091387636</v>
      </c>
      <c r="E158" s="673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21</v>
      </c>
      <c r="Y158" s="53">
        <f>IFERROR(IF(X158="",0,CEILING((X158/$H158),1)*$H158),"")</f>
        <v>21</v>
      </c>
      <c r="Z158" s="39">
        <f>IFERROR(IF(Y158=0,"",ROUNDUP(Y158/H158,0)*0.00651),"")</f>
        <v>3.2550000000000003E-2</v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22.349999999999998</v>
      </c>
      <c r="BN158" s="75">
        <f>IFERROR(Y158*I158/H158,"0")</f>
        <v>22.349999999999998</v>
      </c>
      <c r="BO158" s="75">
        <f>IFERROR(1/J158*(X158/H158),"0")</f>
        <v>2.7472527472527476E-2</v>
      </c>
      <c r="BP158" s="75">
        <f>IFERROR(1/J158*(Y158/H158),"0")</f>
        <v>2.7472527472527476E-2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3">
        <v>4607091382426</v>
      </c>
      <c r="E159" s="673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250</v>
      </c>
      <c r="Y159" s="53">
        <f>IFERROR(IF(X159="",0,CEILING((X159/$H159),1)*$H159),"")</f>
        <v>252</v>
      </c>
      <c r="Z159" s="39">
        <f>IFERROR(IF(Y159=0,"",ROUNDUP(Y159/H159,0)*0.01898),"")</f>
        <v>0.53144000000000002</v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266.25</v>
      </c>
      <c r="BN159" s="75">
        <f>IFERROR(Y159*I159/H159,"0")</f>
        <v>268.38</v>
      </c>
      <c r="BO159" s="75">
        <f>IFERROR(1/J159*(X159/H159),"0")</f>
        <v>0.43402777777777779</v>
      </c>
      <c r="BP159" s="75">
        <f>IFERROR(1/J159*(Y159/H159),"0")</f>
        <v>0.4375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673">
        <v>4607091386547</v>
      </c>
      <c r="E160" s="673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5"/>
      <c r="R160" s="675"/>
      <c r="S160" s="675"/>
      <c r="T160" s="676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39</v>
      </c>
      <c r="X161" s="41">
        <f>IFERROR(X157/H157,"0")+IFERROR(X158/H158,"0")+IFERROR(X159/H159,"0")+IFERROR(X160/H160,"0")</f>
        <v>32.777777777777779</v>
      </c>
      <c r="Y161" s="41">
        <f>IFERROR(Y157/H157,"0")+IFERROR(Y158/H158,"0")+IFERROR(Y159/H159,"0")+IFERROR(Y160/H160,"0")</f>
        <v>33</v>
      </c>
      <c r="Z161" s="41">
        <f>IFERROR(IF(Z157="",0,Z157),"0")+IFERROR(IF(Z158="",0,Z158),"0")+IFERROR(IF(Z159="",0,Z159),"0")+IFERROR(IF(Z160="",0,Z160),"0")</f>
        <v>0.56398999999999999</v>
      </c>
      <c r="AA161" s="64"/>
      <c r="AB161" s="64"/>
      <c r="AC161" s="64"/>
    </row>
    <row r="162" spans="1:68" x14ac:dyDescent="0.2">
      <c r="A162" s="680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1"/>
      <c r="P162" s="677" t="s">
        <v>40</v>
      </c>
      <c r="Q162" s="678"/>
      <c r="R162" s="678"/>
      <c r="S162" s="678"/>
      <c r="T162" s="678"/>
      <c r="U162" s="678"/>
      <c r="V162" s="679"/>
      <c r="W162" s="40" t="s">
        <v>0</v>
      </c>
      <c r="X162" s="41">
        <f>IFERROR(SUM(X157:X160),"0")</f>
        <v>271</v>
      </c>
      <c r="Y162" s="41">
        <f>IFERROR(SUM(Y157:Y160),"0")</f>
        <v>273</v>
      </c>
      <c r="Z162" s="40"/>
      <c r="AA162" s="64"/>
      <c r="AB162" s="64"/>
      <c r="AC162" s="64"/>
    </row>
    <row r="163" spans="1:68" ht="14.25" customHeight="1" x14ac:dyDescent="0.25">
      <c r="A163" s="672" t="s">
        <v>78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673">
        <v>4607091386264</v>
      </c>
      <c r="E164" s="673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6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18" t="s">
        <v>299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customHeight="1" x14ac:dyDescent="0.25">
      <c r="A168" s="694" t="s">
        <v>300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customHeight="1" x14ac:dyDescent="0.25">
      <c r="A169" s="672" t="s">
        <v>149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2" t="s">
        <v>160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9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2" t="s">
        <v>319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672" t="s">
        <v>101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94" t="s">
        <v>330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4" t="s">
        <v>334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customHeight="1" x14ac:dyDescent="0.25">
      <c r="A190" s="672" t="s">
        <v>109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customHeight="1" x14ac:dyDescent="0.25">
      <c r="A191" s="60" t="s">
        <v>335</v>
      </c>
      <c r="B191" s="60" t="s">
        <v>336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338</v>
      </c>
      <c r="B192" s="60" t="s">
        <v>339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2" t="s">
        <v>149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343</v>
      </c>
      <c r="B197" s="60" t="s">
        <v>344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72" t="s">
        <v>160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32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207.77777777777777</v>
      </c>
      <c r="BN201" s="75">
        <f t="shared" ref="BN201:BN208" si="34">IFERROR(Y201*I201/H201,"0")</f>
        <v>213.18000000000004</v>
      </c>
      <c r="BO201" s="75">
        <f t="shared" ref="BO201:BO208" si="35">IFERROR(1/J201*(X201/H201),"0")</f>
        <v>0.28058361391694725</v>
      </c>
      <c r="BP201" s="75">
        <f t="shared" ref="BP201:BP208" si="36">IFERROR(1/J201*(Y201/H201),"0")</f>
        <v>0.2878787878787879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350</v>
      </c>
      <c r="Y203" s="53">
        <f t="shared" si="32"/>
        <v>351</v>
      </c>
      <c r="Z203" s="39">
        <f>IFERROR(IF(Y203=0,"",ROUNDUP(Y203/H203,0)*0.00902),"")</f>
        <v>0.58630000000000004</v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363.61111111111109</v>
      </c>
      <c r="BN203" s="75">
        <f t="shared" si="34"/>
        <v>364.65</v>
      </c>
      <c r="BO203" s="75">
        <f t="shared" si="35"/>
        <v>0.49102132435465767</v>
      </c>
      <c r="BP203" s="75">
        <f t="shared" si="36"/>
        <v>0.49242424242424243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150</v>
      </c>
      <c r="Y204" s="53">
        <f t="shared" si="32"/>
        <v>151.20000000000002</v>
      </c>
      <c r="Z204" s="39">
        <f>IFERROR(IF(Y204=0,"",ROUNDUP(Y204/H204,0)*0.00902),"")</f>
        <v>0.25256000000000001</v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155.83333333333331</v>
      </c>
      <c r="BN204" s="75">
        <f t="shared" si="34"/>
        <v>157.08000000000001</v>
      </c>
      <c r="BO204" s="75">
        <f t="shared" si="35"/>
        <v>0.21043771043771042</v>
      </c>
      <c r="BP204" s="75">
        <f t="shared" si="36"/>
        <v>0.21212121212121213</v>
      </c>
    </row>
    <row r="205" spans="1:68" ht="27" customHeight="1" x14ac:dyDescent="0.25">
      <c r="A205" s="60" t="s">
        <v>357</v>
      </c>
      <c r="B205" s="60" t="s">
        <v>358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361</v>
      </c>
      <c r="B207" s="60" t="s">
        <v>362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363</v>
      </c>
      <c r="B208" s="60" t="s">
        <v>364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129.62962962962962</v>
      </c>
      <c r="Y209" s="41">
        <f>IFERROR(Y201/H201,"0")+IFERROR(Y202/H202,"0")+IFERROR(Y203/H203,"0")+IFERROR(Y204/H204,"0")+IFERROR(Y205/H205,"0")+IFERROR(Y206/H206,"0")+IFERROR(Y207/H207,"0")+IFERROR(Y208/H208,"0")</f>
        <v>131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1.1816200000000001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700</v>
      </c>
      <c r="Y210" s="41">
        <f>IFERROR(SUM(Y201:Y208),"0")</f>
        <v>707.40000000000009</v>
      </c>
      <c r="Z210" s="40"/>
      <c r="AA210" s="64"/>
      <c r="AB210" s="64"/>
      <c r="AC210" s="64"/>
    </row>
    <row r="211" spans="1:68" ht="14.25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customHeight="1" x14ac:dyDescent="0.25">
      <c r="A212" s="60" t="s">
        <v>365</v>
      </c>
      <c r="B212" s="60" t="s">
        <v>366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368</v>
      </c>
      <c r="B213" s="60" t="s">
        <v>369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374</v>
      </c>
      <c r="B215" s="60" t="s">
        <v>375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381</v>
      </c>
      <c r="B218" s="60" t="s">
        <v>382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672" t="s">
        <v>186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694" t="s">
        <v>395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customHeight="1" x14ac:dyDescent="0.25">
      <c r="A229" s="672" t="s">
        <v>109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4301011826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396</v>
      </c>
      <c r="B231" s="60" t="s">
        <v>399</v>
      </c>
      <c r="C231" s="34">
        <v>4301011942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402</v>
      </c>
      <c r="B232" s="60" t="s">
        <v>403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405</v>
      </c>
      <c r="B233" s="60" t="s">
        <v>406</v>
      </c>
      <c r="C233" s="34">
        <v>4301011721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405</v>
      </c>
      <c r="B234" s="60" t="s">
        <v>408</v>
      </c>
      <c r="C234" s="34">
        <v>4301011941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409</v>
      </c>
      <c r="B235" s="60" t="s">
        <v>410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411</v>
      </c>
      <c r="B236" s="60" t="s">
        <v>412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413</v>
      </c>
      <c r="B237" s="60" t="s">
        <v>414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2" t="s">
        <v>149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customHeight="1" x14ac:dyDescent="0.25">
      <c r="A241" s="60" t="s">
        <v>415</v>
      </c>
      <c r="B241" s="60" t="s">
        <v>416</v>
      </c>
      <c r="C241" s="34">
        <v>4301020377</v>
      </c>
      <c r="D241" s="673">
        <v>4680115885981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419</v>
      </c>
      <c r="C242" s="34">
        <v>4301020340</v>
      </c>
      <c r="D242" s="673">
        <v>4680115885721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2" t="s">
        <v>420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customHeight="1" x14ac:dyDescent="0.25">
      <c r="A246" s="60" t="s">
        <v>421</v>
      </c>
      <c r="B246" s="60" t="s">
        <v>422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58" t="s">
        <v>423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2" t="s">
        <v>425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customHeight="1" x14ac:dyDescent="0.25">
      <c r="A250" s="60" t="s">
        <v>426</v>
      </c>
      <c r="B250" s="60" t="s">
        <v>427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59" t="s">
        <v>428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4" t="s">
        <v>430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customHeight="1" x14ac:dyDescent="0.25">
      <c r="A254" s="672" t="s">
        <v>109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100</v>
      </c>
      <c r="Y255" s="53">
        <f t="shared" ref="Y255:Y260" si="48">IFERROR(IF(X255="",0,CEILING((X255/$H255),1)*$H255),"")</f>
        <v>108</v>
      </c>
      <c r="Z255" s="39">
        <f>IFERROR(IF(Y255=0,"",ROUNDUP(Y255/H255,0)*0.01898),"")</f>
        <v>0.1898</v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104.02777777777777</v>
      </c>
      <c r="BN255" s="75">
        <f t="shared" ref="BN255:BN260" si="50">IFERROR(Y255*I255/H255,"0")</f>
        <v>112.34999999999998</v>
      </c>
      <c r="BO255" s="75">
        <f t="shared" ref="BO255:BO260" si="51">IFERROR(1/J255*(X255/H255),"0")</f>
        <v>0.14467592592592593</v>
      </c>
      <c r="BP255" s="75">
        <f t="shared" ref="BP255:BP260" si="52">IFERROR(1/J255*(Y255/H255),"0")</f>
        <v>0.15625</v>
      </c>
    </row>
    <row r="256" spans="1:68" ht="27" customHeight="1" x14ac:dyDescent="0.25">
      <c r="A256" s="60" t="s">
        <v>434</v>
      </c>
      <c r="B256" s="60" t="s">
        <v>435</v>
      </c>
      <c r="C256" s="34">
        <v>4301011850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434</v>
      </c>
      <c r="B257" s="60" t="s">
        <v>437</v>
      </c>
      <c r="C257" s="34">
        <v>4301011910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439</v>
      </c>
      <c r="B258" s="60" t="s">
        <v>440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442</v>
      </c>
      <c r="B259" s="60" t="s">
        <v>443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445</v>
      </c>
      <c r="B260" s="60" t="s">
        <v>446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9.2592592592592595</v>
      </c>
      <c r="Y261" s="41">
        <f>IFERROR(Y255/H255,"0")+IFERROR(Y256/H256,"0")+IFERROR(Y257/H257,"0")+IFERROR(Y258/H258,"0")+IFERROR(Y259/H259,"0")+IFERROR(Y260/H260,"0")</f>
        <v>10</v>
      </c>
      <c r="Z261" s="41">
        <f>IFERROR(IF(Z255="",0,Z255),"0")+IFERROR(IF(Z256="",0,Z256),"0")+IFERROR(IF(Z257="",0,Z257),"0")+IFERROR(IF(Z258="",0,Z258),"0")+IFERROR(IF(Z259="",0,Z259),"0")+IFERROR(IF(Z260="",0,Z260),"0")</f>
        <v>0.1898</v>
      </c>
      <c r="AA261" s="64"/>
      <c r="AB261" s="64"/>
      <c r="AC261" s="64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100</v>
      </c>
      <c r="Y262" s="41">
        <f>IFERROR(SUM(Y255:Y260),"0")</f>
        <v>108</v>
      </c>
      <c r="Z262" s="40"/>
      <c r="AA262" s="64"/>
      <c r="AB262" s="64"/>
      <c r="AC262" s="64"/>
    </row>
    <row r="263" spans="1:68" ht="16.5" customHeight="1" x14ac:dyDescent="0.25">
      <c r="A263" s="694" t="s">
        <v>448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customHeight="1" x14ac:dyDescent="0.25">
      <c r="A264" s="672" t="s">
        <v>109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customHeight="1" x14ac:dyDescent="0.25">
      <c r="A265" s="60" t="s">
        <v>449</v>
      </c>
      <c r="B265" s="60" t="s">
        <v>450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4" t="s">
        <v>452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customHeight="1" x14ac:dyDescent="0.25">
      <c r="A269" s="672" t="s">
        <v>109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customHeight="1" x14ac:dyDescent="0.25">
      <c r="A270" s="60" t="s">
        <v>453</v>
      </c>
      <c r="B270" s="60" t="s">
        <v>454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455</v>
      </c>
      <c r="B271" s="60" t="s">
        <v>456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458</v>
      </c>
      <c r="B272" s="60" t="s">
        <v>459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4" t="s">
        <v>461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465</v>
      </c>
      <c r="B278" s="60" t="s">
        <v>466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468</v>
      </c>
      <c r="B279" s="60" t="s">
        <v>469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470</v>
      </c>
      <c r="B280" s="60" t="s">
        <v>471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473</v>
      </c>
      <c r="B281" s="60" t="s">
        <v>474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694" t="s">
        <v>475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customHeight="1" x14ac:dyDescent="0.25">
      <c r="A285" s="672" t="s">
        <v>109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customHeight="1" x14ac:dyDescent="0.25">
      <c r="A286" s="60" t="s">
        <v>476</v>
      </c>
      <c r="B286" s="60" t="s">
        <v>477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2" t="s">
        <v>160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customHeight="1" x14ac:dyDescent="0.25">
      <c r="A290" s="60" t="s">
        <v>479</v>
      </c>
      <c r="B290" s="60" t="s">
        <v>480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customHeight="1" x14ac:dyDescent="0.25">
      <c r="A294" s="60" t="s">
        <v>482</v>
      </c>
      <c r="B294" s="60" t="s">
        <v>483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4" t="s">
        <v>485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customHeight="1" x14ac:dyDescent="0.25">
      <c r="A299" s="60" t="s">
        <v>486</v>
      </c>
      <c r="B299" s="60" t="s">
        <v>487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4" t="s">
        <v>489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customHeight="1" x14ac:dyDescent="0.25">
      <c r="A303" s="672" t="s">
        <v>109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customHeight="1" x14ac:dyDescent="0.25">
      <c r="A304" s="60" t="s">
        <v>490</v>
      </c>
      <c r="B304" s="60" t="s">
        <v>491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2" t="s">
        <v>160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customHeight="1" x14ac:dyDescent="0.25">
      <c r="A308" s="60" t="s">
        <v>492</v>
      </c>
      <c r="B308" s="60" t="s">
        <v>493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495</v>
      </c>
      <c r="B309" s="60" t="s">
        <v>496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4" t="s">
        <v>497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customHeight="1" x14ac:dyDescent="0.25">
      <c r="A313" s="672" t="s">
        <v>109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customHeight="1" x14ac:dyDescent="0.25">
      <c r="A314" s="60" t="s">
        <v>498</v>
      </c>
      <c r="B314" s="60" t="s">
        <v>499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4" t="s">
        <v>502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customHeight="1" x14ac:dyDescent="0.25">
      <c r="A318" s="672" t="s">
        <v>109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200</v>
      </c>
      <c r="Y319" s="53">
        <f t="shared" ref="Y319:Y324" si="53">IFERROR(IF(X319="",0,CEILING((X319/$H319),1)*$H319),"")</f>
        <v>205.20000000000002</v>
      </c>
      <c r="Z319" s="39">
        <f>IFERROR(IF(Y319=0,"",ROUNDUP(Y319/H319,0)*0.01898),"")</f>
        <v>0.36062</v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208.05555555555554</v>
      </c>
      <c r="BN319" s="75">
        <f t="shared" ref="BN319:BN324" si="55">IFERROR(Y319*I319/H319,"0")</f>
        <v>213.46499999999997</v>
      </c>
      <c r="BO319" s="75">
        <f t="shared" ref="BO319:BO324" si="56">IFERROR(1/J319*(X319/H319),"0")</f>
        <v>0.28935185185185186</v>
      </c>
      <c r="BP319" s="75">
        <f t="shared" ref="BP319:BP324" si="57">IFERROR(1/J319*(Y319/H319),"0")</f>
        <v>0.296875</v>
      </c>
    </row>
    <row r="320" spans="1:68" ht="27" customHeight="1" x14ac:dyDescent="0.25">
      <c r="A320" s="60" t="s">
        <v>506</v>
      </c>
      <c r="B320" s="60" t="s">
        <v>507</v>
      </c>
      <c r="C320" s="34">
        <v>4301012016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1200</v>
      </c>
      <c r="Y321" s="53">
        <f t="shared" si="53"/>
        <v>1209.6000000000001</v>
      </c>
      <c r="Z321" s="39">
        <f>IFERROR(IF(Y321=0,"",ROUNDUP(Y321/H321,0)*0.02039),"")</f>
        <v>2.2836799999999999</v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1253.3333333333333</v>
      </c>
      <c r="BN321" s="75">
        <f t="shared" si="55"/>
        <v>1263.3599999999999</v>
      </c>
      <c r="BO321" s="75">
        <f t="shared" si="56"/>
        <v>2.3148148148148144</v>
      </c>
      <c r="BP321" s="75">
        <f t="shared" si="57"/>
        <v>2.333333333333333</v>
      </c>
    </row>
    <row r="322" spans="1:68" ht="37.5" customHeight="1" x14ac:dyDescent="0.25">
      <c r="A322" s="60" t="s">
        <v>511</v>
      </c>
      <c r="B322" s="60" t="s">
        <v>512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514</v>
      </c>
      <c r="B323" s="60" t="s">
        <v>515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528</v>
      </c>
      <c r="Y324" s="53">
        <f t="shared" si="53"/>
        <v>528</v>
      </c>
      <c r="Z324" s="39">
        <f>IFERROR(IF(Y324=0,"",ROUNDUP(Y324/H324,0)*0.00902),"")</f>
        <v>1.1906400000000001</v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555.72</v>
      </c>
      <c r="BN324" s="75">
        <f t="shared" si="55"/>
        <v>555.72</v>
      </c>
      <c r="BO324" s="75">
        <f t="shared" si="56"/>
        <v>1</v>
      </c>
      <c r="BP324" s="75">
        <f t="shared" si="57"/>
        <v>1</v>
      </c>
    </row>
    <row r="325" spans="1:68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261.62962962962962</v>
      </c>
      <c r="Y325" s="41">
        <f>IFERROR(Y319/H319,"0")+IFERROR(Y320/H320,"0")+IFERROR(Y321/H321,"0")+IFERROR(Y322/H322,"0")+IFERROR(Y323/H323,"0")+IFERROR(Y324/H324,"0")</f>
        <v>263</v>
      </c>
      <c r="Z325" s="41">
        <f>IFERROR(IF(Z319="",0,Z319),"0")+IFERROR(IF(Z320="",0,Z320),"0")+IFERROR(IF(Z321="",0,Z321),"0")+IFERROR(IF(Z322="",0,Z322),"0")+IFERROR(IF(Z323="",0,Z323),"0")+IFERROR(IF(Z324="",0,Z324),"0")</f>
        <v>3.83494</v>
      </c>
      <c r="AA325" s="64"/>
      <c r="AB325" s="64"/>
      <c r="AC325" s="64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1928</v>
      </c>
      <c r="Y326" s="41">
        <f>IFERROR(SUM(Y319:Y324),"0")</f>
        <v>1942.8000000000002</v>
      </c>
      <c r="Z326" s="40"/>
      <c r="AA326" s="64"/>
      <c r="AB326" s="64"/>
      <c r="AC326" s="64"/>
    </row>
    <row r="327" spans="1:68" ht="14.25" customHeight="1" x14ac:dyDescent="0.25">
      <c r="A327" s="672" t="s">
        <v>160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250</v>
      </c>
      <c r="Y328" s="53">
        <f>IFERROR(IF(X328="",0,CEILING((X328/$H328),1)*$H328),"")</f>
        <v>252</v>
      </c>
      <c r="Z328" s="39">
        <f>IFERROR(IF(Y328=0,"",ROUNDUP(Y328/H328,0)*0.00902),"")</f>
        <v>0.54120000000000001</v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266.07142857142856</v>
      </c>
      <c r="BN328" s="75">
        <f>IFERROR(Y328*I328/H328,"0")</f>
        <v>268.19999999999993</v>
      </c>
      <c r="BO328" s="75">
        <f>IFERROR(1/J328*(X328/H328),"0")</f>
        <v>0.45093795093795092</v>
      </c>
      <c r="BP328" s="75">
        <f>IFERROR(1/J328*(Y328/H328),"0")</f>
        <v>0.45454545454545459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250</v>
      </c>
      <c r="Y329" s="53">
        <f>IFERROR(IF(X329="",0,CEILING((X329/$H329),1)*$H329),"")</f>
        <v>252</v>
      </c>
      <c r="Z329" s="39">
        <f>IFERROR(IF(Y329=0,"",ROUNDUP(Y329/H329,0)*0.00902),"")</f>
        <v>0.54120000000000001</v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266.07142857142856</v>
      </c>
      <c r="BN329" s="75">
        <f>IFERROR(Y329*I329/H329,"0")</f>
        <v>268.19999999999993</v>
      </c>
      <c r="BO329" s="75">
        <f>IFERROR(1/J329*(X329/H329),"0")</f>
        <v>0.45093795093795092</v>
      </c>
      <c r="BP329" s="75">
        <f>IFERROR(1/J329*(Y329/H329),"0")</f>
        <v>0.45454545454545459</v>
      </c>
    </row>
    <row r="330" spans="1:68" ht="27" customHeight="1" x14ac:dyDescent="0.25">
      <c r="A330" s="60" t="s">
        <v>525</v>
      </c>
      <c r="B330" s="60" t="s">
        <v>526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139.04761904761904</v>
      </c>
      <c r="Y332" s="41">
        <f>IFERROR(Y328/H328,"0")+IFERROR(Y329/H329,"0")+IFERROR(Y330/H330,"0")+IFERROR(Y331/H331,"0")</f>
        <v>140</v>
      </c>
      <c r="Z332" s="41">
        <f>IFERROR(IF(Z328="",0,Z328),"0")+IFERROR(IF(Z329="",0,Z329),"0")+IFERROR(IF(Z330="",0,Z330),"0")+IFERROR(IF(Z331="",0,Z331),"0")</f>
        <v>1.1828000000000001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542</v>
      </c>
      <c r="Y333" s="41">
        <f>IFERROR(SUM(Y328:Y331),"0")</f>
        <v>546</v>
      </c>
      <c r="Z333" s="40"/>
      <c r="AA333" s="64"/>
      <c r="AB333" s="64"/>
      <c r="AC333" s="64"/>
    </row>
    <row r="334" spans="1:68" ht="14.25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150</v>
      </c>
      <c r="Y338" s="53">
        <f>IFERROR(IF(X338="",0,CEILING((X338/$H338),1)*$H338),"")</f>
        <v>150</v>
      </c>
      <c r="Z338" s="39">
        <f>IFERROR(IF(Y338=0,"",ROUNDUP(Y338/H338,0)*0.00651),"")</f>
        <v>0.32550000000000001</v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162.29999999999998</v>
      </c>
      <c r="BN338" s="75">
        <f>IFERROR(Y338*I338/H338,"0")</f>
        <v>162.29999999999998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customHeight="1" x14ac:dyDescent="0.25">
      <c r="A339" s="60" t="s">
        <v>542</v>
      </c>
      <c r="B339" s="60" t="s">
        <v>543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50</v>
      </c>
      <c r="Y340" s="41">
        <f>IFERROR(Y335/H335,"0")+IFERROR(Y336/H336,"0")+IFERROR(Y337/H337,"0")+IFERROR(Y338/H338,"0")+IFERROR(Y339/H339,"0")</f>
        <v>50</v>
      </c>
      <c r="Z340" s="41">
        <f>IFERROR(IF(Z335="",0,Z335),"0")+IFERROR(IF(Z336="",0,Z336),"0")+IFERROR(IF(Z337="",0,Z337),"0")+IFERROR(IF(Z338="",0,Z338),"0")+IFERROR(IF(Z339="",0,Z339),"0")</f>
        <v>0.32550000000000001</v>
      </c>
      <c r="AA340" s="64"/>
      <c r="AB340" s="64"/>
      <c r="AC340" s="64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150</v>
      </c>
      <c r="Y341" s="41">
        <f>IFERROR(SUM(Y335:Y339),"0")</f>
        <v>150</v>
      </c>
      <c r="Z341" s="40"/>
      <c r="AA341" s="64"/>
      <c r="AB341" s="64"/>
      <c r="AC341" s="64"/>
    </row>
    <row r="342" spans="1:68" ht="14.25" customHeight="1" x14ac:dyDescent="0.25">
      <c r="A342" s="672" t="s">
        <v>186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400</v>
      </c>
      <c r="Y344" s="53">
        <f>IFERROR(IF(X344="",0,CEILING((X344/$H344),1)*$H344),"")</f>
        <v>405.59999999999997</v>
      </c>
      <c r="Z344" s="39">
        <f>IFERROR(IF(Y344=0,"",ROUNDUP(Y344/H344,0)*0.01898),"")</f>
        <v>0.98696000000000006</v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426.6153846153847</v>
      </c>
      <c r="BN344" s="75">
        <f>IFERROR(Y344*I344/H344,"0")</f>
        <v>432.58800000000002</v>
      </c>
      <c r="BO344" s="75">
        <f>IFERROR(1/J344*(X344/H344),"0")</f>
        <v>0.80128205128205132</v>
      </c>
      <c r="BP344" s="75">
        <f>IFERROR(1/J344*(Y344/H344),"0")</f>
        <v>0.8125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160</v>
      </c>
      <c r="Y345" s="53">
        <f>IFERROR(IF(X345="",0,CEILING((X345/$H345),1)*$H345),"")</f>
        <v>168</v>
      </c>
      <c r="Z345" s="39">
        <f>IFERROR(IF(Y345=0,"",ROUNDUP(Y345/H345,0)*0.01898),"")</f>
        <v>0.37959999999999999</v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169.88571428571427</v>
      </c>
      <c r="BN345" s="75">
        <f>IFERROR(Y345*I345/H345,"0")</f>
        <v>178.38</v>
      </c>
      <c r="BO345" s="75">
        <f>IFERROR(1/J345*(X345/H345),"0")</f>
        <v>0.29761904761904762</v>
      </c>
      <c r="BP345" s="75">
        <f>IFERROR(1/J345*(Y345/H345),"0")</f>
        <v>0.3125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70.329670329670336</v>
      </c>
      <c r="Y346" s="41">
        <f>IFERROR(Y343/H343,"0")+IFERROR(Y344/H344,"0")+IFERROR(Y345/H345,"0")</f>
        <v>72</v>
      </c>
      <c r="Z346" s="41">
        <f>IFERROR(IF(Z343="",0,Z343),"0")+IFERROR(IF(Z344="",0,Z344),"0")+IFERROR(IF(Z345="",0,Z345),"0")</f>
        <v>1.36656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560</v>
      </c>
      <c r="Y347" s="41">
        <f>IFERROR(SUM(Y343:Y345),"0")</f>
        <v>573.59999999999991</v>
      </c>
      <c r="Z347" s="40"/>
      <c r="AA347" s="64"/>
      <c r="AB347" s="64"/>
      <c r="AC347" s="64"/>
    </row>
    <row r="348" spans="1:68" ht="14.25" customHeight="1" x14ac:dyDescent="0.25">
      <c r="A348" s="672" t="s">
        <v>101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customHeight="1" x14ac:dyDescent="0.25">
      <c r="A349" s="60" t="s">
        <v>554</v>
      </c>
      <c r="B349" s="60" t="s">
        <v>555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7" t="s">
        <v>556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558</v>
      </c>
      <c r="B350" s="60" t="s">
        <v>559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8" t="s">
        <v>560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562</v>
      </c>
      <c r="B351" s="60" t="s">
        <v>563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25</v>
      </c>
      <c r="Y352" s="53">
        <f>IFERROR(IF(X352="",0,CEILING((X352/$H352),1)*$H352),"")</f>
        <v>25.5</v>
      </c>
      <c r="Z352" s="39">
        <f>IFERROR(IF(Y352=0,"",ROUNDUP(Y352/H352,0)*0.00651),"")</f>
        <v>6.5100000000000005E-2</v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28.235294117647062</v>
      </c>
      <c r="BN352" s="75">
        <f>IFERROR(Y352*I352/H352,"0")</f>
        <v>28.8</v>
      </c>
      <c r="BO352" s="75">
        <f>IFERROR(1/J352*(X352/H352),"0")</f>
        <v>5.3867700926524466E-2</v>
      </c>
      <c r="BP352" s="75">
        <f>IFERROR(1/J352*(Y352/H352),"0")</f>
        <v>5.4945054945054951E-2</v>
      </c>
    </row>
    <row r="353" spans="1:68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9.8039215686274517</v>
      </c>
      <c r="Y353" s="41">
        <f>IFERROR(Y349/H349,"0")+IFERROR(Y350/H350,"0")+IFERROR(Y351/H351,"0")+IFERROR(Y352/H352,"0")</f>
        <v>10</v>
      </c>
      <c r="Z353" s="41">
        <f>IFERROR(IF(Z349="",0,Z349),"0")+IFERROR(IF(Z350="",0,Z350),"0")+IFERROR(IF(Z351="",0,Z351),"0")+IFERROR(IF(Z352="",0,Z352),"0")</f>
        <v>6.5100000000000005E-2</v>
      </c>
      <c r="AA353" s="64"/>
      <c r="AB353" s="64"/>
      <c r="AC353" s="64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25</v>
      </c>
      <c r="Y354" s="41">
        <f>IFERROR(SUM(Y349:Y352),"0")</f>
        <v>25.5</v>
      </c>
      <c r="Z354" s="40"/>
      <c r="AA354" s="64"/>
      <c r="AB354" s="64"/>
      <c r="AC354" s="64"/>
    </row>
    <row r="355" spans="1:68" ht="14.25" customHeight="1" x14ac:dyDescent="0.25">
      <c r="A355" s="672" t="s">
        <v>567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customHeight="1" x14ac:dyDescent="0.25">
      <c r="A356" s="60" t="s">
        <v>568</v>
      </c>
      <c r="B356" s="60" t="s">
        <v>569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572</v>
      </c>
      <c r="B357" s="60" t="s">
        <v>573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574</v>
      </c>
      <c r="B358" s="60" t="s">
        <v>575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4" t="s">
        <v>576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customHeight="1" x14ac:dyDescent="0.25">
      <c r="A362" s="672" t="s">
        <v>160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customHeight="1" x14ac:dyDescent="0.25">
      <c r="A363" s="60" t="s">
        <v>577</v>
      </c>
      <c r="B363" s="60" t="s">
        <v>578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583</v>
      </c>
      <c r="B368" s="60" t="s">
        <v>584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586</v>
      </c>
      <c r="B369" s="60" t="s">
        <v>587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customHeight="1" x14ac:dyDescent="0.2">
      <c r="A372" s="718" t="s">
        <v>589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customHeight="1" x14ac:dyDescent="0.25">
      <c r="A373" s="694" t="s">
        <v>590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customHeight="1" x14ac:dyDescent="0.25">
      <c r="A374" s="672" t="s">
        <v>109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37.5" customHeight="1" x14ac:dyDescent="0.25">
      <c r="A375" s="60" t="s">
        <v>591</v>
      </c>
      <c r="B375" s="60" t="s">
        <v>592</v>
      </c>
      <c r="C375" s="34">
        <v>4301011869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81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720</v>
      </c>
      <c r="Y376" s="53">
        <f t="shared" si="58"/>
        <v>720</v>
      </c>
      <c r="Z376" s="39">
        <f>IFERROR(IF(Y376=0,"",ROUNDUP(Y376/H376,0)*0.02039),"")</f>
        <v>0.97871999999999992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743.04000000000008</v>
      </c>
      <c r="BN376" s="75">
        <f t="shared" si="60"/>
        <v>743.04000000000008</v>
      </c>
      <c r="BO376" s="75">
        <f t="shared" si="61"/>
        <v>1</v>
      </c>
      <c r="BP376" s="75">
        <f t="shared" si="62"/>
        <v>1</v>
      </c>
    </row>
    <row r="377" spans="1:68" ht="27" customHeight="1" x14ac:dyDescent="0.25">
      <c r="A377" s="60" t="s">
        <v>596</v>
      </c>
      <c r="B377" s="60" t="s">
        <v>597</v>
      </c>
      <c r="C377" s="34">
        <v>4301011870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79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3000</v>
      </c>
      <c r="Y378" s="53">
        <f t="shared" si="58"/>
        <v>3000</v>
      </c>
      <c r="Z378" s="39">
        <f>IFERROR(IF(Y378=0,"",ROUNDUP(Y378/H378,0)*0.02039),"")</f>
        <v>4.0779999999999994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3096</v>
      </c>
      <c r="BN378" s="75">
        <f t="shared" si="60"/>
        <v>3096</v>
      </c>
      <c r="BO378" s="75">
        <f t="shared" si="61"/>
        <v>4.1666666666666661</v>
      </c>
      <c r="BP378" s="75">
        <f t="shared" si="62"/>
        <v>4.1666666666666661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4000</v>
      </c>
      <c r="Y379" s="53">
        <f t="shared" si="58"/>
        <v>4005</v>
      </c>
      <c r="Z379" s="39">
        <f>IFERROR(IF(Y379=0,"",ROUNDUP(Y379/H379,0)*0.02175),"")</f>
        <v>5.8072499999999998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4128</v>
      </c>
      <c r="BN379" s="75">
        <f t="shared" si="60"/>
        <v>4133.16</v>
      </c>
      <c r="BO379" s="75">
        <f t="shared" si="61"/>
        <v>5.5555555555555554</v>
      </c>
      <c r="BP379" s="75">
        <f t="shared" si="62"/>
        <v>5.5625</v>
      </c>
    </row>
    <row r="380" spans="1:68" ht="37.5" customHeight="1" x14ac:dyDescent="0.25">
      <c r="A380" s="60" t="s">
        <v>603</v>
      </c>
      <c r="B380" s="60" t="s">
        <v>604</v>
      </c>
      <c r="C380" s="34">
        <v>4301011867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80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603</v>
      </c>
      <c r="B381" s="60" t="s">
        <v>606</v>
      </c>
      <c r="C381" s="34">
        <v>4301011943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80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607</v>
      </c>
      <c r="B382" s="60" t="s">
        <v>608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610</v>
      </c>
      <c r="B383" s="60" t="s">
        <v>611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100</v>
      </c>
      <c r="Y384" s="53">
        <f t="shared" si="58"/>
        <v>100</v>
      </c>
      <c r="Z384" s="39">
        <f>IFERROR(IF(Y384=0,"",ROUNDUP(Y384/H384,0)*0.00902),"")</f>
        <v>0.1804</v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104.2</v>
      </c>
      <c r="BN384" s="75">
        <f t="shared" si="60"/>
        <v>104.2</v>
      </c>
      <c r="BO384" s="75">
        <f t="shared" si="61"/>
        <v>0.15151515151515152</v>
      </c>
      <c r="BP384" s="75">
        <f t="shared" si="62"/>
        <v>0.15151515151515152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534.66666666666674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535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11.044369999999999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7820</v>
      </c>
      <c r="Y386" s="41">
        <f>IFERROR(SUM(Y375:Y384),"0")</f>
        <v>7825</v>
      </c>
      <c r="Z386" s="40"/>
      <c r="AA386" s="64"/>
      <c r="AB386" s="64"/>
      <c r="AC386" s="64"/>
    </row>
    <row r="387" spans="1:68" ht="14.25" customHeight="1" x14ac:dyDescent="0.25">
      <c r="A387" s="672" t="s">
        <v>149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60</v>
      </c>
      <c r="Y389" s="53">
        <f>IFERROR(IF(X389="",0,CEILING((X389/$H389),1)*$H389),"")</f>
        <v>60</v>
      </c>
      <c r="Z389" s="39">
        <f>IFERROR(IF(Y389=0,"",ROUNDUP(Y389/H389,0)*0.00902),"")</f>
        <v>0.1353</v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63.15</v>
      </c>
      <c r="BN389" s="75">
        <f>IFERROR(Y389*I389/H389,"0")</f>
        <v>63.15</v>
      </c>
      <c r="BO389" s="75">
        <f>IFERROR(1/J389*(X389/H389),"0")</f>
        <v>0.11363636363636365</v>
      </c>
      <c r="BP389" s="75">
        <f>IFERROR(1/J389*(Y389/H389),"0")</f>
        <v>0.11363636363636365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15</v>
      </c>
      <c r="Y390" s="41">
        <f>IFERROR(Y388/H388,"0")+IFERROR(Y389/H389,"0")</f>
        <v>15</v>
      </c>
      <c r="Z390" s="41">
        <f>IFERROR(IF(Z388="",0,Z388),"0")+IFERROR(IF(Z389="",0,Z389),"0")</f>
        <v>0.1353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60</v>
      </c>
      <c r="Y391" s="41">
        <f>IFERROR(SUM(Y388:Y389),"0")</f>
        <v>60</v>
      </c>
      <c r="Z391" s="40"/>
      <c r="AA391" s="64"/>
      <c r="AB391" s="64"/>
      <c r="AC391" s="64"/>
    </row>
    <row r="392" spans="1:68" ht="14.25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6" t="s">
        <v>621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540</v>
      </c>
      <c r="Y393" s="53">
        <f>IFERROR(IF(X393="",0,CEILING((X393/$H393),1)*$H393),"")</f>
        <v>540</v>
      </c>
      <c r="Z393" s="39">
        <f>IFERROR(IF(Y393=0,"",ROUNDUP(Y393/H393,0)*0.01898),"")</f>
        <v>1.1388</v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571.5</v>
      </c>
      <c r="BN393" s="75">
        <f>IFERROR(Y393*I393/H393,"0")</f>
        <v>571.5</v>
      </c>
      <c r="BO393" s="75">
        <f>IFERROR(1/J393*(X393/H393),"0")</f>
        <v>0.9375</v>
      </c>
      <c r="BP393" s="75">
        <f>IFERROR(1/J393*(Y393/H393),"0")</f>
        <v>0.9375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7" t="s">
        <v>625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135</v>
      </c>
      <c r="Y394" s="53">
        <f>IFERROR(IF(X394="",0,CEILING((X394/$H394),1)*$H394),"")</f>
        <v>135</v>
      </c>
      <c r="Z394" s="39">
        <f>IFERROR(IF(Y394=0,"",ROUNDUP(Y394/H394,0)*0.01898),"")</f>
        <v>0.28470000000000001</v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142.785</v>
      </c>
      <c r="BN394" s="75">
        <f>IFERROR(Y394*I394/H394,"0")</f>
        <v>142.785</v>
      </c>
      <c r="BO394" s="75">
        <f>IFERROR(1/J394*(X394/H394),"0")</f>
        <v>0.234375</v>
      </c>
      <c r="BP394" s="75">
        <f>IFERROR(1/J394*(Y394/H394),"0")</f>
        <v>0.234375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75</v>
      </c>
      <c r="Y395" s="41">
        <f>IFERROR(Y393/H393,"0")+IFERROR(Y394/H394,"0")</f>
        <v>75</v>
      </c>
      <c r="Z395" s="41">
        <f>IFERROR(IF(Z393="",0,Z393),"0")+IFERROR(IF(Z394="",0,Z394),"0")</f>
        <v>1.4235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675</v>
      </c>
      <c r="Y396" s="41">
        <f>IFERROR(SUM(Y393:Y394),"0")</f>
        <v>675</v>
      </c>
      <c r="Z396" s="40"/>
      <c r="AA396" s="64"/>
      <c r="AB396" s="64"/>
      <c r="AC396" s="64"/>
    </row>
    <row r="397" spans="1:68" ht="14.25" customHeight="1" x14ac:dyDescent="0.25">
      <c r="A397" s="672" t="s">
        <v>186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8" t="s">
        <v>629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694" t="s">
        <v>631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customHeight="1" x14ac:dyDescent="0.25">
      <c r="A402" s="672" t="s">
        <v>109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customHeight="1" x14ac:dyDescent="0.25">
      <c r="A403" s="60" t="s">
        <v>632</v>
      </c>
      <c r="B403" s="60" t="s">
        <v>633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632</v>
      </c>
      <c r="B404" s="60" t="s">
        <v>635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637</v>
      </c>
      <c r="B405" s="60" t="s">
        <v>638</v>
      </c>
      <c r="C405" s="34">
        <v>4301011874</v>
      </c>
      <c r="D405" s="673">
        <v>4680115884892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640</v>
      </c>
      <c r="B406" s="60" t="s">
        <v>641</v>
      </c>
      <c r="C406" s="34">
        <v>4301011875</v>
      </c>
      <c r="D406" s="673">
        <v>4680115884885</v>
      </c>
      <c r="E406" s="673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4301011871</v>
      </c>
      <c r="D407" s="673">
        <v>4680115884908</v>
      </c>
      <c r="E407" s="673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81"/>
      <c r="P408" s="677" t="s">
        <v>40</v>
      </c>
      <c r="Q408" s="678"/>
      <c r="R408" s="678"/>
      <c r="S408" s="678"/>
      <c r="T408" s="678"/>
      <c r="U408" s="678"/>
      <c r="V408" s="67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672" t="s">
        <v>160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673">
        <v>4607091384802</v>
      </c>
      <c r="E411" s="673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5"/>
      <c r="R411" s="675"/>
      <c r="S411" s="675"/>
      <c r="T411" s="676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647</v>
      </c>
      <c r="B412" s="60" t="s">
        <v>648</v>
      </c>
      <c r="C412" s="34">
        <v>4301031304</v>
      </c>
      <c r="D412" s="673">
        <v>4607091384826</v>
      </c>
      <c r="E412" s="673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80"/>
      <c r="B413" s="680"/>
      <c r="C413" s="680"/>
      <c r="D413" s="680"/>
      <c r="E413" s="680"/>
      <c r="F413" s="680"/>
      <c r="G413" s="680"/>
      <c r="H413" s="680"/>
      <c r="I413" s="680"/>
      <c r="J413" s="680"/>
      <c r="K413" s="680"/>
      <c r="L413" s="680"/>
      <c r="M413" s="680"/>
      <c r="N413" s="680"/>
      <c r="O413" s="681"/>
      <c r="P413" s="677" t="s">
        <v>40</v>
      </c>
      <c r="Q413" s="678"/>
      <c r="R413" s="678"/>
      <c r="S413" s="678"/>
      <c r="T413" s="678"/>
      <c r="U413" s="678"/>
      <c r="V413" s="679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672" t="s">
        <v>78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673">
        <v>4607091384246</v>
      </c>
      <c r="E416" s="673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5"/>
      <c r="R416" s="675"/>
      <c r="S416" s="675"/>
      <c r="T416" s="676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652</v>
      </c>
      <c r="B417" s="60" t="s">
        <v>653</v>
      </c>
      <c r="C417" s="34">
        <v>4301051901</v>
      </c>
      <c r="D417" s="673">
        <v>4680115881976</v>
      </c>
      <c r="E417" s="673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6" t="s">
        <v>654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656</v>
      </c>
      <c r="B418" s="60" t="s">
        <v>657</v>
      </c>
      <c r="C418" s="34">
        <v>4301051297</v>
      </c>
      <c r="D418" s="673">
        <v>4607091384253</v>
      </c>
      <c r="E418" s="673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656</v>
      </c>
      <c r="B419" s="60" t="s">
        <v>659</v>
      </c>
      <c r="C419" s="34">
        <v>4301051660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660</v>
      </c>
      <c r="B420" s="60" t="s">
        <v>661</v>
      </c>
      <c r="C420" s="34">
        <v>4301051444</v>
      </c>
      <c r="D420" s="673">
        <v>4680115881969</v>
      </c>
      <c r="E420" s="673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81"/>
      <c r="P421" s="677" t="s">
        <v>40</v>
      </c>
      <c r="Q421" s="678"/>
      <c r="R421" s="678"/>
      <c r="S421" s="678"/>
      <c r="T421" s="678"/>
      <c r="U421" s="678"/>
      <c r="V421" s="679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672" t="s">
        <v>186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3"/>
      <c r="AB423" s="63"/>
      <c r="AC423" s="63"/>
    </row>
    <row r="424" spans="1:68" ht="27" customHeight="1" x14ac:dyDescent="0.25">
      <c r="A424" s="60" t="s">
        <v>663</v>
      </c>
      <c r="B424" s="60" t="s">
        <v>664</v>
      </c>
      <c r="C424" s="34">
        <v>4301060441</v>
      </c>
      <c r="D424" s="673">
        <v>4607091389357</v>
      </c>
      <c r="E424" s="673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81" t="s">
        <v>665</v>
      </c>
      <c r="Q424" s="675"/>
      <c r="R424" s="675"/>
      <c r="S424" s="675"/>
      <c r="T424" s="676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680"/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1"/>
      <c r="P425" s="677" t="s">
        <v>40</v>
      </c>
      <c r="Q425" s="678"/>
      <c r="R425" s="678"/>
      <c r="S425" s="678"/>
      <c r="T425" s="678"/>
      <c r="U425" s="678"/>
      <c r="V425" s="67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18" t="s">
        <v>667</v>
      </c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52"/>
      <c r="AB427" s="52"/>
      <c r="AC427" s="52"/>
    </row>
    <row r="428" spans="1:68" ht="16.5" customHeight="1" x14ac:dyDescent="0.25">
      <c r="A428" s="694" t="s">
        <v>668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2"/>
      <c r="AB428" s="62"/>
      <c r="AC428" s="62"/>
    </row>
    <row r="429" spans="1:68" ht="14.25" customHeight="1" x14ac:dyDescent="0.25">
      <c r="A429" s="672" t="s">
        <v>160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673">
        <v>4680115886100</v>
      </c>
      <c r="E430" s="673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82" t="s">
        <v>671</v>
      </c>
      <c r="Q430" s="675"/>
      <c r="R430" s="675"/>
      <c r="S430" s="675"/>
      <c r="T430" s="676"/>
      <c r="U430" s="37" t="s">
        <v>45</v>
      </c>
      <c r="V430" s="37" t="s">
        <v>45</v>
      </c>
      <c r="W430" s="38" t="s">
        <v>0</v>
      </c>
      <c r="X430" s="56">
        <v>50</v>
      </c>
      <c r="Y430" s="53">
        <f t="shared" ref="Y430:Y441" si="63">IFERROR(IF(X430="",0,CEILING((X430/$H430),1)*$H430),"")</f>
        <v>54</v>
      </c>
      <c r="Z430" s="39">
        <f>IFERROR(IF(Y430=0,"",ROUNDUP(Y430/H430,0)*0.00902),"")</f>
        <v>9.0200000000000002E-2</v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51.944444444444443</v>
      </c>
      <c r="BN430" s="75">
        <f t="shared" ref="BN430:BN441" si="65">IFERROR(Y430*I430/H430,"0")</f>
        <v>56.099999999999994</v>
      </c>
      <c r="BO430" s="75">
        <f t="shared" ref="BO430:BO441" si="66">IFERROR(1/J430*(X430/H430),"0")</f>
        <v>7.0145903479236812E-2</v>
      </c>
      <c r="BP430" s="75">
        <f t="shared" ref="BP430:BP441" si="67">IFERROR(1/J430*(Y430/H430),"0")</f>
        <v>7.575757575757576E-2</v>
      </c>
    </row>
    <row r="431" spans="1:68" ht="27" customHeight="1" x14ac:dyDescent="0.25">
      <c r="A431" s="60" t="s">
        <v>673</v>
      </c>
      <c r="B431" s="60" t="s">
        <v>674</v>
      </c>
      <c r="C431" s="34">
        <v>4301031406</v>
      </c>
      <c r="D431" s="673">
        <v>4680115886117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70" t="s">
        <v>675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673</v>
      </c>
      <c r="B432" s="60" t="s">
        <v>677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71" t="s">
        <v>675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673">
        <v>4680115886124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72" t="s">
        <v>680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682</v>
      </c>
      <c r="B434" s="60" t="s">
        <v>683</v>
      </c>
      <c r="C434" s="34">
        <v>4301031335</v>
      </c>
      <c r="D434" s="673">
        <v>4680115883147</v>
      </c>
      <c r="E434" s="673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682</v>
      </c>
      <c r="B435" s="60" t="s">
        <v>684</v>
      </c>
      <c r="C435" s="34">
        <v>4301031366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4" t="s">
        <v>685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686</v>
      </c>
      <c r="B436" s="60" t="s">
        <v>687</v>
      </c>
      <c r="C436" s="34">
        <v>4301031362</v>
      </c>
      <c r="D436" s="673">
        <v>4607091384338</v>
      </c>
      <c r="E436" s="673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688</v>
      </c>
      <c r="B437" s="60" t="s">
        <v>689</v>
      </c>
      <c r="C437" s="34">
        <v>4301031361</v>
      </c>
      <c r="D437" s="673">
        <v>4607091389524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691</v>
      </c>
      <c r="B438" s="60" t="s">
        <v>692</v>
      </c>
      <c r="C438" s="34">
        <v>4301031337</v>
      </c>
      <c r="D438" s="673">
        <v>4680115883161</v>
      </c>
      <c r="E438" s="673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691</v>
      </c>
      <c r="B439" s="60" t="s">
        <v>694</v>
      </c>
      <c r="C439" s="34">
        <v>4301031364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8" t="s">
        <v>695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696</v>
      </c>
      <c r="B440" s="60" t="s">
        <v>697</v>
      </c>
      <c r="C440" s="34">
        <v>4301031358</v>
      </c>
      <c r="D440" s="673">
        <v>4607091389531</v>
      </c>
      <c r="E440" s="673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699</v>
      </c>
      <c r="B441" s="60" t="s">
        <v>700</v>
      </c>
      <c r="C441" s="34">
        <v>4301031360</v>
      </c>
      <c r="D441" s="673">
        <v>4607091384345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80"/>
      <c r="B442" s="680"/>
      <c r="C442" s="680"/>
      <c r="D442" s="680"/>
      <c r="E442" s="680"/>
      <c r="F442" s="680"/>
      <c r="G442" s="680"/>
      <c r="H442" s="680"/>
      <c r="I442" s="680"/>
      <c r="J442" s="680"/>
      <c r="K442" s="680"/>
      <c r="L442" s="680"/>
      <c r="M442" s="680"/>
      <c r="N442" s="680"/>
      <c r="O442" s="681"/>
      <c r="P442" s="677" t="s">
        <v>40</v>
      </c>
      <c r="Q442" s="678"/>
      <c r="R442" s="678"/>
      <c r="S442" s="678"/>
      <c r="T442" s="678"/>
      <c r="U442" s="678"/>
      <c r="V442" s="67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9.2592592592592595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9.0200000000000002E-2</v>
      </c>
      <c r="AA442" s="64"/>
      <c r="AB442" s="64"/>
      <c r="AC442" s="64"/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0</v>
      </c>
      <c r="X443" s="41">
        <f>IFERROR(SUM(X430:X441),"0")</f>
        <v>50</v>
      </c>
      <c r="Y443" s="41">
        <f>IFERROR(SUM(Y430:Y441),"0")</f>
        <v>54</v>
      </c>
      <c r="Z443" s="40"/>
      <c r="AA443" s="64"/>
      <c r="AB443" s="64"/>
      <c r="AC443" s="64"/>
    </row>
    <row r="444" spans="1:68" ht="14.25" customHeight="1" x14ac:dyDescent="0.25">
      <c r="A444" s="672" t="s">
        <v>78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3"/>
      <c r="AB444" s="63"/>
      <c r="AC444" s="63"/>
    </row>
    <row r="445" spans="1:68" ht="27" customHeight="1" x14ac:dyDescent="0.25">
      <c r="A445" s="60" t="s">
        <v>701</v>
      </c>
      <c r="B445" s="60" t="s">
        <v>702</v>
      </c>
      <c r="C445" s="34">
        <v>4301051284</v>
      </c>
      <c r="D445" s="673">
        <v>4607091384352</v>
      </c>
      <c r="E445" s="673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5"/>
      <c r="R445" s="675"/>
      <c r="S445" s="675"/>
      <c r="T445" s="676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704</v>
      </c>
      <c r="B446" s="60" t="s">
        <v>705</v>
      </c>
      <c r="C446" s="34">
        <v>4301051431</v>
      </c>
      <c r="D446" s="673">
        <v>4607091389654</v>
      </c>
      <c r="E446" s="673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80"/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1"/>
      <c r="P447" s="677" t="s">
        <v>40</v>
      </c>
      <c r="Q447" s="678"/>
      <c r="R447" s="678"/>
      <c r="S447" s="678"/>
      <c r="T447" s="678"/>
      <c r="U447" s="678"/>
      <c r="V447" s="67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94" t="s">
        <v>707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2"/>
      <c r="AB449" s="62"/>
      <c r="AC449" s="62"/>
    </row>
    <row r="450" spans="1:68" ht="14.25" customHeight="1" x14ac:dyDescent="0.25">
      <c r="A450" s="672" t="s">
        <v>149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3"/>
      <c r="AB450" s="63"/>
      <c r="AC450" s="63"/>
    </row>
    <row r="451" spans="1:68" ht="27" customHeight="1" x14ac:dyDescent="0.25">
      <c r="A451" s="60" t="s">
        <v>708</v>
      </c>
      <c r="B451" s="60" t="s">
        <v>709</v>
      </c>
      <c r="C451" s="34">
        <v>4301020319</v>
      </c>
      <c r="D451" s="673">
        <v>4680115885240</v>
      </c>
      <c r="E451" s="673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5"/>
      <c r="R451" s="675"/>
      <c r="S451" s="675"/>
      <c r="T451" s="676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711</v>
      </c>
      <c r="B452" s="60" t="s">
        <v>712</v>
      </c>
      <c r="C452" s="34">
        <v>4301020315</v>
      </c>
      <c r="D452" s="673">
        <v>4607091389364</v>
      </c>
      <c r="E452" s="673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6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80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81"/>
      <c r="P453" s="677" t="s">
        <v>40</v>
      </c>
      <c r="Q453" s="678"/>
      <c r="R453" s="678"/>
      <c r="S453" s="678"/>
      <c r="T453" s="678"/>
      <c r="U453" s="678"/>
      <c r="V453" s="67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72" t="s">
        <v>160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673">
        <v>4680115886094</v>
      </c>
      <c r="E456" s="673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62" t="s">
        <v>716</v>
      </c>
      <c r="Q456" s="675"/>
      <c r="R456" s="675"/>
      <c r="S456" s="675"/>
      <c r="T456" s="676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customHeight="1" x14ac:dyDescent="0.25">
      <c r="A457" s="60" t="s">
        <v>718</v>
      </c>
      <c r="B457" s="60" t="s">
        <v>719</v>
      </c>
      <c r="C457" s="34">
        <v>4301031363</v>
      </c>
      <c r="D457" s="673">
        <v>4607091389425</v>
      </c>
      <c r="E457" s="673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721</v>
      </c>
      <c r="B458" s="60" t="s">
        <v>722</v>
      </c>
      <c r="C458" s="34">
        <v>4301031373</v>
      </c>
      <c r="D458" s="673">
        <v>4680115880771</v>
      </c>
      <c r="E458" s="673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4" t="s">
        <v>723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725</v>
      </c>
      <c r="B459" s="60" t="s">
        <v>726</v>
      </c>
      <c r="C459" s="34">
        <v>4301031359</v>
      </c>
      <c r="D459" s="673">
        <v>4607091389500</v>
      </c>
      <c r="E459" s="673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81"/>
      <c r="P460" s="677" t="s">
        <v>40</v>
      </c>
      <c r="Q460" s="678"/>
      <c r="R460" s="678"/>
      <c r="S460" s="678"/>
      <c r="T460" s="678"/>
      <c r="U460" s="678"/>
      <c r="V460" s="679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customHeight="1" x14ac:dyDescent="0.25">
      <c r="A462" s="694" t="s">
        <v>727</v>
      </c>
      <c r="B462" s="694"/>
      <c r="C462" s="694"/>
      <c r="D462" s="694"/>
      <c r="E462" s="694"/>
      <c r="F462" s="694"/>
      <c r="G462" s="694"/>
      <c r="H462" s="694"/>
      <c r="I462" s="694"/>
      <c r="J462" s="694"/>
      <c r="K462" s="694"/>
      <c r="L462" s="694"/>
      <c r="M462" s="694"/>
      <c r="N462" s="694"/>
      <c r="O462" s="694"/>
      <c r="P462" s="694"/>
      <c r="Q462" s="694"/>
      <c r="R462" s="694"/>
      <c r="S462" s="694"/>
      <c r="T462" s="694"/>
      <c r="U462" s="694"/>
      <c r="V462" s="694"/>
      <c r="W462" s="694"/>
      <c r="X462" s="694"/>
      <c r="Y462" s="694"/>
      <c r="Z462" s="694"/>
      <c r="AA462" s="62"/>
      <c r="AB462" s="62"/>
      <c r="AC462" s="62"/>
    </row>
    <row r="463" spans="1:68" ht="14.25" customHeight="1" x14ac:dyDescent="0.25">
      <c r="A463" s="672" t="s">
        <v>160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3"/>
      <c r="AB463" s="63"/>
      <c r="AC463" s="63"/>
    </row>
    <row r="464" spans="1:68" ht="27" customHeight="1" x14ac:dyDescent="0.25">
      <c r="A464" s="60" t="s">
        <v>728</v>
      </c>
      <c r="B464" s="60" t="s">
        <v>729</v>
      </c>
      <c r="C464" s="34">
        <v>4301031294</v>
      </c>
      <c r="D464" s="673">
        <v>4680115885189</v>
      </c>
      <c r="E464" s="673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5"/>
      <c r="R464" s="675"/>
      <c r="S464" s="675"/>
      <c r="T464" s="676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731</v>
      </c>
      <c r="B465" s="60" t="s">
        <v>732</v>
      </c>
      <c r="C465" s="34">
        <v>4301031347</v>
      </c>
      <c r="D465" s="673">
        <v>4680115885110</v>
      </c>
      <c r="E465" s="673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8" t="s">
        <v>733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80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1"/>
      <c r="P466" s="677" t="s">
        <v>40</v>
      </c>
      <c r="Q466" s="678"/>
      <c r="R466" s="678"/>
      <c r="S466" s="678"/>
      <c r="T466" s="678"/>
      <c r="U466" s="678"/>
      <c r="V466" s="67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694" t="s">
        <v>735</v>
      </c>
      <c r="B468" s="694"/>
      <c r="C468" s="694"/>
      <c r="D468" s="694"/>
      <c r="E468" s="694"/>
      <c r="F468" s="694"/>
      <c r="G468" s="694"/>
      <c r="H468" s="694"/>
      <c r="I468" s="694"/>
      <c r="J468" s="694"/>
      <c r="K468" s="694"/>
      <c r="L468" s="694"/>
      <c r="M468" s="694"/>
      <c r="N468" s="694"/>
      <c r="O468" s="694"/>
      <c r="P468" s="694"/>
      <c r="Q468" s="694"/>
      <c r="R468" s="694"/>
      <c r="S468" s="694"/>
      <c r="T468" s="694"/>
      <c r="U468" s="694"/>
      <c r="V468" s="694"/>
      <c r="W468" s="694"/>
      <c r="X468" s="694"/>
      <c r="Y468" s="694"/>
      <c r="Z468" s="694"/>
      <c r="AA468" s="62"/>
      <c r="AB468" s="62"/>
      <c r="AC468" s="62"/>
    </row>
    <row r="469" spans="1:68" ht="14.25" customHeight="1" x14ac:dyDescent="0.25">
      <c r="A469" s="672" t="s">
        <v>160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3"/>
      <c r="AB469" s="63"/>
      <c r="AC469" s="63"/>
    </row>
    <row r="470" spans="1:68" ht="27" customHeight="1" x14ac:dyDescent="0.25">
      <c r="A470" s="60" t="s">
        <v>736</v>
      </c>
      <c r="B470" s="60" t="s">
        <v>737</v>
      </c>
      <c r="C470" s="34">
        <v>4301031261</v>
      </c>
      <c r="D470" s="673">
        <v>4680115885103</v>
      </c>
      <c r="E470" s="673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5"/>
      <c r="R470" s="675"/>
      <c r="S470" s="675"/>
      <c r="T470" s="676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680"/>
      <c r="B471" s="680"/>
      <c r="C471" s="680"/>
      <c r="D471" s="680"/>
      <c r="E471" s="680"/>
      <c r="F471" s="680"/>
      <c r="G471" s="680"/>
      <c r="H471" s="680"/>
      <c r="I471" s="680"/>
      <c r="J471" s="680"/>
      <c r="K471" s="680"/>
      <c r="L471" s="680"/>
      <c r="M471" s="680"/>
      <c r="N471" s="680"/>
      <c r="O471" s="681"/>
      <c r="P471" s="677" t="s">
        <v>40</v>
      </c>
      <c r="Q471" s="678"/>
      <c r="R471" s="678"/>
      <c r="S471" s="678"/>
      <c r="T471" s="678"/>
      <c r="U471" s="678"/>
      <c r="V471" s="67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672" t="s">
        <v>186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673">
        <v>4680115885509</v>
      </c>
      <c r="E474" s="673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5"/>
      <c r="R474" s="675"/>
      <c r="S474" s="675"/>
      <c r="T474" s="676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680"/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1"/>
      <c r="P475" s="677" t="s">
        <v>40</v>
      </c>
      <c r="Q475" s="678"/>
      <c r="R475" s="678"/>
      <c r="S475" s="678"/>
      <c r="T475" s="678"/>
      <c r="U475" s="678"/>
      <c r="V475" s="67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18" t="s">
        <v>742</v>
      </c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  <c r="AA477" s="52"/>
      <c r="AB477" s="52"/>
      <c r="AC477" s="52"/>
    </row>
    <row r="478" spans="1:68" ht="16.5" customHeight="1" x14ac:dyDescent="0.25">
      <c r="A478" s="694" t="s">
        <v>742</v>
      </c>
      <c r="B478" s="694"/>
      <c r="C478" s="694"/>
      <c r="D478" s="694"/>
      <c r="E478" s="694"/>
      <c r="F478" s="694"/>
      <c r="G478" s="694"/>
      <c r="H478" s="694"/>
      <c r="I478" s="694"/>
      <c r="J478" s="694"/>
      <c r="K478" s="694"/>
      <c r="L478" s="694"/>
      <c r="M478" s="694"/>
      <c r="N478" s="694"/>
      <c r="O478" s="694"/>
      <c r="P478" s="694"/>
      <c r="Q478" s="694"/>
      <c r="R478" s="694"/>
      <c r="S478" s="694"/>
      <c r="T478" s="694"/>
      <c r="U478" s="694"/>
      <c r="V478" s="694"/>
      <c r="W478" s="694"/>
      <c r="X478" s="694"/>
      <c r="Y478" s="694"/>
      <c r="Z478" s="694"/>
      <c r="AA478" s="62"/>
      <c r="AB478" s="62"/>
      <c r="AC478" s="62"/>
    </row>
    <row r="479" spans="1:68" ht="14.25" customHeight="1" x14ac:dyDescent="0.25">
      <c r="A479" s="672" t="s">
        <v>109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3"/>
      <c r="AB479" s="63"/>
      <c r="AC479" s="63"/>
    </row>
    <row r="480" spans="1:68" ht="27" customHeight="1" x14ac:dyDescent="0.25">
      <c r="A480" s="60" t="s">
        <v>743</v>
      </c>
      <c r="B480" s="60" t="s">
        <v>744</v>
      </c>
      <c r="C480" s="34">
        <v>4301011795</v>
      </c>
      <c r="D480" s="673">
        <v>4607091389067</v>
      </c>
      <c r="E480" s="673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5"/>
      <c r="R480" s="675"/>
      <c r="S480" s="675"/>
      <c r="T480" s="676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customHeight="1" x14ac:dyDescent="0.25">
      <c r="A481" s="60" t="s">
        <v>746</v>
      </c>
      <c r="B481" s="60" t="s">
        <v>747</v>
      </c>
      <c r="C481" s="34">
        <v>4301011961</v>
      </c>
      <c r="D481" s="673">
        <v>4680115885271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673">
        <v>4680115885226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 t="shared" si="70"/>
        <v>1.2558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587.5</v>
      </c>
      <c r="BN482" s="75">
        <f t="shared" si="72"/>
        <v>592.19999999999993</v>
      </c>
      <c r="BO482" s="75">
        <f t="shared" si="73"/>
        <v>1.0016025641025641</v>
      </c>
      <c r="BP482" s="75">
        <f t="shared" si="74"/>
        <v>1.0096153846153846</v>
      </c>
    </row>
    <row r="483" spans="1:68" ht="16.5" customHeight="1" x14ac:dyDescent="0.25">
      <c r="A483" s="60" t="s">
        <v>753</v>
      </c>
      <c r="B483" s="60" t="s">
        <v>754</v>
      </c>
      <c r="C483" s="34">
        <v>4301011774</v>
      </c>
      <c r="D483" s="673">
        <v>4680115884502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5"/>
      <c r="R483" s="675"/>
      <c r="S483" s="675"/>
      <c r="T483" s="676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400</v>
      </c>
      <c r="Y484" s="53">
        <f t="shared" si="69"/>
        <v>401.28000000000003</v>
      </c>
      <c r="Z484" s="39">
        <f t="shared" si="70"/>
        <v>0.90895999999999999</v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427.27272727272725</v>
      </c>
      <c r="BN484" s="75">
        <f t="shared" si="72"/>
        <v>428.64</v>
      </c>
      <c r="BO484" s="75">
        <f t="shared" si="73"/>
        <v>0.72843822843822836</v>
      </c>
      <c r="BP484" s="75">
        <f t="shared" si="74"/>
        <v>0.73076923076923084</v>
      </c>
    </row>
    <row r="485" spans="1:68" ht="16.5" customHeight="1" x14ac:dyDescent="0.25">
      <c r="A485" s="60" t="s">
        <v>759</v>
      </c>
      <c r="B485" s="60" t="s">
        <v>760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743" t="s">
        <v>764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customHeight="1" x14ac:dyDescent="0.25">
      <c r="A487" s="60" t="s">
        <v>765</v>
      </c>
      <c r="B487" s="60" t="s">
        <v>766</v>
      </c>
      <c r="C487" s="34">
        <v>4301011778</v>
      </c>
      <c r="D487" s="673">
        <v>4680115880603</v>
      </c>
      <c r="E487" s="673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customHeight="1" x14ac:dyDescent="0.25">
      <c r="A488" s="60" t="s">
        <v>765</v>
      </c>
      <c r="B488" s="60" t="s">
        <v>767</v>
      </c>
      <c r="C488" s="34">
        <v>4301012035</v>
      </c>
      <c r="D488" s="673">
        <v>4680115880603</v>
      </c>
      <c r="E488" s="673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customHeight="1" x14ac:dyDescent="0.25">
      <c r="A489" s="60" t="s">
        <v>768</v>
      </c>
      <c r="B489" s="60" t="s">
        <v>769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7" t="s">
        <v>772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748" t="s">
        <v>775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customHeight="1" x14ac:dyDescent="0.25">
      <c r="A492" s="60" t="s">
        <v>776</v>
      </c>
      <c r="B492" s="60" t="s">
        <v>777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749" t="s">
        <v>778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4301011784</v>
      </c>
      <c r="D493" s="673">
        <v>4607091389982</v>
      </c>
      <c r="E493" s="673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50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4301012034</v>
      </c>
      <c r="D494" s="673">
        <v>4607091389982</v>
      </c>
      <c r="E494" s="673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179.92424242424241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181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2.1647600000000002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IFERROR(SUM(X480:X495),"0")</f>
        <v>950</v>
      </c>
      <c r="Y497" s="41">
        <f>IFERROR(SUM(Y480:Y495),"0")</f>
        <v>955.68000000000006</v>
      </c>
      <c r="Z497" s="40"/>
      <c r="AA497" s="64"/>
      <c r="AB497" s="64"/>
      <c r="AC497" s="64"/>
    </row>
    <row r="498" spans="1:68" ht="14.25" customHeight="1" x14ac:dyDescent="0.25">
      <c r="A498" s="672" t="s">
        <v>149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550</v>
      </c>
      <c r="Y499" s="53">
        <f>IFERROR(IF(X499="",0,CEILING((X499/$H499),1)*$H499),"")</f>
        <v>554.4</v>
      </c>
      <c r="Z499" s="39">
        <f>IFERROR(IF(Y499=0,"",ROUNDUP(Y499/H499,0)*0.01196),"")</f>
        <v>1.2558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587.5</v>
      </c>
      <c r="BN499" s="75">
        <f>IFERROR(Y499*I499/H499,"0")</f>
        <v>592.19999999999993</v>
      </c>
      <c r="BO499" s="75">
        <f>IFERROR(1/J499*(X499/H499),"0")</f>
        <v>1.0016025641025641</v>
      </c>
      <c r="BP499" s="75">
        <f>IFERROR(1/J499*(Y499/H499),"0")</f>
        <v>1.0096153846153846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104.16666666666666</v>
      </c>
      <c r="Y503" s="41">
        <f>IFERROR(Y499/H499,"0")+IFERROR(Y500/H500,"0")+IFERROR(Y501/H501,"0")+IFERROR(Y502/H502,"0")</f>
        <v>104.99999999999999</v>
      </c>
      <c r="Z503" s="41">
        <f>IFERROR(IF(Z499="",0,Z499),"0")+IFERROR(IF(Z500="",0,Z500),"0")+IFERROR(IF(Z501="",0,Z501),"0")+IFERROR(IF(Z502="",0,Z502),"0")</f>
        <v>1.2558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550</v>
      </c>
      <c r="Y504" s="41">
        <f>IFERROR(SUM(Y499:Y502),"0")</f>
        <v>554.4</v>
      </c>
      <c r="Z504" s="40"/>
      <c r="AA504" s="64"/>
      <c r="AB504" s="64"/>
      <c r="AC504" s="64"/>
    </row>
    <row r="505" spans="1:68" ht="14.25" customHeight="1" x14ac:dyDescent="0.25">
      <c r="A505" s="672" t="s">
        <v>160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5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0</v>
      </c>
      <c r="BN506" s="75">
        <f t="shared" ref="BN506:BN517" si="77">IFERROR(Y506*I506/H506,"0")</f>
        <v>0</v>
      </c>
      <c r="BO506" s="75">
        <f t="shared" ref="BO506:BO517" si="78">IFERROR(1/J506*(X506/H506),"0")</f>
        <v>0</v>
      </c>
      <c r="BP506" s="75">
        <f t="shared" ref="BP506:BP517" si="79">IFERROR(1/J506*(Y506/H506),"0")</f>
        <v>0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5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0</v>
      </c>
      <c r="BN507" s="75">
        <f t="shared" si="77"/>
        <v>0</v>
      </c>
      <c r="BO507" s="75">
        <f t="shared" si="78"/>
        <v>0</v>
      </c>
      <c r="BP507" s="75">
        <f t="shared" si="79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100</v>
      </c>
      <c r="Y508" s="53">
        <f t="shared" si="75"/>
        <v>100.32000000000001</v>
      </c>
      <c r="Z508" s="39">
        <f>IFERROR(IF(Y508=0,"",ROUNDUP(Y508/H508,0)*0.01196),"")</f>
        <v>0.22724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106.81818181818181</v>
      </c>
      <c r="BN508" s="75">
        <f t="shared" si="77"/>
        <v>107.16</v>
      </c>
      <c r="BO508" s="75">
        <f t="shared" si="78"/>
        <v>0.18210955710955709</v>
      </c>
      <c r="BP508" s="75">
        <f t="shared" si="79"/>
        <v>0.18269230769230771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4301031419</v>
      </c>
      <c r="D510" s="673">
        <v>4680115882072</v>
      </c>
      <c r="E510" s="673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4301031351</v>
      </c>
      <c r="D512" s="673">
        <v>4680115882072</v>
      </c>
      <c r="E512" s="673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4301031417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723" t="s">
        <v>827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823</v>
      </c>
      <c r="B517" s="60" t="s">
        <v>828</v>
      </c>
      <c r="C517" s="34">
        <v>4301031384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72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18.939393939393938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19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0.22724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100</v>
      </c>
      <c r="Y519" s="41">
        <f>IFERROR(SUM(Y506:Y517),"0")</f>
        <v>100.32000000000001</v>
      </c>
      <c r="Z519" s="40"/>
      <c r="AA519" s="64"/>
      <c r="AB519" s="64"/>
      <c r="AC519" s="64"/>
    </row>
    <row r="520" spans="1:68" ht="14.25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672" t="s">
        <v>186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customHeight="1" x14ac:dyDescent="0.25">
      <c r="A533" s="672" t="s">
        <v>109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180</v>
      </c>
      <c r="Y536" s="53">
        <f t="shared" si="80"/>
        <v>180</v>
      </c>
      <c r="Z536" s="39">
        <f>IFERROR(IF(Y536=0,"",ROUNDUP(Y536/H536,0)*0.01898),"")</f>
        <v>0.28470000000000001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186.52500000000001</v>
      </c>
      <c r="BN536" s="75">
        <f t="shared" si="82"/>
        <v>186.52500000000001</v>
      </c>
      <c r="BO536" s="75">
        <f t="shared" si="83"/>
        <v>0.234375</v>
      </c>
      <c r="BP536" s="75">
        <f t="shared" si="84"/>
        <v>0.234375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15</v>
      </c>
      <c r="Y540" s="41">
        <f>IFERROR(Y534/H534,"0")+IFERROR(Y535/H535,"0")+IFERROR(Y536/H536,"0")+IFERROR(Y537/H537,"0")+IFERROR(Y538/H538,"0")+IFERROR(Y539/H539,"0")</f>
        <v>15</v>
      </c>
      <c r="Z540" s="41">
        <f>IFERROR(IF(Z534="",0,Z534),"0")+IFERROR(IF(Z535="",0,Z535),"0")+IFERROR(IF(Z536="",0,Z536),"0")+IFERROR(IF(Z537="",0,Z537),"0")+IFERROR(IF(Z538="",0,Z538),"0")+IFERROR(IF(Z539="",0,Z539),"0")</f>
        <v>0.28470000000000001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180</v>
      </c>
      <c r="Y541" s="41">
        <f>IFERROR(SUM(Y534:Y539),"0")</f>
        <v>180</v>
      </c>
      <c r="Z541" s="40"/>
      <c r="AA541" s="64"/>
      <c r="AB541" s="64"/>
      <c r="AC541" s="64"/>
    </row>
    <row r="542" spans="1:68" ht="14.25" customHeight="1" x14ac:dyDescent="0.25">
      <c r="A542" s="672" t="s">
        <v>149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672" t="s">
        <v>160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5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0</v>
      </c>
      <c r="BN551" s="75">
        <f t="shared" ref="BN551:BN557" si="87">IFERROR(Y551*I551/H551,"0")</f>
        <v>0</v>
      </c>
      <c r="BO551" s="75">
        <f t="shared" ref="BO551:BO557" si="88">IFERROR(1/J551*(X551/H551),"0")</f>
        <v>0</v>
      </c>
      <c r="BP551" s="75">
        <f t="shared" ref="BP551:BP557" si="89">IFERROR(1/J551*(Y551/H551),"0")</f>
        <v>0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5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0</v>
      </c>
      <c r="BN552" s="75">
        <f t="shared" si="87"/>
        <v>0</v>
      </c>
      <c r="BO552" s="75">
        <f t="shared" si="88"/>
        <v>0</v>
      </c>
      <c r="BP552" s="75">
        <f t="shared" si="89"/>
        <v>0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4301051887</v>
      </c>
      <c r="D561" s="673">
        <v>4640242180533</v>
      </c>
      <c r="E561" s="673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4301052046</v>
      </c>
      <c r="D562" s="673">
        <v>4640242180533</v>
      </c>
      <c r="E562" s="673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672" t="s">
        <v>186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4301060496</v>
      </c>
      <c r="D569" s="673">
        <v>4640242180120</v>
      </c>
      <c r="E569" s="673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4301060485</v>
      </c>
      <c r="D570" s="673">
        <v>4640242180120</v>
      </c>
      <c r="E570" s="673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4301060498</v>
      </c>
      <c r="D571" s="673">
        <v>4640242180137</v>
      </c>
      <c r="E571" s="673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4301060486</v>
      </c>
      <c r="D572" s="673">
        <v>4640242180137</v>
      </c>
      <c r="E572" s="673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customHeight="1" x14ac:dyDescent="0.25">
      <c r="A576" s="672" t="s">
        <v>109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672" t="s">
        <v>149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72" t="s">
        <v>160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17979.400000000001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18070.5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18774.52721613082</v>
      </c>
      <c r="Y593" s="41">
        <f>IFERROR(SUM(BN22:BN589),"0")</f>
        <v>18870.173000000003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29</v>
      </c>
      <c r="Y594" s="42">
        <f>ROUNDUP(SUM(BP22:BP589),0)</f>
        <v>29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19499.52721613082</v>
      </c>
      <c r="Y595" s="41">
        <f>GrossWeightTotalR+PalletQtyTotalR*25</f>
        <v>19595.173000000003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2278.3380571860966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2290</v>
      </c>
      <c r="Z596" s="40"/>
      <c r="AA596" s="64"/>
      <c r="AB596" s="64"/>
      <c r="AC596" s="64"/>
    </row>
    <row r="597" spans="1:32" ht="14.25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31.954940000000001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107</v>
      </c>
      <c r="D599" s="669" t="s">
        <v>107</v>
      </c>
      <c r="E599" s="669" t="s">
        <v>107</v>
      </c>
      <c r="F599" s="669" t="s">
        <v>107</v>
      </c>
      <c r="G599" s="669" t="s">
        <v>107</v>
      </c>
      <c r="H599" s="669" t="s">
        <v>107</v>
      </c>
      <c r="I599" s="669" t="s">
        <v>299</v>
      </c>
      <c r="J599" s="669" t="s">
        <v>299</v>
      </c>
      <c r="K599" s="669" t="s">
        <v>299</v>
      </c>
      <c r="L599" s="669" t="s">
        <v>299</v>
      </c>
      <c r="M599" s="669" t="s">
        <v>299</v>
      </c>
      <c r="N599" s="686"/>
      <c r="O599" s="669" t="s">
        <v>299</v>
      </c>
      <c r="P599" s="669" t="s">
        <v>299</v>
      </c>
      <c r="Q599" s="669" t="s">
        <v>299</v>
      </c>
      <c r="R599" s="669" t="s">
        <v>299</v>
      </c>
      <c r="S599" s="669" t="s">
        <v>299</v>
      </c>
      <c r="T599" s="669" t="s">
        <v>299</v>
      </c>
      <c r="U599" s="669" t="s">
        <v>299</v>
      </c>
      <c r="V599" s="669" t="s">
        <v>299</v>
      </c>
      <c r="W599" s="669" t="s">
        <v>589</v>
      </c>
      <c r="X599" s="669" t="s">
        <v>589</v>
      </c>
      <c r="Y599" s="669" t="s">
        <v>667</v>
      </c>
      <c r="Z599" s="669" t="s">
        <v>667</v>
      </c>
      <c r="AA599" s="669" t="s">
        <v>667</v>
      </c>
      <c r="AB599" s="669" t="s">
        <v>667</v>
      </c>
      <c r="AC599" s="80" t="s">
        <v>742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108</v>
      </c>
      <c r="D600" s="669" t="s">
        <v>129</v>
      </c>
      <c r="E600" s="669" t="s">
        <v>194</v>
      </c>
      <c r="F600" s="669" t="s">
        <v>225</v>
      </c>
      <c r="G600" s="669" t="s">
        <v>270</v>
      </c>
      <c r="H600" s="669" t="s">
        <v>107</v>
      </c>
      <c r="I600" s="669" t="s">
        <v>300</v>
      </c>
      <c r="J600" s="669" t="s">
        <v>334</v>
      </c>
      <c r="K600" s="669" t="s">
        <v>395</v>
      </c>
      <c r="L600" s="669" t="s">
        <v>430</v>
      </c>
      <c r="M600" s="669" t="s">
        <v>448</v>
      </c>
      <c r="N600" s="1"/>
      <c r="O600" s="669" t="s">
        <v>452</v>
      </c>
      <c r="P600" s="669" t="s">
        <v>461</v>
      </c>
      <c r="Q600" s="669" t="s">
        <v>475</v>
      </c>
      <c r="R600" s="669" t="s">
        <v>485</v>
      </c>
      <c r="S600" s="669" t="s">
        <v>489</v>
      </c>
      <c r="T600" s="669" t="s">
        <v>497</v>
      </c>
      <c r="U600" s="669" t="s">
        <v>502</v>
      </c>
      <c r="V600" s="669" t="s">
        <v>576</v>
      </c>
      <c r="W600" s="669" t="s">
        <v>590</v>
      </c>
      <c r="X600" s="669" t="s">
        <v>631</v>
      </c>
      <c r="Y600" s="669" t="s">
        <v>668</v>
      </c>
      <c r="Z600" s="669" t="s">
        <v>707</v>
      </c>
      <c r="AA600" s="669" t="s">
        <v>727</v>
      </c>
      <c r="AB600" s="669" t="s">
        <v>735</v>
      </c>
      <c r="AC600" s="669" t="s">
        <v>742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302.40000000000003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2546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491.40000000000003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273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707.40000000000009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108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3237.9</v>
      </c>
      <c r="V602" s="50">
        <f>IFERROR(Y363*1,"0")+IFERROR(Y367*1,"0")+IFERROR(Y368*1,"0")+IFERROR(Y369*1,"0")</f>
        <v>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8560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54</v>
      </c>
      <c r="Z602" s="50">
        <f>IFERROR(Y451*1,"0")+IFERROR(Y452*1,"0")+IFERROR(Y456*1,"0")+IFERROR(Y457*1,"0")+IFERROR(Y458*1,"0")+IFERROR(Y459*1,"0")</f>
        <v>0</v>
      </c>
      <c r="AA602" s="50">
        <f>IFERROR(Y464*1,"0")+IFERROR(Y465*1,"0")</f>
        <v>0</v>
      </c>
      <c r="AB602" s="50">
        <f>IFERROR(Y470*1,"0")+IFERROR(Y474*1,"0")</f>
        <v>0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1610.3999999999999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180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