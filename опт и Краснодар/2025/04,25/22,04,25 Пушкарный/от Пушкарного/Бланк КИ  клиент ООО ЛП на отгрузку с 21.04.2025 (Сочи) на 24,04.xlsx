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13_ncr:1_{2101E163-3E1F-4F54-8990-F61AB05DD751}" xr6:coauthVersionLast="47" xr6:coauthVersionMax="47" xr10:uidLastSave="{00000000-0000-0000-0000-000000000000}"/>
  <bookViews>
    <workbookView xWindow="825" yWindow="52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P570" i="2"/>
  <c r="BO570" i="2"/>
  <c r="BM570" i="2"/>
  <c r="Y570" i="2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N547" i="2" s="1"/>
  <c r="BO546" i="2"/>
  <c r="BM546" i="2"/>
  <c r="Y546" i="2"/>
  <c r="BP546" i="2" s="1"/>
  <c r="BP545" i="2"/>
  <c r="BO545" i="2"/>
  <c r="BN545" i="2"/>
  <c r="BM545" i="2"/>
  <c r="Z545" i="2"/>
  <c r="Y545" i="2"/>
  <c r="BP544" i="2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P517" i="2"/>
  <c r="BO517" i="2"/>
  <c r="BM517" i="2"/>
  <c r="Y517" i="2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Z512" i="2"/>
  <c r="Y512" i="2"/>
  <c r="BN512" i="2" s="1"/>
  <c r="BO511" i="2"/>
  <c r="BM511" i="2"/>
  <c r="Y511" i="2"/>
  <c r="P511" i="2"/>
  <c r="BP510" i="2"/>
  <c r="BO510" i="2"/>
  <c r="BN510" i="2"/>
  <c r="BM510" i="2"/>
  <c r="Z510" i="2"/>
  <c r="Y510" i="2"/>
  <c r="BP509" i="2"/>
  <c r="BO509" i="2"/>
  <c r="BN509" i="2"/>
  <c r="BM509" i="2"/>
  <c r="Z509" i="2"/>
  <c r="Y509" i="2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P492" i="2"/>
  <c r="BO492" i="2"/>
  <c r="BM492" i="2"/>
  <c r="Y492" i="2"/>
  <c r="BN492" i="2" s="1"/>
  <c r="BP491" i="2"/>
  <c r="BO491" i="2"/>
  <c r="BN491" i="2"/>
  <c r="BM491" i="2"/>
  <c r="Z491" i="2"/>
  <c r="Y491" i="2"/>
  <c r="BP490" i="2"/>
  <c r="BO490" i="2"/>
  <c r="BM490" i="2"/>
  <c r="Y490" i="2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P486" i="2"/>
  <c r="BO486" i="2"/>
  <c r="BM486" i="2"/>
  <c r="Y486" i="2"/>
  <c r="BN486" i="2" s="1"/>
  <c r="BP485" i="2"/>
  <c r="BO485" i="2"/>
  <c r="BM485" i="2"/>
  <c r="Y485" i="2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Y476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P459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P440" i="2"/>
  <c r="BO440" i="2"/>
  <c r="BM440" i="2"/>
  <c r="Y440" i="2"/>
  <c r="P440" i="2"/>
  <c r="BO439" i="2"/>
  <c r="BM439" i="2"/>
  <c r="Y439" i="2"/>
  <c r="BP439" i="2" s="1"/>
  <c r="BO438" i="2"/>
  <c r="BM438" i="2"/>
  <c r="Y438" i="2"/>
  <c r="BP438" i="2" s="1"/>
  <c r="P438" i="2"/>
  <c r="BP437" i="2"/>
  <c r="BO437" i="2"/>
  <c r="BN437" i="2"/>
  <c r="BM437" i="2"/>
  <c r="Z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Y443" i="2" s="1"/>
  <c r="X426" i="2"/>
  <c r="X425" i="2"/>
  <c r="BO424" i="2"/>
  <c r="BM424" i="2"/>
  <c r="Y424" i="2"/>
  <c r="X422" i="2"/>
  <c r="X421" i="2"/>
  <c r="BO420" i="2"/>
  <c r="BM420" i="2"/>
  <c r="Y420" i="2"/>
  <c r="P420" i="2"/>
  <c r="BP419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P407" i="2"/>
  <c r="BO407" i="2"/>
  <c r="BN407" i="2"/>
  <c r="BM407" i="2"/>
  <c r="Z407" i="2"/>
  <c r="Y407" i="2"/>
  <c r="P407" i="2"/>
  <c r="BO406" i="2"/>
  <c r="BM406" i="2"/>
  <c r="Y406" i="2"/>
  <c r="BN406" i="2" s="1"/>
  <c r="P406" i="2"/>
  <c r="BO405" i="2"/>
  <c r="BM405" i="2"/>
  <c r="Y405" i="2"/>
  <c r="P405" i="2"/>
  <c r="BP404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P363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Z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Z336" i="2"/>
  <c r="Y336" i="2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Y316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P308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Y287" i="2"/>
  <c r="X287" i="2"/>
  <c r="BO286" i="2"/>
  <c r="BM286" i="2"/>
  <c r="Z286" i="2"/>
  <c r="Z287" i="2" s="1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Z250" i="2"/>
  <c r="Z251" i="2" s="1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N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Z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Z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P215" i="2"/>
  <c r="BO215" i="2"/>
  <c r="BN215" i="2"/>
  <c r="BM215" i="2"/>
  <c r="Z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P205" i="2"/>
  <c r="BO205" i="2"/>
  <c r="BN205" i="2"/>
  <c r="BM205" i="2"/>
  <c r="Z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P178" i="2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I602" i="2" s="1"/>
  <c r="P170" i="2"/>
  <c r="X166" i="2"/>
  <c r="X165" i="2"/>
  <c r="BO164" i="2"/>
  <c r="BM164" i="2"/>
  <c r="Y164" i="2"/>
  <c r="P164" i="2"/>
  <c r="X162" i="2"/>
  <c r="X161" i="2"/>
  <c r="BP160" i="2"/>
  <c r="BO160" i="2"/>
  <c r="BN160" i="2"/>
  <c r="BM160" i="2"/>
  <c r="Z160" i="2"/>
  <c r="Y160" i="2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H602" i="2" s="1"/>
  <c r="P153" i="2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Y133" i="2" s="1"/>
  <c r="P132" i="2"/>
  <c r="BP131" i="2"/>
  <c r="BO131" i="2"/>
  <c r="BN131" i="2"/>
  <c r="BM131" i="2"/>
  <c r="Z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Z123" i="2"/>
  <c r="Y123" i="2"/>
  <c r="BN123" i="2" s="1"/>
  <c r="BO122" i="2"/>
  <c r="BM122" i="2"/>
  <c r="Y122" i="2"/>
  <c r="Z122" i="2" s="1"/>
  <c r="P122" i="2"/>
  <c r="BO121" i="2"/>
  <c r="BM121" i="2"/>
  <c r="Z121" i="2"/>
  <c r="Y121" i="2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P108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BN99" i="2" s="1"/>
  <c r="P99" i="2"/>
  <c r="BO98" i="2"/>
  <c r="BN98" i="2"/>
  <c r="BM98" i="2"/>
  <c r="Z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Z87" i="2"/>
  <c r="Y87" i="2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N71" i="2"/>
  <c r="BM71" i="2"/>
  <c r="Z71" i="2"/>
  <c r="Y71" i="2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Z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P22" i="2"/>
  <c r="BO22" i="2"/>
  <c r="BN22" i="2"/>
  <c r="BM22" i="2"/>
  <c r="Z22" i="2"/>
  <c r="Y22" i="2"/>
  <c r="P22" i="2"/>
  <c r="H10" i="2"/>
  <c r="A9" i="2"/>
  <c r="A10" i="2" s="1"/>
  <c r="D7" i="2"/>
  <c r="Q6" i="2"/>
  <c r="P2" i="2"/>
  <c r="BP508" i="2" l="1"/>
  <c r="Y346" i="2"/>
  <c r="BN507" i="2"/>
  <c r="Z507" i="2"/>
  <c r="Z506" i="2"/>
  <c r="BP506" i="2"/>
  <c r="BN25" i="2"/>
  <c r="BN31" i="2"/>
  <c r="Y32" i="2"/>
  <c r="Z44" i="2"/>
  <c r="Z45" i="2" s="1"/>
  <c r="BP44" i="2"/>
  <c r="BN50" i="2"/>
  <c r="BN60" i="2"/>
  <c r="Z76" i="2"/>
  <c r="BP76" i="2"/>
  <c r="BN93" i="2"/>
  <c r="Z95" i="2"/>
  <c r="BN100" i="2"/>
  <c r="Y134" i="2"/>
  <c r="BN137" i="2"/>
  <c r="Z158" i="2"/>
  <c r="Z176" i="2"/>
  <c r="Z203" i="2"/>
  <c r="Z213" i="2"/>
  <c r="BN220" i="2"/>
  <c r="K602" i="2"/>
  <c r="BP233" i="2"/>
  <c r="Z236" i="2"/>
  <c r="BP236" i="2"/>
  <c r="Z242" i="2"/>
  <c r="BP242" i="2"/>
  <c r="BP259" i="2"/>
  <c r="Z278" i="2"/>
  <c r="BP278" i="2"/>
  <c r="Z314" i="2"/>
  <c r="Z315" i="2" s="1"/>
  <c r="Z324" i="2"/>
  <c r="BP339" i="2"/>
  <c r="BN367" i="2"/>
  <c r="Z368" i="2"/>
  <c r="BN379" i="2"/>
  <c r="BN389" i="2"/>
  <c r="BP393" i="2"/>
  <c r="X602" i="2"/>
  <c r="Z412" i="2"/>
  <c r="Z501" i="2"/>
  <c r="BP523" i="2"/>
  <c r="BN538" i="2"/>
  <c r="Z539" i="2"/>
  <c r="BP547" i="2"/>
  <c r="Y549" i="2"/>
  <c r="BN555" i="2"/>
  <c r="BN564" i="2"/>
  <c r="Z25" i="2"/>
  <c r="X596" i="2"/>
  <c r="Z31" i="2"/>
  <c r="Z32" i="2" s="1"/>
  <c r="BP31" i="2"/>
  <c r="BN44" i="2"/>
  <c r="Y45" i="2"/>
  <c r="Z50" i="2"/>
  <c r="Z60" i="2"/>
  <c r="Z93" i="2"/>
  <c r="BN95" i="2"/>
  <c r="Z100" i="2"/>
  <c r="Z137" i="2"/>
  <c r="BN158" i="2"/>
  <c r="Z159" i="2"/>
  <c r="BN203" i="2"/>
  <c r="Z204" i="2"/>
  <c r="BN213" i="2"/>
  <c r="Z214" i="2"/>
  <c r="Z220" i="2"/>
  <c r="Y274" i="2"/>
  <c r="Z367" i="2"/>
  <c r="Z379" i="2"/>
  <c r="Z389" i="2"/>
  <c r="Z406" i="2"/>
  <c r="BP484" i="2"/>
  <c r="Y587" i="2"/>
  <c r="J602" i="2"/>
  <c r="Y2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573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Z133" i="2" s="1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Z110" i="2" s="1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395" i="2" s="1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Z28" i="2" s="1"/>
  <c r="BP230" i="2"/>
  <c r="Y239" i="2"/>
  <c r="Z338" i="2"/>
  <c r="Z340" i="2" s="1"/>
  <c r="Z358" i="2"/>
  <c r="Z359" i="2" s="1"/>
  <c r="Y453" i="2"/>
  <c r="Z458" i="2"/>
  <c r="BN536" i="2"/>
  <c r="BN539" i="2"/>
  <c r="BP585" i="2"/>
  <c r="Y579" i="2"/>
  <c r="Z77" i="2" l="1"/>
  <c r="X595" i="2"/>
  <c r="Z83" i="2"/>
  <c r="Z346" i="2"/>
  <c r="Z183" i="2"/>
  <c r="Z370" i="2"/>
  <c r="Z243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<sst xmlns="http://schemas.openxmlformats.org/spreadsheetml/2006/main" count="4539" uniqueCount="970">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</sst>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D542" zoomScaleNormal="100" zoomScaleSheetLayoutView="100" workbookViewId="0">
      <selection activeCell="X377" sqref="X37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/>
      <c r="I5" s="674"/>
      <c r="J5" s="674"/>
      <c r="K5" s="674"/>
      <c r="L5" s="674"/>
      <c r="M5" s="674"/>
      <c r="N5" s="69"/>
      <c r="P5" s="26" t="s">
        <v>4</v>
      </c>
      <c r="Q5" s="676">
        <v>45771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0.41666666666666669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65</v>
      </c>
      <c r="L17" s="715" t="s">
        <v>63</v>
      </c>
      <c r="M17" s="715" t="s">
        <v>2</v>
      </c>
      <c r="N17" s="715" t="s">
        <v>62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64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40">
        <v>4680115886230</v>
      </c>
      <c r="E24" s="740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">
        <v>89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40">
        <v>4680115886247</v>
      </c>
      <c r="E25" s="740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">
        <v>93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40">
        <v>4680115885905</v>
      </c>
      <c r="E26" s="74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2"/>
      <c r="R26" s="742"/>
      <c r="S26" s="742"/>
      <c r="T26" s="743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40">
        <v>4607091388244</v>
      </c>
      <c r="E27" s="74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2"/>
      <c r="R27" s="742"/>
      <c r="S27" s="742"/>
      <c r="T27" s="74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2"/>
      <c r="B28" s="752"/>
      <c r="C28" s="752"/>
      <c r="D28" s="752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3"/>
      <c r="P28" s="749" t="s">
        <v>40</v>
      </c>
      <c r="Q28" s="750"/>
      <c r="R28" s="750"/>
      <c r="S28" s="750"/>
      <c r="T28" s="750"/>
      <c r="U28" s="750"/>
      <c r="V28" s="751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2"/>
      <c r="B29" s="752"/>
      <c r="C29" s="752"/>
      <c r="D29" s="752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3"/>
      <c r="P29" s="749" t="s">
        <v>40</v>
      </c>
      <c r="Q29" s="750"/>
      <c r="R29" s="750"/>
      <c r="S29" s="750"/>
      <c r="T29" s="750"/>
      <c r="U29" s="750"/>
      <c r="V29" s="751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39" t="s">
        <v>101</v>
      </c>
      <c r="B30" s="739"/>
      <c r="C30" s="739"/>
      <c r="D30" s="739"/>
      <c r="E30" s="739"/>
      <c r="F30" s="739"/>
      <c r="G30" s="739"/>
      <c r="H30" s="739"/>
      <c r="I30" s="739"/>
      <c r="J30" s="739"/>
      <c r="K30" s="739"/>
      <c r="L30" s="739"/>
      <c r="M30" s="739"/>
      <c r="N30" s="739"/>
      <c r="O30" s="739"/>
      <c r="P30" s="739"/>
      <c r="Q30" s="739"/>
      <c r="R30" s="739"/>
      <c r="S30" s="739"/>
      <c r="T30" s="739"/>
      <c r="U30" s="739"/>
      <c r="V30" s="739"/>
      <c r="W30" s="739"/>
      <c r="X30" s="739"/>
      <c r="Y30" s="739"/>
      <c r="Z30" s="739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40">
        <v>4607091388503</v>
      </c>
      <c r="E31" s="740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2"/>
      <c r="R31" s="742"/>
      <c r="S31" s="742"/>
      <c r="T31" s="743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2"/>
      <c r="B32" s="752"/>
      <c r="C32" s="752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3"/>
      <c r="P32" s="749" t="s">
        <v>40</v>
      </c>
      <c r="Q32" s="750"/>
      <c r="R32" s="750"/>
      <c r="S32" s="750"/>
      <c r="T32" s="750"/>
      <c r="U32" s="750"/>
      <c r="V32" s="751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2"/>
      <c r="B33" s="752"/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3"/>
      <c r="P33" s="749" t="s">
        <v>40</v>
      </c>
      <c r="Q33" s="750"/>
      <c r="R33" s="750"/>
      <c r="S33" s="750"/>
      <c r="T33" s="750"/>
      <c r="U33" s="750"/>
      <c r="V33" s="751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7" t="s">
        <v>107</v>
      </c>
      <c r="B34" s="737"/>
      <c r="C34" s="737"/>
      <c r="D34" s="737"/>
      <c r="E34" s="737"/>
      <c r="F34" s="737"/>
      <c r="G34" s="737"/>
      <c r="H34" s="737"/>
      <c r="I34" s="737"/>
      <c r="J34" s="737"/>
      <c r="K34" s="737"/>
      <c r="L34" s="737"/>
      <c r="M34" s="737"/>
      <c r="N34" s="737"/>
      <c r="O34" s="737"/>
      <c r="P34" s="737"/>
      <c r="Q34" s="737"/>
      <c r="R34" s="737"/>
      <c r="S34" s="737"/>
      <c r="T34" s="737"/>
      <c r="U34" s="737"/>
      <c r="V34" s="737"/>
      <c r="W34" s="737"/>
      <c r="X34" s="737"/>
      <c r="Y34" s="737"/>
      <c r="Z34" s="737"/>
      <c r="AA34" s="52"/>
      <c r="AB34" s="52"/>
      <c r="AC34" s="52"/>
    </row>
    <row r="35" spans="1:68" ht="16.5" customHeight="1" x14ac:dyDescent="0.25">
      <c r="A35" s="738" t="s">
        <v>108</v>
      </c>
      <c r="B35" s="738"/>
      <c r="C35" s="738"/>
      <c r="D35" s="738"/>
      <c r="E35" s="738"/>
      <c r="F35" s="738"/>
      <c r="G35" s="738"/>
      <c r="H35" s="738"/>
      <c r="I35" s="738"/>
      <c r="J35" s="738"/>
      <c r="K35" s="738"/>
      <c r="L35" s="738"/>
      <c r="M35" s="738"/>
      <c r="N35" s="738"/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62"/>
      <c r="AB35" s="62"/>
      <c r="AC35" s="62"/>
    </row>
    <row r="36" spans="1:68" ht="14.25" customHeight="1" x14ac:dyDescent="0.25">
      <c r="A36" s="739" t="s">
        <v>109</v>
      </c>
      <c r="B36" s="739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739"/>
      <c r="O36" s="739"/>
      <c r="P36" s="739"/>
      <c r="Q36" s="739"/>
      <c r="R36" s="739"/>
      <c r="S36" s="739"/>
      <c r="T36" s="739"/>
      <c r="U36" s="739"/>
      <c r="V36" s="739"/>
      <c r="W36" s="739"/>
      <c r="X36" s="739"/>
      <c r="Y36" s="739"/>
      <c r="Z36" s="739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40">
        <v>4607091385670</v>
      </c>
      <c r="E37" s="740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40">
        <v>4607091385687</v>
      </c>
      <c r="E38" s="740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40">
        <v>4680115882539</v>
      </c>
      <c r="E39" s="740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2"/>
      <c r="R39" s="742"/>
      <c r="S39" s="742"/>
      <c r="T39" s="743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40">
        <v>4680115883949</v>
      </c>
      <c r="E40" s="740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2"/>
      <c r="R40" s="742"/>
      <c r="S40" s="742"/>
      <c r="T40" s="743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2"/>
      <c r="B41" s="752"/>
      <c r="C41" s="752"/>
      <c r="D41" s="752"/>
      <c r="E41" s="752"/>
      <c r="F41" s="752"/>
      <c r="G41" s="752"/>
      <c r="H41" s="752"/>
      <c r="I41" s="752"/>
      <c r="J41" s="752"/>
      <c r="K41" s="752"/>
      <c r="L41" s="752"/>
      <c r="M41" s="752"/>
      <c r="N41" s="752"/>
      <c r="O41" s="753"/>
      <c r="P41" s="749" t="s">
        <v>40</v>
      </c>
      <c r="Q41" s="750"/>
      <c r="R41" s="750"/>
      <c r="S41" s="750"/>
      <c r="T41" s="750"/>
      <c r="U41" s="750"/>
      <c r="V41" s="751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752"/>
      <c r="B42" s="752"/>
      <c r="C42" s="752"/>
      <c r="D42" s="752"/>
      <c r="E42" s="752"/>
      <c r="F42" s="752"/>
      <c r="G42" s="752"/>
      <c r="H42" s="752"/>
      <c r="I42" s="752"/>
      <c r="J42" s="752"/>
      <c r="K42" s="752"/>
      <c r="L42" s="752"/>
      <c r="M42" s="752"/>
      <c r="N42" s="752"/>
      <c r="O42" s="753"/>
      <c r="P42" s="749" t="s">
        <v>40</v>
      </c>
      <c r="Q42" s="750"/>
      <c r="R42" s="750"/>
      <c r="S42" s="750"/>
      <c r="T42" s="750"/>
      <c r="U42" s="750"/>
      <c r="V42" s="751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739" t="s">
        <v>78</v>
      </c>
      <c r="B43" s="739"/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  <c r="Z43" s="739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40">
        <v>4680115884915</v>
      </c>
      <c r="E44" s="740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2"/>
      <c r="R44" s="742"/>
      <c r="S44" s="742"/>
      <c r="T44" s="74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2"/>
      <c r="B45" s="752"/>
      <c r="C45" s="752"/>
      <c r="D45" s="752"/>
      <c r="E45" s="752"/>
      <c r="F45" s="752"/>
      <c r="G45" s="752"/>
      <c r="H45" s="752"/>
      <c r="I45" s="752"/>
      <c r="J45" s="752"/>
      <c r="K45" s="752"/>
      <c r="L45" s="752"/>
      <c r="M45" s="752"/>
      <c r="N45" s="752"/>
      <c r="O45" s="753"/>
      <c r="P45" s="749" t="s">
        <v>40</v>
      </c>
      <c r="Q45" s="750"/>
      <c r="R45" s="750"/>
      <c r="S45" s="750"/>
      <c r="T45" s="750"/>
      <c r="U45" s="750"/>
      <c r="V45" s="751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2"/>
      <c r="B46" s="752"/>
      <c r="C46" s="752"/>
      <c r="D46" s="752"/>
      <c r="E46" s="752"/>
      <c r="F46" s="752"/>
      <c r="G46" s="752"/>
      <c r="H46" s="752"/>
      <c r="I46" s="752"/>
      <c r="J46" s="752"/>
      <c r="K46" s="752"/>
      <c r="L46" s="752"/>
      <c r="M46" s="752"/>
      <c r="N46" s="752"/>
      <c r="O46" s="753"/>
      <c r="P46" s="749" t="s">
        <v>40</v>
      </c>
      <c r="Q46" s="750"/>
      <c r="R46" s="750"/>
      <c r="S46" s="750"/>
      <c r="T46" s="750"/>
      <c r="U46" s="750"/>
      <c r="V46" s="751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38" t="s">
        <v>129</v>
      </c>
      <c r="B47" s="738"/>
      <c r="C47" s="738"/>
      <c r="D47" s="738"/>
      <c r="E47" s="738"/>
      <c r="F47" s="738"/>
      <c r="G47" s="738"/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  <c r="AA47" s="62"/>
      <c r="AB47" s="62"/>
      <c r="AC47" s="62"/>
    </row>
    <row r="48" spans="1:68" ht="14.25" customHeight="1" x14ac:dyDescent="0.25">
      <c r="A48" s="739" t="s">
        <v>109</v>
      </c>
      <c r="B48" s="739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739"/>
      <c r="R48" s="739"/>
      <c r="S48" s="739"/>
      <c r="T48" s="739"/>
      <c r="U48" s="739"/>
      <c r="V48" s="739"/>
      <c r="W48" s="739"/>
      <c r="X48" s="739"/>
      <c r="Y48" s="739"/>
      <c r="Z48" s="739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40">
        <v>4680115885882</v>
      </c>
      <c r="E49" s="740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0">
        <v>4680115881426</v>
      </c>
      <c r="E50" s="740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40">
        <v>4680115880283</v>
      </c>
      <c r="E51" s="740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40">
        <v>4680115881525</v>
      </c>
      <c r="E52" s="740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40">
        <v>4680115885899</v>
      </c>
      <c r="E53" s="740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0">
        <v>4680115881419</v>
      </c>
      <c r="E54" s="740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2"/>
      <c r="R54" s="742"/>
      <c r="S54" s="742"/>
      <c r="T54" s="743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752"/>
      <c r="B55" s="752"/>
      <c r="C55" s="752"/>
      <c r="D55" s="752"/>
      <c r="E55" s="752"/>
      <c r="F55" s="752"/>
      <c r="G55" s="752"/>
      <c r="H55" s="752"/>
      <c r="I55" s="752"/>
      <c r="J55" s="752"/>
      <c r="K55" s="752"/>
      <c r="L55" s="752"/>
      <c r="M55" s="752"/>
      <c r="N55" s="752"/>
      <c r="O55" s="753"/>
      <c r="P55" s="749" t="s">
        <v>40</v>
      </c>
      <c r="Q55" s="750"/>
      <c r="R55" s="750"/>
      <c r="S55" s="750"/>
      <c r="T55" s="750"/>
      <c r="U55" s="750"/>
      <c r="V55" s="751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752"/>
      <c r="B56" s="752"/>
      <c r="C56" s="752"/>
      <c r="D56" s="752"/>
      <c r="E56" s="752"/>
      <c r="F56" s="752"/>
      <c r="G56" s="752"/>
      <c r="H56" s="752"/>
      <c r="I56" s="752"/>
      <c r="J56" s="752"/>
      <c r="K56" s="752"/>
      <c r="L56" s="752"/>
      <c r="M56" s="752"/>
      <c r="N56" s="752"/>
      <c r="O56" s="753"/>
      <c r="P56" s="749" t="s">
        <v>40</v>
      </c>
      <c r="Q56" s="750"/>
      <c r="R56" s="750"/>
      <c r="S56" s="750"/>
      <c r="T56" s="750"/>
      <c r="U56" s="750"/>
      <c r="V56" s="751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739" t="s">
        <v>149</v>
      </c>
      <c r="B57" s="739"/>
      <c r="C57" s="739"/>
      <c r="D57" s="739"/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39"/>
      <c r="W57" s="739"/>
      <c r="X57" s="739"/>
      <c r="Y57" s="739"/>
      <c r="Z57" s="739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40">
        <v>4680115881440</v>
      </c>
      <c r="E58" s="740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40">
        <v>4680115882751</v>
      </c>
      <c r="E59" s="740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40">
        <v>4680115885950</v>
      </c>
      <c r="E60" s="740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40">
        <v>4680115881433</v>
      </c>
      <c r="E61" s="740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2"/>
      <c r="R61" s="742"/>
      <c r="S61" s="742"/>
      <c r="T61" s="743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752"/>
      <c r="B62" s="752"/>
      <c r="C62" s="752"/>
      <c r="D62" s="752"/>
      <c r="E62" s="752"/>
      <c r="F62" s="752"/>
      <c r="G62" s="752"/>
      <c r="H62" s="752"/>
      <c r="I62" s="752"/>
      <c r="J62" s="752"/>
      <c r="K62" s="752"/>
      <c r="L62" s="752"/>
      <c r="M62" s="752"/>
      <c r="N62" s="752"/>
      <c r="O62" s="753"/>
      <c r="P62" s="749" t="s">
        <v>40</v>
      </c>
      <c r="Q62" s="750"/>
      <c r="R62" s="750"/>
      <c r="S62" s="750"/>
      <c r="T62" s="750"/>
      <c r="U62" s="750"/>
      <c r="V62" s="751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52"/>
      <c r="B63" s="752"/>
      <c r="C63" s="752"/>
      <c r="D63" s="752"/>
      <c r="E63" s="752"/>
      <c r="F63" s="752"/>
      <c r="G63" s="752"/>
      <c r="H63" s="752"/>
      <c r="I63" s="752"/>
      <c r="J63" s="752"/>
      <c r="K63" s="752"/>
      <c r="L63" s="752"/>
      <c r="M63" s="752"/>
      <c r="N63" s="752"/>
      <c r="O63" s="753"/>
      <c r="P63" s="749" t="s">
        <v>40</v>
      </c>
      <c r="Q63" s="750"/>
      <c r="R63" s="750"/>
      <c r="S63" s="750"/>
      <c r="T63" s="750"/>
      <c r="U63" s="750"/>
      <c r="V63" s="751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739" t="s">
        <v>160</v>
      </c>
      <c r="B64" s="739"/>
      <c r="C64" s="739"/>
      <c r="D64" s="739"/>
      <c r="E64" s="739"/>
      <c r="F64" s="739"/>
      <c r="G64" s="739"/>
      <c r="H64" s="739"/>
      <c r="I64" s="739"/>
      <c r="J64" s="739"/>
      <c r="K64" s="739"/>
      <c r="L64" s="739"/>
      <c r="M64" s="739"/>
      <c r="N64" s="739"/>
      <c r="O64" s="739"/>
      <c r="P64" s="739"/>
      <c r="Q64" s="739"/>
      <c r="R64" s="739"/>
      <c r="S64" s="739"/>
      <c r="T64" s="739"/>
      <c r="U64" s="739"/>
      <c r="V64" s="739"/>
      <c r="W64" s="739"/>
      <c r="X64" s="739"/>
      <c r="Y64" s="739"/>
      <c r="Z64" s="739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40">
        <v>4680115885073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40">
        <v>4680115885059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40">
        <v>4680115885097</v>
      </c>
      <c r="E67" s="74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2"/>
      <c r="R67" s="742"/>
      <c r="S67" s="742"/>
      <c r="T67" s="74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2"/>
      <c r="B68" s="752"/>
      <c r="C68" s="752"/>
      <c r="D68" s="752"/>
      <c r="E68" s="752"/>
      <c r="F68" s="752"/>
      <c r="G68" s="752"/>
      <c r="H68" s="752"/>
      <c r="I68" s="752"/>
      <c r="J68" s="752"/>
      <c r="K68" s="752"/>
      <c r="L68" s="752"/>
      <c r="M68" s="752"/>
      <c r="N68" s="752"/>
      <c r="O68" s="753"/>
      <c r="P68" s="749" t="s">
        <v>40</v>
      </c>
      <c r="Q68" s="750"/>
      <c r="R68" s="750"/>
      <c r="S68" s="750"/>
      <c r="T68" s="750"/>
      <c r="U68" s="750"/>
      <c r="V68" s="751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2"/>
      <c r="B69" s="752"/>
      <c r="C69" s="752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752"/>
      <c r="O69" s="753"/>
      <c r="P69" s="749" t="s">
        <v>40</v>
      </c>
      <c r="Q69" s="750"/>
      <c r="R69" s="750"/>
      <c r="S69" s="750"/>
      <c r="T69" s="750"/>
      <c r="U69" s="750"/>
      <c r="V69" s="751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39" t="s">
        <v>78</v>
      </c>
      <c r="B70" s="739"/>
      <c r="C70" s="739"/>
      <c r="D70" s="739"/>
      <c r="E70" s="739"/>
      <c r="F70" s="739"/>
      <c r="G70" s="739"/>
      <c r="H70" s="739"/>
      <c r="I70" s="739"/>
      <c r="J70" s="739"/>
      <c r="K70" s="739"/>
      <c r="L70" s="739"/>
      <c r="M70" s="739"/>
      <c r="N70" s="739"/>
      <c r="O70" s="739"/>
      <c r="P70" s="739"/>
      <c r="Q70" s="739"/>
      <c r="R70" s="739"/>
      <c r="S70" s="739"/>
      <c r="T70" s="739"/>
      <c r="U70" s="739"/>
      <c r="V70" s="739"/>
      <c r="W70" s="739"/>
      <c r="X70" s="739"/>
      <c r="Y70" s="739"/>
      <c r="Z70" s="739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40">
        <v>4680115881891</v>
      </c>
      <c r="E71" s="740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20</v>
      </c>
      <c r="Y71" s="53">
        <f t="shared" ref="Y71:Y76" si="11">IFERROR(IF(X71="",0,CEILING((X71/$H71),1)*$H71),"")</f>
        <v>25.200000000000003</v>
      </c>
      <c r="Z71" s="39">
        <f>IFERROR(IF(Y71=0,"",ROUNDUP(Y71/H71,0)*0.01898),"")</f>
        <v>5.6940000000000004E-2</v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21.235714285714284</v>
      </c>
      <c r="BN71" s="75">
        <f t="shared" ref="BN71:BN76" si="13">IFERROR(Y71*I71/H71,"0")</f>
        <v>26.757000000000001</v>
      </c>
      <c r="BO71" s="75">
        <f t="shared" ref="BO71:BO76" si="14">IFERROR(1/J71*(X71/H71),"0")</f>
        <v>3.7202380952380952E-2</v>
      </c>
      <c r="BP71" s="75">
        <f t="shared" ref="BP71:BP76" si="15">IFERROR(1/J71*(Y71/H71),"0")</f>
        <v>4.6875E-2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40">
        <v>4680115885769</v>
      </c>
      <c r="E72" s="740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0">
        <v>4680115884410</v>
      </c>
      <c r="E73" s="740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50</v>
      </c>
      <c r="Y73" s="53">
        <f t="shared" si="11"/>
        <v>50.400000000000006</v>
      </c>
      <c r="Z73" s="39">
        <f>IFERROR(IF(Y73=0,"",ROUNDUP(Y73/H73,0)*0.01898),"")</f>
        <v>0.11388000000000001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53.017857142857146</v>
      </c>
      <c r="BN73" s="75">
        <f t="shared" si="13"/>
        <v>53.442000000000007</v>
      </c>
      <c r="BO73" s="75">
        <f t="shared" si="14"/>
        <v>9.3005952380952384E-2</v>
      </c>
      <c r="BP73" s="75">
        <f t="shared" si="15"/>
        <v>9.375E-2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40">
        <v>4680115884311</v>
      </c>
      <c r="E74" s="74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40">
        <v>4680115885929</v>
      </c>
      <c r="E75" s="74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40">
        <v>4680115884403</v>
      </c>
      <c r="E76" s="74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2"/>
      <c r="R76" s="742"/>
      <c r="S76" s="742"/>
      <c r="T76" s="743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2"/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752"/>
      <c r="O77" s="753"/>
      <c r="P77" s="749" t="s">
        <v>40</v>
      </c>
      <c r="Q77" s="750"/>
      <c r="R77" s="750"/>
      <c r="S77" s="750"/>
      <c r="T77" s="750"/>
      <c r="U77" s="750"/>
      <c r="V77" s="751"/>
      <c r="W77" s="40" t="s">
        <v>39</v>
      </c>
      <c r="X77" s="41">
        <f>IFERROR(X71/H71,"0")+IFERROR(X72/H72,"0")+IFERROR(X73/H73,"0")+IFERROR(X74/H74,"0")+IFERROR(X75/H75,"0")+IFERROR(X76/H76,"0")</f>
        <v>8.3333333333333339</v>
      </c>
      <c r="Y77" s="41">
        <f>IFERROR(Y71/H71,"0")+IFERROR(Y72/H72,"0")+IFERROR(Y73/H73,"0")+IFERROR(Y74/H74,"0")+IFERROR(Y75/H75,"0")+IFERROR(Y76/H76,"0")</f>
        <v>9</v>
      </c>
      <c r="Z77" s="41">
        <f>IFERROR(IF(Z71="",0,Z71),"0")+IFERROR(IF(Z72="",0,Z72),"0")+IFERROR(IF(Z73="",0,Z73),"0")+IFERROR(IF(Z74="",0,Z74),"0")+IFERROR(IF(Z75="",0,Z75),"0")+IFERROR(IF(Z76="",0,Z76),"0")</f>
        <v>0.17082000000000003</v>
      </c>
      <c r="AA77" s="64"/>
      <c r="AB77" s="64"/>
      <c r="AC77" s="64"/>
    </row>
    <row r="78" spans="1:68" x14ac:dyDescent="0.2">
      <c r="A78" s="752"/>
      <c r="B78" s="752"/>
      <c r="C78" s="752"/>
      <c r="D78" s="752"/>
      <c r="E78" s="752"/>
      <c r="F78" s="752"/>
      <c r="G78" s="752"/>
      <c r="H78" s="752"/>
      <c r="I78" s="752"/>
      <c r="J78" s="752"/>
      <c r="K78" s="752"/>
      <c r="L78" s="752"/>
      <c r="M78" s="752"/>
      <c r="N78" s="752"/>
      <c r="O78" s="753"/>
      <c r="P78" s="749" t="s">
        <v>40</v>
      </c>
      <c r="Q78" s="750"/>
      <c r="R78" s="750"/>
      <c r="S78" s="750"/>
      <c r="T78" s="750"/>
      <c r="U78" s="750"/>
      <c r="V78" s="751"/>
      <c r="W78" s="40" t="s">
        <v>0</v>
      </c>
      <c r="X78" s="41">
        <f>IFERROR(SUM(X71:X76),"0")</f>
        <v>70</v>
      </c>
      <c r="Y78" s="41">
        <f>IFERROR(SUM(Y71:Y76),"0")</f>
        <v>75.600000000000009</v>
      </c>
      <c r="Z78" s="40"/>
      <c r="AA78" s="64"/>
      <c r="AB78" s="64"/>
      <c r="AC78" s="64"/>
    </row>
    <row r="79" spans="1:68" ht="14.25" customHeight="1" x14ac:dyDescent="0.25">
      <c r="A79" s="739" t="s">
        <v>186</v>
      </c>
      <c r="B79" s="739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9"/>
      <c r="V79" s="739"/>
      <c r="W79" s="739"/>
      <c r="X79" s="739"/>
      <c r="Y79" s="739"/>
      <c r="Z79" s="739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80</v>
      </c>
      <c r="Y80" s="53">
        <f>IFERROR(IF(X80="",0,CEILING((X80/$H80),1)*$H80),"")</f>
        <v>84</v>
      </c>
      <c r="Z80" s="39">
        <f>IFERROR(IF(Y80=0,"",ROUNDUP(Y80/H80,0)*0.01898),"")</f>
        <v>0.1898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84.942857142857136</v>
      </c>
      <c r="BN80" s="75">
        <f>IFERROR(Y80*I80/H80,"0")</f>
        <v>89.19</v>
      </c>
      <c r="BO80" s="75">
        <f>IFERROR(1/J80*(X80/H80),"0")</f>
        <v>0.14880952380952381</v>
      </c>
      <c r="BP80" s="75">
        <f>IFERROR(1/J80*(Y80/H80),"0")</f>
        <v>0.15625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740">
        <v>4680115881532</v>
      </c>
      <c r="E81" s="740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40">
        <v>4680115881464</v>
      </c>
      <c r="E82" s="740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2"/>
      <c r="R82" s="742"/>
      <c r="S82" s="742"/>
      <c r="T82" s="743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2"/>
      <c r="B83" s="752"/>
      <c r="C83" s="752"/>
      <c r="D83" s="752"/>
      <c r="E83" s="752"/>
      <c r="F83" s="752"/>
      <c r="G83" s="752"/>
      <c r="H83" s="752"/>
      <c r="I83" s="752"/>
      <c r="J83" s="752"/>
      <c r="K83" s="752"/>
      <c r="L83" s="752"/>
      <c r="M83" s="752"/>
      <c r="N83" s="752"/>
      <c r="O83" s="753"/>
      <c r="P83" s="749" t="s">
        <v>40</v>
      </c>
      <c r="Q83" s="750"/>
      <c r="R83" s="750"/>
      <c r="S83" s="750"/>
      <c r="T83" s="750"/>
      <c r="U83" s="750"/>
      <c r="V83" s="751"/>
      <c r="W83" s="40" t="s">
        <v>39</v>
      </c>
      <c r="X83" s="41">
        <f>IFERROR(X80/H80,"0")+IFERROR(X81/H81,"0")+IFERROR(X82/H82,"0")</f>
        <v>9.5238095238095237</v>
      </c>
      <c r="Y83" s="41">
        <f>IFERROR(Y80/H80,"0")+IFERROR(Y81/H81,"0")+IFERROR(Y82/H82,"0")</f>
        <v>10</v>
      </c>
      <c r="Z83" s="41">
        <f>IFERROR(IF(Z80="",0,Z80),"0")+IFERROR(IF(Z81="",0,Z81),"0")+IFERROR(IF(Z82="",0,Z82),"0")</f>
        <v>0.1898</v>
      </c>
      <c r="AA83" s="64"/>
      <c r="AB83" s="64"/>
      <c r="AC83" s="64"/>
    </row>
    <row r="84" spans="1:68" x14ac:dyDescent="0.2">
      <c r="A84" s="752"/>
      <c r="B84" s="752"/>
      <c r="C84" s="752"/>
      <c r="D84" s="752"/>
      <c r="E84" s="752"/>
      <c r="F84" s="752"/>
      <c r="G84" s="752"/>
      <c r="H84" s="752"/>
      <c r="I84" s="752"/>
      <c r="J84" s="752"/>
      <c r="K84" s="752"/>
      <c r="L84" s="752"/>
      <c r="M84" s="752"/>
      <c r="N84" s="752"/>
      <c r="O84" s="753"/>
      <c r="P84" s="749" t="s">
        <v>40</v>
      </c>
      <c r="Q84" s="750"/>
      <c r="R84" s="750"/>
      <c r="S84" s="750"/>
      <c r="T84" s="750"/>
      <c r="U84" s="750"/>
      <c r="V84" s="751"/>
      <c r="W84" s="40" t="s">
        <v>0</v>
      </c>
      <c r="X84" s="41">
        <f>IFERROR(SUM(X80:X82),"0")</f>
        <v>80</v>
      </c>
      <c r="Y84" s="41">
        <f>IFERROR(SUM(Y80:Y82),"0")</f>
        <v>84</v>
      </c>
      <c r="Z84" s="40"/>
      <c r="AA84" s="64"/>
      <c r="AB84" s="64"/>
      <c r="AC84" s="64"/>
    </row>
    <row r="85" spans="1:68" ht="16.5" customHeight="1" x14ac:dyDescent="0.25">
      <c r="A85" s="738" t="s">
        <v>194</v>
      </c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738"/>
      <c r="O85" s="738"/>
      <c r="P85" s="738"/>
      <c r="Q85" s="738"/>
      <c r="R85" s="738"/>
      <c r="S85" s="738"/>
      <c r="T85" s="738"/>
      <c r="U85" s="738"/>
      <c r="V85" s="738"/>
      <c r="W85" s="738"/>
      <c r="X85" s="738"/>
      <c r="Y85" s="738"/>
      <c r="Z85" s="738"/>
      <c r="AA85" s="62"/>
      <c r="AB85" s="62"/>
      <c r="AC85" s="62"/>
    </row>
    <row r="86" spans="1:68" ht="14.25" customHeight="1" x14ac:dyDescent="0.25">
      <c r="A86" s="739" t="s">
        <v>109</v>
      </c>
      <c r="B86" s="739"/>
      <c r="C86" s="739"/>
      <c r="D86" s="739"/>
      <c r="E86" s="739"/>
      <c r="F86" s="739"/>
      <c r="G86" s="739"/>
      <c r="H86" s="739"/>
      <c r="I86" s="739"/>
      <c r="J86" s="739"/>
      <c r="K86" s="739"/>
      <c r="L86" s="739"/>
      <c r="M86" s="739"/>
      <c r="N86" s="739"/>
      <c r="O86" s="739"/>
      <c r="P86" s="739"/>
      <c r="Q86" s="739"/>
      <c r="R86" s="739"/>
      <c r="S86" s="739"/>
      <c r="T86" s="739"/>
      <c r="U86" s="739"/>
      <c r="V86" s="739"/>
      <c r="W86" s="739"/>
      <c r="X86" s="739"/>
      <c r="Y86" s="739"/>
      <c r="Z86" s="739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0">
        <v>4680115881327</v>
      </c>
      <c r="E87" s="740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40">
        <v>4680115881518</v>
      </c>
      <c r="E88" s="740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0">
        <v>4680115881303</v>
      </c>
      <c r="E89" s="740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2"/>
      <c r="R89" s="742"/>
      <c r="S89" s="742"/>
      <c r="T89" s="74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52"/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3"/>
      <c r="P90" s="749" t="s">
        <v>40</v>
      </c>
      <c r="Q90" s="750"/>
      <c r="R90" s="750"/>
      <c r="S90" s="750"/>
      <c r="T90" s="750"/>
      <c r="U90" s="750"/>
      <c r="V90" s="751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752"/>
      <c r="B91" s="752"/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3"/>
      <c r="P91" s="749" t="s">
        <v>40</v>
      </c>
      <c r="Q91" s="750"/>
      <c r="R91" s="750"/>
      <c r="S91" s="750"/>
      <c r="T91" s="750"/>
      <c r="U91" s="750"/>
      <c r="V91" s="751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739" t="s">
        <v>78</v>
      </c>
      <c r="B92" s="739"/>
      <c r="C92" s="739"/>
      <c r="D92" s="739"/>
      <c r="E92" s="739"/>
      <c r="F92" s="739"/>
      <c r="G92" s="739"/>
      <c r="H92" s="739"/>
      <c r="I92" s="739"/>
      <c r="J92" s="739"/>
      <c r="K92" s="739"/>
      <c r="L92" s="739"/>
      <c r="M92" s="739"/>
      <c r="N92" s="739"/>
      <c r="O92" s="739"/>
      <c r="P92" s="739"/>
      <c r="Q92" s="739"/>
      <c r="R92" s="739"/>
      <c r="S92" s="739"/>
      <c r="T92" s="739"/>
      <c r="U92" s="739"/>
      <c r="V92" s="739"/>
      <c r="W92" s="739"/>
      <c r="X92" s="739"/>
      <c r="Y92" s="739"/>
      <c r="Z92" s="739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40">
        <v>4607091386967</v>
      </c>
      <c r="E95" s="740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7" t="s">
        <v>208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40">
        <v>4680115884953</v>
      </c>
      <c r="E96" s="74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8" t="s">
        <v>212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789" t="s">
        <v>216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740">
        <v>4607091385731</v>
      </c>
      <c r="E98" s="74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790" t="s">
        <v>218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40">
        <v>4680115880894</v>
      </c>
      <c r="E99" s="74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40">
        <v>4680115880214</v>
      </c>
      <c r="E100" s="740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8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8.8533333333333335</v>
      </c>
      <c r="BN100" s="75">
        <f t="shared" si="18"/>
        <v>8.9640000000000004</v>
      </c>
      <c r="BO100" s="75">
        <f t="shared" si="19"/>
        <v>2.2446689113355778E-2</v>
      </c>
      <c r="BP100" s="75">
        <f t="shared" si="20"/>
        <v>2.2727272727272731E-2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40">
        <v>4680115880214</v>
      </c>
      <c r="E101" s="740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2"/>
      <c r="R101" s="742"/>
      <c r="S101" s="742"/>
      <c r="T101" s="743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2"/>
      <c r="B102" s="752"/>
      <c r="C102" s="752"/>
      <c r="D102" s="752"/>
      <c r="E102" s="752"/>
      <c r="F102" s="752"/>
      <c r="G102" s="752"/>
      <c r="H102" s="752"/>
      <c r="I102" s="752"/>
      <c r="J102" s="752"/>
      <c r="K102" s="752"/>
      <c r="L102" s="752"/>
      <c r="M102" s="752"/>
      <c r="N102" s="752"/>
      <c r="O102" s="753"/>
      <c r="P102" s="749" t="s">
        <v>40</v>
      </c>
      <c r="Q102" s="750"/>
      <c r="R102" s="750"/>
      <c r="S102" s="750"/>
      <c r="T102" s="750"/>
      <c r="U102" s="750"/>
      <c r="V102" s="751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2.9629629629629628</v>
      </c>
      <c r="Y102" s="41">
        <f>IFERROR(Y93/H93,"0")+IFERROR(Y94/H94,"0")+IFERROR(Y95/H95,"0")+IFERROR(Y96/H96,"0")+IFERROR(Y97/H97,"0")+IFERROR(Y98/H98,"0")+IFERROR(Y99/H99,"0")+IFERROR(Y100/H100,"0")+IFERROR(Y101/H101,"0")</f>
        <v>3.0000000000000004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2.7060000000000001E-2</v>
      </c>
      <c r="AA102" s="64"/>
      <c r="AB102" s="64"/>
      <c r="AC102" s="64"/>
    </row>
    <row r="103" spans="1:68" x14ac:dyDescent="0.2">
      <c r="A103" s="752"/>
      <c r="B103" s="752"/>
      <c r="C103" s="752"/>
      <c r="D103" s="752"/>
      <c r="E103" s="752"/>
      <c r="F103" s="752"/>
      <c r="G103" s="752"/>
      <c r="H103" s="752"/>
      <c r="I103" s="752"/>
      <c r="J103" s="752"/>
      <c r="K103" s="752"/>
      <c r="L103" s="752"/>
      <c r="M103" s="752"/>
      <c r="N103" s="752"/>
      <c r="O103" s="753"/>
      <c r="P103" s="749" t="s">
        <v>40</v>
      </c>
      <c r="Q103" s="750"/>
      <c r="R103" s="750"/>
      <c r="S103" s="750"/>
      <c r="T103" s="750"/>
      <c r="U103" s="750"/>
      <c r="V103" s="751"/>
      <c r="W103" s="40" t="s">
        <v>0</v>
      </c>
      <c r="X103" s="41">
        <f>IFERROR(SUM(X93:X101),"0")</f>
        <v>8</v>
      </c>
      <c r="Y103" s="41">
        <f>IFERROR(SUM(Y93:Y101),"0")</f>
        <v>8.1000000000000014</v>
      </c>
      <c r="Z103" s="40"/>
      <c r="AA103" s="64"/>
      <c r="AB103" s="64"/>
      <c r="AC103" s="64"/>
    </row>
    <row r="104" spans="1:68" ht="16.5" customHeight="1" x14ac:dyDescent="0.25">
      <c r="A104" s="738" t="s">
        <v>225</v>
      </c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  <c r="AA104" s="62"/>
      <c r="AB104" s="62"/>
      <c r="AC104" s="62"/>
    </row>
    <row r="105" spans="1:68" ht="14.25" customHeight="1" x14ac:dyDescent="0.25">
      <c r="A105" s="739" t="s">
        <v>109</v>
      </c>
      <c r="B105" s="739"/>
      <c r="C105" s="739"/>
      <c r="D105" s="739"/>
      <c r="E105" s="739"/>
      <c r="F105" s="739"/>
      <c r="G105" s="739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0">
        <v>4680115882133</v>
      </c>
      <c r="E106" s="740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40">
        <v>4680115880269</v>
      </c>
      <c r="E107" s="740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40">
        <v>4680115880429</v>
      </c>
      <c r="E108" s="740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40">
        <v>4680115881457</v>
      </c>
      <c r="E109" s="740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2"/>
      <c r="R109" s="742"/>
      <c r="S109" s="742"/>
      <c r="T109" s="74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2"/>
      <c r="B110" s="752"/>
      <c r="C110" s="752"/>
      <c r="D110" s="752"/>
      <c r="E110" s="752"/>
      <c r="F110" s="752"/>
      <c r="G110" s="752"/>
      <c r="H110" s="752"/>
      <c r="I110" s="752"/>
      <c r="J110" s="752"/>
      <c r="K110" s="752"/>
      <c r="L110" s="752"/>
      <c r="M110" s="752"/>
      <c r="N110" s="752"/>
      <c r="O110" s="753"/>
      <c r="P110" s="749" t="s">
        <v>40</v>
      </c>
      <c r="Q110" s="750"/>
      <c r="R110" s="750"/>
      <c r="S110" s="750"/>
      <c r="T110" s="750"/>
      <c r="U110" s="750"/>
      <c r="V110" s="751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752"/>
      <c r="B111" s="752"/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3"/>
      <c r="P111" s="749" t="s">
        <v>40</v>
      </c>
      <c r="Q111" s="750"/>
      <c r="R111" s="750"/>
      <c r="S111" s="750"/>
      <c r="T111" s="750"/>
      <c r="U111" s="750"/>
      <c r="V111" s="751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739" t="s">
        <v>149</v>
      </c>
      <c r="B112" s="739"/>
      <c r="C112" s="739"/>
      <c r="D112" s="739"/>
      <c r="E112" s="739"/>
      <c r="F112" s="739"/>
      <c r="G112" s="739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40">
        <v>4680115881488</v>
      </c>
      <c r="E113" s="740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40">
        <v>4680115882775</v>
      </c>
      <c r="E114" s="740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40">
        <v>4680115880658</v>
      </c>
      <c r="E115" s="740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2"/>
      <c r="R115" s="742"/>
      <c r="S115" s="742"/>
      <c r="T115" s="743"/>
      <c r="U115" s="37" t="s">
        <v>45</v>
      </c>
      <c r="V115" s="37" t="s">
        <v>45</v>
      </c>
      <c r="W115" s="38" t="s">
        <v>0</v>
      </c>
      <c r="X115" s="56">
        <v>40</v>
      </c>
      <c r="Y115" s="53">
        <f>IFERROR(IF(X115="",0,CEILING((X115/$H115),1)*$H115),"")</f>
        <v>40.799999999999997</v>
      </c>
      <c r="Z115" s="39">
        <f>IFERROR(IF(Y115=0,"",ROUNDUP(Y115/H115,0)*0.00651),"")</f>
        <v>0.11067</v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43</v>
      </c>
      <c r="BN115" s="75">
        <f>IFERROR(Y115*I115/H115,"0")</f>
        <v>43.86</v>
      </c>
      <c r="BO115" s="75">
        <f>IFERROR(1/J115*(X115/H115),"0")</f>
        <v>9.1575091575091583E-2</v>
      </c>
      <c r="BP115" s="75">
        <f>IFERROR(1/J115*(Y115/H115),"0")</f>
        <v>9.3406593406593408E-2</v>
      </c>
    </row>
    <row r="116" spans="1:68" x14ac:dyDescent="0.2">
      <c r="A116" s="752"/>
      <c r="B116" s="752"/>
      <c r="C116" s="752"/>
      <c r="D116" s="752"/>
      <c r="E116" s="752"/>
      <c r="F116" s="752"/>
      <c r="G116" s="752"/>
      <c r="H116" s="752"/>
      <c r="I116" s="752"/>
      <c r="J116" s="752"/>
      <c r="K116" s="752"/>
      <c r="L116" s="752"/>
      <c r="M116" s="752"/>
      <c r="N116" s="752"/>
      <c r="O116" s="753"/>
      <c r="P116" s="749" t="s">
        <v>40</v>
      </c>
      <c r="Q116" s="750"/>
      <c r="R116" s="750"/>
      <c r="S116" s="750"/>
      <c r="T116" s="750"/>
      <c r="U116" s="750"/>
      <c r="V116" s="751"/>
      <c r="W116" s="40" t="s">
        <v>39</v>
      </c>
      <c r="X116" s="41">
        <f>IFERROR(X113/H113,"0")+IFERROR(X114/H114,"0")+IFERROR(X115/H115,"0")</f>
        <v>16.666666666666668</v>
      </c>
      <c r="Y116" s="41">
        <f>IFERROR(Y113/H113,"0")+IFERROR(Y114/H114,"0")+IFERROR(Y115/H115,"0")</f>
        <v>17</v>
      </c>
      <c r="Z116" s="41">
        <f>IFERROR(IF(Z113="",0,Z113),"0")+IFERROR(IF(Z114="",0,Z114),"0")+IFERROR(IF(Z115="",0,Z115),"0")</f>
        <v>0.11067</v>
      </c>
      <c r="AA116" s="64"/>
      <c r="AB116" s="64"/>
      <c r="AC116" s="64"/>
    </row>
    <row r="117" spans="1:68" x14ac:dyDescent="0.2">
      <c r="A117" s="752"/>
      <c r="B117" s="752"/>
      <c r="C117" s="752"/>
      <c r="D117" s="752"/>
      <c r="E117" s="752"/>
      <c r="F117" s="752"/>
      <c r="G117" s="752"/>
      <c r="H117" s="752"/>
      <c r="I117" s="752"/>
      <c r="J117" s="752"/>
      <c r="K117" s="752"/>
      <c r="L117" s="752"/>
      <c r="M117" s="752"/>
      <c r="N117" s="752"/>
      <c r="O117" s="753"/>
      <c r="P117" s="749" t="s">
        <v>40</v>
      </c>
      <c r="Q117" s="750"/>
      <c r="R117" s="750"/>
      <c r="S117" s="750"/>
      <c r="T117" s="750"/>
      <c r="U117" s="750"/>
      <c r="V117" s="751"/>
      <c r="W117" s="40" t="s">
        <v>0</v>
      </c>
      <c r="X117" s="41">
        <f>IFERROR(SUM(X113:X115),"0")</f>
        <v>40</v>
      </c>
      <c r="Y117" s="41">
        <f>IFERROR(SUM(Y113:Y115),"0")</f>
        <v>40.799999999999997</v>
      </c>
      <c r="Z117" s="40"/>
      <c r="AA117" s="64"/>
      <c r="AB117" s="64"/>
      <c r="AC117" s="64"/>
    </row>
    <row r="118" spans="1:68" ht="14.25" customHeight="1" x14ac:dyDescent="0.25">
      <c r="A118" s="739" t="s">
        <v>78</v>
      </c>
      <c r="B118" s="739"/>
      <c r="C118" s="739"/>
      <c r="D118" s="739"/>
      <c r="E118" s="739"/>
      <c r="F118" s="739"/>
      <c r="G118" s="739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740">
        <v>4607091385168</v>
      </c>
      <c r="E120" s="740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2" t="s">
        <v>246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740">
        <v>4607091385168</v>
      </c>
      <c r="E121" s="740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740">
        <v>4607091383256</v>
      </c>
      <c r="E123" s="74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5" t="s">
        <v>253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740">
        <v>4607091385748</v>
      </c>
      <c r="E125" s="74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7" t="s">
        <v>257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740">
        <v>4680115884533</v>
      </c>
      <c r="E126" s="740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11</v>
      </c>
      <c r="Y126" s="53">
        <f t="shared" si="21"/>
        <v>12.6</v>
      </c>
      <c r="Z126" s="39">
        <f t="shared" si="26"/>
        <v>4.5569999999999999E-2</v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12.1</v>
      </c>
      <c r="BN126" s="75">
        <f t="shared" si="23"/>
        <v>13.86</v>
      </c>
      <c r="BO126" s="75">
        <f t="shared" si="24"/>
        <v>3.3577533577533576E-2</v>
      </c>
      <c r="BP126" s="75">
        <f t="shared" si="25"/>
        <v>3.8461538461538464E-2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740">
        <v>4680115882645</v>
      </c>
      <c r="E127" s="740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2"/>
      <c r="R127" s="742"/>
      <c r="S127" s="742"/>
      <c r="T127" s="743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752"/>
      <c r="B128" s="752"/>
      <c r="C128" s="752"/>
      <c r="D128" s="752"/>
      <c r="E128" s="752"/>
      <c r="F128" s="752"/>
      <c r="G128" s="752"/>
      <c r="H128" s="752"/>
      <c r="I128" s="752"/>
      <c r="J128" s="752"/>
      <c r="K128" s="752"/>
      <c r="L128" s="752"/>
      <c r="M128" s="752"/>
      <c r="N128" s="752"/>
      <c r="O128" s="753"/>
      <c r="P128" s="749" t="s">
        <v>40</v>
      </c>
      <c r="Q128" s="750"/>
      <c r="R128" s="750"/>
      <c r="S128" s="750"/>
      <c r="T128" s="750"/>
      <c r="U128" s="750"/>
      <c r="V128" s="751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6.1111111111111107</v>
      </c>
      <c r="Y128" s="41">
        <f>IFERROR(Y119/H119,"0")+IFERROR(Y120/H120,"0")+IFERROR(Y121/H121,"0")+IFERROR(Y122/H122,"0")+IFERROR(Y123/H123,"0")+IFERROR(Y124/H124,"0")+IFERROR(Y125/H125,"0")+IFERROR(Y126/H126,"0")+IFERROR(Y127/H127,"0")</f>
        <v>7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4.5569999999999999E-2</v>
      </c>
      <c r="AA128" s="64"/>
      <c r="AB128" s="64"/>
      <c r="AC128" s="64"/>
    </row>
    <row r="129" spans="1:68" x14ac:dyDescent="0.2">
      <c r="A129" s="752"/>
      <c r="B129" s="752"/>
      <c r="C129" s="752"/>
      <c r="D129" s="752"/>
      <c r="E129" s="752"/>
      <c r="F129" s="752"/>
      <c r="G129" s="752"/>
      <c r="H129" s="752"/>
      <c r="I129" s="752"/>
      <c r="J129" s="752"/>
      <c r="K129" s="752"/>
      <c r="L129" s="752"/>
      <c r="M129" s="752"/>
      <c r="N129" s="752"/>
      <c r="O129" s="753"/>
      <c r="P129" s="749" t="s">
        <v>40</v>
      </c>
      <c r="Q129" s="750"/>
      <c r="R129" s="750"/>
      <c r="S129" s="750"/>
      <c r="T129" s="750"/>
      <c r="U129" s="750"/>
      <c r="V129" s="751"/>
      <c r="W129" s="40" t="s">
        <v>0</v>
      </c>
      <c r="X129" s="41">
        <f>IFERROR(SUM(X119:X127),"0")</f>
        <v>11</v>
      </c>
      <c r="Y129" s="41">
        <f>IFERROR(SUM(Y119:Y127),"0")</f>
        <v>12.6</v>
      </c>
      <c r="Z129" s="40"/>
      <c r="AA129" s="64"/>
      <c r="AB129" s="64"/>
      <c r="AC129" s="64"/>
    </row>
    <row r="130" spans="1:68" ht="14.25" customHeight="1" x14ac:dyDescent="0.25">
      <c r="A130" s="739" t="s">
        <v>186</v>
      </c>
      <c r="B130" s="739"/>
      <c r="C130" s="739"/>
      <c r="D130" s="739"/>
      <c r="E130" s="739"/>
      <c r="F130" s="739"/>
      <c r="G130" s="739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740">
        <v>4680115882652</v>
      </c>
      <c r="E131" s="740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740">
        <v>4680115880238</v>
      </c>
      <c r="E132" s="74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2"/>
      <c r="R132" s="742"/>
      <c r="S132" s="742"/>
      <c r="T132" s="743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752"/>
      <c r="B133" s="752"/>
      <c r="C133" s="752"/>
      <c r="D133" s="752"/>
      <c r="E133" s="752"/>
      <c r="F133" s="752"/>
      <c r="G133" s="752"/>
      <c r="H133" s="752"/>
      <c r="I133" s="752"/>
      <c r="J133" s="752"/>
      <c r="K133" s="752"/>
      <c r="L133" s="752"/>
      <c r="M133" s="752"/>
      <c r="N133" s="752"/>
      <c r="O133" s="753"/>
      <c r="P133" s="749" t="s">
        <v>40</v>
      </c>
      <c r="Q133" s="750"/>
      <c r="R133" s="750"/>
      <c r="S133" s="750"/>
      <c r="T133" s="750"/>
      <c r="U133" s="750"/>
      <c r="V133" s="751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752"/>
      <c r="B134" s="752"/>
      <c r="C134" s="752"/>
      <c r="D134" s="752"/>
      <c r="E134" s="752"/>
      <c r="F134" s="752"/>
      <c r="G134" s="752"/>
      <c r="H134" s="752"/>
      <c r="I134" s="752"/>
      <c r="J134" s="752"/>
      <c r="K134" s="752"/>
      <c r="L134" s="752"/>
      <c r="M134" s="752"/>
      <c r="N134" s="752"/>
      <c r="O134" s="753"/>
      <c r="P134" s="749" t="s">
        <v>40</v>
      </c>
      <c r="Q134" s="750"/>
      <c r="R134" s="750"/>
      <c r="S134" s="750"/>
      <c r="T134" s="750"/>
      <c r="U134" s="750"/>
      <c r="V134" s="751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738" t="s">
        <v>270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62"/>
      <c r="AB135" s="62"/>
      <c r="AC135" s="62"/>
    </row>
    <row r="136" spans="1:68" ht="14.25" customHeight="1" x14ac:dyDescent="0.25">
      <c r="A136" s="739" t="s">
        <v>109</v>
      </c>
      <c r="B136" s="739"/>
      <c r="C136" s="739"/>
      <c r="D136" s="739"/>
      <c r="E136" s="739"/>
      <c r="F136" s="739"/>
      <c r="G136" s="739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740">
        <v>4680115882577</v>
      </c>
      <c r="E138" s="74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742"/>
      <c r="R138" s="742"/>
      <c r="S138" s="742"/>
      <c r="T138" s="74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52"/>
      <c r="B139" s="752"/>
      <c r="C139" s="752"/>
      <c r="D139" s="752"/>
      <c r="E139" s="752"/>
      <c r="F139" s="752"/>
      <c r="G139" s="752"/>
      <c r="H139" s="752"/>
      <c r="I139" s="752"/>
      <c r="J139" s="752"/>
      <c r="K139" s="752"/>
      <c r="L139" s="752"/>
      <c r="M139" s="752"/>
      <c r="N139" s="752"/>
      <c r="O139" s="753"/>
      <c r="P139" s="749" t="s">
        <v>40</v>
      </c>
      <c r="Q139" s="750"/>
      <c r="R139" s="750"/>
      <c r="S139" s="750"/>
      <c r="T139" s="750"/>
      <c r="U139" s="750"/>
      <c r="V139" s="75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752"/>
      <c r="B140" s="752"/>
      <c r="C140" s="752"/>
      <c r="D140" s="752"/>
      <c r="E140" s="752"/>
      <c r="F140" s="752"/>
      <c r="G140" s="752"/>
      <c r="H140" s="752"/>
      <c r="I140" s="752"/>
      <c r="J140" s="752"/>
      <c r="K140" s="752"/>
      <c r="L140" s="752"/>
      <c r="M140" s="752"/>
      <c r="N140" s="752"/>
      <c r="O140" s="753"/>
      <c r="P140" s="749" t="s">
        <v>40</v>
      </c>
      <c r="Q140" s="750"/>
      <c r="R140" s="750"/>
      <c r="S140" s="750"/>
      <c r="T140" s="750"/>
      <c r="U140" s="750"/>
      <c r="V140" s="75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739" t="s">
        <v>160</v>
      </c>
      <c r="B141" s="739"/>
      <c r="C141" s="739"/>
      <c r="D141" s="739"/>
      <c r="E141" s="739"/>
      <c r="F141" s="739"/>
      <c r="G141" s="739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740">
        <v>4680115883444</v>
      </c>
      <c r="E143" s="74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42"/>
      <c r="R143" s="742"/>
      <c r="S143" s="742"/>
      <c r="T143" s="74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52"/>
      <c r="B144" s="752"/>
      <c r="C144" s="752"/>
      <c r="D144" s="752"/>
      <c r="E144" s="752"/>
      <c r="F144" s="752"/>
      <c r="G144" s="752"/>
      <c r="H144" s="752"/>
      <c r="I144" s="752"/>
      <c r="J144" s="752"/>
      <c r="K144" s="752"/>
      <c r="L144" s="752"/>
      <c r="M144" s="752"/>
      <c r="N144" s="752"/>
      <c r="O144" s="753"/>
      <c r="P144" s="749" t="s">
        <v>40</v>
      </c>
      <c r="Q144" s="750"/>
      <c r="R144" s="750"/>
      <c r="S144" s="750"/>
      <c r="T144" s="750"/>
      <c r="U144" s="750"/>
      <c r="V144" s="75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752"/>
      <c r="B145" s="752"/>
      <c r="C145" s="752"/>
      <c r="D145" s="752"/>
      <c r="E145" s="752"/>
      <c r="F145" s="752"/>
      <c r="G145" s="752"/>
      <c r="H145" s="752"/>
      <c r="I145" s="752"/>
      <c r="J145" s="752"/>
      <c r="K145" s="752"/>
      <c r="L145" s="752"/>
      <c r="M145" s="752"/>
      <c r="N145" s="752"/>
      <c r="O145" s="753"/>
      <c r="P145" s="749" t="s">
        <v>40</v>
      </c>
      <c r="Q145" s="750"/>
      <c r="R145" s="750"/>
      <c r="S145" s="750"/>
      <c r="T145" s="750"/>
      <c r="U145" s="750"/>
      <c r="V145" s="75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739" t="s">
        <v>78</v>
      </c>
      <c r="B146" s="739"/>
      <c r="C146" s="739"/>
      <c r="D146" s="739"/>
      <c r="E146" s="739"/>
      <c r="F146" s="739"/>
      <c r="G146" s="739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740">
        <v>4680115882584</v>
      </c>
      <c r="E148" s="74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2"/>
      <c r="R148" s="742"/>
      <c r="S148" s="742"/>
      <c r="T148" s="74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752"/>
      <c r="B149" s="752"/>
      <c r="C149" s="752"/>
      <c r="D149" s="752"/>
      <c r="E149" s="752"/>
      <c r="F149" s="752"/>
      <c r="G149" s="752"/>
      <c r="H149" s="752"/>
      <c r="I149" s="752"/>
      <c r="J149" s="752"/>
      <c r="K149" s="752"/>
      <c r="L149" s="752"/>
      <c r="M149" s="752"/>
      <c r="N149" s="752"/>
      <c r="O149" s="753"/>
      <c r="P149" s="749" t="s">
        <v>40</v>
      </c>
      <c r="Q149" s="750"/>
      <c r="R149" s="750"/>
      <c r="S149" s="750"/>
      <c r="T149" s="750"/>
      <c r="U149" s="750"/>
      <c r="V149" s="751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752"/>
      <c r="B150" s="752"/>
      <c r="C150" s="752"/>
      <c r="D150" s="752"/>
      <c r="E150" s="752"/>
      <c r="F150" s="752"/>
      <c r="G150" s="752"/>
      <c r="H150" s="752"/>
      <c r="I150" s="752"/>
      <c r="J150" s="752"/>
      <c r="K150" s="752"/>
      <c r="L150" s="752"/>
      <c r="M150" s="752"/>
      <c r="N150" s="752"/>
      <c r="O150" s="753"/>
      <c r="P150" s="749" t="s">
        <v>40</v>
      </c>
      <c r="Q150" s="750"/>
      <c r="R150" s="750"/>
      <c r="S150" s="750"/>
      <c r="T150" s="750"/>
      <c r="U150" s="750"/>
      <c r="V150" s="751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738" t="s">
        <v>107</v>
      </c>
      <c r="B151" s="738"/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62"/>
      <c r="AB151" s="62"/>
      <c r="AC151" s="62"/>
    </row>
    <row r="152" spans="1:68" ht="14.25" customHeight="1" x14ac:dyDescent="0.25">
      <c r="A152" s="739" t="s">
        <v>109</v>
      </c>
      <c r="B152" s="739"/>
      <c r="C152" s="739"/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740">
        <v>4607091384604</v>
      </c>
      <c r="E153" s="740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2"/>
      <c r="R153" s="742"/>
      <c r="S153" s="742"/>
      <c r="T153" s="74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752"/>
      <c r="B154" s="752"/>
      <c r="C154" s="752"/>
      <c r="D154" s="752"/>
      <c r="E154" s="752"/>
      <c r="F154" s="752"/>
      <c r="G154" s="752"/>
      <c r="H154" s="752"/>
      <c r="I154" s="752"/>
      <c r="J154" s="752"/>
      <c r="K154" s="752"/>
      <c r="L154" s="752"/>
      <c r="M154" s="752"/>
      <c r="N154" s="752"/>
      <c r="O154" s="753"/>
      <c r="P154" s="749" t="s">
        <v>40</v>
      </c>
      <c r="Q154" s="750"/>
      <c r="R154" s="750"/>
      <c r="S154" s="750"/>
      <c r="T154" s="750"/>
      <c r="U154" s="750"/>
      <c r="V154" s="751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752"/>
      <c r="B155" s="752"/>
      <c r="C155" s="752"/>
      <c r="D155" s="752"/>
      <c r="E155" s="752"/>
      <c r="F155" s="752"/>
      <c r="G155" s="752"/>
      <c r="H155" s="752"/>
      <c r="I155" s="752"/>
      <c r="J155" s="752"/>
      <c r="K155" s="752"/>
      <c r="L155" s="752"/>
      <c r="M155" s="752"/>
      <c r="N155" s="752"/>
      <c r="O155" s="753"/>
      <c r="P155" s="749" t="s">
        <v>40</v>
      </c>
      <c r="Q155" s="750"/>
      <c r="R155" s="750"/>
      <c r="S155" s="750"/>
      <c r="T155" s="750"/>
      <c r="U155" s="750"/>
      <c r="V155" s="751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739" t="s">
        <v>160</v>
      </c>
      <c r="B156" s="739"/>
      <c r="C156" s="739"/>
      <c r="D156" s="739"/>
      <c r="E156" s="739"/>
      <c r="F156" s="739"/>
      <c r="G156" s="739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40">
        <v>4607091387667</v>
      </c>
      <c r="E157" s="740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40">
        <v>4607091387636</v>
      </c>
      <c r="E158" s="740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40">
        <v>4607091382426</v>
      </c>
      <c r="E159" s="740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740">
        <v>4607091386547</v>
      </c>
      <c r="E160" s="740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2"/>
      <c r="R160" s="742"/>
      <c r="S160" s="742"/>
      <c r="T160" s="743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2"/>
      <c r="B161" s="752"/>
      <c r="C161" s="752"/>
      <c r="D161" s="752"/>
      <c r="E161" s="752"/>
      <c r="F161" s="752"/>
      <c r="G161" s="752"/>
      <c r="H161" s="752"/>
      <c r="I161" s="752"/>
      <c r="J161" s="752"/>
      <c r="K161" s="752"/>
      <c r="L161" s="752"/>
      <c r="M161" s="752"/>
      <c r="N161" s="752"/>
      <c r="O161" s="753"/>
      <c r="P161" s="749" t="s">
        <v>40</v>
      </c>
      <c r="Q161" s="750"/>
      <c r="R161" s="750"/>
      <c r="S161" s="750"/>
      <c r="T161" s="750"/>
      <c r="U161" s="750"/>
      <c r="V161" s="751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752"/>
      <c r="B162" s="752"/>
      <c r="C162" s="752"/>
      <c r="D162" s="752"/>
      <c r="E162" s="752"/>
      <c r="F162" s="752"/>
      <c r="G162" s="752"/>
      <c r="H162" s="752"/>
      <c r="I162" s="752"/>
      <c r="J162" s="752"/>
      <c r="K162" s="752"/>
      <c r="L162" s="752"/>
      <c r="M162" s="752"/>
      <c r="N162" s="752"/>
      <c r="O162" s="753"/>
      <c r="P162" s="749" t="s">
        <v>40</v>
      </c>
      <c r="Q162" s="750"/>
      <c r="R162" s="750"/>
      <c r="S162" s="750"/>
      <c r="T162" s="750"/>
      <c r="U162" s="750"/>
      <c r="V162" s="751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739" t="s">
        <v>78</v>
      </c>
      <c r="B163" s="739"/>
      <c r="C163" s="739"/>
      <c r="D163" s="739"/>
      <c r="E163" s="739"/>
      <c r="F163" s="739"/>
      <c r="G163" s="739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40">
        <v>4607091386264</v>
      </c>
      <c r="E164" s="740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2"/>
      <c r="B165" s="752"/>
      <c r="C165" s="752"/>
      <c r="D165" s="752"/>
      <c r="E165" s="752"/>
      <c r="F165" s="752"/>
      <c r="G165" s="752"/>
      <c r="H165" s="752"/>
      <c r="I165" s="752"/>
      <c r="J165" s="752"/>
      <c r="K165" s="752"/>
      <c r="L165" s="752"/>
      <c r="M165" s="752"/>
      <c r="N165" s="752"/>
      <c r="O165" s="753"/>
      <c r="P165" s="749" t="s">
        <v>40</v>
      </c>
      <c r="Q165" s="750"/>
      <c r="R165" s="750"/>
      <c r="S165" s="750"/>
      <c r="T165" s="750"/>
      <c r="U165" s="750"/>
      <c r="V165" s="751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752"/>
      <c r="B166" s="752"/>
      <c r="C166" s="752"/>
      <c r="D166" s="752"/>
      <c r="E166" s="752"/>
      <c r="F166" s="752"/>
      <c r="G166" s="752"/>
      <c r="H166" s="752"/>
      <c r="I166" s="752"/>
      <c r="J166" s="752"/>
      <c r="K166" s="752"/>
      <c r="L166" s="752"/>
      <c r="M166" s="752"/>
      <c r="N166" s="752"/>
      <c r="O166" s="753"/>
      <c r="P166" s="749" t="s">
        <v>40</v>
      </c>
      <c r="Q166" s="750"/>
      <c r="R166" s="750"/>
      <c r="S166" s="750"/>
      <c r="T166" s="750"/>
      <c r="U166" s="750"/>
      <c r="V166" s="751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37" t="s">
        <v>299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customHeight="1" x14ac:dyDescent="0.25">
      <c r="A168" s="738" t="s">
        <v>300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customHeight="1" x14ac:dyDescent="0.25">
      <c r="A169" s="739" t="s">
        <v>149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2"/>
      <c r="B171" s="752"/>
      <c r="C171" s="752"/>
      <c r="D171" s="752"/>
      <c r="E171" s="752"/>
      <c r="F171" s="752"/>
      <c r="G171" s="752"/>
      <c r="H171" s="752"/>
      <c r="I171" s="752"/>
      <c r="J171" s="752"/>
      <c r="K171" s="752"/>
      <c r="L171" s="752"/>
      <c r="M171" s="752"/>
      <c r="N171" s="752"/>
      <c r="O171" s="753"/>
      <c r="P171" s="749" t="s">
        <v>40</v>
      </c>
      <c r="Q171" s="750"/>
      <c r="R171" s="750"/>
      <c r="S171" s="750"/>
      <c r="T171" s="750"/>
      <c r="U171" s="750"/>
      <c r="V171" s="751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2"/>
      <c r="B172" s="752"/>
      <c r="C172" s="752"/>
      <c r="D172" s="752"/>
      <c r="E172" s="752"/>
      <c r="F172" s="752"/>
      <c r="G172" s="752"/>
      <c r="H172" s="752"/>
      <c r="I172" s="752"/>
      <c r="J172" s="752"/>
      <c r="K172" s="752"/>
      <c r="L172" s="752"/>
      <c r="M172" s="752"/>
      <c r="N172" s="752"/>
      <c r="O172" s="753"/>
      <c r="P172" s="749" t="s">
        <v>40</v>
      </c>
      <c r="Q172" s="750"/>
      <c r="R172" s="750"/>
      <c r="S172" s="750"/>
      <c r="T172" s="750"/>
      <c r="U172" s="750"/>
      <c r="V172" s="751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9" t="s">
        <v>160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7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210</v>
      </c>
      <c r="BN176" s="75">
        <f t="shared" si="29"/>
        <v>211.68000000000004</v>
      </c>
      <c r="BO176" s="75">
        <f t="shared" si="30"/>
        <v>0.36075036075036077</v>
      </c>
      <c r="BP176" s="75">
        <f t="shared" si="31"/>
        <v>0.36363636363636365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0" t="s">
        <v>319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752"/>
      <c r="B183" s="752"/>
      <c r="C183" s="752"/>
      <c r="D183" s="752"/>
      <c r="E183" s="752"/>
      <c r="F183" s="752"/>
      <c r="G183" s="752"/>
      <c r="H183" s="752"/>
      <c r="I183" s="752"/>
      <c r="J183" s="752"/>
      <c r="K183" s="752"/>
      <c r="L183" s="752"/>
      <c r="M183" s="752"/>
      <c r="N183" s="752"/>
      <c r="O183" s="753"/>
      <c r="P183" s="749" t="s">
        <v>40</v>
      </c>
      <c r="Q183" s="750"/>
      <c r="R183" s="750"/>
      <c r="S183" s="750"/>
      <c r="T183" s="750"/>
      <c r="U183" s="750"/>
      <c r="V183" s="751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47.61904761904762</v>
      </c>
      <c r="Y183" s="41">
        <f>IFERROR(Y174/H174,"0")+IFERROR(Y175/H175,"0")+IFERROR(Y176/H176,"0")+IFERROR(Y177/H177,"0")+IFERROR(Y178/H178,"0")+IFERROR(Y179/H179,"0")+IFERROR(Y180/H180,"0")+IFERROR(Y181/H181,"0")+IFERROR(Y182/H182,"0")</f>
        <v>48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0.43296000000000001</v>
      </c>
      <c r="AA183" s="64"/>
      <c r="AB183" s="64"/>
      <c r="AC183" s="64"/>
    </row>
    <row r="184" spans="1:68" x14ac:dyDescent="0.2">
      <c r="A184" s="752"/>
      <c r="B184" s="752"/>
      <c r="C184" s="752"/>
      <c r="D184" s="752"/>
      <c r="E184" s="752"/>
      <c r="F184" s="752"/>
      <c r="G184" s="752"/>
      <c r="H184" s="752"/>
      <c r="I184" s="752"/>
      <c r="J184" s="752"/>
      <c r="K184" s="752"/>
      <c r="L184" s="752"/>
      <c r="M184" s="752"/>
      <c r="N184" s="752"/>
      <c r="O184" s="753"/>
      <c r="P184" s="749" t="s">
        <v>40</v>
      </c>
      <c r="Q184" s="750"/>
      <c r="R184" s="750"/>
      <c r="S184" s="750"/>
      <c r="T184" s="750"/>
      <c r="U184" s="750"/>
      <c r="V184" s="751"/>
      <c r="W184" s="40" t="s">
        <v>0</v>
      </c>
      <c r="X184" s="41">
        <f>IFERROR(SUM(X174:X182),"0")</f>
        <v>200</v>
      </c>
      <c r="Y184" s="41">
        <f>IFERROR(SUM(Y174:Y182),"0")</f>
        <v>201.60000000000002</v>
      </c>
      <c r="Z184" s="40"/>
      <c r="AA184" s="64"/>
      <c r="AB184" s="64"/>
      <c r="AC184" s="64"/>
    </row>
    <row r="185" spans="1:68" ht="14.25" customHeight="1" x14ac:dyDescent="0.25">
      <c r="A185" s="739" t="s">
        <v>101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34" t="s">
        <v>330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2"/>
      <c r="B187" s="752"/>
      <c r="C187" s="752"/>
      <c r="D187" s="752"/>
      <c r="E187" s="752"/>
      <c r="F187" s="752"/>
      <c r="G187" s="752"/>
      <c r="H187" s="752"/>
      <c r="I187" s="752"/>
      <c r="J187" s="752"/>
      <c r="K187" s="752"/>
      <c r="L187" s="752"/>
      <c r="M187" s="752"/>
      <c r="N187" s="752"/>
      <c r="O187" s="753"/>
      <c r="P187" s="749" t="s">
        <v>40</v>
      </c>
      <c r="Q187" s="750"/>
      <c r="R187" s="750"/>
      <c r="S187" s="750"/>
      <c r="T187" s="750"/>
      <c r="U187" s="750"/>
      <c r="V187" s="751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2"/>
      <c r="B188" s="752"/>
      <c r="C188" s="752"/>
      <c r="D188" s="752"/>
      <c r="E188" s="752"/>
      <c r="F188" s="752"/>
      <c r="G188" s="752"/>
      <c r="H188" s="752"/>
      <c r="I188" s="752"/>
      <c r="J188" s="752"/>
      <c r="K188" s="752"/>
      <c r="L188" s="752"/>
      <c r="M188" s="752"/>
      <c r="N188" s="752"/>
      <c r="O188" s="753"/>
      <c r="P188" s="749" t="s">
        <v>40</v>
      </c>
      <c r="Q188" s="750"/>
      <c r="R188" s="750"/>
      <c r="S188" s="750"/>
      <c r="T188" s="750"/>
      <c r="U188" s="750"/>
      <c r="V188" s="751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8" t="s">
        <v>334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customHeight="1" x14ac:dyDescent="0.25">
      <c r="A190" s="739" t="s">
        <v>109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2"/>
      <c r="B193" s="752"/>
      <c r="C193" s="752"/>
      <c r="D193" s="752"/>
      <c r="E193" s="752"/>
      <c r="F193" s="752"/>
      <c r="G193" s="752"/>
      <c r="H193" s="752"/>
      <c r="I193" s="752"/>
      <c r="J193" s="752"/>
      <c r="K193" s="752"/>
      <c r="L193" s="752"/>
      <c r="M193" s="752"/>
      <c r="N193" s="752"/>
      <c r="O193" s="753"/>
      <c r="P193" s="749" t="s">
        <v>40</v>
      </c>
      <c r="Q193" s="750"/>
      <c r="R193" s="750"/>
      <c r="S193" s="750"/>
      <c r="T193" s="750"/>
      <c r="U193" s="750"/>
      <c r="V193" s="751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2"/>
      <c r="B194" s="752"/>
      <c r="C194" s="752"/>
      <c r="D194" s="752"/>
      <c r="E194" s="752"/>
      <c r="F194" s="752"/>
      <c r="G194" s="752"/>
      <c r="H194" s="752"/>
      <c r="I194" s="752"/>
      <c r="J194" s="752"/>
      <c r="K194" s="752"/>
      <c r="L194" s="752"/>
      <c r="M194" s="752"/>
      <c r="N194" s="752"/>
      <c r="O194" s="753"/>
      <c r="P194" s="749" t="s">
        <v>40</v>
      </c>
      <c r="Q194" s="750"/>
      <c r="R194" s="750"/>
      <c r="S194" s="750"/>
      <c r="T194" s="750"/>
      <c r="U194" s="750"/>
      <c r="V194" s="751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9" t="s">
        <v>149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2"/>
      <c r="B198" s="752"/>
      <c r="C198" s="752"/>
      <c r="D198" s="752"/>
      <c r="E198" s="752"/>
      <c r="F198" s="752"/>
      <c r="G198" s="752"/>
      <c r="H198" s="752"/>
      <c r="I198" s="752"/>
      <c r="J198" s="752"/>
      <c r="K198" s="752"/>
      <c r="L198" s="752"/>
      <c r="M198" s="752"/>
      <c r="N198" s="752"/>
      <c r="O198" s="753"/>
      <c r="P198" s="749" t="s">
        <v>40</v>
      </c>
      <c r="Q198" s="750"/>
      <c r="R198" s="750"/>
      <c r="S198" s="750"/>
      <c r="T198" s="750"/>
      <c r="U198" s="750"/>
      <c r="V198" s="751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752"/>
      <c r="B199" s="752"/>
      <c r="C199" s="752"/>
      <c r="D199" s="752"/>
      <c r="E199" s="752"/>
      <c r="F199" s="752"/>
      <c r="G199" s="752"/>
      <c r="H199" s="752"/>
      <c r="I199" s="752"/>
      <c r="J199" s="752"/>
      <c r="K199" s="752"/>
      <c r="L199" s="752"/>
      <c r="M199" s="752"/>
      <c r="N199" s="752"/>
      <c r="O199" s="753"/>
      <c r="P199" s="749" t="s">
        <v>40</v>
      </c>
      <c r="Q199" s="750"/>
      <c r="R199" s="750"/>
      <c r="S199" s="750"/>
      <c r="T199" s="750"/>
      <c r="U199" s="750"/>
      <c r="V199" s="751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customHeight="1" x14ac:dyDescent="0.25">
      <c r="A200" s="739" t="s">
        <v>160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625</v>
      </c>
      <c r="Y201" s="53">
        <f t="shared" ref="Y201:Y208" si="32">IFERROR(IF(X201="",0,CEILING((X201/$H201),1)*$H201),"")</f>
        <v>626.40000000000009</v>
      </c>
      <c r="Z201" s="39">
        <f>IFERROR(IF(Y201=0,"",ROUNDUP(Y201/H201,0)*0.00902),"")</f>
        <v>1.0463200000000001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649.30555555555554</v>
      </c>
      <c r="BN201" s="75">
        <f t="shared" ref="BN201:BN208" si="34">IFERROR(Y201*I201/H201,"0")</f>
        <v>650.7600000000001</v>
      </c>
      <c r="BO201" s="75">
        <f t="shared" ref="BO201:BO208" si="35">IFERROR(1/J201*(X201/H201),"0")</f>
        <v>0.87682379349046013</v>
      </c>
      <c r="BP201" s="75">
        <f t="shared" ref="BP201:BP208" si="36">IFERROR(1/J201*(Y201/H201),"0")</f>
        <v>0.8787878787878789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375</v>
      </c>
      <c r="Y202" s="53">
        <f t="shared" si="32"/>
        <v>378</v>
      </c>
      <c r="Z202" s="39">
        <f>IFERROR(IF(Y202=0,"",ROUNDUP(Y202/H202,0)*0.00902),"")</f>
        <v>0.63139999999999996</v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389.58333333333331</v>
      </c>
      <c r="BN202" s="75">
        <f t="shared" si="34"/>
        <v>392.7</v>
      </c>
      <c r="BO202" s="75">
        <f t="shared" si="35"/>
        <v>0.52609427609427606</v>
      </c>
      <c r="BP202" s="75">
        <f t="shared" si="36"/>
        <v>0.53030303030303028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725</v>
      </c>
      <c r="Y203" s="53">
        <f t="shared" si="32"/>
        <v>729</v>
      </c>
      <c r="Z203" s="39">
        <f>IFERROR(IF(Y203=0,"",ROUNDUP(Y203/H203,0)*0.00902),"")</f>
        <v>1.2177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753.19444444444446</v>
      </c>
      <c r="BN203" s="75">
        <f t="shared" si="34"/>
        <v>757.34999999999991</v>
      </c>
      <c r="BO203" s="75">
        <f t="shared" si="35"/>
        <v>1.0171156004489337</v>
      </c>
      <c r="BP203" s="75">
        <f t="shared" si="36"/>
        <v>1.0227272727272727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725</v>
      </c>
      <c r="Y204" s="53">
        <f t="shared" si="32"/>
        <v>729</v>
      </c>
      <c r="Z204" s="39">
        <f>IFERROR(IF(Y204=0,"",ROUNDUP(Y204/H204,0)*0.00902),"")</f>
        <v>1.2177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753.19444444444446</v>
      </c>
      <c r="BN204" s="75">
        <f t="shared" si="34"/>
        <v>757.34999999999991</v>
      </c>
      <c r="BO204" s="75">
        <f t="shared" si="35"/>
        <v>1.0171156004489337</v>
      </c>
      <c r="BP204" s="75">
        <f t="shared" si="36"/>
        <v>1.0227272727272727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2"/>
      <c r="B209" s="752"/>
      <c r="C209" s="752"/>
      <c r="D209" s="752"/>
      <c r="E209" s="752"/>
      <c r="F209" s="752"/>
      <c r="G209" s="752"/>
      <c r="H209" s="752"/>
      <c r="I209" s="752"/>
      <c r="J209" s="752"/>
      <c r="K209" s="752"/>
      <c r="L209" s="752"/>
      <c r="M209" s="752"/>
      <c r="N209" s="752"/>
      <c r="O209" s="753"/>
      <c r="P209" s="749" t="s">
        <v>40</v>
      </c>
      <c r="Q209" s="750"/>
      <c r="R209" s="750"/>
      <c r="S209" s="750"/>
      <c r="T209" s="750"/>
      <c r="U209" s="750"/>
      <c r="V209" s="751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453.70370370370364</v>
      </c>
      <c r="Y209" s="41">
        <f>IFERROR(Y201/H201,"0")+IFERROR(Y202/H202,"0")+IFERROR(Y203/H203,"0")+IFERROR(Y204/H204,"0")+IFERROR(Y205/H205,"0")+IFERROR(Y206/H206,"0")+IFERROR(Y207/H207,"0")+IFERROR(Y208/H208,"0")</f>
        <v>456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4.1131200000000003</v>
      </c>
      <c r="AA209" s="64"/>
      <c r="AB209" s="64"/>
      <c r="AC209" s="64"/>
    </row>
    <row r="210" spans="1:68" x14ac:dyDescent="0.2">
      <c r="A210" s="752"/>
      <c r="B210" s="752"/>
      <c r="C210" s="752"/>
      <c r="D210" s="752"/>
      <c r="E210" s="752"/>
      <c r="F210" s="752"/>
      <c r="G210" s="752"/>
      <c r="H210" s="752"/>
      <c r="I210" s="752"/>
      <c r="J210" s="752"/>
      <c r="K210" s="752"/>
      <c r="L210" s="752"/>
      <c r="M210" s="752"/>
      <c r="N210" s="752"/>
      <c r="O210" s="753"/>
      <c r="P210" s="749" t="s">
        <v>40</v>
      </c>
      <c r="Q210" s="750"/>
      <c r="R210" s="750"/>
      <c r="S210" s="750"/>
      <c r="T210" s="750"/>
      <c r="U210" s="750"/>
      <c r="V210" s="751"/>
      <c r="W210" s="40" t="s">
        <v>0</v>
      </c>
      <c r="X210" s="41">
        <f>IFERROR(SUM(X201:X208),"0")</f>
        <v>2450</v>
      </c>
      <c r="Y210" s="41">
        <f>IFERROR(SUM(Y201:Y208),"0")</f>
        <v>2462.4</v>
      </c>
      <c r="Z210" s="40"/>
      <c r="AA210" s="64"/>
      <c r="AB210" s="64"/>
      <c r="AC210" s="64"/>
    </row>
    <row r="211" spans="1:68" ht="14.25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57</v>
      </c>
      <c r="Y217" s="53">
        <f t="shared" si="37"/>
        <v>57.599999999999994</v>
      </c>
      <c r="Z217" s="39">
        <f t="shared" si="42"/>
        <v>0.15623999999999999</v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62.985000000000007</v>
      </c>
      <c r="BN217" s="75">
        <f t="shared" si="39"/>
        <v>63.648000000000003</v>
      </c>
      <c r="BO217" s="75">
        <f t="shared" si="40"/>
        <v>0.1304945054945055</v>
      </c>
      <c r="BP217" s="75">
        <f t="shared" si="41"/>
        <v>0.13186813186813187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55</v>
      </c>
      <c r="Y219" s="53">
        <f t="shared" si="37"/>
        <v>55.199999999999996</v>
      </c>
      <c r="Z219" s="39">
        <f t="shared" si="42"/>
        <v>0.14973</v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60.775000000000006</v>
      </c>
      <c r="BN219" s="75">
        <f t="shared" si="39"/>
        <v>60.996000000000002</v>
      </c>
      <c r="BO219" s="75">
        <f t="shared" si="40"/>
        <v>0.12591575091575094</v>
      </c>
      <c r="BP219" s="75">
        <f t="shared" si="41"/>
        <v>0.1263736263736264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64</v>
      </c>
      <c r="Y220" s="53">
        <f t="shared" si="37"/>
        <v>64.8</v>
      </c>
      <c r="Z220" s="39">
        <f t="shared" si="42"/>
        <v>0.17577000000000001</v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70.88</v>
      </c>
      <c r="BN220" s="75">
        <f t="shared" si="39"/>
        <v>71.765999999999991</v>
      </c>
      <c r="BO220" s="75">
        <f t="shared" si="40"/>
        <v>0.14652014652014653</v>
      </c>
      <c r="BP220" s="75">
        <f t="shared" si="41"/>
        <v>0.14835164835164835</v>
      </c>
    </row>
    <row r="221" spans="1:68" x14ac:dyDescent="0.2">
      <c r="A221" s="752"/>
      <c r="B221" s="752"/>
      <c r="C221" s="752"/>
      <c r="D221" s="752"/>
      <c r="E221" s="752"/>
      <c r="F221" s="752"/>
      <c r="G221" s="752"/>
      <c r="H221" s="752"/>
      <c r="I221" s="752"/>
      <c r="J221" s="752"/>
      <c r="K221" s="752"/>
      <c r="L221" s="752"/>
      <c r="M221" s="752"/>
      <c r="N221" s="752"/>
      <c r="O221" s="753"/>
      <c r="P221" s="749" t="s">
        <v>40</v>
      </c>
      <c r="Q221" s="750"/>
      <c r="R221" s="750"/>
      <c r="S221" s="750"/>
      <c r="T221" s="750"/>
      <c r="U221" s="750"/>
      <c r="V221" s="751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119.31034482758622</v>
      </c>
      <c r="Y221" s="41">
        <f>IFERROR(Y212/H212,"0")+IFERROR(Y213/H213,"0")+IFERROR(Y214/H214,"0")+IFERROR(Y215/H215,"0")+IFERROR(Y216/H216,"0")+IFERROR(Y217/H217,"0")+IFERROR(Y218/H218,"0")+IFERROR(Y219/H219,"0")+IFERROR(Y220/H220,"0")</f>
        <v>120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1.3548199999999999</v>
      </c>
      <c r="AA221" s="64"/>
      <c r="AB221" s="64"/>
      <c r="AC221" s="64"/>
    </row>
    <row r="222" spans="1:68" x14ac:dyDescent="0.2">
      <c r="A222" s="752"/>
      <c r="B222" s="752"/>
      <c r="C222" s="752"/>
      <c r="D222" s="752"/>
      <c r="E222" s="752"/>
      <c r="F222" s="752"/>
      <c r="G222" s="752"/>
      <c r="H222" s="752"/>
      <c r="I222" s="752"/>
      <c r="J222" s="752"/>
      <c r="K222" s="752"/>
      <c r="L222" s="752"/>
      <c r="M222" s="752"/>
      <c r="N222" s="752"/>
      <c r="O222" s="753"/>
      <c r="P222" s="749" t="s">
        <v>40</v>
      </c>
      <c r="Q222" s="750"/>
      <c r="R222" s="750"/>
      <c r="S222" s="750"/>
      <c r="T222" s="750"/>
      <c r="U222" s="750"/>
      <c r="V222" s="751"/>
      <c r="W222" s="40" t="s">
        <v>0</v>
      </c>
      <c r="X222" s="41">
        <f>IFERROR(SUM(X212:X220),"0")</f>
        <v>576</v>
      </c>
      <c r="Y222" s="41">
        <f>IFERROR(SUM(Y212:Y220),"0")</f>
        <v>577.79999999999995</v>
      </c>
      <c r="Z222" s="40"/>
      <c r="AA222" s="64"/>
      <c r="AB222" s="64"/>
      <c r="AC222" s="64"/>
    </row>
    <row r="223" spans="1:68" ht="14.25" customHeight="1" x14ac:dyDescent="0.25">
      <c r="A223" s="739" t="s">
        <v>186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40</v>
      </c>
      <c r="Y224" s="53">
        <f>IFERROR(IF(X224="",0,CEILING((X224/$H224),1)*$H224),"")</f>
        <v>40.799999999999997</v>
      </c>
      <c r="Z224" s="39">
        <f>IFERROR(IF(Y224=0,"",ROUNDUP(Y224/H224,0)*0.00651),"")</f>
        <v>0.11067</v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44.20000000000001</v>
      </c>
      <c r="BN224" s="75">
        <f>IFERROR(Y224*I224/H224,"0")</f>
        <v>45.084000000000003</v>
      </c>
      <c r="BO224" s="75">
        <f>IFERROR(1/J224*(X224/H224),"0")</f>
        <v>9.1575091575091583E-2</v>
      </c>
      <c r="BP224" s="75">
        <f>IFERROR(1/J224*(Y224/H224),"0")</f>
        <v>9.3406593406593408E-2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2"/>
      <c r="B226" s="752"/>
      <c r="C226" s="752"/>
      <c r="D226" s="752"/>
      <c r="E226" s="752"/>
      <c r="F226" s="752"/>
      <c r="G226" s="752"/>
      <c r="H226" s="752"/>
      <c r="I226" s="752"/>
      <c r="J226" s="752"/>
      <c r="K226" s="752"/>
      <c r="L226" s="752"/>
      <c r="M226" s="752"/>
      <c r="N226" s="752"/>
      <c r="O226" s="753"/>
      <c r="P226" s="749" t="s">
        <v>40</v>
      </c>
      <c r="Q226" s="750"/>
      <c r="R226" s="750"/>
      <c r="S226" s="750"/>
      <c r="T226" s="750"/>
      <c r="U226" s="750"/>
      <c r="V226" s="751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752"/>
      <c r="B227" s="752"/>
      <c r="C227" s="752"/>
      <c r="D227" s="752"/>
      <c r="E227" s="752"/>
      <c r="F227" s="752"/>
      <c r="G227" s="752"/>
      <c r="H227" s="752"/>
      <c r="I227" s="752"/>
      <c r="J227" s="752"/>
      <c r="K227" s="752"/>
      <c r="L227" s="752"/>
      <c r="M227" s="752"/>
      <c r="N227" s="752"/>
      <c r="O227" s="753"/>
      <c r="P227" s="749" t="s">
        <v>40</v>
      </c>
      <c r="Q227" s="750"/>
      <c r="R227" s="750"/>
      <c r="S227" s="750"/>
      <c r="T227" s="750"/>
      <c r="U227" s="750"/>
      <c r="V227" s="751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customHeight="1" x14ac:dyDescent="0.25">
      <c r="A228" s="738" t="s">
        <v>395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customHeight="1" x14ac:dyDescent="0.25">
      <c r="A229" s="739" t="s">
        <v>109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752"/>
      <c r="B238" s="752"/>
      <c r="C238" s="752"/>
      <c r="D238" s="752"/>
      <c r="E238" s="752"/>
      <c r="F238" s="752"/>
      <c r="G238" s="752"/>
      <c r="H238" s="752"/>
      <c r="I238" s="752"/>
      <c r="J238" s="752"/>
      <c r="K238" s="752"/>
      <c r="L238" s="752"/>
      <c r="M238" s="752"/>
      <c r="N238" s="752"/>
      <c r="O238" s="753"/>
      <c r="P238" s="749" t="s">
        <v>40</v>
      </c>
      <c r="Q238" s="750"/>
      <c r="R238" s="750"/>
      <c r="S238" s="750"/>
      <c r="T238" s="750"/>
      <c r="U238" s="750"/>
      <c r="V238" s="751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2"/>
      <c r="B239" s="752"/>
      <c r="C239" s="752"/>
      <c r="D239" s="752"/>
      <c r="E239" s="752"/>
      <c r="F239" s="752"/>
      <c r="G239" s="752"/>
      <c r="H239" s="752"/>
      <c r="I239" s="752"/>
      <c r="J239" s="752"/>
      <c r="K239" s="752"/>
      <c r="L239" s="752"/>
      <c r="M239" s="752"/>
      <c r="N239" s="752"/>
      <c r="O239" s="753"/>
      <c r="P239" s="749" t="s">
        <v>40</v>
      </c>
      <c r="Q239" s="750"/>
      <c r="R239" s="750"/>
      <c r="S239" s="750"/>
      <c r="T239" s="750"/>
      <c r="U239" s="750"/>
      <c r="V239" s="751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9" t="s">
        <v>149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740">
        <v>4680115885981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740">
        <v>4680115885721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2"/>
      <c r="B243" s="752"/>
      <c r="C243" s="752"/>
      <c r="D243" s="752"/>
      <c r="E243" s="752"/>
      <c r="F243" s="752"/>
      <c r="G243" s="752"/>
      <c r="H243" s="752"/>
      <c r="I243" s="752"/>
      <c r="J243" s="752"/>
      <c r="K243" s="752"/>
      <c r="L243" s="752"/>
      <c r="M243" s="752"/>
      <c r="N243" s="752"/>
      <c r="O243" s="753"/>
      <c r="P243" s="749" t="s">
        <v>40</v>
      </c>
      <c r="Q243" s="750"/>
      <c r="R243" s="750"/>
      <c r="S243" s="750"/>
      <c r="T243" s="750"/>
      <c r="U243" s="750"/>
      <c r="V243" s="751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2"/>
      <c r="B244" s="752"/>
      <c r="C244" s="752"/>
      <c r="D244" s="752"/>
      <c r="E244" s="752"/>
      <c r="F244" s="752"/>
      <c r="G244" s="752"/>
      <c r="H244" s="752"/>
      <c r="I244" s="752"/>
      <c r="J244" s="752"/>
      <c r="K244" s="752"/>
      <c r="L244" s="752"/>
      <c r="M244" s="752"/>
      <c r="N244" s="752"/>
      <c r="O244" s="753"/>
      <c r="P244" s="749" t="s">
        <v>40</v>
      </c>
      <c r="Q244" s="750"/>
      <c r="R244" s="750"/>
      <c r="S244" s="750"/>
      <c r="T244" s="750"/>
      <c r="U244" s="750"/>
      <c r="V244" s="751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9" t="s">
        <v>420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68" t="s">
        <v>423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2"/>
      <c r="B247" s="752"/>
      <c r="C247" s="752"/>
      <c r="D247" s="752"/>
      <c r="E247" s="752"/>
      <c r="F247" s="752"/>
      <c r="G247" s="752"/>
      <c r="H247" s="752"/>
      <c r="I247" s="752"/>
      <c r="J247" s="752"/>
      <c r="K247" s="752"/>
      <c r="L247" s="752"/>
      <c r="M247" s="752"/>
      <c r="N247" s="752"/>
      <c r="O247" s="753"/>
      <c r="P247" s="749" t="s">
        <v>40</v>
      </c>
      <c r="Q247" s="750"/>
      <c r="R247" s="750"/>
      <c r="S247" s="750"/>
      <c r="T247" s="750"/>
      <c r="U247" s="750"/>
      <c r="V247" s="751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2"/>
      <c r="B248" s="752"/>
      <c r="C248" s="752"/>
      <c r="D248" s="752"/>
      <c r="E248" s="752"/>
      <c r="F248" s="752"/>
      <c r="G248" s="752"/>
      <c r="H248" s="752"/>
      <c r="I248" s="752"/>
      <c r="J248" s="752"/>
      <c r="K248" s="752"/>
      <c r="L248" s="752"/>
      <c r="M248" s="752"/>
      <c r="N248" s="752"/>
      <c r="O248" s="753"/>
      <c r="P248" s="749" t="s">
        <v>40</v>
      </c>
      <c r="Q248" s="750"/>
      <c r="R248" s="750"/>
      <c r="S248" s="750"/>
      <c r="T248" s="750"/>
      <c r="U248" s="750"/>
      <c r="V248" s="751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9" t="s">
        <v>425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69" t="s">
        <v>428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2"/>
      <c r="B251" s="752"/>
      <c r="C251" s="752"/>
      <c r="D251" s="752"/>
      <c r="E251" s="752"/>
      <c r="F251" s="752"/>
      <c r="G251" s="752"/>
      <c r="H251" s="752"/>
      <c r="I251" s="752"/>
      <c r="J251" s="752"/>
      <c r="K251" s="752"/>
      <c r="L251" s="752"/>
      <c r="M251" s="752"/>
      <c r="N251" s="752"/>
      <c r="O251" s="753"/>
      <c r="P251" s="749" t="s">
        <v>40</v>
      </c>
      <c r="Q251" s="750"/>
      <c r="R251" s="750"/>
      <c r="S251" s="750"/>
      <c r="T251" s="750"/>
      <c r="U251" s="750"/>
      <c r="V251" s="75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2"/>
      <c r="B252" s="752"/>
      <c r="C252" s="752"/>
      <c r="D252" s="752"/>
      <c r="E252" s="752"/>
      <c r="F252" s="752"/>
      <c r="G252" s="752"/>
      <c r="H252" s="752"/>
      <c r="I252" s="752"/>
      <c r="J252" s="752"/>
      <c r="K252" s="752"/>
      <c r="L252" s="752"/>
      <c r="M252" s="752"/>
      <c r="N252" s="752"/>
      <c r="O252" s="753"/>
      <c r="P252" s="749" t="s">
        <v>40</v>
      </c>
      <c r="Q252" s="750"/>
      <c r="R252" s="750"/>
      <c r="S252" s="750"/>
      <c r="T252" s="750"/>
      <c r="U252" s="750"/>
      <c r="V252" s="75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8" t="s">
        <v>430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customHeight="1" x14ac:dyDescent="0.25">
      <c r="A254" s="739" t="s">
        <v>109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752"/>
      <c r="B261" s="752"/>
      <c r="C261" s="752"/>
      <c r="D261" s="752"/>
      <c r="E261" s="752"/>
      <c r="F261" s="752"/>
      <c r="G261" s="752"/>
      <c r="H261" s="752"/>
      <c r="I261" s="752"/>
      <c r="J261" s="752"/>
      <c r="K261" s="752"/>
      <c r="L261" s="752"/>
      <c r="M261" s="752"/>
      <c r="N261" s="752"/>
      <c r="O261" s="753"/>
      <c r="P261" s="749" t="s">
        <v>40</v>
      </c>
      <c r="Q261" s="750"/>
      <c r="R261" s="750"/>
      <c r="S261" s="750"/>
      <c r="T261" s="750"/>
      <c r="U261" s="750"/>
      <c r="V261" s="751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752"/>
      <c r="B262" s="752"/>
      <c r="C262" s="752"/>
      <c r="D262" s="752"/>
      <c r="E262" s="752"/>
      <c r="F262" s="752"/>
      <c r="G262" s="752"/>
      <c r="H262" s="752"/>
      <c r="I262" s="752"/>
      <c r="J262" s="752"/>
      <c r="K262" s="752"/>
      <c r="L262" s="752"/>
      <c r="M262" s="752"/>
      <c r="N262" s="752"/>
      <c r="O262" s="753"/>
      <c r="P262" s="749" t="s">
        <v>40</v>
      </c>
      <c r="Q262" s="750"/>
      <c r="R262" s="750"/>
      <c r="S262" s="750"/>
      <c r="T262" s="750"/>
      <c r="U262" s="750"/>
      <c r="V262" s="751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738" t="s">
        <v>448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customHeight="1" x14ac:dyDescent="0.25">
      <c r="A264" s="739" t="s">
        <v>109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2"/>
      <c r="B266" s="752"/>
      <c r="C266" s="752"/>
      <c r="D266" s="752"/>
      <c r="E266" s="752"/>
      <c r="F266" s="752"/>
      <c r="G266" s="752"/>
      <c r="H266" s="752"/>
      <c r="I266" s="752"/>
      <c r="J266" s="752"/>
      <c r="K266" s="752"/>
      <c r="L266" s="752"/>
      <c r="M266" s="752"/>
      <c r="N266" s="752"/>
      <c r="O266" s="753"/>
      <c r="P266" s="749" t="s">
        <v>40</v>
      </c>
      <c r="Q266" s="750"/>
      <c r="R266" s="750"/>
      <c r="S266" s="750"/>
      <c r="T266" s="750"/>
      <c r="U266" s="750"/>
      <c r="V266" s="751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2"/>
      <c r="B267" s="752"/>
      <c r="C267" s="752"/>
      <c r="D267" s="752"/>
      <c r="E267" s="752"/>
      <c r="F267" s="752"/>
      <c r="G267" s="752"/>
      <c r="H267" s="752"/>
      <c r="I267" s="752"/>
      <c r="J267" s="752"/>
      <c r="K267" s="752"/>
      <c r="L267" s="752"/>
      <c r="M267" s="752"/>
      <c r="N267" s="752"/>
      <c r="O267" s="753"/>
      <c r="P267" s="749" t="s">
        <v>40</v>
      </c>
      <c r="Q267" s="750"/>
      <c r="R267" s="750"/>
      <c r="S267" s="750"/>
      <c r="T267" s="750"/>
      <c r="U267" s="750"/>
      <c r="V267" s="751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8" t="s">
        <v>452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customHeight="1" x14ac:dyDescent="0.25">
      <c r="A269" s="739" t="s">
        <v>109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2"/>
      <c r="B273" s="752"/>
      <c r="C273" s="752"/>
      <c r="D273" s="752"/>
      <c r="E273" s="752"/>
      <c r="F273" s="752"/>
      <c r="G273" s="752"/>
      <c r="H273" s="752"/>
      <c r="I273" s="752"/>
      <c r="J273" s="752"/>
      <c r="K273" s="752"/>
      <c r="L273" s="752"/>
      <c r="M273" s="752"/>
      <c r="N273" s="752"/>
      <c r="O273" s="753"/>
      <c r="P273" s="749" t="s">
        <v>40</v>
      </c>
      <c r="Q273" s="750"/>
      <c r="R273" s="750"/>
      <c r="S273" s="750"/>
      <c r="T273" s="750"/>
      <c r="U273" s="750"/>
      <c r="V273" s="751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2"/>
      <c r="B274" s="752"/>
      <c r="C274" s="752"/>
      <c r="D274" s="752"/>
      <c r="E274" s="752"/>
      <c r="F274" s="752"/>
      <c r="G274" s="752"/>
      <c r="H274" s="752"/>
      <c r="I274" s="752"/>
      <c r="J274" s="752"/>
      <c r="K274" s="752"/>
      <c r="L274" s="752"/>
      <c r="M274" s="752"/>
      <c r="N274" s="752"/>
      <c r="O274" s="753"/>
      <c r="P274" s="749" t="s">
        <v>40</v>
      </c>
      <c r="Q274" s="750"/>
      <c r="R274" s="750"/>
      <c r="S274" s="750"/>
      <c r="T274" s="750"/>
      <c r="U274" s="750"/>
      <c r="V274" s="751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8" t="s">
        <v>461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13</v>
      </c>
      <c r="Y277" s="53">
        <f>IFERROR(IF(X277="",0,CEILING((X277/$H277),1)*$H277),"")</f>
        <v>13.44</v>
      </c>
      <c r="Z277" s="39">
        <f>IFERROR(IF(Y277=0,"",ROUNDUP(Y277/H277,0)*0.00902),"")</f>
        <v>3.6080000000000001E-2</v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13.998214285714285</v>
      </c>
      <c r="BN277" s="75">
        <f>IFERROR(Y277*I277/H277,"0")</f>
        <v>14.471999999999998</v>
      </c>
      <c r="BO277" s="75">
        <f>IFERROR(1/J277*(X277/H277),"0")</f>
        <v>2.9310966810966812E-2</v>
      </c>
      <c r="BP277" s="75">
        <f>IFERROR(1/J277*(Y277/H277),"0")</f>
        <v>3.0303030303030304E-2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2"/>
      <c r="B282" s="752"/>
      <c r="C282" s="752"/>
      <c r="D282" s="752"/>
      <c r="E282" s="752"/>
      <c r="F282" s="752"/>
      <c r="G282" s="752"/>
      <c r="H282" s="752"/>
      <c r="I282" s="752"/>
      <c r="J282" s="752"/>
      <c r="K282" s="752"/>
      <c r="L282" s="752"/>
      <c r="M282" s="752"/>
      <c r="N282" s="752"/>
      <c r="O282" s="753"/>
      <c r="P282" s="749" t="s">
        <v>40</v>
      </c>
      <c r="Q282" s="750"/>
      <c r="R282" s="750"/>
      <c r="S282" s="750"/>
      <c r="T282" s="750"/>
      <c r="U282" s="750"/>
      <c r="V282" s="751"/>
      <c r="W282" s="40" t="s">
        <v>39</v>
      </c>
      <c r="X282" s="41">
        <f>IFERROR(X277/H277,"0")+IFERROR(X278/H278,"0")+IFERROR(X279/H279,"0")+IFERROR(X280/H280,"0")+IFERROR(X281/H281,"0")</f>
        <v>3.8690476190476191</v>
      </c>
      <c r="Y282" s="41">
        <f>IFERROR(Y277/H277,"0")+IFERROR(Y278/H278,"0")+IFERROR(Y279/H279,"0")+IFERROR(Y280/H280,"0")+IFERROR(Y281/H281,"0")</f>
        <v>4</v>
      </c>
      <c r="Z282" s="41">
        <f>IFERROR(IF(Z277="",0,Z277),"0")+IFERROR(IF(Z278="",0,Z278),"0")+IFERROR(IF(Z279="",0,Z279),"0")+IFERROR(IF(Z280="",0,Z280),"0")+IFERROR(IF(Z281="",0,Z281),"0")</f>
        <v>3.6080000000000001E-2</v>
      </c>
      <c r="AA282" s="64"/>
      <c r="AB282" s="64"/>
      <c r="AC282" s="64"/>
    </row>
    <row r="283" spans="1:68" x14ac:dyDescent="0.2">
      <c r="A283" s="752"/>
      <c r="B283" s="752"/>
      <c r="C283" s="752"/>
      <c r="D283" s="752"/>
      <c r="E283" s="752"/>
      <c r="F283" s="752"/>
      <c r="G283" s="752"/>
      <c r="H283" s="752"/>
      <c r="I283" s="752"/>
      <c r="J283" s="752"/>
      <c r="K283" s="752"/>
      <c r="L283" s="752"/>
      <c r="M283" s="752"/>
      <c r="N283" s="752"/>
      <c r="O283" s="753"/>
      <c r="P283" s="749" t="s">
        <v>40</v>
      </c>
      <c r="Q283" s="750"/>
      <c r="R283" s="750"/>
      <c r="S283" s="750"/>
      <c r="T283" s="750"/>
      <c r="U283" s="750"/>
      <c r="V283" s="751"/>
      <c r="W283" s="40" t="s">
        <v>0</v>
      </c>
      <c r="X283" s="41">
        <f>IFERROR(SUM(X277:X281),"0")</f>
        <v>13</v>
      </c>
      <c r="Y283" s="41">
        <f>IFERROR(SUM(Y277:Y281),"0")</f>
        <v>13.44</v>
      </c>
      <c r="Z283" s="40"/>
      <c r="AA283" s="64"/>
      <c r="AB283" s="64"/>
      <c r="AC283" s="64"/>
    </row>
    <row r="284" spans="1:68" ht="16.5" customHeight="1" x14ac:dyDescent="0.25">
      <c r="A284" s="738" t="s">
        <v>475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customHeight="1" x14ac:dyDescent="0.25">
      <c r="A285" s="739" t="s">
        <v>109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2"/>
      <c r="B287" s="752"/>
      <c r="C287" s="752"/>
      <c r="D287" s="752"/>
      <c r="E287" s="752"/>
      <c r="F287" s="752"/>
      <c r="G287" s="752"/>
      <c r="H287" s="752"/>
      <c r="I287" s="752"/>
      <c r="J287" s="752"/>
      <c r="K287" s="752"/>
      <c r="L287" s="752"/>
      <c r="M287" s="752"/>
      <c r="N287" s="752"/>
      <c r="O287" s="753"/>
      <c r="P287" s="749" t="s">
        <v>40</v>
      </c>
      <c r="Q287" s="750"/>
      <c r="R287" s="750"/>
      <c r="S287" s="750"/>
      <c r="T287" s="750"/>
      <c r="U287" s="750"/>
      <c r="V287" s="751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2"/>
      <c r="B288" s="752"/>
      <c r="C288" s="752"/>
      <c r="D288" s="752"/>
      <c r="E288" s="752"/>
      <c r="F288" s="752"/>
      <c r="G288" s="752"/>
      <c r="H288" s="752"/>
      <c r="I288" s="752"/>
      <c r="J288" s="752"/>
      <c r="K288" s="752"/>
      <c r="L288" s="752"/>
      <c r="M288" s="752"/>
      <c r="N288" s="752"/>
      <c r="O288" s="753"/>
      <c r="P288" s="749" t="s">
        <v>40</v>
      </c>
      <c r="Q288" s="750"/>
      <c r="R288" s="750"/>
      <c r="S288" s="750"/>
      <c r="T288" s="750"/>
      <c r="U288" s="750"/>
      <c r="V288" s="751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9" t="s">
        <v>160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2"/>
      <c r="B291" s="752"/>
      <c r="C291" s="752"/>
      <c r="D291" s="752"/>
      <c r="E291" s="752"/>
      <c r="F291" s="752"/>
      <c r="G291" s="752"/>
      <c r="H291" s="752"/>
      <c r="I291" s="752"/>
      <c r="J291" s="752"/>
      <c r="K291" s="752"/>
      <c r="L291" s="752"/>
      <c r="M291" s="752"/>
      <c r="N291" s="752"/>
      <c r="O291" s="753"/>
      <c r="P291" s="749" t="s">
        <v>40</v>
      </c>
      <c r="Q291" s="750"/>
      <c r="R291" s="750"/>
      <c r="S291" s="750"/>
      <c r="T291" s="750"/>
      <c r="U291" s="750"/>
      <c r="V291" s="751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2"/>
      <c r="B292" s="752"/>
      <c r="C292" s="752"/>
      <c r="D292" s="752"/>
      <c r="E292" s="752"/>
      <c r="F292" s="752"/>
      <c r="G292" s="752"/>
      <c r="H292" s="752"/>
      <c r="I292" s="752"/>
      <c r="J292" s="752"/>
      <c r="K292" s="752"/>
      <c r="L292" s="752"/>
      <c r="M292" s="752"/>
      <c r="N292" s="752"/>
      <c r="O292" s="753"/>
      <c r="P292" s="749" t="s">
        <v>40</v>
      </c>
      <c r="Q292" s="750"/>
      <c r="R292" s="750"/>
      <c r="S292" s="750"/>
      <c r="T292" s="750"/>
      <c r="U292" s="750"/>
      <c r="V292" s="751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2"/>
      <c r="B295" s="752"/>
      <c r="C295" s="752"/>
      <c r="D295" s="752"/>
      <c r="E295" s="752"/>
      <c r="F295" s="752"/>
      <c r="G295" s="752"/>
      <c r="H295" s="752"/>
      <c r="I295" s="752"/>
      <c r="J295" s="752"/>
      <c r="K295" s="752"/>
      <c r="L295" s="752"/>
      <c r="M295" s="752"/>
      <c r="N295" s="752"/>
      <c r="O295" s="753"/>
      <c r="P295" s="749" t="s">
        <v>40</v>
      </c>
      <c r="Q295" s="750"/>
      <c r="R295" s="750"/>
      <c r="S295" s="750"/>
      <c r="T295" s="750"/>
      <c r="U295" s="750"/>
      <c r="V295" s="751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2"/>
      <c r="B296" s="752"/>
      <c r="C296" s="752"/>
      <c r="D296" s="752"/>
      <c r="E296" s="752"/>
      <c r="F296" s="752"/>
      <c r="G296" s="752"/>
      <c r="H296" s="752"/>
      <c r="I296" s="752"/>
      <c r="J296" s="752"/>
      <c r="K296" s="752"/>
      <c r="L296" s="752"/>
      <c r="M296" s="752"/>
      <c r="N296" s="752"/>
      <c r="O296" s="753"/>
      <c r="P296" s="749" t="s">
        <v>40</v>
      </c>
      <c r="Q296" s="750"/>
      <c r="R296" s="750"/>
      <c r="S296" s="750"/>
      <c r="T296" s="750"/>
      <c r="U296" s="750"/>
      <c r="V296" s="751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8" t="s">
        <v>485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2"/>
      <c r="B300" s="752"/>
      <c r="C300" s="752"/>
      <c r="D300" s="752"/>
      <c r="E300" s="752"/>
      <c r="F300" s="752"/>
      <c r="G300" s="752"/>
      <c r="H300" s="752"/>
      <c r="I300" s="752"/>
      <c r="J300" s="752"/>
      <c r="K300" s="752"/>
      <c r="L300" s="752"/>
      <c r="M300" s="752"/>
      <c r="N300" s="752"/>
      <c r="O300" s="753"/>
      <c r="P300" s="749" t="s">
        <v>40</v>
      </c>
      <c r="Q300" s="750"/>
      <c r="R300" s="750"/>
      <c r="S300" s="750"/>
      <c r="T300" s="750"/>
      <c r="U300" s="750"/>
      <c r="V300" s="751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2"/>
      <c r="B301" s="752"/>
      <c r="C301" s="752"/>
      <c r="D301" s="752"/>
      <c r="E301" s="752"/>
      <c r="F301" s="752"/>
      <c r="G301" s="752"/>
      <c r="H301" s="752"/>
      <c r="I301" s="752"/>
      <c r="J301" s="752"/>
      <c r="K301" s="752"/>
      <c r="L301" s="752"/>
      <c r="M301" s="752"/>
      <c r="N301" s="752"/>
      <c r="O301" s="753"/>
      <c r="P301" s="749" t="s">
        <v>40</v>
      </c>
      <c r="Q301" s="750"/>
      <c r="R301" s="750"/>
      <c r="S301" s="750"/>
      <c r="T301" s="750"/>
      <c r="U301" s="750"/>
      <c r="V301" s="751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8" t="s">
        <v>489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customHeight="1" x14ac:dyDescent="0.25">
      <c r="A303" s="739" t="s">
        <v>109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2"/>
      <c r="B305" s="752"/>
      <c r="C305" s="752"/>
      <c r="D305" s="752"/>
      <c r="E305" s="752"/>
      <c r="F305" s="752"/>
      <c r="G305" s="752"/>
      <c r="H305" s="752"/>
      <c r="I305" s="752"/>
      <c r="J305" s="752"/>
      <c r="K305" s="752"/>
      <c r="L305" s="752"/>
      <c r="M305" s="752"/>
      <c r="N305" s="752"/>
      <c r="O305" s="753"/>
      <c r="P305" s="749" t="s">
        <v>40</v>
      </c>
      <c r="Q305" s="750"/>
      <c r="R305" s="750"/>
      <c r="S305" s="750"/>
      <c r="T305" s="750"/>
      <c r="U305" s="750"/>
      <c r="V305" s="751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2"/>
      <c r="B306" s="752"/>
      <c r="C306" s="752"/>
      <c r="D306" s="752"/>
      <c r="E306" s="752"/>
      <c r="F306" s="752"/>
      <c r="G306" s="752"/>
      <c r="H306" s="752"/>
      <c r="I306" s="752"/>
      <c r="J306" s="752"/>
      <c r="K306" s="752"/>
      <c r="L306" s="752"/>
      <c r="M306" s="752"/>
      <c r="N306" s="752"/>
      <c r="O306" s="753"/>
      <c r="P306" s="749" t="s">
        <v>40</v>
      </c>
      <c r="Q306" s="750"/>
      <c r="R306" s="750"/>
      <c r="S306" s="750"/>
      <c r="T306" s="750"/>
      <c r="U306" s="750"/>
      <c r="V306" s="751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9" t="s">
        <v>160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2"/>
      <c r="B310" s="752"/>
      <c r="C310" s="752"/>
      <c r="D310" s="752"/>
      <c r="E310" s="752"/>
      <c r="F310" s="752"/>
      <c r="G310" s="752"/>
      <c r="H310" s="752"/>
      <c r="I310" s="752"/>
      <c r="J310" s="752"/>
      <c r="K310" s="752"/>
      <c r="L310" s="752"/>
      <c r="M310" s="752"/>
      <c r="N310" s="752"/>
      <c r="O310" s="753"/>
      <c r="P310" s="749" t="s">
        <v>40</v>
      </c>
      <c r="Q310" s="750"/>
      <c r="R310" s="750"/>
      <c r="S310" s="750"/>
      <c r="T310" s="750"/>
      <c r="U310" s="750"/>
      <c r="V310" s="751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2"/>
      <c r="B311" s="752"/>
      <c r="C311" s="752"/>
      <c r="D311" s="752"/>
      <c r="E311" s="752"/>
      <c r="F311" s="752"/>
      <c r="G311" s="752"/>
      <c r="H311" s="752"/>
      <c r="I311" s="752"/>
      <c r="J311" s="752"/>
      <c r="K311" s="752"/>
      <c r="L311" s="752"/>
      <c r="M311" s="752"/>
      <c r="N311" s="752"/>
      <c r="O311" s="753"/>
      <c r="P311" s="749" t="s">
        <v>40</v>
      </c>
      <c r="Q311" s="750"/>
      <c r="R311" s="750"/>
      <c r="S311" s="750"/>
      <c r="T311" s="750"/>
      <c r="U311" s="750"/>
      <c r="V311" s="751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8" t="s">
        <v>497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customHeight="1" x14ac:dyDescent="0.25">
      <c r="A313" s="739" t="s">
        <v>109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2"/>
      <c r="B315" s="752"/>
      <c r="C315" s="752"/>
      <c r="D315" s="752"/>
      <c r="E315" s="752"/>
      <c r="F315" s="752"/>
      <c r="G315" s="752"/>
      <c r="H315" s="752"/>
      <c r="I315" s="752"/>
      <c r="J315" s="752"/>
      <c r="K315" s="752"/>
      <c r="L315" s="752"/>
      <c r="M315" s="752"/>
      <c r="N315" s="752"/>
      <c r="O315" s="753"/>
      <c r="P315" s="749" t="s">
        <v>40</v>
      </c>
      <c r="Q315" s="750"/>
      <c r="R315" s="750"/>
      <c r="S315" s="750"/>
      <c r="T315" s="750"/>
      <c r="U315" s="750"/>
      <c r="V315" s="751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2"/>
      <c r="B316" s="752"/>
      <c r="C316" s="752"/>
      <c r="D316" s="752"/>
      <c r="E316" s="752"/>
      <c r="F316" s="752"/>
      <c r="G316" s="752"/>
      <c r="H316" s="752"/>
      <c r="I316" s="752"/>
      <c r="J316" s="752"/>
      <c r="K316" s="752"/>
      <c r="L316" s="752"/>
      <c r="M316" s="752"/>
      <c r="N316" s="752"/>
      <c r="O316" s="753"/>
      <c r="P316" s="749" t="s">
        <v>40</v>
      </c>
      <c r="Q316" s="750"/>
      <c r="R316" s="750"/>
      <c r="S316" s="750"/>
      <c r="T316" s="750"/>
      <c r="U316" s="750"/>
      <c r="V316" s="751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8" t="s">
        <v>502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customHeight="1" x14ac:dyDescent="0.25">
      <c r="A318" s="739" t="s">
        <v>109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9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752"/>
      <c r="B325" s="752"/>
      <c r="C325" s="752"/>
      <c r="D325" s="752"/>
      <c r="E325" s="752"/>
      <c r="F325" s="752"/>
      <c r="G325" s="752"/>
      <c r="H325" s="752"/>
      <c r="I325" s="752"/>
      <c r="J325" s="752"/>
      <c r="K325" s="752"/>
      <c r="L325" s="752"/>
      <c r="M325" s="752"/>
      <c r="N325" s="752"/>
      <c r="O325" s="753"/>
      <c r="P325" s="749" t="s">
        <v>40</v>
      </c>
      <c r="Q325" s="750"/>
      <c r="R325" s="750"/>
      <c r="S325" s="750"/>
      <c r="T325" s="750"/>
      <c r="U325" s="750"/>
      <c r="V325" s="751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752"/>
      <c r="B326" s="752"/>
      <c r="C326" s="752"/>
      <c r="D326" s="752"/>
      <c r="E326" s="752"/>
      <c r="F326" s="752"/>
      <c r="G326" s="752"/>
      <c r="H326" s="752"/>
      <c r="I326" s="752"/>
      <c r="J326" s="752"/>
      <c r="K326" s="752"/>
      <c r="L326" s="752"/>
      <c r="M326" s="752"/>
      <c r="N326" s="752"/>
      <c r="O326" s="753"/>
      <c r="P326" s="749" t="s">
        <v>40</v>
      </c>
      <c r="Q326" s="750"/>
      <c r="R326" s="750"/>
      <c r="S326" s="750"/>
      <c r="T326" s="750"/>
      <c r="U326" s="750"/>
      <c r="V326" s="751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739" t="s">
        <v>160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20</v>
      </c>
      <c r="Y329" s="53">
        <f>IFERROR(IF(X329="",0,CEILING((X329/$H329),1)*$H329),"")</f>
        <v>21</v>
      </c>
      <c r="Z329" s="39">
        <f>IFERROR(IF(Y329=0,"",ROUNDUP(Y329/H329,0)*0.00902),"")</f>
        <v>4.5100000000000001E-2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21.285714285714281</v>
      </c>
      <c r="BN329" s="75">
        <f>IFERROR(Y329*I329/H329,"0")</f>
        <v>22.349999999999998</v>
      </c>
      <c r="BO329" s="75">
        <f>IFERROR(1/J329*(X329/H329),"0")</f>
        <v>3.6075036075036072E-2</v>
      </c>
      <c r="BP329" s="75">
        <f>IFERROR(1/J329*(Y329/H329),"0")</f>
        <v>3.787878787878788E-2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752"/>
      <c r="B332" s="752"/>
      <c r="C332" s="752"/>
      <c r="D332" s="752"/>
      <c r="E332" s="752"/>
      <c r="F332" s="752"/>
      <c r="G332" s="752"/>
      <c r="H332" s="752"/>
      <c r="I332" s="752"/>
      <c r="J332" s="752"/>
      <c r="K332" s="752"/>
      <c r="L332" s="752"/>
      <c r="M332" s="752"/>
      <c r="N332" s="752"/>
      <c r="O332" s="753"/>
      <c r="P332" s="749" t="s">
        <v>40</v>
      </c>
      <c r="Q332" s="750"/>
      <c r="R332" s="750"/>
      <c r="S332" s="750"/>
      <c r="T332" s="750"/>
      <c r="U332" s="750"/>
      <c r="V332" s="751"/>
      <c r="W332" s="40" t="s">
        <v>39</v>
      </c>
      <c r="X332" s="41">
        <f>IFERROR(X328/H328,"0")+IFERROR(X329/H329,"0")+IFERROR(X330/H330,"0")+IFERROR(X331/H331,"0")</f>
        <v>4.7619047619047619</v>
      </c>
      <c r="Y332" s="41">
        <f>IFERROR(Y328/H328,"0")+IFERROR(Y329/H329,"0")+IFERROR(Y330/H330,"0")+IFERROR(Y331/H331,"0")</f>
        <v>5</v>
      </c>
      <c r="Z332" s="41">
        <f>IFERROR(IF(Z328="",0,Z328),"0")+IFERROR(IF(Z329="",0,Z329),"0")+IFERROR(IF(Z330="",0,Z330),"0")+IFERROR(IF(Z331="",0,Z331),"0")</f>
        <v>4.5100000000000001E-2</v>
      </c>
      <c r="AA332" s="64"/>
      <c r="AB332" s="64"/>
      <c r="AC332" s="64"/>
    </row>
    <row r="333" spans="1:68" x14ac:dyDescent="0.2">
      <c r="A333" s="752"/>
      <c r="B333" s="752"/>
      <c r="C333" s="752"/>
      <c r="D333" s="752"/>
      <c r="E333" s="752"/>
      <c r="F333" s="752"/>
      <c r="G333" s="752"/>
      <c r="H333" s="752"/>
      <c r="I333" s="752"/>
      <c r="J333" s="752"/>
      <c r="K333" s="752"/>
      <c r="L333" s="752"/>
      <c r="M333" s="752"/>
      <c r="N333" s="752"/>
      <c r="O333" s="753"/>
      <c r="P333" s="749" t="s">
        <v>40</v>
      </c>
      <c r="Q333" s="750"/>
      <c r="R333" s="750"/>
      <c r="S333" s="750"/>
      <c r="T333" s="750"/>
      <c r="U333" s="750"/>
      <c r="V333" s="751"/>
      <c r="W333" s="40" t="s">
        <v>0</v>
      </c>
      <c r="X333" s="41">
        <f>IFERROR(SUM(X328:X331),"0")</f>
        <v>20</v>
      </c>
      <c r="Y333" s="41">
        <f>IFERROR(SUM(Y328:Y331),"0")</f>
        <v>21</v>
      </c>
      <c r="Z333" s="40"/>
      <c r="AA333" s="64"/>
      <c r="AB333" s="64"/>
      <c r="AC333" s="64"/>
    </row>
    <row r="334" spans="1:68" ht="14.25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2"/>
      <c r="B340" s="752"/>
      <c r="C340" s="752"/>
      <c r="D340" s="752"/>
      <c r="E340" s="752"/>
      <c r="F340" s="752"/>
      <c r="G340" s="752"/>
      <c r="H340" s="752"/>
      <c r="I340" s="752"/>
      <c r="J340" s="752"/>
      <c r="K340" s="752"/>
      <c r="L340" s="752"/>
      <c r="M340" s="752"/>
      <c r="N340" s="752"/>
      <c r="O340" s="753"/>
      <c r="P340" s="749" t="s">
        <v>40</v>
      </c>
      <c r="Q340" s="750"/>
      <c r="R340" s="750"/>
      <c r="S340" s="750"/>
      <c r="T340" s="750"/>
      <c r="U340" s="750"/>
      <c r="V340" s="751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752"/>
      <c r="B341" s="752"/>
      <c r="C341" s="752"/>
      <c r="D341" s="752"/>
      <c r="E341" s="752"/>
      <c r="F341" s="752"/>
      <c r="G341" s="752"/>
      <c r="H341" s="752"/>
      <c r="I341" s="752"/>
      <c r="J341" s="752"/>
      <c r="K341" s="752"/>
      <c r="L341" s="752"/>
      <c r="M341" s="752"/>
      <c r="N341" s="752"/>
      <c r="O341" s="753"/>
      <c r="P341" s="749" t="s">
        <v>40</v>
      </c>
      <c r="Q341" s="750"/>
      <c r="R341" s="750"/>
      <c r="S341" s="750"/>
      <c r="T341" s="750"/>
      <c r="U341" s="750"/>
      <c r="V341" s="751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739" t="s">
        <v>186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60</v>
      </c>
      <c r="Y343" s="53">
        <f>IFERROR(IF(X343="",0,CEILING((X343/$H343),1)*$H343),"")</f>
        <v>67.2</v>
      </c>
      <c r="Z343" s="39">
        <f>IFERROR(IF(Y343=0,"",ROUNDUP(Y343/H343,0)*0.01898),"")</f>
        <v>0.15184</v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63.707142857142856</v>
      </c>
      <c r="BN343" s="75">
        <f>IFERROR(Y343*I343/H343,"0")</f>
        <v>71.352000000000004</v>
      </c>
      <c r="BO343" s="75">
        <f>IFERROR(1/J343*(X343/H343),"0")</f>
        <v>0.11160714285714285</v>
      </c>
      <c r="BP343" s="75">
        <f>IFERROR(1/J343*(Y343/H343),"0")</f>
        <v>0.125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150</v>
      </c>
      <c r="Y345" s="53">
        <f>IFERROR(IF(X345="",0,CEILING((X345/$H345),1)*$H345),"")</f>
        <v>151.20000000000002</v>
      </c>
      <c r="Z345" s="39">
        <f>IFERROR(IF(Y345=0,"",ROUNDUP(Y345/H345,0)*0.01898),"")</f>
        <v>0.34164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159.26785714285714</v>
      </c>
      <c r="BN345" s="75">
        <f>IFERROR(Y345*I345/H345,"0")</f>
        <v>160.542</v>
      </c>
      <c r="BO345" s="75">
        <f>IFERROR(1/J345*(X345/H345),"0")</f>
        <v>0.27901785714285715</v>
      </c>
      <c r="BP345" s="75">
        <f>IFERROR(1/J345*(Y345/H345),"0")</f>
        <v>0.28125</v>
      </c>
    </row>
    <row r="346" spans="1:68" x14ac:dyDescent="0.2">
      <c r="A346" s="752"/>
      <c r="B346" s="752"/>
      <c r="C346" s="752"/>
      <c r="D346" s="752"/>
      <c r="E346" s="752"/>
      <c r="F346" s="752"/>
      <c r="G346" s="752"/>
      <c r="H346" s="752"/>
      <c r="I346" s="752"/>
      <c r="J346" s="752"/>
      <c r="K346" s="752"/>
      <c r="L346" s="752"/>
      <c r="M346" s="752"/>
      <c r="N346" s="752"/>
      <c r="O346" s="753"/>
      <c r="P346" s="749" t="s">
        <v>40</v>
      </c>
      <c r="Q346" s="750"/>
      <c r="R346" s="750"/>
      <c r="S346" s="750"/>
      <c r="T346" s="750"/>
      <c r="U346" s="750"/>
      <c r="V346" s="751"/>
      <c r="W346" s="40" t="s">
        <v>39</v>
      </c>
      <c r="X346" s="41">
        <f>IFERROR(X343/H343,"0")+IFERROR(X344/H344,"0")+IFERROR(X345/H345,"0")</f>
        <v>39.102564102564102</v>
      </c>
      <c r="Y346" s="41">
        <f>IFERROR(Y343/H343,"0")+IFERROR(Y344/H344,"0")+IFERROR(Y345/H345,"0")</f>
        <v>41</v>
      </c>
      <c r="Z346" s="41">
        <f>IFERROR(IF(Z343="",0,Z343),"0")+IFERROR(IF(Z344="",0,Z344),"0")+IFERROR(IF(Z345="",0,Z345),"0")</f>
        <v>0.77818000000000009</v>
      </c>
      <c r="AA346" s="64"/>
      <c r="AB346" s="64"/>
      <c r="AC346" s="64"/>
    </row>
    <row r="347" spans="1:68" x14ac:dyDescent="0.2">
      <c r="A347" s="752"/>
      <c r="B347" s="752"/>
      <c r="C347" s="752"/>
      <c r="D347" s="752"/>
      <c r="E347" s="752"/>
      <c r="F347" s="752"/>
      <c r="G347" s="752"/>
      <c r="H347" s="752"/>
      <c r="I347" s="752"/>
      <c r="J347" s="752"/>
      <c r="K347" s="752"/>
      <c r="L347" s="752"/>
      <c r="M347" s="752"/>
      <c r="N347" s="752"/>
      <c r="O347" s="753"/>
      <c r="P347" s="749" t="s">
        <v>40</v>
      </c>
      <c r="Q347" s="750"/>
      <c r="R347" s="750"/>
      <c r="S347" s="750"/>
      <c r="T347" s="750"/>
      <c r="U347" s="750"/>
      <c r="V347" s="751"/>
      <c r="W347" s="40" t="s">
        <v>0</v>
      </c>
      <c r="X347" s="41">
        <f>IFERROR(SUM(X343:X345),"0")</f>
        <v>320</v>
      </c>
      <c r="Y347" s="41">
        <f>IFERROR(SUM(Y343:Y345),"0")</f>
        <v>335.4</v>
      </c>
      <c r="Z347" s="40"/>
      <c r="AA347" s="64"/>
      <c r="AB347" s="64"/>
      <c r="AC347" s="64"/>
    </row>
    <row r="348" spans="1:68" ht="14.25" customHeight="1" x14ac:dyDescent="0.25">
      <c r="A348" s="739" t="s">
        <v>101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11" t="s">
        <v>556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2" t="s">
        <v>560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752"/>
      <c r="B353" s="752"/>
      <c r="C353" s="752"/>
      <c r="D353" s="752"/>
      <c r="E353" s="752"/>
      <c r="F353" s="752"/>
      <c r="G353" s="752"/>
      <c r="H353" s="752"/>
      <c r="I353" s="752"/>
      <c r="J353" s="752"/>
      <c r="K353" s="752"/>
      <c r="L353" s="752"/>
      <c r="M353" s="752"/>
      <c r="N353" s="752"/>
      <c r="O353" s="753"/>
      <c r="P353" s="749" t="s">
        <v>40</v>
      </c>
      <c r="Q353" s="750"/>
      <c r="R353" s="750"/>
      <c r="S353" s="750"/>
      <c r="T353" s="750"/>
      <c r="U353" s="750"/>
      <c r="V353" s="751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752"/>
      <c r="B354" s="752"/>
      <c r="C354" s="752"/>
      <c r="D354" s="752"/>
      <c r="E354" s="752"/>
      <c r="F354" s="752"/>
      <c r="G354" s="752"/>
      <c r="H354" s="752"/>
      <c r="I354" s="752"/>
      <c r="J354" s="752"/>
      <c r="K354" s="752"/>
      <c r="L354" s="752"/>
      <c r="M354" s="752"/>
      <c r="N354" s="752"/>
      <c r="O354" s="753"/>
      <c r="P354" s="749" t="s">
        <v>40</v>
      </c>
      <c r="Q354" s="750"/>
      <c r="R354" s="750"/>
      <c r="S354" s="750"/>
      <c r="T354" s="750"/>
      <c r="U354" s="750"/>
      <c r="V354" s="751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739" t="s">
        <v>567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2"/>
      <c r="B359" s="752"/>
      <c r="C359" s="752"/>
      <c r="D359" s="752"/>
      <c r="E359" s="752"/>
      <c r="F359" s="752"/>
      <c r="G359" s="752"/>
      <c r="H359" s="752"/>
      <c r="I359" s="752"/>
      <c r="J359" s="752"/>
      <c r="K359" s="752"/>
      <c r="L359" s="752"/>
      <c r="M359" s="752"/>
      <c r="N359" s="752"/>
      <c r="O359" s="753"/>
      <c r="P359" s="749" t="s">
        <v>40</v>
      </c>
      <c r="Q359" s="750"/>
      <c r="R359" s="750"/>
      <c r="S359" s="750"/>
      <c r="T359" s="750"/>
      <c r="U359" s="750"/>
      <c r="V359" s="75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2"/>
      <c r="B360" s="752"/>
      <c r="C360" s="752"/>
      <c r="D360" s="752"/>
      <c r="E360" s="752"/>
      <c r="F360" s="752"/>
      <c r="G360" s="752"/>
      <c r="H360" s="752"/>
      <c r="I360" s="752"/>
      <c r="J360" s="752"/>
      <c r="K360" s="752"/>
      <c r="L360" s="752"/>
      <c r="M360" s="752"/>
      <c r="N360" s="752"/>
      <c r="O360" s="753"/>
      <c r="P360" s="749" t="s">
        <v>40</v>
      </c>
      <c r="Q360" s="750"/>
      <c r="R360" s="750"/>
      <c r="S360" s="750"/>
      <c r="T360" s="750"/>
      <c r="U360" s="750"/>
      <c r="V360" s="75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8" t="s">
        <v>576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customHeight="1" x14ac:dyDescent="0.25">
      <c r="A362" s="739" t="s">
        <v>160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2"/>
      <c r="B364" s="752"/>
      <c r="C364" s="752"/>
      <c r="D364" s="752"/>
      <c r="E364" s="752"/>
      <c r="F364" s="752"/>
      <c r="G364" s="752"/>
      <c r="H364" s="752"/>
      <c r="I364" s="752"/>
      <c r="J364" s="752"/>
      <c r="K364" s="752"/>
      <c r="L364" s="752"/>
      <c r="M364" s="752"/>
      <c r="N364" s="752"/>
      <c r="O364" s="753"/>
      <c r="P364" s="749" t="s">
        <v>40</v>
      </c>
      <c r="Q364" s="750"/>
      <c r="R364" s="750"/>
      <c r="S364" s="750"/>
      <c r="T364" s="750"/>
      <c r="U364" s="750"/>
      <c r="V364" s="751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2"/>
      <c r="B365" s="752"/>
      <c r="C365" s="752"/>
      <c r="D365" s="752"/>
      <c r="E365" s="752"/>
      <c r="F365" s="752"/>
      <c r="G365" s="752"/>
      <c r="H365" s="752"/>
      <c r="I365" s="752"/>
      <c r="J365" s="752"/>
      <c r="K365" s="752"/>
      <c r="L365" s="752"/>
      <c r="M365" s="752"/>
      <c r="N365" s="752"/>
      <c r="O365" s="753"/>
      <c r="P365" s="749" t="s">
        <v>40</v>
      </c>
      <c r="Q365" s="750"/>
      <c r="R365" s="750"/>
      <c r="S365" s="750"/>
      <c r="T365" s="750"/>
      <c r="U365" s="750"/>
      <c r="V365" s="751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70</v>
      </c>
      <c r="Y367" s="53">
        <f>IFERROR(IF(X367="",0,CEILING((X367/$H367),1)*$H367),"")</f>
        <v>72.899999999999991</v>
      </c>
      <c r="Z367" s="39">
        <f>IFERROR(IF(Y367=0,"",ROUNDUP(Y367/H367,0)*0.01898),"")</f>
        <v>0.17082</v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74.485185185185173</v>
      </c>
      <c r="BN367" s="75">
        <f>IFERROR(Y367*I367/H367,"0")</f>
        <v>77.570999999999998</v>
      </c>
      <c r="BO367" s="75">
        <f>IFERROR(1/J367*(X367/H367),"0")</f>
        <v>0.13503086419753088</v>
      </c>
      <c r="BP367" s="75">
        <f>IFERROR(1/J367*(Y367/H367),"0")</f>
        <v>0.140625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2"/>
      <c r="B370" s="752"/>
      <c r="C370" s="752"/>
      <c r="D370" s="752"/>
      <c r="E370" s="752"/>
      <c r="F370" s="752"/>
      <c r="G370" s="752"/>
      <c r="H370" s="752"/>
      <c r="I370" s="752"/>
      <c r="J370" s="752"/>
      <c r="K370" s="752"/>
      <c r="L370" s="752"/>
      <c r="M370" s="752"/>
      <c r="N370" s="752"/>
      <c r="O370" s="753"/>
      <c r="P370" s="749" t="s">
        <v>40</v>
      </c>
      <c r="Q370" s="750"/>
      <c r="R370" s="750"/>
      <c r="S370" s="750"/>
      <c r="T370" s="750"/>
      <c r="U370" s="750"/>
      <c r="V370" s="751"/>
      <c r="W370" s="40" t="s">
        <v>39</v>
      </c>
      <c r="X370" s="41">
        <f>IFERROR(X367/H367,"0")+IFERROR(X368/H368,"0")+IFERROR(X369/H369,"0")</f>
        <v>8.6419753086419764</v>
      </c>
      <c r="Y370" s="41">
        <f>IFERROR(Y367/H367,"0")+IFERROR(Y368/H368,"0")+IFERROR(Y369/H369,"0")</f>
        <v>9</v>
      </c>
      <c r="Z370" s="41">
        <f>IFERROR(IF(Z367="",0,Z367),"0")+IFERROR(IF(Z368="",0,Z368),"0")+IFERROR(IF(Z369="",0,Z369),"0")</f>
        <v>0.17082</v>
      </c>
      <c r="AA370" s="64"/>
      <c r="AB370" s="64"/>
      <c r="AC370" s="64"/>
    </row>
    <row r="371" spans="1:68" x14ac:dyDescent="0.2">
      <c r="A371" s="752"/>
      <c r="B371" s="752"/>
      <c r="C371" s="752"/>
      <c r="D371" s="752"/>
      <c r="E371" s="752"/>
      <c r="F371" s="752"/>
      <c r="G371" s="752"/>
      <c r="H371" s="752"/>
      <c r="I371" s="752"/>
      <c r="J371" s="752"/>
      <c r="K371" s="752"/>
      <c r="L371" s="752"/>
      <c r="M371" s="752"/>
      <c r="N371" s="752"/>
      <c r="O371" s="753"/>
      <c r="P371" s="749" t="s">
        <v>40</v>
      </c>
      <c r="Q371" s="750"/>
      <c r="R371" s="750"/>
      <c r="S371" s="750"/>
      <c r="T371" s="750"/>
      <c r="U371" s="750"/>
      <c r="V371" s="751"/>
      <c r="W371" s="40" t="s">
        <v>0</v>
      </c>
      <c r="X371" s="41">
        <f>IFERROR(SUM(X367:X369),"0")</f>
        <v>70</v>
      </c>
      <c r="Y371" s="41">
        <f>IFERROR(SUM(Y367:Y369),"0")</f>
        <v>72.899999999999991</v>
      </c>
      <c r="Z371" s="40"/>
      <c r="AA371" s="64"/>
      <c r="AB371" s="64"/>
      <c r="AC371" s="64"/>
    </row>
    <row r="372" spans="1:68" ht="27.75" customHeight="1" x14ac:dyDescent="0.2">
      <c r="A372" s="737" t="s">
        <v>589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customHeight="1" x14ac:dyDescent="0.25">
      <c r="A373" s="738" t="s">
        <v>590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customHeight="1" x14ac:dyDescent="0.25">
      <c r="A374" s="739" t="s">
        <v>109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92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2760</v>
      </c>
      <c r="Y376" s="53">
        <f t="shared" si="58"/>
        <v>2760</v>
      </c>
      <c r="Z376" s="39">
        <f>IFERROR(IF(Y376=0,"",ROUNDUP(Y376/H376,0)*0.02039),"")</f>
        <v>3.7517599999999995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2848.32</v>
      </c>
      <c r="BN376" s="75">
        <f t="shared" si="60"/>
        <v>2848.32</v>
      </c>
      <c r="BO376" s="75">
        <f t="shared" si="61"/>
        <v>3.833333333333333</v>
      </c>
      <c r="BP376" s="75">
        <f t="shared" si="62"/>
        <v>3.833333333333333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92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2440</v>
      </c>
      <c r="Y378" s="53">
        <f t="shared" si="58"/>
        <v>2445</v>
      </c>
      <c r="Z378" s="39">
        <f>IFERROR(IF(Y378=0,"",ROUNDUP(Y378/H378,0)*0.02039),"")</f>
        <v>3.3235699999999997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2518.0800000000004</v>
      </c>
      <c r="BN378" s="75">
        <f t="shared" si="60"/>
        <v>2523.2399999999998</v>
      </c>
      <c r="BO378" s="75">
        <f t="shared" si="61"/>
        <v>3.3888888888888884</v>
      </c>
      <c r="BP378" s="75">
        <f t="shared" si="62"/>
        <v>3.395833333333333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2320</v>
      </c>
      <c r="Y379" s="53">
        <f t="shared" si="58"/>
        <v>2325</v>
      </c>
      <c r="Z379" s="39">
        <f>IFERROR(IF(Y379=0,"",ROUNDUP(Y379/H379,0)*0.02175),"")</f>
        <v>3.3712499999999999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2394.2399999999998</v>
      </c>
      <c r="BN379" s="75">
        <f t="shared" si="60"/>
        <v>2399.4</v>
      </c>
      <c r="BO379" s="75">
        <f t="shared" si="61"/>
        <v>3.2222222222222219</v>
      </c>
      <c r="BP379" s="75">
        <f t="shared" si="62"/>
        <v>3.2291666666666665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92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752"/>
      <c r="B385" s="752"/>
      <c r="C385" s="752"/>
      <c r="D385" s="752"/>
      <c r="E385" s="752"/>
      <c r="F385" s="752"/>
      <c r="G385" s="752"/>
      <c r="H385" s="752"/>
      <c r="I385" s="752"/>
      <c r="J385" s="752"/>
      <c r="K385" s="752"/>
      <c r="L385" s="752"/>
      <c r="M385" s="752"/>
      <c r="N385" s="752"/>
      <c r="O385" s="753"/>
      <c r="P385" s="749" t="s">
        <v>40</v>
      </c>
      <c r="Q385" s="750"/>
      <c r="R385" s="750"/>
      <c r="S385" s="750"/>
      <c r="T385" s="750"/>
      <c r="U385" s="750"/>
      <c r="V385" s="751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501.33333333333326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502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10.446579999999999</v>
      </c>
      <c r="AA385" s="64"/>
      <c r="AB385" s="64"/>
      <c r="AC385" s="64"/>
    </row>
    <row r="386" spans="1:68" x14ac:dyDescent="0.2">
      <c r="A386" s="752"/>
      <c r="B386" s="752"/>
      <c r="C386" s="752"/>
      <c r="D386" s="752"/>
      <c r="E386" s="752"/>
      <c r="F386" s="752"/>
      <c r="G386" s="752"/>
      <c r="H386" s="752"/>
      <c r="I386" s="752"/>
      <c r="J386" s="752"/>
      <c r="K386" s="752"/>
      <c r="L386" s="752"/>
      <c r="M386" s="752"/>
      <c r="N386" s="752"/>
      <c r="O386" s="753"/>
      <c r="P386" s="749" t="s">
        <v>40</v>
      </c>
      <c r="Q386" s="750"/>
      <c r="R386" s="750"/>
      <c r="S386" s="750"/>
      <c r="T386" s="750"/>
      <c r="U386" s="750"/>
      <c r="V386" s="751"/>
      <c r="W386" s="40" t="s">
        <v>0</v>
      </c>
      <c r="X386" s="41">
        <f>IFERROR(SUM(X375:X384),"0")</f>
        <v>7520</v>
      </c>
      <c r="Y386" s="41">
        <f>IFERROR(SUM(Y375:Y384),"0")</f>
        <v>7530</v>
      </c>
      <c r="Z386" s="40"/>
      <c r="AA386" s="64"/>
      <c r="AB386" s="64"/>
      <c r="AC386" s="64"/>
    </row>
    <row r="387" spans="1:68" ht="14.25" customHeight="1" x14ac:dyDescent="0.25">
      <c r="A387" s="739" t="s">
        <v>149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2880</v>
      </c>
      <c r="Y388" s="53">
        <f>IFERROR(IF(X388="",0,CEILING((X388/$H388),1)*$H388),"")</f>
        <v>2880</v>
      </c>
      <c r="Z388" s="39">
        <f>IFERROR(IF(Y388=0,"",ROUNDUP(Y388/H388,0)*0.02175),"")</f>
        <v>4.1760000000000002</v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2972.1600000000003</v>
      </c>
      <c r="BN388" s="75">
        <f>IFERROR(Y388*I388/H388,"0")</f>
        <v>2972.1600000000003</v>
      </c>
      <c r="BO388" s="75">
        <f>IFERROR(1/J388*(X388/H388),"0")</f>
        <v>4</v>
      </c>
      <c r="BP388" s="75">
        <f>IFERROR(1/J388*(Y388/H388),"0")</f>
        <v>4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2"/>
      <c r="B390" s="752"/>
      <c r="C390" s="752"/>
      <c r="D390" s="752"/>
      <c r="E390" s="752"/>
      <c r="F390" s="752"/>
      <c r="G390" s="752"/>
      <c r="H390" s="752"/>
      <c r="I390" s="752"/>
      <c r="J390" s="752"/>
      <c r="K390" s="752"/>
      <c r="L390" s="752"/>
      <c r="M390" s="752"/>
      <c r="N390" s="752"/>
      <c r="O390" s="753"/>
      <c r="P390" s="749" t="s">
        <v>40</v>
      </c>
      <c r="Q390" s="750"/>
      <c r="R390" s="750"/>
      <c r="S390" s="750"/>
      <c r="T390" s="750"/>
      <c r="U390" s="750"/>
      <c r="V390" s="751"/>
      <c r="W390" s="40" t="s">
        <v>39</v>
      </c>
      <c r="X390" s="41">
        <f>IFERROR(X388/H388,"0")+IFERROR(X389/H389,"0")</f>
        <v>192</v>
      </c>
      <c r="Y390" s="41">
        <f>IFERROR(Y388/H388,"0")+IFERROR(Y389/H389,"0")</f>
        <v>192</v>
      </c>
      <c r="Z390" s="41">
        <f>IFERROR(IF(Z388="",0,Z388),"0")+IFERROR(IF(Z389="",0,Z389),"0")</f>
        <v>4.1760000000000002</v>
      </c>
      <c r="AA390" s="64"/>
      <c r="AB390" s="64"/>
      <c r="AC390" s="64"/>
    </row>
    <row r="391" spans="1:68" x14ac:dyDescent="0.2">
      <c r="A391" s="752"/>
      <c r="B391" s="752"/>
      <c r="C391" s="752"/>
      <c r="D391" s="752"/>
      <c r="E391" s="752"/>
      <c r="F391" s="752"/>
      <c r="G391" s="752"/>
      <c r="H391" s="752"/>
      <c r="I391" s="752"/>
      <c r="J391" s="752"/>
      <c r="K391" s="752"/>
      <c r="L391" s="752"/>
      <c r="M391" s="752"/>
      <c r="N391" s="752"/>
      <c r="O391" s="753"/>
      <c r="P391" s="749" t="s">
        <v>40</v>
      </c>
      <c r="Q391" s="750"/>
      <c r="R391" s="750"/>
      <c r="S391" s="750"/>
      <c r="T391" s="750"/>
      <c r="U391" s="750"/>
      <c r="V391" s="751"/>
      <c r="W391" s="40" t="s">
        <v>0</v>
      </c>
      <c r="X391" s="41">
        <f>IFERROR(SUM(X388:X389),"0")</f>
        <v>2880</v>
      </c>
      <c r="Y391" s="41">
        <f>IFERROR(SUM(Y388:Y389),"0")</f>
        <v>2880</v>
      </c>
      <c r="Z391" s="40"/>
      <c r="AA391" s="64"/>
      <c r="AB391" s="64"/>
      <c r="AC391" s="64"/>
    </row>
    <row r="392" spans="1:68" ht="14.25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4" t="s">
        <v>621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850</v>
      </c>
      <c r="Y393" s="53">
        <f>IFERROR(IF(X393="",0,CEILING((X393/$H393),1)*$H393),"")</f>
        <v>855</v>
      </c>
      <c r="Z393" s="39">
        <f>IFERROR(IF(Y393=0,"",ROUNDUP(Y393/H393,0)*0.01898),"")</f>
        <v>1.8030999999999999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899.58333333333337</v>
      </c>
      <c r="BN393" s="75">
        <f>IFERROR(Y393*I393/H393,"0")</f>
        <v>904.875</v>
      </c>
      <c r="BO393" s="75">
        <f>IFERROR(1/J393*(X393/H393),"0")</f>
        <v>1.4756944444444444</v>
      </c>
      <c r="BP393" s="75">
        <f>IFERROR(1/J393*(Y393/H393),"0")</f>
        <v>1.484375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5" t="s">
        <v>625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430</v>
      </c>
      <c r="Y394" s="53">
        <f>IFERROR(IF(X394="",0,CEILING((X394/$H394),1)*$H394),"")</f>
        <v>432</v>
      </c>
      <c r="Z394" s="39">
        <f>IFERROR(IF(Y394=0,"",ROUNDUP(Y394/H394,0)*0.01898),"")</f>
        <v>0.91104000000000007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454.79666666666668</v>
      </c>
      <c r="BN394" s="75">
        <f>IFERROR(Y394*I394/H394,"0")</f>
        <v>456.91199999999998</v>
      </c>
      <c r="BO394" s="75">
        <f>IFERROR(1/J394*(X394/H394),"0")</f>
        <v>0.74652777777777779</v>
      </c>
      <c r="BP394" s="75">
        <f>IFERROR(1/J394*(Y394/H394),"0")</f>
        <v>0.75</v>
      </c>
    </row>
    <row r="395" spans="1:68" x14ac:dyDescent="0.2">
      <c r="A395" s="752"/>
      <c r="B395" s="752"/>
      <c r="C395" s="752"/>
      <c r="D395" s="752"/>
      <c r="E395" s="752"/>
      <c r="F395" s="752"/>
      <c r="G395" s="752"/>
      <c r="H395" s="752"/>
      <c r="I395" s="752"/>
      <c r="J395" s="752"/>
      <c r="K395" s="752"/>
      <c r="L395" s="752"/>
      <c r="M395" s="752"/>
      <c r="N395" s="752"/>
      <c r="O395" s="753"/>
      <c r="P395" s="749" t="s">
        <v>40</v>
      </c>
      <c r="Q395" s="750"/>
      <c r="R395" s="750"/>
      <c r="S395" s="750"/>
      <c r="T395" s="750"/>
      <c r="U395" s="750"/>
      <c r="V395" s="751"/>
      <c r="W395" s="40" t="s">
        <v>39</v>
      </c>
      <c r="X395" s="41">
        <f>IFERROR(X393/H393,"0")+IFERROR(X394/H394,"0")</f>
        <v>142.22222222222223</v>
      </c>
      <c r="Y395" s="41">
        <f>IFERROR(Y393/H393,"0")+IFERROR(Y394/H394,"0")</f>
        <v>143</v>
      </c>
      <c r="Z395" s="41">
        <f>IFERROR(IF(Z393="",0,Z393),"0")+IFERROR(IF(Z394="",0,Z394),"0")</f>
        <v>2.71414</v>
      </c>
      <c r="AA395" s="64"/>
      <c r="AB395" s="64"/>
      <c r="AC395" s="64"/>
    </row>
    <row r="396" spans="1:68" x14ac:dyDescent="0.2">
      <c r="A396" s="752"/>
      <c r="B396" s="752"/>
      <c r="C396" s="752"/>
      <c r="D396" s="752"/>
      <c r="E396" s="752"/>
      <c r="F396" s="752"/>
      <c r="G396" s="752"/>
      <c r="H396" s="752"/>
      <c r="I396" s="752"/>
      <c r="J396" s="752"/>
      <c r="K396" s="752"/>
      <c r="L396" s="752"/>
      <c r="M396" s="752"/>
      <c r="N396" s="752"/>
      <c r="O396" s="753"/>
      <c r="P396" s="749" t="s">
        <v>40</v>
      </c>
      <c r="Q396" s="750"/>
      <c r="R396" s="750"/>
      <c r="S396" s="750"/>
      <c r="T396" s="750"/>
      <c r="U396" s="750"/>
      <c r="V396" s="751"/>
      <c r="W396" s="40" t="s">
        <v>0</v>
      </c>
      <c r="X396" s="41">
        <f>IFERROR(SUM(X393:X394),"0")</f>
        <v>1280</v>
      </c>
      <c r="Y396" s="41">
        <f>IFERROR(SUM(Y393:Y394),"0")</f>
        <v>1287</v>
      </c>
      <c r="Z396" s="40"/>
      <c r="AA396" s="64"/>
      <c r="AB396" s="64"/>
      <c r="AC396" s="64"/>
    </row>
    <row r="397" spans="1:68" ht="14.25" customHeight="1" x14ac:dyDescent="0.25">
      <c r="A397" s="739" t="s">
        <v>186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6" t="s">
        <v>629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400</v>
      </c>
      <c r="Y398" s="53">
        <f>IFERROR(IF(X398="",0,CEILING((X398/$H398),1)*$H398),"")</f>
        <v>405</v>
      </c>
      <c r="Z398" s="39">
        <f>IFERROR(IF(Y398=0,"",ROUNDUP(Y398/H398,0)*0.01898),"")</f>
        <v>0.85409999999999997</v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423.06666666666666</v>
      </c>
      <c r="BN398" s="75">
        <f>IFERROR(Y398*I398/H398,"0")</f>
        <v>428.35500000000002</v>
      </c>
      <c r="BO398" s="75">
        <f>IFERROR(1/J398*(X398/H398),"0")</f>
        <v>0.69444444444444442</v>
      </c>
      <c r="BP398" s="75">
        <f>IFERROR(1/J398*(Y398/H398),"0")</f>
        <v>0.703125</v>
      </c>
    </row>
    <row r="399" spans="1:68" x14ac:dyDescent="0.2">
      <c r="A399" s="752"/>
      <c r="B399" s="752"/>
      <c r="C399" s="752"/>
      <c r="D399" s="752"/>
      <c r="E399" s="752"/>
      <c r="F399" s="752"/>
      <c r="G399" s="752"/>
      <c r="H399" s="752"/>
      <c r="I399" s="752"/>
      <c r="J399" s="752"/>
      <c r="K399" s="752"/>
      <c r="L399" s="752"/>
      <c r="M399" s="752"/>
      <c r="N399" s="752"/>
      <c r="O399" s="753"/>
      <c r="P399" s="749" t="s">
        <v>40</v>
      </c>
      <c r="Q399" s="750"/>
      <c r="R399" s="750"/>
      <c r="S399" s="750"/>
      <c r="T399" s="750"/>
      <c r="U399" s="750"/>
      <c r="V399" s="751"/>
      <c r="W399" s="40" t="s">
        <v>39</v>
      </c>
      <c r="X399" s="41">
        <f>IFERROR(X398/H398,"0")</f>
        <v>44.444444444444443</v>
      </c>
      <c r="Y399" s="41">
        <f>IFERROR(Y398/H398,"0")</f>
        <v>45</v>
      </c>
      <c r="Z399" s="41">
        <f>IFERROR(IF(Z398="",0,Z398),"0")</f>
        <v>0.85409999999999997</v>
      </c>
      <c r="AA399" s="64"/>
      <c r="AB399" s="64"/>
      <c r="AC399" s="64"/>
    </row>
    <row r="400" spans="1:68" x14ac:dyDescent="0.2">
      <c r="A400" s="752"/>
      <c r="B400" s="752"/>
      <c r="C400" s="752"/>
      <c r="D400" s="752"/>
      <c r="E400" s="752"/>
      <c r="F400" s="752"/>
      <c r="G400" s="752"/>
      <c r="H400" s="752"/>
      <c r="I400" s="752"/>
      <c r="J400" s="752"/>
      <c r="K400" s="752"/>
      <c r="L400" s="752"/>
      <c r="M400" s="752"/>
      <c r="N400" s="752"/>
      <c r="O400" s="753"/>
      <c r="P400" s="749" t="s">
        <v>40</v>
      </c>
      <c r="Q400" s="750"/>
      <c r="R400" s="750"/>
      <c r="S400" s="750"/>
      <c r="T400" s="750"/>
      <c r="U400" s="750"/>
      <c r="V400" s="751"/>
      <c r="W400" s="40" t="s">
        <v>0</v>
      </c>
      <c r="X400" s="41">
        <f>IFERROR(SUM(X398:X398),"0")</f>
        <v>400</v>
      </c>
      <c r="Y400" s="41">
        <f>IFERROR(SUM(Y398:Y398),"0")</f>
        <v>405</v>
      </c>
      <c r="Z400" s="40"/>
      <c r="AA400" s="64"/>
      <c r="AB400" s="64"/>
      <c r="AC400" s="64"/>
    </row>
    <row r="401" spans="1:68" ht="16.5" customHeight="1" x14ac:dyDescent="0.25">
      <c r="A401" s="738" t="s">
        <v>631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customHeight="1" x14ac:dyDescent="0.25">
      <c r="A402" s="739" t="s">
        <v>109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740">
        <v>4680115884892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740">
        <v>4680115884885</v>
      </c>
      <c r="E406" s="740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740">
        <v>4680115884908</v>
      </c>
      <c r="E407" s="740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752"/>
      <c r="B408" s="752"/>
      <c r="C408" s="752"/>
      <c r="D408" s="752"/>
      <c r="E408" s="752"/>
      <c r="F408" s="752"/>
      <c r="G408" s="752"/>
      <c r="H408" s="752"/>
      <c r="I408" s="752"/>
      <c r="J408" s="752"/>
      <c r="K408" s="752"/>
      <c r="L408" s="752"/>
      <c r="M408" s="752"/>
      <c r="N408" s="752"/>
      <c r="O408" s="753"/>
      <c r="P408" s="749" t="s">
        <v>40</v>
      </c>
      <c r="Q408" s="750"/>
      <c r="R408" s="750"/>
      <c r="S408" s="750"/>
      <c r="T408" s="750"/>
      <c r="U408" s="750"/>
      <c r="V408" s="751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752"/>
      <c r="B409" s="752"/>
      <c r="C409" s="752"/>
      <c r="D409" s="752"/>
      <c r="E409" s="752"/>
      <c r="F409" s="752"/>
      <c r="G409" s="752"/>
      <c r="H409" s="752"/>
      <c r="I409" s="752"/>
      <c r="J409" s="752"/>
      <c r="K409" s="752"/>
      <c r="L409" s="752"/>
      <c r="M409" s="752"/>
      <c r="N409" s="752"/>
      <c r="O409" s="753"/>
      <c r="P409" s="749" t="s">
        <v>40</v>
      </c>
      <c r="Q409" s="750"/>
      <c r="R409" s="750"/>
      <c r="S409" s="750"/>
      <c r="T409" s="750"/>
      <c r="U409" s="750"/>
      <c r="V409" s="751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739" t="s">
        <v>160</v>
      </c>
      <c r="B410" s="739"/>
      <c r="C410" s="739"/>
      <c r="D410" s="739"/>
      <c r="E410" s="739"/>
      <c r="F410" s="739"/>
      <c r="G410" s="739"/>
      <c r="H410" s="739"/>
      <c r="I410" s="739"/>
      <c r="J410" s="739"/>
      <c r="K410" s="739"/>
      <c r="L410" s="739"/>
      <c r="M410" s="739"/>
      <c r="N410" s="739"/>
      <c r="O410" s="739"/>
      <c r="P410" s="739"/>
      <c r="Q410" s="739"/>
      <c r="R410" s="739"/>
      <c r="S410" s="739"/>
      <c r="T410" s="739"/>
      <c r="U410" s="739"/>
      <c r="V410" s="739"/>
      <c r="W410" s="739"/>
      <c r="X410" s="739"/>
      <c r="Y410" s="739"/>
      <c r="Z410" s="739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740">
        <v>4607091384802</v>
      </c>
      <c r="E411" s="740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2"/>
      <c r="R411" s="742"/>
      <c r="S411" s="742"/>
      <c r="T411" s="743"/>
      <c r="U411" s="37" t="s">
        <v>45</v>
      </c>
      <c r="V411" s="37" t="s">
        <v>45</v>
      </c>
      <c r="W411" s="38" t="s">
        <v>0</v>
      </c>
      <c r="X411" s="56">
        <v>150</v>
      </c>
      <c r="Y411" s="53">
        <f>IFERROR(IF(X411="",0,CEILING((X411/$H411),1)*$H411),"")</f>
        <v>153.29999999999998</v>
      </c>
      <c r="Z411" s="39">
        <f>IFERROR(IF(Y411=0,"",ROUNDUP(Y411/H411,0)*0.00902),"")</f>
        <v>0.31569999999999998</v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159.24657534246575</v>
      </c>
      <c r="BN411" s="75">
        <f>IFERROR(Y411*I411/H411,"0")</f>
        <v>162.75</v>
      </c>
      <c r="BO411" s="75">
        <f>IFERROR(1/J411*(X411/H411),"0")</f>
        <v>0.25944375259443753</v>
      </c>
      <c r="BP411" s="75">
        <f>IFERROR(1/J411*(Y411/H411),"0")</f>
        <v>0.26515151515151514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740">
        <v>4607091384826</v>
      </c>
      <c r="E412" s="740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752"/>
      <c r="B413" s="752"/>
      <c r="C413" s="752"/>
      <c r="D413" s="752"/>
      <c r="E413" s="752"/>
      <c r="F413" s="752"/>
      <c r="G413" s="752"/>
      <c r="H413" s="752"/>
      <c r="I413" s="752"/>
      <c r="J413" s="752"/>
      <c r="K413" s="752"/>
      <c r="L413" s="752"/>
      <c r="M413" s="752"/>
      <c r="N413" s="752"/>
      <c r="O413" s="753"/>
      <c r="P413" s="749" t="s">
        <v>40</v>
      </c>
      <c r="Q413" s="750"/>
      <c r="R413" s="750"/>
      <c r="S413" s="750"/>
      <c r="T413" s="750"/>
      <c r="U413" s="750"/>
      <c r="V413" s="751"/>
      <c r="W413" s="40" t="s">
        <v>39</v>
      </c>
      <c r="X413" s="41">
        <f>IFERROR(X411/H411,"0")+IFERROR(X412/H412,"0")</f>
        <v>34.246575342465754</v>
      </c>
      <c r="Y413" s="41">
        <f>IFERROR(Y411/H411,"0")+IFERROR(Y412/H412,"0")</f>
        <v>35</v>
      </c>
      <c r="Z413" s="41">
        <f>IFERROR(IF(Z411="",0,Z411),"0")+IFERROR(IF(Z412="",0,Z412),"0")</f>
        <v>0.31569999999999998</v>
      </c>
      <c r="AA413" s="64"/>
      <c r="AB413" s="64"/>
      <c r="AC413" s="64"/>
    </row>
    <row r="414" spans="1:68" x14ac:dyDescent="0.2">
      <c r="A414" s="752"/>
      <c r="B414" s="752"/>
      <c r="C414" s="752"/>
      <c r="D414" s="752"/>
      <c r="E414" s="752"/>
      <c r="F414" s="752"/>
      <c r="G414" s="752"/>
      <c r="H414" s="752"/>
      <c r="I414" s="752"/>
      <c r="J414" s="752"/>
      <c r="K414" s="752"/>
      <c r="L414" s="752"/>
      <c r="M414" s="752"/>
      <c r="N414" s="752"/>
      <c r="O414" s="753"/>
      <c r="P414" s="749" t="s">
        <v>40</v>
      </c>
      <c r="Q414" s="750"/>
      <c r="R414" s="750"/>
      <c r="S414" s="750"/>
      <c r="T414" s="750"/>
      <c r="U414" s="750"/>
      <c r="V414" s="751"/>
      <c r="W414" s="40" t="s">
        <v>0</v>
      </c>
      <c r="X414" s="41">
        <f>IFERROR(SUM(X411:X412),"0")</f>
        <v>150</v>
      </c>
      <c r="Y414" s="41">
        <f>IFERROR(SUM(Y411:Y412),"0")</f>
        <v>153.29999999999998</v>
      </c>
      <c r="Z414" s="40"/>
      <c r="AA414" s="64"/>
      <c r="AB414" s="64"/>
      <c r="AC414" s="64"/>
    </row>
    <row r="415" spans="1:68" ht="14.25" customHeight="1" x14ac:dyDescent="0.25">
      <c r="A415" s="739" t="s">
        <v>78</v>
      </c>
      <c r="B415" s="739"/>
      <c r="C415" s="739"/>
      <c r="D415" s="739"/>
      <c r="E415" s="739"/>
      <c r="F415" s="739"/>
      <c r="G415" s="739"/>
      <c r="H415" s="739"/>
      <c r="I415" s="739"/>
      <c r="J415" s="739"/>
      <c r="K415" s="739"/>
      <c r="L415" s="739"/>
      <c r="M415" s="739"/>
      <c r="N415" s="739"/>
      <c r="O415" s="739"/>
      <c r="P415" s="739"/>
      <c r="Q415" s="739"/>
      <c r="R415" s="739"/>
      <c r="S415" s="739"/>
      <c r="T415" s="739"/>
      <c r="U415" s="739"/>
      <c r="V415" s="739"/>
      <c r="W415" s="739"/>
      <c r="X415" s="739"/>
      <c r="Y415" s="739"/>
      <c r="Z415" s="739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740">
        <v>4607091384246</v>
      </c>
      <c r="E416" s="740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2"/>
      <c r="R416" s="742"/>
      <c r="S416" s="742"/>
      <c r="T416" s="743"/>
      <c r="U416" s="37" t="s">
        <v>45</v>
      </c>
      <c r="V416" s="37" t="s">
        <v>45</v>
      </c>
      <c r="W416" s="38" t="s">
        <v>0</v>
      </c>
      <c r="X416" s="56">
        <v>20</v>
      </c>
      <c r="Y416" s="53">
        <f>IFERROR(IF(X416="",0,CEILING((X416/$H416),1)*$H416),"")</f>
        <v>27</v>
      </c>
      <c r="Z416" s="39">
        <f>IFERROR(IF(Y416=0,"",ROUNDUP(Y416/H416,0)*0.01898),"")</f>
        <v>5.6940000000000004E-2</v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21.153333333333332</v>
      </c>
      <c r="BN416" s="75">
        <f>IFERROR(Y416*I416/H416,"0")</f>
        <v>28.556999999999999</v>
      </c>
      <c r="BO416" s="75">
        <f>IFERROR(1/J416*(X416/H416),"0")</f>
        <v>3.4722222222222224E-2</v>
      </c>
      <c r="BP416" s="75">
        <f>IFERROR(1/J416*(Y416/H416),"0")</f>
        <v>4.6875E-2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740">
        <v>4680115881976</v>
      </c>
      <c r="E417" s="740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5" t="s">
        <v>654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740">
        <v>4607091384253</v>
      </c>
      <c r="E418" s="740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740">
        <v>4680115881969</v>
      </c>
      <c r="E420" s="740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752"/>
      <c r="B421" s="752"/>
      <c r="C421" s="752"/>
      <c r="D421" s="752"/>
      <c r="E421" s="752"/>
      <c r="F421" s="752"/>
      <c r="G421" s="752"/>
      <c r="H421" s="752"/>
      <c r="I421" s="752"/>
      <c r="J421" s="752"/>
      <c r="K421" s="752"/>
      <c r="L421" s="752"/>
      <c r="M421" s="752"/>
      <c r="N421" s="752"/>
      <c r="O421" s="753"/>
      <c r="P421" s="749" t="s">
        <v>40</v>
      </c>
      <c r="Q421" s="750"/>
      <c r="R421" s="750"/>
      <c r="S421" s="750"/>
      <c r="T421" s="750"/>
      <c r="U421" s="750"/>
      <c r="V421" s="751"/>
      <c r="W421" s="40" t="s">
        <v>39</v>
      </c>
      <c r="X421" s="41">
        <f>IFERROR(X416/H416,"0")+IFERROR(X417/H417,"0")+IFERROR(X418/H418,"0")+IFERROR(X419/H419,"0")+IFERROR(X420/H420,"0")</f>
        <v>2.2222222222222223</v>
      </c>
      <c r="Y421" s="41">
        <f>IFERROR(Y416/H416,"0")+IFERROR(Y417/H417,"0")+IFERROR(Y418/H418,"0")+IFERROR(Y419/H419,"0")+IFERROR(Y420/H420,"0")</f>
        <v>3</v>
      </c>
      <c r="Z421" s="41">
        <f>IFERROR(IF(Z416="",0,Z416),"0")+IFERROR(IF(Z417="",0,Z417),"0")+IFERROR(IF(Z418="",0,Z418),"0")+IFERROR(IF(Z419="",0,Z419),"0")+IFERROR(IF(Z420="",0,Z420),"0")</f>
        <v>5.6940000000000004E-2</v>
      </c>
      <c r="AA421" s="64"/>
      <c r="AB421" s="64"/>
      <c r="AC421" s="64"/>
    </row>
    <row r="422" spans="1:68" x14ac:dyDescent="0.2">
      <c r="A422" s="752"/>
      <c r="B422" s="752"/>
      <c r="C422" s="752"/>
      <c r="D422" s="752"/>
      <c r="E422" s="752"/>
      <c r="F422" s="752"/>
      <c r="G422" s="752"/>
      <c r="H422" s="752"/>
      <c r="I422" s="752"/>
      <c r="J422" s="752"/>
      <c r="K422" s="752"/>
      <c r="L422" s="752"/>
      <c r="M422" s="752"/>
      <c r="N422" s="752"/>
      <c r="O422" s="753"/>
      <c r="P422" s="749" t="s">
        <v>40</v>
      </c>
      <c r="Q422" s="750"/>
      <c r="R422" s="750"/>
      <c r="S422" s="750"/>
      <c r="T422" s="750"/>
      <c r="U422" s="750"/>
      <c r="V422" s="751"/>
      <c r="W422" s="40" t="s">
        <v>0</v>
      </c>
      <c r="X422" s="41">
        <f>IFERROR(SUM(X416:X420),"0")</f>
        <v>20</v>
      </c>
      <c r="Y422" s="41">
        <f>IFERROR(SUM(Y416:Y420),"0")</f>
        <v>27</v>
      </c>
      <c r="Z422" s="40"/>
      <c r="AA422" s="64"/>
      <c r="AB422" s="64"/>
      <c r="AC422" s="64"/>
    </row>
    <row r="423" spans="1:68" ht="14.25" customHeight="1" x14ac:dyDescent="0.25">
      <c r="A423" s="739" t="s">
        <v>186</v>
      </c>
      <c r="B423" s="739"/>
      <c r="C423" s="739"/>
      <c r="D423" s="739"/>
      <c r="E423" s="739"/>
      <c r="F423" s="739"/>
      <c r="G423" s="739"/>
      <c r="H423" s="739"/>
      <c r="I423" s="739"/>
      <c r="J423" s="739"/>
      <c r="K423" s="739"/>
      <c r="L423" s="739"/>
      <c r="M423" s="739"/>
      <c r="N423" s="739"/>
      <c r="O423" s="739"/>
      <c r="P423" s="739"/>
      <c r="Q423" s="739"/>
      <c r="R423" s="739"/>
      <c r="S423" s="739"/>
      <c r="T423" s="739"/>
      <c r="U423" s="739"/>
      <c r="V423" s="739"/>
      <c r="W423" s="739"/>
      <c r="X423" s="739"/>
      <c r="Y423" s="739"/>
      <c r="Z423" s="739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740">
        <v>4607091389357</v>
      </c>
      <c r="E424" s="740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9" t="s">
        <v>665</v>
      </c>
      <c r="Q424" s="742"/>
      <c r="R424" s="742"/>
      <c r="S424" s="742"/>
      <c r="T424" s="743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752"/>
      <c r="B425" s="752"/>
      <c r="C425" s="752"/>
      <c r="D425" s="752"/>
      <c r="E425" s="752"/>
      <c r="F425" s="752"/>
      <c r="G425" s="752"/>
      <c r="H425" s="752"/>
      <c r="I425" s="752"/>
      <c r="J425" s="752"/>
      <c r="K425" s="752"/>
      <c r="L425" s="752"/>
      <c r="M425" s="752"/>
      <c r="N425" s="752"/>
      <c r="O425" s="753"/>
      <c r="P425" s="749" t="s">
        <v>40</v>
      </c>
      <c r="Q425" s="750"/>
      <c r="R425" s="750"/>
      <c r="S425" s="750"/>
      <c r="T425" s="750"/>
      <c r="U425" s="750"/>
      <c r="V425" s="751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752"/>
      <c r="B426" s="752"/>
      <c r="C426" s="752"/>
      <c r="D426" s="752"/>
      <c r="E426" s="752"/>
      <c r="F426" s="752"/>
      <c r="G426" s="752"/>
      <c r="H426" s="752"/>
      <c r="I426" s="752"/>
      <c r="J426" s="752"/>
      <c r="K426" s="752"/>
      <c r="L426" s="752"/>
      <c r="M426" s="752"/>
      <c r="N426" s="752"/>
      <c r="O426" s="753"/>
      <c r="P426" s="749" t="s">
        <v>40</v>
      </c>
      <c r="Q426" s="750"/>
      <c r="R426" s="750"/>
      <c r="S426" s="750"/>
      <c r="T426" s="750"/>
      <c r="U426" s="750"/>
      <c r="V426" s="751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37" t="s">
        <v>667</v>
      </c>
      <c r="B427" s="737"/>
      <c r="C427" s="737"/>
      <c r="D427" s="737"/>
      <c r="E427" s="737"/>
      <c r="F427" s="737"/>
      <c r="G427" s="737"/>
      <c r="H427" s="737"/>
      <c r="I427" s="737"/>
      <c r="J427" s="737"/>
      <c r="K427" s="737"/>
      <c r="L427" s="737"/>
      <c r="M427" s="737"/>
      <c r="N427" s="737"/>
      <c r="O427" s="737"/>
      <c r="P427" s="737"/>
      <c r="Q427" s="737"/>
      <c r="R427" s="737"/>
      <c r="S427" s="737"/>
      <c r="T427" s="737"/>
      <c r="U427" s="737"/>
      <c r="V427" s="737"/>
      <c r="W427" s="737"/>
      <c r="X427" s="737"/>
      <c r="Y427" s="737"/>
      <c r="Z427" s="737"/>
      <c r="AA427" s="52"/>
      <c r="AB427" s="52"/>
      <c r="AC427" s="52"/>
    </row>
    <row r="428" spans="1:68" ht="16.5" customHeight="1" x14ac:dyDescent="0.25">
      <c r="A428" s="738" t="s">
        <v>668</v>
      </c>
      <c r="B428" s="738"/>
      <c r="C428" s="738"/>
      <c r="D428" s="738"/>
      <c r="E428" s="738"/>
      <c r="F428" s="738"/>
      <c r="G428" s="738"/>
      <c r="H428" s="738"/>
      <c r="I428" s="738"/>
      <c r="J428" s="738"/>
      <c r="K428" s="738"/>
      <c r="L428" s="738"/>
      <c r="M428" s="738"/>
      <c r="N428" s="738"/>
      <c r="O428" s="738"/>
      <c r="P428" s="738"/>
      <c r="Q428" s="738"/>
      <c r="R428" s="738"/>
      <c r="S428" s="738"/>
      <c r="T428" s="738"/>
      <c r="U428" s="738"/>
      <c r="V428" s="738"/>
      <c r="W428" s="738"/>
      <c r="X428" s="738"/>
      <c r="Y428" s="738"/>
      <c r="Z428" s="738"/>
      <c r="AA428" s="62"/>
      <c r="AB428" s="62"/>
      <c r="AC428" s="62"/>
    </row>
    <row r="429" spans="1:68" ht="14.25" customHeight="1" x14ac:dyDescent="0.25">
      <c r="A429" s="739" t="s">
        <v>160</v>
      </c>
      <c r="B429" s="739"/>
      <c r="C429" s="739"/>
      <c r="D429" s="739"/>
      <c r="E429" s="739"/>
      <c r="F429" s="739"/>
      <c r="G429" s="739"/>
      <c r="H429" s="739"/>
      <c r="I429" s="739"/>
      <c r="J429" s="739"/>
      <c r="K429" s="739"/>
      <c r="L429" s="739"/>
      <c r="M429" s="739"/>
      <c r="N429" s="739"/>
      <c r="O429" s="739"/>
      <c r="P429" s="739"/>
      <c r="Q429" s="739"/>
      <c r="R429" s="739"/>
      <c r="S429" s="739"/>
      <c r="T429" s="739"/>
      <c r="U429" s="739"/>
      <c r="V429" s="739"/>
      <c r="W429" s="739"/>
      <c r="X429" s="739"/>
      <c r="Y429" s="739"/>
      <c r="Z429" s="739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740">
        <v>4680115886100</v>
      </c>
      <c r="E430" s="740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50" t="s">
        <v>671</v>
      </c>
      <c r="Q430" s="742"/>
      <c r="R430" s="742"/>
      <c r="S430" s="742"/>
      <c r="T430" s="74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740">
        <v>4680115886117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51" t="s">
        <v>675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2" t="s">
        <v>675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740">
        <v>4680115886124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3" t="s">
        <v>680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80</v>
      </c>
      <c r="Y433" s="53">
        <f t="shared" si="63"/>
        <v>81</v>
      </c>
      <c r="Z433" s="39">
        <f>IFERROR(IF(Y433=0,"",ROUNDUP(Y433/H433,0)*0.00902),"")</f>
        <v>0.1353</v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83.111111111111114</v>
      </c>
      <c r="BN433" s="75">
        <f t="shared" si="65"/>
        <v>84.15</v>
      </c>
      <c r="BO433" s="75">
        <f t="shared" si="66"/>
        <v>0.11223344556677889</v>
      </c>
      <c r="BP433" s="75">
        <f t="shared" si="67"/>
        <v>0.11363636363636363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740">
        <v>4680115883147</v>
      </c>
      <c r="E434" s="740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5" t="s">
        <v>685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740">
        <v>4607091384338</v>
      </c>
      <c r="E436" s="740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740">
        <v>4607091389524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740">
        <v>4680115883161</v>
      </c>
      <c r="E438" s="74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9" t="s">
        <v>695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740">
        <v>4607091389531</v>
      </c>
      <c r="E440" s="74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740">
        <v>4607091384345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752"/>
      <c r="B442" s="752"/>
      <c r="C442" s="752"/>
      <c r="D442" s="752"/>
      <c r="E442" s="752"/>
      <c r="F442" s="752"/>
      <c r="G442" s="752"/>
      <c r="H442" s="752"/>
      <c r="I442" s="752"/>
      <c r="J442" s="752"/>
      <c r="K442" s="752"/>
      <c r="L442" s="752"/>
      <c r="M442" s="752"/>
      <c r="N442" s="752"/>
      <c r="O442" s="753"/>
      <c r="P442" s="749" t="s">
        <v>40</v>
      </c>
      <c r="Q442" s="750"/>
      <c r="R442" s="750"/>
      <c r="S442" s="750"/>
      <c r="T442" s="750"/>
      <c r="U442" s="750"/>
      <c r="V442" s="751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14.814814814814813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14.999999999999998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0.1353</v>
      </c>
      <c r="AA442" s="64"/>
      <c r="AB442" s="64"/>
      <c r="AC442" s="64"/>
    </row>
    <row r="443" spans="1:68" x14ac:dyDescent="0.2">
      <c r="A443" s="752"/>
      <c r="B443" s="752"/>
      <c r="C443" s="752"/>
      <c r="D443" s="752"/>
      <c r="E443" s="752"/>
      <c r="F443" s="752"/>
      <c r="G443" s="752"/>
      <c r="H443" s="752"/>
      <c r="I443" s="752"/>
      <c r="J443" s="752"/>
      <c r="K443" s="752"/>
      <c r="L443" s="752"/>
      <c r="M443" s="752"/>
      <c r="N443" s="752"/>
      <c r="O443" s="753"/>
      <c r="P443" s="749" t="s">
        <v>40</v>
      </c>
      <c r="Q443" s="750"/>
      <c r="R443" s="750"/>
      <c r="S443" s="750"/>
      <c r="T443" s="750"/>
      <c r="U443" s="750"/>
      <c r="V443" s="751"/>
      <c r="W443" s="40" t="s">
        <v>0</v>
      </c>
      <c r="X443" s="41">
        <f>IFERROR(SUM(X430:X441),"0")</f>
        <v>80</v>
      </c>
      <c r="Y443" s="41">
        <f>IFERROR(SUM(Y430:Y441),"0")</f>
        <v>81</v>
      </c>
      <c r="Z443" s="40"/>
      <c r="AA443" s="64"/>
      <c r="AB443" s="64"/>
      <c r="AC443" s="64"/>
    </row>
    <row r="444" spans="1:68" ht="14.25" customHeight="1" x14ac:dyDescent="0.25">
      <c r="A444" s="739" t="s">
        <v>78</v>
      </c>
      <c r="B444" s="739"/>
      <c r="C444" s="739"/>
      <c r="D444" s="739"/>
      <c r="E444" s="739"/>
      <c r="F444" s="739"/>
      <c r="G444" s="739"/>
      <c r="H444" s="739"/>
      <c r="I444" s="739"/>
      <c r="J444" s="739"/>
      <c r="K444" s="739"/>
      <c r="L444" s="739"/>
      <c r="M444" s="739"/>
      <c r="N444" s="739"/>
      <c r="O444" s="739"/>
      <c r="P444" s="739"/>
      <c r="Q444" s="739"/>
      <c r="R444" s="739"/>
      <c r="S444" s="739"/>
      <c r="T444" s="739"/>
      <c r="U444" s="739"/>
      <c r="V444" s="739"/>
      <c r="W444" s="739"/>
      <c r="X444" s="739"/>
      <c r="Y444" s="739"/>
      <c r="Z444" s="739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740">
        <v>4607091384352</v>
      </c>
      <c r="E445" s="740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2"/>
      <c r="R445" s="742"/>
      <c r="S445" s="742"/>
      <c r="T445" s="743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740">
        <v>4607091389654</v>
      </c>
      <c r="E446" s="740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52"/>
      <c r="B447" s="752"/>
      <c r="C447" s="752"/>
      <c r="D447" s="752"/>
      <c r="E447" s="752"/>
      <c r="F447" s="752"/>
      <c r="G447" s="752"/>
      <c r="H447" s="752"/>
      <c r="I447" s="752"/>
      <c r="J447" s="752"/>
      <c r="K447" s="752"/>
      <c r="L447" s="752"/>
      <c r="M447" s="752"/>
      <c r="N447" s="752"/>
      <c r="O447" s="753"/>
      <c r="P447" s="749" t="s">
        <v>40</v>
      </c>
      <c r="Q447" s="750"/>
      <c r="R447" s="750"/>
      <c r="S447" s="750"/>
      <c r="T447" s="750"/>
      <c r="U447" s="750"/>
      <c r="V447" s="751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752"/>
      <c r="B448" s="752"/>
      <c r="C448" s="752"/>
      <c r="D448" s="752"/>
      <c r="E448" s="752"/>
      <c r="F448" s="752"/>
      <c r="G448" s="752"/>
      <c r="H448" s="752"/>
      <c r="I448" s="752"/>
      <c r="J448" s="752"/>
      <c r="K448" s="752"/>
      <c r="L448" s="752"/>
      <c r="M448" s="752"/>
      <c r="N448" s="752"/>
      <c r="O448" s="753"/>
      <c r="P448" s="749" t="s">
        <v>40</v>
      </c>
      <c r="Q448" s="750"/>
      <c r="R448" s="750"/>
      <c r="S448" s="750"/>
      <c r="T448" s="750"/>
      <c r="U448" s="750"/>
      <c r="V448" s="751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738" t="s">
        <v>707</v>
      </c>
      <c r="B449" s="738"/>
      <c r="C449" s="738"/>
      <c r="D449" s="738"/>
      <c r="E449" s="738"/>
      <c r="F449" s="738"/>
      <c r="G449" s="738"/>
      <c r="H449" s="738"/>
      <c r="I449" s="738"/>
      <c r="J449" s="738"/>
      <c r="K449" s="738"/>
      <c r="L449" s="738"/>
      <c r="M449" s="738"/>
      <c r="N449" s="738"/>
      <c r="O449" s="738"/>
      <c r="P449" s="738"/>
      <c r="Q449" s="738"/>
      <c r="R449" s="738"/>
      <c r="S449" s="738"/>
      <c r="T449" s="738"/>
      <c r="U449" s="738"/>
      <c r="V449" s="738"/>
      <c r="W449" s="738"/>
      <c r="X449" s="738"/>
      <c r="Y449" s="738"/>
      <c r="Z449" s="738"/>
      <c r="AA449" s="62"/>
      <c r="AB449" s="62"/>
      <c r="AC449" s="62"/>
    </row>
    <row r="450" spans="1:68" ht="14.25" customHeight="1" x14ac:dyDescent="0.25">
      <c r="A450" s="739" t="s">
        <v>149</v>
      </c>
      <c r="B450" s="739"/>
      <c r="C450" s="739"/>
      <c r="D450" s="739"/>
      <c r="E450" s="739"/>
      <c r="F450" s="739"/>
      <c r="G450" s="739"/>
      <c r="H450" s="739"/>
      <c r="I450" s="739"/>
      <c r="J450" s="739"/>
      <c r="K450" s="739"/>
      <c r="L450" s="739"/>
      <c r="M450" s="739"/>
      <c r="N450" s="739"/>
      <c r="O450" s="739"/>
      <c r="P450" s="739"/>
      <c r="Q450" s="739"/>
      <c r="R450" s="739"/>
      <c r="S450" s="739"/>
      <c r="T450" s="739"/>
      <c r="U450" s="739"/>
      <c r="V450" s="739"/>
      <c r="W450" s="739"/>
      <c r="X450" s="739"/>
      <c r="Y450" s="739"/>
      <c r="Z450" s="739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740">
        <v>4680115885240</v>
      </c>
      <c r="E451" s="740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2"/>
      <c r="R451" s="742"/>
      <c r="S451" s="742"/>
      <c r="T451" s="74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740">
        <v>4607091389364</v>
      </c>
      <c r="E452" s="740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2"/>
      <c r="B453" s="752"/>
      <c r="C453" s="752"/>
      <c r="D453" s="752"/>
      <c r="E453" s="752"/>
      <c r="F453" s="752"/>
      <c r="G453" s="752"/>
      <c r="H453" s="752"/>
      <c r="I453" s="752"/>
      <c r="J453" s="752"/>
      <c r="K453" s="752"/>
      <c r="L453" s="752"/>
      <c r="M453" s="752"/>
      <c r="N453" s="752"/>
      <c r="O453" s="753"/>
      <c r="P453" s="749" t="s">
        <v>40</v>
      </c>
      <c r="Q453" s="750"/>
      <c r="R453" s="750"/>
      <c r="S453" s="750"/>
      <c r="T453" s="750"/>
      <c r="U453" s="750"/>
      <c r="V453" s="751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2"/>
      <c r="B454" s="752"/>
      <c r="C454" s="752"/>
      <c r="D454" s="752"/>
      <c r="E454" s="752"/>
      <c r="F454" s="752"/>
      <c r="G454" s="752"/>
      <c r="H454" s="752"/>
      <c r="I454" s="752"/>
      <c r="J454" s="752"/>
      <c r="K454" s="752"/>
      <c r="L454" s="752"/>
      <c r="M454" s="752"/>
      <c r="N454" s="752"/>
      <c r="O454" s="753"/>
      <c r="P454" s="749" t="s">
        <v>40</v>
      </c>
      <c r="Q454" s="750"/>
      <c r="R454" s="750"/>
      <c r="S454" s="750"/>
      <c r="T454" s="750"/>
      <c r="U454" s="750"/>
      <c r="V454" s="751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739" t="s">
        <v>160</v>
      </c>
      <c r="B455" s="739"/>
      <c r="C455" s="739"/>
      <c r="D455" s="739"/>
      <c r="E455" s="739"/>
      <c r="F455" s="739"/>
      <c r="G455" s="739"/>
      <c r="H455" s="739"/>
      <c r="I455" s="739"/>
      <c r="J455" s="739"/>
      <c r="K455" s="739"/>
      <c r="L455" s="739"/>
      <c r="M455" s="739"/>
      <c r="N455" s="739"/>
      <c r="O455" s="739"/>
      <c r="P455" s="739"/>
      <c r="Q455" s="739"/>
      <c r="R455" s="739"/>
      <c r="S455" s="739"/>
      <c r="T455" s="739"/>
      <c r="U455" s="739"/>
      <c r="V455" s="739"/>
      <c r="W455" s="739"/>
      <c r="X455" s="739"/>
      <c r="Y455" s="739"/>
      <c r="Z455" s="739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740">
        <v>4680115886094</v>
      </c>
      <c r="E456" s="740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6" t="s">
        <v>716</v>
      </c>
      <c r="Q456" s="742"/>
      <c r="R456" s="742"/>
      <c r="S456" s="742"/>
      <c r="T456" s="743"/>
      <c r="U456" s="37" t="s">
        <v>45</v>
      </c>
      <c r="V456" s="37" t="s">
        <v>45</v>
      </c>
      <c r="W456" s="38" t="s">
        <v>0</v>
      </c>
      <c r="X456" s="56">
        <v>100</v>
      </c>
      <c r="Y456" s="53">
        <f>IFERROR(IF(X456="",0,CEILING((X456/$H456),1)*$H456),"")</f>
        <v>102.60000000000001</v>
      </c>
      <c r="Z456" s="39">
        <f>IFERROR(IF(Y456=0,"",ROUNDUP(Y456/H456,0)*0.00902),"")</f>
        <v>0.17138</v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103.88888888888889</v>
      </c>
      <c r="BN456" s="75">
        <f>IFERROR(Y456*I456/H456,"0")</f>
        <v>106.59000000000002</v>
      </c>
      <c r="BO456" s="75">
        <f>IFERROR(1/J456*(X456/H456),"0")</f>
        <v>0.14029180695847362</v>
      </c>
      <c r="BP456" s="75">
        <f>IFERROR(1/J456*(Y456/H456),"0")</f>
        <v>0.14393939393939395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740">
        <v>4607091389425</v>
      </c>
      <c r="E457" s="740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740">
        <v>4680115880771</v>
      </c>
      <c r="E458" s="740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8" t="s">
        <v>723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740">
        <v>4607091389500</v>
      </c>
      <c r="E459" s="740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2"/>
      <c r="B460" s="752"/>
      <c r="C460" s="752"/>
      <c r="D460" s="752"/>
      <c r="E460" s="752"/>
      <c r="F460" s="752"/>
      <c r="G460" s="752"/>
      <c r="H460" s="752"/>
      <c r="I460" s="752"/>
      <c r="J460" s="752"/>
      <c r="K460" s="752"/>
      <c r="L460" s="752"/>
      <c r="M460" s="752"/>
      <c r="N460" s="752"/>
      <c r="O460" s="753"/>
      <c r="P460" s="749" t="s">
        <v>40</v>
      </c>
      <c r="Q460" s="750"/>
      <c r="R460" s="750"/>
      <c r="S460" s="750"/>
      <c r="T460" s="750"/>
      <c r="U460" s="750"/>
      <c r="V460" s="751"/>
      <c r="W460" s="40" t="s">
        <v>39</v>
      </c>
      <c r="X460" s="41">
        <f>IFERROR(X456/H456,"0")+IFERROR(X457/H457,"0")+IFERROR(X458/H458,"0")+IFERROR(X459/H459,"0")</f>
        <v>18.518518518518519</v>
      </c>
      <c r="Y460" s="41">
        <f>IFERROR(Y456/H456,"0")+IFERROR(Y457/H457,"0")+IFERROR(Y458/H458,"0")+IFERROR(Y459/H459,"0")</f>
        <v>19</v>
      </c>
      <c r="Z460" s="41">
        <f>IFERROR(IF(Z456="",0,Z456),"0")+IFERROR(IF(Z457="",0,Z457),"0")+IFERROR(IF(Z458="",0,Z458),"0")+IFERROR(IF(Z459="",0,Z459),"0")</f>
        <v>0.17138</v>
      </c>
      <c r="AA460" s="64"/>
      <c r="AB460" s="64"/>
      <c r="AC460" s="64"/>
    </row>
    <row r="461" spans="1:68" x14ac:dyDescent="0.2">
      <c r="A461" s="752"/>
      <c r="B461" s="752"/>
      <c r="C461" s="752"/>
      <c r="D461" s="752"/>
      <c r="E461" s="752"/>
      <c r="F461" s="752"/>
      <c r="G461" s="752"/>
      <c r="H461" s="752"/>
      <c r="I461" s="752"/>
      <c r="J461" s="752"/>
      <c r="K461" s="752"/>
      <c r="L461" s="752"/>
      <c r="M461" s="752"/>
      <c r="N461" s="752"/>
      <c r="O461" s="753"/>
      <c r="P461" s="749" t="s">
        <v>40</v>
      </c>
      <c r="Q461" s="750"/>
      <c r="R461" s="750"/>
      <c r="S461" s="750"/>
      <c r="T461" s="750"/>
      <c r="U461" s="750"/>
      <c r="V461" s="751"/>
      <c r="W461" s="40" t="s">
        <v>0</v>
      </c>
      <c r="X461" s="41">
        <f>IFERROR(SUM(X456:X459),"0")</f>
        <v>100</v>
      </c>
      <c r="Y461" s="41">
        <f>IFERROR(SUM(Y456:Y459),"0")</f>
        <v>102.60000000000001</v>
      </c>
      <c r="Z461" s="40"/>
      <c r="AA461" s="64"/>
      <c r="AB461" s="64"/>
      <c r="AC461" s="64"/>
    </row>
    <row r="462" spans="1:68" ht="16.5" customHeight="1" x14ac:dyDescent="0.25">
      <c r="A462" s="738" t="s">
        <v>727</v>
      </c>
      <c r="B462" s="738"/>
      <c r="C462" s="738"/>
      <c r="D462" s="738"/>
      <c r="E462" s="738"/>
      <c r="F462" s="738"/>
      <c r="G462" s="738"/>
      <c r="H462" s="738"/>
      <c r="I462" s="738"/>
      <c r="J462" s="738"/>
      <c r="K462" s="738"/>
      <c r="L462" s="738"/>
      <c r="M462" s="738"/>
      <c r="N462" s="738"/>
      <c r="O462" s="738"/>
      <c r="P462" s="738"/>
      <c r="Q462" s="738"/>
      <c r="R462" s="738"/>
      <c r="S462" s="738"/>
      <c r="T462" s="738"/>
      <c r="U462" s="738"/>
      <c r="V462" s="738"/>
      <c r="W462" s="738"/>
      <c r="X462" s="738"/>
      <c r="Y462" s="738"/>
      <c r="Z462" s="738"/>
      <c r="AA462" s="62"/>
      <c r="AB462" s="62"/>
      <c r="AC462" s="62"/>
    </row>
    <row r="463" spans="1:68" ht="14.25" customHeight="1" x14ac:dyDescent="0.25">
      <c r="A463" s="739" t="s">
        <v>160</v>
      </c>
      <c r="B463" s="739"/>
      <c r="C463" s="739"/>
      <c r="D463" s="739"/>
      <c r="E463" s="739"/>
      <c r="F463" s="739"/>
      <c r="G463" s="739"/>
      <c r="H463" s="739"/>
      <c r="I463" s="739"/>
      <c r="J463" s="739"/>
      <c r="K463" s="739"/>
      <c r="L463" s="739"/>
      <c r="M463" s="739"/>
      <c r="N463" s="739"/>
      <c r="O463" s="739"/>
      <c r="P463" s="739"/>
      <c r="Q463" s="739"/>
      <c r="R463" s="739"/>
      <c r="S463" s="739"/>
      <c r="T463" s="739"/>
      <c r="U463" s="739"/>
      <c r="V463" s="739"/>
      <c r="W463" s="739"/>
      <c r="X463" s="739"/>
      <c r="Y463" s="739"/>
      <c r="Z463" s="739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740">
        <v>4680115885189</v>
      </c>
      <c r="E464" s="740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7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2"/>
      <c r="R464" s="742"/>
      <c r="S464" s="742"/>
      <c r="T464" s="743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740">
        <v>4680115885110</v>
      </c>
      <c r="E465" s="740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71" t="s">
        <v>733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2"/>
      <c r="B466" s="752"/>
      <c r="C466" s="752"/>
      <c r="D466" s="752"/>
      <c r="E466" s="752"/>
      <c r="F466" s="752"/>
      <c r="G466" s="752"/>
      <c r="H466" s="752"/>
      <c r="I466" s="752"/>
      <c r="J466" s="752"/>
      <c r="K466" s="752"/>
      <c r="L466" s="752"/>
      <c r="M466" s="752"/>
      <c r="N466" s="752"/>
      <c r="O466" s="753"/>
      <c r="P466" s="749" t="s">
        <v>40</v>
      </c>
      <c r="Q466" s="750"/>
      <c r="R466" s="750"/>
      <c r="S466" s="750"/>
      <c r="T466" s="750"/>
      <c r="U466" s="750"/>
      <c r="V466" s="75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752"/>
      <c r="B467" s="752"/>
      <c r="C467" s="752"/>
      <c r="D467" s="752"/>
      <c r="E467" s="752"/>
      <c r="F467" s="752"/>
      <c r="G467" s="752"/>
      <c r="H467" s="752"/>
      <c r="I467" s="752"/>
      <c r="J467" s="752"/>
      <c r="K467" s="752"/>
      <c r="L467" s="752"/>
      <c r="M467" s="752"/>
      <c r="N467" s="752"/>
      <c r="O467" s="753"/>
      <c r="P467" s="749" t="s">
        <v>40</v>
      </c>
      <c r="Q467" s="750"/>
      <c r="R467" s="750"/>
      <c r="S467" s="750"/>
      <c r="T467" s="750"/>
      <c r="U467" s="750"/>
      <c r="V467" s="75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738" t="s">
        <v>735</v>
      </c>
      <c r="B468" s="738"/>
      <c r="C468" s="738"/>
      <c r="D468" s="738"/>
      <c r="E468" s="738"/>
      <c r="F468" s="738"/>
      <c r="G468" s="738"/>
      <c r="H468" s="738"/>
      <c r="I468" s="738"/>
      <c r="J468" s="738"/>
      <c r="K468" s="738"/>
      <c r="L468" s="738"/>
      <c r="M468" s="738"/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  <c r="AA468" s="62"/>
      <c r="AB468" s="62"/>
      <c r="AC468" s="62"/>
    </row>
    <row r="469" spans="1:68" ht="14.25" customHeight="1" x14ac:dyDescent="0.25">
      <c r="A469" s="739" t="s">
        <v>160</v>
      </c>
      <c r="B469" s="739"/>
      <c r="C469" s="739"/>
      <c r="D469" s="739"/>
      <c r="E469" s="739"/>
      <c r="F469" s="739"/>
      <c r="G469" s="739"/>
      <c r="H469" s="739"/>
      <c r="I469" s="739"/>
      <c r="J469" s="739"/>
      <c r="K469" s="739"/>
      <c r="L469" s="739"/>
      <c r="M469" s="739"/>
      <c r="N469" s="739"/>
      <c r="O469" s="739"/>
      <c r="P469" s="739"/>
      <c r="Q469" s="739"/>
      <c r="R469" s="739"/>
      <c r="S469" s="739"/>
      <c r="T469" s="739"/>
      <c r="U469" s="739"/>
      <c r="V469" s="739"/>
      <c r="W469" s="739"/>
      <c r="X469" s="739"/>
      <c r="Y469" s="739"/>
      <c r="Z469" s="739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740">
        <v>4680115885103</v>
      </c>
      <c r="E470" s="740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2"/>
      <c r="R470" s="742"/>
      <c r="S470" s="742"/>
      <c r="T470" s="743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752"/>
      <c r="B471" s="752"/>
      <c r="C471" s="752"/>
      <c r="D471" s="752"/>
      <c r="E471" s="752"/>
      <c r="F471" s="752"/>
      <c r="G471" s="752"/>
      <c r="H471" s="752"/>
      <c r="I471" s="752"/>
      <c r="J471" s="752"/>
      <c r="K471" s="752"/>
      <c r="L471" s="752"/>
      <c r="M471" s="752"/>
      <c r="N471" s="752"/>
      <c r="O471" s="753"/>
      <c r="P471" s="749" t="s">
        <v>40</v>
      </c>
      <c r="Q471" s="750"/>
      <c r="R471" s="750"/>
      <c r="S471" s="750"/>
      <c r="T471" s="750"/>
      <c r="U471" s="750"/>
      <c r="V471" s="751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752"/>
      <c r="B472" s="752"/>
      <c r="C472" s="752"/>
      <c r="D472" s="752"/>
      <c r="E472" s="752"/>
      <c r="F472" s="752"/>
      <c r="G472" s="752"/>
      <c r="H472" s="752"/>
      <c r="I472" s="752"/>
      <c r="J472" s="752"/>
      <c r="K472" s="752"/>
      <c r="L472" s="752"/>
      <c r="M472" s="752"/>
      <c r="N472" s="752"/>
      <c r="O472" s="753"/>
      <c r="P472" s="749" t="s">
        <v>40</v>
      </c>
      <c r="Q472" s="750"/>
      <c r="R472" s="750"/>
      <c r="S472" s="750"/>
      <c r="T472" s="750"/>
      <c r="U472" s="750"/>
      <c r="V472" s="751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739" t="s">
        <v>186</v>
      </c>
      <c r="B473" s="739"/>
      <c r="C473" s="739"/>
      <c r="D473" s="739"/>
      <c r="E473" s="739"/>
      <c r="F473" s="739"/>
      <c r="G473" s="739"/>
      <c r="H473" s="739"/>
      <c r="I473" s="739"/>
      <c r="J473" s="739"/>
      <c r="K473" s="739"/>
      <c r="L473" s="739"/>
      <c r="M473" s="739"/>
      <c r="N473" s="739"/>
      <c r="O473" s="739"/>
      <c r="P473" s="739"/>
      <c r="Q473" s="739"/>
      <c r="R473" s="739"/>
      <c r="S473" s="739"/>
      <c r="T473" s="739"/>
      <c r="U473" s="739"/>
      <c r="V473" s="739"/>
      <c r="W473" s="739"/>
      <c r="X473" s="739"/>
      <c r="Y473" s="739"/>
      <c r="Z473" s="739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740">
        <v>4680115885509</v>
      </c>
      <c r="E474" s="740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2"/>
      <c r="R474" s="742"/>
      <c r="S474" s="742"/>
      <c r="T474" s="743"/>
      <c r="U474" s="37" t="s">
        <v>45</v>
      </c>
      <c r="V474" s="37" t="s">
        <v>45</v>
      </c>
      <c r="W474" s="38" t="s">
        <v>0</v>
      </c>
      <c r="X474" s="56">
        <v>4</v>
      </c>
      <c r="Y474" s="53">
        <f>IFERROR(IF(X474="",0,CEILING((X474/$H474),1)*$H474),"")</f>
        <v>4.8600000000000003</v>
      </c>
      <c r="Z474" s="39">
        <f>IFERROR(IF(Y474=0,"",ROUNDUP(Y474/H474,0)*0.00651),"")</f>
        <v>1.9529999999999999E-2</v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4.6074074074074076</v>
      </c>
      <c r="BN474" s="75">
        <f>IFERROR(Y474*I474/H474,"0")</f>
        <v>5.5979999999999999</v>
      </c>
      <c r="BO474" s="75">
        <f>IFERROR(1/J474*(X474/H474),"0")</f>
        <v>1.35666802333469E-2</v>
      </c>
      <c r="BP474" s="75">
        <f>IFERROR(1/J474*(Y474/H474),"0")</f>
        <v>1.6483516483516484E-2</v>
      </c>
    </row>
    <row r="475" spans="1:68" x14ac:dyDescent="0.2">
      <c r="A475" s="752"/>
      <c r="B475" s="752"/>
      <c r="C475" s="752"/>
      <c r="D475" s="752"/>
      <c r="E475" s="752"/>
      <c r="F475" s="752"/>
      <c r="G475" s="752"/>
      <c r="H475" s="752"/>
      <c r="I475" s="752"/>
      <c r="J475" s="752"/>
      <c r="K475" s="752"/>
      <c r="L475" s="752"/>
      <c r="M475" s="752"/>
      <c r="N475" s="752"/>
      <c r="O475" s="753"/>
      <c r="P475" s="749" t="s">
        <v>40</v>
      </c>
      <c r="Q475" s="750"/>
      <c r="R475" s="750"/>
      <c r="S475" s="750"/>
      <c r="T475" s="750"/>
      <c r="U475" s="750"/>
      <c r="V475" s="751"/>
      <c r="W475" s="40" t="s">
        <v>39</v>
      </c>
      <c r="X475" s="41">
        <f>IFERROR(X474/H474,"0")</f>
        <v>2.4691358024691357</v>
      </c>
      <c r="Y475" s="41">
        <f>IFERROR(Y474/H474,"0")</f>
        <v>3</v>
      </c>
      <c r="Z475" s="41">
        <f>IFERROR(IF(Z474="",0,Z474),"0")</f>
        <v>1.9529999999999999E-2</v>
      </c>
      <c r="AA475" s="64"/>
      <c r="AB475" s="64"/>
      <c r="AC475" s="64"/>
    </row>
    <row r="476" spans="1:68" x14ac:dyDescent="0.2">
      <c r="A476" s="752"/>
      <c r="B476" s="752"/>
      <c r="C476" s="752"/>
      <c r="D476" s="752"/>
      <c r="E476" s="752"/>
      <c r="F476" s="752"/>
      <c r="G476" s="752"/>
      <c r="H476" s="752"/>
      <c r="I476" s="752"/>
      <c r="J476" s="752"/>
      <c r="K476" s="752"/>
      <c r="L476" s="752"/>
      <c r="M476" s="752"/>
      <c r="N476" s="752"/>
      <c r="O476" s="753"/>
      <c r="P476" s="749" t="s">
        <v>40</v>
      </c>
      <c r="Q476" s="750"/>
      <c r="R476" s="750"/>
      <c r="S476" s="750"/>
      <c r="T476" s="750"/>
      <c r="U476" s="750"/>
      <c r="V476" s="751"/>
      <c r="W476" s="40" t="s">
        <v>0</v>
      </c>
      <c r="X476" s="41">
        <f>IFERROR(SUM(X474:X474),"0")</f>
        <v>4</v>
      </c>
      <c r="Y476" s="41">
        <f>IFERROR(SUM(Y474:Y474),"0")</f>
        <v>4.8600000000000003</v>
      </c>
      <c r="Z476" s="40"/>
      <c r="AA476" s="64"/>
      <c r="AB476" s="64"/>
      <c r="AC476" s="64"/>
    </row>
    <row r="477" spans="1:68" ht="27.75" customHeight="1" x14ac:dyDescent="0.2">
      <c r="A477" s="737" t="s">
        <v>742</v>
      </c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7"/>
      <c r="P477" s="737"/>
      <c r="Q477" s="737"/>
      <c r="R477" s="737"/>
      <c r="S477" s="737"/>
      <c r="T477" s="737"/>
      <c r="U477" s="737"/>
      <c r="V477" s="737"/>
      <c r="W477" s="737"/>
      <c r="X477" s="737"/>
      <c r="Y477" s="737"/>
      <c r="Z477" s="737"/>
      <c r="AA477" s="52"/>
      <c r="AB477" s="52"/>
      <c r="AC477" s="52"/>
    </row>
    <row r="478" spans="1:68" ht="16.5" customHeight="1" x14ac:dyDescent="0.25">
      <c r="A478" s="738" t="s">
        <v>742</v>
      </c>
      <c r="B478" s="738"/>
      <c r="C478" s="738"/>
      <c r="D478" s="738"/>
      <c r="E478" s="738"/>
      <c r="F478" s="738"/>
      <c r="G478" s="738"/>
      <c r="H478" s="738"/>
      <c r="I478" s="738"/>
      <c r="J478" s="738"/>
      <c r="K478" s="738"/>
      <c r="L478" s="738"/>
      <c r="M478" s="738"/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  <c r="AA478" s="62"/>
      <c r="AB478" s="62"/>
      <c r="AC478" s="62"/>
    </row>
    <row r="479" spans="1:68" ht="14.25" customHeight="1" x14ac:dyDescent="0.25">
      <c r="A479" s="739" t="s">
        <v>109</v>
      </c>
      <c r="B479" s="739"/>
      <c r="C479" s="739"/>
      <c r="D479" s="739"/>
      <c r="E479" s="739"/>
      <c r="F479" s="739"/>
      <c r="G479" s="739"/>
      <c r="H479" s="739"/>
      <c r="I479" s="739"/>
      <c r="J479" s="739"/>
      <c r="K479" s="739"/>
      <c r="L479" s="739"/>
      <c r="M479" s="739"/>
      <c r="N479" s="739"/>
      <c r="O479" s="739"/>
      <c r="P479" s="739"/>
      <c r="Q479" s="739"/>
      <c r="R479" s="739"/>
      <c r="S479" s="739"/>
      <c r="T479" s="739"/>
      <c r="U479" s="739"/>
      <c r="V479" s="739"/>
      <c r="W479" s="739"/>
      <c r="X479" s="739"/>
      <c r="Y479" s="739"/>
      <c r="Z479" s="739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740">
        <v>4607091389067</v>
      </c>
      <c r="E480" s="740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2"/>
      <c r="R480" s="742"/>
      <c r="S480" s="742"/>
      <c r="T480" s="743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740">
        <v>4680115885271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740">
        <v>4680115885226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560</v>
      </c>
      <c r="Y482" s="53">
        <f t="shared" si="69"/>
        <v>564.96</v>
      </c>
      <c r="Z482" s="39">
        <f t="shared" si="70"/>
        <v>1.27972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598.18181818181813</v>
      </c>
      <c r="BN482" s="75">
        <f t="shared" si="72"/>
        <v>603.48</v>
      </c>
      <c r="BO482" s="75">
        <f t="shared" si="73"/>
        <v>1.0198135198135199</v>
      </c>
      <c r="BP482" s="75">
        <f t="shared" si="74"/>
        <v>1.028846153846154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740">
        <v>4680115884502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742"/>
      <c r="R483" s="742"/>
      <c r="S483" s="742"/>
      <c r="T483" s="743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240</v>
      </c>
      <c r="Y484" s="53">
        <f t="shared" si="69"/>
        <v>242.88000000000002</v>
      </c>
      <c r="Z484" s="39">
        <f t="shared" si="70"/>
        <v>0.55015999999999998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256.36363636363632</v>
      </c>
      <c r="BN484" s="75">
        <f t="shared" si="72"/>
        <v>259.44</v>
      </c>
      <c r="BO484" s="75">
        <f t="shared" si="73"/>
        <v>0.43706293706293708</v>
      </c>
      <c r="BP484" s="75">
        <f t="shared" si="74"/>
        <v>0.44230769230769235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980" t="s">
        <v>764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740">
        <v>4680115880603</v>
      </c>
      <c r="E487" s="740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8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740">
        <v>4680115880603</v>
      </c>
      <c r="E488" s="740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4" t="s">
        <v>772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985" t="s">
        <v>775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986" t="s">
        <v>778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740">
        <v>4607091389982</v>
      </c>
      <c r="E493" s="740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740">
        <v>4607091389982</v>
      </c>
      <c r="E494" s="740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752"/>
      <c r="B496" s="752"/>
      <c r="C496" s="752"/>
      <c r="D496" s="752"/>
      <c r="E496" s="752"/>
      <c r="F496" s="752"/>
      <c r="G496" s="752"/>
      <c r="H496" s="752"/>
      <c r="I496" s="752"/>
      <c r="J496" s="752"/>
      <c r="K496" s="752"/>
      <c r="L496" s="752"/>
      <c r="M496" s="752"/>
      <c r="N496" s="752"/>
      <c r="O496" s="753"/>
      <c r="P496" s="749" t="s">
        <v>40</v>
      </c>
      <c r="Q496" s="750"/>
      <c r="R496" s="750"/>
      <c r="S496" s="750"/>
      <c r="T496" s="750"/>
      <c r="U496" s="750"/>
      <c r="V496" s="751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151.5151515151515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153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1.82988</v>
      </c>
      <c r="AA496" s="64"/>
      <c r="AB496" s="64"/>
      <c r="AC496" s="64"/>
    </row>
    <row r="497" spans="1:68" x14ac:dyDescent="0.2">
      <c r="A497" s="752"/>
      <c r="B497" s="752"/>
      <c r="C497" s="752"/>
      <c r="D497" s="752"/>
      <c r="E497" s="752"/>
      <c r="F497" s="752"/>
      <c r="G497" s="752"/>
      <c r="H497" s="752"/>
      <c r="I497" s="752"/>
      <c r="J497" s="752"/>
      <c r="K497" s="752"/>
      <c r="L497" s="752"/>
      <c r="M497" s="752"/>
      <c r="N497" s="752"/>
      <c r="O497" s="753"/>
      <c r="P497" s="749" t="s">
        <v>40</v>
      </c>
      <c r="Q497" s="750"/>
      <c r="R497" s="750"/>
      <c r="S497" s="750"/>
      <c r="T497" s="750"/>
      <c r="U497" s="750"/>
      <c r="V497" s="751"/>
      <c r="W497" s="40" t="s">
        <v>0</v>
      </c>
      <c r="X497" s="41">
        <f>IFERROR(SUM(X480:X495),"0")</f>
        <v>800</v>
      </c>
      <c r="Y497" s="41">
        <f>IFERROR(SUM(Y480:Y495),"0")</f>
        <v>807.84</v>
      </c>
      <c r="Z497" s="40"/>
      <c r="AA497" s="64"/>
      <c r="AB497" s="64"/>
      <c r="AC497" s="64"/>
    </row>
    <row r="498" spans="1:68" ht="14.25" customHeight="1" x14ac:dyDescent="0.25">
      <c r="A498" s="739" t="s">
        <v>149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250</v>
      </c>
      <c r="Y499" s="53">
        <f>IFERROR(IF(X499="",0,CEILING((X499/$H499),1)*$H499),"")</f>
        <v>253.44</v>
      </c>
      <c r="Z499" s="39">
        <f>IFERROR(IF(Y499=0,"",ROUNDUP(Y499/H499,0)*0.01196),"")</f>
        <v>0.57408000000000003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267.04545454545456</v>
      </c>
      <c r="BN499" s="75">
        <f>IFERROR(Y499*I499/H499,"0")</f>
        <v>270.71999999999997</v>
      </c>
      <c r="BO499" s="75">
        <f>IFERROR(1/J499*(X499/H499),"0")</f>
        <v>0.45527389277389274</v>
      </c>
      <c r="BP499" s="75">
        <f>IFERROR(1/J499*(Y499/H499),"0")</f>
        <v>0.46153846153846156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752"/>
      <c r="B503" s="752"/>
      <c r="C503" s="752"/>
      <c r="D503" s="752"/>
      <c r="E503" s="752"/>
      <c r="F503" s="752"/>
      <c r="G503" s="752"/>
      <c r="H503" s="752"/>
      <c r="I503" s="752"/>
      <c r="J503" s="752"/>
      <c r="K503" s="752"/>
      <c r="L503" s="752"/>
      <c r="M503" s="752"/>
      <c r="N503" s="752"/>
      <c r="O503" s="753"/>
      <c r="P503" s="749" t="s">
        <v>40</v>
      </c>
      <c r="Q503" s="750"/>
      <c r="R503" s="750"/>
      <c r="S503" s="750"/>
      <c r="T503" s="750"/>
      <c r="U503" s="750"/>
      <c r="V503" s="751"/>
      <c r="W503" s="40" t="s">
        <v>39</v>
      </c>
      <c r="X503" s="41">
        <f>IFERROR(X499/H499,"0")+IFERROR(X500/H500,"0")+IFERROR(X501/H501,"0")+IFERROR(X502/H502,"0")</f>
        <v>47.348484848484844</v>
      </c>
      <c r="Y503" s="41">
        <f>IFERROR(Y499/H499,"0")+IFERROR(Y500/H500,"0")+IFERROR(Y501/H501,"0")+IFERROR(Y502/H502,"0")</f>
        <v>48</v>
      </c>
      <c r="Z503" s="41">
        <f>IFERROR(IF(Z499="",0,Z499),"0")+IFERROR(IF(Z500="",0,Z500),"0")+IFERROR(IF(Z501="",0,Z501),"0")+IFERROR(IF(Z502="",0,Z502),"0")</f>
        <v>0.57408000000000003</v>
      </c>
      <c r="AA503" s="64"/>
      <c r="AB503" s="64"/>
      <c r="AC503" s="64"/>
    </row>
    <row r="504" spans="1:68" x14ac:dyDescent="0.2">
      <c r="A504" s="752"/>
      <c r="B504" s="752"/>
      <c r="C504" s="752"/>
      <c r="D504" s="752"/>
      <c r="E504" s="752"/>
      <c r="F504" s="752"/>
      <c r="G504" s="752"/>
      <c r="H504" s="752"/>
      <c r="I504" s="752"/>
      <c r="J504" s="752"/>
      <c r="K504" s="752"/>
      <c r="L504" s="752"/>
      <c r="M504" s="752"/>
      <c r="N504" s="752"/>
      <c r="O504" s="753"/>
      <c r="P504" s="749" t="s">
        <v>40</v>
      </c>
      <c r="Q504" s="750"/>
      <c r="R504" s="750"/>
      <c r="S504" s="750"/>
      <c r="T504" s="750"/>
      <c r="U504" s="750"/>
      <c r="V504" s="751"/>
      <c r="W504" s="40" t="s">
        <v>0</v>
      </c>
      <c r="X504" s="41">
        <f>IFERROR(SUM(X499:X502),"0")</f>
        <v>250</v>
      </c>
      <c r="Y504" s="41">
        <f>IFERROR(SUM(Y499:Y502),"0")</f>
        <v>253.44</v>
      </c>
      <c r="Z504" s="40"/>
      <c r="AA504" s="64"/>
      <c r="AB504" s="64"/>
      <c r="AC504" s="64"/>
    </row>
    <row r="505" spans="1:68" ht="14.25" customHeight="1" x14ac:dyDescent="0.25">
      <c r="A505" s="739" t="s">
        <v>160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170</v>
      </c>
      <c r="Y506" s="53">
        <f t="shared" ref="Y506:Y517" si="75">IFERROR(IF(X506="",0,CEILING((X506/$H506),1)*$H506),"")</f>
        <v>174.24</v>
      </c>
      <c r="Z506" s="39">
        <f>IFERROR(IF(Y506=0,"",ROUNDUP(Y506/H506,0)*0.01196),"")</f>
        <v>0.39468000000000003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181.59090909090907</v>
      </c>
      <c r="BN506" s="75">
        <f t="shared" ref="BN506:BN517" si="77">IFERROR(Y506*I506/H506,"0")</f>
        <v>186.12</v>
      </c>
      <c r="BO506" s="75">
        <f t="shared" ref="BO506:BO517" si="78">IFERROR(1/J506*(X506/H506),"0")</f>
        <v>0.3095862470862471</v>
      </c>
      <c r="BP506" s="75">
        <f t="shared" ref="BP506:BP517" si="79">IFERROR(1/J506*(Y506/H506),"0")</f>
        <v>0.31730769230769235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120</v>
      </c>
      <c r="Y507" s="53">
        <f t="shared" si="75"/>
        <v>121.44000000000001</v>
      </c>
      <c r="Z507" s="39">
        <f>IFERROR(IF(Y507=0,"",ROUNDUP(Y507/H507,0)*0.01196),"")</f>
        <v>0.27507999999999999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128.18181818181816</v>
      </c>
      <c r="BN507" s="75">
        <f t="shared" si="77"/>
        <v>129.72</v>
      </c>
      <c r="BO507" s="75">
        <f t="shared" si="78"/>
        <v>0.21853146853146854</v>
      </c>
      <c r="BP507" s="75">
        <f t="shared" si="79"/>
        <v>0.22115384615384617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740">
        <v>4680115882072</v>
      </c>
      <c r="E510" s="740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740">
        <v>4680115882072</v>
      </c>
      <c r="E512" s="740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1004" t="s">
        <v>827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100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752"/>
      <c r="B518" s="752"/>
      <c r="C518" s="752"/>
      <c r="D518" s="752"/>
      <c r="E518" s="752"/>
      <c r="F518" s="752"/>
      <c r="G518" s="752"/>
      <c r="H518" s="752"/>
      <c r="I518" s="752"/>
      <c r="J518" s="752"/>
      <c r="K518" s="752"/>
      <c r="L518" s="752"/>
      <c r="M518" s="752"/>
      <c r="N518" s="752"/>
      <c r="O518" s="753"/>
      <c r="P518" s="749" t="s">
        <v>40</v>
      </c>
      <c r="Q518" s="750"/>
      <c r="R518" s="750"/>
      <c r="S518" s="750"/>
      <c r="T518" s="750"/>
      <c r="U518" s="750"/>
      <c r="V518" s="751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73.86363636363636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75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0.89700000000000002</v>
      </c>
      <c r="AA518" s="64"/>
      <c r="AB518" s="64"/>
      <c r="AC518" s="64"/>
    </row>
    <row r="519" spans="1:68" x14ac:dyDescent="0.2">
      <c r="A519" s="752"/>
      <c r="B519" s="752"/>
      <c r="C519" s="752"/>
      <c r="D519" s="752"/>
      <c r="E519" s="752"/>
      <c r="F519" s="752"/>
      <c r="G519" s="752"/>
      <c r="H519" s="752"/>
      <c r="I519" s="752"/>
      <c r="J519" s="752"/>
      <c r="K519" s="752"/>
      <c r="L519" s="752"/>
      <c r="M519" s="752"/>
      <c r="N519" s="752"/>
      <c r="O519" s="753"/>
      <c r="P519" s="749" t="s">
        <v>40</v>
      </c>
      <c r="Q519" s="750"/>
      <c r="R519" s="750"/>
      <c r="S519" s="750"/>
      <c r="T519" s="750"/>
      <c r="U519" s="750"/>
      <c r="V519" s="751"/>
      <c r="W519" s="40" t="s">
        <v>0</v>
      </c>
      <c r="X519" s="41">
        <f>IFERROR(SUM(X506:X517),"0")</f>
        <v>390</v>
      </c>
      <c r="Y519" s="41">
        <f>IFERROR(SUM(Y506:Y517),"0")</f>
        <v>396</v>
      </c>
      <c r="Z519" s="40"/>
      <c r="AA519" s="64"/>
      <c r="AB519" s="64"/>
      <c r="AC519" s="64"/>
    </row>
    <row r="520" spans="1:68" ht="14.25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52"/>
      <c r="B524" s="752"/>
      <c r="C524" s="752"/>
      <c r="D524" s="752"/>
      <c r="E524" s="752"/>
      <c r="F524" s="752"/>
      <c r="G524" s="752"/>
      <c r="H524" s="752"/>
      <c r="I524" s="752"/>
      <c r="J524" s="752"/>
      <c r="K524" s="752"/>
      <c r="L524" s="752"/>
      <c r="M524" s="752"/>
      <c r="N524" s="752"/>
      <c r="O524" s="753"/>
      <c r="P524" s="749" t="s">
        <v>40</v>
      </c>
      <c r="Q524" s="750"/>
      <c r="R524" s="750"/>
      <c r="S524" s="750"/>
      <c r="T524" s="750"/>
      <c r="U524" s="750"/>
      <c r="V524" s="751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752"/>
      <c r="B525" s="752"/>
      <c r="C525" s="752"/>
      <c r="D525" s="752"/>
      <c r="E525" s="752"/>
      <c r="F525" s="752"/>
      <c r="G525" s="752"/>
      <c r="H525" s="752"/>
      <c r="I525" s="752"/>
      <c r="J525" s="752"/>
      <c r="K525" s="752"/>
      <c r="L525" s="752"/>
      <c r="M525" s="752"/>
      <c r="N525" s="752"/>
      <c r="O525" s="753"/>
      <c r="P525" s="749" t="s">
        <v>40</v>
      </c>
      <c r="Q525" s="750"/>
      <c r="R525" s="750"/>
      <c r="S525" s="750"/>
      <c r="T525" s="750"/>
      <c r="U525" s="750"/>
      <c r="V525" s="751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739" t="s">
        <v>186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2"/>
      <c r="B529" s="752"/>
      <c r="C529" s="752"/>
      <c r="D529" s="752"/>
      <c r="E529" s="752"/>
      <c r="F529" s="752"/>
      <c r="G529" s="752"/>
      <c r="H529" s="752"/>
      <c r="I529" s="752"/>
      <c r="J529" s="752"/>
      <c r="K529" s="752"/>
      <c r="L529" s="752"/>
      <c r="M529" s="752"/>
      <c r="N529" s="752"/>
      <c r="O529" s="753"/>
      <c r="P529" s="749" t="s">
        <v>40</v>
      </c>
      <c r="Q529" s="750"/>
      <c r="R529" s="750"/>
      <c r="S529" s="750"/>
      <c r="T529" s="750"/>
      <c r="U529" s="750"/>
      <c r="V529" s="751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752"/>
      <c r="B530" s="752"/>
      <c r="C530" s="752"/>
      <c r="D530" s="752"/>
      <c r="E530" s="752"/>
      <c r="F530" s="752"/>
      <c r="G530" s="752"/>
      <c r="H530" s="752"/>
      <c r="I530" s="752"/>
      <c r="J530" s="752"/>
      <c r="K530" s="752"/>
      <c r="L530" s="752"/>
      <c r="M530" s="752"/>
      <c r="N530" s="752"/>
      <c r="O530" s="753"/>
      <c r="P530" s="749" t="s">
        <v>40</v>
      </c>
      <c r="Q530" s="750"/>
      <c r="R530" s="750"/>
      <c r="S530" s="750"/>
      <c r="T530" s="750"/>
      <c r="U530" s="750"/>
      <c r="V530" s="751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customHeight="1" x14ac:dyDescent="0.25">
      <c r="A533" s="739" t="s">
        <v>109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110</v>
      </c>
      <c r="Y536" s="53">
        <f t="shared" si="80"/>
        <v>120</v>
      </c>
      <c r="Z536" s="39">
        <f>IFERROR(IF(Y536=0,"",ROUNDUP(Y536/H536,0)*0.01898),"")</f>
        <v>0.1898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113.98750000000001</v>
      </c>
      <c r="BN536" s="75">
        <f t="shared" si="82"/>
        <v>124.35000000000001</v>
      </c>
      <c r="BO536" s="75">
        <f t="shared" si="83"/>
        <v>0.14322916666666666</v>
      </c>
      <c r="BP536" s="75">
        <f t="shared" si="84"/>
        <v>0.15625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752"/>
      <c r="B540" s="752"/>
      <c r="C540" s="752"/>
      <c r="D540" s="752"/>
      <c r="E540" s="752"/>
      <c r="F540" s="752"/>
      <c r="G540" s="752"/>
      <c r="H540" s="752"/>
      <c r="I540" s="752"/>
      <c r="J540" s="752"/>
      <c r="K540" s="752"/>
      <c r="L540" s="752"/>
      <c r="M540" s="752"/>
      <c r="N540" s="752"/>
      <c r="O540" s="753"/>
      <c r="P540" s="749" t="s">
        <v>40</v>
      </c>
      <c r="Q540" s="750"/>
      <c r="R540" s="750"/>
      <c r="S540" s="750"/>
      <c r="T540" s="750"/>
      <c r="U540" s="750"/>
      <c r="V540" s="751"/>
      <c r="W540" s="40" t="s">
        <v>39</v>
      </c>
      <c r="X540" s="41">
        <f>IFERROR(X534/H534,"0")+IFERROR(X535/H535,"0")+IFERROR(X536/H536,"0")+IFERROR(X537/H537,"0")+IFERROR(X538/H538,"0")+IFERROR(X539/H539,"0")</f>
        <v>9.1666666666666661</v>
      </c>
      <c r="Y540" s="41">
        <f>IFERROR(Y534/H534,"0")+IFERROR(Y535/H535,"0")+IFERROR(Y536/H536,"0")+IFERROR(Y537/H537,"0")+IFERROR(Y538/H538,"0")+IFERROR(Y539/H539,"0")</f>
        <v>10</v>
      </c>
      <c r="Z540" s="41">
        <f>IFERROR(IF(Z534="",0,Z534),"0")+IFERROR(IF(Z535="",0,Z535),"0")+IFERROR(IF(Z536="",0,Z536),"0")+IFERROR(IF(Z537="",0,Z537),"0")+IFERROR(IF(Z538="",0,Z538),"0")+IFERROR(IF(Z539="",0,Z539),"0")</f>
        <v>0.1898</v>
      </c>
      <c r="AA540" s="64"/>
      <c r="AB540" s="64"/>
      <c r="AC540" s="64"/>
    </row>
    <row r="541" spans="1:68" x14ac:dyDescent="0.2">
      <c r="A541" s="752"/>
      <c r="B541" s="752"/>
      <c r="C541" s="752"/>
      <c r="D541" s="752"/>
      <c r="E541" s="752"/>
      <c r="F541" s="752"/>
      <c r="G541" s="752"/>
      <c r="H541" s="752"/>
      <c r="I541" s="752"/>
      <c r="J541" s="752"/>
      <c r="K541" s="752"/>
      <c r="L541" s="752"/>
      <c r="M541" s="752"/>
      <c r="N541" s="752"/>
      <c r="O541" s="753"/>
      <c r="P541" s="749" t="s">
        <v>40</v>
      </c>
      <c r="Q541" s="750"/>
      <c r="R541" s="750"/>
      <c r="S541" s="750"/>
      <c r="T541" s="750"/>
      <c r="U541" s="750"/>
      <c r="V541" s="751"/>
      <c r="W541" s="40" t="s">
        <v>0</v>
      </c>
      <c r="X541" s="41">
        <f>IFERROR(SUM(X534:X539),"0")</f>
        <v>110</v>
      </c>
      <c r="Y541" s="41">
        <f>IFERROR(SUM(Y534:Y539),"0")</f>
        <v>120</v>
      </c>
      <c r="Z541" s="40"/>
      <c r="AA541" s="64"/>
      <c r="AB541" s="64"/>
      <c r="AC541" s="64"/>
    </row>
    <row r="542" spans="1:68" ht="14.25" customHeight="1" x14ac:dyDescent="0.25">
      <c r="A542" s="739" t="s">
        <v>149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752"/>
      <c r="B548" s="752"/>
      <c r="C548" s="752"/>
      <c r="D548" s="752"/>
      <c r="E548" s="752"/>
      <c r="F548" s="752"/>
      <c r="G548" s="752"/>
      <c r="H548" s="752"/>
      <c r="I548" s="752"/>
      <c r="J548" s="752"/>
      <c r="K548" s="752"/>
      <c r="L548" s="752"/>
      <c r="M548" s="752"/>
      <c r="N548" s="752"/>
      <c r="O548" s="753"/>
      <c r="P548" s="749" t="s">
        <v>40</v>
      </c>
      <c r="Q548" s="750"/>
      <c r="R548" s="750"/>
      <c r="S548" s="750"/>
      <c r="T548" s="750"/>
      <c r="U548" s="750"/>
      <c r="V548" s="751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752"/>
      <c r="B549" s="752"/>
      <c r="C549" s="752"/>
      <c r="D549" s="752"/>
      <c r="E549" s="752"/>
      <c r="F549" s="752"/>
      <c r="G549" s="752"/>
      <c r="H549" s="752"/>
      <c r="I549" s="752"/>
      <c r="J549" s="752"/>
      <c r="K549" s="752"/>
      <c r="L549" s="752"/>
      <c r="M549" s="752"/>
      <c r="N549" s="752"/>
      <c r="O549" s="753"/>
      <c r="P549" s="749" t="s">
        <v>40</v>
      </c>
      <c r="Q549" s="750"/>
      <c r="R549" s="750"/>
      <c r="S549" s="750"/>
      <c r="T549" s="750"/>
      <c r="U549" s="750"/>
      <c r="V549" s="751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739" t="s">
        <v>160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ref="Y551:Y557" si="85">IFERROR(IF(X551="",0,CEILING((X551/$H551),1)*$H551),"")</f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53.214285714285715</v>
      </c>
      <c r="BN551" s="75">
        <f t="shared" ref="BN551:BN557" si="87">IFERROR(Y551*I551/H551,"0")</f>
        <v>53.64</v>
      </c>
      <c r="BO551" s="75">
        <f t="shared" ref="BO551:BO557" si="88">IFERROR(1/J551*(X551/H551),"0")</f>
        <v>9.0187590187590191E-2</v>
      </c>
      <c r="BP551" s="75">
        <f t="shared" ref="BP551:BP557" si="89">IFERROR(1/J551*(Y551/H551),"0")</f>
        <v>9.0909090909090912E-2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50</v>
      </c>
      <c r="Y552" s="53">
        <f t="shared" si="85"/>
        <v>50.400000000000006</v>
      </c>
      <c r="Z552" s="39">
        <f>IFERROR(IF(Y552=0,"",ROUNDUP(Y552/H552,0)*0.00902),"")</f>
        <v>0.10824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53.214285714285715</v>
      </c>
      <c r="BN552" s="75">
        <f t="shared" si="87"/>
        <v>53.64</v>
      </c>
      <c r="BO552" s="75">
        <f t="shared" si="88"/>
        <v>9.0187590187590191E-2</v>
      </c>
      <c r="BP552" s="75">
        <f t="shared" si="89"/>
        <v>9.0909090909090912E-2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752"/>
      <c r="B558" s="752"/>
      <c r="C558" s="752"/>
      <c r="D558" s="752"/>
      <c r="E558" s="752"/>
      <c r="F558" s="752"/>
      <c r="G558" s="752"/>
      <c r="H558" s="752"/>
      <c r="I558" s="752"/>
      <c r="J558" s="752"/>
      <c r="K558" s="752"/>
      <c r="L558" s="752"/>
      <c r="M558" s="752"/>
      <c r="N558" s="752"/>
      <c r="O558" s="753"/>
      <c r="P558" s="749" t="s">
        <v>40</v>
      </c>
      <c r="Q558" s="750"/>
      <c r="R558" s="750"/>
      <c r="S558" s="750"/>
      <c r="T558" s="750"/>
      <c r="U558" s="750"/>
      <c r="V558" s="751"/>
      <c r="W558" s="40" t="s">
        <v>39</v>
      </c>
      <c r="X558" s="41">
        <f>IFERROR(X551/H551,"0")+IFERROR(X552/H552,"0")+IFERROR(X553/H553,"0")+IFERROR(X554/H554,"0")+IFERROR(X555/H555,"0")+IFERROR(X556/H556,"0")+IFERROR(X557/H557,"0")</f>
        <v>23.80952380952381</v>
      </c>
      <c r="Y558" s="41">
        <f>IFERROR(Y551/H551,"0")+IFERROR(Y552/H552,"0")+IFERROR(Y553/H553,"0")+IFERROR(Y554/H554,"0")+IFERROR(Y555/H555,"0")+IFERROR(Y556/H556,"0")+IFERROR(Y557/H557,"0")</f>
        <v>24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0.21648000000000001</v>
      </c>
      <c r="AA558" s="64"/>
      <c r="AB558" s="64"/>
      <c r="AC558" s="64"/>
    </row>
    <row r="559" spans="1:68" x14ac:dyDescent="0.2">
      <c r="A559" s="752"/>
      <c r="B559" s="752"/>
      <c r="C559" s="752"/>
      <c r="D559" s="752"/>
      <c r="E559" s="752"/>
      <c r="F559" s="752"/>
      <c r="G559" s="752"/>
      <c r="H559" s="752"/>
      <c r="I559" s="752"/>
      <c r="J559" s="752"/>
      <c r="K559" s="752"/>
      <c r="L559" s="752"/>
      <c r="M559" s="752"/>
      <c r="N559" s="752"/>
      <c r="O559" s="753"/>
      <c r="P559" s="749" t="s">
        <v>40</v>
      </c>
      <c r="Q559" s="750"/>
      <c r="R559" s="750"/>
      <c r="S559" s="750"/>
      <c r="T559" s="750"/>
      <c r="U559" s="750"/>
      <c r="V559" s="751"/>
      <c r="W559" s="40" t="s">
        <v>0</v>
      </c>
      <c r="X559" s="41">
        <f>IFERROR(SUM(X551:X557),"0")</f>
        <v>100</v>
      </c>
      <c r="Y559" s="41">
        <f>IFERROR(SUM(Y551:Y557),"0")</f>
        <v>100.80000000000001</v>
      </c>
      <c r="Z559" s="40"/>
      <c r="AA559" s="64"/>
      <c r="AB559" s="64"/>
      <c r="AC559" s="64"/>
    </row>
    <row r="560" spans="1:68" ht="14.25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740">
        <v>4640242180533</v>
      </c>
      <c r="E561" s="740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740">
        <v>4640242180533</v>
      </c>
      <c r="E562" s="740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752"/>
      <c r="B566" s="752"/>
      <c r="C566" s="752"/>
      <c r="D566" s="752"/>
      <c r="E566" s="752"/>
      <c r="F566" s="752"/>
      <c r="G566" s="752"/>
      <c r="H566" s="752"/>
      <c r="I566" s="752"/>
      <c r="J566" s="752"/>
      <c r="K566" s="752"/>
      <c r="L566" s="752"/>
      <c r="M566" s="752"/>
      <c r="N566" s="752"/>
      <c r="O566" s="753"/>
      <c r="P566" s="749" t="s">
        <v>40</v>
      </c>
      <c r="Q566" s="750"/>
      <c r="R566" s="750"/>
      <c r="S566" s="750"/>
      <c r="T566" s="750"/>
      <c r="U566" s="750"/>
      <c r="V566" s="751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752"/>
      <c r="B567" s="752"/>
      <c r="C567" s="752"/>
      <c r="D567" s="752"/>
      <c r="E567" s="752"/>
      <c r="F567" s="752"/>
      <c r="G567" s="752"/>
      <c r="H567" s="752"/>
      <c r="I567" s="752"/>
      <c r="J567" s="752"/>
      <c r="K567" s="752"/>
      <c r="L567" s="752"/>
      <c r="M567" s="752"/>
      <c r="N567" s="752"/>
      <c r="O567" s="753"/>
      <c r="P567" s="749" t="s">
        <v>40</v>
      </c>
      <c r="Q567" s="750"/>
      <c r="R567" s="750"/>
      <c r="S567" s="750"/>
      <c r="T567" s="750"/>
      <c r="U567" s="750"/>
      <c r="V567" s="751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739" t="s">
        <v>186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740">
        <v>4640242180120</v>
      </c>
      <c r="E569" s="740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740">
        <v>4640242180120</v>
      </c>
      <c r="E570" s="740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740">
        <v>4640242180137</v>
      </c>
      <c r="E571" s="740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740">
        <v>4640242180137</v>
      </c>
      <c r="E572" s="740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752"/>
      <c r="B573" s="752"/>
      <c r="C573" s="752"/>
      <c r="D573" s="752"/>
      <c r="E573" s="752"/>
      <c r="F573" s="752"/>
      <c r="G573" s="752"/>
      <c r="H573" s="752"/>
      <c r="I573" s="752"/>
      <c r="J573" s="752"/>
      <c r="K573" s="752"/>
      <c r="L573" s="752"/>
      <c r="M573" s="752"/>
      <c r="N573" s="752"/>
      <c r="O573" s="753"/>
      <c r="P573" s="749" t="s">
        <v>40</v>
      </c>
      <c r="Q573" s="750"/>
      <c r="R573" s="750"/>
      <c r="S573" s="750"/>
      <c r="T573" s="750"/>
      <c r="U573" s="750"/>
      <c r="V573" s="751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752"/>
      <c r="B574" s="752"/>
      <c r="C574" s="752"/>
      <c r="D574" s="752"/>
      <c r="E574" s="752"/>
      <c r="F574" s="752"/>
      <c r="G574" s="752"/>
      <c r="H574" s="752"/>
      <c r="I574" s="752"/>
      <c r="J574" s="752"/>
      <c r="K574" s="752"/>
      <c r="L574" s="752"/>
      <c r="M574" s="752"/>
      <c r="N574" s="752"/>
      <c r="O574" s="753"/>
      <c r="P574" s="749" t="s">
        <v>40</v>
      </c>
      <c r="Q574" s="750"/>
      <c r="R574" s="750"/>
      <c r="S574" s="750"/>
      <c r="T574" s="750"/>
      <c r="U574" s="750"/>
      <c r="V574" s="751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customHeight="1" x14ac:dyDescent="0.25">
      <c r="A576" s="739" t="s">
        <v>109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752"/>
      <c r="B578" s="752"/>
      <c r="C578" s="752"/>
      <c r="D578" s="752"/>
      <c r="E578" s="752"/>
      <c r="F578" s="752"/>
      <c r="G578" s="752"/>
      <c r="H578" s="752"/>
      <c r="I578" s="752"/>
      <c r="J578" s="752"/>
      <c r="K578" s="752"/>
      <c r="L578" s="752"/>
      <c r="M578" s="752"/>
      <c r="N578" s="752"/>
      <c r="O578" s="753"/>
      <c r="P578" s="749" t="s">
        <v>40</v>
      </c>
      <c r="Q578" s="750"/>
      <c r="R578" s="750"/>
      <c r="S578" s="750"/>
      <c r="T578" s="750"/>
      <c r="U578" s="750"/>
      <c r="V578" s="751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752"/>
      <c r="B579" s="752"/>
      <c r="C579" s="752"/>
      <c r="D579" s="752"/>
      <c r="E579" s="752"/>
      <c r="F579" s="752"/>
      <c r="G579" s="752"/>
      <c r="H579" s="752"/>
      <c r="I579" s="752"/>
      <c r="J579" s="752"/>
      <c r="K579" s="752"/>
      <c r="L579" s="752"/>
      <c r="M579" s="752"/>
      <c r="N579" s="752"/>
      <c r="O579" s="753"/>
      <c r="P579" s="749" t="s">
        <v>40</v>
      </c>
      <c r="Q579" s="750"/>
      <c r="R579" s="750"/>
      <c r="S579" s="750"/>
      <c r="T579" s="750"/>
      <c r="U579" s="750"/>
      <c r="V579" s="751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739" t="s">
        <v>149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2"/>
      <c r="B582" s="752"/>
      <c r="C582" s="752"/>
      <c r="D582" s="752"/>
      <c r="E582" s="752"/>
      <c r="F582" s="752"/>
      <c r="G582" s="752"/>
      <c r="H582" s="752"/>
      <c r="I582" s="752"/>
      <c r="J582" s="752"/>
      <c r="K582" s="752"/>
      <c r="L582" s="752"/>
      <c r="M582" s="752"/>
      <c r="N582" s="752"/>
      <c r="O582" s="753"/>
      <c r="P582" s="749" t="s">
        <v>40</v>
      </c>
      <c r="Q582" s="750"/>
      <c r="R582" s="750"/>
      <c r="S582" s="750"/>
      <c r="T582" s="750"/>
      <c r="U582" s="750"/>
      <c r="V582" s="751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2"/>
      <c r="B583" s="752"/>
      <c r="C583" s="752"/>
      <c r="D583" s="752"/>
      <c r="E583" s="752"/>
      <c r="F583" s="752"/>
      <c r="G583" s="752"/>
      <c r="H583" s="752"/>
      <c r="I583" s="752"/>
      <c r="J583" s="752"/>
      <c r="K583" s="752"/>
      <c r="L583" s="752"/>
      <c r="M583" s="752"/>
      <c r="N583" s="752"/>
      <c r="O583" s="753"/>
      <c r="P583" s="749" t="s">
        <v>40</v>
      </c>
      <c r="Q583" s="750"/>
      <c r="R583" s="750"/>
      <c r="S583" s="750"/>
      <c r="T583" s="750"/>
      <c r="U583" s="750"/>
      <c r="V583" s="751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39" t="s">
        <v>160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2"/>
      <c r="B586" s="752"/>
      <c r="C586" s="752"/>
      <c r="D586" s="752"/>
      <c r="E586" s="752"/>
      <c r="F586" s="752"/>
      <c r="G586" s="752"/>
      <c r="H586" s="752"/>
      <c r="I586" s="752"/>
      <c r="J586" s="752"/>
      <c r="K586" s="752"/>
      <c r="L586" s="752"/>
      <c r="M586" s="752"/>
      <c r="N586" s="752"/>
      <c r="O586" s="753"/>
      <c r="P586" s="749" t="s">
        <v>40</v>
      </c>
      <c r="Q586" s="750"/>
      <c r="R586" s="750"/>
      <c r="S586" s="750"/>
      <c r="T586" s="750"/>
      <c r="U586" s="750"/>
      <c r="V586" s="751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2"/>
      <c r="B587" s="752"/>
      <c r="C587" s="752"/>
      <c r="D587" s="752"/>
      <c r="E587" s="752"/>
      <c r="F587" s="752"/>
      <c r="G587" s="752"/>
      <c r="H587" s="752"/>
      <c r="I587" s="752"/>
      <c r="J587" s="752"/>
      <c r="K587" s="752"/>
      <c r="L587" s="752"/>
      <c r="M587" s="752"/>
      <c r="N587" s="752"/>
      <c r="O587" s="753"/>
      <c r="P587" s="749" t="s">
        <v>40</v>
      </c>
      <c r="Q587" s="750"/>
      <c r="R587" s="750"/>
      <c r="S587" s="750"/>
      <c r="T587" s="750"/>
      <c r="U587" s="750"/>
      <c r="V587" s="751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2"/>
      <c r="B590" s="752"/>
      <c r="C590" s="752"/>
      <c r="D590" s="752"/>
      <c r="E590" s="752"/>
      <c r="F590" s="752"/>
      <c r="G590" s="752"/>
      <c r="H590" s="752"/>
      <c r="I590" s="752"/>
      <c r="J590" s="752"/>
      <c r="K590" s="752"/>
      <c r="L590" s="752"/>
      <c r="M590" s="752"/>
      <c r="N590" s="752"/>
      <c r="O590" s="753"/>
      <c r="P590" s="749" t="s">
        <v>40</v>
      </c>
      <c r="Q590" s="750"/>
      <c r="R590" s="750"/>
      <c r="S590" s="750"/>
      <c r="T590" s="750"/>
      <c r="U590" s="750"/>
      <c r="V590" s="751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2"/>
      <c r="B591" s="752"/>
      <c r="C591" s="752"/>
      <c r="D591" s="752"/>
      <c r="E591" s="752"/>
      <c r="F591" s="752"/>
      <c r="G591" s="752"/>
      <c r="H591" s="752"/>
      <c r="I591" s="752"/>
      <c r="J591" s="752"/>
      <c r="K591" s="752"/>
      <c r="L591" s="752"/>
      <c r="M591" s="752"/>
      <c r="N591" s="752"/>
      <c r="O591" s="753"/>
      <c r="P591" s="749" t="s">
        <v>40</v>
      </c>
      <c r="Q591" s="750"/>
      <c r="R591" s="750"/>
      <c r="S591" s="750"/>
      <c r="T591" s="750"/>
      <c r="U591" s="750"/>
      <c r="V591" s="751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2"/>
      <c r="B592" s="752"/>
      <c r="C592" s="752"/>
      <c r="D592" s="752"/>
      <c r="E592" s="752"/>
      <c r="F592" s="752"/>
      <c r="G592" s="752"/>
      <c r="H592" s="752"/>
      <c r="I592" s="752"/>
      <c r="J592" s="752"/>
      <c r="K592" s="752"/>
      <c r="L592" s="752"/>
      <c r="M592" s="752"/>
      <c r="N592" s="752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18032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18149.28</v>
      </c>
      <c r="Z592" s="40"/>
      <c r="AA592" s="64"/>
      <c r="AB592" s="64"/>
      <c r="AC592" s="64"/>
    </row>
    <row r="593" spans="1:32" x14ac:dyDescent="0.2">
      <c r="A593" s="752"/>
      <c r="B593" s="752"/>
      <c r="C593" s="752"/>
      <c r="D593" s="752"/>
      <c r="E593" s="752"/>
      <c r="F593" s="752"/>
      <c r="G593" s="752"/>
      <c r="H593" s="752"/>
      <c r="I593" s="752"/>
      <c r="J593" s="752"/>
      <c r="K593" s="752"/>
      <c r="L593" s="752"/>
      <c r="M593" s="752"/>
      <c r="N593" s="752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18784.058714423052</v>
      </c>
      <c r="Y593" s="41">
        <f>IFERROR(SUM(BN22:BN589),"0")</f>
        <v>18907.905000000002</v>
      </c>
      <c r="Z593" s="40"/>
      <c r="AA593" s="64"/>
      <c r="AB593" s="64"/>
      <c r="AC593" s="64"/>
    </row>
    <row r="594" spans="1:32" x14ac:dyDescent="0.2">
      <c r="A594" s="752"/>
      <c r="B594" s="752"/>
      <c r="C594" s="752"/>
      <c r="D594" s="752"/>
      <c r="E594" s="752"/>
      <c r="F594" s="752"/>
      <c r="G594" s="752"/>
      <c r="H594" s="752"/>
      <c r="I594" s="752"/>
      <c r="J594" s="752"/>
      <c r="K594" s="752"/>
      <c r="L594" s="752"/>
      <c r="M594" s="752"/>
      <c r="N594" s="752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752"/>
      <c r="B595" s="752"/>
      <c r="C595" s="752"/>
      <c r="D595" s="752"/>
      <c r="E595" s="752"/>
      <c r="F595" s="752"/>
      <c r="G595" s="752"/>
      <c r="H595" s="752"/>
      <c r="I595" s="752"/>
      <c r="J595" s="752"/>
      <c r="K595" s="752"/>
      <c r="L595" s="752"/>
      <c r="M595" s="752"/>
      <c r="N595" s="752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19484.058714423052</v>
      </c>
      <c r="Y595" s="41">
        <f>GrossWeightTotalR+PalletQtyTotalR*25</f>
        <v>19607.905000000002</v>
      </c>
      <c r="Z595" s="40"/>
      <c r="AA595" s="64"/>
      <c r="AB595" s="64"/>
      <c r="AC595" s="64"/>
    </row>
    <row r="596" spans="1:32" x14ac:dyDescent="0.2">
      <c r="A596" s="752"/>
      <c r="B596" s="752"/>
      <c r="C596" s="752"/>
      <c r="D596" s="752"/>
      <c r="E596" s="752"/>
      <c r="F596" s="752"/>
      <c r="G596" s="752"/>
      <c r="H596" s="752"/>
      <c r="I596" s="752"/>
      <c r="J596" s="752"/>
      <c r="K596" s="752"/>
      <c r="L596" s="752"/>
      <c r="M596" s="752"/>
      <c r="N596" s="752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1999.877497740629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2018</v>
      </c>
      <c r="Z596" s="40"/>
      <c r="AA596" s="64"/>
      <c r="AB596" s="64"/>
      <c r="AC596" s="64"/>
    </row>
    <row r="597" spans="1:32" ht="14.25" x14ac:dyDescent="0.2">
      <c r="A597" s="752"/>
      <c r="B597" s="752"/>
      <c r="C597" s="752"/>
      <c r="D597" s="752"/>
      <c r="E597" s="752"/>
      <c r="F597" s="752"/>
      <c r="G597" s="752"/>
      <c r="H597" s="752"/>
      <c r="I597" s="752"/>
      <c r="J597" s="752"/>
      <c r="K597" s="752"/>
      <c r="L597" s="752"/>
      <c r="M597" s="752"/>
      <c r="N597" s="752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30.277480000000001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107</v>
      </c>
      <c r="D599" s="1046" t="s">
        <v>107</v>
      </c>
      <c r="E599" s="1046" t="s">
        <v>107</v>
      </c>
      <c r="F599" s="1046" t="s">
        <v>107</v>
      </c>
      <c r="G599" s="1046" t="s">
        <v>107</v>
      </c>
      <c r="H599" s="1046" t="s">
        <v>107</v>
      </c>
      <c r="I599" s="1046" t="s">
        <v>299</v>
      </c>
      <c r="J599" s="1046" t="s">
        <v>299</v>
      </c>
      <c r="K599" s="1046" t="s">
        <v>299</v>
      </c>
      <c r="L599" s="1046" t="s">
        <v>299</v>
      </c>
      <c r="M599" s="1046" t="s">
        <v>299</v>
      </c>
      <c r="N599" s="1047"/>
      <c r="O599" s="1046" t="s">
        <v>299</v>
      </c>
      <c r="P599" s="1046" t="s">
        <v>299</v>
      </c>
      <c r="Q599" s="1046" t="s">
        <v>299</v>
      </c>
      <c r="R599" s="1046" t="s">
        <v>299</v>
      </c>
      <c r="S599" s="1046" t="s">
        <v>299</v>
      </c>
      <c r="T599" s="1046" t="s">
        <v>299</v>
      </c>
      <c r="U599" s="1046" t="s">
        <v>299</v>
      </c>
      <c r="V599" s="1046" t="s">
        <v>299</v>
      </c>
      <c r="W599" s="1046" t="s">
        <v>589</v>
      </c>
      <c r="X599" s="1046" t="s">
        <v>589</v>
      </c>
      <c r="Y599" s="1046" t="s">
        <v>667</v>
      </c>
      <c r="Z599" s="1046" t="s">
        <v>667</v>
      </c>
      <c r="AA599" s="1046" t="s">
        <v>667</v>
      </c>
      <c r="AB599" s="1046" t="s">
        <v>667</v>
      </c>
      <c r="AC599" s="80" t="s">
        <v>742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108</v>
      </c>
      <c r="D600" s="1046" t="s">
        <v>129</v>
      </c>
      <c r="E600" s="1046" t="s">
        <v>194</v>
      </c>
      <c r="F600" s="1046" t="s">
        <v>225</v>
      </c>
      <c r="G600" s="1046" t="s">
        <v>270</v>
      </c>
      <c r="H600" s="1046" t="s">
        <v>107</v>
      </c>
      <c r="I600" s="1046" t="s">
        <v>300</v>
      </c>
      <c r="J600" s="1046" t="s">
        <v>334</v>
      </c>
      <c r="K600" s="1046" t="s">
        <v>395</v>
      </c>
      <c r="L600" s="1046" t="s">
        <v>430</v>
      </c>
      <c r="M600" s="1046" t="s">
        <v>448</v>
      </c>
      <c r="N600" s="1"/>
      <c r="O600" s="1046" t="s">
        <v>452</v>
      </c>
      <c r="P600" s="1046" t="s">
        <v>461</v>
      </c>
      <c r="Q600" s="1046" t="s">
        <v>475</v>
      </c>
      <c r="R600" s="1046" t="s">
        <v>485</v>
      </c>
      <c r="S600" s="1046" t="s">
        <v>489</v>
      </c>
      <c r="T600" s="1046" t="s">
        <v>497</v>
      </c>
      <c r="U600" s="1046" t="s">
        <v>502</v>
      </c>
      <c r="V600" s="1046" t="s">
        <v>576</v>
      </c>
      <c r="W600" s="1046" t="s">
        <v>590</v>
      </c>
      <c r="X600" s="1046" t="s">
        <v>631</v>
      </c>
      <c r="Y600" s="1046" t="s">
        <v>668</v>
      </c>
      <c r="Z600" s="1046" t="s">
        <v>707</v>
      </c>
      <c r="AA600" s="1046" t="s">
        <v>727</v>
      </c>
      <c r="AB600" s="1046" t="s">
        <v>735</v>
      </c>
      <c r="AC600" s="1046" t="s">
        <v>742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159.60000000000002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8.1000000000000014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85.8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201.60000000000002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3102.6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13.44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356.4</v>
      </c>
      <c r="V602" s="50">
        <f>IFERROR(Y363*1,"0")+IFERROR(Y367*1,"0")+IFERROR(Y368*1,"0")+IFERROR(Y369*1,"0")</f>
        <v>72.899999999999991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12102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180.29999999999998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81</v>
      </c>
      <c r="Z602" s="50">
        <f>IFERROR(Y451*1,"0")+IFERROR(Y452*1,"0")+IFERROR(Y456*1,"0")+IFERROR(Y457*1,"0")+IFERROR(Y458*1,"0")+IFERROR(Y459*1,"0")</f>
        <v>102.60000000000001</v>
      </c>
      <c r="AA602" s="50">
        <f>IFERROR(Y464*1,"0")+IFERROR(Y465*1,"0")</f>
        <v>0</v>
      </c>
      <c r="AB602" s="50">
        <f>IFERROR(Y470*1,"0")+IFERROR(Y474*1,"0")</f>
        <v>4.8600000000000003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1457.28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220.8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2025-04-22T08:00:55Z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