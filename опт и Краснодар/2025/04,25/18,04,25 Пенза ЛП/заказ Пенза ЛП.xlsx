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E9B105AF-7E55-49F0-8AAB-7CA3BBF28A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Y472" i="1"/>
  <c r="X472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Y453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Y413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2" i="1" s="1"/>
  <c r="P137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2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F10" i="1" s="1"/>
  <c r="D7" i="1"/>
  <c r="Q6" i="1"/>
  <c r="P2" i="1"/>
  <c r="H9" i="1" l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Y145" i="1"/>
  <c r="Y149" i="1"/>
  <c r="Y162" i="1"/>
  <c r="Y166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38" i="1"/>
  <c r="BN338" i="1"/>
  <c r="Z338" i="1"/>
  <c r="BP405" i="1"/>
  <c r="BN405" i="1"/>
  <c r="Z405" i="1"/>
  <c r="BP418" i="1"/>
  <c r="BN418" i="1"/>
  <c r="Z418" i="1"/>
  <c r="Z421" i="1" s="1"/>
  <c r="Y422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Y447" i="1"/>
  <c r="I602" i="1"/>
  <c r="F9" i="1"/>
  <c r="J9" i="1"/>
  <c r="Z22" i="1"/>
  <c r="Z28" i="1" s="1"/>
  <c r="BN22" i="1"/>
  <c r="BP22" i="1"/>
  <c r="Z26" i="1"/>
  <c r="BN26" i="1"/>
  <c r="X596" i="1"/>
  <c r="Y29" i="1"/>
  <c r="C602" i="1"/>
  <c r="Z38" i="1"/>
  <c r="Z41" i="1" s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BN65" i="1"/>
  <c r="BP65" i="1"/>
  <c r="Z67" i="1"/>
  <c r="BN67" i="1"/>
  <c r="Z71" i="1"/>
  <c r="Z77" i="1" s="1"/>
  <c r="BN71" i="1"/>
  <c r="BP71" i="1"/>
  <c r="Z73" i="1"/>
  <c r="BN73" i="1"/>
  <c r="Z75" i="1"/>
  <c r="BN75" i="1"/>
  <c r="Z81" i="1"/>
  <c r="Z83" i="1" s="1"/>
  <c r="BN81" i="1"/>
  <c r="E602" i="1"/>
  <c r="Z88" i="1"/>
  <c r="Z90" i="1" s="1"/>
  <c r="BN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Z110" i="1" s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Z139" i="1" s="1"/>
  <c r="BN137" i="1"/>
  <c r="BP137" i="1"/>
  <c r="Y140" i="1"/>
  <c r="Z143" i="1"/>
  <c r="Z144" i="1" s="1"/>
  <c r="BN143" i="1"/>
  <c r="Z147" i="1"/>
  <c r="Z149" i="1" s="1"/>
  <c r="BN147" i="1"/>
  <c r="BP147" i="1"/>
  <c r="H602" i="1"/>
  <c r="Y155" i="1"/>
  <c r="Z158" i="1"/>
  <c r="Z161" i="1" s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Z282" i="1"/>
  <c r="BP278" i="1"/>
  <c r="BN278" i="1"/>
  <c r="Z278" i="1"/>
  <c r="Y282" i="1"/>
  <c r="BP309" i="1"/>
  <c r="BN309" i="1"/>
  <c r="Z309" i="1"/>
  <c r="Z310" i="1" s="1"/>
  <c r="Y311" i="1"/>
  <c r="T602" i="1"/>
  <c r="Y316" i="1"/>
  <c r="Y315" i="1"/>
  <c r="BP314" i="1"/>
  <c r="BN314" i="1"/>
  <c r="Z314" i="1"/>
  <c r="Z315" i="1" s="1"/>
  <c r="BP322" i="1"/>
  <c r="BN322" i="1"/>
  <c r="Z322" i="1"/>
  <c r="BP330" i="1"/>
  <c r="BN330" i="1"/>
  <c r="Z330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Y360" i="1"/>
  <c r="BP369" i="1"/>
  <c r="BN369" i="1"/>
  <c r="Z369" i="1"/>
  <c r="Y371" i="1"/>
  <c r="W602" i="1"/>
  <c r="Y386" i="1"/>
  <c r="BP375" i="1"/>
  <c r="BN375" i="1"/>
  <c r="Z375" i="1"/>
  <c r="Y385" i="1"/>
  <c r="BP379" i="1"/>
  <c r="BN379" i="1"/>
  <c r="Z379" i="1"/>
  <c r="BP383" i="1"/>
  <c r="BN383" i="1"/>
  <c r="Z383" i="1"/>
  <c r="BP458" i="1"/>
  <c r="BN458" i="1"/>
  <c r="Z458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Y475" i="1"/>
  <c r="BP474" i="1"/>
  <c r="BN474" i="1"/>
  <c r="Z474" i="1"/>
  <c r="Z475" i="1" s="1"/>
  <c r="Y476" i="1"/>
  <c r="AC602" i="1"/>
  <c r="Y497" i="1"/>
  <c r="BP480" i="1"/>
  <c r="BN480" i="1"/>
  <c r="Z480" i="1"/>
  <c r="Y496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U602" i="1"/>
  <c r="Y325" i="1"/>
  <c r="Y467" i="1"/>
  <c r="AB602" i="1"/>
  <c r="Y47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48" i="1" l="1"/>
  <c r="Z518" i="1"/>
  <c r="Z385" i="1"/>
  <c r="Z359" i="1"/>
  <c r="Z353" i="1"/>
  <c r="Z116" i="1"/>
  <c r="Z68" i="1"/>
  <c r="Z55" i="1"/>
  <c r="Y592" i="1"/>
  <c r="Y594" i="1"/>
  <c r="Y596" i="1"/>
  <c r="Z566" i="1"/>
  <c r="Z529" i="1"/>
  <c r="Z496" i="1"/>
  <c r="Z442" i="1"/>
  <c r="Z261" i="1"/>
  <c r="Z221" i="1"/>
  <c r="Z128" i="1"/>
  <c r="Z597" i="1" s="1"/>
  <c r="Y593" i="1"/>
  <c r="Y595" i="1" s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<sst xmlns="http://schemas.openxmlformats.org/spreadsheetml/2006/main" count="2737" uniqueCount="969">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</sst>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2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45771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610</v>
      </c>
      <c r="Y37" s="666">
        <f>IFERROR(IF(X37="",0,CEILING((X37/$H37),1)*$H37),"")</f>
        <v>615.6</v>
      </c>
      <c r="Z37" s="36">
        <f>IFERROR(IF(Y37=0,"",ROUNDUP(Y37/H37,0)*0.01898),"")</f>
        <v>1.08186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634.56944444444434</v>
      </c>
      <c r="BN37" s="64">
        <f>IFERROR(Y37*I37/H37,"0")</f>
        <v>640.39499999999987</v>
      </c>
      <c r="BO37" s="64">
        <f>IFERROR(1/J37*(X37/H37),"0")</f>
        <v>0.88252314814814814</v>
      </c>
      <c r="BP37" s="64">
        <f>IFERROR(1/J37*(Y37/H37),"0")</f>
        <v>0.890625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56.481481481481481</v>
      </c>
      <c r="Y41" s="667">
        <f>IFERROR(Y37/H37,"0")+IFERROR(Y38/H38,"0")+IFERROR(Y39/H39,"0")+IFERROR(Y40/H40,"0")</f>
        <v>57</v>
      </c>
      <c r="Z41" s="667">
        <f>IFERROR(IF(Z37="",0,Z37),"0")+IFERROR(IF(Z38="",0,Z38),"0")+IFERROR(IF(Z39="",0,Z39),"0")+IFERROR(IF(Z40="",0,Z40),"0")</f>
        <v>1.08186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610</v>
      </c>
      <c r="Y42" s="667">
        <f>IFERROR(SUM(Y37:Y40),"0")</f>
        <v>615.6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690</v>
      </c>
      <c r="Y49" s="666">
        <f t="shared" ref="Y49:Y54" si="6">IFERROR(IF(X49="",0,CEILING((X49/$H49),1)*$H49),"")</f>
        <v>694.4</v>
      </c>
      <c r="Z49" s="36">
        <f>IFERROR(IF(Y49=0,"",ROUNDUP(Y49/H49,0)*0.01898),"")</f>
        <v>1.17676</v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716.79910714285711</v>
      </c>
      <c r="BN49" s="64">
        <f t="shared" ref="BN49:BN54" si="8">IFERROR(Y49*I49/H49,"0")</f>
        <v>721.37</v>
      </c>
      <c r="BO49" s="64">
        <f t="shared" ref="BO49:BO54" si="9">IFERROR(1/J49*(X49/H49),"0")</f>
        <v>0.96261160714285721</v>
      </c>
      <c r="BP49" s="64">
        <f t="shared" ref="BP49:BP54" si="10">IFERROR(1/J49*(Y49/H49),"0")</f>
        <v>0.96875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120</v>
      </c>
      <c r="Y50" s="666">
        <f t="shared" si="6"/>
        <v>129.60000000000002</v>
      </c>
      <c r="Z50" s="36">
        <f>IFERROR(IF(Y50=0,"",ROUNDUP(Y50/H50,0)*0.01898),"")</f>
        <v>0.22776000000000002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124.83333333333331</v>
      </c>
      <c r="BN50" s="64">
        <f t="shared" si="8"/>
        <v>134.82000000000002</v>
      </c>
      <c r="BO50" s="64">
        <f t="shared" si="9"/>
        <v>0.1736111111111111</v>
      </c>
      <c r="BP50" s="64">
        <f t="shared" si="10"/>
        <v>0.18750000000000003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72.718253968253975</v>
      </c>
      <c r="Y55" s="667">
        <f>IFERROR(Y49/H49,"0")+IFERROR(Y50/H50,"0")+IFERROR(Y51/H51,"0")+IFERROR(Y52/H52,"0")+IFERROR(Y53/H53,"0")+IFERROR(Y54/H54,"0")</f>
        <v>74</v>
      </c>
      <c r="Z55" s="667">
        <f>IFERROR(IF(Z49="",0,Z49),"0")+IFERROR(IF(Z50="",0,Z50),"0")+IFERROR(IF(Z51="",0,Z51),"0")+IFERROR(IF(Z52="",0,Z52),"0")+IFERROR(IF(Z53="",0,Z53),"0")+IFERROR(IF(Z54="",0,Z54),"0")</f>
        <v>1.40452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810</v>
      </c>
      <c r="Y56" s="667">
        <f>IFERROR(SUM(Y49:Y54),"0")</f>
        <v>824</v>
      </c>
      <c r="Z56" s="37"/>
      <c r="AA56" s="668"/>
      <c r="AB56" s="668"/>
      <c r="AC56" s="668"/>
    </row>
    <row r="57" spans="1:68" ht="14.25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330</v>
      </c>
      <c r="Y58" s="666">
        <f>IFERROR(IF(X58="",0,CEILING((X58/$H58),1)*$H58),"")</f>
        <v>334.8</v>
      </c>
      <c r="Z58" s="36">
        <f>IFERROR(IF(Y58=0,"",ROUNDUP(Y58/H58,0)*0.01898),"")</f>
        <v>0.58838000000000001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343.29166666666663</v>
      </c>
      <c r="BN58" s="64">
        <f>IFERROR(Y58*I58/H58,"0")</f>
        <v>348.28499999999997</v>
      </c>
      <c r="BO58" s="64">
        <f>IFERROR(1/J58*(X58/H58),"0")</f>
        <v>0.47743055555555552</v>
      </c>
      <c r="BP58" s="64">
        <f>IFERROR(1/J58*(Y58/H58),"0")</f>
        <v>0.484375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30.555555555555554</v>
      </c>
      <c r="Y62" s="667">
        <f>IFERROR(Y58/H58,"0")+IFERROR(Y59/H59,"0")+IFERROR(Y60/H60,"0")+IFERROR(Y61/H61,"0")</f>
        <v>31</v>
      </c>
      <c r="Z62" s="667">
        <f>IFERROR(IF(Z58="",0,Z58),"0")+IFERROR(IF(Z59="",0,Z59),"0")+IFERROR(IF(Z60="",0,Z60),"0")+IFERROR(IF(Z61="",0,Z61),"0")</f>
        <v>0.58838000000000001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330</v>
      </c>
      <c r="Y63" s="667">
        <f>IFERROR(SUM(Y58:Y61),"0")</f>
        <v>334.8</v>
      </c>
      <c r="Z63" s="37"/>
      <c r="AA63" s="668"/>
      <c r="AB63" s="668"/>
      <c r="AC63" s="668"/>
    </row>
    <row r="64" spans="1:68" ht="14.25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120</v>
      </c>
      <c r="Y87" s="666">
        <f>IFERROR(IF(X87="",0,CEILING((X87/$H87),1)*$H87),"")</f>
        <v>129.60000000000002</v>
      </c>
      <c r="Z87" s="36">
        <f>IFERROR(IF(Y87=0,"",ROUNDUP(Y87/H87,0)*0.01898),"")</f>
        <v>0.22776000000000002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124.83333333333331</v>
      </c>
      <c r="BN87" s="64">
        <f>IFERROR(Y87*I87/H87,"0")</f>
        <v>134.82000000000002</v>
      </c>
      <c r="BO87" s="64">
        <f>IFERROR(1/J87*(X87/H87),"0")</f>
        <v>0.1736111111111111</v>
      </c>
      <c r="BP87" s="64">
        <f>IFERROR(1/J87*(Y87/H87),"0")</f>
        <v>0.18750000000000003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11.111111111111111</v>
      </c>
      <c r="Y90" s="667">
        <f>IFERROR(Y87/H87,"0")+IFERROR(Y88/H88,"0")+IFERROR(Y89/H89,"0")</f>
        <v>12.000000000000002</v>
      </c>
      <c r="Z90" s="667">
        <f>IFERROR(IF(Z87="",0,Z87),"0")+IFERROR(IF(Z88="",0,Z88),"0")+IFERROR(IF(Z89="",0,Z89),"0")</f>
        <v>0.22776000000000002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120</v>
      </c>
      <c r="Y91" s="667">
        <f>IFERROR(SUM(Y87:Y89),"0")</f>
        <v>129.60000000000002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1474</v>
      </c>
      <c r="Y93" s="666">
        <f t="shared" ref="Y93:Y101" si="16">IFERROR(IF(X93="",0,CEILING((X93/$H93),1)*$H93),"")</f>
        <v>1478.4</v>
      </c>
      <c r="Z93" s="36">
        <f>IFERROR(IF(Y93=0,"",ROUNDUP(Y93/H93,0)*0.01898),"")</f>
        <v>3.3404799999999999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1565.072142857143</v>
      </c>
      <c r="BN93" s="64">
        <f t="shared" ref="BN93:BN101" si="18">IFERROR(Y93*I93/H93,"0")</f>
        <v>1569.7440000000001</v>
      </c>
      <c r="BO93" s="64">
        <f t="shared" ref="BO93:BO101" si="19">IFERROR(1/J93*(X93/H93),"0")</f>
        <v>2.7418154761904763</v>
      </c>
      <c r="BP93" s="64">
        <f t="shared" ref="BP93:BP101" si="20">IFERROR(1/J93*(Y93/H93),"0")</f>
        <v>2.75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3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2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4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175.47619047619048</v>
      </c>
      <c r="Y102" s="667">
        <f>IFERROR(Y93/H93,"0")+IFERROR(Y94/H94,"0")+IFERROR(Y95/H95,"0")+IFERROR(Y96/H96,"0")+IFERROR(Y97/H97,"0")+IFERROR(Y98/H98,"0")+IFERROR(Y99/H99,"0")+IFERROR(Y100/H100,"0")+IFERROR(Y101/H101,"0")</f>
        <v>176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3.3404799999999999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1474</v>
      </c>
      <c r="Y103" s="667">
        <f>IFERROR(SUM(Y93:Y101),"0")</f>
        <v>1478.4</v>
      </c>
      <c r="Z103" s="37"/>
      <c r="AA103" s="668"/>
      <c r="AB103" s="668"/>
      <c r="AC103" s="668"/>
    </row>
    <row r="104" spans="1:68" ht="16.5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240</v>
      </c>
      <c r="Y106" s="666">
        <f>IFERROR(IF(X106="",0,CEILING((X106/$H106),1)*$H106),"")</f>
        <v>248.4</v>
      </c>
      <c r="Z106" s="36">
        <f>IFERROR(IF(Y106=0,"",ROUNDUP(Y106/H106,0)*0.01898),"")</f>
        <v>0.43653999999999998</v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249.66666666666663</v>
      </c>
      <c r="BN106" s="64">
        <f>IFERROR(Y106*I106/H106,"0")</f>
        <v>258.40499999999997</v>
      </c>
      <c r="BO106" s="64">
        <f>IFERROR(1/J106*(X106/H106),"0")</f>
        <v>0.34722222222222221</v>
      </c>
      <c r="BP106" s="64">
        <f>IFERROR(1/J106*(Y106/H106),"0")</f>
        <v>0.359375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22.222222222222221</v>
      </c>
      <c r="Y110" s="667">
        <f>IFERROR(Y106/H106,"0")+IFERROR(Y107/H107,"0")+IFERROR(Y108/H108,"0")+IFERROR(Y109/H109,"0")</f>
        <v>23</v>
      </c>
      <c r="Z110" s="667">
        <f>IFERROR(IF(Z106="",0,Z106),"0")+IFERROR(IF(Z107="",0,Z107),"0")+IFERROR(IF(Z108="",0,Z108),"0")+IFERROR(IF(Z109="",0,Z109),"0")</f>
        <v>0.43653999999999998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240</v>
      </c>
      <c r="Y111" s="667">
        <f>IFERROR(SUM(Y106:Y109),"0")</f>
        <v>248.4</v>
      </c>
      <c r="Z111" s="37"/>
      <c r="AA111" s="668"/>
      <c r="AB111" s="668"/>
      <c r="AC111" s="668"/>
    </row>
    <row r="112" spans="1:68" ht="14.25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9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150</v>
      </c>
      <c r="Y121" s="666">
        <f t="shared" si="21"/>
        <v>151.20000000000002</v>
      </c>
      <c r="Z121" s="36">
        <f>IFERROR(IF(Y121=0,"",ROUNDUP(Y121/H121,0)*0.01898),"")</f>
        <v>0.34164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159.16071428571428</v>
      </c>
      <c r="BN121" s="64">
        <f t="shared" si="23"/>
        <v>160.43400000000003</v>
      </c>
      <c r="BO121" s="64">
        <f t="shared" si="24"/>
        <v>0.27901785714285715</v>
      </c>
      <c r="BP121" s="64">
        <f t="shared" si="25"/>
        <v>0.28125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7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108</v>
      </c>
      <c r="Y124" s="666">
        <f t="shared" si="21"/>
        <v>108</v>
      </c>
      <c r="Z124" s="36">
        <f t="shared" si="26"/>
        <v>0.26040000000000002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118.07999999999998</v>
      </c>
      <c r="BN124" s="64">
        <f t="shared" si="23"/>
        <v>118.07999999999998</v>
      </c>
      <c r="BO124" s="64">
        <f t="shared" si="24"/>
        <v>0.2197802197802198</v>
      </c>
      <c r="BP124" s="64">
        <f t="shared" si="25"/>
        <v>0.2197802197802198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57.857142857142861</v>
      </c>
      <c r="Y128" s="667">
        <f>IFERROR(Y119/H119,"0")+IFERROR(Y120/H120,"0")+IFERROR(Y121/H121,"0")+IFERROR(Y122/H122,"0")+IFERROR(Y123/H123,"0")+IFERROR(Y124/H124,"0")+IFERROR(Y125/H125,"0")+IFERROR(Y126/H126,"0")+IFERROR(Y127/H127,"0")</f>
        <v>58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0.60204000000000002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258</v>
      </c>
      <c r="Y129" s="667">
        <f>IFERROR(SUM(Y119:Y127),"0")</f>
        <v>259.20000000000005</v>
      </c>
      <c r="Z129" s="37"/>
      <c r="AA129" s="668"/>
      <c r="AB129" s="668"/>
      <c r="AC129" s="668"/>
    </row>
    <row r="130" spans="1:68" ht="14.25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7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530</v>
      </c>
      <c r="Y201" s="666">
        <f t="shared" ref="Y201:Y208" si="32">IFERROR(IF(X201="",0,CEILING((X201/$H201),1)*$H201),"")</f>
        <v>534.6</v>
      </c>
      <c r="Z201" s="36">
        <f>IFERROR(IF(Y201=0,"",ROUNDUP(Y201/H201,0)*0.00902),"")</f>
        <v>0.89298</v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550.61111111111109</v>
      </c>
      <c r="BN201" s="64">
        <f t="shared" ref="BN201:BN208" si="34">IFERROR(Y201*I201/H201,"0")</f>
        <v>555.39</v>
      </c>
      <c r="BO201" s="64">
        <f t="shared" ref="BO201:BO208" si="35">IFERROR(1/J201*(X201/H201),"0")</f>
        <v>0.7435465768799101</v>
      </c>
      <c r="BP201" s="64">
        <f t="shared" ref="BP201:BP208" si="36">IFERROR(1/J201*(Y201/H201),"0")</f>
        <v>0.75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420</v>
      </c>
      <c r="Y202" s="666">
        <f t="shared" si="32"/>
        <v>421.20000000000005</v>
      </c>
      <c r="Z202" s="36">
        <f>IFERROR(IF(Y202=0,"",ROUNDUP(Y202/H202,0)*0.00902),"")</f>
        <v>0.70355999999999996</v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436.33333333333337</v>
      </c>
      <c r="BN202" s="64">
        <f t="shared" si="34"/>
        <v>437.58000000000004</v>
      </c>
      <c r="BO202" s="64">
        <f t="shared" si="35"/>
        <v>0.58922558922558921</v>
      </c>
      <c r="BP202" s="64">
        <f t="shared" si="36"/>
        <v>0.59090909090909094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390</v>
      </c>
      <c r="Y203" s="666">
        <f t="shared" si="32"/>
        <v>394.20000000000005</v>
      </c>
      <c r="Z203" s="36">
        <f>IFERROR(IF(Y203=0,"",ROUNDUP(Y203/H203,0)*0.00902),"")</f>
        <v>0.65846000000000005</v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405.16666666666663</v>
      </c>
      <c r="BN203" s="64">
        <f t="shared" si="34"/>
        <v>409.53000000000003</v>
      </c>
      <c r="BO203" s="64">
        <f t="shared" si="35"/>
        <v>0.54713804713804715</v>
      </c>
      <c r="BP203" s="64">
        <f t="shared" si="36"/>
        <v>0.55303030303030309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540</v>
      </c>
      <c r="Y204" s="666">
        <f t="shared" si="32"/>
        <v>540</v>
      </c>
      <c r="Z204" s="36">
        <f>IFERROR(IF(Y204=0,"",ROUNDUP(Y204/H204,0)*0.00902),"")</f>
        <v>0.90200000000000002</v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561</v>
      </c>
      <c r="BN204" s="64">
        <f t="shared" si="34"/>
        <v>561</v>
      </c>
      <c r="BO204" s="64">
        <f t="shared" si="35"/>
        <v>0.75757575757575757</v>
      </c>
      <c r="BP204" s="64">
        <f t="shared" si="36"/>
        <v>0.75757575757575757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348.14814814814815</v>
      </c>
      <c r="Y209" s="667">
        <f>IFERROR(Y201/H201,"0")+IFERROR(Y202/H202,"0")+IFERROR(Y203/H203,"0")+IFERROR(Y204/H204,"0")+IFERROR(Y205/H205,"0")+IFERROR(Y206/H206,"0")+IFERROR(Y207/H207,"0")+IFERROR(Y208/H208,"0")</f>
        <v>350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3.157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1880</v>
      </c>
      <c r="Y210" s="667">
        <f>IFERROR(SUM(Y201:Y208),"0")</f>
        <v>1890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7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1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24</v>
      </c>
      <c r="Y280" s="666">
        <f>IFERROR(IF(X280="",0,CEILING((X280/$H280),1)*$H280),"")</f>
        <v>24</v>
      </c>
      <c r="Z280" s="36">
        <f>IFERROR(IF(Y280=0,"",ROUNDUP(Y280/H280,0)*0.00651),"")</f>
        <v>6.5100000000000005E-2</v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25.8</v>
      </c>
      <c r="BN280" s="64">
        <f>IFERROR(Y280*I280/H280,"0")</f>
        <v>25.8</v>
      </c>
      <c r="BO280" s="64">
        <f>IFERROR(1/J280*(X280/H280),"0")</f>
        <v>5.4945054945054951E-2</v>
      </c>
      <c r="BP280" s="64">
        <f>IFERROR(1/J280*(Y280/H280),"0")</f>
        <v>5.4945054945054951E-2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10</v>
      </c>
      <c r="Y282" s="667">
        <f>IFERROR(Y277/H277,"0")+IFERROR(Y278/H278,"0")+IFERROR(Y279/H279,"0")+IFERROR(Y280/H280,"0")+IFERROR(Y281/H281,"0")</f>
        <v>10</v>
      </c>
      <c r="Z282" s="667">
        <f>IFERROR(IF(Z277="",0,Z277),"0")+IFERROR(IF(Z278="",0,Z278),"0")+IFERROR(IF(Z279="",0,Z279),"0")+IFERROR(IF(Z280="",0,Z280),"0")+IFERROR(IF(Z281="",0,Z281),"0")</f>
        <v>6.5100000000000005E-2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24</v>
      </c>
      <c r="Y283" s="667">
        <f>IFERROR(SUM(Y277:Y281),"0")</f>
        <v>24</v>
      </c>
      <c r="Z283" s="37"/>
      <c r="AA283" s="668"/>
      <c r="AB283" s="668"/>
      <c r="AC283" s="668"/>
    </row>
    <row r="284" spans="1:68" ht="16.5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70</v>
      </c>
      <c r="Y367" s="666">
        <f>IFERROR(IF(X367="",0,CEILING((X367/$H367),1)*$H367),"")</f>
        <v>72.899999999999991</v>
      </c>
      <c r="Z367" s="36">
        <f>IFERROR(IF(Y367=0,"",ROUNDUP(Y367/H367,0)*0.01898),"")</f>
        <v>0.17082</v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74.485185185185173</v>
      </c>
      <c r="BN367" s="64">
        <f>IFERROR(Y367*I367/H367,"0")</f>
        <v>77.570999999999998</v>
      </c>
      <c r="BO367" s="64">
        <f>IFERROR(1/J367*(X367/H367),"0")</f>
        <v>0.13503086419753088</v>
      </c>
      <c r="BP367" s="64">
        <f>IFERROR(1/J367*(Y367/H367),"0")</f>
        <v>0.140625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8.6419753086419764</v>
      </c>
      <c r="Y370" s="667">
        <f>IFERROR(Y367/H367,"0")+IFERROR(Y368/H368,"0")+IFERROR(Y369/H369,"0")</f>
        <v>9</v>
      </c>
      <c r="Z370" s="667">
        <f>IFERROR(IF(Z367="",0,Z367),"0")+IFERROR(IF(Z368="",0,Z368),"0")+IFERROR(IF(Z369="",0,Z369),"0")</f>
        <v>0.17082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70</v>
      </c>
      <c r="Y371" s="667">
        <f>IFERROR(SUM(Y367:Y369),"0")</f>
        <v>72.899999999999991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1680</v>
      </c>
      <c r="Y375" s="666">
        <f t="shared" ref="Y375:Y384" si="58">IFERROR(IF(X375="",0,CEILING((X375/$H375),1)*$H375),"")</f>
        <v>1680</v>
      </c>
      <c r="Z375" s="36">
        <f>IFERROR(IF(Y375=0,"",ROUNDUP(Y375/H375,0)*0.02175),"")</f>
        <v>2.4359999999999999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1733.76</v>
      </c>
      <c r="BN375" s="64">
        <f t="shared" ref="BN375:BN384" si="60">IFERROR(Y375*I375/H375,"0")</f>
        <v>1733.76</v>
      </c>
      <c r="BO375" s="64">
        <f t="shared" ref="BO375:BO384" si="61">IFERROR(1/J375*(X375/H375),"0")</f>
        <v>2.333333333333333</v>
      </c>
      <c r="BP375" s="64">
        <f t="shared" ref="BP375:BP384" si="62">IFERROR(1/J375*(Y375/H375),"0")</f>
        <v>2.333333333333333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3875</v>
      </c>
      <c r="Y379" s="666">
        <f t="shared" si="58"/>
        <v>3885</v>
      </c>
      <c r="Z379" s="36">
        <f>IFERROR(IF(Y379=0,"",ROUNDUP(Y379/H379,0)*0.02175),"")</f>
        <v>5.6332499999999994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3999</v>
      </c>
      <c r="BN379" s="64">
        <f t="shared" si="60"/>
        <v>4009.32</v>
      </c>
      <c r="BO379" s="64">
        <f t="shared" si="61"/>
        <v>5.3819444444444438</v>
      </c>
      <c r="BP379" s="64">
        <f t="shared" si="62"/>
        <v>5.395833333333333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370.33333333333331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371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8.0692500000000003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5555</v>
      </c>
      <c r="Y386" s="667">
        <f>IFERROR(SUM(Y375:Y384),"0")</f>
        <v>5565</v>
      </c>
      <c r="Z386" s="37"/>
      <c r="AA386" s="668"/>
      <c r="AB386" s="668"/>
      <c r="AC386" s="668"/>
    </row>
    <row r="387" spans="1:68" ht="14.25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1630</v>
      </c>
      <c r="Y388" s="666">
        <f>IFERROR(IF(X388="",0,CEILING((X388/$H388),1)*$H388),"")</f>
        <v>1635</v>
      </c>
      <c r="Z388" s="36">
        <f>IFERROR(IF(Y388=0,"",ROUNDUP(Y388/H388,0)*0.02175),"")</f>
        <v>2.3707499999999997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1682.16</v>
      </c>
      <c r="BN388" s="64">
        <f>IFERROR(Y388*I388/H388,"0")</f>
        <v>1687.32</v>
      </c>
      <c r="BO388" s="64">
        <f>IFERROR(1/J388*(X388/H388),"0")</f>
        <v>2.2638888888888888</v>
      </c>
      <c r="BP388" s="64">
        <f>IFERROR(1/J388*(Y388/H388),"0")</f>
        <v>2.270833333333333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108.66666666666667</v>
      </c>
      <c r="Y390" s="667">
        <f>IFERROR(Y388/H388,"0")+IFERROR(Y389/H389,"0")</f>
        <v>109</v>
      </c>
      <c r="Z390" s="667">
        <f>IFERROR(IF(Z388="",0,Z388),"0")+IFERROR(IF(Z389="",0,Z389),"0")</f>
        <v>2.3707499999999997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1630</v>
      </c>
      <c r="Y391" s="667">
        <f>IFERROR(SUM(Y388:Y389),"0")</f>
        <v>1635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780</v>
      </c>
      <c r="Y416" s="666">
        <f>IFERROR(IF(X416="",0,CEILING((X416/$H416),1)*$H416),"")</f>
        <v>783</v>
      </c>
      <c r="Z416" s="36">
        <f>IFERROR(IF(Y416=0,"",ROUNDUP(Y416/H416,0)*0.01898),"")</f>
        <v>1.65126</v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824.98</v>
      </c>
      <c r="BN416" s="64">
        <f>IFERROR(Y416*I416/H416,"0")</f>
        <v>828.15300000000002</v>
      </c>
      <c r="BO416" s="64">
        <f>IFERROR(1/J416*(X416/H416),"0")</f>
        <v>1.3541666666666667</v>
      </c>
      <c r="BP416" s="64">
        <f>IFERROR(1/J416*(Y416/H416),"0")</f>
        <v>1.359375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86.666666666666671</v>
      </c>
      <c r="Y421" s="667">
        <f>IFERROR(Y416/H416,"0")+IFERROR(Y417/H417,"0")+IFERROR(Y418/H418,"0")+IFERROR(Y419/H419,"0")+IFERROR(Y420/H420,"0")</f>
        <v>87</v>
      </c>
      <c r="Z421" s="667">
        <f>IFERROR(IF(Z416="",0,Z416),"0")+IFERROR(IF(Z417="",0,Z417),"0")+IFERROR(IF(Z418="",0,Z418),"0")+IFERROR(IF(Z419="",0,Z419),"0")+IFERROR(IF(Z420="",0,Z420),"0")</f>
        <v>1.65126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780</v>
      </c>
      <c r="Y422" s="667">
        <f>IFERROR(SUM(Y416:Y420),"0")</f>
        <v>783</v>
      </c>
      <c r="Z422" s="37"/>
      <c r="AA422" s="668"/>
      <c r="AB422" s="668"/>
      <c r="AC422" s="668"/>
    </row>
    <row r="423" spans="1:68" ht="14.25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1120</v>
      </c>
      <c r="Y433" s="666">
        <f t="shared" si="63"/>
        <v>1123.2</v>
      </c>
      <c r="Z433" s="36">
        <f>IFERROR(IF(Y433=0,"",ROUNDUP(Y433/H433,0)*0.00902),"")</f>
        <v>1.87616</v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1163.5555555555557</v>
      </c>
      <c r="BN433" s="64">
        <f t="shared" si="65"/>
        <v>1166.8800000000001</v>
      </c>
      <c r="BO433" s="64">
        <f t="shared" si="66"/>
        <v>1.5712682379349046</v>
      </c>
      <c r="BP433" s="64">
        <f t="shared" si="67"/>
        <v>1.5757575757575757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3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8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207.40740740740739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208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1.87616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1120</v>
      </c>
      <c r="Y443" s="667">
        <f>IFERROR(SUM(Y430:Y441),"0")</f>
        <v>1123.2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904</v>
      </c>
      <c r="Y456" s="666">
        <f>IFERROR(IF(X456="",0,CEILING((X456/$H456),1)*$H456),"")</f>
        <v>907.2</v>
      </c>
      <c r="Z456" s="36">
        <f>IFERROR(IF(Y456=0,"",ROUNDUP(Y456/H456,0)*0.00902),"")</f>
        <v>1.51536</v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939.15555555555557</v>
      </c>
      <c r="BN456" s="64">
        <f>IFERROR(Y456*I456/H456,"0")</f>
        <v>942.48</v>
      </c>
      <c r="BO456" s="64">
        <f>IFERROR(1/J456*(X456/H456),"0")</f>
        <v>1.2682379349046016</v>
      </c>
      <c r="BP456" s="64">
        <f>IFERROR(1/J456*(Y456/H456),"0")</f>
        <v>1.2727272727272727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167.40740740740739</v>
      </c>
      <c r="Y460" s="667">
        <f>IFERROR(Y456/H456,"0")+IFERROR(Y457/H457,"0")+IFERROR(Y458/H458,"0")+IFERROR(Y459/H459,"0")</f>
        <v>168</v>
      </c>
      <c r="Z460" s="667">
        <f>IFERROR(IF(Z456="",0,Z456),"0")+IFERROR(IF(Z457="",0,Z457),"0")+IFERROR(IF(Z458="",0,Z458),"0")+IFERROR(IF(Z459="",0,Z459),"0")</f>
        <v>1.51536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904</v>
      </c>
      <c r="Y461" s="667">
        <f>IFERROR(SUM(Y456:Y459),"0")</f>
        <v>907.2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270</v>
      </c>
      <c r="Y481" s="666">
        <f t="shared" si="69"/>
        <v>274.56</v>
      </c>
      <c r="Z481" s="36">
        <f t="shared" si="70"/>
        <v>0.62192000000000003</v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288.40909090909088</v>
      </c>
      <c r="BN481" s="64">
        <f t="shared" si="72"/>
        <v>293.27999999999997</v>
      </c>
      <c r="BO481" s="64">
        <f t="shared" si="73"/>
        <v>0.49169580419580416</v>
      </c>
      <c r="BP481" s="64">
        <f t="shared" si="74"/>
        <v>0.5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175</v>
      </c>
      <c r="Y482" s="666">
        <f t="shared" si="69"/>
        <v>179.52</v>
      </c>
      <c r="Z482" s="36">
        <f t="shared" si="70"/>
        <v>0.40664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186.93181818181819</v>
      </c>
      <c r="BN482" s="64">
        <f t="shared" si="72"/>
        <v>191.76</v>
      </c>
      <c r="BO482" s="64">
        <f t="shared" si="73"/>
        <v>0.31869172494172493</v>
      </c>
      <c r="BP482" s="64">
        <f t="shared" si="74"/>
        <v>0.32692307692307693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84.280303030303031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86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1.0285600000000001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445</v>
      </c>
      <c r="Y497" s="667">
        <f>IFERROR(SUM(Y480:Y495),"0")</f>
        <v>454.08000000000004</v>
      </c>
      <c r="Z497" s="37"/>
      <c r="AA497" s="668"/>
      <c r="AB497" s="668"/>
      <c r="AC497" s="668"/>
    </row>
    <row r="498" spans="1:68" ht="14.25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390</v>
      </c>
      <c r="Y499" s="666">
        <f>IFERROR(IF(X499="",0,CEILING((X499/$H499),1)*$H499),"")</f>
        <v>390.72</v>
      </c>
      <c r="Z499" s="36">
        <f>IFERROR(IF(Y499=0,"",ROUNDUP(Y499/H499,0)*0.01196),"")</f>
        <v>0.88504000000000005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416.59090909090907</v>
      </c>
      <c r="BN499" s="64">
        <f>IFERROR(Y499*I499/H499,"0")</f>
        <v>417.36</v>
      </c>
      <c r="BO499" s="64">
        <f>IFERROR(1/J499*(X499/H499),"0")</f>
        <v>0.71022727272727271</v>
      </c>
      <c r="BP499" s="64">
        <f>IFERROR(1/J499*(Y499/H499),"0")</f>
        <v>0.71153846153846156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73.86363636363636</v>
      </c>
      <c r="Y503" s="667">
        <f>IFERROR(Y499/H499,"0")+IFERROR(Y500/H500,"0")+IFERROR(Y501/H501,"0")+IFERROR(Y502/H502,"0")</f>
        <v>74</v>
      </c>
      <c r="Z503" s="667">
        <f>IFERROR(IF(Z499="",0,Z499),"0")+IFERROR(IF(Z500="",0,Z500),"0")+IFERROR(IF(Z501="",0,Z501),"0")+IFERROR(IF(Z502="",0,Z502),"0")</f>
        <v>0.88504000000000005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390</v>
      </c>
      <c r="Y504" s="667">
        <f>IFERROR(SUM(Y499:Y502),"0")</f>
        <v>390.72</v>
      </c>
      <c r="Z504" s="37"/>
      <c r="AA504" s="668"/>
      <c r="AB504" s="668"/>
      <c r="AC504" s="668"/>
    </row>
    <row r="505" spans="1:68" ht="14.25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150</v>
      </c>
      <c r="Y506" s="666">
        <f t="shared" ref="Y506:Y517" si="75">IFERROR(IF(X506="",0,CEILING((X506/$H506),1)*$H506),"")</f>
        <v>153.12</v>
      </c>
      <c r="Z506" s="36">
        <f>IFERROR(IF(Y506=0,"",ROUNDUP(Y506/H506,0)*0.01196),"")</f>
        <v>0.34683999999999998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160.22727272727272</v>
      </c>
      <c r="BN506" s="64">
        <f t="shared" ref="BN506:BN517" si="77">IFERROR(Y506*I506/H506,"0")</f>
        <v>163.56</v>
      </c>
      <c r="BO506" s="64">
        <f t="shared" ref="BO506:BO517" si="78">IFERROR(1/J506*(X506/H506),"0")</f>
        <v>0.27316433566433568</v>
      </c>
      <c r="BP506" s="64">
        <f t="shared" ref="BP506:BP517" si="79">IFERROR(1/J506*(Y506/H506),"0")</f>
        <v>0.27884615384615385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110</v>
      </c>
      <c r="Y507" s="666">
        <f t="shared" si="75"/>
        <v>110.88000000000001</v>
      </c>
      <c r="Z507" s="36">
        <f>IFERROR(IF(Y507=0,"",ROUNDUP(Y507/H507,0)*0.01196),"")</f>
        <v>0.25115999999999999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117.49999999999999</v>
      </c>
      <c r="BN507" s="64">
        <f t="shared" si="77"/>
        <v>118.44</v>
      </c>
      <c r="BO507" s="64">
        <f t="shared" si="78"/>
        <v>0.20032051282051283</v>
      </c>
      <c r="BP507" s="64">
        <f t="shared" si="79"/>
        <v>0.20192307692307693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2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49.242424242424235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50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0.59799999999999998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260</v>
      </c>
      <c r="Y519" s="667">
        <f>IFERROR(SUM(Y506:Y517),"0")</f>
        <v>264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370</v>
      </c>
      <c r="Y552" s="666">
        <f t="shared" si="85"/>
        <v>373.8</v>
      </c>
      <c r="Z552" s="36">
        <f>IFERROR(IF(Y552=0,"",ROUNDUP(Y552/H552,0)*0.00902),"")</f>
        <v>0.80278000000000005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393.78571428571422</v>
      </c>
      <c r="BN552" s="64">
        <f t="shared" si="87"/>
        <v>397.83</v>
      </c>
      <c r="BO552" s="64">
        <f t="shared" si="88"/>
        <v>0.66738816738816731</v>
      </c>
      <c r="BP552" s="64">
        <f t="shared" si="89"/>
        <v>0.67424242424242431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88.095238095238088</v>
      </c>
      <c r="Y558" s="667">
        <f>IFERROR(Y551/H551,"0")+IFERROR(Y552/H552,"0")+IFERROR(Y553/H553,"0")+IFERROR(Y554/H554,"0")+IFERROR(Y555/H555,"0")+IFERROR(Y556/H556,"0")+IFERROR(Y557/H557,"0")</f>
        <v>89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0.80278000000000005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370</v>
      </c>
      <c r="Y559" s="667">
        <f>IFERROR(SUM(Y551:Y557),"0")</f>
        <v>373.8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600</v>
      </c>
      <c r="Y562" s="666">
        <f>IFERROR(IF(X562="",0,CEILING((X562/$H562),1)*$H562),"")</f>
        <v>603</v>
      </c>
      <c r="Z562" s="36">
        <f>IFERROR(IF(Y562=0,"",ROUNDUP(Y562/H562,0)*0.01898),"")</f>
        <v>1.27166</v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634.59999999999991</v>
      </c>
      <c r="BN562" s="64">
        <f>IFERROR(Y562*I562/H562,"0")</f>
        <v>637.77300000000002</v>
      </c>
      <c r="BO562" s="64">
        <f>IFERROR(1/J562*(X562/H562),"0")</f>
        <v>1.0416666666666667</v>
      </c>
      <c r="BP562" s="64">
        <f>IFERROR(1/J562*(Y562/H562),"0")</f>
        <v>1.046875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66.666666666666671</v>
      </c>
      <c r="Y566" s="667">
        <f>IFERROR(Y561/H561,"0")+IFERROR(Y562/H562,"0")+IFERROR(Y563/H563,"0")+IFERROR(Y564/H564,"0")+IFERROR(Y565/H565,"0")</f>
        <v>67</v>
      </c>
      <c r="Z566" s="667">
        <f>IFERROR(IF(Z561="",0,Z561),"0")+IFERROR(IF(Z562="",0,Z562),"0")+IFERROR(IF(Z563="",0,Z563),"0")+IFERROR(IF(Z564="",0,Z564),"0")+IFERROR(IF(Z565="",0,Z565),"0")</f>
        <v>1.27166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600</v>
      </c>
      <c r="Y567" s="667">
        <f>IFERROR(SUM(Y561:Y565),"0")</f>
        <v>603</v>
      </c>
      <c r="Z567" s="37"/>
      <c r="AA567" s="668"/>
      <c r="AB567" s="668"/>
      <c r="AC567" s="668"/>
    </row>
    <row r="568" spans="1:68" ht="14.25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17870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17975.900000000001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18630.358621332372</v>
      </c>
      <c r="Y593" s="667">
        <f>IFERROR(SUM(BN22:BN589),"0")</f>
        <v>18741.14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27</v>
      </c>
      <c r="Y594" s="38">
        <f>ROUNDUP(SUM(BP22:BP589),0)</f>
        <v>28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19305.358621332372</v>
      </c>
      <c r="Y595" s="667">
        <f>GrossWeightTotalR+PalletQtyTotalR*25</f>
        <v>19441.14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2095.8418310084976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2109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31.143319999999999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288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615.6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1158.8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1608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507.6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1890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24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72.899999999999991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7200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783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1123.2</v>
      </c>
      <c r="Z602" s="46">
        <f>IFERROR(Y451*1,"0")+IFERROR(Y452*1,"0")+IFERROR(Y456*1,"0")+IFERROR(Y457*1,"0")+IFERROR(Y458*1,"0")+IFERROR(Y459*1,"0")</f>
        <v>907.2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1108.8000000000002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976.8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