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Бычков\"/>
    </mc:Choice>
  </mc:AlternateContent>
  <xr:revisionPtr revIDLastSave="0" documentId="13_ncr:1_{52236EA8-51E0-4FC5-98B9-BD15FCECA21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BO555" i="2"/>
  <c r="BM555" i="2"/>
  <c r="Y555" i="2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X541" i="2"/>
  <c r="X540" i="2"/>
  <c r="BO539" i="2"/>
  <c r="BM539" i="2"/>
  <c r="Y539" i="2"/>
  <c r="BO538" i="2"/>
  <c r="BM538" i="2"/>
  <c r="Y538" i="2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O511" i="2"/>
  <c r="BM511" i="2"/>
  <c r="Y511" i="2"/>
  <c r="P511" i="2"/>
  <c r="BO510" i="2"/>
  <c r="BM510" i="2"/>
  <c r="Y510" i="2"/>
  <c r="BO509" i="2"/>
  <c r="BM509" i="2"/>
  <c r="Y509" i="2"/>
  <c r="BO508" i="2"/>
  <c r="BM508" i="2"/>
  <c r="Y508" i="2"/>
  <c r="BO507" i="2"/>
  <c r="BM507" i="2"/>
  <c r="Y507" i="2"/>
  <c r="BO506" i="2"/>
  <c r="BM506" i="2"/>
  <c r="Y506" i="2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O491" i="2"/>
  <c r="BM491" i="2"/>
  <c r="Y491" i="2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Z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Y274" i="2" s="1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X248" i="2"/>
  <c r="X247" i="2"/>
  <c r="BO246" i="2"/>
  <c r="BM246" i="2"/>
  <c r="Y246" i="2"/>
  <c r="Y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P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Z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BP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N71" i="2"/>
  <c r="BM71" i="2"/>
  <c r="Z71" i="2"/>
  <c r="Y71" i="2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233" i="2" l="1"/>
  <c r="Z379" i="2"/>
  <c r="BN379" i="2"/>
  <c r="Z406" i="2"/>
  <c r="BP484" i="2"/>
  <c r="Y587" i="2"/>
  <c r="Z22" i="2"/>
  <c r="BN22" i="2"/>
  <c r="Z98" i="2"/>
  <c r="BN98" i="2"/>
  <c r="Z99" i="2"/>
  <c r="Z213" i="2"/>
  <c r="BN213" i="2"/>
  <c r="Z214" i="2"/>
  <c r="Z278" i="2"/>
  <c r="BN278" i="2"/>
  <c r="Z40" i="2"/>
  <c r="BP108" i="2"/>
  <c r="Z123" i="2"/>
  <c r="Z131" i="2"/>
  <c r="BN131" i="2"/>
  <c r="Y133" i="2"/>
  <c r="Z158" i="2"/>
  <c r="BN158" i="2"/>
  <c r="Z159" i="2"/>
  <c r="Z203" i="2"/>
  <c r="BN203" i="2"/>
  <c r="Z204" i="2"/>
  <c r="Z220" i="2"/>
  <c r="BN220" i="2"/>
  <c r="Z236" i="2"/>
  <c r="BN236" i="2"/>
  <c r="Z242" i="2"/>
  <c r="BN242" i="2"/>
  <c r="BP259" i="2"/>
  <c r="Z314" i="2"/>
  <c r="Z315" i="2" s="1"/>
  <c r="BP339" i="2"/>
  <c r="Z367" i="2"/>
  <c r="BN367" i="2"/>
  <c r="Z368" i="2"/>
  <c r="Z389" i="2"/>
  <c r="BN389" i="2"/>
  <c r="BP393" i="2"/>
  <c r="Z412" i="2"/>
  <c r="Z501" i="2"/>
  <c r="BP544" i="2"/>
  <c r="Z545" i="2"/>
  <c r="BN545" i="2"/>
  <c r="BN178" i="2"/>
  <c r="BP178" i="2"/>
  <c r="BP215" i="2"/>
  <c r="BN215" i="2"/>
  <c r="Z215" i="2"/>
  <c r="BN235" i="2"/>
  <c r="Z235" i="2"/>
  <c r="BP257" i="2"/>
  <c r="Z257" i="2"/>
  <c r="Y288" i="2"/>
  <c r="Y287" i="2"/>
  <c r="Z286" i="2"/>
  <c r="Z287" i="2" s="1"/>
  <c r="BN308" i="2"/>
  <c r="BP308" i="2"/>
  <c r="Y364" i="2"/>
  <c r="BP363" i="2"/>
  <c r="BP382" i="2"/>
  <c r="BN382" i="2"/>
  <c r="Z382" i="2"/>
  <c r="BP407" i="2"/>
  <c r="BN407" i="2"/>
  <c r="Z407" i="2"/>
  <c r="BP437" i="2"/>
  <c r="BN437" i="2"/>
  <c r="Z437" i="2"/>
  <c r="BN459" i="2"/>
  <c r="BP459" i="2"/>
  <c r="BN492" i="2"/>
  <c r="BP492" i="2"/>
  <c r="BP507" i="2"/>
  <c r="BN507" i="2"/>
  <c r="Z507" i="2"/>
  <c r="BP509" i="2"/>
  <c r="BN509" i="2"/>
  <c r="Z509" i="2"/>
  <c r="BN512" i="2"/>
  <c r="Z512" i="2"/>
  <c r="BP539" i="2"/>
  <c r="Z539" i="2"/>
  <c r="BP555" i="2"/>
  <c r="BN555" i="2"/>
  <c r="Z555" i="2"/>
  <c r="BP564" i="2"/>
  <c r="BN564" i="2"/>
  <c r="Z564" i="2"/>
  <c r="Z25" i="2"/>
  <c r="BN25" i="2"/>
  <c r="X596" i="2"/>
  <c r="Z31" i="2"/>
  <c r="Z32" i="2" s="1"/>
  <c r="BN31" i="2"/>
  <c r="BP31" i="2"/>
  <c r="Y32" i="2"/>
  <c r="Z44" i="2"/>
  <c r="Z45" i="2" s="1"/>
  <c r="BN44" i="2"/>
  <c r="BP44" i="2"/>
  <c r="Y45" i="2"/>
  <c r="Z50" i="2"/>
  <c r="BN50" i="2"/>
  <c r="Z60" i="2"/>
  <c r="BN60" i="2"/>
  <c r="Z76" i="2"/>
  <c r="BN76" i="2"/>
  <c r="Z93" i="2"/>
  <c r="BN93" i="2"/>
  <c r="Z95" i="2"/>
  <c r="BN95" i="2"/>
  <c r="Z100" i="2"/>
  <c r="BN100" i="2"/>
  <c r="Y134" i="2"/>
  <c r="Z137" i="2"/>
  <c r="Z139" i="2" s="1"/>
  <c r="BN137" i="2"/>
  <c r="BP148" i="2"/>
  <c r="BN148" i="2"/>
  <c r="BP160" i="2"/>
  <c r="BN160" i="2"/>
  <c r="Z160" i="2"/>
  <c r="BP205" i="2"/>
  <c r="BN205" i="2"/>
  <c r="Z205" i="2"/>
  <c r="K602" i="2"/>
  <c r="BP231" i="2"/>
  <c r="Z231" i="2"/>
  <c r="Y251" i="2"/>
  <c r="Z250" i="2"/>
  <c r="Z251" i="2" s="1"/>
  <c r="BP271" i="2"/>
  <c r="BN271" i="2"/>
  <c r="Z271" i="2"/>
  <c r="BN351" i="2"/>
  <c r="Z351" i="2"/>
  <c r="Z370" i="2"/>
  <c r="BP369" i="2"/>
  <c r="BN369" i="2"/>
  <c r="Z369" i="2"/>
  <c r="X602" i="2"/>
  <c r="BN404" i="2"/>
  <c r="BP404" i="2"/>
  <c r="BN419" i="2"/>
  <c r="BP419" i="2"/>
  <c r="Y475" i="2"/>
  <c r="Y476" i="2"/>
  <c r="BN486" i="2"/>
  <c r="BP486" i="2"/>
  <c r="BP491" i="2"/>
  <c r="BN491" i="2"/>
  <c r="Z491" i="2"/>
  <c r="BP506" i="2"/>
  <c r="BN506" i="2"/>
  <c r="Z506" i="2"/>
  <c r="BN508" i="2"/>
  <c r="BP508" i="2"/>
  <c r="BP510" i="2"/>
  <c r="BN510" i="2"/>
  <c r="Z510" i="2"/>
  <c r="BN523" i="2"/>
  <c r="BP523" i="2"/>
  <c r="BP538" i="2"/>
  <c r="BN538" i="2"/>
  <c r="Z538" i="2"/>
  <c r="BP543" i="2"/>
  <c r="Y549" i="2"/>
  <c r="Y548" i="2"/>
  <c r="BN547" i="2"/>
  <c r="BP547" i="2"/>
  <c r="Z556" i="2"/>
  <c r="BP556" i="2"/>
  <c r="H602" i="2"/>
  <c r="I602" i="2"/>
  <c r="J602" i="2"/>
  <c r="Y210" i="2"/>
  <c r="Y282" i="2"/>
  <c r="Y316" i="2"/>
  <c r="Y443" i="2"/>
  <c r="H9" i="2"/>
  <c r="B602" i="2"/>
  <c r="X593" i="2"/>
  <c r="X594" i="2"/>
  <c r="X595" i="2" s="1"/>
  <c r="BP23" i="2"/>
  <c r="BN26" i="2"/>
  <c r="BP26" i="2"/>
  <c r="X592" i="2"/>
  <c r="BP66" i="2"/>
  <c r="BN66" i="2"/>
  <c r="Z66" i="2"/>
  <c r="BN75" i="2"/>
  <c r="BP75" i="2"/>
  <c r="BP81" i="2"/>
  <c r="BN81" i="2"/>
  <c r="Z81" i="2"/>
  <c r="Z83" i="2" s="1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Z243" i="2" s="1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77" i="2"/>
  <c r="Z578" i="2" s="1"/>
  <c r="U602" i="2"/>
  <c r="Y162" i="2"/>
  <c r="Y56" i="2"/>
  <c r="Z65" i="2"/>
  <c r="Z68" i="2" s="1"/>
  <c r="Z75" i="2"/>
  <c r="Z77" i="2" s="1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24" i="2" s="1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573" i="2" l="1"/>
  <c r="Z413" i="2"/>
  <c r="Z529" i="2"/>
  <c r="Z133" i="2"/>
  <c r="Z28" i="2"/>
  <c r="Z161" i="2"/>
  <c r="Z110" i="2"/>
  <c r="Z346" i="2"/>
  <c r="Z340" i="2"/>
  <c r="Z395" i="2"/>
  <c r="Z183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<sst xmlns="http://schemas.openxmlformats.org/spreadsheetml/2006/main" count="4539" uniqueCount="970">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</sst>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Fill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Fill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Fill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Fill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Fill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Fill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4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931" fillId="0" borderId="45" xfId="0" applyFont="1" applyFill="1" applyBorder="1" applyAlignment="1">
      <alignment horizontal="left" vertical="center" wrapText="1"/>
    </xf>
    <xf numFmtId="0" fontId="934" fillId="0" borderId="45" xfId="0" applyFont="1" applyFill="1" applyBorder="1" applyAlignment="1">
      <alignment horizontal="left" vertical="center" wrapText="1"/>
    </xf>
    <xf numFmtId="0" fontId="937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22" fillId="0" borderId="45" xfId="0" applyFont="1" applyFill="1" applyBorder="1" applyAlignment="1">
      <alignment horizontal="left" vertical="center" wrapText="1"/>
    </xf>
    <xf numFmtId="0" fontId="925" fillId="0" borderId="45" xfId="0" applyFont="1" applyFill="1" applyBorder="1" applyAlignment="1">
      <alignment horizontal="left" vertical="center" wrapText="1"/>
    </xf>
    <xf numFmtId="0" fontId="92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0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26" t="s">
        <v>26</v>
      </c>
      <c r="E1" s="1026"/>
      <c r="F1" s="1026"/>
      <c r="G1" s="14" t="s">
        <v>66</v>
      </c>
      <c r="H1" s="1026" t="s">
        <v>46</v>
      </c>
      <c r="I1" s="1026"/>
      <c r="J1" s="1026"/>
      <c r="K1" s="1026"/>
      <c r="L1" s="1026"/>
      <c r="M1" s="1026"/>
      <c r="N1" s="1026"/>
      <c r="O1" s="1026"/>
      <c r="P1" s="1026"/>
      <c r="Q1" s="1026"/>
      <c r="R1" s="1027" t="s">
        <v>67</v>
      </c>
      <c r="S1" s="1028"/>
      <c r="T1" s="10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9"/>
      <c r="R2" s="1029"/>
      <c r="S2" s="1029"/>
      <c r="T2" s="1029"/>
      <c r="U2" s="1029"/>
      <c r="V2" s="1029"/>
      <c r="W2" s="10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9"/>
      <c r="Q3" s="1029"/>
      <c r="R3" s="1029"/>
      <c r="S3" s="1029"/>
      <c r="T3" s="1029"/>
      <c r="U3" s="1029"/>
      <c r="V3" s="1029"/>
      <c r="W3" s="10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30" t="s">
        <v>8</v>
      </c>
      <c r="B5" s="1030"/>
      <c r="C5" s="1030"/>
      <c r="D5" s="1031"/>
      <c r="E5" s="1031"/>
      <c r="F5" s="1032" t="s">
        <v>14</v>
      </c>
      <c r="G5" s="1032"/>
      <c r="H5" s="1031"/>
      <c r="I5" s="1031"/>
      <c r="J5" s="1031"/>
      <c r="K5" s="1031"/>
      <c r="L5" s="1031"/>
      <c r="M5" s="1031"/>
      <c r="N5" s="72"/>
      <c r="P5" s="27" t="s">
        <v>4</v>
      </c>
      <c r="Q5" s="1033">
        <v>45771</v>
      </c>
      <c r="R5" s="1033"/>
      <c r="T5" s="1034" t="s">
        <v>3</v>
      </c>
      <c r="U5" s="1035"/>
      <c r="V5" s="1036" t="s">
        <v>956</v>
      </c>
      <c r="W5" s="1037"/>
      <c r="AB5" s="59"/>
      <c r="AC5" s="59"/>
      <c r="AD5" s="59"/>
      <c r="AE5" s="59"/>
    </row>
    <row r="6" spans="1:32" s="17" customFormat="1" ht="24" customHeight="1" x14ac:dyDescent="0.2">
      <c r="A6" s="1030" t="s">
        <v>1</v>
      </c>
      <c r="B6" s="1030"/>
      <c r="C6" s="1030"/>
      <c r="D6" s="1038" t="s">
        <v>75</v>
      </c>
      <c r="E6" s="1038"/>
      <c r="F6" s="1038"/>
      <c r="G6" s="1038"/>
      <c r="H6" s="1038"/>
      <c r="I6" s="1038"/>
      <c r="J6" s="1038"/>
      <c r="K6" s="1038"/>
      <c r="L6" s="1038"/>
      <c r="M6" s="1038"/>
      <c r="N6" s="73"/>
      <c r="P6" s="27" t="s">
        <v>27</v>
      </c>
      <c r="Q6" s="1039" t="str">
        <f>IF(Q5=0," ",CHOOSE(WEEKDAY(Q5,2),"Понедельник","Вторник","Среда","Четверг","Пятница","Суббота","Воскресенье"))</f>
        <v>Четверг</v>
      </c>
      <c r="R6" s="1039"/>
      <c r="T6" s="1040" t="s">
        <v>5</v>
      </c>
      <c r="U6" s="1041"/>
      <c r="V6" s="1042" t="s">
        <v>69</v>
      </c>
      <c r="W6" s="10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48" t="str">
        <f>IFERROR(VLOOKUP(DeliveryAddress,Table,3,0),1)</f>
        <v>1</v>
      </c>
      <c r="E7" s="1049"/>
      <c r="F7" s="1049"/>
      <c r="G7" s="1049"/>
      <c r="H7" s="1049"/>
      <c r="I7" s="1049"/>
      <c r="J7" s="1049"/>
      <c r="K7" s="1049"/>
      <c r="L7" s="1049"/>
      <c r="M7" s="1050"/>
      <c r="N7" s="74"/>
      <c r="P7" s="29"/>
      <c r="Q7" s="48"/>
      <c r="R7" s="48"/>
      <c r="T7" s="1040"/>
      <c r="U7" s="1041"/>
      <c r="V7" s="1044"/>
      <c r="W7" s="1045"/>
      <c r="AB7" s="59"/>
      <c r="AC7" s="59"/>
      <c r="AD7" s="59"/>
      <c r="AE7" s="59"/>
    </row>
    <row r="8" spans="1:32" s="17" customFormat="1" ht="25.5" customHeight="1" x14ac:dyDescent="0.2">
      <c r="A8" s="1051" t="s">
        <v>57</v>
      </c>
      <c r="B8" s="1051"/>
      <c r="C8" s="1051"/>
      <c r="D8" s="1052" t="s">
        <v>76</v>
      </c>
      <c r="E8" s="1052"/>
      <c r="F8" s="1052"/>
      <c r="G8" s="1052"/>
      <c r="H8" s="1052"/>
      <c r="I8" s="1052"/>
      <c r="J8" s="1052"/>
      <c r="K8" s="1052"/>
      <c r="L8" s="1052"/>
      <c r="M8" s="1052"/>
      <c r="N8" s="75"/>
      <c r="P8" s="27" t="s">
        <v>11</v>
      </c>
      <c r="Q8" s="1011">
        <v>0.41666666666666669</v>
      </c>
      <c r="R8" s="1011"/>
      <c r="T8" s="1040"/>
      <c r="U8" s="1041"/>
      <c r="V8" s="1044"/>
      <c r="W8" s="1045"/>
      <c r="AB8" s="59"/>
      <c r="AC8" s="59"/>
      <c r="AD8" s="59"/>
      <c r="AE8" s="59"/>
    </row>
    <row r="9" spans="1:32" s="17" customFormat="1" ht="39.950000000000003" customHeight="1" x14ac:dyDescent="0.2">
      <c r="A9" s="10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01"/>
      <c r="C9" s="1001"/>
      <c r="D9" s="1002" t="s">
        <v>45</v>
      </c>
      <c r="E9" s="1003"/>
      <c r="F9" s="10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01"/>
      <c r="H9" s="1053" t="str">
        <f>IF(AND($A$9="Тип доверенности/получателя при получении в адресе перегруза:",$D$9="Разовая доверенность"),"Введите ФИО","")</f>
        <v/>
      </c>
      <c r="I9" s="1053"/>
      <c r="J9" s="10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53"/>
      <c r="L9" s="1053"/>
      <c r="M9" s="1053"/>
      <c r="N9" s="70"/>
      <c r="P9" s="31" t="s">
        <v>15</v>
      </c>
      <c r="Q9" s="1054"/>
      <c r="R9" s="1054"/>
      <c r="T9" s="1040"/>
      <c r="U9" s="1041"/>
      <c r="V9" s="1046"/>
      <c r="W9" s="10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10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01"/>
      <c r="C10" s="1001"/>
      <c r="D10" s="1002"/>
      <c r="E10" s="1003"/>
      <c r="F10" s="10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01"/>
      <c r="H10" s="1004" t="str">
        <f>IFERROR(VLOOKUP($D$10,Proxy,2,FALSE),"")</f>
        <v/>
      </c>
      <c r="I10" s="1004"/>
      <c r="J10" s="1004"/>
      <c r="K10" s="1004"/>
      <c r="L10" s="1004"/>
      <c r="M10" s="1004"/>
      <c r="N10" s="71"/>
      <c r="P10" s="31" t="s">
        <v>32</v>
      </c>
      <c r="Q10" s="1005"/>
      <c r="R10" s="1005"/>
      <c r="U10" s="29" t="s">
        <v>12</v>
      </c>
      <c r="V10" s="1006" t="s">
        <v>70</v>
      </c>
      <c r="W10" s="100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1008"/>
      <c r="R11" s="1008"/>
      <c r="U11" s="29" t="s">
        <v>28</v>
      </c>
      <c r="V11" s="1009" t="s">
        <v>54</v>
      </c>
      <c r="W11" s="100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1010" t="s">
        <v>71</v>
      </c>
      <c r="B12" s="1010"/>
      <c r="C12" s="1010"/>
      <c r="D12" s="1010"/>
      <c r="E12" s="1010"/>
      <c r="F12" s="1010"/>
      <c r="G12" s="1010"/>
      <c r="H12" s="1010"/>
      <c r="I12" s="1010"/>
      <c r="J12" s="1010"/>
      <c r="K12" s="1010"/>
      <c r="L12" s="1010"/>
      <c r="M12" s="1010"/>
      <c r="N12" s="76"/>
      <c r="P12" s="27" t="s">
        <v>30</v>
      </c>
      <c r="Q12" s="1011"/>
      <c r="R12" s="1011"/>
      <c r="S12" s="28"/>
      <c r="T12"/>
      <c r="U12" s="29" t="s">
        <v>45</v>
      </c>
      <c r="V12" s="1012"/>
      <c r="W12" s="1012"/>
      <c r="X12"/>
      <c r="AB12" s="59"/>
      <c r="AC12" s="59"/>
      <c r="AD12" s="59"/>
      <c r="AE12" s="59"/>
    </row>
    <row r="13" spans="1:32" s="17" customFormat="1" ht="23.25" customHeight="1" x14ac:dyDescent="0.2">
      <c r="A13" s="1010" t="s">
        <v>72</v>
      </c>
      <c r="B13" s="1010"/>
      <c r="C13" s="1010"/>
      <c r="D13" s="1010"/>
      <c r="E13" s="1010"/>
      <c r="F13" s="1010"/>
      <c r="G13" s="1010"/>
      <c r="H13" s="1010"/>
      <c r="I13" s="1010"/>
      <c r="J13" s="1010"/>
      <c r="K13" s="1010"/>
      <c r="L13" s="1010"/>
      <c r="M13" s="1010"/>
      <c r="N13" s="76"/>
      <c r="O13" s="31"/>
      <c r="P13" s="31" t="s">
        <v>31</v>
      </c>
      <c r="Q13" s="1009"/>
      <c r="R13" s="100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1010" t="s">
        <v>73</v>
      </c>
      <c r="B14" s="1010"/>
      <c r="C14" s="1010"/>
      <c r="D14" s="1010"/>
      <c r="E14" s="1010"/>
      <c r="F14" s="1010"/>
      <c r="G14" s="1010"/>
      <c r="H14" s="1010"/>
      <c r="I14" s="1010"/>
      <c r="J14" s="1010"/>
      <c r="K14" s="1010"/>
      <c r="L14" s="1010"/>
      <c r="M14" s="101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1013" t="s">
        <v>74</v>
      </c>
      <c r="B15" s="1013"/>
      <c r="C15" s="1013"/>
      <c r="D15" s="1013"/>
      <c r="E15" s="1013"/>
      <c r="F15" s="1013"/>
      <c r="G15" s="1013"/>
      <c r="H15" s="1013"/>
      <c r="I15" s="1013"/>
      <c r="J15" s="1013"/>
      <c r="K15" s="1013"/>
      <c r="L15" s="1013"/>
      <c r="M15" s="1013"/>
      <c r="N15" s="77"/>
      <c r="O15"/>
      <c r="P15" s="1014" t="s">
        <v>60</v>
      </c>
      <c r="Q15" s="1014"/>
      <c r="R15" s="1014"/>
      <c r="S15" s="1014"/>
      <c r="T15" s="10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5"/>
      <c r="Q16" s="1015"/>
      <c r="R16" s="1015"/>
      <c r="S16" s="1015"/>
      <c r="T16" s="10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84" t="s">
        <v>58</v>
      </c>
      <c r="B17" s="984" t="s">
        <v>48</v>
      </c>
      <c r="C17" s="1018" t="s">
        <v>47</v>
      </c>
      <c r="D17" s="1020" t="s">
        <v>49</v>
      </c>
      <c r="E17" s="1021"/>
      <c r="F17" s="984" t="s">
        <v>21</v>
      </c>
      <c r="G17" s="984" t="s">
        <v>24</v>
      </c>
      <c r="H17" s="984" t="s">
        <v>22</v>
      </c>
      <c r="I17" s="984" t="s">
        <v>23</v>
      </c>
      <c r="J17" s="984" t="s">
        <v>16</v>
      </c>
      <c r="K17" s="984" t="s">
        <v>65</v>
      </c>
      <c r="L17" s="984" t="s">
        <v>63</v>
      </c>
      <c r="M17" s="984" t="s">
        <v>2</v>
      </c>
      <c r="N17" s="984" t="s">
        <v>62</v>
      </c>
      <c r="O17" s="984" t="s">
        <v>25</v>
      </c>
      <c r="P17" s="1020" t="s">
        <v>17</v>
      </c>
      <c r="Q17" s="1024"/>
      <c r="R17" s="1024"/>
      <c r="S17" s="1024"/>
      <c r="T17" s="1021"/>
      <c r="U17" s="1016" t="s">
        <v>55</v>
      </c>
      <c r="V17" s="1017"/>
      <c r="W17" s="984" t="s">
        <v>6</v>
      </c>
      <c r="X17" s="984" t="s">
        <v>41</v>
      </c>
      <c r="Y17" s="986" t="s">
        <v>53</v>
      </c>
      <c r="Z17" s="988" t="s">
        <v>18</v>
      </c>
      <c r="AA17" s="990" t="s">
        <v>59</v>
      </c>
      <c r="AB17" s="990" t="s">
        <v>19</v>
      </c>
      <c r="AC17" s="990" t="s">
        <v>64</v>
      </c>
      <c r="AD17" s="992" t="s">
        <v>56</v>
      </c>
      <c r="AE17" s="993"/>
      <c r="AF17" s="994"/>
      <c r="AG17" s="82"/>
      <c r="BD17" s="81" t="s">
        <v>61</v>
      </c>
    </row>
    <row r="18" spans="1:68" ht="14.25" customHeight="1" x14ac:dyDescent="0.2">
      <c r="A18" s="985"/>
      <c r="B18" s="985"/>
      <c r="C18" s="1019"/>
      <c r="D18" s="1022"/>
      <c r="E18" s="1023"/>
      <c r="F18" s="985"/>
      <c r="G18" s="985"/>
      <c r="H18" s="985"/>
      <c r="I18" s="985"/>
      <c r="J18" s="985"/>
      <c r="K18" s="985"/>
      <c r="L18" s="985"/>
      <c r="M18" s="985"/>
      <c r="N18" s="985"/>
      <c r="O18" s="985"/>
      <c r="P18" s="1022"/>
      <c r="Q18" s="1025"/>
      <c r="R18" s="1025"/>
      <c r="S18" s="1025"/>
      <c r="T18" s="1023"/>
      <c r="U18" s="83" t="s">
        <v>44</v>
      </c>
      <c r="V18" s="83" t="s">
        <v>43</v>
      </c>
      <c r="W18" s="985"/>
      <c r="X18" s="985"/>
      <c r="Y18" s="987"/>
      <c r="Z18" s="989"/>
      <c r="AA18" s="991"/>
      <c r="AB18" s="991"/>
      <c r="AC18" s="991"/>
      <c r="AD18" s="995"/>
      <c r="AE18" s="996"/>
      <c r="AF18" s="997"/>
      <c r="AG18" s="82"/>
      <c r="BD18" s="81"/>
    </row>
    <row r="19" spans="1:68" ht="27.75" customHeight="1" x14ac:dyDescent="0.2">
      <c r="A19" s="723" t="s">
        <v>77</v>
      </c>
      <c r="B19" s="723"/>
      <c r="C19" s="723"/>
      <c r="D19" s="723"/>
      <c r="E19" s="723"/>
      <c r="F19" s="723"/>
      <c r="G19" s="723"/>
      <c r="H19" s="723"/>
      <c r="I19" s="723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23"/>
      <c r="Z19" s="723"/>
      <c r="AA19" s="54"/>
      <c r="AB19" s="54"/>
      <c r="AC19" s="54"/>
    </row>
    <row r="20" spans="1:68" ht="16.5" customHeight="1" x14ac:dyDescent="0.25">
      <c r="A20" s="699" t="s">
        <v>77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699"/>
      <c r="O20" s="699"/>
      <c r="P20" s="699"/>
      <c r="Q20" s="699"/>
      <c r="R20" s="699"/>
      <c r="S20" s="699"/>
      <c r="T20" s="699"/>
      <c r="U20" s="699"/>
      <c r="V20" s="699"/>
      <c r="W20" s="699"/>
      <c r="X20" s="699"/>
      <c r="Y20" s="699"/>
      <c r="Z20" s="699"/>
      <c r="AA20" s="65"/>
      <c r="AB20" s="65"/>
      <c r="AC20" s="79"/>
    </row>
    <row r="21" spans="1:68" ht="14.25" customHeight="1" x14ac:dyDescent="0.25">
      <c r="A21" s="677" t="s">
        <v>78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"/>
      <c r="AB21" s="66"/>
      <c r="AC21" s="80"/>
    </row>
    <row r="22" spans="1:68" ht="37.5" customHeight="1" x14ac:dyDescent="0.25">
      <c r="A22" s="63" t="s">
        <v>79</v>
      </c>
      <c r="B22" s="63" t="s">
        <v>80</v>
      </c>
      <c r="C22" s="36">
        <v>4301051865</v>
      </c>
      <c r="D22" s="678">
        <v>4680115885912</v>
      </c>
      <c r="E22" s="678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9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0"/>
      <c r="R22" s="680"/>
      <c r="S22" s="680"/>
      <c r="T22" s="681"/>
      <c r="U22" s="39" t="s">
        <v>45</v>
      </c>
      <c r="V22" s="39" t="s">
        <v>45</v>
      </c>
      <c r="W22" s="40" t="s">
        <v>0</v>
      </c>
      <c r="X22" s="58">
        <v>0</v>
      </c>
      <c r="Y22" s="55">
        <f t="shared" ref="Y22:Y27" si="0">IFERROR(IF(X22="",0,CEILING((X22/$H22),1)*$H22),"")</f>
        <v>0</v>
      </c>
      <c r="Z22" s="41" t="str">
        <f t="shared" ref="Z22:Z27" si="1"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 t="shared" ref="BM22:BM27" si="2">IFERROR(X22*I22/H22,"0")</f>
        <v>0</v>
      </c>
      <c r="BN22" s="78">
        <f t="shared" ref="BN22:BN27" si="3">IFERROR(Y22*I22/H22,"0")</f>
        <v>0</v>
      </c>
      <c r="BO22" s="78">
        <f t="shared" ref="BO22:BO27" si="4">IFERROR(1/J22*(X22/H22),"0")</f>
        <v>0</v>
      </c>
      <c r="BP22" s="78">
        <f t="shared" ref="BP22:BP27" si="5"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4301051552</v>
      </c>
      <c r="D23" s="678">
        <v>4607091388237</v>
      </c>
      <c r="E23" s="678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83</v>
      </c>
      <c r="L23" s="37" t="s">
        <v>45</v>
      </c>
      <c r="M23" s="38" t="s">
        <v>82</v>
      </c>
      <c r="N23" s="38"/>
      <c r="O23" s="37">
        <v>40</v>
      </c>
      <c r="P23" s="9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0"/>
      <c r="R23" s="680"/>
      <c r="S23" s="680"/>
      <c r="T23" s="681"/>
      <c r="U23" s="39" t="s">
        <v>45</v>
      </c>
      <c r="V23" s="39" t="s">
        <v>45</v>
      </c>
      <c r="W23" s="40" t="s">
        <v>0</v>
      </c>
      <c r="X23" s="58">
        <v>0</v>
      </c>
      <c r="Y23" s="55">
        <f t="shared" si="0"/>
        <v>0</v>
      </c>
      <c r="Z23" s="41" t="str">
        <f t="shared" si="1"/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4301051907</v>
      </c>
      <c r="D24" s="678">
        <v>4680115886230</v>
      </c>
      <c r="E24" s="678"/>
      <c r="F24" s="62">
        <v>0.3</v>
      </c>
      <c r="G24" s="37">
        <v>6</v>
      </c>
      <c r="H24" s="62">
        <v>1.8</v>
      </c>
      <c r="I24" s="62">
        <v>2.0459999999999998</v>
      </c>
      <c r="J24" s="37">
        <v>182</v>
      </c>
      <c r="K24" s="37" t="s">
        <v>83</v>
      </c>
      <c r="L24" s="37" t="s">
        <v>45</v>
      </c>
      <c r="M24" s="38" t="s">
        <v>82</v>
      </c>
      <c r="N24" s="38"/>
      <c r="O24" s="37">
        <v>40</v>
      </c>
      <c r="P24" s="1000" t="s">
        <v>89</v>
      </c>
      <c r="Q24" s="680"/>
      <c r="R24" s="680"/>
      <c r="S24" s="680"/>
      <c r="T24" s="681"/>
      <c r="U24" s="39" t="s">
        <v>45</v>
      </c>
      <c r="V24" s="39" t="s">
        <v>45</v>
      </c>
      <c r="W24" s="40" t="s">
        <v>0</v>
      </c>
      <c r="X24" s="58">
        <v>0</v>
      </c>
      <c r="Y24" s="55">
        <f t="shared" si="0"/>
        <v>0</v>
      </c>
      <c r="Z24" s="41" t="str">
        <f t="shared" si="1"/>
        <v/>
      </c>
      <c r="AA24" s="68" t="s">
        <v>45</v>
      </c>
      <c r="AB24" s="69" t="s">
        <v>45</v>
      </c>
      <c r="AC24" s="90" t="s">
        <v>90</v>
      </c>
      <c r="AG24" s="78"/>
      <c r="AJ24" s="84" t="s">
        <v>45</v>
      </c>
      <c r="AK24" s="84">
        <v>0</v>
      </c>
      <c r="BB24" s="91" t="s">
        <v>66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3" t="s">
        <v>91</v>
      </c>
      <c r="B25" s="63" t="s">
        <v>92</v>
      </c>
      <c r="C25" s="36">
        <v>4301051909</v>
      </c>
      <c r="D25" s="678">
        <v>4680115886247</v>
      </c>
      <c r="E25" s="678"/>
      <c r="F25" s="62">
        <v>0.3</v>
      </c>
      <c r="G25" s="37">
        <v>6</v>
      </c>
      <c r="H25" s="62">
        <v>1.8</v>
      </c>
      <c r="I25" s="62">
        <v>2.0459999999999998</v>
      </c>
      <c r="J25" s="37">
        <v>182</v>
      </c>
      <c r="K25" s="37" t="s">
        <v>83</v>
      </c>
      <c r="L25" s="37" t="s">
        <v>45</v>
      </c>
      <c r="M25" s="38" t="s">
        <v>82</v>
      </c>
      <c r="N25" s="38"/>
      <c r="O25" s="37">
        <v>40</v>
      </c>
      <c r="P25" s="980" t="s">
        <v>93</v>
      </c>
      <c r="Q25" s="680"/>
      <c r="R25" s="680"/>
      <c r="S25" s="680"/>
      <c r="T25" s="681"/>
      <c r="U25" s="39" t="s">
        <v>45</v>
      </c>
      <c r="V25" s="39" t="s">
        <v>45</v>
      </c>
      <c r="W25" s="40" t="s">
        <v>0</v>
      </c>
      <c r="X25" s="58">
        <v>0</v>
      </c>
      <c r="Y25" s="55">
        <f t="shared" si="0"/>
        <v>0</v>
      </c>
      <c r="Z25" s="41" t="str">
        <f t="shared" si="1"/>
        <v/>
      </c>
      <c r="AA25" s="68" t="s">
        <v>45</v>
      </c>
      <c r="AB25" s="69" t="s">
        <v>45</v>
      </c>
      <c r="AC25" s="92" t="s">
        <v>94</v>
      </c>
      <c r="AG25" s="78"/>
      <c r="AJ25" s="84" t="s">
        <v>45</v>
      </c>
      <c r="AK25" s="84">
        <v>0</v>
      </c>
      <c r="BB25" s="93" t="s">
        <v>66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4301051861</v>
      </c>
      <c r="D26" s="678">
        <v>4680115885905</v>
      </c>
      <c r="E26" s="67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83</v>
      </c>
      <c r="L26" s="37" t="s">
        <v>45</v>
      </c>
      <c r="M26" s="38" t="s">
        <v>82</v>
      </c>
      <c r="N26" s="38"/>
      <c r="O26" s="37">
        <v>40</v>
      </c>
      <c r="P26" s="9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0"/>
      <c r="R26" s="680"/>
      <c r="S26" s="680"/>
      <c r="T26" s="681"/>
      <c r="U26" s="39" t="s">
        <v>45</v>
      </c>
      <c r="V26" s="39" t="s">
        <v>45</v>
      </c>
      <c r="W26" s="40" t="s">
        <v>0</v>
      </c>
      <c r="X26" s="58">
        <v>0</v>
      </c>
      <c r="Y26" s="55">
        <f t="shared" si="0"/>
        <v>0</v>
      </c>
      <c r="Z26" s="41" t="str">
        <f t="shared" si="1"/>
        <v/>
      </c>
      <c r="AA26" s="68" t="s">
        <v>45</v>
      </c>
      <c r="AB26" s="69" t="s">
        <v>45</v>
      </c>
      <c r="AC26" s="94" t="s">
        <v>97</v>
      </c>
      <c r="AG26" s="78"/>
      <c r="AJ26" s="84" t="s">
        <v>45</v>
      </c>
      <c r="AK26" s="84">
        <v>0</v>
      </c>
      <c r="BB26" s="95" t="s">
        <v>66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37.5" customHeight="1" x14ac:dyDescent="0.25">
      <c r="A27" s="63" t="s">
        <v>98</v>
      </c>
      <c r="B27" s="63" t="s">
        <v>99</v>
      </c>
      <c r="C27" s="36">
        <v>4301051592</v>
      </c>
      <c r="D27" s="678">
        <v>4607091388244</v>
      </c>
      <c r="E27" s="67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83</v>
      </c>
      <c r="L27" s="37" t="s">
        <v>45</v>
      </c>
      <c r="M27" s="38" t="s">
        <v>82</v>
      </c>
      <c r="N27" s="38"/>
      <c r="O27" s="37">
        <v>40</v>
      </c>
      <c r="P27" s="98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0"/>
      <c r="R27" s="680"/>
      <c r="S27" s="680"/>
      <c r="T27" s="681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si="0"/>
        <v>0</v>
      </c>
      <c r="Z27" s="41" t="str">
        <f t="shared" si="1"/>
        <v/>
      </c>
      <c r="AA27" s="68" t="s">
        <v>45</v>
      </c>
      <c r="AB27" s="69" t="s">
        <v>45</v>
      </c>
      <c r="AC27" s="96" t="s">
        <v>100</v>
      </c>
      <c r="AG27" s="78"/>
      <c r="AJ27" s="84" t="s">
        <v>45</v>
      </c>
      <c r="AK27" s="84">
        <v>0</v>
      </c>
      <c r="BB27" s="97" t="s">
        <v>66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685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  <c r="O28" s="686"/>
      <c r="P28" s="682" t="s">
        <v>40</v>
      </c>
      <c r="Q28" s="683"/>
      <c r="R28" s="683"/>
      <c r="S28" s="683"/>
      <c r="T28" s="683"/>
      <c r="U28" s="683"/>
      <c r="V28" s="684"/>
      <c r="W28" s="42" t="s">
        <v>39</v>
      </c>
      <c r="X28" s="43">
        <f>IFERROR(X22/H22,"0")+IFERROR(X23/H23,"0")+IFERROR(X24/H24,"0")+IFERROR(X25/H25,"0")+IFERROR(X26/H26,"0")+IFERROR(X27/H27,"0")</f>
        <v>0</v>
      </c>
      <c r="Y28" s="43">
        <f>IFERROR(Y22/H22,"0")+IFERROR(Y23/H23,"0")+IFERROR(Y24/H24,"0")+IFERROR(Y25/H25,"0")+IFERROR(Y26/H26,"0")+IFERROR(Y27/H27,"0")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685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685"/>
      <c r="N29" s="685"/>
      <c r="O29" s="686"/>
      <c r="P29" s="682" t="s">
        <v>40</v>
      </c>
      <c r="Q29" s="683"/>
      <c r="R29" s="683"/>
      <c r="S29" s="683"/>
      <c r="T29" s="683"/>
      <c r="U29" s="683"/>
      <c r="V29" s="684"/>
      <c r="W29" s="42" t="s">
        <v>0</v>
      </c>
      <c r="X29" s="43">
        <f>IFERROR(SUM(X22:X27),"0")</f>
        <v>0</v>
      </c>
      <c r="Y29" s="43">
        <f>IFERROR(SUM(Y22:Y27),"0")</f>
        <v>0</v>
      </c>
      <c r="Z29" s="42"/>
      <c r="AA29" s="67"/>
      <c r="AB29" s="67"/>
      <c r="AC29" s="67"/>
    </row>
    <row r="30" spans="1:68" ht="14.25" customHeight="1" x14ac:dyDescent="0.25">
      <c r="A30" s="677" t="s">
        <v>101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"/>
      <c r="AB30" s="66"/>
      <c r="AC30" s="80"/>
    </row>
    <row r="31" spans="1:68" ht="27" customHeight="1" x14ac:dyDescent="0.25">
      <c r="A31" s="63" t="s">
        <v>102</v>
      </c>
      <c r="B31" s="63" t="s">
        <v>103</v>
      </c>
      <c r="C31" s="36">
        <v>4301032013</v>
      </c>
      <c r="D31" s="678">
        <v>4607091388503</v>
      </c>
      <c r="E31" s="678"/>
      <c r="F31" s="62">
        <v>0.05</v>
      </c>
      <c r="G31" s="37">
        <v>12</v>
      </c>
      <c r="H31" s="62">
        <v>0.6</v>
      </c>
      <c r="I31" s="62">
        <v>0.82199999999999995</v>
      </c>
      <c r="J31" s="37">
        <v>182</v>
      </c>
      <c r="K31" s="37" t="s">
        <v>83</v>
      </c>
      <c r="L31" s="37" t="s">
        <v>45</v>
      </c>
      <c r="M31" s="38" t="s">
        <v>106</v>
      </c>
      <c r="N31" s="38"/>
      <c r="O31" s="37">
        <v>120</v>
      </c>
      <c r="P31" s="9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0"/>
      <c r="R31" s="680"/>
      <c r="S31" s="680"/>
      <c r="T31" s="681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104</v>
      </c>
      <c r="AG31" s="78"/>
      <c r="AJ31" s="84" t="s">
        <v>45</v>
      </c>
      <c r="AK31" s="84">
        <v>0</v>
      </c>
      <c r="BB31" s="99" t="s">
        <v>105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  <c r="N32" s="685"/>
      <c r="O32" s="686"/>
      <c r="P32" s="682" t="s">
        <v>40</v>
      </c>
      <c r="Q32" s="683"/>
      <c r="R32" s="683"/>
      <c r="S32" s="683"/>
      <c r="T32" s="683"/>
      <c r="U32" s="683"/>
      <c r="V32" s="684"/>
      <c r="W32" s="42" t="s">
        <v>39</v>
      </c>
      <c r="X32" s="43">
        <f>IFERROR(X31/H31,"0")</f>
        <v>0</v>
      </c>
      <c r="Y32" s="43">
        <f>IFERROR(Y31/H31,"0")</f>
        <v>0</v>
      </c>
      <c r="Z32" s="43">
        <f>IFERROR(IF(Z31="",0,Z31),"0")</f>
        <v>0</v>
      </c>
      <c r="AA32" s="67"/>
      <c r="AB32" s="67"/>
      <c r="AC32" s="67"/>
    </row>
    <row r="33" spans="1:68" x14ac:dyDescent="0.2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682" t="s">
        <v>40</v>
      </c>
      <c r="Q33" s="683"/>
      <c r="R33" s="683"/>
      <c r="S33" s="683"/>
      <c r="T33" s="683"/>
      <c r="U33" s="683"/>
      <c r="V33" s="684"/>
      <c r="W33" s="42" t="s">
        <v>0</v>
      </c>
      <c r="X33" s="43">
        <f>IFERROR(SUM(X31:X31),"0")</f>
        <v>0</v>
      </c>
      <c r="Y33" s="43">
        <f>IFERROR(SUM(Y31:Y31),"0")</f>
        <v>0</v>
      </c>
      <c r="Z33" s="42"/>
      <c r="AA33" s="67"/>
      <c r="AB33" s="67"/>
      <c r="AC33" s="67"/>
    </row>
    <row r="34" spans="1:68" ht="27.75" customHeight="1" x14ac:dyDescent="0.2">
      <c r="A34" s="723" t="s">
        <v>107</v>
      </c>
      <c r="B34" s="723"/>
      <c r="C34" s="723"/>
      <c r="D34" s="723"/>
      <c r="E34" s="723"/>
      <c r="F34" s="723"/>
      <c r="G34" s="723"/>
      <c r="H34" s="723"/>
      <c r="I34" s="723"/>
      <c r="J34" s="723"/>
      <c r="K34" s="723"/>
      <c r="L34" s="723"/>
      <c r="M34" s="723"/>
      <c r="N34" s="723"/>
      <c r="O34" s="723"/>
      <c r="P34" s="723"/>
      <c r="Q34" s="723"/>
      <c r="R34" s="723"/>
      <c r="S34" s="723"/>
      <c r="T34" s="723"/>
      <c r="U34" s="723"/>
      <c r="V34" s="723"/>
      <c r="W34" s="723"/>
      <c r="X34" s="723"/>
      <c r="Y34" s="723"/>
      <c r="Z34" s="723"/>
      <c r="AA34" s="54"/>
      <c r="AB34" s="54"/>
      <c r="AC34" s="54"/>
    </row>
    <row r="35" spans="1:68" ht="16.5" customHeight="1" x14ac:dyDescent="0.25">
      <c r="A35" s="699" t="s">
        <v>108</v>
      </c>
      <c r="B35" s="699"/>
      <c r="C35" s="699"/>
      <c r="D35" s="699"/>
      <c r="E35" s="699"/>
      <c r="F35" s="699"/>
      <c r="G35" s="699"/>
      <c r="H35" s="699"/>
      <c r="I35" s="699"/>
      <c r="J35" s="699"/>
      <c r="K35" s="699"/>
      <c r="L35" s="699"/>
      <c r="M35" s="699"/>
      <c r="N35" s="699"/>
      <c r="O35" s="699"/>
      <c r="P35" s="699"/>
      <c r="Q35" s="699"/>
      <c r="R35" s="699"/>
      <c r="S35" s="699"/>
      <c r="T35" s="699"/>
      <c r="U35" s="699"/>
      <c r="V35" s="699"/>
      <c r="W35" s="699"/>
      <c r="X35" s="699"/>
      <c r="Y35" s="699"/>
      <c r="Z35" s="699"/>
      <c r="AA35" s="65"/>
      <c r="AB35" s="65"/>
      <c r="AC35" s="79"/>
    </row>
    <row r="36" spans="1:68" ht="14.25" customHeight="1" x14ac:dyDescent="0.25">
      <c r="A36" s="677" t="s">
        <v>109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"/>
      <c r="AB36" s="66"/>
      <c r="AC36" s="80"/>
    </row>
    <row r="37" spans="1:68" ht="16.5" customHeight="1" x14ac:dyDescent="0.25">
      <c r="A37" s="63" t="s">
        <v>110</v>
      </c>
      <c r="B37" s="63" t="s">
        <v>111</v>
      </c>
      <c r="C37" s="36">
        <v>4301011380</v>
      </c>
      <c r="D37" s="678">
        <v>4607091385670</v>
      </c>
      <c r="E37" s="678"/>
      <c r="F37" s="62">
        <v>1.35</v>
      </c>
      <c r="G37" s="37">
        <v>8</v>
      </c>
      <c r="H37" s="62">
        <v>10.8</v>
      </c>
      <c r="I37" s="62">
        <v>11.234999999999999</v>
      </c>
      <c r="J37" s="37">
        <v>64</v>
      </c>
      <c r="K37" s="37" t="s">
        <v>114</v>
      </c>
      <c r="L37" s="37" t="s">
        <v>45</v>
      </c>
      <c r="M37" s="38" t="s">
        <v>113</v>
      </c>
      <c r="N37" s="38"/>
      <c r="O37" s="37">
        <v>50</v>
      </c>
      <c r="P37" s="9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0"/>
      <c r="R37" s="680"/>
      <c r="S37" s="680"/>
      <c r="T37" s="681"/>
      <c r="U37" s="39" t="s">
        <v>45</v>
      </c>
      <c r="V37" s="39" t="s">
        <v>45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IFERROR(IF(Y37=0,"",ROUNDUP(Y37/H37,0)*0.01898),"")</f>
        <v/>
      </c>
      <c r="AA37" s="68" t="s">
        <v>45</v>
      </c>
      <c r="AB37" s="69" t="s">
        <v>45</v>
      </c>
      <c r="AC37" s="100" t="s">
        <v>112</v>
      </c>
      <c r="AG37" s="78"/>
      <c r="AJ37" s="84" t="s">
        <v>45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115</v>
      </c>
      <c r="B38" s="63" t="s">
        <v>116</v>
      </c>
      <c r="C38" s="36">
        <v>4301011382</v>
      </c>
      <c r="D38" s="678">
        <v>4607091385687</v>
      </c>
      <c r="E38" s="678"/>
      <c r="F38" s="62">
        <v>0.4</v>
      </c>
      <c r="G38" s="37">
        <v>10</v>
      </c>
      <c r="H38" s="62">
        <v>4</v>
      </c>
      <c r="I38" s="62">
        <v>4.21</v>
      </c>
      <c r="J38" s="37">
        <v>132</v>
      </c>
      <c r="K38" s="37" t="s">
        <v>118</v>
      </c>
      <c r="L38" s="37" t="s">
        <v>119</v>
      </c>
      <c r="M38" s="38" t="s">
        <v>117</v>
      </c>
      <c r="N38" s="38"/>
      <c r="O38" s="37">
        <v>50</v>
      </c>
      <c r="P38" s="9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0"/>
      <c r="R38" s="680"/>
      <c r="S38" s="680"/>
      <c r="T38" s="681"/>
      <c r="U38" s="39" t="s">
        <v>45</v>
      </c>
      <c r="V38" s="39" t="s">
        <v>45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2" t="s">
        <v>112</v>
      </c>
      <c r="AG38" s="78"/>
      <c r="AJ38" s="84" t="s">
        <v>120</v>
      </c>
      <c r="AK38" s="84">
        <v>48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121</v>
      </c>
      <c r="B39" s="63" t="s">
        <v>122</v>
      </c>
      <c r="C39" s="36">
        <v>4301011565</v>
      </c>
      <c r="D39" s="678">
        <v>4680115882539</v>
      </c>
      <c r="E39" s="678"/>
      <c r="F39" s="62">
        <v>0.37</v>
      </c>
      <c r="G39" s="37">
        <v>10</v>
      </c>
      <c r="H39" s="62">
        <v>3.7</v>
      </c>
      <c r="I39" s="62">
        <v>3.91</v>
      </c>
      <c r="J39" s="37">
        <v>132</v>
      </c>
      <c r="K39" s="37" t="s">
        <v>118</v>
      </c>
      <c r="L39" s="37" t="s">
        <v>45</v>
      </c>
      <c r="M39" s="38" t="s">
        <v>117</v>
      </c>
      <c r="N39" s="38"/>
      <c r="O39" s="37">
        <v>50</v>
      </c>
      <c r="P39" s="9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0"/>
      <c r="R39" s="680"/>
      <c r="S39" s="680"/>
      <c r="T39" s="681"/>
      <c r="U39" s="39" t="s">
        <v>45</v>
      </c>
      <c r="V39" s="39" t="s">
        <v>45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IFERROR(IF(Y39=0,"",ROUNDUP(Y39/H39,0)*0.00902),"")</f>
        <v/>
      </c>
      <c r="AA39" s="68" t="s">
        <v>45</v>
      </c>
      <c r="AB39" s="69" t="s">
        <v>45</v>
      </c>
      <c r="AC39" s="104" t="s">
        <v>112</v>
      </c>
      <c r="AG39" s="78"/>
      <c r="AJ39" s="84" t="s">
        <v>45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123</v>
      </c>
      <c r="B40" s="63" t="s">
        <v>124</v>
      </c>
      <c r="C40" s="36">
        <v>4301011624</v>
      </c>
      <c r="D40" s="678">
        <v>4680115883949</v>
      </c>
      <c r="E40" s="678"/>
      <c r="F40" s="62">
        <v>0.37</v>
      </c>
      <c r="G40" s="37">
        <v>10</v>
      </c>
      <c r="H40" s="62">
        <v>3.7</v>
      </c>
      <c r="I40" s="62">
        <v>3.91</v>
      </c>
      <c r="J40" s="37">
        <v>132</v>
      </c>
      <c r="K40" s="37" t="s">
        <v>118</v>
      </c>
      <c r="L40" s="37" t="s">
        <v>45</v>
      </c>
      <c r="M40" s="38" t="s">
        <v>113</v>
      </c>
      <c r="N40" s="38"/>
      <c r="O40" s="37">
        <v>50</v>
      </c>
      <c r="P40" s="97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0"/>
      <c r="R40" s="680"/>
      <c r="S40" s="680"/>
      <c r="T40" s="681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6" t="s">
        <v>125</v>
      </c>
      <c r="AG40" s="78"/>
      <c r="AJ40" s="84" t="s">
        <v>45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85"/>
      <c r="B41" s="685"/>
      <c r="C41" s="685"/>
      <c r="D41" s="685"/>
      <c r="E41" s="685"/>
      <c r="F41" s="685"/>
      <c r="G41" s="685"/>
      <c r="H41" s="685"/>
      <c r="I41" s="685"/>
      <c r="J41" s="685"/>
      <c r="K41" s="685"/>
      <c r="L41" s="685"/>
      <c r="M41" s="685"/>
      <c r="N41" s="685"/>
      <c r="O41" s="686"/>
      <c r="P41" s="682" t="s">
        <v>40</v>
      </c>
      <c r="Q41" s="683"/>
      <c r="R41" s="683"/>
      <c r="S41" s="683"/>
      <c r="T41" s="683"/>
      <c r="U41" s="683"/>
      <c r="V41" s="684"/>
      <c r="W41" s="42" t="s">
        <v>39</v>
      </c>
      <c r="X41" s="43">
        <f>IFERROR(X37/H37,"0")+IFERROR(X38/H38,"0")+IFERROR(X39/H39,"0")+IFERROR(X40/H40,"0")</f>
        <v>0</v>
      </c>
      <c r="Y41" s="43">
        <f>IFERROR(Y37/H37,"0")+IFERROR(Y38/H38,"0")+IFERROR(Y39/H39,"0")+IFERROR(Y40/H40,"0")</f>
        <v>0</v>
      </c>
      <c r="Z41" s="43">
        <f>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685"/>
      <c r="B42" s="685"/>
      <c r="C42" s="685"/>
      <c r="D42" s="685"/>
      <c r="E42" s="685"/>
      <c r="F42" s="685"/>
      <c r="G42" s="685"/>
      <c r="H42" s="685"/>
      <c r="I42" s="685"/>
      <c r="J42" s="685"/>
      <c r="K42" s="685"/>
      <c r="L42" s="685"/>
      <c r="M42" s="685"/>
      <c r="N42" s="685"/>
      <c r="O42" s="686"/>
      <c r="P42" s="682" t="s">
        <v>40</v>
      </c>
      <c r="Q42" s="683"/>
      <c r="R42" s="683"/>
      <c r="S42" s="683"/>
      <c r="T42" s="683"/>
      <c r="U42" s="683"/>
      <c r="V42" s="684"/>
      <c r="W42" s="42" t="s">
        <v>0</v>
      </c>
      <c r="X42" s="43">
        <f>IFERROR(SUM(X37:X40),"0")</f>
        <v>0</v>
      </c>
      <c r="Y42" s="43">
        <f>IFERROR(SUM(Y37:Y40),"0")</f>
        <v>0</v>
      </c>
      <c r="Z42" s="42"/>
      <c r="AA42" s="67"/>
      <c r="AB42" s="67"/>
      <c r="AC42" s="67"/>
    </row>
    <row r="43" spans="1:68" ht="14.25" customHeight="1" x14ac:dyDescent="0.25">
      <c r="A43" s="677" t="s">
        <v>78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"/>
      <c r="AB43" s="66"/>
      <c r="AC43" s="80"/>
    </row>
    <row r="44" spans="1:68" ht="16.5" customHeight="1" x14ac:dyDescent="0.25">
      <c r="A44" s="63" t="s">
        <v>126</v>
      </c>
      <c r="B44" s="63" t="s">
        <v>127</v>
      </c>
      <c r="C44" s="36">
        <v>4301051820</v>
      </c>
      <c r="D44" s="678">
        <v>4680115884915</v>
      </c>
      <c r="E44" s="678"/>
      <c r="F44" s="62">
        <v>0.3</v>
      </c>
      <c r="G44" s="37">
        <v>6</v>
      </c>
      <c r="H44" s="62">
        <v>1.8</v>
      </c>
      <c r="I44" s="62">
        <v>1.98</v>
      </c>
      <c r="J44" s="37">
        <v>182</v>
      </c>
      <c r="K44" s="37" t="s">
        <v>83</v>
      </c>
      <c r="L44" s="37" t="s">
        <v>45</v>
      </c>
      <c r="M44" s="38" t="s">
        <v>117</v>
      </c>
      <c r="N44" s="38"/>
      <c r="O44" s="37">
        <v>40</v>
      </c>
      <c r="P44" s="9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0"/>
      <c r="R44" s="680"/>
      <c r="S44" s="680"/>
      <c r="T44" s="681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45</v>
      </c>
      <c r="AB44" s="69" t="s">
        <v>45</v>
      </c>
      <c r="AC44" s="108" t="s">
        <v>128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685"/>
      <c r="B45" s="685"/>
      <c r="C45" s="685"/>
      <c r="D45" s="685"/>
      <c r="E45" s="685"/>
      <c r="F45" s="685"/>
      <c r="G45" s="685"/>
      <c r="H45" s="685"/>
      <c r="I45" s="685"/>
      <c r="J45" s="685"/>
      <c r="K45" s="685"/>
      <c r="L45" s="685"/>
      <c r="M45" s="685"/>
      <c r="N45" s="685"/>
      <c r="O45" s="686"/>
      <c r="P45" s="682" t="s">
        <v>40</v>
      </c>
      <c r="Q45" s="683"/>
      <c r="R45" s="683"/>
      <c r="S45" s="683"/>
      <c r="T45" s="683"/>
      <c r="U45" s="683"/>
      <c r="V45" s="684"/>
      <c r="W45" s="42" t="s">
        <v>39</v>
      </c>
      <c r="X45" s="43">
        <f>IFERROR(X44/H44,"0")</f>
        <v>0</v>
      </c>
      <c r="Y45" s="43">
        <f>IFERROR(Y44/H44,"0")</f>
        <v>0</v>
      </c>
      <c r="Z45" s="43">
        <f>IFERROR(IF(Z44="",0,Z44),"0")</f>
        <v>0</v>
      </c>
      <c r="AA45" s="67"/>
      <c r="AB45" s="67"/>
      <c r="AC45" s="67"/>
    </row>
    <row r="46" spans="1:68" x14ac:dyDescent="0.2">
      <c r="A46" s="685"/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6"/>
      <c r="P46" s="682" t="s">
        <v>40</v>
      </c>
      <c r="Q46" s="683"/>
      <c r="R46" s="683"/>
      <c r="S46" s="683"/>
      <c r="T46" s="683"/>
      <c r="U46" s="683"/>
      <c r="V46" s="684"/>
      <c r="W46" s="42" t="s">
        <v>0</v>
      </c>
      <c r="X46" s="43">
        <f>IFERROR(SUM(X44:X44),"0")</f>
        <v>0</v>
      </c>
      <c r="Y46" s="43">
        <f>IFERROR(SUM(Y44:Y44),"0")</f>
        <v>0</v>
      </c>
      <c r="Z46" s="42"/>
      <c r="AA46" s="67"/>
      <c r="AB46" s="67"/>
      <c r="AC46" s="67"/>
    </row>
    <row r="47" spans="1:68" ht="16.5" customHeight="1" x14ac:dyDescent="0.25">
      <c r="A47" s="699" t="s">
        <v>129</v>
      </c>
      <c r="B47" s="699"/>
      <c r="C47" s="699"/>
      <c r="D47" s="699"/>
      <c r="E47" s="699"/>
      <c r="F47" s="699"/>
      <c r="G47" s="699"/>
      <c r="H47" s="699"/>
      <c r="I47" s="699"/>
      <c r="J47" s="699"/>
      <c r="K47" s="699"/>
      <c r="L47" s="699"/>
      <c r="M47" s="699"/>
      <c r="N47" s="699"/>
      <c r="O47" s="699"/>
      <c r="P47" s="699"/>
      <c r="Q47" s="699"/>
      <c r="R47" s="699"/>
      <c r="S47" s="699"/>
      <c r="T47" s="699"/>
      <c r="U47" s="699"/>
      <c r="V47" s="699"/>
      <c r="W47" s="699"/>
      <c r="X47" s="699"/>
      <c r="Y47" s="699"/>
      <c r="Z47" s="699"/>
      <c r="AA47" s="65"/>
      <c r="AB47" s="65"/>
      <c r="AC47" s="79"/>
    </row>
    <row r="48" spans="1:68" ht="14.25" customHeight="1" x14ac:dyDescent="0.25">
      <c r="A48" s="677" t="s">
        <v>109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"/>
      <c r="AB48" s="66"/>
      <c r="AC48" s="80"/>
    </row>
    <row r="49" spans="1:68" ht="27" customHeight="1" x14ac:dyDescent="0.25">
      <c r="A49" s="63" t="s">
        <v>130</v>
      </c>
      <c r="B49" s="63" t="s">
        <v>131</v>
      </c>
      <c r="C49" s="36">
        <v>4301012030</v>
      </c>
      <c r="D49" s="678">
        <v>4680115885882</v>
      </c>
      <c r="E49" s="678"/>
      <c r="F49" s="62">
        <v>1.4</v>
      </c>
      <c r="G49" s="37">
        <v>8</v>
      </c>
      <c r="H49" s="62">
        <v>11.2</v>
      </c>
      <c r="I49" s="62">
        <v>11.635</v>
      </c>
      <c r="J49" s="37">
        <v>64</v>
      </c>
      <c r="K49" s="37" t="s">
        <v>114</v>
      </c>
      <c r="L49" s="37" t="s">
        <v>45</v>
      </c>
      <c r="M49" s="38" t="s">
        <v>117</v>
      </c>
      <c r="N49" s="38"/>
      <c r="O49" s="37">
        <v>50</v>
      </c>
      <c r="P49" s="96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0"/>
      <c r="R49" s="680"/>
      <c r="S49" s="680"/>
      <c r="T49" s="681"/>
      <c r="U49" s="39" t="s">
        <v>45</v>
      </c>
      <c r="V49" s="39" t="s">
        <v>45</v>
      </c>
      <c r="W49" s="40" t="s">
        <v>0</v>
      </c>
      <c r="X49" s="58">
        <v>0</v>
      </c>
      <c r="Y49" s="55">
        <f t="shared" ref="Y49:Y54" si="6">IFERROR(IF(X49="",0,CEILING((X49/$H49),1)*$H49),"")</f>
        <v>0</v>
      </c>
      <c r="Z49" s="41" t="str">
        <f>IFERROR(IF(Y49=0,"",ROUNDUP(Y49/H49,0)*0.01898),"")</f>
        <v/>
      </c>
      <c r="AA49" s="68" t="s">
        <v>45</v>
      </c>
      <c r="AB49" s="69" t="s">
        <v>45</v>
      </c>
      <c r="AC49" s="110" t="s">
        <v>132</v>
      </c>
      <c r="AG49" s="78"/>
      <c r="AJ49" s="84" t="s">
        <v>45</v>
      </c>
      <c r="AK49" s="84">
        <v>0</v>
      </c>
      <c r="BB49" s="111" t="s">
        <v>66</v>
      </c>
      <c r="BM49" s="78">
        <f t="shared" ref="BM49:BM54" si="7">IFERROR(X49*I49/H49,"0")</f>
        <v>0</v>
      </c>
      <c r="BN49" s="78">
        <f t="shared" ref="BN49:BN54" si="8">IFERROR(Y49*I49/H49,"0")</f>
        <v>0</v>
      </c>
      <c r="BO49" s="78">
        <f t="shared" ref="BO49:BO54" si="9">IFERROR(1/J49*(X49/H49),"0")</f>
        <v>0</v>
      </c>
      <c r="BP49" s="78">
        <f t="shared" ref="BP49:BP54" si="10"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4301011816</v>
      </c>
      <c r="D50" s="678">
        <v>4680115881426</v>
      </c>
      <c r="E50" s="678"/>
      <c r="F50" s="62">
        <v>1.35</v>
      </c>
      <c r="G50" s="37">
        <v>8</v>
      </c>
      <c r="H50" s="62">
        <v>10.8</v>
      </c>
      <c r="I50" s="62">
        <v>11.234999999999999</v>
      </c>
      <c r="J50" s="37">
        <v>64</v>
      </c>
      <c r="K50" s="37" t="s">
        <v>114</v>
      </c>
      <c r="L50" s="37" t="s">
        <v>136</v>
      </c>
      <c r="M50" s="38" t="s">
        <v>113</v>
      </c>
      <c r="N50" s="38"/>
      <c r="O50" s="37">
        <v>50</v>
      </c>
      <c r="P50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0"/>
      <c r="R50" s="680"/>
      <c r="S50" s="680"/>
      <c r="T50" s="681"/>
      <c r="U50" s="39" t="s">
        <v>45</v>
      </c>
      <c r="V50" s="39" t="s">
        <v>45</v>
      </c>
      <c r="W50" s="40" t="s">
        <v>0</v>
      </c>
      <c r="X50" s="58">
        <v>0</v>
      </c>
      <c r="Y50" s="55">
        <f t="shared" si="6"/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135</v>
      </c>
      <c r="AG50" s="78"/>
      <c r="AJ50" s="84" t="s">
        <v>137</v>
      </c>
      <c r="AK50" s="84">
        <v>691.2</v>
      </c>
      <c r="BB50" s="113" t="s">
        <v>66</v>
      </c>
      <c r="BM50" s="78">
        <f t="shared" si="7"/>
        <v>0</v>
      </c>
      <c r="BN50" s="78">
        <f t="shared" si="8"/>
        <v>0</v>
      </c>
      <c r="BO50" s="78">
        <f t="shared" si="9"/>
        <v>0</v>
      </c>
      <c r="BP50" s="78">
        <f t="shared" si="10"/>
        <v>0</v>
      </c>
    </row>
    <row r="51" spans="1:68" ht="27" customHeight="1" x14ac:dyDescent="0.25">
      <c r="A51" s="63" t="s">
        <v>138</v>
      </c>
      <c r="B51" s="63" t="s">
        <v>139</v>
      </c>
      <c r="C51" s="36">
        <v>4301011386</v>
      </c>
      <c r="D51" s="678">
        <v>4680115880283</v>
      </c>
      <c r="E51" s="678"/>
      <c r="F51" s="62">
        <v>0.6</v>
      </c>
      <c r="G51" s="37">
        <v>8</v>
      </c>
      <c r="H51" s="62">
        <v>4.8</v>
      </c>
      <c r="I51" s="62">
        <v>5.01</v>
      </c>
      <c r="J51" s="37">
        <v>132</v>
      </c>
      <c r="K51" s="37" t="s">
        <v>118</v>
      </c>
      <c r="L51" s="37" t="s">
        <v>45</v>
      </c>
      <c r="M51" s="38" t="s">
        <v>113</v>
      </c>
      <c r="N51" s="38"/>
      <c r="O51" s="37">
        <v>45</v>
      </c>
      <c r="P51" s="9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0"/>
      <c r="R51" s="680"/>
      <c r="S51" s="680"/>
      <c r="T51" s="681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si="6"/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140</v>
      </c>
      <c r="AG51" s="78"/>
      <c r="AJ51" s="84" t="s">
        <v>45</v>
      </c>
      <c r="AK51" s="84">
        <v>0</v>
      </c>
      <c r="BB51" s="115" t="s">
        <v>66</v>
      </c>
      <c r="BM51" s="78">
        <f t="shared" si="7"/>
        <v>0</v>
      </c>
      <c r="BN51" s="78">
        <f t="shared" si="8"/>
        <v>0</v>
      </c>
      <c r="BO51" s="78">
        <f t="shared" si="9"/>
        <v>0</v>
      </c>
      <c r="BP51" s="78">
        <f t="shared" si="10"/>
        <v>0</v>
      </c>
    </row>
    <row r="52" spans="1:68" ht="16.5" customHeight="1" x14ac:dyDescent="0.25">
      <c r="A52" s="63" t="s">
        <v>141</v>
      </c>
      <c r="B52" s="63" t="s">
        <v>142</v>
      </c>
      <c r="C52" s="36">
        <v>4301011806</v>
      </c>
      <c r="D52" s="678">
        <v>4680115881525</v>
      </c>
      <c r="E52" s="678"/>
      <c r="F52" s="62">
        <v>0.4</v>
      </c>
      <c r="G52" s="37">
        <v>10</v>
      </c>
      <c r="H52" s="62">
        <v>4</v>
      </c>
      <c r="I52" s="62">
        <v>4.21</v>
      </c>
      <c r="J52" s="37">
        <v>132</v>
      </c>
      <c r="K52" s="37" t="s">
        <v>118</v>
      </c>
      <c r="L52" s="37" t="s">
        <v>45</v>
      </c>
      <c r="M52" s="38" t="s">
        <v>113</v>
      </c>
      <c r="N52" s="38"/>
      <c r="O52" s="37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0"/>
      <c r="R52" s="680"/>
      <c r="S52" s="680"/>
      <c r="T52" s="68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6"/>
        <v>0</v>
      </c>
      <c r="Z52" s="41" t="str">
        <f>IFERROR(IF(Y52=0,"",ROUNDUP(Y52/H52,0)*0.00902),"")</f>
        <v/>
      </c>
      <c r="AA52" s="68" t="s">
        <v>45</v>
      </c>
      <c r="AB52" s="69" t="s">
        <v>45</v>
      </c>
      <c r="AC52" s="116" t="s">
        <v>135</v>
      </c>
      <c r="AG52" s="78"/>
      <c r="AJ52" s="84" t="s">
        <v>45</v>
      </c>
      <c r="AK52" s="84">
        <v>0</v>
      </c>
      <c r="BB52" s="117" t="s">
        <v>66</v>
      </c>
      <c r="BM52" s="78">
        <f t="shared" si="7"/>
        <v>0</v>
      </c>
      <c r="BN52" s="78">
        <f t="shared" si="8"/>
        <v>0</v>
      </c>
      <c r="BO52" s="78">
        <f t="shared" si="9"/>
        <v>0</v>
      </c>
      <c r="BP52" s="78">
        <f t="shared" si="10"/>
        <v>0</v>
      </c>
    </row>
    <row r="53" spans="1:68" ht="27" customHeight="1" x14ac:dyDescent="0.25">
      <c r="A53" s="63" t="s">
        <v>143</v>
      </c>
      <c r="B53" s="63" t="s">
        <v>144</v>
      </c>
      <c r="C53" s="36">
        <v>4301011589</v>
      </c>
      <c r="D53" s="678">
        <v>4680115885899</v>
      </c>
      <c r="E53" s="678"/>
      <c r="F53" s="62">
        <v>0.35</v>
      </c>
      <c r="G53" s="37">
        <v>6</v>
      </c>
      <c r="H53" s="62">
        <v>2.1</v>
      </c>
      <c r="I53" s="62">
        <v>2.2799999999999998</v>
      </c>
      <c r="J53" s="37">
        <v>182</v>
      </c>
      <c r="K53" s="37" t="s">
        <v>83</v>
      </c>
      <c r="L53" s="37" t="s">
        <v>45</v>
      </c>
      <c r="M53" s="38" t="s">
        <v>146</v>
      </c>
      <c r="N53" s="38"/>
      <c r="O53" s="37">
        <v>50</v>
      </c>
      <c r="P53" s="9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0"/>
      <c r="R53" s="680"/>
      <c r="S53" s="680"/>
      <c r="T53" s="68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6"/>
        <v>0</v>
      </c>
      <c r="Z53" s="41" t="str">
        <f>IFERROR(IF(Y53=0,"",ROUNDUP(Y53/H53,0)*0.00651),"")</f>
        <v/>
      </c>
      <c r="AA53" s="68" t="s">
        <v>45</v>
      </c>
      <c r="AB53" s="69" t="s">
        <v>45</v>
      </c>
      <c r="AC53" s="118" t="s">
        <v>145</v>
      </c>
      <c r="AG53" s="78"/>
      <c r="AJ53" s="84" t="s">
        <v>45</v>
      </c>
      <c r="AK53" s="84">
        <v>0</v>
      </c>
      <c r="BB53" s="119" t="s">
        <v>66</v>
      </c>
      <c r="BM53" s="78">
        <f t="shared" si="7"/>
        <v>0</v>
      </c>
      <c r="BN53" s="78">
        <f t="shared" si="8"/>
        <v>0</v>
      </c>
      <c r="BO53" s="78">
        <f t="shared" si="9"/>
        <v>0</v>
      </c>
      <c r="BP53" s="78">
        <f t="shared" si="10"/>
        <v>0</v>
      </c>
    </row>
    <row r="54" spans="1:68" ht="27" customHeight="1" x14ac:dyDescent="0.25">
      <c r="A54" s="63" t="s">
        <v>147</v>
      </c>
      <c r="B54" s="63" t="s">
        <v>148</v>
      </c>
      <c r="C54" s="36">
        <v>4301011801</v>
      </c>
      <c r="D54" s="678">
        <v>4680115881419</v>
      </c>
      <c r="E54" s="678"/>
      <c r="F54" s="62">
        <v>0.45</v>
      </c>
      <c r="G54" s="37">
        <v>10</v>
      </c>
      <c r="H54" s="62">
        <v>4.5</v>
      </c>
      <c r="I54" s="62">
        <v>4.71</v>
      </c>
      <c r="J54" s="37">
        <v>132</v>
      </c>
      <c r="K54" s="37" t="s">
        <v>118</v>
      </c>
      <c r="L54" s="37" t="s">
        <v>136</v>
      </c>
      <c r="M54" s="38" t="s">
        <v>113</v>
      </c>
      <c r="N54" s="38"/>
      <c r="O54" s="37">
        <v>50</v>
      </c>
      <c r="P54" s="97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0"/>
      <c r="R54" s="680"/>
      <c r="S54" s="680"/>
      <c r="T54" s="68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20" t="s">
        <v>135</v>
      </c>
      <c r="AG54" s="78"/>
      <c r="AJ54" s="84" t="s">
        <v>137</v>
      </c>
      <c r="AK54" s="84">
        <v>594</v>
      </c>
      <c r="BB54" s="121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x14ac:dyDescent="0.2">
      <c r="A55" s="68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6"/>
      <c r="P55" s="682" t="s">
        <v>40</v>
      </c>
      <c r="Q55" s="683"/>
      <c r="R55" s="683"/>
      <c r="S55" s="683"/>
      <c r="T55" s="683"/>
      <c r="U55" s="683"/>
      <c r="V55" s="684"/>
      <c r="W55" s="42" t="s">
        <v>39</v>
      </c>
      <c r="X55" s="43">
        <f>IFERROR(X49/H49,"0")+IFERROR(X50/H50,"0")+IFERROR(X51/H51,"0")+IFERROR(X52/H52,"0")+IFERROR(X53/H53,"0")+IFERROR(X54/H54,"0")</f>
        <v>0</v>
      </c>
      <c r="Y55" s="43">
        <f>IFERROR(Y49/H49,"0")+IFERROR(Y50/H50,"0")+IFERROR(Y51/H51,"0")+IFERROR(Y52/H52,"0")+IFERROR(Y53/H53,"0")+IFERROR(Y54/H54,"0")</f>
        <v>0</v>
      </c>
      <c r="Z55" s="43">
        <f>IFERROR(IF(Z49="",0,Z49),"0")+IFERROR(IF(Z50="",0,Z50),"0")+IFERROR(IF(Z51="",0,Z51),"0")+IFERROR(IF(Z52="",0,Z52),"0")+IFERROR(IF(Z53="",0,Z53),"0")+IFERROR(IF(Z54="",0,Z54),"0")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6"/>
      <c r="P56" s="682" t="s">
        <v>40</v>
      </c>
      <c r="Q56" s="683"/>
      <c r="R56" s="683"/>
      <c r="S56" s="683"/>
      <c r="T56" s="683"/>
      <c r="U56" s="683"/>
      <c r="V56" s="684"/>
      <c r="W56" s="42" t="s">
        <v>0</v>
      </c>
      <c r="X56" s="43">
        <f>IFERROR(SUM(X49:X54),"0")</f>
        <v>0</v>
      </c>
      <c r="Y56" s="43">
        <f>IFERROR(SUM(Y49:Y54),"0")</f>
        <v>0</v>
      </c>
      <c r="Z56" s="42"/>
      <c r="AA56" s="67"/>
      <c r="AB56" s="67"/>
      <c r="AC56" s="67"/>
    </row>
    <row r="57" spans="1:68" ht="14.25" customHeight="1" x14ac:dyDescent="0.25">
      <c r="A57" s="677" t="s">
        <v>149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"/>
      <c r="AB57" s="66"/>
      <c r="AC57" s="80"/>
    </row>
    <row r="58" spans="1:68" ht="16.5" customHeight="1" x14ac:dyDescent="0.25">
      <c r="A58" s="63" t="s">
        <v>150</v>
      </c>
      <c r="B58" s="63" t="s">
        <v>151</v>
      </c>
      <c r="C58" s="36">
        <v>4301020298</v>
      </c>
      <c r="D58" s="678">
        <v>4680115881440</v>
      </c>
      <c r="E58" s="678"/>
      <c r="F58" s="62">
        <v>1.35</v>
      </c>
      <c r="G58" s="37">
        <v>8</v>
      </c>
      <c r="H58" s="62">
        <v>10.8</v>
      </c>
      <c r="I58" s="62">
        <v>11.234999999999999</v>
      </c>
      <c r="J58" s="37">
        <v>64</v>
      </c>
      <c r="K58" s="37" t="s">
        <v>114</v>
      </c>
      <c r="L58" s="37" t="s">
        <v>45</v>
      </c>
      <c r="M58" s="38" t="s">
        <v>113</v>
      </c>
      <c r="N58" s="38"/>
      <c r="O58" s="37">
        <v>50</v>
      </c>
      <c r="P58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0"/>
      <c r="R58" s="680"/>
      <c r="S58" s="680"/>
      <c r="T58" s="681"/>
      <c r="U58" s="39" t="s">
        <v>45</v>
      </c>
      <c r="V58" s="39" t="s">
        <v>45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IFERROR(IF(Y58=0,"",ROUNDUP(Y58/H58,0)*0.01898),"")</f>
        <v/>
      </c>
      <c r="AA58" s="68" t="s">
        <v>45</v>
      </c>
      <c r="AB58" s="69" t="s">
        <v>45</v>
      </c>
      <c r="AC58" s="122" t="s">
        <v>152</v>
      </c>
      <c r="AG58" s="78"/>
      <c r="AJ58" s="84" t="s">
        <v>45</v>
      </c>
      <c r="AK58" s="84">
        <v>0</v>
      </c>
      <c r="BB58" s="123" t="s">
        <v>66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ht="27" customHeight="1" x14ac:dyDescent="0.25">
      <c r="A59" s="63" t="s">
        <v>153</v>
      </c>
      <c r="B59" s="63" t="s">
        <v>154</v>
      </c>
      <c r="C59" s="36">
        <v>4301020228</v>
      </c>
      <c r="D59" s="678">
        <v>4680115882751</v>
      </c>
      <c r="E59" s="678"/>
      <c r="F59" s="62">
        <v>0.45</v>
      </c>
      <c r="G59" s="37">
        <v>10</v>
      </c>
      <c r="H59" s="62">
        <v>4.5</v>
      </c>
      <c r="I59" s="62">
        <v>4.71</v>
      </c>
      <c r="J59" s="37">
        <v>132</v>
      </c>
      <c r="K59" s="37" t="s">
        <v>118</v>
      </c>
      <c r="L59" s="37" t="s">
        <v>45</v>
      </c>
      <c r="M59" s="38" t="s">
        <v>113</v>
      </c>
      <c r="N59" s="38"/>
      <c r="O59" s="37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0"/>
      <c r="R59" s="680"/>
      <c r="S59" s="680"/>
      <c r="T59" s="681"/>
      <c r="U59" s="39" t="s">
        <v>45</v>
      </c>
      <c r="V59" s="39" t="s">
        <v>45</v>
      </c>
      <c r="W59" s="40" t="s">
        <v>0</v>
      </c>
      <c r="X59" s="58">
        <v>0</v>
      </c>
      <c r="Y59" s="55">
        <f>IFERROR(IF(X59="",0,CEILING((X59/$H59),1)*$H59),"")</f>
        <v>0</v>
      </c>
      <c r="Z59" s="41" t="str">
        <f>IFERROR(IF(Y59=0,"",ROUNDUP(Y59/H59,0)*0.00902),"")</f>
        <v/>
      </c>
      <c r="AA59" s="68" t="s">
        <v>45</v>
      </c>
      <c r="AB59" s="69" t="s">
        <v>45</v>
      </c>
      <c r="AC59" s="124" t="s">
        <v>155</v>
      </c>
      <c r="AG59" s="78"/>
      <c r="AJ59" s="84" t="s">
        <v>45</v>
      </c>
      <c r="AK59" s="84">
        <v>0</v>
      </c>
      <c r="BB59" s="125" t="s">
        <v>66</v>
      </c>
      <c r="BM59" s="78">
        <f>IFERROR(X59*I59/H59,"0")</f>
        <v>0</v>
      </c>
      <c r="BN59" s="78">
        <f>IFERROR(Y59*I59/H59,"0")</f>
        <v>0</v>
      </c>
      <c r="BO59" s="78">
        <f>IFERROR(1/J59*(X59/H59),"0")</f>
        <v>0</v>
      </c>
      <c r="BP59" s="78">
        <f>IFERROR(1/J59*(Y59/H59),"0")</f>
        <v>0</v>
      </c>
    </row>
    <row r="60" spans="1:68" ht="16.5" customHeight="1" x14ac:dyDescent="0.25">
      <c r="A60" s="63" t="s">
        <v>156</v>
      </c>
      <c r="B60" s="63" t="s">
        <v>157</v>
      </c>
      <c r="C60" s="36">
        <v>4301020358</v>
      </c>
      <c r="D60" s="678">
        <v>4680115885950</v>
      </c>
      <c r="E60" s="678"/>
      <c r="F60" s="62">
        <v>0.37</v>
      </c>
      <c r="G60" s="37">
        <v>6</v>
      </c>
      <c r="H60" s="62">
        <v>2.2200000000000002</v>
      </c>
      <c r="I60" s="62">
        <v>2.4</v>
      </c>
      <c r="J60" s="37">
        <v>182</v>
      </c>
      <c r="K60" s="37" t="s">
        <v>83</v>
      </c>
      <c r="L60" s="37" t="s">
        <v>45</v>
      </c>
      <c r="M60" s="38" t="s">
        <v>117</v>
      </c>
      <c r="N60" s="38"/>
      <c r="O60" s="37">
        <v>50</v>
      </c>
      <c r="P60" s="9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0"/>
      <c r="R60" s="680"/>
      <c r="S60" s="680"/>
      <c r="T60" s="681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IFERROR(IF(Y60=0,"",ROUNDUP(Y60/H60,0)*0.00651),"")</f>
        <v/>
      </c>
      <c r="AA60" s="68" t="s">
        <v>45</v>
      </c>
      <c r="AB60" s="69" t="s">
        <v>45</v>
      </c>
      <c r="AC60" s="126" t="s">
        <v>152</v>
      </c>
      <c r="AG60" s="78"/>
      <c r="AJ60" s="84" t="s">
        <v>45</v>
      </c>
      <c r="AK60" s="84">
        <v>0</v>
      </c>
      <c r="BB60" s="127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27" customHeight="1" x14ac:dyDescent="0.25">
      <c r="A61" s="63" t="s">
        <v>158</v>
      </c>
      <c r="B61" s="63" t="s">
        <v>159</v>
      </c>
      <c r="C61" s="36">
        <v>4301020296</v>
      </c>
      <c r="D61" s="678">
        <v>4680115881433</v>
      </c>
      <c r="E61" s="678"/>
      <c r="F61" s="62">
        <v>0.45</v>
      </c>
      <c r="G61" s="37">
        <v>6</v>
      </c>
      <c r="H61" s="62">
        <v>2.7</v>
      </c>
      <c r="I61" s="62">
        <v>2.88</v>
      </c>
      <c r="J61" s="37">
        <v>182</v>
      </c>
      <c r="K61" s="37" t="s">
        <v>83</v>
      </c>
      <c r="L61" s="37" t="s">
        <v>136</v>
      </c>
      <c r="M61" s="38" t="s">
        <v>113</v>
      </c>
      <c r="N61" s="38"/>
      <c r="O61" s="37">
        <v>50</v>
      </c>
      <c r="P61" s="9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0"/>
      <c r="R61" s="680"/>
      <c r="S61" s="680"/>
      <c r="T61" s="68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8" t="s">
        <v>152</v>
      </c>
      <c r="AG61" s="78"/>
      <c r="AJ61" s="84" t="s">
        <v>137</v>
      </c>
      <c r="AK61" s="84">
        <v>491.4</v>
      </c>
      <c r="BB61" s="129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x14ac:dyDescent="0.2">
      <c r="A62" s="685"/>
      <c r="B62" s="685"/>
      <c r="C62" s="685"/>
      <c r="D62" s="685"/>
      <c r="E62" s="685"/>
      <c r="F62" s="685"/>
      <c r="G62" s="685"/>
      <c r="H62" s="685"/>
      <c r="I62" s="685"/>
      <c r="J62" s="685"/>
      <c r="K62" s="685"/>
      <c r="L62" s="685"/>
      <c r="M62" s="685"/>
      <c r="N62" s="685"/>
      <c r="O62" s="686"/>
      <c r="P62" s="682" t="s">
        <v>40</v>
      </c>
      <c r="Q62" s="683"/>
      <c r="R62" s="683"/>
      <c r="S62" s="683"/>
      <c r="T62" s="683"/>
      <c r="U62" s="683"/>
      <c r="V62" s="684"/>
      <c r="W62" s="42" t="s">
        <v>39</v>
      </c>
      <c r="X62" s="43">
        <f>IFERROR(X58/H58,"0")+IFERROR(X59/H59,"0")+IFERROR(X60/H60,"0")+IFERROR(X61/H61,"0")</f>
        <v>0</v>
      </c>
      <c r="Y62" s="43">
        <f>IFERROR(Y58/H58,"0")+IFERROR(Y59/H59,"0")+IFERROR(Y60/H60,"0")+IFERROR(Y61/H61,"0")</f>
        <v>0</v>
      </c>
      <c r="Z62" s="43">
        <f>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685"/>
      <c r="B63" s="685"/>
      <c r="C63" s="685"/>
      <c r="D63" s="685"/>
      <c r="E63" s="685"/>
      <c r="F63" s="685"/>
      <c r="G63" s="685"/>
      <c r="H63" s="685"/>
      <c r="I63" s="685"/>
      <c r="J63" s="685"/>
      <c r="K63" s="685"/>
      <c r="L63" s="685"/>
      <c r="M63" s="685"/>
      <c r="N63" s="685"/>
      <c r="O63" s="686"/>
      <c r="P63" s="682" t="s">
        <v>40</v>
      </c>
      <c r="Q63" s="683"/>
      <c r="R63" s="683"/>
      <c r="S63" s="683"/>
      <c r="T63" s="683"/>
      <c r="U63" s="683"/>
      <c r="V63" s="684"/>
      <c r="W63" s="42" t="s">
        <v>0</v>
      </c>
      <c r="X63" s="43">
        <f>IFERROR(SUM(X58:X61),"0")</f>
        <v>0</v>
      </c>
      <c r="Y63" s="43">
        <f>IFERROR(SUM(Y58:Y61),"0")</f>
        <v>0</v>
      </c>
      <c r="Z63" s="42"/>
      <c r="AA63" s="67"/>
      <c r="AB63" s="67"/>
      <c r="AC63" s="67"/>
    </row>
    <row r="64" spans="1:68" ht="14.25" customHeight="1" x14ac:dyDescent="0.25">
      <c r="A64" s="677" t="s">
        <v>160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"/>
      <c r="AB64" s="66"/>
      <c r="AC64" s="80"/>
    </row>
    <row r="65" spans="1:68" ht="27" customHeight="1" x14ac:dyDescent="0.25">
      <c r="A65" s="63" t="s">
        <v>161</v>
      </c>
      <c r="B65" s="63" t="s">
        <v>162</v>
      </c>
      <c r="C65" s="36">
        <v>4301031243</v>
      </c>
      <c r="D65" s="678">
        <v>4680115885073</v>
      </c>
      <c r="E65" s="678"/>
      <c r="F65" s="62">
        <v>0.3</v>
      </c>
      <c r="G65" s="37">
        <v>6</v>
      </c>
      <c r="H65" s="62">
        <v>1.8</v>
      </c>
      <c r="I65" s="62">
        <v>1.9</v>
      </c>
      <c r="J65" s="37">
        <v>234</v>
      </c>
      <c r="K65" s="37" t="s">
        <v>164</v>
      </c>
      <c r="L65" s="37" t="s">
        <v>45</v>
      </c>
      <c r="M65" s="38" t="s">
        <v>82</v>
      </c>
      <c r="N65" s="38"/>
      <c r="O65" s="37">
        <v>40</v>
      </c>
      <c r="P65" s="96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0"/>
      <c r="R65" s="680"/>
      <c r="S65" s="680"/>
      <c r="T65" s="681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IFERROR(IF(Y65=0,"",ROUNDUP(Y65/H65,0)*0.00502),"")</f>
        <v/>
      </c>
      <c r="AA65" s="68" t="s">
        <v>45</v>
      </c>
      <c r="AB65" s="69" t="s">
        <v>45</v>
      </c>
      <c r="AC65" s="130" t="s">
        <v>163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27" customHeight="1" x14ac:dyDescent="0.25">
      <c r="A66" s="63" t="s">
        <v>165</v>
      </c>
      <c r="B66" s="63" t="s">
        <v>166</v>
      </c>
      <c r="C66" s="36">
        <v>4301031241</v>
      </c>
      <c r="D66" s="678">
        <v>4680115885059</v>
      </c>
      <c r="E66" s="678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164</v>
      </c>
      <c r="L66" s="37" t="s">
        <v>45</v>
      </c>
      <c r="M66" s="38" t="s">
        <v>82</v>
      </c>
      <c r="N66" s="38"/>
      <c r="O66" s="37">
        <v>40</v>
      </c>
      <c r="P66" s="96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0"/>
      <c r="R66" s="680"/>
      <c r="S66" s="680"/>
      <c r="T66" s="681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32" t="s">
        <v>167</v>
      </c>
      <c r="AG66" s="78"/>
      <c r="AJ66" s="84" t="s">
        <v>45</v>
      </c>
      <c r="AK66" s="84">
        <v>0</v>
      </c>
      <c r="BB66" s="133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168</v>
      </c>
      <c r="B67" s="63" t="s">
        <v>169</v>
      </c>
      <c r="C67" s="36">
        <v>4301031316</v>
      </c>
      <c r="D67" s="678">
        <v>4680115885097</v>
      </c>
      <c r="E67" s="67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164</v>
      </c>
      <c r="L67" s="37" t="s">
        <v>45</v>
      </c>
      <c r="M67" s="38" t="s">
        <v>82</v>
      </c>
      <c r="N67" s="38"/>
      <c r="O67" s="37">
        <v>40</v>
      </c>
      <c r="P67" s="9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0"/>
      <c r="R67" s="680"/>
      <c r="S67" s="680"/>
      <c r="T67" s="68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34" t="s">
        <v>170</v>
      </c>
      <c r="AG67" s="78"/>
      <c r="AJ67" s="84" t="s">
        <v>45</v>
      </c>
      <c r="AK67" s="84">
        <v>0</v>
      </c>
      <c r="BB67" s="135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85"/>
      <c r="B68" s="685"/>
      <c r="C68" s="685"/>
      <c r="D68" s="685"/>
      <c r="E68" s="685"/>
      <c r="F68" s="685"/>
      <c r="G68" s="685"/>
      <c r="H68" s="685"/>
      <c r="I68" s="685"/>
      <c r="J68" s="685"/>
      <c r="K68" s="685"/>
      <c r="L68" s="685"/>
      <c r="M68" s="685"/>
      <c r="N68" s="685"/>
      <c r="O68" s="686"/>
      <c r="P68" s="682" t="s">
        <v>40</v>
      </c>
      <c r="Q68" s="683"/>
      <c r="R68" s="683"/>
      <c r="S68" s="683"/>
      <c r="T68" s="683"/>
      <c r="U68" s="683"/>
      <c r="V68" s="684"/>
      <c r="W68" s="42" t="s">
        <v>39</v>
      </c>
      <c r="X68" s="43">
        <f>IFERROR(X65/H65,"0")+IFERROR(X66/H66,"0")+IFERROR(X67/H67,"0")</f>
        <v>0</v>
      </c>
      <c r="Y68" s="43">
        <f>IFERROR(Y65/H65,"0")+IFERROR(Y66/H66,"0")+IFERROR(Y67/H67,"0")</f>
        <v>0</v>
      </c>
      <c r="Z68" s="43">
        <f>IFERROR(IF(Z65="",0,Z65),"0")+IFERROR(IF(Z66="",0,Z66),"0")+IFERROR(IF(Z67="",0,Z67),"0")</f>
        <v>0</v>
      </c>
      <c r="AA68" s="67"/>
      <c r="AB68" s="67"/>
      <c r="AC68" s="67"/>
    </row>
    <row r="69" spans="1:68" x14ac:dyDescent="0.2">
      <c r="A69" s="685"/>
      <c r="B69" s="685"/>
      <c r="C69" s="685"/>
      <c r="D69" s="685"/>
      <c r="E69" s="685"/>
      <c r="F69" s="685"/>
      <c r="G69" s="685"/>
      <c r="H69" s="685"/>
      <c r="I69" s="685"/>
      <c r="J69" s="685"/>
      <c r="K69" s="685"/>
      <c r="L69" s="685"/>
      <c r="M69" s="685"/>
      <c r="N69" s="685"/>
      <c r="O69" s="686"/>
      <c r="P69" s="682" t="s">
        <v>40</v>
      </c>
      <c r="Q69" s="683"/>
      <c r="R69" s="683"/>
      <c r="S69" s="683"/>
      <c r="T69" s="683"/>
      <c r="U69" s="683"/>
      <c r="V69" s="684"/>
      <c r="W69" s="42" t="s">
        <v>0</v>
      </c>
      <c r="X69" s="43">
        <f>IFERROR(SUM(X65:X67),"0")</f>
        <v>0</v>
      </c>
      <c r="Y69" s="43">
        <f>IFERROR(SUM(Y65:Y67),"0")</f>
        <v>0</v>
      </c>
      <c r="Z69" s="42"/>
      <c r="AA69" s="67"/>
      <c r="AB69" s="67"/>
      <c r="AC69" s="67"/>
    </row>
    <row r="70" spans="1:68" ht="14.25" customHeight="1" x14ac:dyDescent="0.25">
      <c r="A70" s="677" t="s">
        <v>78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"/>
      <c r="AB70" s="66"/>
      <c r="AC70" s="80"/>
    </row>
    <row r="71" spans="1:68" ht="16.5" customHeight="1" x14ac:dyDescent="0.25">
      <c r="A71" s="63" t="s">
        <v>171</v>
      </c>
      <c r="B71" s="63" t="s">
        <v>172</v>
      </c>
      <c r="C71" s="36">
        <v>4301051838</v>
      </c>
      <c r="D71" s="678">
        <v>4680115881891</v>
      </c>
      <c r="E71" s="678"/>
      <c r="F71" s="62">
        <v>1.4</v>
      </c>
      <c r="G71" s="37">
        <v>6</v>
      </c>
      <c r="H71" s="62">
        <v>8.4</v>
      </c>
      <c r="I71" s="62">
        <v>8.9190000000000005</v>
      </c>
      <c r="J71" s="37">
        <v>64</v>
      </c>
      <c r="K71" s="37" t="s">
        <v>114</v>
      </c>
      <c r="L71" s="37" t="s">
        <v>45</v>
      </c>
      <c r="M71" s="38" t="s">
        <v>117</v>
      </c>
      <c r="N71" s="38"/>
      <c r="O71" s="37">
        <v>40</v>
      </c>
      <c r="P71" s="95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0"/>
      <c r="R71" s="680"/>
      <c r="S71" s="680"/>
      <c r="T71" s="681"/>
      <c r="U71" s="39" t="s">
        <v>45</v>
      </c>
      <c r="V71" s="39" t="s">
        <v>45</v>
      </c>
      <c r="W71" s="40" t="s">
        <v>0</v>
      </c>
      <c r="X71" s="58">
        <v>0</v>
      </c>
      <c r="Y71" s="55">
        <f t="shared" ref="Y71:Y76" si="11"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6" t="s">
        <v>173</v>
      </c>
      <c r="AG71" s="78"/>
      <c r="AJ71" s="84" t="s">
        <v>45</v>
      </c>
      <c r="AK71" s="84">
        <v>0</v>
      </c>
      <c r="BB71" s="137" t="s">
        <v>66</v>
      </c>
      <c r="BM71" s="78">
        <f t="shared" ref="BM71:BM76" si="12">IFERROR(X71*I71/H71,"0")</f>
        <v>0</v>
      </c>
      <c r="BN71" s="78">
        <f t="shared" ref="BN71:BN76" si="13">IFERROR(Y71*I71/H71,"0")</f>
        <v>0</v>
      </c>
      <c r="BO71" s="78">
        <f t="shared" ref="BO71:BO76" si="14">IFERROR(1/J71*(X71/H71),"0")</f>
        <v>0</v>
      </c>
      <c r="BP71" s="78">
        <f t="shared" ref="BP71:BP76" si="15">IFERROR(1/J71*(Y71/H71),"0")</f>
        <v>0</v>
      </c>
    </row>
    <row r="72" spans="1:68" ht="27" customHeight="1" x14ac:dyDescent="0.25">
      <c r="A72" s="63" t="s">
        <v>174</v>
      </c>
      <c r="B72" s="63" t="s">
        <v>175</v>
      </c>
      <c r="C72" s="36">
        <v>4301051846</v>
      </c>
      <c r="D72" s="678">
        <v>4680115885769</v>
      </c>
      <c r="E72" s="678"/>
      <c r="F72" s="62">
        <v>1.4</v>
      </c>
      <c r="G72" s="37">
        <v>6</v>
      </c>
      <c r="H72" s="62">
        <v>8.4</v>
      </c>
      <c r="I72" s="62">
        <v>8.8350000000000009</v>
      </c>
      <c r="J72" s="37">
        <v>64</v>
      </c>
      <c r="K72" s="37" t="s">
        <v>114</v>
      </c>
      <c r="L72" s="37" t="s">
        <v>45</v>
      </c>
      <c r="M72" s="38" t="s">
        <v>117</v>
      </c>
      <c r="N72" s="38"/>
      <c r="O72" s="37">
        <v>45</v>
      </c>
      <c r="P72" s="9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0"/>
      <c r="R72" s="680"/>
      <c r="S72" s="680"/>
      <c r="T72" s="681"/>
      <c r="U72" s="39" t="s">
        <v>45</v>
      </c>
      <c r="V72" s="39" t="s">
        <v>45</v>
      </c>
      <c r="W72" s="40" t="s">
        <v>0</v>
      </c>
      <c r="X72" s="58">
        <v>0</v>
      </c>
      <c r="Y72" s="55">
        <f t="shared" si="11"/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8" t="s">
        <v>176</v>
      </c>
      <c r="AG72" s="78"/>
      <c r="AJ72" s="84" t="s">
        <v>45</v>
      </c>
      <c r="AK72" s="84">
        <v>0</v>
      </c>
      <c r="BB72" s="139" t="s">
        <v>66</v>
      </c>
      <c r="BM72" s="78">
        <f t="shared" si="12"/>
        <v>0</v>
      </c>
      <c r="BN72" s="78">
        <f t="shared" si="13"/>
        <v>0</v>
      </c>
      <c r="BO72" s="78">
        <f t="shared" si="14"/>
        <v>0</v>
      </c>
      <c r="BP72" s="78">
        <f t="shared" si="15"/>
        <v>0</v>
      </c>
    </row>
    <row r="73" spans="1:68" ht="37.5" customHeight="1" x14ac:dyDescent="0.25">
      <c r="A73" s="63" t="s">
        <v>177</v>
      </c>
      <c r="B73" s="63" t="s">
        <v>178</v>
      </c>
      <c r="C73" s="36">
        <v>4301051822</v>
      </c>
      <c r="D73" s="678">
        <v>4680115884410</v>
      </c>
      <c r="E73" s="678"/>
      <c r="F73" s="62">
        <v>1.4</v>
      </c>
      <c r="G73" s="37">
        <v>6</v>
      </c>
      <c r="H73" s="62">
        <v>8.4</v>
      </c>
      <c r="I73" s="62">
        <v>8.907</v>
      </c>
      <c r="J73" s="37">
        <v>64</v>
      </c>
      <c r="K73" s="37" t="s">
        <v>114</v>
      </c>
      <c r="L73" s="37" t="s">
        <v>45</v>
      </c>
      <c r="M73" s="38" t="s">
        <v>82</v>
      </c>
      <c r="N73" s="38"/>
      <c r="O73" s="37">
        <v>40</v>
      </c>
      <c r="P73" s="95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0"/>
      <c r="R73" s="680"/>
      <c r="S73" s="680"/>
      <c r="T73" s="681"/>
      <c r="U73" s="39" t="s">
        <v>45</v>
      </c>
      <c r="V73" s="39" t="s">
        <v>45</v>
      </c>
      <c r="W73" s="40" t="s">
        <v>0</v>
      </c>
      <c r="X73" s="58">
        <v>0</v>
      </c>
      <c r="Y73" s="55">
        <f t="shared" si="11"/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40" t="s">
        <v>179</v>
      </c>
      <c r="AG73" s="78"/>
      <c r="AJ73" s="84" t="s">
        <v>45</v>
      </c>
      <c r="AK73" s="84">
        <v>0</v>
      </c>
      <c r="BB73" s="141" t="s">
        <v>66</v>
      </c>
      <c r="BM73" s="78">
        <f t="shared" si="12"/>
        <v>0</v>
      </c>
      <c r="BN73" s="78">
        <f t="shared" si="13"/>
        <v>0</v>
      </c>
      <c r="BO73" s="78">
        <f t="shared" si="14"/>
        <v>0</v>
      </c>
      <c r="BP73" s="78">
        <f t="shared" si="15"/>
        <v>0</v>
      </c>
    </row>
    <row r="74" spans="1:68" ht="16.5" customHeight="1" x14ac:dyDescent="0.25">
      <c r="A74" s="63" t="s">
        <v>180</v>
      </c>
      <c r="B74" s="63" t="s">
        <v>181</v>
      </c>
      <c r="C74" s="36">
        <v>4301051837</v>
      </c>
      <c r="D74" s="678">
        <v>4680115884311</v>
      </c>
      <c r="E74" s="678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45</v>
      </c>
      <c r="M74" s="38" t="s">
        <v>117</v>
      </c>
      <c r="N74" s="38"/>
      <c r="O74" s="37">
        <v>40</v>
      </c>
      <c r="P74" s="9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0"/>
      <c r="R74" s="680"/>
      <c r="S74" s="680"/>
      <c r="T74" s="681"/>
      <c r="U74" s="39" t="s">
        <v>45</v>
      </c>
      <c r="V74" s="39" t="s">
        <v>45</v>
      </c>
      <c r="W74" s="40" t="s">
        <v>0</v>
      </c>
      <c r="X74" s="58">
        <v>0</v>
      </c>
      <c r="Y74" s="55">
        <f t="shared" si="11"/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42" t="s">
        <v>173</v>
      </c>
      <c r="AG74" s="78"/>
      <c r="AJ74" s="84" t="s">
        <v>45</v>
      </c>
      <c r="AK74" s="84">
        <v>0</v>
      </c>
      <c r="BB74" s="143" t="s">
        <v>66</v>
      </c>
      <c r="BM74" s="78">
        <f t="shared" si="12"/>
        <v>0</v>
      </c>
      <c r="BN74" s="78">
        <f t="shared" si="13"/>
        <v>0</v>
      </c>
      <c r="BO74" s="78">
        <f t="shared" si="14"/>
        <v>0</v>
      </c>
      <c r="BP74" s="78">
        <f t="shared" si="15"/>
        <v>0</v>
      </c>
    </row>
    <row r="75" spans="1:68" ht="27" customHeight="1" x14ac:dyDescent="0.25">
      <c r="A75" s="63" t="s">
        <v>182</v>
      </c>
      <c r="B75" s="63" t="s">
        <v>183</v>
      </c>
      <c r="C75" s="36">
        <v>4301051844</v>
      </c>
      <c r="D75" s="678">
        <v>4680115885929</v>
      </c>
      <c r="E75" s="678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117</v>
      </c>
      <c r="N75" s="38"/>
      <c r="O75" s="37">
        <v>45</v>
      </c>
      <c r="P75" s="9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0"/>
      <c r="R75" s="680"/>
      <c r="S75" s="680"/>
      <c r="T75" s="681"/>
      <c r="U75" s="39" t="s">
        <v>45</v>
      </c>
      <c r="V75" s="39" t="s">
        <v>45</v>
      </c>
      <c r="W75" s="40" t="s">
        <v>0</v>
      </c>
      <c r="X75" s="58">
        <v>0</v>
      </c>
      <c r="Y75" s="55">
        <f t="shared" si="11"/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44" t="s">
        <v>176</v>
      </c>
      <c r="AG75" s="78"/>
      <c r="AJ75" s="84" t="s">
        <v>45</v>
      </c>
      <c r="AK75" s="84">
        <v>0</v>
      </c>
      <c r="BB75" s="145" t="s">
        <v>66</v>
      </c>
      <c r="BM75" s="78">
        <f t="shared" si="12"/>
        <v>0</v>
      </c>
      <c r="BN75" s="78">
        <f t="shared" si="13"/>
        <v>0</v>
      </c>
      <c r="BO75" s="78">
        <f t="shared" si="14"/>
        <v>0</v>
      </c>
      <c r="BP75" s="78">
        <f t="shared" si="15"/>
        <v>0</v>
      </c>
    </row>
    <row r="76" spans="1:68" ht="37.5" customHeight="1" x14ac:dyDescent="0.25">
      <c r="A76" s="63" t="s">
        <v>184</v>
      </c>
      <c r="B76" s="63" t="s">
        <v>185</v>
      </c>
      <c r="C76" s="36">
        <v>4301051827</v>
      </c>
      <c r="D76" s="678">
        <v>4680115884403</v>
      </c>
      <c r="E76" s="678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45</v>
      </c>
      <c r="M76" s="38" t="s">
        <v>82</v>
      </c>
      <c r="N76" s="38"/>
      <c r="O76" s="37">
        <v>40</v>
      </c>
      <c r="P76" s="9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0"/>
      <c r="R76" s="680"/>
      <c r="S76" s="680"/>
      <c r="T76" s="681"/>
      <c r="U76" s="39" t="s">
        <v>45</v>
      </c>
      <c r="V76" s="39" t="s">
        <v>45</v>
      </c>
      <c r="W76" s="40" t="s">
        <v>0</v>
      </c>
      <c r="X76" s="58">
        <v>0</v>
      </c>
      <c r="Y76" s="55">
        <f t="shared" si="11"/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6" t="s">
        <v>179</v>
      </c>
      <c r="AG76" s="78"/>
      <c r="AJ76" s="84" t="s">
        <v>45</v>
      </c>
      <c r="AK76" s="84">
        <v>0</v>
      </c>
      <c r="BB76" s="147" t="s">
        <v>66</v>
      </c>
      <c r="BM76" s="78">
        <f t="shared" si="12"/>
        <v>0</v>
      </c>
      <c r="BN76" s="78">
        <f t="shared" si="13"/>
        <v>0</v>
      </c>
      <c r="BO76" s="78">
        <f t="shared" si="14"/>
        <v>0</v>
      </c>
      <c r="BP76" s="78">
        <f t="shared" si="15"/>
        <v>0</v>
      </c>
    </row>
    <row r="77" spans="1:68" x14ac:dyDescent="0.2">
      <c r="A77" s="685"/>
      <c r="B77" s="685"/>
      <c r="C77" s="685"/>
      <c r="D77" s="685"/>
      <c r="E77" s="685"/>
      <c r="F77" s="685"/>
      <c r="G77" s="685"/>
      <c r="H77" s="685"/>
      <c r="I77" s="685"/>
      <c r="J77" s="685"/>
      <c r="K77" s="685"/>
      <c r="L77" s="685"/>
      <c r="M77" s="685"/>
      <c r="N77" s="685"/>
      <c r="O77" s="686"/>
      <c r="P77" s="682" t="s">
        <v>40</v>
      </c>
      <c r="Q77" s="683"/>
      <c r="R77" s="683"/>
      <c r="S77" s="683"/>
      <c r="T77" s="683"/>
      <c r="U77" s="683"/>
      <c r="V77" s="684"/>
      <c r="W77" s="42" t="s">
        <v>39</v>
      </c>
      <c r="X77" s="43">
        <f>IFERROR(X71/H71,"0")+IFERROR(X72/H72,"0")+IFERROR(X73/H73,"0")+IFERROR(X74/H74,"0")+IFERROR(X75/H75,"0")+IFERROR(X76/H76,"0")</f>
        <v>0</v>
      </c>
      <c r="Y77" s="43">
        <f>IFERROR(Y71/H71,"0")+IFERROR(Y72/H72,"0")+IFERROR(Y73/H73,"0")+IFERROR(Y74/H74,"0")+IFERROR(Y75/H75,"0")+IFERROR(Y76/H76,"0")</f>
        <v>0</v>
      </c>
      <c r="Z77" s="43">
        <f>IFERROR(IF(Z71="",0,Z71),"0")+IFERROR(IF(Z72="",0,Z72),"0")+IFERROR(IF(Z73="",0,Z73),"0")+IFERROR(IF(Z74="",0,Z74),"0")+IFERROR(IF(Z75="",0,Z75),"0")+IFERROR(IF(Z76="",0,Z76),"0")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85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6"/>
      <c r="P78" s="682" t="s">
        <v>40</v>
      </c>
      <c r="Q78" s="683"/>
      <c r="R78" s="683"/>
      <c r="S78" s="683"/>
      <c r="T78" s="683"/>
      <c r="U78" s="683"/>
      <c r="V78" s="684"/>
      <c r="W78" s="42" t="s">
        <v>0</v>
      </c>
      <c r="X78" s="43">
        <f>IFERROR(SUM(X71:X76),"0")</f>
        <v>0</v>
      </c>
      <c r="Y78" s="43">
        <f>IFERROR(SUM(Y71:Y76),"0")</f>
        <v>0</v>
      </c>
      <c r="Z78" s="42"/>
      <c r="AA78" s="67"/>
      <c r="AB78" s="67"/>
      <c r="AC78" s="67"/>
    </row>
    <row r="79" spans="1:68" ht="14.25" customHeight="1" x14ac:dyDescent="0.25">
      <c r="A79" s="677" t="s">
        <v>186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"/>
      <c r="AB79" s="66"/>
      <c r="AC79" s="80"/>
    </row>
    <row r="80" spans="1:68" ht="37.5" customHeight="1" x14ac:dyDescent="0.25">
      <c r="A80" s="63" t="s">
        <v>187</v>
      </c>
      <c r="B80" s="63" t="s">
        <v>188</v>
      </c>
      <c r="C80" s="36">
        <v>4301060371</v>
      </c>
      <c r="D80" s="678">
        <v>4680115881532</v>
      </c>
      <c r="E80" s="678"/>
      <c r="F80" s="62">
        <v>1.4</v>
      </c>
      <c r="G80" s="37">
        <v>6</v>
      </c>
      <c r="H80" s="62">
        <v>8.4</v>
      </c>
      <c r="I80" s="62">
        <v>8.9190000000000005</v>
      </c>
      <c r="J80" s="37">
        <v>64</v>
      </c>
      <c r="K80" s="37" t="s">
        <v>114</v>
      </c>
      <c r="L80" s="37" t="s">
        <v>45</v>
      </c>
      <c r="M80" s="38" t="s">
        <v>82</v>
      </c>
      <c r="N80" s="38"/>
      <c r="O80" s="37">
        <v>30</v>
      </c>
      <c r="P80" s="95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0"/>
      <c r="R80" s="680"/>
      <c r="S80" s="680"/>
      <c r="T80" s="681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8" t="s">
        <v>189</v>
      </c>
      <c r="AG80" s="78"/>
      <c r="AJ80" s="84" t="s">
        <v>45</v>
      </c>
      <c r="AK80" s="84">
        <v>0</v>
      </c>
      <c r="BB80" s="149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37.5" customHeight="1" x14ac:dyDescent="0.25">
      <c r="A81" s="63" t="s">
        <v>187</v>
      </c>
      <c r="B81" s="63" t="s">
        <v>190</v>
      </c>
      <c r="C81" s="36">
        <v>4301060366</v>
      </c>
      <c r="D81" s="678">
        <v>4680115881532</v>
      </c>
      <c r="E81" s="678"/>
      <c r="F81" s="62">
        <v>1.3</v>
      </c>
      <c r="G81" s="37">
        <v>6</v>
      </c>
      <c r="H81" s="62">
        <v>7.8</v>
      </c>
      <c r="I81" s="62">
        <v>8.2349999999999994</v>
      </c>
      <c r="J81" s="37">
        <v>64</v>
      </c>
      <c r="K81" s="37" t="s">
        <v>114</v>
      </c>
      <c r="L81" s="37" t="s">
        <v>45</v>
      </c>
      <c r="M81" s="38" t="s">
        <v>82</v>
      </c>
      <c r="N81" s="38"/>
      <c r="O81" s="37">
        <v>30</v>
      </c>
      <c r="P81" s="9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0"/>
      <c r="R81" s="680"/>
      <c r="S81" s="680"/>
      <c r="T81" s="681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50" t="s">
        <v>189</v>
      </c>
      <c r="AG81" s="78"/>
      <c r="AJ81" s="84" t="s">
        <v>45</v>
      </c>
      <c r="AK81" s="84">
        <v>0</v>
      </c>
      <c r="BB81" s="151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191</v>
      </c>
      <c r="B82" s="63" t="s">
        <v>192</v>
      </c>
      <c r="C82" s="36">
        <v>4301060351</v>
      </c>
      <c r="D82" s="678">
        <v>4680115881464</v>
      </c>
      <c r="E82" s="678"/>
      <c r="F82" s="62">
        <v>0.4</v>
      </c>
      <c r="G82" s="37">
        <v>6</v>
      </c>
      <c r="H82" s="62">
        <v>2.4</v>
      </c>
      <c r="I82" s="62">
        <v>2.61</v>
      </c>
      <c r="J82" s="37">
        <v>132</v>
      </c>
      <c r="K82" s="37" t="s">
        <v>118</v>
      </c>
      <c r="L82" s="37" t="s">
        <v>45</v>
      </c>
      <c r="M82" s="38" t="s">
        <v>117</v>
      </c>
      <c r="N82" s="38"/>
      <c r="O82" s="37">
        <v>30</v>
      </c>
      <c r="P82" s="9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0"/>
      <c r="R82" s="680"/>
      <c r="S82" s="680"/>
      <c r="T82" s="681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45</v>
      </c>
      <c r="AB82" s="69" t="s">
        <v>45</v>
      </c>
      <c r="AC82" s="152" t="s">
        <v>193</v>
      </c>
      <c r="AG82" s="78"/>
      <c r="AJ82" s="84" t="s">
        <v>45</v>
      </c>
      <c r="AK82" s="84">
        <v>0</v>
      </c>
      <c r="BB82" s="153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5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6"/>
      <c r="P83" s="682" t="s">
        <v>40</v>
      </c>
      <c r="Q83" s="683"/>
      <c r="R83" s="683"/>
      <c r="S83" s="683"/>
      <c r="T83" s="683"/>
      <c r="U83" s="683"/>
      <c r="V83" s="68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">
      <c r="A84" s="685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6"/>
      <c r="P84" s="682" t="s">
        <v>40</v>
      </c>
      <c r="Q84" s="683"/>
      <c r="R84" s="683"/>
      <c r="S84" s="683"/>
      <c r="T84" s="683"/>
      <c r="U84" s="683"/>
      <c r="V84" s="68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699" t="s">
        <v>194</v>
      </c>
      <c r="B85" s="699"/>
      <c r="C85" s="699"/>
      <c r="D85" s="699"/>
      <c r="E85" s="699"/>
      <c r="F85" s="699"/>
      <c r="G85" s="699"/>
      <c r="H85" s="699"/>
      <c r="I85" s="699"/>
      <c r="J85" s="699"/>
      <c r="K85" s="699"/>
      <c r="L85" s="699"/>
      <c r="M85" s="699"/>
      <c r="N85" s="699"/>
      <c r="O85" s="699"/>
      <c r="P85" s="699"/>
      <c r="Q85" s="699"/>
      <c r="R85" s="699"/>
      <c r="S85" s="699"/>
      <c r="T85" s="699"/>
      <c r="U85" s="699"/>
      <c r="V85" s="699"/>
      <c r="W85" s="699"/>
      <c r="X85" s="699"/>
      <c r="Y85" s="699"/>
      <c r="Z85" s="699"/>
      <c r="AA85" s="65"/>
      <c r="AB85" s="65"/>
      <c r="AC85" s="79"/>
    </row>
    <row r="86" spans="1:68" ht="14.25" customHeight="1" x14ac:dyDescent="0.25">
      <c r="A86" s="677" t="s">
        <v>109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"/>
      <c r="AB86" s="66"/>
      <c r="AC86" s="80"/>
    </row>
    <row r="87" spans="1:68" ht="27" customHeight="1" x14ac:dyDescent="0.25">
      <c r="A87" s="63" t="s">
        <v>195</v>
      </c>
      <c r="B87" s="63" t="s">
        <v>196</v>
      </c>
      <c r="C87" s="36">
        <v>4301011468</v>
      </c>
      <c r="D87" s="678">
        <v>4680115881327</v>
      </c>
      <c r="E87" s="678"/>
      <c r="F87" s="62">
        <v>1.35</v>
      </c>
      <c r="G87" s="37">
        <v>8</v>
      </c>
      <c r="H87" s="62">
        <v>10.8</v>
      </c>
      <c r="I87" s="62">
        <v>11.234999999999999</v>
      </c>
      <c r="J87" s="37">
        <v>64</v>
      </c>
      <c r="K87" s="37" t="s">
        <v>114</v>
      </c>
      <c r="L87" s="37" t="s">
        <v>45</v>
      </c>
      <c r="M87" s="38" t="s">
        <v>146</v>
      </c>
      <c r="N87" s="38"/>
      <c r="O87" s="37">
        <v>50</v>
      </c>
      <c r="P87" s="9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0"/>
      <c r="R87" s="680"/>
      <c r="S87" s="680"/>
      <c r="T87" s="68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45</v>
      </c>
      <c r="AB87" s="69" t="s">
        <v>45</v>
      </c>
      <c r="AC87" s="154" t="s">
        <v>197</v>
      </c>
      <c r="AG87" s="78"/>
      <c r="AJ87" s="84" t="s">
        <v>45</v>
      </c>
      <c r="AK87" s="84">
        <v>0</v>
      </c>
      <c r="BB87" s="155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16.5" customHeight="1" x14ac:dyDescent="0.25">
      <c r="A88" s="63" t="s">
        <v>198</v>
      </c>
      <c r="B88" s="63" t="s">
        <v>199</v>
      </c>
      <c r="C88" s="36">
        <v>4301011476</v>
      </c>
      <c r="D88" s="678">
        <v>4680115881518</v>
      </c>
      <c r="E88" s="678"/>
      <c r="F88" s="62">
        <v>0.4</v>
      </c>
      <c r="G88" s="37">
        <v>10</v>
      </c>
      <c r="H88" s="62">
        <v>4</v>
      </c>
      <c r="I88" s="62">
        <v>4.21</v>
      </c>
      <c r="J88" s="37">
        <v>132</v>
      </c>
      <c r="K88" s="37" t="s">
        <v>118</v>
      </c>
      <c r="L88" s="37" t="s">
        <v>45</v>
      </c>
      <c r="M88" s="38" t="s">
        <v>117</v>
      </c>
      <c r="N88" s="38"/>
      <c r="O88" s="37">
        <v>50</v>
      </c>
      <c r="P88" s="9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0"/>
      <c r="R88" s="680"/>
      <c r="S88" s="680"/>
      <c r="T88" s="681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6" t="s">
        <v>197</v>
      </c>
      <c r="AG88" s="78"/>
      <c r="AJ88" s="84" t="s">
        <v>45</v>
      </c>
      <c r="AK88" s="84">
        <v>0</v>
      </c>
      <c r="BB88" s="157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200</v>
      </c>
      <c r="B89" s="63" t="s">
        <v>201</v>
      </c>
      <c r="C89" s="36">
        <v>4301011443</v>
      </c>
      <c r="D89" s="678">
        <v>4680115881303</v>
      </c>
      <c r="E89" s="678"/>
      <c r="F89" s="62">
        <v>0.45</v>
      </c>
      <c r="G89" s="37">
        <v>10</v>
      </c>
      <c r="H89" s="62">
        <v>4.5</v>
      </c>
      <c r="I89" s="62">
        <v>4.71</v>
      </c>
      <c r="J89" s="37">
        <v>132</v>
      </c>
      <c r="K89" s="37" t="s">
        <v>118</v>
      </c>
      <c r="L89" s="37" t="s">
        <v>119</v>
      </c>
      <c r="M89" s="38" t="s">
        <v>146</v>
      </c>
      <c r="N89" s="38"/>
      <c r="O89" s="37">
        <v>50</v>
      </c>
      <c r="P89" s="9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0"/>
      <c r="R89" s="680"/>
      <c r="S89" s="680"/>
      <c r="T89" s="681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8" t="s">
        <v>202</v>
      </c>
      <c r="AG89" s="78"/>
      <c r="AJ89" s="84" t="s">
        <v>120</v>
      </c>
      <c r="AK89" s="84">
        <v>54</v>
      </c>
      <c r="BB89" s="159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85"/>
      <c r="B90" s="685"/>
      <c r="C90" s="685"/>
      <c r="D90" s="685"/>
      <c r="E90" s="685"/>
      <c r="F90" s="685"/>
      <c r="G90" s="685"/>
      <c r="H90" s="685"/>
      <c r="I90" s="685"/>
      <c r="J90" s="685"/>
      <c r="K90" s="685"/>
      <c r="L90" s="685"/>
      <c r="M90" s="685"/>
      <c r="N90" s="685"/>
      <c r="O90" s="686"/>
      <c r="P90" s="682" t="s">
        <v>40</v>
      </c>
      <c r="Q90" s="683"/>
      <c r="R90" s="683"/>
      <c r="S90" s="683"/>
      <c r="T90" s="683"/>
      <c r="U90" s="683"/>
      <c r="V90" s="684"/>
      <c r="W90" s="42" t="s">
        <v>39</v>
      </c>
      <c r="X90" s="43">
        <f>IFERROR(X87/H87,"0")+IFERROR(X88/H88,"0")+IFERROR(X89/H89,"0")</f>
        <v>0</v>
      </c>
      <c r="Y90" s="43">
        <f>IFERROR(Y87/H87,"0")+IFERROR(Y88/H88,"0")+IFERROR(Y89/H89,"0")</f>
        <v>0</v>
      </c>
      <c r="Z90" s="43">
        <f>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8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6"/>
      <c r="P91" s="682" t="s">
        <v>40</v>
      </c>
      <c r="Q91" s="683"/>
      <c r="R91" s="683"/>
      <c r="S91" s="683"/>
      <c r="T91" s="683"/>
      <c r="U91" s="683"/>
      <c r="V91" s="684"/>
      <c r="W91" s="42" t="s">
        <v>0</v>
      </c>
      <c r="X91" s="43">
        <f>IFERROR(SUM(X87:X89),"0")</f>
        <v>0</v>
      </c>
      <c r="Y91" s="43">
        <f>IFERROR(SUM(Y87:Y89),"0")</f>
        <v>0</v>
      </c>
      <c r="Z91" s="42"/>
      <c r="AA91" s="67"/>
      <c r="AB91" s="67"/>
      <c r="AC91" s="67"/>
    </row>
    <row r="92" spans="1:68" ht="14.25" customHeight="1" x14ac:dyDescent="0.25">
      <c r="A92" s="677" t="s">
        <v>78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"/>
      <c r="AB92" s="66"/>
      <c r="AC92" s="80"/>
    </row>
    <row r="93" spans="1:68" ht="27" customHeight="1" x14ac:dyDescent="0.25">
      <c r="A93" s="63" t="s">
        <v>203</v>
      </c>
      <c r="B93" s="63" t="s">
        <v>204</v>
      </c>
      <c r="C93" s="36">
        <v>4301051546</v>
      </c>
      <c r="D93" s="678">
        <v>4607091386967</v>
      </c>
      <c r="E93" s="678"/>
      <c r="F93" s="62">
        <v>1.4</v>
      </c>
      <c r="G93" s="37">
        <v>6</v>
      </c>
      <c r="H93" s="62">
        <v>8.4</v>
      </c>
      <c r="I93" s="62">
        <v>8.9190000000000005</v>
      </c>
      <c r="J93" s="37">
        <v>64</v>
      </c>
      <c r="K93" s="37" t="s">
        <v>114</v>
      </c>
      <c r="L93" s="37" t="s">
        <v>45</v>
      </c>
      <c r="M93" s="38" t="s">
        <v>117</v>
      </c>
      <c r="N93" s="38"/>
      <c r="O93" s="37">
        <v>45</v>
      </c>
      <c r="P93" s="94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0"/>
      <c r="R93" s="680"/>
      <c r="S93" s="680"/>
      <c r="T93" s="681"/>
      <c r="U93" s="39" t="s">
        <v>45</v>
      </c>
      <c r="V93" s="39" t="s">
        <v>45</v>
      </c>
      <c r="W93" s="40" t="s">
        <v>0</v>
      </c>
      <c r="X93" s="58">
        <v>0</v>
      </c>
      <c r="Y93" s="55">
        <f t="shared" ref="Y93:Y101" si="16"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60" t="s">
        <v>205</v>
      </c>
      <c r="AG93" s="78"/>
      <c r="AJ93" s="84" t="s">
        <v>45</v>
      </c>
      <c r="AK93" s="84">
        <v>0</v>
      </c>
      <c r="BB93" s="161" t="s">
        <v>66</v>
      </c>
      <c r="BM93" s="78">
        <f t="shared" ref="BM93:BM101" si="17">IFERROR(X93*I93/H93,"0")</f>
        <v>0</v>
      </c>
      <c r="BN93" s="78">
        <f t="shared" ref="BN93:BN101" si="18">IFERROR(Y93*I93/H93,"0")</f>
        <v>0</v>
      </c>
      <c r="BO93" s="78">
        <f t="shared" ref="BO93:BO101" si="19">IFERROR(1/J93*(X93/H93),"0")</f>
        <v>0</v>
      </c>
      <c r="BP93" s="78">
        <f t="shared" ref="BP93:BP101" si="20">IFERROR(1/J93*(Y93/H93),"0")</f>
        <v>0</v>
      </c>
    </row>
    <row r="94" spans="1:68" ht="27" customHeight="1" x14ac:dyDescent="0.25">
      <c r="A94" s="63" t="s">
        <v>203</v>
      </c>
      <c r="B94" s="63" t="s">
        <v>206</v>
      </c>
      <c r="C94" s="36">
        <v>4301051437</v>
      </c>
      <c r="D94" s="678">
        <v>4607091386967</v>
      </c>
      <c r="E94" s="678"/>
      <c r="F94" s="62">
        <v>1.35</v>
      </c>
      <c r="G94" s="37">
        <v>6</v>
      </c>
      <c r="H94" s="62">
        <v>8.1</v>
      </c>
      <c r="I94" s="62">
        <v>8.6189999999999998</v>
      </c>
      <c r="J94" s="37">
        <v>64</v>
      </c>
      <c r="K94" s="37" t="s">
        <v>114</v>
      </c>
      <c r="L94" s="37" t="s">
        <v>45</v>
      </c>
      <c r="M94" s="38" t="s">
        <v>117</v>
      </c>
      <c r="N94" s="38"/>
      <c r="O94" s="37">
        <v>45</v>
      </c>
      <c r="P94" s="9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0"/>
      <c r="R94" s="680"/>
      <c r="S94" s="680"/>
      <c r="T94" s="681"/>
      <c r="U94" s="39" t="s">
        <v>45</v>
      </c>
      <c r="V94" s="39" t="s">
        <v>45</v>
      </c>
      <c r="W94" s="40" t="s">
        <v>0</v>
      </c>
      <c r="X94" s="58">
        <v>0</v>
      </c>
      <c r="Y94" s="55">
        <f t="shared" si="16"/>
        <v>0</v>
      </c>
      <c r="Z94" s="41" t="str">
        <f>IFERROR(IF(Y94=0,"",ROUNDUP(Y94/H94,0)*0.01898),"")</f>
        <v/>
      </c>
      <c r="AA94" s="68" t="s">
        <v>45</v>
      </c>
      <c r="AB94" s="69" t="s">
        <v>45</v>
      </c>
      <c r="AC94" s="162" t="s">
        <v>205</v>
      </c>
      <c r="AG94" s="78"/>
      <c r="AJ94" s="84" t="s">
        <v>45</v>
      </c>
      <c r="AK94" s="84">
        <v>0</v>
      </c>
      <c r="BB94" s="163" t="s">
        <v>66</v>
      </c>
      <c r="BM94" s="78">
        <f t="shared" si="17"/>
        <v>0</v>
      </c>
      <c r="BN94" s="78">
        <f t="shared" si="18"/>
        <v>0</v>
      </c>
      <c r="BO94" s="78">
        <f t="shared" si="19"/>
        <v>0</v>
      </c>
      <c r="BP94" s="78">
        <f t="shared" si="20"/>
        <v>0</v>
      </c>
    </row>
    <row r="95" spans="1:68" ht="16.5" customHeight="1" x14ac:dyDescent="0.25">
      <c r="A95" s="63" t="s">
        <v>203</v>
      </c>
      <c r="B95" s="63" t="s">
        <v>207</v>
      </c>
      <c r="C95" s="36">
        <v>4301051712</v>
      </c>
      <c r="D95" s="678">
        <v>4607091386967</v>
      </c>
      <c r="E95" s="678"/>
      <c r="F95" s="62">
        <v>1.35</v>
      </c>
      <c r="G95" s="37">
        <v>6</v>
      </c>
      <c r="H95" s="62">
        <v>8.1</v>
      </c>
      <c r="I95" s="62">
        <v>8.6189999999999998</v>
      </c>
      <c r="J95" s="37">
        <v>64</v>
      </c>
      <c r="K95" s="37" t="s">
        <v>114</v>
      </c>
      <c r="L95" s="37" t="s">
        <v>45</v>
      </c>
      <c r="M95" s="38" t="s">
        <v>146</v>
      </c>
      <c r="N95" s="38"/>
      <c r="O95" s="37">
        <v>45</v>
      </c>
      <c r="P95" s="949" t="s">
        <v>208</v>
      </c>
      <c r="Q95" s="680"/>
      <c r="R95" s="680"/>
      <c r="S95" s="680"/>
      <c r="T95" s="681"/>
      <c r="U95" s="39" t="s">
        <v>45</v>
      </c>
      <c r="V95" s="39" t="s">
        <v>45</v>
      </c>
      <c r="W95" s="40" t="s">
        <v>0</v>
      </c>
      <c r="X95" s="58">
        <v>0</v>
      </c>
      <c r="Y95" s="55">
        <f t="shared" si="16"/>
        <v>0</v>
      </c>
      <c r="Z95" s="41" t="str">
        <f>IFERROR(IF(Y95=0,"",ROUNDUP(Y95/H95,0)*0.01898),"")</f>
        <v/>
      </c>
      <c r="AA95" s="68" t="s">
        <v>45</v>
      </c>
      <c r="AB95" s="69" t="s">
        <v>45</v>
      </c>
      <c r="AC95" s="164" t="s">
        <v>209</v>
      </c>
      <c r="AG95" s="78"/>
      <c r="AJ95" s="84" t="s">
        <v>45</v>
      </c>
      <c r="AK95" s="84">
        <v>0</v>
      </c>
      <c r="BB95" s="165" t="s">
        <v>66</v>
      </c>
      <c r="BM95" s="78">
        <f t="shared" si="17"/>
        <v>0</v>
      </c>
      <c r="BN95" s="78">
        <f t="shared" si="18"/>
        <v>0</v>
      </c>
      <c r="BO95" s="78">
        <f t="shared" si="19"/>
        <v>0</v>
      </c>
      <c r="BP95" s="78">
        <f t="shared" si="20"/>
        <v>0</v>
      </c>
    </row>
    <row r="96" spans="1:68" ht="27" customHeight="1" x14ac:dyDescent="0.25">
      <c r="A96" s="63" t="s">
        <v>210</v>
      </c>
      <c r="B96" s="63" t="s">
        <v>211</v>
      </c>
      <c r="C96" s="36">
        <v>4301051788</v>
      </c>
      <c r="D96" s="678">
        <v>4680115884953</v>
      </c>
      <c r="E96" s="67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83</v>
      </c>
      <c r="L96" s="37" t="s">
        <v>45</v>
      </c>
      <c r="M96" s="38" t="s">
        <v>117</v>
      </c>
      <c r="N96" s="38"/>
      <c r="O96" s="37">
        <v>45</v>
      </c>
      <c r="P96" s="950" t="s">
        <v>212</v>
      </c>
      <c r="Q96" s="680"/>
      <c r="R96" s="680"/>
      <c r="S96" s="680"/>
      <c r="T96" s="681"/>
      <c r="U96" s="39" t="s">
        <v>45</v>
      </c>
      <c r="V96" s="39" t="s">
        <v>45</v>
      </c>
      <c r="W96" s="40" t="s">
        <v>0</v>
      </c>
      <c r="X96" s="58">
        <v>0</v>
      </c>
      <c r="Y96" s="55">
        <f t="shared" si="16"/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6" t="s">
        <v>213</v>
      </c>
      <c r="AG96" s="78"/>
      <c r="AJ96" s="84" t="s">
        <v>45</v>
      </c>
      <c r="AK96" s="84">
        <v>0</v>
      </c>
      <c r="BB96" s="167" t="s">
        <v>66</v>
      </c>
      <c r="BM96" s="78">
        <f t="shared" si="17"/>
        <v>0</v>
      </c>
      <c r="BN96" s="78">
        <f t="shared" si="18"/>
        <v>0</v>
      </c>
      <c r="BO96" s="78">
        <f t="shared" si="19"/>
        <v>0</v>
      </c>
      <c r="BP96" s="78">
        <f t="shared" si="20"/>
        <v>0</v>
      </c>
    </row>
    <row r="97" spans="1:68" ht="16.5" customHeight="1" x14ac:dyDescent="0.25">
      <c r="A97" s="63" t="s">
        <v>214</v>
      </c>
      <c r="B97" s="63" t="s">
        <v>215</v>
      </c>
      <c r="C97" s="36">
        <v>4301051718</v>
      </c>
      <c r="D97" s="678">
        <v>4607091385731</v>
      </c>
      <c r="E97" s="67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83</v>
      </c>
      <c r="L97" s="37" t="s">
        <v>45</v>
      </c>
      <c r="M97" s="38" t="s">
        <v>146</v>
      </c>
      <c r="N97" s="38"/>
      <c r="O97" s="37">
        <v>45</v>
      </c>
      <c r="P97" s="951" t="s">
        <v>216</v>
      </c>
      <c r="Q97" s="680"/>
      <c r="R97" s="680"/>
      <c r="S97" s="680"/>
      <c r="T97" s="681"/>
      <c r="U97" s="39" t="s">
        <v>45</v>
      </c>
      <c r="V97" s="39" t="s">
        <v>45</v>
      </c>
      <c r="W97" s="40" t="s">
        <v>0</v>
      </c>
      <c r="X97" s="58">
        <v>0</v>
      </c>
      <c r="Y97" s="55">
        <f t="shared" si="16"/>
        <v>0</v>
      </c>
      <c r="Z97" s="41" t="str">
        <f>IFERROR(IF(Y97=0,"",ROUNDUP(Y97/H97,0)*0.00651),"")</f>
        <v/>
      </c>
      <c r="AA97" s="68" t="s">
        <v>45</v>
      </c>
      <c r="AB97" s="69" t="s">
        <v>45</v>
      </c>
      <c r="AC97" s="168" t="s">
        <v>209</v>
      </c>
      <c r="AG97" s="78"/>
      <c r="AJ97" s="84" t="s">
        <v>45</v>
      </c>
      <c r="AK97" s="84">
        <v>0</v>
      </c>
      <c r="BB97" s="169" t="s">
        <v>66</v>
      </c>
      <c r="BM97" s="78">
        <f t="shared" si="17"/>
        <v>0</v>
      </c>
      <c r="BN97" s="78">
        <f t="shared" si="18"/>
        <v>0</v>
      </c>
      <c r="BO97" s="78">
        <f t="shared" si="19"/>
        <v>0</v>
      </c>
      <c r="BP97" s="78">
        <f t="shared" si="20"/>
        <v>0</v>
      </c>
    </row>
    <row r="98" spans="1:68" ht="27" customHeight="1" x14ac:dyDescent="0.25">
      <c r="A98" s="63" t="s">
        <v>214</v>
      </c>
      <c r="B98" s="63" t="s">
        <v>217</v>
      </c>
      <c r="C98" s="36">
        <v>4301052039</v>
      </c>
      <c r="D98" s="678">
        <v>4607091385731</v>
      </c>
      <c r="E98" s="678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83</v>
      </c>
      <c r="L98" s="37" t="s">
        <v>45</v>
      </c>
      <c r="M98" s="38" t="s">
        <v>117</v>
      </c>
      <c r="N98" s="38"/>
      <c r="O98" s="37">
        <v>45</v>
      </c>
      <c r="P98" s="939" t="s">
        <v>218</v>
      </c>
      <c r="Q98" s="680"/>
      <c r="R98" s="680"/>
      <c r="S98" s="680"/>
      <c r="T98" s="681"/>
      <c r="U98" s="39" t="s">
        <v>45</v>
      </c>
      <c r="V98" s="39" t="s">
        <v>45</v>
      </c>
      <c r="W98" s="40" t="s">
        <v>0</v>
      </c>
      <c r="X98" s="58">
        <v>0</v>
      </c>
      <c r="Y98" s="55">
        <f t="shared" si="16"/>
        <v>0</v>
      </c>
      <c r="Z98" s="41" t="str">
        <f>IFERROR(IF(Y98=0,"",ROUNDUP(Y98/H98,0)*0.00651),"")</f>
        <v/>
      </c>
      <c r="AA98" s="68" t="s">
        <v>45</v>
      </c>
      <c r="AB98" s="69" t="s">
        <v>45</v>
      </c>
      <c r="AC98" s="170" t="s">
        <v>205</v>
      </c>
      <c r="AG98" s="78"/>
      <c r="AJ98" s="84" t="s">
        <v>45</v>
      </c>
      <c r="AK98" s="84">
        <v>0</v>
      </c>
      <c r="BB98" s="171" t="s">
        <v>66</v>
      </c>
      <c r="BM98" s="78">
        <f t="shared" si="17"/>
        <v>0</v>
      </c>
      <c r="BN98" s="78">
        <f t="shared" si="18"/>
        <v>0</v>
      </c>
      <c r="BO98" s="78">
        <f t="shared" si="19"/>
        <v>0</v>
      </c>
      <c r="BP98" s="78">
        <f t="shared" si="20"/>
        <v>0</v>
      </c>
    </row>
    <row r="99" spans="1:68" ht="16.5" customHeight="1" x14ac:dyDescent="0.25">
      <c r="A99" s="63" t="s">
        <v>219</v>
      </c>
      <c r="B99" s="63" t="s">
        <v>220</v>
      </c>
      <c r="C99" s="36">
        <v>4301051438</v>
      </c>
      <c r="D99" s="678">
        <v>4680115880894</v>
      </c>
      <c r="E99" s="678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83</v>
      </c>
      <c r="L99" s="37" t="s">
        <v>45</v>
      </c>
      <c r="M99" s="38" t="s">
        <v>117</v>
      </c>
      <c r="N99" s="38"/>
      <c r="O99" s="37">
        <v>45</v>
      </c>
      <c r="P99" s="9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0"/>
      <c r="R99" s="680"/>
      <c r="S99" s="680"/>
      <c r="T99" s="681"/>
      <c r="U99" s="39" t="s">
        <v>45</v>
      </c>
      <c r="V99" s="39" t="s">
        <v>45</v>
      </c>
      <c r="W99" s="40" t="s">
        <v>0</v>
      </c>
      <c r="X99" s="58">
        <v>0</v>
      </c>
      <c r="Y99" s="55">
        <f t="shared" si="16"/>
        <v>0</v>
      </c>
      <c r="Z99" s="41" t="str">
        <f>IFERROR(IF(Y99=0,"",ROUNDUP(Y99/H99,0)*0.00651),"")</f>
        <v/>
      </c>
      <c r="AA99" s="68" t="s">
        <v>45</v>
      </c>
      <c r="AB99" s="69" t="s">
        <v>45</v>
      </c>
      <c r="AC99" s="172" t="s">
        <v>221</v>
      </c>
      <c r="AG99" s="78"/>
      <c r="AJ99" s="84" t="s">
        <v>45</v>
      </c>
      <c r="AK99" s="84">
        <v>0</v>
      </c>
      <c r="BB99" s="173" t="s">
        <v>66</v>
      </c>
      <c r="BM99" s="78">
        <f t="shared" si="17"/>
        <v>0</v>
      </c>
      <c r="BN99" s="78">
        <f t="shared" si="18"/>
        <v>0</v>
      </c>
      <c r="BO99" s="78">
        <f t="shared" si="19"/>
        <v>0</v>
      </c>
      <c r="BP99" s="78">
        <f t="shared" si="20"/>
        <v>0</v>
      </c>
    </row>
    <row r="100" spans="1:68" ht="27" customHeight="1" x14ac:dyDescent="0.25">
      <c r="A100" s="63" t="s">
        <v>222</v>
      </c>
      <c r="B100" s="63" t="s">
        <v>223</v>
      </c>
      <c r="C100" s="36">
        <v>4301051439</v>
      </c>
      <c r="D100" s="678">
        <v>4680115880214</v>
      </c>
      <c r="E100" s="678"/>
      <c r="F100" s="62">
        <v>0.45</v>
      </c>
      <c r="G100" s="37">
        <v>6</v>
      </c>
      <c r="H100" s="62">
        <v>2.7</v>
      </c>
      <c r="I100" s="62">
        <v>2.988</v>
      </c>
      <c r="J100" s="37">
        <v>132</v>
      </c>
      <c r="K100" s="37" t="s">
        <v>118</v>
      </c>
      <c r="L100" s="37" t="s">
        <v>45</v>
      </c>
      <c r="M100" s="38" t="s">
        <v>117</v>
      </c>
      <c r="N100" s="38"/>
      <c r="O100" s="37">
        <v>45</v>
      </c>
      <c r="P100" s="94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0"/>
      <c r="R100" s="680"/>
      <c r="S100" s="680"/>
      <c r="T100" s="681"/>
      <c r="U100" s="39" t="s">
        <v>45</v>
      </c>
      <c r="V100" s="39" t="s">
        <v>45</v>
      </c>
      <c r="W100" s="40" t="s">
        <v>0</v>
      </c>
      <c r="X100" s="58">
        <v>0</v>
      </c>
      <c r="Y100" s="55">
        <f t="shared" si="16"/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74" t="s">
        <v>221</v>
      </c>
      <c r="AG100" s="78"/>
      <c r="AJ100" s="84" t="s">
        <v>45</v>
      </c>
      <c r="AK100" s="84">
        <v>0</v>
      </c>
      <c r="BB100" s="175" t="s">
        <v>66</v>
      </c>
      <c r="BM100" s="78">
        <f t="shared" si="17"/>
        <v>0</v>
      </c>
      <c r="BN100" s="78">
        <f t="shared" si="18"/>
        <v>0</v>
      </c>
      <c r="BO100" s="78">
        <f t="shared" si="19"/>
        <v>0</v>
      </c>
      <c r="BP100" s="78">
        <f t="shared" si="20"/>
        <v>0</v>
      </c>
    </row>
    <row r="101" spans="1:68" ht="27" customHeight="1" x14ac:dyDescent="0.25">
      <c r="A101" s="63" t="s">
        <v>222</v>
      </c>
      <c r="B101" s="63" t="s">
        <v>224</v>
      </c>
      <c r="C101" s="36">
        <v>4301051687</v>
      </c>
      <c r="D101" s="678">
        <v>4680115880214</v>
      </c>
      <c r="E101" s="678"/>
      <c r="F101" s="62">
        <v>0.45</v>
      </c>
      <c r="G101" s="37">
        <v>4</v>
      </c>
      <c r="H101" s="62">
        <v>1.8</v>
      </c>
      <c r="I101" s="62">
        <v>2.032</v>
      </c>
      <c r="J101" s="37">
        <v>182</v>
      </c>
      <c r="K101" s="37" t="s">
        <v>83</v>
      </c>
      <c r="L101" s="37" t="s">
        <v>45</v>
      </c>
      <c r="M101" s="38" t="s">
        <v>117</v>
      </c>
      <c r="N101" s="38"/>
      <c r="O101" s="37">
        <v>45</v>
      </c>
      <c r="P101" s="94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0"/>
      <c r="R101" s="680"/>
      <c r="S101" s="680"/>
      <c r="T101" s="681"/>
      <c r="U101" s="39" t="s">
        <v>45</v>
      </c>
      <c r="V101" s="39" t="s">
        <v>45</v>
      </c>
      <c r="W101" s="40" t="s">
        <v>0</v>
      </c>
      <c r="X101" s="58">
        <v>0</v>
      </c>
      <c r="Y101" s="55">
        <f t="shared" si="16"/>
        <v>0</v>
      </c>
      <c r="Z101" s="41" t="str">
        <f>IFERROR(IF(Y101=0,"",ROUNDUP(Y101/H101,0)*0.00651),"")</f>
        <v/>
      </c>
      <c r="AA101" s="68" t="s">
        <v>45</v>
      </c>
      <c r="AB101" s="69" t="s">
        <v>45</v>
      </c>
      <c r="AC101" s="176" t="s">
        <v>221</v>
      </c>
      <c r="AG101" s="78"/>
      <c r="AJ101" s="84" t="s">
        <v>45</v>
      </c>
      <c r="AK101" s="84">
        <v>0</v>
      </c>
      <c r="BB101" s="177" t="s">
        <v>66</v>
      </c>
      <c r="BM101" s="78">
        <f t="shared" si="17"/>
        <v>0</v>
      </c>
      <c r="BN101" s="78">
        <f t="shared" si="18"/>
        <v>0</v>
      </c>
      <c r="BO101" s="78">
        <f t="shared" si="19"/>
        <v>0</v>
      </c>
      <c r="BP101" s="78">
        <f t="shared" si="20"/>
        <v>0</v>
      </c>
    </row>
    <row r="102" spans="1:68" x14ac:dyDescent="0.2">
      <c r="A102" s="685"/>
      <c r="B102" s="685"/>
      <c r="C102" s="685"/>
      <c r="D102" s="685"/>
      <c r="E102" s="685"/>
      <c r="F102" s="685"/>
      <c r="G102" s="685"/>
      <c r="H102" s="685"/>
      <c r="I102" s="685"/>
      <c r="J102" s="685"/>
      <c r="K102" s="685"/>
      <c r="L102" s="685"/>
      <c r="M102" s="685"/>
      <c r="N102" s="685"/>
      <c r="O102" s="686"/>
      <c r="P102" s="682" t="s">
        <v>40</v>
      </c>
      <c r="Q102" s="683"/>
      <c r="R102" s="683"/>
      <c r="S102" s="683"/>
      <c r="T102" s="683"/>
      <c r="U102" s="683"/>
      <c r="V102" s="684"/>
      <c r="W102" s="42" t="s">
        <v>39</v>
      </c>
      <c r="X102" s="43">
        <f>IFERROR(X93/H93,"0")+IFERROR(X94/H94,"0")+IFERROR(X95/H95,"0")+IFERROR(X96/H96,"0")+IFERROR(X97/H97,"0")+IFERROR(X98/H98,"0")+IFERROR(X99/H99,"0")+IFERROR(X100/H100,"0")+IFERROR(X101/H101,"0")</f>
        <v>0</v>
      </c>
      <c r="Y102" s="43">
        <f>IFERROR(Y93/H93,"0")+IFERROR(Y94/H94,"0")+IFERROR(Y95/H95,"0")+IFERROR(Y96/H96,"0")+IFERROR(Y97/H97,"0")+IFERROR(Y98/H98,"0")+IFERROR(Y99/H99,"0")+IFERROR(Y100/H100,"0")+IFERROR(Y101/H101,"0")</f>
        <v>0</v>
      </c>
      <c r="Z102" s="43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85"/>
      <c r="B103" s="685"/>
      <c r="C103" s="685"/>
      <c r="D103" s="685"/>
      <c r="E103" s="685"/>
      <c r="F103" s="685"/>
      <c r="G103" s="685"/>
      <c r="H103" s="685"/>
      <c r="I103" s="685"/>
      <c r="J103" s="685"/>
      <c r="K103" s="685"/>
      <c r="L103" s="685"/>
      <c r="M103" s="685"/>
      <c r="N103" s="685"/>
      <c r="O103" s="686"/>
      <c r="P103" s="682" t="s">
        <v>40</v>
      </c>
      <c r="Q103" s="683"/>
      <c r="R103" s="683"/>
      <c r="S103" s="683"/>
      <c r="T103" s="683"/>
      <c r="U103" s="683"/>
      <c r="V103" s="684"/>
      <c r="W103" s="42" t="s">
        <v>0</v>
      </c>
      <c r="X103" s="43">
        <f>IFERROR(SUM(X93:X101),"0")</f>
        <v>0</v>
      </c>
      <c r="Y103" s="43">
        <f>IFERROR(SUM(Y93:Y101),"0")</f>
        <v>0</v>
      </c>
      <c r="Z103" s="42"/>
      <c r="AA103" s="67"/>
      <c r="AB103" s="67"/>
      <c r="AC103" s="67"/>
    </row>
    <row r="104" spans="1:68" ht="16.5" customHeight="1" x14ac:dyDescent="0.25">
      <c r="A104" s="699" t="s">
        <v>225</v>
      </c>
      <c r="B104" s="699"/>
      <c r="C104" s="699"/>
      <c r="D104" s="699"/>
      <c r="E104" s="699"/>
      <c r="F104" s="699"/>
      <c r="G104" s="699"/>
      <c r="H104" s="699"/>
      <c r="I104" s="699"/>
      <c r="J104" s="699"/>
      <c r="K104" s="699"/>
      <c r="L104" s="699"/>
      <c r="M104" s="699"/>
      <c r="N104" s="699"/>
      <c r="O104" s="699"/>
      <c r="P104" s="699"/>
      <c r="Q104" s="699"/>
      <c r="R104" s="699"/>
      <c r="S104" s="699"/>
      <c r="T104" s="699"/>
      <c r="U104" s="699"/>
      <c r="V104" s="699"/>
      <c r="W104" s="699"/>
      <c r="X104" s="699"/>
      <c r="Y104" s="699"/>
      <c r="Z104" s="699"/>
      <c r="AA104" s="65"/>
      <c r="AB104" s="65"/>
      <c r="AC104" s="79"/>
    </row>
    <row r="105" spans="1:68" ht="14.25" customHeight="1" x14ac:dyDescent="0.25">
      <c r="A105" s="677" t="s">
        <v>109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"/>
      <c r="AB105" s="66"/>
      <c r="AC105" s="80"/>
    </row>
    <row r="106" spans="1:68" ht="16.5" customHeight="1" x14ac:dyDescent="0.25">
      <c r="A106" s="63" t="s">
        <v>226</v>
      </c>
      <c r="B106" s="63" t="s">
        <v>227</v>
      </c>
      <c r="C106" s="36">
        <v>4301011514</v>
      </c>
      <c r="D106" s="678">
        <v>4680115882133</v>
      </c>
      <c r="E106" s="678"/>
      <c r="F106" s="62">
        <v>1.35</v>
      </c>
      <c r="G106" s="37">
        <v>8</v>
      </c>
      <c r="H106" s="62">
        <v>10.8</v>
      </c>
      <c r="I106" s="62">
        <v>11.234999999999999</v>
      </c>
      <c r="J106" s="37">
        <v>64</v>
      </c>
      <c r="K106" s="37" t="s">
        <v>114</v>
      </c>
      <c r="L106" s="37" t="s">
        <v>45</v>
      </c>
      <c r="M106" s="38" t="s">
        <v>113</v>
      </c>
      <c r="N106" s="38"/>
      <c r="O106" s="37">
        <v>50</v>
      </c>
      <c r="P106" s="9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0"/>
      <c r="R106" s="680"/>
      <c r="S106" s="680"/>
      <c r="T106" s="681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78" t="s">
        <v>228</v>
      </c>
      <c r="AG106" s="78"/>
      <c r="AJ106" s="84" t="s">
        <v>45</v>
      </c>
      <c r="AK106" s="84">
        <v>0</v>
      </c>
      <c r="BB106" s="179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229</v>
      </c>
      <c r="B107" s="63" t="s">
        <v>230</v>
      </c>
      <c r="C107" s="36">
        <v>4301011417</v>
      </c>
      <c r="D107" s="678">
        <v>4680115880269</v>
      </c>
      <c r="E107" s="678"/>
      <c r="F107" s="62">
        <v>0.375</v>
      </c>
      <c r="G107" s="37">
        <v>10</v>
      </c>
      <c r="H107" s="62">
        <v>3.75</v>
      </c>
      <c r="I107" s="62">
        <v>3.96</v>
      </c>
      <c r="J107" s="37">
        <v>132</v>
      </c>
      <c r="K107" s="37" t="s">
        <v>118</v>
      </c>
      <c r="L107" s="37" t="s">
        <v>119</v>
      </c>
      <c r="M107" s="38" t="s">
        <v>117</v>
      </c>
      <c r="N107" s="38"/>
      <c r="O107" s="37">
        <v>50</v>
      </c>
      <c r="P107" s="9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0"/>
      <c r="R107" s="680"/>
      <c r="S107" s="680"/>
      <c r="T107" s="681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45</v>
      </c>
      <c r="AB107" s="69" t="s">
        <v>45</v>
      </c>
      <c r="AC107" s="180" t="s">
        <v>228</v>
      </c>
      <c r="AG107" s="78"/>
      <c r="AJ107" s="84" t="s">
        <v>120</v>
      </c>
      <c r="AK107" s="84">
        <v>45</v>
      </c>
      <c r="BB107" s="181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231</v>
      </c>
      <c r="B108" s="63" t="s">
        <v>232</v>
      </c>
      <c r="C108" s="36">
        <v>4301011415</v>
      </c>
      <c r="D108" s="678">
        <v>4680115880429</v>
      </c>
      <c r="E108" s="678"/>
      <c r="F108" s="62">
        <v>0.45</v>
      </c>
      <c r="G108" s="37">
        <v>10</v>
      </c>
      <c r="H108" s="62">
        <v>4.5</v>
      </c>
      <c r="I108" s="62">
        <v>4.71</v>
      </c>
      <c r="J108" s="37">
        <v>132</v>
      </c>
      <c r="K108" s="37" t="s">
        <v>118</v>
      </c>
      <c r="L108" s="37" t="s">
        <v>45</v>
      </c>
      <c r="M108" s="38" t="s">
        <v>117</v>
      </c>
      <c r="N108" s="38"/>
      <c r="O108" s="37">
        <v>50</v>
      </c>
      <c r="P108" s="9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0"/>
      <c r="R108" s="680"/>
      <c r="S108" s="680"/>
      <c r="T108" s="68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IFERROR(IF(Y108=0,"",ROUNDUP(Y108/H108,0)*0.00902),"")</f>
        <v/>
      </c>
      <c r="AA108" s="68" t="s">
        <v>45</v>
      </c>
      <c r="AB108" s="69" t="s">
        <v>45</v>
      </c>
      <c r="AC108" s="182" t="s">
        <v>228</v>
      </c>
      <c r="AG108" s="78"/>
      <c r="AJ108" s="84" t="s">
        <v>45</v>
      </c>
      <c r="AK108" s="84">
        <v>0</v>
      </c>
      <c r="BB108" s="183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233</v>
      </c>
      <c r="B109" s="63" t="s">
        <v>234</v>
      </c>
      <c r="C109" s="36">
        <v>4301011462</v>
      </c>
      <c r="D109" s="678">
        <v>4680115881457</v>
      </c>
      <c r="E109" s="678"/>
      <c r="F109" s="62">
        <v>0.75</v>
      </c>
      <c r="G109" s="37">
        <v>6</v>
      </c>
      <c r="H109" s="62">
        <v>4.5</v>
      </c>
      <c r="I109" s="62">
        <v>4.71</v>
      </c>
      <c r="J109" s="37">
        <v>132</v>
      </c>
      <c r="K109" s="37" t="s">
        <v>118</v>
      </c>
      <c r="L109" s="37" t="s">
        <v>45</v>
      </c>
      <c r="M109" s="38" t="s">
        <v>117</v>
      </c>
      <c r="N109" s="38"/>
      <c r="O109" s="37">
        <v>50</v>
      </c>
      <c r="P109" s="9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0"/>
      <c r="R109" s="680"/>
      <c r="S109" s="680"/>
      <c r="T109" s="68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IFERROR(IF(Y109=0,"",ROUNDUP(Y109/H109,0)*0.00902),"")</f>
        <v/>
      </c>
      <c r="AA109" s="68" t="s">
        <v>45</v>
      </c>
      <c r="AB109" s="69" t="s">
        <v>45</v>
      </c>
      <c r="AC109" s="184" t="s">
        <v>228</v>
      </c>
      <c r="AG109" s="78"/>
      <c r="AJ109" s="84" t="s">
        <v>45</v>
      </c>
      <c r="AK109" s="84">
        <v>0</v>
      </c>
      <c r="BB109" s="185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85"/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6"/>
      <c r="P110" s="682" t="s">
        <v>40</v>
      </c>
      <c r="Q110" s="683"/>
      <c r="R110" s="683"/>
      <c r="S110" s="683"/>
      <c r="T110" s="683"/>
      <c r="U110" s="683"/>
      <c r="V110" s="684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85"/>
      <c r="B111" s="685"/>
      <c r="C111" s="685"/>
      <c r="D111" s="685"/>
      <c r="E111" s="685"/>
      <c r="F111" s="685"/>
      <c r="G111" s="685"/>
      <c r="H111" s="685"/>
      <c r="I111" s="685"/>
      <c r="J111" s="685"/>
      <c r="K111" s="685"/>
      <c r="L111" s="685"/>
      <c r="M111" s="685"/>
      <c r="N111" s="685"/>
      <c r="O111" s="686"/>
      <c r="P111" s="682" t="s">
        <v>40</v>
      </c>
      <c r="Q111" s="683"/>
      <c r="R111" s="683"/>
      <c r="S111" s="683"/>
      <c r="T111" s="683"/>
      <c r="U111" s="683"/>
      <c r="V111" s="684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77" t="s">
        <v>149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"/>
      <c r="AB112" s="66"/>
      <c r="AC112" s="80"/>
    </row>
    <row r="113" spans="1:68" ht="16.5" customHeight="1" x14ac:dyDescent="0.25">
      <c r="A113" s="63" t="s">
        <v>235</v>
      </c>
      <c r="B113" s="63" t="s">
        <v>236</v>
      </c>
      <c r="C113" s="36">
        <v>4301020345</v>
      </c>
      <c r="D113" s="678">
        <v>4680115881488</v>
      </c>
      <c r="E113" s="678"/>
      <c r="F113" s="62">
        <v>1.35</v>
      </c>
      <c r="G113" s="37">
        <v>8</v>
      </c>
      <c r="H113" s="62">
        <v>10.8</v>
      </c>
      <c r="I113" s="62">
        <v>11.234999999999999</v>
      </c>
      <c r="J113" s="37">
        <v>64</v>
      </c>
      <c r="K113" s="37" t="s">
        <v>114</v>
      </c>
      <c r="L113" s="37" t="s">
        <v>45</v>
      </c>
      <c r="M113" s="38" t="s">
        <v>113</v>
      </c>
      <c r="N113" s="38"/>
      <c r="O113" s="37">
        <v>55</v>
      </c>
      <c r="P113" s="93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0"/>
      <c r="R113" s="680"/>
      <c r="S113" s="680"/>
      <c r="T113" s="681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86" t="s">
        <v>237</v>
      </c>
      <c r="AG113" s="78"/>
      <c r="AJ113" s="84" t="s">
        <v>45</v>
      </c>
      <c r="AK113" s="84">
        <v>0</v>
      </c>
      <c r="BB113" s="187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238</v>
      </c>
      <c r="B114" s="63" t="s">
        <v>239</v>
      </c>
      <c r="C114" s="36">
        <v>4301020346</v>
      </c>
      <c r="D114" s="678">
        <v>4680115882775</v>
      </c>
      <c r="E114" s="678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164</v>
      </c>
      <c r="L114" s="37" t="s">
        <v>45</v>
      </c>
      <c r="M114" s="38" t="s">
        <v>113</v>
      </c>
      <c r="N114" s="38"/>
      <c r="O114" s="37">
        <v>55</v>
      </c>
      <c r="P114" s="9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0"/>
      <c r="R114" s="680"/>
      <c r="S114" s="680"/>
      <c r="T114" s="681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45</v>
      </c>
      <c r="AB114" s="69" t="s">
        <v>45</v>
      </c>
      <c r="AC114" s="188" t="s">
        <v>237</v>
      </c>
      <c r="AG114" s="78"/>
      <c r="AJ114" s="84" t="s">
        <v>45</v>
      </c>
      <c r="AK114" s="84">
        <v>0</v>
      </c>
      <c r="BB114" s="189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240</v>
      </c>
      <c r="B115" s="63" t="s">
        <v>241</v>
      </c>
      <c r="C115" s="36">
        <v>4301020344</v>
      </c>
      <c r="D115" s="678">
        <v>4680115880658</v>
      </c>
      <c r="E115" s="678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83</v>
      </c>
      <c r="L115" s="37" t="s">
        <v>45</v>
      </c>
      <c r="M115" s="38" t="s">
        <v>113</v>
      </c>
      <c r="N115" s="38"/>
      <c r="O115" s="37">
        <v>55</v>
      </c>
      <c r="P115" s="93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0"/>
      <c r="R115" s="680"/>
      <c r="S115" s="680"/>
      <c r="T115" s="68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90" t="s">
        <v>237</v>
      </c>
      <c r="AG115" s="78"/>
      <c r="AJ115" s="84" t="s">
        <v>45</v>
      </c>
      <c r="AK115" s="84">
        <v>0</v>
      </c>
      <c r="BB115" s="191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85"/>
      <c r="B116" s="685"/>
      <c r="C116" s="685"/>
      <c r="D116" s="685"/>
      <c r="E116" s="685"/>
      <c r="F116" s="685"/>
      <c r="G116" s="685"/>
      <c r="H116" s="685"/>
      <c r="I116" s="685"/>
      <c r="J116" s="685"/>
      <c r="K116" s="685"/>
      <c r="L116" s="685"/>
      <c r="M116" s="685"/>
      <c r="N116" s="685"/>
      <c r="O116" s="686"/>
      <c r="P116" s="682" t="s">
        <v>40</v>
      </c>
      <c r="Q116" s="683"/>
      <c r="R116" s="683"/>
      <c r="S116" s="683"/>
      <c r="T116" s="683"/>
      <c r="U116" s="683"/>
      <c r="V116" s="684"/>
      <c r="W116" s="42" t="s">
        <v>39</v>
      </c>
      <c r="X116" s="43">
        <f>IFERROR(X113/H113,"0")+IFERROR(X114/H114,"0")+IFERROR(X115/H115,"0")</f>
        <v>0</v>
      </c>
      <c r="Y116" s="43">
        <f>IFERROR(Y113/H113,"0")+IFERROR(Y114/H114,"0")+IFERROR(Y115/H115,"0")</f>
        <v>0</v>
      </c>
      <c r="Z116" s="43">
        <f>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85"/>
      <c r="B117" s="685"/>
      <c r="C117" s="685"/>
      <c r="D117" s="685"/>
      <c r="E117" s="685"/>
      <c r="F117" s="685"/>
      <c r="G117" s="685"/>
      <c r="H117" s="685"/>
      <c r="I117" s="685"/>
      <c r="J117" s="685"/>
      <c r="K117" s="685"/>
      <c r="L117" s="685"/>
      <c r="M117" s="685"/>
      <c r="N117" s="685"/>
      <c r="O117" s="686"/>
      <c r="P117" s="682" t="s">
        <v>40</v>
      </c>
      <c r="Q117" s="683"/>
      <c r="R117" s="683"/>
      <c r="S117" s="683"/>
      <c r="T117" s="683"/>
      <c r="U117" s="683"/>
      <c r="V117" s="684"/>
      <c r="W117" s="42" t="s">
        <v>0</v>
      </c>
      <c r="X117" s="43">
        <f>IFERROR(SUM(X113:X115),"0")</f>
        <v>0</v>
      </c>
      <c r="Y117" s="43">
        <f>IFERROR(SUM(Y113:Y115),"0")</f>
        <v>0</v>
      </c>
      <c r="Z117" s="42"/>
      <c r="AA117" s="67"/>
      <c r="AB117" s="67"/>
      <c r="AC117" s="67"/>
    </row>
    <row r="118" spans="1:68" ht="14.25" customHeight="1" x14ac:dyDescent="0.25">
      <c r="A118" s="677" t="s">
        <v>78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"/>
      <c r="AB118" s="66"/>
      <c r="AC118" s="80"/>
    </row>
    <row r="119" spans="1:68" ht="37.5" customHeight="1" x14ac:dyDescent="0.25">
      <c r="A119" s="63" t="s">
        <v>242</v>
      </c>
      <c r="B119" s="63" t="s">
        <v>243</v>
      </c>
      <c r="C119" s="36">
        <v>4301051360</v>
      </c>
      <c r="D119" s="678">
        <v>4607091385168</v>
      </c>
      <c r="E119" s="678"/>
      <c r="F119" s="62">
        <v>1.35</v>
      </c>
      <c r="G119" s="37">
        <v>6</v>
      </c>
      <c r="H119" s="62">
        <v>8.1</v>
      </c>
      <c r="I119" s="62">
        <v>8.6129999999999995</v>
      </c>
      <c r="J119" s="37">
        <v>64</v>
      </c>
      <c r="K119" s="37" t="s">
        <v>114</v>
      </c>
      <c r="L119" s="37" t="s">
        <v>45</v>
      </c>
      <c r="M119" s="38" t="s">
        <v>117</v>
      </c>
      <c r="N119" s="38"/>
      <c r="O119" s="37">
        <v>45</v>
      </c>
      <c r="P119" s="92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0"/>
      <c r="R119" s="680"/>
      <c r="S119" s="680"/>
      <c r="T119" s="681"/>
      <c r="U119" s="39" t="s">
        <v>45</v>
      </c>
      <c r="V119" s="39" t="s">
        <v>45</v>
      </c>
      <c r="W119" s="40" t="s">
        <v>0</v>
      </c>
      <c r="X119" s="58">
        <v>0</v>
      </c>
      <c r="Y119" s="55">
        <f t="shared" ref="Y119:Y127" si="21">IFERROR(IF(X119="",0,CEILING((X119/$H119),1)*$H119),"")</f>
        <v>0</v>
      </c>
      <c r="Z119" s="41" t="str">
        <f>IFERROR(IF(Y119=0,"",ROUNDUP(Y119/H119,0)*0.01898),"")</f>
        <v/>
      </c>
      <c r="AA119" s="68" t="s">
        <v>45</v>
      </c>
      <c r="AB119" s="69" t="s">
        <v>45</v>
      </c>
      <c r="AC119" s="192" t="s">
        <v>244</v>
      </c>
      <c r="AG119" s="78"/>
      <c r="AJ119" s="84" t="s">
        <v>45</v>
      </c>
      <c r="AK119" s="84">
        <v>0</v>
      </c>
      <c r="BB119" s="193" t="s">
        <v>66</v>
      </c>
      <c r="BM119" s="78">
        <f t="shared" ref="BM119:BM127" si="22">IFERROR(X119*I119/H119,"0")</f>
        <v>0</v>
      </c>
      <c r="BN119" s="78">
        <f t="shared" ref="BN119:BN127" si="23">IFERROR(Y119*I119/H119,"0")</f>
        <v>0</v>
      </c>
      <c r="BO119" s="78">
        <f t="shared" ref="BO119:BO127" si="24">IFERROR(1/J119*(X119/H119),"0")</f>
        <v>0</v>
      </c>
      <c r="BP119" s="78">
        <f t="shared" ref="BP119:BP127" si="25">IFERROR(1/J119*(Y119/H119),"0")</f>
        <v>0</v>
      </c>
    </row>
    <row r="120" spans="1:68" ht="16.5" customHeight="1" x14ac:dyDescent="0.25">
      <c r="A120" s="63" t="s">
        <v>242</v>
      </c>
      <c r="B120" s="63" t="s">
        <v>245</v>
      </c>
      <c r="C120" s="36">
        <v>4301051724</v>
      </c>
      <c r="D120" s="678">
        <v>4607091385168</v>
      </c>
      <c r="E120" s="678"/>
      <c r="F120" s="62">
        <v>1.35</v>
      </c>
      <c r="G120" s="37">
        <v>6</v>
      </c>
      <c r="H120" s="62">
        <v>8.1</v>
      </c>
      <c r="I120" s="62">
        <v>8.6129999999999995</v>
      </c>
      <c r="J120" s="37">
        <v>64</v>
      </c>
      <c r="K120" s="37" t="s">
        <v>114</v>
      </c>
      <c r="L120" s="37" t="s">
        <v>45</v>
      </c>
      <c r="M120" s="38" t="s">
        <v>146</v>
      </c>
      <c r="N120" s="38"/>
      <c r="O120" s="37">
        <v>45</v>
      </c>
      <c r="P120" s="927" t="s">
        <v>246</v>
      </c>
      <c r="Q120" s="680"/>
      <c r="R120" s="680"/>
      <c r="S120" s="680"/>
      <c r="T120" s="681"/>
      <c r="U120" s="39" t="s">
        <v>45</v>
      </c>
      <c r="V120" s="39" t="s">
        <v>45</v>
      </c>
      <c r="W120" s="40" t="s">
        <v>0</v>
      </c>
      <c r="X120" s="58">
        <v>0</v>
      </c>
      <c r="Y120" s="55">
        <f t="shared" si="21"/>
        <v>0</v>
      </c>
      <c r="Z120" s="41" t="str">
        <f>IFERROR(IF(Y120=0,"",ROUNDUP(Y120/H120,0)*0.01898),"")</f>
        <v/>
      </c>
      <c r="AA120" s="68" t="s">
        <v>45</v>
      </c>
      <c r="AB120" s="69" t="s">
        <v>45</v>
      </c>
      <c r="AC120" s="194" t="s">
        <v>247</v>
      </c>
      <c r="AG120" s="78"/>
      <c r="AJ120" s="84" t="s">
        <v>45</v>
      </c>
      <c r="AK120" s="84">
        <v>0</v>
      </c>
      <c r="BB120" s="195" t="s">
        <v>66</v>
      </c>
      <c r="BM120" s="78">
        <f t="shared" si="22"/>
        <v>0</v>
      </c>
      <c r="BN120" s="78">
        <f t="shared" si="23"/>
        <v>0</v>
      </c>
      <c r="BO120" s="78">
        <f t="shared" si="24"/>
        <v>0</v>
      </c>
      <c r="BP120" s="78">
        <f t="shared" si="25"/>
        <v>0</v>
      </c>
    </row>
    <row r="121" spans="1:68" ht="27" customHeight="1" x14ac:dyDescent="0.25">
      <c r="A121" s="63" t="s">
        <v>242</v>
      </c>
      <c r="B121" s="63" t="s">
        <v>248</v>
      </c>
      <c r="C121" s="36">
        <v>4301051625</v>
      </c>
      <c r="D121" s="678">
        <v>4607091385168</v>
      </c>
      <c r="E121" s="678"/>
      <c r="F121" s="62">
        <v>1.4</v>
      </c>
      <c r="G121" s="37">
        <v>6</v>
      </c>
      <c r="H121" s="62">
        <v>8.4</v>
      </c>
      <c r="I121" s="62">
        <v>8.9130000000000003</v>
      </c>
      <c r="J121" s="37">
        <v>64</v>
      </c>
      <c r="K121" s="37" t="s">
        <v>114</v>
      </c>
      <c r="L121" s="37" t="s">
        <v>45</v>
      </c>
      <c r="M121" s="38" t="s">
        <v>117</v>
      </c>
      <c r="N121" s="38"/>
      <c r="O121" s="37">
        <v>45</v>
      </c>
      <c r="P121" s="92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0"/>
      <c r="R121" s="680"/>
      <c r="S121" s="680"/>
      <c r="T121" s="681"/>
      <c r="U121" s="39" t="s">
        <v>45</v>
      </c>
      <c r="V121" s="39" t="s">
        <v>45</v>
      </c>
      <c r="W121" s="40" t="s">
        <v>0</v>
      </c>
      <c r="X121" s="58">
        <v>0</v>
      </c>
      <c r="Y121" s="55">
        <f t="shared" si="21"/>
        <v>0</v>
      </c>
      <c r="Z121" s="41" t="str">
        <f>IFERROR(IF(Y121=0,"",ROUNDUP(Y121/H121,0)*0.01898),"")</f>
        <v/>
      </c>
      <c r="AA121" s="68" t="s">
        <v>45</v>
      </c>
      <c r="AB121" s="69" t="s">
        <v>45</v>
      </c>
      <c r="AC121" s="196" t="s">
        <v>249</v>
      </c>
      <c r="AG121" s="78"/>
      <c r="AJ121" s="84" t="s">
        <v>45</v>
      </c>
      <c r="AK121" s="84">
        <v>0</v>
      </c>
      <c r="BB121" s="197" t="s">
        <v>66</v>
      </c>
      <c r="BM121" s="78">
        <f t="shared" si="22"/>
        <v>0</v>
      </c>
      <c r="BN121" s="78">
        <f t="shared" si="23"/>
        <v>0</v>
      </c>
      <c r="BO121" s="78">
        <f t="shared" si="24"/>
        <v>0</v>
      </c>
      <c r="BP121" s="78">
        <f t="shared" si="25"/>
        <v>0</v>
      </c>
    </row>
    <row r="122" spans="1:68" ht="37.5" customHeight="1" x14ac:dyDescent="0.25">
      <c r="A122" s="63" t="s">
        <v>250</v>
      </c>
      <c r="B122" s="63" t="s">
        <v>251</v>
      </c>
      <c r="C122" s="36">
        <v>4301051362</v>
      </c>
      <c r="D122" s="678">
        <v>4607091383256</v>
      </c>
      <c r="E122" s="678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83</v>
      </c>
      <c r="L122" s="37" t="s">
        <v>45</v>
      </c>
      <c r="M122" s="38" t="s">
        <v>117</v>
      </c>
      <c r="N122" s="38"/>
      <c r="O122" s="37">
        <v>45</v>
      </c>
      <c r="P122" s="92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0"/>
      <c r="R122" s="680"/>
      <c r="S122" s="680"/>
      <c r="T122" s="681"/>
      <c r="U122" s="39" t="s">
        <v>45</v>
      </c>
      <c r="V122" s="39" t="s">
        <v>45</v>
      </c>
      <c r="W122" s="40" t="s">
        <v>0</v>
      </c>
      <c r="X122" s="58">
        <v>0</v>
      </c>
      <c r="Y122" s="55">
        <f t="shared" si="21"/>
        <v>0</v>
      </c>
      <c r="Z122" s="41" t="str">
        <f t="shared" ref="Z122:Z127" si="26">IFERROR(IF(Y122=0,"",ROUNDUP(Y122/H122,0)*0.00651),"")</f>
        <v/>
      </c>
      <c r="AA122" s="68" t="s">
        <v>45</v>
      </c>
      <c r="AB122" s="69" t="s">
        <v>45</v>
      </c>
      <c r="AC122" s="198" t="s">
        <v>244</v>
      </c>
      <c r="AG122" s="78"/>
      <c r="AJ122" s="84" t="s">
        <v>45</v>
      </c>
      <c r="AK122" s="84">
        <v>0</v>
      </c>
      <c r="BB122" s="199" t="s">
        <v>66</v>
      </c>
      <c r="BM122" s="78">
        <f t="shared" si="22"/>
        <v>0</v>
      </c>
      <c r="BN122" s="78">
        <f t="shared" si="23"/>
        <v>0</v>
      </c>
      <c r="BO122" s="78">
        <f t="shared" si="24"/>
        <v>0</v>
      </c>
      <c r="BP122" s="78">
        <f t="shared" si="25"/>
        <v>0</v>
      </c>
    </row>
    <row r="123" spans="1:68" ht="27" customHeight="1" x14ac:dyDescent="0.25">
      <c r="A123" s="63" t="s">
        <v>250</v>
      </c>
      <c r="B123" s="63" t="s">
        <v>252</v>
      </c>
      <c r="C123" s="36">
        <v>4301051730</v>
      </c>
      <c r="D123" s="678">
        <v>4607091383256</v>
      </c>
      <c r="E123" s="67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83</v>
      </c>
      <c r="L123" s="37" t="s">
        <v>45</v>
      </c>
      <c r="M123" s="38" t="s">
        <v>146</v>
      </c>
      <c r="N123" s="38"/>
      <c r="O123" s="37">
        <v>45</v>
      </c>
      <c r="P123" s="930" t="s">
        <v>253</v>
      </c>
      <c r="Q123" s="680"/>
      <c r="R123" s="680"/>
      <c r="S123" s="680"/>
      <c r="T123" s="681"/>
      <c r="U123" s="39" t="s">
        <v>45</v>
      </c>
      <c r="V123" s="39" t="s">
        <v>45</v>
      </c>
      <c r="W123" s="40" t="s">
        <v>0</v>
      </c>
      <c r="X123" s="58">
        <v>0</v>
      </c>
      <c r="Y123" s="55">
        <f t="shared" si="21"/>
        <v>0</v>
      </c>
      <c r="Z123" s="41" t="str">
        <f t="shared" si="26"/>
        <v/>
      </c>
      <c r="AA123" s="68" t="s">
        <v>45</v>
      </c>
      <c r="AB123" s="69" t="s">
        <v>45</v>
      </c>
      <c r="AC123" s="200" t="s">
        <v>247</v>
      </c>
      <c r="AG123" s="78"/>
      <c r="AJ123" s="84" t="s">
        <v>45</v>
      </c>
      <c r="AK123" s="84">
        <v>0</v>
      </c>
      <c r="BB123" s="201" t="s">
        <v>66</v>
      </c>
      <c r="BM123" s="78">
        <f t="shared" si="22"/>
        <v>0</v>
      </c>
      <c r="BN123" s="78">
        <f t="shared" si="23"/>
        <v>0</v>
      </c>
      <c r="BO123" s="78">
        <f t="shared" si="24"/>
        <v>0</v>
      </c>
      <c r="BP123" s="78">
        <f t="shared" si="25"/>
        <v>0</v>
      </c>
    </row>
    <row r="124" spans="1:68" ht="37.5" customHeight="1" x14ac:dyDescent="0.25">
      <c r="A124" s="63" t="s">
        <v>254</v>
      </c>
      <c r="B124" s="63" t="s">
        <v>255</v>
      </c>
      <c r="C124" s="36">
        <v>4301051358</v>
      </c>
      <c r="D124" s="678">
        <v>4607091385748</v>
      </c>
      <c r="E124" s="67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83</v>
      </c>
      <c r="L124" s="37" t="s">
        <v>136</v>
      </c>
      <c r="M124" s="38" t="s">
        <v>117</v>
      </c>
      <c r="N124" s="38"/>
      <c r="O124" s="37">
        <v>45</v>
      </c>
      <c r="P124" s="931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0"/>
      <c r="R124" s="680"/>
      <c r="S124" s="680"/>
      <c r="T124" s="681"/>
      <c r="U124" s="39" t="s">
        <v>45</v>
      </c>
      <c r="V124" s="39" t="s">
        <v>45</v>
      </c>
      <c r="W124" s="40" t="s">
        <v>0</v>
      </c>
      <c r="X124" s="58">
        <v>0</v>
      </c>
      <c r="Y124" s="55">
        <f t="shared" si="21"/>
        <v>0</v>
      </c>
      <c r="Z124" s="41" t="str">
        <f t="shared" si="26"/>
        <v/>
      </c>
      <c r="AA124" s="68" t="s">
        <v>45</v>
      </c>
      <c r="AB124" s="69" t="s">
        <v>45</v>
      </c>
      <c r="AC124" s="202" t="s">
        <v>244</v>
      </c>
      <c r="AG124" s="78"/>
      <c r="AJ124" s="84" t="s">
        <v>137</v>
      </c>
      <c r="AK124" s="84">
        <v>491.4</v>
      </c>
      <c r="BB124" s="203" t="s">
        <v>66</v>
      </c>
      <c r="BM124" s="78">
        <f t="shared" si="22"/>
        <v>0</v>
      </c>
      <c r="BN124" s="78">
        <f t="shared" si="23"/>
        <v>0</v>
      </c>
      <c r="BO124" s="78">
        <f t="shared" si="24"/>
        <v>0</v>
      </c>
      <c r="BP124" s="78">
        <f t="shared" si="25"/>
        <v>0</v>
      </c>
    </row>
    <row r="125" spans="1:68" ht="27" customHeight="1" x14ac:dyDescent="0.25">
      <c r="A125" s="63" t="s">
        <v>254</v>
      </c>
      <c r="B125" s="63" t="s">
        <v>256</v>
      </c>
      <c r="C125" s="36">
        <v>4301051721</v>
      </c>
      <c r="D125" s="678">
        <v>4607091385748</v>
      </c>
      <c r="E125" s="678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83</v>
      </c>
      <c r="L125" s="37" t="s">
        <v>45</v>
      </c>
      <c r="M125" s="38" t="s">
        <v>146</v>
      </c>
      <c r="N125" s="38"/>
      <c r="O125" s="37">
        <v>45</v>
      </c>
      <c r="P125" s="932" t="s">
        <v>257</v>
      </c>
      <c r="Q125" s="680"/>
      <c r="R125" s="680"/>
      <c r="S125" s="680"/>
      <c r="T125" s="681"/>
      <c r="U125" s="39" t="s">
        <v>45</v>
      </c>
      <c r="V125" s="39" t="s">
        <v>45</v>
      </c>
      <c r="W125" s="40" t="s">
        <v>0</v>
      </c>
      <c r="X125" s="58">
        <v>0</v>
      </c>
      <c r="Y125" s="55">
        <f t="shared" si="21"/>
        <v>0</v>
      </c>
      <c r="Z125" s="41" t="str">
        <f t="shared" si="26"/>
        <v/>
      </c>
      <c r="AA125" s="68" t="s">
        <v>45</v>
      </c>
      <c r="AB125" s="69" t="s">
        <v>45</v>
      </c>
      <c r="AC125" s="204" t="s">
        <v>247</v>
      </c>
      <c r="AG125" s="78"/>
      <c r="AJ125" s="84" t="s">
        <v>45</v>
      </c>
      <c r="AK125" s="84">
        <v>0</v>
      </c>
      <c r="BB125" s="205" t="s">
        <v>66</v>
      </c>
      <c r="BM125" s="78">
        <f t="shared" si="22"/>
        <v>0</v>
      </c>
      <c r="BN125" s="78">
        <f t="shared" si="23"/>
        <v>0</v>
      </c>
      <c r="BO125" s="78">
        <f t="shared" si="24"/>
        <v>0</v>
      </c>
      <c r="BP125" s="78">
        <f t="shared" si="25"/>
        <v>0</v>
      </c>
    </row>
    <row r="126" spans="1:68" ht="27" customHeight="1" x14ac:dyDescent="0.25">
      <c r="A126" s="63" t="s">
        <v>258</v>
      </c>
      <c r="B126" s="63" t="s">
        <v>259</v>
      </c>
      <c r="C126" s="36">
        <v>4301051740</v>
      </c>
      <c r="D126" s="678">
        <v>4680115884533</v>
      </c>
      <c r="E126" s="678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83</v>
      </c>
      <c r="L126" s="37" t="s">
        <v>45</v>
      </c>
      <c r="M126" s="38" t="s">
        <v>117</v>
      </c>
      <c r="N126" s="38"/>
      <c r="O126" s="37">
        <v>45</v>
      </c>
      <c r="P126" s="9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0"/>
      <c r="R126" s="680"/>
      <c r="S126" s="680"/>
      <c r="T126" s="681"/>
      <c r="U126" s="39" t="s">
        <v>45</v>
      </c>
      <c r="V126" s="39" t="s">
        <v>45</v>
      </c>
      <c r="W126" s="40" t="s">
        <v>0</v>
      </c>
      <c r="X126" s="58">
        <v>0</v>
      </c>
      <c r="Y126" s="55">
        <f t="shared" si="21"/>
        <v>0</v>
      </c>
      <c r="Z126" s="41" t="str">
        <f t="shared" si="26"/>
        <v/>
      </c>
      <c r="AA126" s="68" t="s">
        <v>45</v>
      </c>
      <c r="AB126" s="69" t="s">
        <v>45</v>
      </c>
      <c r="AC126" s="206" t="s">
        <v>260</v>
      </c>
      <c r="AG126" s="78"/>
      <c r="AJ126" s="84" t="s">
        <v>45</v>
      </c>
      <c r="AK126" s="84">
        <v>0</v>
      </c>
      <c r="BB126" s="207" t="s">
        <v>66</v>
      </c>
      <c r="BM126" s="78">
        <f t="shared" si="22"/>
        <v>0</v>
      </c>
      <c r="BN126" s="78">
        <f t="shared" si="23"/>
        <v>0</v>
      </c>
      <c r="BO126" s="78">
        <f t="shared" si="24"/>
        <v>0</v>
      </c>
      <c r="BP126" s="78">
        <f t="shared" si="25"/>
        <v>0</v>
      </c>
    </row>
    <row r="127" spans="1:68" ht="37.5" customHeight="1" x14ac:dyDescent="0.25">
      <c r="A127" s="63" t="s">
        <v>261</v>
      </c>
      <c r="B127" s="63" t="s">
        <v>262</v>
      </c>
      <c r="C127" s="36">
        <v>4301051480</v>
      </c>
      <c r="D127" s="678">
        <v>4680115882645</v>
      </c>
      <c r="E127" s="678"/>
      <c r="F127" s="62">
        <v>0.3</v>
      </c>
      <c r="G127" s="37">
        <v>6</v>
      </c>
      <c r="H127" s="62">
        <v>1.8</v>
      </c>
      <c r="I127" s="62">
        <v>2.64</v>
      </c>
      <c r="J127" s="37">
        <v>182</v>
      </c>
      <c r="K127" s="37" t="s">
        <v>83</v>
      </c>
      <c r="L127" s="37" t="s">
        <v>45</v>
      </c>
      <c r="M127" s="38" t="s">
        <v>82</v>
      </c>
      <c r="N127" s="38"/>
      <c r="O127" s="37">
        <v>40</v>
      </c>
      <c r="P127" s="92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0"/>
      <c r="R127" s="680"/>
      <c r="S127" s="680"/>
      <c r="T127" s="681"/>
      <c r="U127" s="39" t="s">
        <v>45</v>
      </c>
      <c r="V127" s="39" t="s">
        <v>45</v>
      </c>
      <c r="W127" s="40" t="s">
        <v>0</v>
      </c>
      <c r="X127" s="58">
        <v>0</v>
      </c>
      <c r="Y127" s="55">
        <f t="shared" si="21"/>
        <v>0</v>
      </c>
      <c r="Z127" s="41" t="str">
        <f t="shared" si="26"/>
        <v/>
      </c>
      <c r="AA127" s="68" t="s">
        <v>45</v>
      </c>
      <c r="AB127" s="69" t="s">
        <v>45</v>
      </c>
      <c r="AC127" s="208" t="s">
        <v>263</v>
      </c>
      <c r="AG127" s="78"/>
      <c r="AJ127" s="84" t="s">
        <v>45</v>
      </c>
      <c r="AK127" s="84">
        <v>0</v>
      </c>
      <c r="BB127" s="209" t="s">
        <v>66</v>
      </c>
      <c r="BM127" s="78">
        <f t="shared" si="22"/>
        <v>0</v>
      </c>
      <c r="BN127" s="78">
        <f t="shared" si="23"/>
        <v>0</v>
      </c>
      <c r="BO127" s="78">
        <f t="shared" si="24"/>
        <v>0</v>
      </c>
      <c r="BP127" s="78">
        <f t="shared" si="25"/>
        <v>0</v>
      </c>
    </row>
    <row r="128" spans="1:68" x14ac:dyDescent="0.2">
      <c r="A128" s="685"/>
      <c r="B128" s="685"/>
      <c r="C128" s="685"/>
      <c r="D128" s="685"/>
      <c r="E128" s="685"/>
      <c r="F128" s="685"/>
      <c r="G128" s="685"/>
      <c r="H128" s="685"/>
      <c r="I128" s="685"/>
      <c r="J128" s="685"/>
      <c r="K128" s="685"/>
      <c r="L128" s="685"/>
      <c r="M128" s="685"/>
      <c r="N128" s="685"/>
      <c r="O128" s="686"/>
      <c r="P128" s="682" t="s">
        <v>40</v>
      </c>
      <c r="Q128" s="683"/>
      <c r="R128" s="683"/>
      <c r="S128" s="683"/>
      <c r="T128" s="683"/>
      <c r="U128" s="683"/>
      <c r="V128" s="684"/>
      <c r="W128" s="42" t="s">
        <v>39</v>
      </c>
      <c r="X128" s="43">
        <f>IFERROR(X119/H119,"0")+IFERROR(X120/H120,"0")+IFERROR(X121/H121,"0")+IFERROR(X122/H122,"0")+IFERROR(X123/H123,"0")+IFERROR(X124/H124,"0")+IFERROR(X125/H125,"0")+IFERROR(X126/H126,"0")+IFERROR(X127/H127,"0")</f>
        <v>0</v>
      </c>
      <c r="Y128" s="43">
        <f>IFERROR(Y119/H119,"0")+IFERROR(Y120/H120,"0")+IFERROR(Y121/H121,"0")+IFERROR(Y122/H122,"0")+IFERROR(Y123/H123,"0")+IFERROR(Y124/H124,"0")+IFERROR(Y125/H125,"0")+IFERROR(Y126/H126,"0")+IFERROR(Y127/H127,"0")</f>
        <v>0</v>
      </c>
      <c r="Z128" s="43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">
      <c r="A129" s="685"/>
      <c r="B129" s="685"/>
      <c r="C129" s="685"/>
      <c r="D129" s="685"/>
      <c r="E129" s="685"/>
      <c r="F129" s="685"/>
      <c r="G129" s="685"/>
      <c r="H129" s="685"/>
      <c r="I129" s="685"/>
      <c r="J129" s="685"/>
      <c r="K129" s="685"/>
      <c r="L129" s="685"/>
      <c r="M129" s="685"/>
      <c r="N129" s="685"/>
      <c r="O129" s="686"/>
      <c r="P129" s="682" t="s">
        <v>40</v>
      </c>
      <c r="Q129" s="683"/>
      <c r="R129" s="683"/>
      <c r="S129" s="683"/>
      <c r="T129" s="683"/>
      <c r="U129" s="683"/>
      <c r="V129" s="684"/>
      <c r="W129" s="42" t="s">
        <v>0</v>
      </c>
      <c r="X129" s="43">
        <f>IFERROR(SUM(X119:X127),"0")</f>
        <v>0</v>
      </c>
      <c r="Y129" s="43">
        <f>IFERROR(SUM(Y119:Y127),"0")</f>
        <v>0</v>
      </c>
      <c r="Z129" s="42"/>
      <c r="AA129" s="67"/>
      <c r="AB129" s="67"/>
      <c r="AC129" s="67"/>
    </row>
    <row r="130" spans="1:68" ht="14.25" customHeight="1" x14ac:dyDescent="0.25">
      <c r="A130" s="677" t="s">
        <v>186</v>
      </c>
      <c r="B130" s="677"/>
      <c r="C130" s="677"/>
      <c r="D130" s="677"/>
      <c r="E130" s="677"/>
      <c r="F130" s="677"/>
      <c r="G130" s="677"/>
      <c r="H130" s="677"/>
      <c r="I130" s="677"/>
      <c r="J130" s="677"/>
      <c r="K130" s="677"/>
      <c r="L130" s="677"/>
      <c r="M130" s="677"/>
      <c r="N130" s="677"/>
      <c r="O130" s="677"/>
      <c r="P130" s="677"/>
      <c r="Q130" s="677"/>
      <c r="R130" s="677"/>
      <c r="S130" s="677"/>
      <c r="T130" s="677"/>
      <c r="U130" s="677"/>
      <c r="V130" s="677"/>
      <c r="W130" s="677"/>
      <c r="X130" s="677"/>
      <c r="Y130" s="677"/>
      <c r="Z130" s="677"/>
      <c r="AA130" s="66"/>
      <c r="AB130" s="66"/>
      <c r="AC130" s="80"/>
    </row>
    <row r="131" spans="1:68" ht="37.5" customHeight="1" x14ac:dyDescent="0.25">
      <c r="A131" s="63" t="s">
        <v>264</v>
      </c>
      <c r="B131" s="63" t="s">
        <v>265</v>
      </c>
      <c r="C131" s="36">
        <v>4301060356</v>
      </c>
      <c r="D131" s="678">
        <v>4680115882652</v>
      </c>
      <c r="E131" s="678"/>
      <c r="F131" s="62">
        <v>0.33</v>
      </c>
      <c r="G131" s="37">
        <v>6</v>
      </c>
      <c r="H131" s="62">
        <v>1.98</v>
      </c>
      <c r="I131" s="62">
        <v>2.82</v>
      </c>
      <c r="J131" s="37">
        <v>182</v>
      </c>
      <c r="K131" s="37" t="s">
        <v>83</v>
      </c>
      <c r="L131" s="37" t="s">
        <v>45</v>
      </c>
      <c r="M131" s="38" t="s">
        <v>82</v>
      </c>
      <c r="N131" s="38"/>
      <c r="O131" s="37">
        <v>40</v>
      </c>
      <c r="P131" s="92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0"/>
      <c r="R131" s="680"/>
      <c r="S131" s="680"/>
      <c r="T131" s="681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210" t="s">
        <v>266</v>
      </c>
      <c r="AG131" s="78"/>
      <c r="AJ131" s="84" t="s">
        <v>45</v>
      </c>
      <c r="AK131" s="84">
        <v>0</v>
      </c>
      <c r="BB131" s="21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267</v>
      </c>
      <c r="B132" s="63" t="s">
        <v>268</v>
      </c>
      <c r="C132" s="36">
        <v>4301060317</v>
      </c>
      <c r="D132" s="678">
        <v>4680115880238</v>
      </c>
      <c r="E132" s="678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83</v>
      </c>
      <c r="L132" s="37" t="s">
        <v>45</v>
      </c>
      <c r="M132" s="38" t="s">
        <v>117</v>
      </c>
      <c r="N132" s="38"/>
      <c r="O132" s="37">
        <v>40</v>
      </c>
      <c r="P132" s="9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0"/>
      <c r="R132" s="680"/>
      <c r="S132" s="680"/>
      <c r="T132" s="68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212" t="s">
        <v>269</v>
      </c>
      <c r="AG132" s="78"/>
      <c r="AJ132" s="84" t="s">
        <v>45</v>
      </c>
      <c r="AK132" s="84">
        <v>0</v>
      </c>
      <c r="BB132" s="21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85"/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6"/>
      <c r="P133" s="682" t="s">
        <v>40</v>
      </c>
      <c r="Q133" s="683"/>
      <c r="R133" s="683"/>
      <c r="S133" s="683"/>
      <c r="T133" s="683"/>
      <c r="U133" s="683"/>
      <c r="V133" s="684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85"/>
      <c r="B134" s="685"/>
      <c r="C134" s="685"/>
      <c r="D134" s="685"/>
      <c r="E134" s="685"/>
      <c r="F134" s="685"/>
      <c r="G134" s="685"/>
      <c r="H134" s="685"/>
      <c r="I134" s="685"/>
      <c r="J134" s="685"/>
      <c r="K134" s="685"/>
      <c r="L134" s="685"/>
      <c r="M134" s="685"/>
      <c r="N134" s="685"/>
      <c r="O134" s="686"/>
      <c r="P134" s="682" t="s">
        <v>40</v>
      </c>
      <c r="Q134" s="683"/>
      <c r="R134" s="683"/>
      <c r="S134" s="683"/>
      <c r="T134" s="683"/>
      <c r="U134" s="683"/>
      <c r="V134" s="684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6.5" customHeight="1" x14ac:dyDescent="0.25">
      <c r="A135" s="699" t="s">
        <v>270</v>
      </c>
      <c r="B135" s="699"/>
      <c r="C135" s="699"/>
      <c r="D135" s="699"/>
      <c r="E135" s="699"/>
      <c r="F135" s="699"/>
      <c r="G135" s="699"/>
      <c r="H135" s="699"/>
      <c r="I135" s="699"/>
      <c r="J135" s="699"/>
      <c r="K135" s="699"/>
      <c r="L135" s="699"/>
      <c r="M135" s="699"/>
      <c r="N135" s="699"/>
      <c r="O135" s="699"/>
      <c r="P135" s="699"/>
      <c r="Q135" s="699"/>
      <c r="R135" s="699"/>
      <c r="S135" s="699"/>
      <c r="T135" s="699"/>
      <c r="U135" s="699"/>
      <c r="V135" s="699"/>
      <c r="W135" s="699"/>
      <c r="X135" s="699"/>
      <c r="Y135" s="699"/>
      <c r="Z135" s="699"/>
      <c r="AA135" s="65"/>
      <c r="AB135" s="65"/>
      <c r="AC135" s="79"/>
    </row>
    <row r="136" spans="1:68" ht="14.25" customHeight="1" x14ac:dyDescent="0.25">
      <c r="A136" s="677" t="s">
        <v>109</v>
      </c>
      <c r="B136" s="677"/>
      <c r="C136" s="677"/>
      <c r="D136" s="677"/>
      <c r="E136" s="677"/>
      <c r="F136" s="677"/>
      <c r="G136" s="677"/>
      <c r="H136" s="677"/>
      <c r="I136" s="677"/>
      <c r="J136" s="677"/>
      <c r="K136" s="677"/>
      <c r="L136" s="677"/>
      <c r="M136" s="677"/>
      <c r="N136" s="677"/>
      <c r="O136" s="677"/>
      <c r="P136" s="677"/>
      <c r="Q136" s="677"/>
      <c r="R136" s="677"/>
      <c r="S136" s="677"/>
      <c r="T136" s="677"/>
      <c r="U136" s="677"/>
      <c r="V136" s="677"/>
      <c r="W136" s="677"/>
      <c r="X136" s="677"/>
      <c r="Y136" s="677"/>
      <c r="Z136" s="677"/>
      <c r="AA136" s="66"/>
      <c r="AB136" s="66"/>
      <c r="AC136" s="80"/>
    </row>
    <row r="137" spans="1:68" ht="27" customHeight="1" x14ac:dyDescent="0.25">
      <c r="A137" s="63" t="s">
        <v>271</v>
      </c>
      <c r="B137" s="63" t="s">
        <v>272</v>
      </c>
      <c r="C137" s="36">
        <v>4301011562</v>
      </c>
      <c r="D137" s="678">
        <v>4680115882577</v>
      </c>
      <c r="E137" s="67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83</v>
      </c>
      <c r="L137" s="37" t="s">
        <v>45</v>
      </c>
      <c r="M137" s="38" t="s">
        <v>106</v>
      </c>
      <c r="N137" s="38"/>
      <c r="O137" s="37">
        <v>90</v>
      </c>
      <c r="P137" s="9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0"/>
      <c r="R137" s="680"/>
      <c r="S137" s="680"/>
      <c r="T137" s="68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214" t="s">
        <v>273</v>
      </c>
      <c r="AG137" s="78"/>
      <c r="AJ137" s="84" t="s">
        <v>45</v>
      </c>
      <c r="AK137" s="84">
        <v>0</v>
      </c>
      <c r="BB137" s="21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271</v>
      </c>
      <c r="B138" s="63" t="s">
        <v>274</v>
      </c>
      <c r="C138" s="36">
        <v>4301011564</v>
      </c>
      <c r="D138" s="678">
        <v>4680115882577</v>
      </c>
      <c r="E138" s="678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83</v>
      </c>
      <c r="L138" s="37" t="s">
        <v>45</v>
      </c>
      <c r="M138" s="38" t="s">
        <v>106</v>
      </c>
      <c r="N138" s="38"/>
      <c r="O138" s="37">
        <v>90</v>
      </c>
      <c r="P138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0"/>
      <c r="R138" s="680"/>
      <c r="S138" s="680"/>
      <c r="T138" s="681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216" t="s">
        <v>273</v>
      </c>
      <c r="AG138" s="78"/>
      <c r="AJ138" s="84" t="s">
        <v>45</v>
      </c>
      <c r="AK138" s="84">
        <v>0</v>
      </c>
      <c r="BB138" s="21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85"/>
      <c r="B139" s="685"/>
      <c r="C139" s="685"/>
      <c r="D139" s="685"/>
      <c r="E139" s="685"/>
      <c r="F139" s="685"/>
      <c r="G139" s="685"/>
      <c r="H139" s="685"/>
      <c r="I139" s="685"/>
      <c r="J139" s="685"/>
      <c r="K139" s="685"/>
      <c r="L139" s="685"/>
      <c r="M139" s="685"/>
      <c r="N139" s="685"/>
      <c r="O139" s="686"/>
      <c r="P139" s="682" t="s">
        <v>40</v>
      </c>
      <c r="Q139" s="683"/>
      <c r="R139" s="683"/>
      <c r="S139" s="683"/>
      <c r="T139" s="683"/>
      <c r="U139" s="683"/>
      <c r="V139" s="68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85"/>
      <c r="B140" s="685"/>
      <c r="C140" s="685"/>
      <c r="D140" s="685"/>
      <c r="E140" s="685"/>
      <c r="F140" s="685"/>
      <c r="G140" s="685"/>
      <c r="H140" s="685"/>
      <c r="I140" s="685"/>
      <c r="J140" s="685"/>
      <c r="K140" s="685"/>
      <c r="L140" s="685"/>
      <c r="M140" s="685"/>
      <c r="N140" s="685"/>
      <c r="O140" s="686"/>
      <c r="P140" s="682" t="s">
        <v>40</v>
      </c>
      <c r="Q140" s="683"/>
      <c r="R140" s="683"/>
      <c r="S140" s="683"/>
      <c r="T140" s="683"/>
      <c r="U140" s="683"/>
      <c r="V140" s="68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77" t="s">
        <v>160</v>
      </c>
      <c r="B141" s="677"/>
      <c r="C141" s="677"/>
      <c r="D141" s="677"/>
      <c r="E141" s="677"/>
      <c r="F141" s="677"/>
      <c r="G141" s="677"/>
      <c r="H141" s="677"/>
      <c r="I141" s="677"/>
      <c r="J141" s="677"/>
      <c r="K141" s="677"/>
      <c r="L141" s="677"/>
      <c r="M141" s="677"/>
      <c r="N141" s="677"/>
      <c r="O141" s="677"/>
      <c r="P141" s="677"/>
      <c r="Q141" s="677"/>
      <c r="R141" s="677"/>
      <c r="S141" s="677"/>
      <c r="T141" s="677"/>
      <c r="U141" s="677"/>
      <c r="V141" s="677"/>
      <c r="W141" s="677"/>
      <c r="X141" s="677"/>
      <c r="Y141" s="677"/>
      <c r="Z141" s="677"/>
      <c r="AA141" s="66"/>
      <c r="AB141" s="66"/>
      <c r="AC141" s="80"/>
    </row>
    <row r="142" spans="1:68" ht="27" customHeight="1" x14ac:dyDescent="0.25">
      <c r="A142" s="63" t="s">
        <v>275</v>
      </c>
      <c r="B142" s="63" t="s">
        <v>276</v>
      </c>
      <c r="C142" s="36">
        <v>4301031235</v>
      </c>
      <c r="D142" s="678">
        <v>4680115883444</v>
      </c>
      <c r="E142" s="67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83</v>
      </c>
      <c r="L142" s="37" t="s">
        <v>45</v>
      </c>
      <c r="M142" s="38" t="s">
        <v>106</v>
      </c>
      <c r="N142" s="38"/>
      <c r="O142" s="37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0"/>
      <c r="R142" s="680"/>
      <c r="S142" s="680"/>
      <c r="T142" s="681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218" t="s">
        <v>277</v>
      </c>
      <c r="AG142" s="78"/>
      <c r="AJ142" s="84" t="s">
        <v>45</v>
      </c>
      <c r="AK142" s="84">
        <v>0</v>
      </c>
      <c r="BB142" s="21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275</v>
      </c>
      <c r="B143" s="63" t="s">
        <v>278</v>
      </c>
      <c r="C143" s="36">
        <v>4301031234</v>
      </c>
      <c r="D143" s="678">
        <v>4680115883444</v>
      </c>
      <c r="E143" s="678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83</v>
      </c>
      <c r="L143" s="37" t="s">
        <v>45</v>
      </c>
      <c r="M143" s="38" t="s">
        <v>106</v>
      </c>
      <c r="N143" s="38"/>
      <c r="O143" s="37">
        <v>90</v>
      </c>
      <c r="P143" s="9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0"/>
      <c r="R143" s="680"/>
      <c r="S143" s="680"/>
      <c r="T143" s="68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20" t="s">
        <v>277</v>
      </c>
      <c r="AG143" s="78"/>
      <c r="AJ143" s="84" t="s">
        <v>45</v>
      </c>
      <c r="AK143" s="84">
        <v>0</v>
      </c>
      <c r="BB143" s="22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85"/>
      <c r="B144" s="685"/>
      <c r="C144" s="685"/>
      <c r="D144" s="685"/>
      <c r="E144" s="685"/>
      <c r="F144" s="685"/>
      <c r="G144" s="685"/>
      <c r="H144" s="685"/>
      <c r="I144" s="685"/>
      <c r="J144" s="685"/>
      <c r="K144" s="685"/>
      <c r="L144" s="685"/>
      <c r="M144" s="685"/>
      <c r="N144" s="685"/>
      <c r="O144" s="686"/>
      <c r="P144" s="682" t="s">
        <v>40</v>
      </c>
      <c r="Q144" s="683"/>
      <c r="R144" s="683"/>
      <c r="S144" s="683"/>
      <c r="T144" s="683"/>
      <c r="U144" s="683"/>
      <c r="V144" s="68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85"/>
      <c r="B145" s="685"/>
      <c r="C145" s="685"/>
      <c r="D145" s="685"/>
      <c r="E145" s="685"/>
      <c r="F145" s="685"/>
      <c r="G145" s="685"/>
      <c r="H145" s="685"/>
      <c r="I145" s="685"/>
      <c r="J145" s="685"/>
      <c r="K145" s="685"/>
      <c r="L145" s="685"/>
      <c r="M145" s="685"/>
      <c r="N145" s="685"/>
      <c r="O145" s="686"/>
      <c r="P145" s="682" t="s">
        <v>40</v>
      </c>
      <c r="Q145" s="683"/>
      <c r="R145" s="683"/>
      <c r="S145" s="683"/>
      <c r="T145" s="683"/>
      <c r="U145" s="683"/>
      <c r="V145" s="68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77" t="s">
        <v>78</v>
      </c>
      <c r="B146" s="677"/>
      <c r="C146" s="677"/>
      <c r="D146" s="677"/>
      <c r="E146" s="677"/>
      <c r="F146" s="677"/>
      <c r="G146" s="677"/>
      <c r="H146" s="677"/>
      <c r="I146" s="677"/>
      <c r="J146" s="677"/>
      <c r="K146" s="677"/>
      <c r="L146" s="677"/>
      <c r="M146" s="677"/>
      <c r="N146" s="677"/>
      <c r="O146" s="677"/>
      <c r="P146" s="677"/>
      <c r="Q146" s="677"/>
      <c r="R146" s="677"/>
      <c r="S146" s="677"/>
      <c r="T146" s="677"/>
      <c r="U146" s="677"/>
      <c r="V146" s="677"/>
      <c r="W146" s="677"/>
      <c r="X146" s="677"/>
      <c r="Y146" s="677"/>
      <c r="Z146" s="677"/>
      <c r="AA146" s="66"/>
      <c r="AB146" s="66"/>
      <c r="AC146" s="80"/>
    </row>
    <row r="147" spans="1:68" ht="16.5" customHeight="1" x14ac:dyDescent="0.25">
      <c r="A147" s="63" t="s">
        <v>279</v>
      </c>
      <c r="B147" s="63" t="s">
        <v>280</v>
      </c>
      <c r="C147" s="36">
        <v>4301051477</v>
      </c>
      <c r="D147" s="678">
        <v>4680115882584</v>
      </c>
      <c r="E147" s="67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83</v>
      </c>
      <c r="L147" s="37" t="s">
        <v>45</v>
      </c>
      <c r="M147" s="38" t="s">
        <v>106</v>
      </c>
      <c r="N147" s="38"/>
      <c r="O147" s="37">
        <v>60</v>
      </c>
      <c r="P147" s="9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0"/>
      <c r="R147" s="680"/>
      <c r="S147" s="680"/>
      <c r="T147" s="681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22" t="s">
        <v>273</v>
      </c>
      <c r="AG147" s="78"/>
      <c r="AJ147" s="84" t="s">
        <v>45</v>
      </c>
      <c r="AK147" s="84">
        <v>0</v>
      </c>
      <c r="BB147" s="22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279</v>
      </c>
      <c r="B148" s="63" t="s">
        <v>281</v>
      </c>
      <c r="C148" s="36">
        <v>4301051476</v>
      </c>
      <c r="D148" s="678">
        <v>4680115882584</v>
      </c>
      <c r="E148" s="678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83</v>
      </c>
      <c r="L148" s="37" t="s">
        <v>45</v>
      </c>
      <c r="M148" s="38" t="s">
        <v>106</v>
      </c>
      <c r="N148" s="38"/>
      <c r="O148" s="37">
        <v>60</v>
      </c>
      <c r="P148" s="9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0"/>
      <c r="R148" s="680"/>
      <c r="S148" s="680"/>
      <c r="T148" s="681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24" t="s">
        <v>273</v>
      </c>
      <c r="AG148" s="78"/>
      <c r="AJ148" s="84" t="s">
        <v>45</v>
      </c>
      <c r="AK148" s="84">
        <v>0</v>
      </c>
      <c r="BB148" s="22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85"/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6"/>
      <c r="P149" s="682" t="s">
        <v>40</v>
      </c>
      <c r="Q149" s="683"/>
      <c r="R149" s="683"/>
      <c r="S149" s="683"/>
      <c r="T149" s="683"/>
      <c r="U149" s="683"/>
      <c r="V149" s="684"/>
      <c r="W149" s="42" t="s">
        <v>39</v>
      </c>
      <c r="X149" s="43">
        <f>IFERROR(X147/H147,"0")+IFERROR(X148/H148,"0")</f>
        <v>0</v>
      </c>
      <c r="Y149" s="43">
        <f>IFERROR(Y147/H147,"0")+IFERROR(Y148/H148,"0")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685"/>
      <c r="B150" s="685"/>
      <c r="C150" s="685"/>
      <c r="D150" s="685"/>
      <c r="E150" s="685"/>
      <c r="F150" s="685"/>
      <c r="G150" s="685"/>
      <c r="H150" s="685"/>
      <c r="I150" s="685"/>
      <c r="J150" s="685"/>
      <c r="K150" s="685"/>
      <c r="L150" s="685"/>
      <c r="M150" s="685"/>
      <c r="N150" s="685"/>
      <c r="O150" s="686"/>
      <c r="P150" s="682" t="s">
        <v>40</v>
      </c>
      <c r="Q150" s="683"/>
      <c r="R150" s="683"/>
      <c r="S150" s="683"/>
      <c r="T150" s="683"/>
      <c r="U150" s="683"/>
      <c r="V150" s="684"/>
      <c r="W150" s="42" t="s">
        <v>0</v>
      </c>
      <c r="X150" s="43">
        <f>IFERROR(SUM(X147:X148),"0")</f>
        <v>0</v>
      </c>
      <c r="Y150" s="43">
        <f>IFERROR(SUM(Y147:Y148),"0")</f>
        <v>0</v>
      </c>
      <c r="Z150" s="42"/>
      <c r="AA150" s="67"/>
      <c r="AB150" s="67"/>
      <c r="AC150" s="67"/>
    </row>
    <row r="151" spans="1:68" ht="16.5" customHeight="1" x14ac:dyDescent="0.25">
      <c r="A151" s="699" t="s">
        <v>107</v>
      </c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699"/>
      <c r="O151" s="699"/>
      <c r="P151" s="699"/>
      <c r="Q151" s="699"/>
      <c r="R151" s="699"/>
      <c r="S151" s="699"/>
      <c r="T151" s="699"/>
      <c r="U151" s="699"/>
      <c r="V151" s="699"/>
      <c r="W151" s="699"/>
      <c r="X151" s="699"/>
      <c r="Y151" s="699"/>
      <c r="Z151" s="699"/>
      <c r="AA151" s="65"/>
      <c r="AB151" s="65"/>
      <c r="AC151" s="79"/>
    </row>
    <row r="152" spans="1:68" ht="14.25" customHeight="1" x14ac:dyDescent="0.25">
      <c r="A152" s="677" t="s">
        <v>109</v>
      </c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77"/>
      <c r="P152" s="677"/>
      <c r="Q152" s="677"/>
      <c r="R152" s="677"/>
      <c r="S152" s="677"/>
      <c r="T152" s="677"/>
      <c r="U152" s="677"/>
      <c r="V152" s="677"/>
      <c r="W152" s="677"/>
      <c r="X152" s="677"/>
      <c r="Y152" s="677"/>
      <c r="Z152" s="677"/>
      <c r="AA152" s="66"/>
      <c r="AB152" s="66"/>
      <c r="AC152" s="80"/>
    </row>
    <row r="153" spans="1:68" ht="27" customHeight="1" x14ac:dyDescent="0.25">
      <c r="A153" s="63" t="s">
        <v>282</v>
      </c>
      <c r="B153" s="63" t="s">
        <v>283</v>
      </c>
      <c r="C153" s="36">
        <v>4301011705</v>
      </c>
      <c r="D153" s="678">
        <v>4607091384604</v>
      </c>
      <c r="E153" s="678"/>
      <c r="F153" s="62">
        <v>0.4</v>
      </c>
      <c r="G153" s="37">
        <v>10</v>
      </c>
      <c r="H153" s="62">
        <v>4</v>
      </c>
      <c r="I153" s="62">
        <v>4.21</v>
      </c>
      <c r="J153" s="37">
        <v>132</v>
      </c>
      <c r="K153" s="37" t="s">
        <v>118</v>
      </c>
      <c r="L153" s="37" t="s">
        <v>45</v>
      </c>
      <c r="M153" s="38" t="s">
        <v>113</v>
      </c>
      <c r="N153" s="38"/>
      <c r="O153" s="37">
        <v>50</v>
      </c>
      <c r="P153" s="9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0"/>
      <c r="R153" s="680"/>
      <c r="S153" s="680"/>
      <c r="T153" s="681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26" t="s">
        <v>284</v>
      </c>
      <c r="AG153" s="78"/>
      <c r="AJ153" s="84" t="s">
        <v>45</v>
      </c>
      <c r="AK153" s="84">
        <v>0</v>
      </c>
      <c r="BB153" s="227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85"/>
      <c r="B154" s="685"/>
      <c r="C154" s="685"/>
      <c r="D154" s="685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86"/>
      <c r="P154" s="682" t="s">
        <v>40</v>
      </c>
      <c r="Q154" s="683"/>
      <c r="R154" s="683"/>
      <c r="S154" s="683"/>
      <c r="T154" s="683"/>
      <c r="U154" s="683"/>
      <c r="V154" s="684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685"/>
      <c r="B155" s="685"/>
      <c r="C155" s="685"/>
      <c r="D155" s="685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86"/>
      <c r="P155" s="682" t="s">
        <v>40</v>
      </c>
      <c r="Q155" s="683"/>
      <c r="R155" s="683"/>
      <c r="S155" s="683"/>
      <c r="T155" s="683"/>
      <c r="U155" s="683"/>
      <c r="V155" s="684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4.25" customHeight="1" x14ac:dyDescent="0.25">
      <c r="A156" s="677" t="s">
        <v>160</v>
      </c>
      <c r="B156" s="677"/>
      <c r="C156" s="677"/>
      <c r="D156" s="677"/>
      <c r="E156" s="677"/>
      <c r="F156" s="677"/>
      <c r="G156" s="677"/>
      <c r="H156" s="677"/>
      <c r="I156" s="677"/>
      <c r="J156" s="677"/>
      <c r="K156" s="677"/>
      <c r="L156" s="677"/>
      <c r="M156" s="677"/>
      <c r="N156" s="677"/>
      <c r="O156" s="677"/>
      <c r="P156" s="677"/>
      <c r="Q156" s="677"/>
      <c r="R156" s="677"/>
      <c r="S156" s="677"/>
      <c r="T156" s="677"/>
      <c r="U156" s="677"/>
      <c r="V156" s="677"/>
      <c r="W156" s="677"/>
      <c r="X156" s="677"/>
      <c r="Y156" s="677"/>
      <c r="Z156" s="677"/>
      <c r="AA156" s="66"/>
      <c r="AB156" s="66"/>
      <c r="AC156" s="80"/>
    </row>
    <row r="157" spans="1:68" ht="16.5" customHeight="1" x14ac:dyDescent="0.25">
      <c r="A157" s="63" t="s">
        <v>285</v>
      </c>
      <c r="B157" s="63" t="s">
        <v>286</v>
      </c>
      <c r="C157" s="36">
        <v>4301030895</v>
      </c>
      <c r="D157" s="678">
        <v>4607091387667</v>
      </c>
      <c r="E157" s="678"/>
      <c r="F157" s="62">
        <v>0.9</v>
      </c>
      <c r="G157" s="37">
        <v>10</v>
      </c>
      <c r="H157" s="62">
        <v>9</v>
      </c>
      <c r="I157" s="62">
        <v>9.5850000000000009</v>
      </c>
      <c r="J157" s="37">
        <v>64</v>
      </c>
      <c r="K157" s="37" t="s">
        <v>114</v>
      </c>
      <c r="L157" s="37" t="s">
        <v>45</v>
      </c>
      <c r="M157" s="38" t="s">
        <v>113</v>
      </c>
      <c r="N157" s="38"/>
      <c r="O157" s="37">
        <v>40</v>
      </c>
      <c r="P157" s="91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0"/>
      <c r="R157" s="680"/>
      <c r="S157" s="680"/>
      <c r="T157" s="681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45</v>
      </c>
      <c r="AB157" s="69" t="s">
        <v>45</v>
      </c>
      <c r="AC157" s="228" t="s">
        <v>287</v>
      </c>
      <c r="AG157" s="78"/>
      <c r="AJ157" s="84" t="s">
        <v>45</v>
      </c>
      <c r="AK157" s="84">
        <v>0</v>
      </c>
      <c r="BB157" s="229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288</v>
      </c>
      <c r="B158" s="63" t="s">
        <v>289</v>
      </c>
      <c r="C158" s="36">
        <v>4301030961</v>
      </c>
      <c r="D158" s="678">
        <v>4607091387636</v>
      </c>
      <c r="E158" s="678"/>
      <c r="F158" s="62">
        <v>0.7</v>
      </c>
      <c r="G158" s="37">
        <v>6</v>
      </c>
      <c r="H158" s="62">
        <v>4.2</v>
      </c>
      <c r="I158" s="62">
        <v>4.47</v>
      </c>
      <c r="J158" s="37">
        <v>182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0"/>
      <c r="R158" s="680"/>
      <c r="S158" s="680"/>
      <c r="T158" s="681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IFERROR(IF(Y158=0,"",ROUNDUP(Y158/H158,0)*0.00651),"")</f>
        <v/>
      </c>
      <c r="AA158" s="68" t="s">
        <v>45</v>
      </c>
      <c r="AB158" s="69" t="s">
        <v>45</v>
      </c>
      <c r="AC158" s="230" t="s">
        <v>290</v>
      </c>
      <c r="AG158" s="78"/>
      <c r="AJ158" s="84" t="s">
        <v>45</v>
      </c>
      <c r="AK158" s="84">
        <v>0</v>
      </c>
      <c r="BB158" s="231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16.5" customHeight="1" x14ac:dyDescent="0.25">
      <c r="A159" s="63" t="s">
        <v>291</v>
      </c>
      <c r="B159" s="63" t="s">
        <v>292</v>
      </c>
      <c r="C159" s="36">
        <v>4301030963</v>
      </c>
      <c r="D159" s="678">
        <v>4607091382426</v>
      </c>
      <c r="E159" s="678"/>
      <c r="F159" s="62">
        <v>0.9</v>
      </c>
      <c r="G159" s="37">
        <v>10</v>
      </c>
      <c r="H159" s="62">
        <v>9</v>
      </c>
      <c r="I159" s="62">
        <v>9.5850000000000009</v>
      </c>
      <c r="J159" s="37">
        <v>64</v>
      </c>
      <c r="K159" s="37" t="s">
        <v>114</v>
      </c>
      <c r="L159" s="37" t="s">
        <v>45</v>
      </c>
      <c r="M159" s="38" t="s">
        <v>82</v>
      </c>
      <c r="N159" s="38"/>
      <c r="O159" s="37">
        <v>40</v>
      </c>
      <c r="P159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0"/>
      <c r="R159" s="680"/>
      <c r="S159" s="680"/>
      <c r="T159" s="681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45</v>
      </c>
      <c r="AB159" s="69" t="s">
        <v>45</v>
      </c>
      <c r="AC159" s="232" t="s">
        <v>293</v>
      </c>
      <c r="AG159" s="78"/>
      <c r="AJ159" s="84" t="s">
        <v>45</v>
      </c>
      <c r="AK159" s="84">
        <v>0</v>
      </c>
      <c r="BB159" s="233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customHeight="1" x14ac:dyDescent="0.25">
      <c r="A160" s="63" t="s">
        <v>294</v>
      </c>
      <c r="B160" s="63" t="s">
        <v>295</v>
      </c>
      <c r="C160" s="36">
        <v>4301030962</v>
      </c>
      <c r="D160" s="678">
        <v>4607091386547</v>
      </c>
      <c r="E160" s="678"/>
      <c r="F160" s="62">
        <v>0.35</v>
      </c>
      <c r="G160" s="37">
        <v>8</v>
      </c>
      <c r="H160" s="62">
        <v>2.8</v>
      </c>
      <c r="I160" s="62">
        <v>2.94</v>
      </c>
      <c r="J160" s="37">
        <v>234</v>
      </c>
      <c r="K160" s="37" t="s">
        <v>164</v>
      </c>
      <c r="L160" s="37" t="s">
        <v>45</v>
      </c>
      <c r="M160" s="38" t="s">
        <v>82</v>
      </c>
      <c r="N160" s="38"/>
      <c r="O160" s="37">
        <v>40</v>
      </c>
      <c r="P160" s="91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0"/>
      <c r="R160" s="680"/>
      <c r="S160" s="680"/>
      <c r="T160" s="681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34" t="s">
        <v>290</v>
      </c>
      <c r="AG160" s="78"/>
      <c r="AJ160" s="84" t="s">
        <v>45</v>
      </c>
      <c r="AK160" s="84">
        <v>0</v>
      </c>
      <c r="BB160" s="235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85"/>
      <c r="B161" s="685"/>
      <c r="C161" s="685"/>
      <c r="D161" s="685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86"/>
      <c r="P161" s="682" t="s">
        <v>40</v>
      </c>
      <c r="Q161" s="683"/>
      <c r="R161" s="683"/>
      <c r="S161" s="683"/>
      <c r="T161" s="683"/>
      <c r="U161" s="683"/>
      <c r="V161" s="684"/>
      <c r="W161" s="42" t="s">
        <v>39</v>
      </c>
      <c r="X161" s="43">
        <f>IFERROR(X157/H157,"0")+IFERROR(X158/H158,"0")+IFERROR(X159/H159,"0")+IFERROR(X160/H160,"0")</f>
        <v>0</v>
      </c>
      <c r="Y161" s="43">
        <f>IFERROR(Y157/H157,"0")+IFERROR(Y158/H158,"0")+IFERROR(Y159/H159,"0")+IFERROR(Y160/H160,"0")</f>
        <v>0</v>
      </c>
      <c r="Z161" s="43">
        <f>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85"/>
      <c r="B162" s="685"/>
      <c r="C162" s="685"/>
      <c r="D162" s="685"/>
      <c r="E162" s="685"/>
      <c r="F162" s="685"/>
      <c r="G162" s="685"/>
      <c r="H162" s="685"/>
      <c r="I162" s="685"/>
      <c r="J162" s="685"/>
      <c r="K162" s="685"/>
      <c r="L162" s="685"/>
      <c r="M162" s="685"/>
      <c r="N162" s="685"/>
      <c r="O162" s="686"/>
      <c r="P162" s="682" t="s">
        <v>40</v>
      </c>
      <c r="Q162" s="683"/>
      <c r="R162" s="683"/>
      <c r="S162" s="683"/>
      <c r="T162" s="683"/>
      <c r="U162" s="683"/>
      <c r="V162" s="684"/>
      <c r="W162" s="42" t="s">
        <v>0</v>
      </c>
      <c r="X162" s="43">
        <f>IFERROR(SUM(X157:X160),"0")</f>
        <v>0</v>
      </c>
      <c r="Y162" s="43">
        <f>IFERROR(SUM(Y157:Y160),"0")</f>
        <v>0</v>
      </c>
      <c r="Z162" s="42"/>
      <c r="AA162" s="67"/>
      <c r="AB162" s="67"/>
      <c r="AC162" s="67"/>
    </row>
    <row r="163" spans="1:68" ht="14.25" customHeight="1" x14ac:dyDescent="0.25">
      <c r="A163" s="677" t="s">
        <v>78</v>
      </c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77"/>
      <c r="P163" s="677"/>
      <c r="Q163" s="677"/>
      <c r="R163" s="677"/>
      <c r="S163" s="677"/>
      <c r="T163" s="677"/>
      <c r="U163" s="677"/>
      <c r="V163" s="677"/>
      <c r="W163" s="677"/>
      <c r="X163" s="677"/>
      <c r="Y163" s="677"/>
      <c r="Z163" s="677"/>
      <c r="AA163" s="66"/>
      <c r="AB163" s="66"/>
      <c r="AC163" s="80"/>
    </row>
    <row r="164" spans="1:68" ht="16.5" customHeight="1" x14ac:dyDescent="0.25">
      <c r="A164" s="63" t="s">
        <v>296</v>
      </c>
      <c r="B164" s="63" t="s">
        <v>297</v>
      </c>
      <c r="C164" s="36">
        <v>4301051653</v>
      </c>
      <c r="D164" s="678">
        <v>4607091386264</v>
      </c>
      <c r="E164" s="678"/>
      <c r="F164" s="62">
        <v>0.5</v>
      </c>
      <c r="G164" s="37">
        <v>6</v>
      </c>
      <c r="H164" s="62">
        <v>3</v>
      </c>
      <c r="I164" s="62">
        <v>3.258</v>
      </c>
      <c r="J164" s="37">
        <v>182</v>
      </c>
      <c r="K164" s="37" t="s">
        <v>83</v>
      </c>
      <c r="L164" s="37" t="s">
        <v>45</v>
      </c>
      <c r="M164" s="38" t="s">
        <v>117</v>
      </c>
      <c r="N164" s="38"/>
      <c r="O164" s="37">
        <v>31</v>
      </c>
      <c r="P164" s="911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0"/>
      <c r="R164" s="680"/>
      <c r="S164" s="680"/>
      <c r="T164" s="681"/>
      <c r="U164" s="39" t="s">
        <v>45</v>
      </c>
      <c r="V164" s="39" t="s">
        <v>45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45</v>
      </c>
      <c r="AB164" s="69" t="s">
        <v>45</v>
      </c>
      <c r="AC164" s="236" t="s">
        <v>298</v>
      </c>
      <c r="AG164" s="78"/>
      <c r="AJ164" s="84" t="s">
        <v>45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85"/>
      <c r="B165" s="685"/>
      <c r="C165" s="685"/>
      <c r="D165" s="685"/>
      <c r="E165" s="685"/>
      <c r="F165" s="685"/>
      <c r="G165" s="685"/>
      <c r="H165" s="685"/>
      <c r="I165" s="685"/>
      <c r="J165" s="685"/>
      <c r="K165" s="685"/>
      <c r="L165" s="685"/>
      <c r="M165" s="685"/>
      <c r="N165" s="685"/>
      <c r="O165" s="686"/>
      <c r="P165" s="682" t="s">
        <v>40</v>
      </c>
      <c r="Q165" s="683"/>
      <c r="R165" s="683"/>
      <c r="S165" s="683"/>
      <c r="T165" s="683"/>
      <c r="U165" s="683"/>
      <c r="V165" s="68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85"/>
      <c r="B166" s="685"/>
      <c r="C166" s="685"/>
      <c r="D166" s="685"/>
      <c r="E166" s="685"/>
      <c r="F166" s="685"/>
      <c r="G166" s="685"/>
      <c r="H166" s="685"/>
      <c r="I166" s="685"/>
      <c r="J166" s="685"/>
      <c r="K166" s="685"/>
      <c r="L166" s="685"/>
      <c r="M166" s="685"/>
      <c r="N166" s="685"/>
      <c r="O166" s="686"/>
      <c r="P166" s="682" t="s">
        <v>40</v>
      </c>
      <c r="Q166" s="683"/>
      <c r="R166" s="683"/>
      <c r="S166" s="683"/>
      <c r="T166" s="683"/>
      <c r="U166" s="683"/>
      <c r="V166" s="68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27.75" customHeight="1" x14ac:dyDescent="0.2">
      <c r="A167" s="723" t="s">
        <v>299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54"/>
      <c r="AB167" s="54"/>
      <c r="AC167" s="54"/>
    </row>
    <row r="168" spans="1:68" ht="16.5" customHeight="1" x14ac:dyDescent="0.25">
      <c r="A168" s="699" t="s">
        <v>300</v>
      </c>
      <c r="B168" s="699"/>
      <c r="C168" s="699"/>
      <c r="D168" s="699"/>
      <c r="E168" s="699"/>
      <c r="F168" s="699"/>
      <c r="G168" s="699"/>
      <c r="H168" s="699"/>
      <c r="I168" s="699"/>
      <c r="J168" s="699"/>
      <c r="K168" s="699"/>
      <c r="L168" s="699"/>
      <c r="M168" s="699"/>
      <c r="N168" s="699"/>
      <c r="O168" s="699"/>
      <c r="P168" s="699"/>
      <c r="Q168" s="699"/>
      <c r="R168" s="699"/>
      <c r="S168" s="699"/>
      <c r="T168" s="699"/>
      <c r="U168" s="699"/>
      <c r="V168" s="699"/>
      <c r="W168" s="699"/>
      <c r="X168" s="699"/>
      <c r="Y168" s="699"/>
      <c r="Z168" s="699"/>
      <c r="AA168" s="65"/>
      <c r="AB168" s="65"/>
      <c r="AC168" s="79"/>
    </row>
    <row r="169" spans="1:68" ht="14.25" customHeight="1" x14ac:dyDescent="0.25">
      <c r="A169" s="677" t="s">
        <v>149</v>
      </c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77"/>
      <c r="P169" s="677"/>
      <c r="Q169" s="677"/>
      <c r="R169" s="677"/>
      <c r="S169" s="677"/>
      <c r="T169" s="677"/>
      <c r="U169" s="677"/>
      <c r="V169" s="677"/>
      <c r="W169" s="677"/>
      <c r="X169" s="677"/>
      <c r="Y169" s="677"/>
      <c r="Z169" s="677"/>
      <c r="AA169" s="66"/>
      <c r="AB169" s="66"/>
      <c r="AC169" s="80"/>
    </row>
    <row r="170" spans="1:68" ht="27" customHeight="1" x14ac:dyDescent="0.25">
      <c r="A170" s="63" t="s">
        <v>301</v>
      </c>
      <c r="B170" s="63" t="s">
        <v>302</v>
      </c>
      <c r="C170" s="36">
        <v>4301020323</v>
      </c>
      <c r="D170" s="678">
        <v>4680115886223</v>
      </c>
      <c r="E170" s="678"/>
      <c r="F170" s="62">
        <v>0.33</v>
      </c>
      <c r="G170" s="37">
        <v>6</v>
      </c>
      <c r="H170" s="62">
        <v>1.98</v>
      </c>
      <c r="I170" s="62">
        <v>2.08</v>
      </c>
      <c r="J170" s="37">
        <v>234</v>
      </c>
      <c r="K170" s="37" t="s">
        <v>164</v>
      </c>
      <c r="L170" s="37" t="s">
        <v>45</v>
      </c>
      <c r="M170" s="38" t="s">
        <v>82</v>
      </c>
      <c r="N170" s="38"/>
      <c r="O170" s="37">
        <v>40</v>
      </c>
      <c r="P170" s="9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0"/>
      <c r="R170" s="680"/>
      <c r="S170" s="680"/>
      <c r="T170" s="681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38" t="s">
        <v>303</v>
      </c>
      <c r="AG170" s="78"/>
      <c r="AJ170" s="84" t="s">
        <v>45</v>
      </c>
      <c r="AK170" s="84">
        <v>0</v>
      </c>
      <c r="BB170" s="23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685"/>
      <c r="B171" s="685"/>
      <c r="C171" s="685"/>
      <c r="D171" s="685"/>
      <c r="E171" s="685"/>
      <c r="F171" s="685"/>
      <c r="G171" s="685"/>
      <c r="H171" s="685"/>
      <c r="I171" s="685"/>
      <c r="J171" s="685"/>
      <c r="K171" s="685"/>
      <c r="L171" s="685"/>
      <c r="M171" s="685"/>
      <c r="N171" s="685"/>
      <c r="O171" s="686"/>
      <c r="P171" s="682" t="s">
        <v>40</v>
      </c>
      <c r="Q171" s="683"/>
      <c r="R171" s="683"/>
      <c r="S171" s="683"/>
      <c r="T171" s="683"/>
      <c r="U171" s="683"/>
      <c r="V171" s="684"/>
      <c r="W171" s="42" t="s">
        <v>39</v>
      </c>
      <c r="X171" s="43">
        <f>IFERROR(X170/H170,"0")</f>
        <v>0</v>
      </c>
      <c r="Y171" s="43">
        <f>IFERROR(Y170/H170,"0")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685"/>
      <c r="B172" s="685"/>
      <c r="C172" s="685"/>
      <c r="D172" s="685"/>
      <c r="E172" s="685"/>
      <c r="F172" s="685"/>
      <c r="G172" s="685"/>
      <c r="H172" s="685"/>
      <c r="I172" s="685"/>
      <c r="J172" s="685"/>
      <c r="K172" s="685"/>
      <c r="L172" s="685"/>
      <c r="M172" s="685"/>
      <c r="N172" s="685"/>
      <c r="O172" s="686"/>
      <c r="P172" s="682" t="s">
        <v>40</v>
      </c>
      <c r="Q172" s="683"/>
      <c r="R172" s="683"/>
      <c r="S172" s="683"/>
      <c r="T172" s="683"/>
      <c r="U172" s="683"/>
      <c r="V172" s="684"/>
      <c r="W172" s="42" t="s">
        <v>0</v>
      </c>
      <c r="X172" s="43">
        <f>IFERROR(SUM(X170:X170),"0")</f>
        <v>0</v>
      </c>
      <c r="Y172" s="43">
        <f>IFERROR(SUM(Y170:Y170),"0")</f>
        <v>0</v>
      </c>
      <c r="Z172" s="42"/>
      <c r="AA172" s="67"/>
      <c r="AB172" s="67"/>
      <c r="AC172" s="67"/>
    </row>
    <row r="173" spans="1:68" ht="14.25" customHeight="1" x14ac:dyDescent="0.25">
      <c r="A173" s="677" t="s">
        <v>160</v>
      </c>
      <c r="B173" s="677"/>
      <c r="C173" s="677"/>
      <c r="D173" s="677"/>
      <c r="E173" s="677"/>
      <c r="F173" s="677"/>
      <c r="G173" s="677"/>
      <c r="H173" s="677"/>
      <c r="I173" s="677"/>
      <c r="J173" s="677"/>
      <c r="K173" s="677"/>
      <c r="L173" s="677"/>
      <c r="M173" s="677"/>
      <c r="N173" s="677"/>
      <c r="O173" s="677"/>
      <c r="P173" s="677"/>
      <c r="Q173" s="677"/>
      <c r="R173" s="677"/>
      <c r="S173" s="677"/>
      <c r="T173" s="677"/>
      <c r="U173" s="677"/>
      <c r="V173" s="677"/>
      <c r="W173" s="677"/>
      <c r="X173" s="677"/>
      <c r="Y173" s="677"/>
      <c r="Z173" s="677"/>
      <c r="AA173" s="66"/>
      <c r="AB173" s="66"/>
      <c r="AC173" s="80"/>
    </row>
    <row r="174" spans="1:68" ht="27" customHeight="1" x14ac:dyDescent="0.25">
      <c r="A174" s="63" t="s">
        <v>304</v>
      </c>
      <c r="B174" s="63" t="s">
        <v>305</v>
      </c>
      <c r="C174" s="36">
        <v>4301031191</v>
      </c>
      <c r="D174" s="678">
        <v>4680115880993</v>
      </c>
      <c r="E174" s="678"/>
      <c r="F174" s="62">
        <v>0.7</v>
      </c>
      <c r="G174" s="37">
        <v>6</v>
      </c>
      <c r="H174" s="62">
        <v>4.2</v>
      </c>
      <c r="I174" s="62">
        <v>4.47</v>
      </c>
      <c r="J174" s="37">
        <v>132</v>
      </c>
      <c r="K174" s="37" t="s">
        <v>118</v>
      </c>
      <c r="L174" s="37" t="s">
        <v>45</v>
      </c>
      <c r="M174" s="38" t="s">
        <v>82</v>
      </c>
      <c r="N174" s="38"/>
      <c r="O174" s="37">
        <v>40</v>
      </c>
      <c r="P174" s="9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0"/>
      <c r="R174" s="680"/>
      <c r="S174" s="680"/>
      <c r="T174" s="68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ref="Y174:Y182" si="27"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40" t="s">
        <v>306</v>
      </c>
      <c r="AG174" s="78"/>
      <c r="AJ174" s="84" t="s">
        <v>45</v>
      </c>
      <c r="AK174" s="84">
        <v>0</v>
      </c>
      <c r="BB174" s="241" t="s">
        <v>66</v>
      </c>
      <c r="BM174" s="78">
        <f t="shared" ref="BM174:BM182" si="28">IFERROR(X174*I174/H174,"0")</f>
        <v>0</v>
      </c>
      <c r="BN174" s="78">
        <f t="shared" ref="BN174:BN182" si="29">IFERROR(Y174*I174/H174,"0")</f>
        <v>0</v>
      </c>
      <c r="BO174" s="78">
        <f t="shared" ref="BO174:BO182" si="30">IFERROR(1/J174*(X174/H174),"0")</f>
        <v>0</v>
      </c>
      <c r="BP174" s="78">
        <f t="shared" ref="BP174:BP182" si="31">IFERROR(1/J174*(Y174/H174),"0")</f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4301031204</v>
      </c>
      <c r="D175" s="678">
        <v>4680115881761</v>
      </c>
      <c r="E175" s="678"/>
      <c r="F175" s="62">
        <v>0.7</v>
      </c>
      <c r="G175" s="37">
        <v>6</v>
      </c>
      <c r="H175" s="62">
        <v>4.2</v>
      </c>
      <c r="I175" s="62">
        <v>4.47</v>
      </c>
      <c r="J175" s="37">
        <v>132</v>
      </c>
      <c r="K175" s="37" t="s">
        <v>118</v>
      </c>
      <c r="L175" s="37" t="s">
        <v>45</v>
      </c>
      <c r="M175" s="38" t="s">
        <v>82</v>
      </c>
      <c r="N175" s="38"/>
      <c r="O175" s="37">
        <v>40</v>
      </c>
      <c r="P175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0"/>
      <c r="R175" s="680"/>
      <c r="S175" s="680"/>
      <c r="T175" s="68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27"/>
        <v>0</v>
      </c>
      <c r="Z175" s="41" t="str">
        <f>IFERROR(IF(Y175=0,"",ROUNDUP(Y175/H175,0)*0.00902),"")</f>
        <v/>
      </c>
      <c r="AA175" s="68" t="s">
        <v>45</v>
      </c>
      <c r="AB175" s="69" t="s">
        <v>45</v>
      </c>
      <c r="AC175" s="242" t="s">
        <v>309</v>
      </c>
      <c r="AG175" s="78"/>
      <c r="AJ175" s="84" t="s">
        <v>45</v>
      </c>
      <c r="AK175" s="84">
        <v>0</v>
      </c>
      <c r="BB175" s="243" t="s">
        <v>66</v>
      </c>
      <c r="BM175" s="78">
        <f t="shared" si="28"/>
        <v>0</v>
      </c>
      <c r="BN175" s="78">
        <f t="shared" si="29"/>
        <v>0</v>
      </c>
      <c r="BO175" s="78">
        <f t="shared" si="30"/>
        <v>0</v>
      </c>
      <c r="BP175" s="78">
        <f t="shared" si="31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4301031201</v>
      </c>
      <c r="D176" s="678">
        <v>4680115881563</v>
      </c>
      <c r="E176" s="678"/>
      <c r="F176" s="62">
        <v>0.7</v>
      </c>
      <c r="G176" s="37">
        <v>6</v>
      </c>
      <c r="H176" s="62">
        <v>4.2</v>
      </c>
      <c r="I176" s="62">
        <v>4.41</v>
      </c>
      <c r="J176" s="37">
        <v>132</v>
      </c>
      <c r="K176" s="37" t="s">
        <v>118</v>
      </c>
      <c r="L176" s="37" t="s">
        <v>45</v>
      </c>
      <c r="M176" s="38" t="s">
        <v>82</v>
      </c>
      <c r="N176" s="38"/>
      <c r="O176" s="37">
        <v>40</v>
      </c>
      <c r="P176" s="9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0"/>
      <c r="R176" s="680"/>
      <c r="S176" s="680"/>
      <c r="T176" s="68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27"/>
        <v>0</v>
      </c>
      <c r="Z176" s="41" t="str">
        <f>IFERROR(IF(Y176=0,"",ROUNDUP(Y176/H176,0)*0.00902),"")</f>
        <v/>
      </c>
      <c r="AA176" s="68" t="s">
        <v>45</v>
      </c>
      <c r="AB176" s="69" t="s">
        <v>45</v>
      </c>
      <c r="AC176" s="244" t="s">
        <v>312</v>
      </c>
      <c r="AG176" s="78"/>
      <c r="AJ176" s="84" t="s">
        <v>45</v>
      </c>
      <c r="AK176" s="84">
        <v>0</v>
      </c>
      <c r="BB176" s="245" t="s">
        <v>66</v>
      </c>
      <c r="BM176" s="78">
        <f t="shared" si="28"/>
        <v>0</v>
      </c>
      <c r="BN176" s="78">
        <f t="shared" si="29"/>
        <v>0</v>
      </c>
      <c r="BO176" s="78">
        <f t="shared" si="30"/>
        <v>0</v>
      </c>
      <c r="BP176" s="78">
        <f t="shared" si="31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4301031199</v>
      </c>
      <c r="D177" s="678">
        <v>4680115880986</v>
      </c>
      <c r="E177" s="678"/>
      <c r="F177" s="62">
        <v>0.35</v>
      </c>
      <c r="G177" s="37">
        <v>6</v>
      </c>
      <c r="H177" s="62">
        <v>2.1</v>
      </c>
      <c r="I177" s="62">
        <v>2.23</v>
      </c>
      <c r="J177" s="37">
        <v>234</v>
      </c>
      <c r="K177" s="37" t="s">
        <v>164</v>
      </c>
      <c r="L177" s="37" t="s">
        <v>45</v>
      </c>
      <c r="M177" s="38" t="s">
        <v>82</v>
      </c>
      <c r="N177" s="38"/>
      <c r="O177" s="37">
        <v>40</v>
      </c>
      <c r="P17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0"/>
      <c r="R177" s="680"/>
      <c r="S177" s="680"/>
      <c r="T177" s="68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27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6" t="s">
        <v>306</v>
      </c>
      <c r="AG177" s="78"/>
      <c r="AJ177" s="84" t="s">
        <v>45</v>
      </c>
      <c r="AK177" s="84">
        <v>0</v>
      </c>
      <c r="BB177" s="247" t="s">
        <v>66</v>
      </c>
      <c r="BM177" s="78">
        <f t="shared" si="28"/>
        <v>0</v>
      </c>
      <c r="BN177" s="78">
        <f t="shared" si="29"/>
        <v>0</v>
      </c>
      <c r="BO177" s="78">
        <f t="shared" si="30"/>
        <v>0</v>
      </c>
      <c r="BP177" s="78">
        <f t="shared" si="31"/>
        <v>0</v>
      </c>
    </row>
    <row r="178" spans="1:68" ht="27" customHeight="1" x14ac:dyDescent="0.25">
      <c r="A178" s="63" t="s">
        <v>315</v>
      </c>
      <c r="B178" s="63" t="s">
        <v>316</v>
      </c>
      <c r="C178" s="36">
        <v>4301031205</v>
      </c>
      <c r="D178" s="678">
        <v>4680115881785</v>
      </c>
      <c r="E178" s="678"/>
      <c r="F178" s="62">
        <v>0.35</v>
      </c>
      <c r="G178" s="37">
        <v>6</v>
      </c>
      <c r="H178" s="62">
        <v>2.1</v>
      </c>
      <c r="I178" s="62">
        <v>2.23</v>
      </c>
      <c r="J178" s="37">
        <v>234</v>
      </c>
      <c r="K178" s="37" t="s">
        <v>164</v>
      </c>
      <c r="L178" s="37" t="s">
        <v>45</v>
      </c>
      <c r="M178" s="38" t="s">
        <v>82</v>
      </c>
      <c r="N178" s="38"/>
      <c r="O178" s="37">
        <v>40</v>
      </c>
      <c r="P178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0"/>
      <c r="R178" s="680"/>
      <c r="S178" s="680"/>
      <c r="T178" s="68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27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8" t="s">
        <v>309</v>
      </c>
      <c r="AG178" s="78"/>
      <c r="AJ178" s="84" t="s">
        <v>45</v>
      </c>
      <c r="AK178" s="84">
        <v>0</v>
      </c>
      <c r="BB178" s="249" t="s">
        <v>66</v>
      </c>
      <c r="BM178" s="78">
        <f t="shared" si="28"/>
        <v>0</v>
      </c>
      <c r="BN178" s="78">
        <f t="shared" si="29"/>
        <v>0</v>
      </c>
      <c r="BO178" s="78">
        <f t="shared" si="30"/>
        <v>0</v>
      </c>
      <c r="BP178" s="78">
        <f t="shared" si="31"/>
        <v>0</v>
      </c>
    </row>
    <row r="179" spans="1:68" ht="27" customHeight="1" x14ac:dyDescent="0.25">
      <c r="A179" s="63" t="s">
        <v>317</v>
      </c>
      <c r="B179" s="63" t="s">
        <v>318</v>
      </c>
      <c r="C179" s="36">
        <v>4301031399</v>
      </c>
      <c r="D179" s="678">
        <v>4680115886537</v>
      </c>
      <c r="E179" s="678"/>
      <c r="F179" s="62">
        <v>0.3</v>
      </c>
      <c r="G179" s="37">
        <v>6</v>
      </c>
      <c r="H179" s="62">
        <v>1.8</v>
      </c>
      <c r="I179" s="62">
        <v>1.93</v>
      </c>
      <c r="J179" s="37">
        <v>234</v>
      </c>
      <c r="K179" s="37" t="s">
        <v>164</v>
      </c>
      <c r="L179" s="37" t="s">
        <v>45</v>
      </c>
      <c r="M179" s="38" t="s">
        <v>82</v>
      </c>
      <c r="N179" s="38"/>
      <c r="O179" s="37">
        <v>40</v>
      </c>
      <c r="P179" s="907" t="s">
        <v>319</v>
      </c>
      <c r="Q179" s="680"/>
      <c r="R179" s="680"/>
      <c r="S179" s="680"/>
      <c r="T179" s="681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27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50" t="s">
        <v>320</v>
      </c>
      <c r="AG179" s="78"/>
      <c r="AJ179" s="84" t="s">
        <v>45</v>
      </c>
      <c r="AK179" s="84">
        <v>0</v>
      </c>
      <c r="BB179" s="251" t="s">
        <v>66</v>
      </c>
      <c r="BM179" s="78">
        <f t="shared" si="28"/>
        <v>0</v>
      </c>
      <c r="BN179" s="78">
        <f t="shared" si="29"/>
        <v>0</v>
      </c>
      <c r="BO179" s="78">
        <f t="shared" si="30"/>
        <v>0</v>
      </c>
      <c r="BP179" s="78">
        <f t="shared" si="31"/>
        <v>0</v>
      </c>
    </row>
    <row r="180" spans="1:68" ht="37.5" customHeight="1" x14ac:dyDescent="0.25">
      <c r="A180" s="63" t="s">
        <v>321</v>
      </c>
      <c r="B180" s="63" t="s">
        <v>322</v>
      </c>
      <c r="C180" s="36">
        <v>4301031202</v>
      </c>
      <c r="D180" s="678">
        <v>4680115881679</v>
      </c>
      <c r="E180" s="678"/>
      <c r="F180" s="62">
        <v>0.35</v>
      </c>
      <c r="G180" s="37">
        <v>6</v>
      </c>
      <c r="H180" s="62">
        <v>2.1</v>
      </c>
      <c r="I180" s="62">
        <v>2.2000000000000002</v>
      </c>
      <c r="J180" s="37">
        <v>234</v>
      </c>
      <c r="K180" s="37" t="s">
        <v>164</v>
      </c>
      <c r="L180" s="37" t="s">
        <v>45</v>
      </c>
      <c r="M180" s="38" t="s">
        <v>82</v>
      </c>
      <c r="N180" s="38"/>
      <c r="O180" s="37">
        <v>40</v>
      </c>
      <c r="P180" s="9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0"/>
      <c r="R180" s="680"/>
      <c r="S180" s="680"/>
      <c r="T180" s="681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27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52" t="s">
        <v>312</v>
      </c>
      <c r="AG180" s="78"/>
      <c r="AJ180" s="84" t="s">
        <v>45</v>
      </c>
      <c r="AK180" s="84">
        <v>0</v>
      </c>
      <c r="BB180" s="253" t="s">
        <v>66</v>
      </c>
      <c r="BM180" s="78">
        <f t="shared" si="28"/>
        <v>0</v>
      </c>
      <c r="BN180" s="78">
        <f t="shared" si="29"/>
        <v>0</v>
      </c>
      <c r="BO180" s="78">
        <f t="shared" si="30"/>
        <v>0</v>
      </c>
      <c r="BP180" s="78">
        <f t="shared" si="31"/>
        <v>0</v>
      </c>
    </row>
    <row r="181" spans="1:68" ht="27" customHeight="1" x14ac:dyDescent="0.25">
      <c r="A181" s="63" t="s">
        <v>323</v>
      </c>
      <c r="B181" s="63" t="s">
        <v>324</v>
      </c>
      <c r="C181" s="36">
        <v>4301031158</v>
      </c>
      <c r="D181" s="678">
        <v>4680115880191</v>
      </c>
      <c r="E181" s="678"/>
      <c r="F181" s="62">
        <v>0.4</v>
      </c>
      <c r="G181" s="37">
        <v>6</v>
      </c>
      <c r="H181" s="62">
        <v>2.4</v>
      </c>
      <c r="I181" s="62">
        <v>2.58</v>
      </c>
      <c r="J181" s="37">
        <v>182</v>
      </c>
      <c r="K181" s="37" t="s">
        <v>83</v>
      </c>
      <c r="L181" s="37" t="s">
        <v>45</v>
      </c>
      <c r="M181" s="38" t="s">
        <v>82</v>
      </c>
      <c r="N181" s="38"/>
      <c r="O181" s="37">
        <v>40</v>
      </c>
      <c r="P181" s="9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0"/>
      <c r="R181" s="680"/>
      <c r="S181" s="680"/>
      <c r="T181" s="681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27"/>
        <v>0</v>
      </c>
      <c r="Z181" s="41" t="str">
        <f>IFERROR(IF(Y181=0,"",ROUNDUP(Y181/H181,0)*0.00651),"")</f>
        <v/>
      </c>
      <c r="AA181" s="68" t="s">
        <v>45</v>
      </c>
      <c r="AB181" s="69" t="s">
        <v>45</v>
      </c>
      <c r="AC181" s="254" t="s">
        <v>312</v>
      </c>
      <c r="AG181" s="78"/>
      <c r="AJ181" s="84" t="s">
        <v>45</v>
      </c>
      <c r="AK181" s="84">
        <v>0</v>
      </c>
      <c r="BB181" s="255" t="s">
        <v>66</v>
      </c>
      <c r="BM181" s="78">
        <f t="shared" si="28"/>
        <v>0</v>
      </c>
      <c r="BN181" s="78">
        <f t="shared" si="29"/>
        <v>0</v>
      </c>
      <c r="BO181" s="78">
        <f t="shared" si="30"/>
        <v>0</v>
      </c>
      <c r="BP181" s="78">
        <f t="shared" si="31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4301031245</v>
      </c>
      <c r="D182" s="678">
        <v>4680115883963</v>
      </c>
      <c r="E182" s="67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164</v>
      </c>
      <c r="L182" s="37" t="s">
        <v>45</v>
      </c>
      <c r="M182" s="38" t="s">
        <v>82</v>
      </c>
      <c r="N182" s="38"/>
      <c r="O182" s="37">
        <v>40</v>
      </c>
      <c r="P182" s="8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0"/>
      <c r="R182" s="680"/>
      <c r="S182" s="680"/>
      <c r="T182" s="681"/>
      <c r="U182" s="39" t="s">
        <v>45</v>
      </c>
      <c r="V182" s="39" t="s">
        <v>45</v>
      </c>
      <c r="W182" s="40" t="s">
        <v>0</v>
      </c>
      <c r="X182" s="58">
        <v>0</v>
      </c>
      <c r="Y182" s="55">
        <f t="shared" si="27"/>
        <v>0</v>
      </c>
      <c r="Z182" s="41" t="str">
        <f>IFERROR(IF(Y182=0,"",ROUNDUP(Y182/H182,0)*0.00502),"")</f>
        <v/>
      </c>
      <c r="AA182" s="68" t="s">
        <v>45</v>
      </c>
      <c r="AB182" s="69" t="s">
        <v>45</v>
      </c>
      <c r="AC182" s="256" t="s">
        <v>327</v>
      </c>
      <c r="AG182" s="78"/>
      <c r="AJ182" s="84" t="s">
        <v>45</v>
      </c>
      <c r="AK182" s="84">
        <v>0</v>
      </c>
      <c r="BB182" s="257" t="s">
        <v>66</v>
      </c>
      <c r="BM182" s="78">
        <f t="shared" si="28"/>
        <v>0</v>
      </c>
      <c r="BN182" s="78">
        <f t="shared" si="29"/>
        <v>0</v>
      </c>
      <c r="BO182" s="78">
        <f t="shared" si="30"/>
        <v>0</v>
      </c>
      <c r="BP182" s="78">
        <f t="shared" si="31"/>
        <v>0</v>
      </c>
    </row>
    <row r="183" spans="1:68" x14ac:dyDescent="0.2">
      <c r="A183" s="685"/>
      <c r="B183" s="685"/>
      <c r="C183" s="685"/>
      <c r="D183" s="685"/>
      <c r="E183" s="685"/>
      <c r="F183" s="685"/>
      <c r="G183" s="685"/>
      <c r="H183" s="685"/>
      <c r="I183" s="685"/>
      <c r="J183" s="685"/>
      <c r="K183" s="685"/>
      <c r="L183" s="685"/>
      <c r="M183" s="685"/>
      <c r="N183" s="685"/>
      <c r="O183" s="686"/>
      <c r="P183" s="682" t="s">
        <v>40</v>
      </c>
      <c r="Q183" s="683"/>
      <c r="R183" s="683"/>
      <c r="S183" s="683"/>
      <c r="T183" s="683"/>
      <c r="U183" s="683"/>
      <c r="V183" s="684"/>
      <c r="W183" s="42" t="s">
        <v>39</v>
      </c>
      <c r="X183" s="43">
        <f>IFERROR(X174/H174,"0")+IFERROR(X175/H175,"0")+IFERROR(X176/H176,"0")+IFERROR(X177/H177,"0")+IFERROR(X178/H178,"0")+IFERROR(X179/H179,"0")+IFERROR(X180/H180,"0")+IFERROR(X181/H181,"0")+IFERROR(X182/H182,"0")</f>
        <v>0</v>
      </c>
      <c r="Y183" s="43">
        <f>IFERROR(Y174/H174,"0")+IFERROR(Y175/H175,"0")+IFERROR(Y176/H176,"0")+IFERROR(Y177/H177,"0")+IFERROR(Y178/H178,"0")+IFERROR(Y179/H179,"0")+IFERROR(Y180/H180,"0")+IFERROR(Y181/H181,"0")+IFERROR(Y182/H182,"0")</f>
        <v>0</v>
      </c>
      <c r="Z183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85"/>
      <c r="B184" s="685"/>
      <c r="C184" s="685"/>
      <c r="D184" s="685"/>
      <c r="E184" s="685"/>
      <c r="F184" s="685"/>
      <c r="G184" s="685"/>
      <c r="H184" s="685"/>
      <c r="I184" s="685"/>
      <c r="J184" s="685"/>
      <c r="K184" s="685"/>
      <c r="L184" s="685"/>
      <c r="M184" s="685"/>
      <c r="N184" s="685"/>
      <c r="O184" s="686"/>
      <c r="P184" s="682" t="s">
        <v>40</v>
      </c>
      <c r="Q184" s="683"/>
      <c r="R184" s="683"/>
      <c r="S184" s="683"/>
      <c r="T184" s="683"/>
      <c r="U184" s="683"/>
      <c r="V184" s="684"/>
      <c r="W184" s="42" t="s">
        <v>0</v>
      </c>
      <c r="X184" s="43">
        <f>IFERROR(SUM(X174:X182),"0")</f>
        <v>0</v>
      </c>
      <c r="Y184" s="43">
        <f>IFERROR(SUM(Y174:Y182),"0")</f>
        <v>0</v>
      </c>
      <c r="Z184" s="42"/>
      <c r="AA184" s="67"/>
      <c r="AB184" s="67"/>
      <c r="AC184" s="67"/>
    </row>
    <row r="185" spans="1:68" ht="14.25" customHeight="1" x14ac:dyDescent="0.25">
      <c r="A185" s="677" t="s">
        <v>101</v>
      </c>
      <c r="B185" s="677"/>
      <c r="C185" s="677"/>
      <c r="D185" s="677"/>
      <c r="E185" s="677"/>
      <c r="F185" s="677"/>
      <c r="G185" s="677"/>
      <c r="H185" s="677"/>
      <c r="I185" s="677"/>
      <c r="J185" s="677"/>
      <c r="K185" s="677"/>
      <c r="L185" s="677"/>
      <c r="M185" s="677"/>
      <c r="N185" s="677"/>
      <c r="O185" s="677"/>
      <c r="P185" s="677"/>
      <c r="Q185" s="677"/>
      <c r="R185" s="677"/>
      <c r="S185" s="677"/>
      <c r="T185" s="677"/>
      <c r="U185" s="677"/>
      <c r="V185" s="677"/>
      <c r="W185" s="677"/>
      <c r="X185" s="677"/>
      <c r="Y185" s="677"/>
      <c r="Z185" s="677"/>
      <c r="AA185" s="66"/>
      <c r="AB185" s="66"/>
      <c r="AC185" s="80"/>
    </row>
    <row r="186" spans="1:68" ht="27" customHeight="1" x14ac:dyDescent="0.25">
      <c r="A186" s="63" t="s">
        <v>328</v>
      </c>
      <c r="B186" s="63" t="s">
        <v>329</v>
      </c>
      <c r="C186" s="36">
        <v>4301032053</v>
      </c>
      <c r="D186" s="678">
        <v>4680115886780</v>
      </c>
      <c r="E186" s="678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333</v>
      </c>
      <c r="L186" s="37" t="s">
        <v>45</v>
      </c>
      <c r="M186" s="38" t="s">
        <v>332</v>
      </c>
      <c r="N186" s="38"/>
      <c r="O186" s="37">
        <v>60</v>
      </c>
      <c r="P186" s="899" t="s">
        <v>330</v>
      </c>
      <c r="Q186" s="680"/>
      <c r="R186" s="680"/>
      <c r="S186" s="680"/>
      <c r="T186" s="681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8" t="s">
        <v>331</v>
      </c>
      <c r="AG186" s="78"/>
      <c r="AJ186" s="84" t="s">
        <v>45</v>
      </c>
      <c r="AK186" s="84">
        <v>0</v>
      </c>
      <c r="BB186" s="25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85"/>
      <c r="B187" s="685"/>
      <c r="C187" s="685"/>
      <c r="D187" s="685"/>
      <c r="E187" s="685"/>
      <c r="F187" s="685"/>
      <c r="G187" s="685"/>
      <c r="H187" s="685"/>
      <c r="I187" s="685"/>
      <c r="J187" s="685"/>
      <c r="K187" s="685"/>
      <c r="L187" s="685"/>
      <c r="M187" s="685"/>
      <c r="N187" s="685"/>
      <c r="O187" s="686"/>
      <c r="P187" s="682" t="s">
        <v>40</v>
      </c>
      <c r="Q187" s="683"/>
      <c r="R187" s="683"/>
      <c r="S187" s="683"/>
      <c r="T187" s="683"/>
      <c r="U187" s="683"/>
      <c r="V187" s="684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85"/>
      <c r="B188" s="685"/>
      <c r="C188" s="685"/>
      <c r="D188" s="685"/>
      <c r="E188" s="685"/>
      <c r="F188" s="685"/>
      <c r="G188" s="685"/>
      <c r="H188" s="685"/>
      <c r="I188" s="685"/>
      <c r="J188" s="685"/>
      <c r="K188" s="685"/>
      <c r="L188" s="685"/>
      <c r="M188" s="685"/>
      <c r="N188" s="685"/>
      <c r="O188" s="686"/>
      <c r="P188" s="682" t="s">
        <v>40</v>
      </c>
      <c r="Q188" s="683"/>
      <c r="R188" s="683"/>
      <c r="S188" s="683"/>
      <c r="T188" s="683"/>
      <c r="U188" s="683"/>
      <c r="V188" s="684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99" t="s">
        <v>334</v>
      </c>
      <c r="B189" s="699"/>
      <c r="C189" s="699"/>
      <c r="D189" s="699"/>
      <c r="E189" s="699"/>
      <c r="F189" s="699"/>
      <c r="G189" s="699"/>
      <c r="H189" s="699"/>
      <c r="I189" s="699"/>
      <c r="J189" s="699"/>
      <c r="K189" s="699"/>
      <c r="L189" s="699"/>
      <c r="M189" s="699"/>
      <c r="N189" s="699"/>
      <c r="O189" s="699"/>
      <c r="P189" s="699"/>
      <c r="Q189" s="699"/>
      <c r="R189" s="699"/>
      <c r="S189" s="699"/>
      <c r="T189" s="699"/>
      <c r="U189" s="699"/>
      <c r="V189" s="699"/>
      <c r="W189" s="699"/>
      <c r="X189" s="699"/>
      <c r="Y189" s="699"/>
      <c r="Z189" s="699"/>
      <c r="AA189" s="65"/>
      <c r="AB189" s="65"/>
      <c r="AC189" s="79"/>
    </row>
    <row r="190" spans="1:68" ht="14.25" customHeight="1" x14ac:dyDescent="0.25">
      <c r="A190" s="677" t="s">
        <v>109</v>
      </c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77"/>
      <c r="P190" s="677"/>
      <c r="Q190" s="677"/>
      <c r="R190" s="677"/>
      <c r="S190" s="677"/>
      <c r="T190" s="677"/>
      <c r="U190" s="677"/>
      <c r="V190" s="677"/>
      <c r="W190" s="677"/>
      <c r="X190" s="677"/>
      <c r="Y190" s="677"/>
      <c r="Z190" s="677"/>
      <c r="AA190" s="66"/>
      <c r="AB190" s="66"/>
      <c r="AC190" s="80"/>
    </row>
    <row r="191" spans="1:68" ht="16.5" customHeight="1" x14ac:dyDescent="0.25">
      <c r="A191" s="63" t="s">
        <v>335</v>
      </c>
      <c r="B191" s="63" t="s">
        <v>336</v>
      </c>
      <c r="C191" s="36">
        <v>4301011450</v>
      </c>
      <c r="D191" s="678">
        <v>4680115881402</v>
      </c>
      <c r="E191" s="678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114</v>
      </c>
      <c r="L191" s="37" t="s">
        <v>45</v>
      </c>
      <c r="M191" s="38" t="s">
        <v>113</v>
      </c>
      <c r="N191" s="38"/>
      <c r="O191" s="37">
        <v>55</v>
      </c>
      <c r="P191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0"/>
      <c r="R191" s="680"/>
      <c r="S191" s="680"/>
      <c r="T191" s="681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60" t="s">
        <v>337</v>
      </c>
      <c r="AG191" s="78"/>
      <c r="AJ191" s="84" t="s">
        <v>45</v>
      </c>
      <c r="AK191" s="84">
        <v>0</v>
      </c>
      <c r="BB191" s="261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338</v>
      </c>
      <c r="B192" s="63" t="s">
        <v>339</v>
      </c>
      <c r="C192" s="36">
        <v>4301011768</v>
      </c>
      <c r="D192" s="678">
        <v>4680115881396</v>
      </c>
      <c r="E192" s="678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45</v>
      </c>
      <c r="M192" s="38" t="s">
        <v>113</v>
      </c>
      <c r="N192" s="38"/>
      <c r="O192" s="37">
        <v>55</v>
      </c>
      <c r="P192" s="9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0"/>
      <c r="R192" s="680"/>
      <c r="S192" s="680"/>
      <c r="T192" s="681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62" t="s">
        <v>337</v>
      </c>
      <c r="AG192" s="78"/>
      <c r="AJ192" s="84" t="s">
        <v>45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85"/>
      <c r="B193" s="685"/>
      <c r="C193" s="685"/>
      <c r="D193" s="685"/>
      <c r="E193" s="685"/>
      <c r="F193" s="685"/>
      <c r="G193" s="685"/>
      <c r="H193" s="685"/>
      <c r="I193" s="685"/>
      <c r="J193" s="685"/>
      <c r="K193" s="685"/>
      <c r="L193" s="685"/>
      <c r="M193" s="685"/>
      <c r="N193" s="685"/>
      <c r="O193" s="686"/>
      <c r="P193" s="682" t="s">
        <v>40</v>
      </c>
      <c r="Q193" s="683"/>
      <c r="R193" s="683"/>
      <c r="S193" s="683"/>
      <c r="T193" s="683"/>
      <c r="U193" s="683"/>
      <c r="V193" s="684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85"/>
      <c r="B194" s="685"/>
      <c r="C194" s="685"/>
      <c r="D194" s="685"/>
      <c r="E194" s="685"/>
      <c r="F194" s="685"/>
      <c r="G194" s="685"/>
      <c r="H194" s="685"/>
      <c r="I194" s="685"/>
      <c r="J194" s="685"/>
      <c r="K194" s="685"/>
      <c r="L194" s="685"/>
      <c r="M194" s="685"/>
      <c r="N194" s="685"/>
      <c r="O194" s="686"/>
      <c r="P194" s="682" t="s">
        <v>40</v>
      </c>
      <c r="Q194" s="683"/>
      <c r="R194" s="683"/>
      <c r="S194" s="683"/>
      <c r="T194" s="683"/>
      <c r="U194" s="683"/>
      <c r="V194" s="684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77" t="s">
        <v>149</v>
      </c>
      <c r="B195" s="677"/>
      <c r="C195" s="677"/>
      <c r="D195" s="677"/>
      <c r="E195" s="677"/>
      <c r="F195" s="677"/>
      <c r="G195" s="677"/>
      <c r="H195" s="677"/>
      <c r="I195" s="677"/>
      <c r="J195" s="677"/>
      <c r="K195" s="677"/>
      <c r="L195" s="677"/>
      <c r="M195" s="677"/>
      <c r="N195" s="677"/>
      <c r="O195" s="677"/>
      <c r="P195" s="677"/>
      <c r="Q195" s="677"/>
      <c r="R195" s="677"/>
      <c r="S195" s="677"/>
      <c r="T195" s="677"/>
      <c r="U195" s="677"/>
      <c r="V195" s="677"/>
      <c r="W195" s="677"/>
      <c r="X195" s="677"/>
      <c r="Y195" s="677"/>
      <c r="Z195" s="677"/>
      <c r="AA195" s="66"/>
      <c r="AB195" s="66"/>
      <c r="AC195" s="80"/>
    </row>
    <row r="196" spans="1:68" ht="16.5" customHeight="1" x14ac:dyDescent="0.25">
      <c r="A196" s="63" t="s">
        <v>340</v>
      </c>
      <c r="B196" s="63" t="s">
        <v>341</v>
      </c>
      <c r="C196" s="36">
        <v>4301020262</v>
      </c>
      <c r="D196" s="678">
        <v>4680115882935</v>
      </c>
      <c r="E196" s="678"/>
      <c r="F196" s="62">
        <v>1.35</v>
      </c>
      <c r="G196" s="37">
        <v>8</v>
      </c>
      <c r="H196" s="62">
        <v>10.8</v>
      </c>
      <c r="I196" s="62">
        <v>11.234999999999999</v>
      </c>
      <c r="J196" s="37">
        <v>64</v>
      </c>
      <c r="K196" s="37" t="s">
        <v>114</v>
      </c>
      <c r="L196" s="37" t="s">
        <v>45</v>
      </c>
      <c r="M196" s="38" t="s">
        <v>117</v>
      </c>
      <c r="N196" s="38"/>
      <c r="O196" s="37">
        <v>50</v>
      </c>
      <c r="P196" s="8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0"/>
      <c r="R196" s="680"/>
      <c r="S196" s="680"/>
      <c r="T196" s="681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64" t="s">
        <v>342</v>
      </c>
      <c r="AG196" s="78"/>
      <c r="AJ196" s="84" t="s">
        <v>45</v>
      </c>
      <c r="AK196" s="84">
        <v>0</v>
      </c>
      <c r="BB196" s="265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343</v>
      </c>
      <c r="B197" s="63" t="s">
        <v>344</v>
      </c>
      <c r="C197" s="36">
        <v>4301020220</v>
      </c>
      <c r="D197" s="678">
        <v>4680115880764</v>
      </c>
      <c r="E197" s="678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113</v>
      </c>
      <c r="N197" s="38"/>
      <c r="O197" s="37">
        <v>50</v>
      </c>
      <c r="P197" s="89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0"/>
      <c r="R197" s="680"/>
      <c r="S197" s="680"/>
      <c r="T197" s="681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6" t="s">
        <v>342</v>
      </c>
      <c r="AG197" s="78"/>
      <c r="AJ197" s="84" t="s">
        <v>45</v>
      </c>
      <c r="AK197" s="84">
        <v>0</v>
      </c>
      <c r="BB197" s="267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85"/>
      <c r="B198" s="685"/>
      <c r="C198" s="685"/>
      <c r="D198" s="685"/>
      <c r="E198" s="685"/>
      <c r="F198" s="685"/>
      <c r="G198" s="685"/>
      <c r="H198" s="685"/>
      <c r="I198" s="685"/>
      <c r="J198" s="685"/>
      <c r="K198" s="685"/>
      <c r="L198" s="685"/>
      <c r="M198" s="685"/>
      <c r="N198" s="685"/>
      <c r="O198" s="686"/>
      <c r="P198" s="682" t="s">
        <v>40</v>
      </c>
      <c r="Q198" s="683"/>
      <c r="R198" s="683"/>
      <c r="S198" s="683"/>
      <c r="T198" s="683"/>
      <c r="U198" s="683"/>
      <c r="V198" s="68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85"/>
      <c r="B199" s="685"/>
      <c r="C199" s="685"/>
      <c r="D199" s="685"/>
      <c r="E199" s="685"/>
      <c r="F199" s="685"/>
      <c r="G199" s="685"/>
      <c r="H199" s="685"/>
      <c r="I199" s="685"/>
      <c r="J199" s="685"/>
      <c r="K199" s="685"/>
      <c r="L199" s="685"/>
      <c r="M199" s="685"/>
      <c r="N199" s="685"/>
      <c r="O199" s="686"/>
      <c r="P199" s="682" t="s">
        <v>40</v>
      </c>
      <c r="Q199" s="683"/>
      <c r="R199" s="683"/>
      <c r="S199" s="683"/>
      <c r="T199" s="683"/>
      <c r="U199" s="683"/>
      <c r="V199" s="68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77" t="s">
        <v>160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66"/>
      <c r="AB200" s="66"/>
      <c r="AC200" s="80"/>
    </row>
    <row r="201" spans="1:68" ht="27" customHeight="1" x14ac:dyDescent="0.25">
      <c r="A201" s="63" t="s">
        <v>345</v>
      </c>
      <c r="B201" s="63" t="s">
        <v>346</v>
      </c>
      <c r="C201" s="36">
        <v>4301031224</v>
      </c>
      <c r="D201" s="678">
        <v>4680115882683</v>
      </c>
      <c r="E201" s="678"/>
      <c r="F201" s="62">
        <v>0.9</v>
      </c>
      <c r="G201" s="37">
        <v>6</v>
      </c>
      <c r="H201" s="62">
        <v>5.4</v>
      </c>
      <c r="I201" s="62">
        <v>5.61</v>
      </c>
      <c r="J201" s="37">
        <v>132</v>
      </c>
      <c r="K201" s="37" t="s">
        <v>118</v>
      </c>
      <c r="L201" s="37" t="s">
        <v>45</v>
      </c>
      <c r="M201" s="38" t="s">
        <v>82</v>
      </c>
      <c r="N201" s="38"/>
      <c r="O201" s="37">
        <v>40</v>
      </c>
      <c r="P201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0"/>
      <c r="R201" s="680"/>
      <c r="S201" s="680"/>
      <c r="T201" s="681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32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68" t="s">
        <v>347</v>
      </c>
      <c r="AG201" s="78"/>
      <c r="AJ201" s="84" t="s">
        <v>45</v>
      </c>
      <c r="AK201" s="84">
        <v>0</v>
      </c>
      <c r="BB201" s="269" t="s">
        <v>66</v>
      </c>
      <c r="BM201" s="78">
        <f t="shared" ref="BM201:BM208" si="33">IFERROR(X201*I201/H201,"0")</f>
        <v>0</v>
      </c>
      <c r="BN201" s="78">
        <f t="shared" ref="BN201:BN208" si="34">IFERROR(Y201*I201/H201,"0")</f>
        <v>0</v>
      </c>
      <c r="BO201" s="78">
        <f t="shared" ref="BO201:BO208" si="35">IFERROR(1/J201*(X201/H201),"0")</f>
        <v>0</v>
      </c>
      <c r="BP201" s="78">
        <f t="shared" ref="BP201:BP208" si="36">IFERROR(1/J201*(Y201/H201),"0")</f>
        <v>0</v>
      </c>
    </row>
    <row r="202" spans="1:68" ht="27" customHeight="1" x14ac:dyDescent="0.25">
      <c r="A202" s="63" t="s">
        <v>348</v>
      </c>
      <c r="B202" s="63" t="s">
        <v>349</v>
      </c>
      <c r="C202" s="36">
        <v>4301031230</v>
      </c>
      <c r="D202" s="678">
        <v>4680115882690</v>
      </c>
      <c r="E202" s="678"/>
      <c r="F202" s="62">
        <v>0.9</v>
      </c>
      <c r="G202" s="37">
        <v>6</v>
      </c>
      <c r="H202" s="62">
        <v>5.4</v>
      </c>
      <c r="I202" s="62">
        <v>5.61</v>
      </c>
      <c r="J202" s="37">
        <v>132</v>
      </c>
      <c r="K202" s="37" t="s">
        <v>118</v>
      </c>
      <c r="L202" s="37" t="s">
        <v>45</v>
      </c>
      <c r="M202" s="38" t="s">
        <v>82</v>
      </c>
      <c r="N202" s="38"/>
      <c r="O202" s="37">
        <v>40</v>
      </c>
      <c r="P202" s="89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0"/>
      <c r="R202" s="680"/>
      <c r="S202" s="680"/>
      <c r="T202" s="681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32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70" t="s">
        <v>350</v>
      </c>
      <c r="AG202" s="78"/>
      <c r="AJ202" s="84" t="s">
        <v>45</v>
      </c>
      <c r="AK202" s="84">
        <v>0</v>
      </c>
      <c r="BB202" s="271" t="s">
        <v>66</v>
      </c>
      <c r="BM202" s="78">
        <f t="shared" si="33"/>
        <v>0</v>
      </c>
      <c r="BN202" s="78">
        <f t="shared" si="34"/>
        <v>0</v>
      </c>
      <c r="BO202" s="78">
        <f t="shared" si="35"/>
        <v>0</v>
      </c>
      <c r="BP202" s="78">
        <f t="shared" si="36"/>
        <v>0</v>
      </c>
    </row>
    <row r="203" spans="1:68" ht="27" customHeight="1" x14ac:dyDescent="0.25">
      <c r="A203" s="63" t="s">
        <v>351</v>
      </c>
      <c r="B203" s="63" t="s">
        <v>352</v>
      </c>
      <c r="C203" s="36">
        <v>4301031220</v>
      </c>
      <c r="D203" s="678">
        <v>4680115882669</v>
      </c>
      <c r="E203" s="678"/>
      <c r="F203" s="62">
        <v>0.9</v>
      </c>
      <c r="G203" s="37">
        <v>6</v>
      </c>
      <c r="H203" s="62">
        <v>5.4</v>
      </c>
      <c r="I203" s="62">
        <v>5.61</v>
      </c>
      <c r="J203" s="37">
        <v>132</v>
      </c>
      <c r="K203" s="37" t="s">
        <v>118</v>
      </c>
      <c r="L203" s="37" t="s">
        <v>45</v>
      </c>
      <c r="M203" s="38" t="s">
        <v>82</v>
      </c>
      <c r="N203" s="38"/>
      <c r="O203" s="37">
        <v>40</v>
      </c>
      <c r="P203" s="8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0"/>
      <c r="R203" s="680"/>
      <c r="S203" s="680"/>
      <c r="T203" s="681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32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72" t="s">
        <v>353</v>
      </c>
      <c r="AG203" s="78"/>
      <c r="AJ203" s="84" t="s">
        <v>45</v>
      </c>
      <c r="AK203" s="84">
        <v>0</v>
      </c>
      <c r="BB203" s="273" t="s">
        <v>66</v>
      </c>
      <c r="BM203" s="78">
        <f t="shared" si="33"/>
        <v>0</v>
      </c>
      <c r="BN203" s="78">
        <f t="shared" si="34"/>
        <v>0</v>
      </c>
      <c r="BO203" s="78">
        <f t="shared" si="35"/>
        <v>0</v>
      </c>
      <c r="BP203" s="78">
        <f t="shared" si="36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4301031221</v>
      </c>
      <c r="D204" s="678">
        <v>4680115882676</v>
      </c>
      <c r="E204" s="678"/>
      <c r="F204" s="62">
        <v>0.9</v>
      </c>
      <c r="G204" s="37">
        <v>6</v>
      </c>
      <c r="H204" s="62">
        <v>5.4</v>
      </c>
      <c r="I204" s="62">
        <v>5.61</v>
      </c>
      <c r="J204" s="37">
        <v>132</v>
      </c>
      <c r="K204" s="37" t="s">
        <v>118</v>
      </c>
      <c r="L204" s="37" t="s">
        <v>45</v>
      </c>
      <c r="M204" s="38" t="s">
        <v>82</v>
      </c>
      <c r="N204" s="38"/>
      <c r="O204" s="37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0"/>
      <c r="R204" s="680"/>
      <c r="S204" s="680"/>
      <c r="T204" s="681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32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74" t="s">
        <v>356</v>
      </c>
      <c r="AG204" s="78"/>
      <c r="AJ204" s="84" t="s">
        <v>45</v>
      </c>
      <c r="AK204" s="84">
        <v>0</v>
      </c>
      <c r="BB204" s="275" t="s">
        <v>66</v>
      </c>
      <c r="BM204" s="78">
        <f t="shared" si="33"/>
        <v>0</v>
      </c>
      <c r="BN204" s="78">
        <f t="shared" si="34"/>
        <v>0</v>
      </c>
      <c r="BO204" s="78">
        <f t="shared" si="35"/>
        <v>0</v>
      </c>
      <c r="BP204" s="78">
        <f t="shared" si="36"/>
        <v>0</v>
      </c>
    </row>
    <row r="205" spans="1:68" ht="27" customHeight="1" x14ac:dyDescent="0.25">
      <c r="A205" s="63" t="s">
        <v>357</v>
      </c>
      <c r="B205" s="63" t="s">
        <v>358</v>
      </c>
      <c r="C205" s="36">
        <v>4301031223</v>
      </c>
      <c r="D205" s="678">
        <v>4680115884014</v>
      </c>
      <c r="E205" s="678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164</v>
      </c>
      <c r="L205" s="37" t="s">
        <v>45</v>
      </c>
      <c r="M205" s="38" t="s">
        <v>82</v>
      </c>
      <c r="N205" s="38"/>
      <c r="O205" s="37">
        <v>40</v>
      </c>
      <c r="P205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0"/>
      <c r="R205" s="680"/>
      <c r="S205" s="680"/>
      <c r="T205" s="68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32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76" t="s">
        <v>347</v>
      </c>
      <c r="AG205" s="78"/>
      <c r="AJ205" s="84" t="s">
        <v>45</v>
      </c>
      <c r="AK205" s="84">
        <v>0</v>
      </c>
      <c r="BB205" s="277" t="s">
        <v>66</v>
      </c>
      <c r="BM205" s="78">
        <f t="shared" si="33"/>
        <v>0</v>
      </c>
      <c r="BN205" s="78">
        <f t="shared" si="34"/>
        <v>0</v>
      </c>
      <c r="BO205" s="78">
        <f t="shared" si="35"/>
        <v>0</v>
      </c>
      <c r="BP205" s="78">
        <f t="shared" si="36"/>
        <v>0</v>
      </c>
    </row>
    <row r="206" spans="1:68" ht="27" customHeight="1" x14ac:dyDescent="0.25">
      <c r="A206" s="63" t="s">
        <v>359</v>
      </c>
      <c r="B206" s="63" t="s">
        <v>360</v>
      </c>
      <c r="C206" s="36">
        <v>4301031222</v>
      </c>
      <c r="D206" s="678">
        <v>4680115884007</v>
      </c>
      <c r="E206" s="678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164</v>
      </c>
      <c r="L206" s="37" t="s">
        <v>45</v>
      </c>
      <c r="M206" s="38" t="s">
        <v>82</v>
      </c>
      <c r="N206" s="38"/>
      <c r="O206" s="37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0"/>
      <c r="R206" s="680"/>
      <c r="S206" s="680"/>
      <c r="T206" s="68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32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78" t="s">
        <v>350</v>
      </c>
      <c r="AG206" s="78"/>
      <c r="AJ206" s="84" t="s">
        <v>45</v>
      </c>
      <c r="AK206" s="84">
        <v>0</v>
      </c>
      <c r="BB206" s="279" t="s">
        <v>66</v>
      </c>
      <c r="BM206" s="78">
        <f t="shared" si="33"/>
        <v>0</v>
      </c>
      <c r="BN206" s="78">
        <f t="shared" si="34"/>
        <v>0</v>
      </c>
      <c r="BO206" s="78">
        <f t="shared" si="35"/>
        <v>0</v>
      </c>
      <c r="BP206" s="78">
        <f t="shared" si="36"/>
        <v>0</v>
      </c>
    </row>
    <row r="207" spans="1:68" ht="27" customHeight="1" x14ac:dyDescent="0.25">
      <c r="A207" s="63" t="s">
        <v>361</v>
      </c>
      <c r="B207" s="63" t="s">
        <v>362</v>
      </c>
      <c r="C207" s="36">
        <v>4301031229</v>
      </c>
      <c r="D207" s="678">
        <v>4680115884038</v>
      </c>
      <c r="E207" s="678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164</v>
      </c>
      <c r="L207" s="37" t="s">
        <v>45</v>
      </c>
      <c r="M207" s="38" t="s">
        <v>82</v>
      </c>
      <c r="N207" s="38"/>
      <c r="O207" s="37">
        <v>40</v>
      </c>
      <c r="P207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0"/>
      <c r="R207" s="680"/>
      <c r="S207" s="680"/>
      <c r="T207" s="68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32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80" t="s">
        <v>353</v>
      </c>
      <c r="AG207" s="78"/>
      <c r="AJ207" s="84" t="s">
        <v>45</v>
      </c>
      <c r="AK207" s="84">
        <v>0</v>
      </c>
      <c r="BB207" s="281" t="s">
        <v>66</v>
      </c>
      <c r="BM207" s="78">
        <f t="shared" si="33"/>
        <v>0</v>
      </c>
      <c r="BN207" s="78">
        <f t="shared" si="34"/>
        <v>0</v>
      </c>
      <c r="BO207" s="78">
        <f t="shared" si="35"/>
        <v>0</v>
      </c>
      <c r="BP207" s="78">
        <f t="shared" si="36"/>
        <v>0</v>
      </c>
    </row>
    <row r="208" spans="1:68" ht="27" customHeight="1" x14ac:dyDescent="0.25">
      <c r="A208" s="63" t="s">
        <v>363</v>
      </c>
      <c r="B208" s="63" t="s">
        <v>364</v>
      </c>
      <c r="C208" s="36">
        <v>4301031225</v>
      </c>
      <c r="D208" s="678">
        <v>4680115884021</v>
      </c>
      <c r="E208" s="678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164</v>
      </c>
      <c r="L208" s="37" t="s">
        <v>45</v>
      </c>
      <c r="M208" s="38" t="s">
        <v>82</v>
      </c>
      <c r="N208" s="38"/>
      <c r="O208" s="37">
        <v>40</v>
      </c>
      <c r="P208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0"/>
      <c r="R208" s="680"/>
      <c r="S208" s="680"/>
      <c r="T208" s="68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32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82" t="s">
        <v>356</v>
      </c>
      <c r="AG208" s="78"/>
      <c r="AJ208" s="84" t="s">
        <v>45</v>
      </c>
      <c r="AK208" s="84">
        <v>0</v>
      </c>
      <c r="BB208" s="283" t="s">
        <v>66</v>
      </c>
      <c r="BM208" s="78">
        <f t="shared" si="33"/>
        <v>0</v>
      </c>
      <c r="BN208" s="78">
        <f t="shared" si="34"/>
        <v>0</v>
      </c>
      <c r="BO208" s="78">
        <f t="shared" si="35"/>
        <v>0</v>
      </c>
      <c r="BP208" s="78">
        <f t="shared" si="36"/>
        <v>0</v>
      </c>
    </row>
    <row r="209" spans="1:68" x14ac:dyDescent="0.2">
      <c r="A209" s="685"/>
      <c r="B209" s="685"/>
      <c r="C209" s="685"/>
      <c r="D209" s="685"/>
      <c r="E209" s="685"/>
      <c r="F209" s="685"/>
      <c r="G209" s="685"/>
      <c r="H209" s="685"/>
      <c r="I209" s="685"/>
      <c r="J209" s="685"/>
      <c r="K209" s="685"/>
      <c r="L209" s="685"/>
      <c r="M209" s="685"/>
      <c r="N209" s="685"/>
      <c r="O209" s="686"/>
      <c r="P209" s="682" t="s">
        <v>40</v>
      </c>
      <c r="Q209" s="683"/>
      <c r="R209" s="683"/>
      <c r="S209" s="683"/>
      <c r="T209" s="683"/>
      <c r="U209" s="683"/>
      <c r="V209" s="684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85"/>
      <c r="B210" s="685"/>
      <c r="C210" s="685"/>
      <c r="D210" s="685"/>
      <c r="E210" s="685"/>
      <c r="F210" s="685"/>
      <c r="G210" s="685"/>
      <c r="H210" s="685"/>
      <c r="I210" s="685"/>
      <c r="J210" s="685"/>
      <c r="K210" s="685"/>
      <c r="L210" s="685"/>
      <c r="M210" s="685"/>
      <c r="N210" s="685"/>
      <c r="O210" s="686"/>
      <c r="P210" s="682" t="s">
        <v>40</v>
      </c>
      <c r="Q210" s="683"/>
      <c r="R210" s="683"/>
      <c r="S210" s="683"/>
      <c r="T210" s="683"/>
      <c r="U210" s="683"/>
      <c r="V210" s="684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77" t="s">
        <v>78</v>
      </c>
      <c r="B211" s="677"/>
      <c r="C211" s="677"/>
      <c r="D211" s="677"/>
      <c r="E211" s="677"/>
      <c r="F211" s="677"/>
      <c r="G211" s="677"/>
      <c r="H211" s="677"/>
      <c r="I211" s="677"/>
      <c r="J211" s="677"/>
      <c r="K211" s="677"/>
      <c r="L211" s="677"/>
      <c r="M211" s="677"/>
      <c r="N211" s="677"/>
      <c r="O211" s="677"/>
      <c r="P211" s="677"/>
      <c r="Q211" s="677"/>
      <c r="R211" s="677"/>
      <c r="S211" s="677"/>
      <c r="T211" s="677"/>
      <c r="U211" s="677"/>
      <c r="V211" s="677"/>
      <c r="W211" s="677"/>
      <c r="X211" s="677"/>
      <c r="Y211" s="677"/>
      <c r="Z211" s="677"/>
      <c r="AA211" s="66"/>
      <c r="AB211" s="66"/>
      <c r="AC211" s="80"/>
    </row>
    <row r="212" spans="1:68" ht="27" customHeight="1" x14ac:dyDescent="0.25">
      <c r="A212" s="63" t="s">
        <v>365</v>
      </c>
      <c r="B212" s="63" t="s">
        <v>366</v>
      </c>
      <c r="C212" s="36">
        <v>4301051408</v>
      </c>
      <c r="D212" s="678">
        <v>4680115881594</v>
      </c>
      <c r="E212" s="678"/>
      <c r="F212" s="62">
        <v>1.35</v>
      </c>
      <c r="G212" s="37">
        <v>6</v>
      </c>
      <c r="H212" s="62">
        <v>8.1</v>
      </c>
      <c r="I212" s="62">
        <v>8.6189999999999998</v>
      </c>
      <c r="J212" s="37">
        <v>64</v>
      </c>
      <c r="K212" s="37" t="s">
        <v>114</v>
      </c>
      <c r="L212" s="37" t="s">
        <v>45</v>
      </c>
      <c r="M212" s="38" t="s">
        <v>117</v>
      </c>
      <c r="N212" s="38"/>
      <c r="O212" s="37">
        <v>40</v>
      </c>
      <c r="P212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0"/>
      <c r="R212" s="680"/>
      <c r="S212" s="680"/>
      <c r="T212" s="681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37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84" t="s">
        <v>367</v>
      </c>
      <c r="AG212" s="78"/>
      <c r="AJ212" s="84" t="s">
        <v>45</v>
      </c>
      <c r="AK212" s="84">
        <v>0</v>
      </c>
      <c r="BB212" s="285" t="s">
        <v>66</v>
      </c>
      <c r="BM212" s="78">
        <f t="shared" ref="BM212:BM220" si="38">IFERROR(X212*I212/H212,"0")</f>
        <v>0</v>
      </c>
      <c r="BN212" s="78">
        <f t="shared" ref="BN212:BN220" si="39">IFERROR(Y212*I212/H212,"0")</f>
        <v>0</v>
      </c>
      <c r="BO212" s="78">
        <f t="shared" ref="BO212:BO220" si="40">IFERROR(1/J212*(X212/H212),"0")</f>
        <v>0</v>
      </c>
      <c r="BP212" s="78">
        <f t="shared" ref="BP212:BP220" si="41">IFERROR(1/J212*(Y212/H212),"0")</f>
        <v>0</v>
      </c>
    </row>
    <row r="213" spans="1:68" ht="27" customHeight="1" x14ac:dyDescent="0.25">
      <c r="A213" s="63" t="s">
        <v>368</v>
      </c>
      <c r="B213" s="63" t="s">
        <v>369</v>
      </c>
      <c r="C213" s="36">
        <v>4301051411</v>
      </c>
      <c r="D213" s="678">
        <v>4680115881617</v>
      </c>
      <c r="E213" s="678"/>
      <c r="F213" s="62">
        <v>1.35</v>
      </c>
      <c r="G213" s="37">
        <v>6</v>
      </c>
      <c r="H213" s="62">
        <v>8.1</v>
      </c>
      <c r="I213" s="62">
        <v>8.6010000000000009</v>
      </c>
      <c r="J213" s="37">
        <v>64</v>
      </c>
      <c r="K213" s="37" t="s">
        <v>114</v>
      </c>
      <c r="L213" s="37" t="s">
        <v>45</v>
      </c>
      <c r="M213" s="38" t="s">
        <v>117</v>
      </c>
      <c r="N213" s="38"/>
      <c r="O213" s="37">
        <v>40</v>
      </c>
      <c r="P213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0"/>
      <c r="R213" s="680"/>
      <c r="S213" s="680"/>
      <c r="T213" s="681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37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86" t="s">
        <v>370</v>
      </c>
      <c r="AG213" s="78"/>
      <c r="AJ213" s="84" t="s">
        <v>45</v>
      </c>
      <c r="AK213" s="84">
        <v>0</v>
      </c>
      <c r="BB213" s="287" t="s">
        <v>66</v>
      </c>
      <c r="BM213" s="78">
        <f t="shared" si="38"/>
        <v>0</v>
      </c>
      <c r="BN213" s="78">
        <f t="shared" si="39"/>
        <v>0</v>
      </c>
      <c r="BO213" s="78">
        <f t="shared" si="40"/>
        <v>0</v>
      </c>
      <c r="BP213" s="78">
        <f t="shared" si="41"/>
        <v>0</v>
      </c>
    </row>
    <row r="214" spans="1:68" ht="16.5" customHeight="1" x14ac:dyDescent="0.25">
      <c r="A214" s="63" t="s">
        <v>371</v>
      </c>
      <c r="B214" s="63" t="s">
        <v>372</v>
      </c>
      <c r="C214" s="36">
        <v>4301051656</v>
      </c>
      <c r="D214" s="678">
        <v>4680115880573</v>
      </c>
      <c r="E214" s="678"/>
      <c r="F214" s="62">
        <v>1.45</v>
      </c>
      <c r="G214" s="37">
        <v>6</v>
      </c>
      <c r="H214" s="62">
        <v>8.6999999999999993</v>
      </c>
      <c r="I214" s="62">
        <v>9.2189999999999994</v>
      </c>
      <c r="J214" s="37">
        <v>64</v>
      </c>
      <c r="K214" s="37" t="s">
        <v>114</v>
      </c>
      <c r="L214" s="37" t="s">
        <v>45</v>
      </c>
      <c r="M214" s="38" t="s">
        <v>117</v>
      </c>
      <c r="N214" s="38"/>
      <c r="O214" s="37">
        <v>45</v>
      </c>
      <c r="P214" s="8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0"/>
      <c r="R214" s="680"/>
      <c r="S214" s="680"/>
      <c r="T214" s="681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37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88" t="s">
        <v>373</v>
      </c>
      <c r="AG214" s="78"/>
      <c r="AJ214" s="84" t="s">
        <v>45</v>
      </c>
      <c r="AK214" s="84">
        <v>0</v>
      </c>
      <c r="BB214" s="289" t="s">
        <v>66</v>
      </c>
      <c r="BM214" s="78">
        <f t="shared" si="38"/>
        <v>0</v>
      </c>
      <c r="BN214" s="78">
        <f t="shared" si="39"/>
        <v>0</v>
      </c>
      <c r="BO214" s="78">
        <f t="shared" si="40"/>
        <v>0</v>
      </c>
      <c r="BP214" s="78">
        <f t="shared" si="41"/>
        <v>0</v>
      </c>
    </row>
    <row r="215" spans="1:68" ht="27" customHeight="1" x14ac:dyDescent="0.25">
      <c r="A215" s="63" t="s">
        <v>374</v>
      </c>
      <c r="B215" s="63" t="s">
        <v>375</v>
      </c>
      <c r="C215" s="36">
        <v>4301051407</v>
      </c>
      <c r="D215" s="678">
        <v>4680115882195</v>
      </c>
      <c r="E215" s="678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45</v>
      </c>
      <c r="M215" s="38" t="s">
        <v>117</v>
      </c>
      <c r="N215" s="38"/>
      <c r="O215" s="37">
        <v>40</v>
      </c>
      <c r="P215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0"/>
      <c r="R215" s="680"/>
      <c r="S215" s="680"/>
      <c r="T215" s="681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37"/>
        <v>0</v>
      </c>
      <c r="Z215" s="41" t="str">
        <f t="shared" ref="Z215:Z220" si="42">IFERROR(IF(Y215=0,"",ROUNDUP(Y215/H215,0)*0.00651),"")</f>
        <v/>
      </c>
      <c r="AA215" s="68" t="s">
        <v>45</v>
      </c>
      <c r="AB215" s="69" t="s">
        <v>45</v>
      </c>
      <c r="AC215" s="290" t="s">
        <v>367</v>
      </c>
      <c r="AG215" s="78"/>
      <c r="AJ215" s="84" t="s">
        <v>45</v>
      </c>
      <c r="AK215" s="84">
        <v>0</v>
      </c>
      <c r="BB215" s="291" t="s">
        <v>66</v>
      </c>
      <c r="BM215" s="78">
        <f t="shared" si="38"/>
        <v>0</v>
      </c>
      <c r="BN215" s="78">
        <f t="shared" si="39"/>
        <v>0</v>
      </c>
      <c r="BO215" s="78">
        <f t="shared" si="40"/>
        <v>0</v>
      </c>
      <c r="BP215" s="78">
        <f t="shared" si="41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4301051752</v>
      </c>
      <c r="D216" s="678">
        <v>4680115882607</v>
      </c>
      <c r="E216" s="678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45</v>
      </c>
      <c r="M216" s="38" t="s">
        <v>146</v>
      </c>
      <c r="N216" s="38"/>
      <c r="O216" s="37">
        <v>45</v>
      </c>
      <c r="P216" s="88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0"/>
      <c r="R216" s="680"/>
      <c r="S216" s="680"/>
      <c r="T216" s="68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37"/>
        <v>0</v>
      </c>
      <c r="Z216" s="41" t="str">
        <f t="shared" si="42"/>
        <v/>
      </c>
      <c r="AA216" s="68" t="s">
        <v>45</v>
      </c>
      <c r="AB216" s="69" t="s">
        <v>45</v>
      </c>
      <c r="AC216" s="292" t="s">
        <v>378</v>
      </c>
      <c r="AG216" s="78"/>
      <c r="AJ216" s="84" t="s">
        <v>45</v>
      </c>
      <c r="AK216" s="84">
        <v>0</v>
      </c>
      <c r="BB216" s="293" t="s">
        <v>66</v>
      </c>
      <c r="BM216" s="78">
        <f t="shared" si="38"/>
        <v>0</v>
      </c>
      <c r="BN216" s="78">
        <f t="shared" si="39"/>
        <v>0</v>
      </c>
      <c r="BO216" s="78">
        <f t="shared" si="40"/>
        <v>0</v>
      </c>
      <c r="BP216" s="78">
        <f t="shared" si="41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4301051666</v>
      </c>
      <c r="D217" s="678">
        <v>4680115880092</v>
      </c>
      <c r="E217" s="678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45</v>
      </c>
      <c r="M217" s="38" t="s">
        <v>117</v>
      </c>
      <c r="N217" s="38"/>
      <c r="O217" s="37">
        <v>45</v>
      </c>
      <c r="P217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0"/>
      <c r="R217" s="680"/>
      <c r="S217" s="680"/>
      <c r="T217" s="68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37"/>
        <v>0</v>
      </c>
      <c r="Z217" s="41" t="str">
        <f t="shared" si="42"/>
        <v/>
      </c>
      <c r="AA217" s="68" t="s">
        <v>45</v>
      </c>
      <c r="AB217" s="69" t="s">
        <v>45</v>
      </c>
      <c r="AC217" s="294" t="s">
        <v>373</v>
      </c>
      <c r="AG217" s="78"/>
      <c r="AJ217" s="84" t="s">
        <v>45</v>
      </c>
      <c r="AK217" s="84">
        <v>0</v>
      </c>
      <c r="BB217" s="295" t="s">
        <v>66</v>
      </c>
      <c r="BM217" s="78">
        <f t="shared" si="38"/>
        <v>0</v>
      </c>
      <c r="BN217" s="78">
        <f t="shared" si="39"/>
        <v>0</v>
      </c>
      <c r="BO217" s="78">
        <f t="shared" si="40"/>
        <v>0</v>
      </c>
      <c r="BP217" s="78">
        <f t="shared" si="41"/>
        <v>0</v>
      </c>
    </row>
    <row r="218" spans="1:68" ht="27" customHeight="1" x14ac:dyDescent="0.25">
      <c r="A218" s="63" t="s">
        <v>381</v>
      </c>
      <c r="B218" s="63" t="s">
        <v>382</v>
      </c>
      <c r="C218" s="36">
        <v>4301051668</v>
      </c>
      <c r="D218" s="678">
        <v>4680115880221</v>
      </c>
      <c r="E218" s="678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45</v>
      </c>
      <c r="M218" s="38" t="s">
        <v>117</v>
      </c>
      <c r="N218" s="38"/>
      <c r="O218" s="37">
        <v>45</v>
      </c>
      <c r="P218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0"/>
      <c r="R218" s="680"/>
      <c r="S218" s="680"/>
      <c r="T218" s="68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37"/>
        <v>0</v>
      </c>
      <c r="Z218" s="41" t="str">
        <f t="shared" si="42"/>
        <v/>
      </c>
      <c r="AA218" s="68" t="s">
        <v>45</v>
      </c>
      <c r="AB218" s="69" t="s">
        <v>45</v>
      </c>
      <c r="AC218" s="296" t="s">
        <v>373</v>
      </c>
      <c r="AG218" s="78"/>
      <c r="AJ218" s="84" t="s">
        <v>45</v>
      </c>
      <c r="AK218" s="84">
        <v>0</v>
      </c>
      <c r="BB218" s="297" t="s">
        <v>66</v>
      </c>
      <c r="BM218" s="78">
        <f t="shared" si="38"/>
        <v>0</v>
      </c>
      <c r="BN218" s="78">
        <f t="shared" si="39"/>
        <v>0</v>
      </c>
      <c r="BO218" s="78">
        <f t="shared" si="40"/>
        <v>0</v>
      </c>
      <c r="BP218" s="78">
        <f t="shared" si="41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4301051945</v>
      </c>
      <c r="D219" s="678">
        <v>4680115880504</v>
      </c>
      <c r="E219" s="678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45</v>
      </c>
      <c r="M219" s="38" t="s">
        <v>146</v>
      </c>
      <c r="N219" s="38"/>
      <c r="O219" s="37">
        <v>40</v>
      </c>
      <c r="P219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0"/>
      <c r="R219" s="680"/>
      <c r="S219" s="680"/>
      <c r="T219" s="68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37"/>
        <v>0</v>
      </c>
      <c r="Z219" s="41" t="str">
        <f t="shared" si="42"/>
        <v/>
      </c>
      <c r="AA219" s="68" t="s">
        <v>45</v>
      </c>
      <c r="AB219" s="69" t="s">
        <v>45</v>
      </c>
      <c r="AC219" s="298" t="s">
        <v>385</v>
      </c>
      <c r="AG219" s="78"/>
      <c r="AJ219" s="84" t="s">
        <v>45</v>
      </c>
      <c r="AK219" s="84">
        <v>0</v>
      </c>
      <c r="BB219" s="299" t="s">
        <v>66</v>
      </c>
      <c r="BM219" s="78">
        <f t="shared" si="38"/>
        <v>0</v>
      </c>
      <c r="BN219" s="78">
        <f t="shared" si="39"/>
        <v>0</v>
      </c>
      <c r="BO219" s="78">
        <f t="shared" si="40"/>
        <v>0</v>
      </c>
      <c r="BP219" s="78">
        <f t="shared" si="41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4301051410</v>
      </c>
      <c r="D220" s="678">
        <v>4680115882164</v>
      </c>
      <c r="E220" s="678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45</v>
      </c>
      <c r="M220" s="38" t="s">
        <v>117</v>
      </c>
      <c r="N220" s="38"/>
      <c r="O220" s="37">
        <v>40</v>
      </c>
      <c r="P220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0"/>
      <c r="R220" s="680"/>
      <c r="S220" s="680"/>
      <c r="T220" s="68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37"/>
        <v>0</v>
      </c>
      <c r="Z220" s="41" t="str">
        <f t="shared" si="42"/>
        <v/>
      </c>
      <c r="AA220" s="68" t="s">
        <v>45</v>
      </c>
      <c r="AB220" s="69" t="s">
        <v>45</v>
      </c>
      <c r="AC220" s="300" t="s">
        <v>388</v>
      </c>
      <c r="AG220" s="78"/>
      <c r="AJ220" s="84" t="s">
        <v>45</v>
      </c>
      <c r="AK220" s="84">
        <v>0</v>
      </c>
      <c r="BB220" s="301" t="s">
        <v>66</v>
      </c>
      <c r="BM220" s="78">
        <f t="shared" si="38"/>
        <v>0</v>
      </c>
      <c r="BN220" s="78">
        <f t="shared" si="39"/>
        <v>0</v>
      </c>
      <c r="BO220" s="78">
        <f t="shared" si="40"/>
        <v>0</v>
      </c>
      <c r="BP220" s="78">
        <f t="shared" si="41"/>
        <v>0</v>
      </c>
    </row>
    <row r="221" spans="1:68" x14ac:dyDescent="0.2">
      <c r="A221" s="685"/>
      <c r="B221" s="685"/>
      <c r="C221" s="685"/>
      <c r="D221" s="685"/>
      <c r="E221" s="685"/>
      <c r="F221" s="685"/>
      <c r="G221" s="685"/>
      <c r="H221" s="685"/>
      <c r="I221" s="685"/>
      <c r="J221" s="685"/>
      <c r="K221" s="685"/>
      <c r="L221" s="685"/>
      <c r="M221" s="685"/>
      <c r="N221" s="685"/>
      <c r="O221" s="686"/>
      <c r="P221" s="682" t="s">
        <v>40</v>
      </c>
      <c r="Q221" s="683"/>
      <c r="R221" s="683"/>
      <c r="S221" s="683"/>
      <c r="T221" s="683"/>
      <c r="U221" s="683"/>
      <c r="V221" s="684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85"/>
      <c r="B222" s="685"/>
      <c r="C222" s="685"/>
      <c r="D222" s="685"/>
      <c r="E222" s="685"/>
      <c r="F222" s="685"/>
      <c r="G222" s="685"/>
      <c r="H222" s="685"/>
      <c r="I222" s="685"/>
      <c r="J222" s="685"/>
      <c r="K222" s="685"/>
      <c r="L222" s="685"/>
      <c r="M222" s="685"/>
      <c r="N222" s="685"/>
      <c r="O222" s="686"/>
      <c r="P222" s="682" t="s">
        <v>40</v>
      </c>
      <c r="Q222" s="683"/>
      <c r="R222" s="683"/>
      <c r="S222" s="683"/>
      <c r="T222" s="683"/>
      <c r="U222" s="683"/>
      <c r="V222" s="684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77" t="s">
        <v>186</v>
      </c>
      <c r="B223" s="677"/>
      <c r="C223" s="677"/>
      <c r="D223" s="677"/>
      <c r="E223" s="677"/>
      <c r="F223" s="677"/>
      <c r="G223" s="677"/>
      <c r="H223" s="677"/>
      <c r="I223" s="677"/>
      <c r="J223" s="677"/>
      <c r="K223" s="677"/>
      <c r="L223" s="677"/>
      <c r="M223" s="677"/>
      <c r="N223" s="677"/>
      <c r="O223" s="677"/>
      <c r="P223" s="677"/>
      <c r="Q223" s="677"/>
      <c r="R223" s="677"/>
      <c r="S223" s="677"/>
      <c r="T223" s="677"/>
      <c r="U223" s="677"/>
      <c r="V223" s="677"/>
      <c r="W223" s="677"/>
      <c r="X223" s="677"/>
      <c r="Y223" s="677"/>
      <c r="Z223" s="677"/>
      <c r="AA223" s="66"/>
      <c r="AB223" s="66"/>
      <c r="AC223" s="80"/>
    </row>
    <row r="224" spans="1:68" ht="27" customHeight="1" x14ac:dyDescent="0.25">
      <c r="A224" s="63" t="s">
        <v>389</v>
      </c>
      <c r="B224" s="63" t="s">
        <v>390</v>
      </c>
      <c r="C224" s="36">
        <v>4301060463</v>
      </c>
      <c r="D224" s="678">
        <v>4680115880818</v>
      </c>
      <c r="E224" s="678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45</v>
      </c>
      <c r="M224" s="38" t="s">
        <v>146</v>
      </c>
      <c r="N224" s="38"/>
      <c r="O224" s="37">
        <v>40</v>
      </c>
      <c r="P224" s="87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0"/>
      <c r="R224" s="680"/>
      <c r="S224" s="680"/>
      <c r="T224" s="681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302" t="s">
        <v>391</v>
      </c>
      <c r="AG224" s="78"/>
      <c r="AJ224" s="84" t="s">
        <v>45</v>
      </c>
      <c r="AK224" s="84">
        <v>0</v>
      </c>
      <c r="BB224" s="303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4301060389</v>
      </c>
      <c r="D225" s="678">
        <v>4680115880801</v>
      </c>
      <c r="E225" s="678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117</v>
      </c>
      <c r="N225" s="38"/>
      <c r="O225" s="37">
        <v>40</v>
      </c>
      <c r="P225" s="8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0"/>
      <c r="R225" s="680"/>
      <c r="S225" s="680"/>
      <c r="T225" s="681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304" t="s">
        <v>394</v>
      </c>
      <c r="AG225" s="78"/>
      <c r="AJ225" s="84" t="s">
        <v>45</v>
      </c>
      <c r="AK225" s="84">
        <v>0</v>
      </c>
      <c r="BB225" s="305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85"/>
      <c r="B226" s="685"/>
      <c r="C226" s="685"/>
      <c r="D226" s="685"/>
      <c r="E226" s="685"/>
      <c r="F226" s="685"/>
      <c r="G226" s="685"/>
      <c r="H226" s="685"/>
      <c r="I226" s="685"/>
      <c r="J226" s="685"/>
      <c r="K226" s="685"/>
      <c r="L226" s="685"/>
      <c r="M226" s="685"/>
      <c r="N226" s="685"/>
      <c r="O226" s="686"/>
      <c r="P226" s="682" t="s">
        <v>40</v>
      </c>
      <c r="Q226" s="683"/>
      <c r="R226" s="683"/>
      <c r="S226" s="683"/>
      <c r="T226" s="683"/>
      <c r="U226" s="683"/>
      <c r="V226" s="684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85"/>
      <c r="B227" s="685"/>
      <c r="C227" s="685"/>
      <c r="D227" s="685"/>
      <c r="E227" s="685"/>
      <c r="F227" s="685"/>
      <c r="G227" s="685"/>
      <c r="H227" s="685"/>
      <c r="I227" s="685"/>
      <c r="J227" s="685"/>
      <c r="K227" s="685"/>
      <c r="L227" s="685"/>
      <c r="M227" s="685"/>
      <c r="N227" s="685"/>
      <c r="O227" s="686"/>
      <c r="P227" s="682" t="s">
        <v>40</v>
      </c>
      <c r="Q227" s="683"/>
      <c r="R227" s="683"/>
      <c r="S227" s="683"/>
      <c r="T227" s="683"/>
      <c r="U227" s="683"/>
      <c r="V227" s="684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99" t="s">
        <v>395</v>
      </c>
      <c r="B228" s="699"/>
      <c r="C228" s="699"/>
      <c r="D228" s="699"/>
      <c r="E228" s="699"/>
      <c r="F228" s="699"/>
      <c r="G228" s="699"/>
      <c r="H228" s="699"/>
      <c r="I228" s="699"/>
      <c r="J228" s="699"/>
      <c r="K228" s="699"/>
      <c r="L228" s="699"/>
      <c r="M228" s="699"/>
      <c r="N228" s="699"/>
      <c r="O228" s="699"/>
      <c r="P228" s="699"/>
      <c r="Q228" s="699"/>
      <c r="R228" s="699"/>
      <c r="S228" s="699"/>
      <c r="T228" s="699"/>
      <c r="U228" s="699"/>
      <c r="V228" s="699"/>
      <c r="W228" s="699"/>
      <c r="X228" s="699"/>
      <c r="Y228" s="699"/>
      <c r="Z228" s="699"/>
      <c r="AA228" s="65"/>
      <c r="AB228" s="65"/>
      <c r="AC228" s="79"/>
    </row>
    <row r="229" spans="1:68" ht="14.25" customHeight="1" x14ac:dyDescent="0.25">
      <c r="A229" s="677" t="s">
        <v>109</v>
      </c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77"/>
      <c r="P229" s="677"/>
      <c r="Q229" s="677"/>
      <c r="R229" s="677"/>
      <c r="S229" s="677"/>
      <c r="T229" s="677"/>
      <c r="U229" s="677"/>
      <c r="V229" s="677"/>
      <c r="W229" s="677"/>
      <c r="X229" s="677"/>
      <c r="Y229" s="677"/>
      <c r="Z229" s="677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4301011826</v>
      </c>
      <c r="D230" s="678">
        <v>4680115884137</v>
      </c>
      <c r="E230" s="678"/>
      <c r="F230" s="62">
        <v>1.45</v>
      </c>
      <c r="G230" s="37">
        <v>8</v>
      </c>
      <c r="H230" s="62">
        <v>11.6</v>
      </c>
      <c r="I230" s="62">
        <v>12.035</v>
      </c>
      <c r="J230" s="37">
        <v>64</v>
      </c>
      <c r="K230" s="37" t="s">
        <v>114</v>
      </c>
      <c r="L230" s="37" t="s">
        <v>45</v>
      </c>
      <c r="M230" s="38" t="s">
        <v>113</v>
      </c>
      <c r="N230" s="38"/>
      <c r="O230" s="37">
        <v>55</v>
      </c>
      <c r="P230" s="87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0"/>
      <c r="R230" s="680"/>
      <c r="S230" s="680"/>
      <c r="T230" s="681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7" si="43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306" t="s">
        <v>398</v>
      </c>
      <c r="AG230" s="78"/>
      <c r="AJ230" s="84" t="s">
        <v>45</v>
      </c>
      <c r="AK230" s="84">
        <v>0</v>
      </c>
      <c r="BB230" s="307" t="s">
        <v>66</v>
      </c>
      <c r="BM230" s="78">
        <f t="shared" ref="BM230:BM237" si="44">IFERROR(X230*I230/H230,"0")</f>
        <v>0</v>
      </c>
      <c r="BN230" s="78">
        <f t="shared" ref="BN230:BN237" si="45">IFERROR(Y230*I230/H230,"0")</f>
        <v>0</v>
      </c>
      <c r="BO230" s="78">
        <f t="shared" ref="BO230:BO237" si="46">IFERROR(1/J230*(X230/H230),"0")</f>
        <v>0</v>
      </c>
      <c r="BP230" s="78">
        <f t="shared" ref="BP230:BP237" si="47">IFERROR(1/J230*(Y230/H230),"0")</f>
        <v>0</v>
      </c>
    </row>
    <row r="231" spans="1:68" ht="27" customHeight="1" x14ac:dyDescent="0.25">
      <c r="A231" s="63" t="s">
        <v>396</v>
      </c>
      <c r="B231" s="63" t="s">
        <v>399</v>
      </c>
      <c r="C231" s="36">
        <v>4301011942</v>
      </c>
      <c r="D231" s="678">
        <v>4680115884137</v>
      </c>
      <c r="E231" s="678"/>
      <c r="F231" s="62">
        <v>1.45</v>
      </c>
      <c r="G231" s="37">
        <v>8</v>
      </c>
      <c r="H231" s="62">
        <v>11.6</v>
      </c>
      <c r="I231" s="62">
        <v>12.08</v>
      </c>
      <c r="J231" s="37">
        <v>48</v>
      </c>
      <c r="K231" s="37" t="s">
        <v>114</v>
      </c>
      <c r="L231" s="37" t="s">
        <v>45</v>
      </c>
      <c r="M231" s="38" t="s">
        <v>401</v>
      </c>
      <c r="N231" s="38"/>
      <c r="O231" s="37">
        <v>55</v>
      </c>
      <c r="P231" s="8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0"/>
      <c r="R231" s="680"/>
      <c r="S231" s="680"/>
      <c r="T231" s="681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43"/>
        <v>0</v>
      </c>
      <c r="Z231" s="41" t="str">
        <f>IFERROR(IF(Y231=0,"",ROUNDUP(Y231/H231,0)*0.02039),"")</f>
        <v/>
      </c>
      <c r="AA231" s="68" t="s">
        <v>45</v>
      </c>
      <c r="AB231" s="69" t="s">
        <v>45</v>
      </c>
      <c r="AC231" s="308" t="s">
        <v>400</v>
      </c>
      <c r="AG231" s="78"/>
      <c r="AJ231" s="84" t="s">
        <v>45</v>
      </c>
      <c r="AK231" s="84">
        <v>0</v>
      </c>
      <c r="BB231" s="309" t="s">
        <v>66</v>
      </c>
      <c r="BM231" s="78">
        <f t="shared" si="44"/>
        <v>0</v>
      </c>
      <c r="BN231" s="78">
        <f t="shared" si="45"/>
        <v>0</v>
      </c>
      <c r="BO231" s="78">
        <f t="shared" si="46"/>
        <v>0</v>
      </c>
      <c r="BP231" s="78">
        <f t="shared" si="47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4301011724</v>
      </c>
      <c r="D232" s="678">
        <v>4680115884236</v>
      </c>
      <c r="E232" s="678"/>
      <c r="F232" s="62">
        <v>1.45</v>
      </c>
      <c r="G232" s="37">
        <v>8</v>
      </c>
      <c r="H232" s="62">
        <v>11.6</v>
      </c>
      <c r="I232" s="62">
        <v>12.035</v>
      </c>
      <c r="J232" s="37">
        <v>64</v>
      </c>
      <c r="K232" s="37" t="s">
        <v>114</v>
      </c>
      <c r="L232" s="37" t="s">
        <v>45</v>
      </c>
      <c r="M232" s="38" t="s">
        <v>113</v>
      </c>
      <c r="N232" s="38"/>
      <c r="O232" s="37">
        <v>55</v>
      </c>
      <c r="P232" s="8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0"/>
      <c r="R232" s="680"/>
      <c r="S232" s="680"/>
      <c r="T232" s="681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43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310" t="s">
        <v>404</v>
      </c>
      <c r="AG232" s="78"/>
      <c r="AJ232" s="84" t="s">
        <v>45</v>
      </c>
      <c r="AK232" s="84">
        <v>0</v>
      </c>
      <c r="BB232" s="311" t="s">
        <v>66</v>
      </c>
      <c r="BM232" s="78">
        <f t="shared" si="44"/>
        <v>0</v>
      </c>
      <c r="BN232" s="78">
        <f t="shared" si="45"/>
        <v>0</v>
      </c>
      <c r="BO232" s="78">
        <f t="shared" si="46"/>
        <v>0</v>
      </c>
      <c r="BP232" s="78">
        <f t="shared" si="47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4301011721</v>
      </c>
      <c r="D233" s="678">
        <v>4680115884175</v>
      </c>
      <c r="E233" s="678"/>
      <c r="F233" s="62">
        <v>1.45</v>
      </c>
      <c r="G233" s="37">
        <v>8</v>
      </c>
      <c r="H233" s="62">
        <v>11.6</v>
      </c>
      <c r="I233" s="62">
        <v>12.035</v>
      </c>
      <c r="J233" s="37">
        <v>64</v>
      </c>
      <c r="K233" s="37" t="s">
        <v>114</v>
      </c>
      <c r="L233" s="37" t="s">
        <v>45</v>
      </c>
      <c r="M233" s="38" t="s">
        <v>113</v>
      </c>
      <c r="N233" s="38"/>
      <c r="O233" s="37">
        <v>55</v>
      </c>
      <c r="P233" s="8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0"/>
      <c r="R233" s="680"/>
      <c r="S233" s="680"/>
      <c r="T233" s="681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43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12" t="s">
        <v>407</v>
      </c>
      <c r="AG233" s="78"/>
      <c r="AJ233" s="84" t="s">
        <v>45</v>
      </c>
      <c r="AK233" s="84">
        <v>0</v>
      </c>
      <c r="BB233" s="313" t="s">
        <v>66</v>
      </c>
      <c r="BM233" s="78">
        <f t="shared" si="44"/>
        <v>0</v>
      </c>
      <c r="BN233" s="78">
        <f t="shared" si="45"/>
        <v>0</v>
      </c>
      <c r="BO233" s="78">
        <f t="shared" si="46"/>
        <v>0</v>
      </c>
      <c r="BP233" s="78">
        <f t="shared" si="47"/>
        <v>0</v>
      </c>
    </row>
    <row r="234" spans="1:68" ht="27" customHeight="1" x14ac:dyDescent="0.25">
      <c r="A234" s="63" t="s">
        <v>405</v>
      </c>
      <c r="B234" s="63" t="s">
        <v>408</v>
      </c>
      <c r="C234" s="36">
        <v>4301011941</v>
      </c>
      <c r="D234" s="678">
        <v>4680115884175</v>
      </c>
      <c r="E234" s="678"/>
      <c r="F234" s="62">
        <v>1.45</v>
      </c>
      <c r="G234" s="37">
        <v>8</v>
      </c>
      <c r="H234" s="62">
        <v>11.6</v>
      </c>
      <c r="I234" s="62">
        <v>12.08</v>
      </c>
      <c r="J234" s="37">
        <v>48</v>
      </c>
      <c r="K234" s="37" t="s">
        <v>114</v>
      </c>
      <c r="L234" s="37" t="s">
        <v>45</v>
      </c>
      <c r="M234" s="38" t="s">
        <v>401</v>
      </c>
      <c r="N234" s="38"/>
      <c r="O234" s="37">
        <v>55</v>
      </c>
      <c r="P234" s="86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0"/>
      <c r="R234" s="680"/>
      <c r="S234" s="680"/>
      <c r="T234" s="68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43"/>
        <v>0</v>
      </c>
      <c r="Z234" s="41" t="str">
        <f>IFERROR(IF(Y234=0,"",ROUNDUP(Y234/H234,0)*0.02039),"")</f>
        <v/>
      </c>
      <c r="AA234" s="68" t="s">
        <v>45</v>
      </c>
      <c r="AB234" s="69" t="s">
        <v>45</v>
      </c>
      <c r="AC234" s="314" t="s">
        <v>400</v>
      </c>
      <c r="AG234" s="78"/>
      <c r="AJ234" s="84" t="s">
        <v>45</v>
      </c>
      <c r="AK234" s="84">
        <v>0</v>
      </c>
      <c r="BB234" s="315" t="s">
        <v>66</v>
      </c>
      <c r="BM234" s="78">
        <f t="shared" si="44"/>
        <v>0</v>
      </c>
      <c r="BN234" s="78">
        <f t="shared" si="45"/>
        <v>0</v>
      </c>
      <c r="BO234" s="78">
        <f t="shared" si="46"/>
        <v>0</v>
      </c>
      <c r="BP234" s="78">
        <f t="shared" si="47"/>
        <v>0</v>
      </c>
    </row>
    <row r="235" spans="1:68" ht="27" customHeight="1" x14ac:dyDescent="0.25">
      <c r="A235" s="63" t="s">
        <v>409</v>
      </c>
      <c r="B235" s="63" t="s">
        <v>410</v>
      </c>
      <c r="C235" s="36">
        <v>4301011824</v>
      </c>
      <c r="D235" s="678">
        <v>4680115884144</v>
      </c>
      <c r="E235" s="678"/>
      <c r="F235" s="62">
        <v>0.4</v>
      </c>
      <c r="G235" s="37">
        <v>10</v>
      </c>
      <c r="H235" s="62">
        <v>4</v>
      </c>
      <c r="I235" s="62">
        <v>4.21</v>
      </c>
      <c r="J235" s="37">
        <v>132</v>
      </c>
      <c r="K235" s="37" t="s">
        <v>118</v>
      </c>
      <c r="L235" s="37" t="s">
        <v>45</v>
      </c>
      <c r="M235" s="38" t="s">
        <v>113</v>
      </c>
      <c r="N235" s="38"/>
      <c r="O235" s="37">
        <v>55</v>
      </c>
      <c r="P235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0"/>
      <c r="R235" s="680"/>
      <c r="S235" s="680"/>
      <c r="T235" s="68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43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16" t="s">
        <v>398</v>
      </c>
      <c r="AG235" s="78"/>
      <c r="AJ235" s="84" t="s">
        <v>45</v>
      </c>
      <c r="AK235" s="84">
        <v>0</v>
      </c>
      <c r="BB235" s="317" t="s">
        <v>66</v>
      </c>
      <c r="BM235" s="78">
        <f t="shared" si="44"/>
        <v>0</v>
      </c>
      <c r="BN235" s="78">
        <f t="shared" si="45"/>
        <v>0</v>
      </c>
      <c r="BO235" s="78">
        <f t="shared" si="46"/>
        <v>0</v>
      </c>
      <c r="BP235" s="78">
        <f t="shared" si="47"/>
        <v>0</v>
      </c>
    </row>
    <row r="236" spans="1:68" ht="27" customHeight="1" x14ac:dyDescent="0.25">
      <c r="A236" s="63" t="s">
        <v>411</v>
      </c>
      <c r="B236" s="63" t="s">
        <v>412</v>
      </c>
      <c r="C236" s="36">
        <v>4301011726</v>
      </c>
      <c r="D236" s="678">
        <v>4680115884182</v>
      </c>
      <c r="E236" s="678"/>
      <c r="F236" s="62">
        <v>0.37</v>
      </c>
      <c r="G236" s="37">
        <v>10</v>
      </c>
      <c r="H236" s="62">
        <v>3.7</v>
      </c>
      <c r="I236" s="62">
        <v>3.91</v>
      </c>
      <c r="J236" s="37">
        <v>132</v>
      </c>
      <c r="K236" s="37" t="s">
        <v>118</v>
      </c>
      <c r="L236" s="37" t="s">
        <v>45</v>
      </c>
      <c r="M236" s="38" t="s">
        <v>113</v>
      </c>
      <c r="N236" s="38"/>
      <c r="O236" s="37">
        <v>55</v>
      </c>
      <c r="P236" s="8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0"/>
      <c r="R236" s="680"/>
      <c r="S236" s="680"/>
      <c r="T236" s="68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43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18" t="s">
        <v>404</v>
      </c>
      <c r="AG236" s="78"/>
      <c r="AJ236" s="84" t="s">
        <v>45</v>
      </c>
      <c r="AK236" s="84">
        <v>0</v>
      </c>
      <c r="BB236" s="319" t="s">
        <v>66</v>
      </c>
      <c r="BM236" s="78">
        <f t="shared" si="44"/>
        <v>0</v>
      </c>
      <c r="BN236" s="78">
        <f t="shared" si="45"/>
        <v>0</v>
      </c>
      <c r="BO236" s="78">
        <f t="shared" si="46"/>
        <v>0</v>
      </c>
      <c r="BP236" s="78">
        <f t="shared" si="47"/>
        <v>0</v>
      </c>
    </row>
    <row r="237" spans="1:68" ht="27" customHeight="1" x14ac:dyDescent="0.25">
      <c r="A237" s="63" t="s">
        <v>413</v>
      </c>
      <c r="B237" s="63" t="s">
        <v>414</v>
      </c>
      <c r="C237" s="36">
        <v>4301011722</v>
      </c>
      <c r="D237" s="678">
        <v>4680115884205</v>
      </c>
      <c r="E237" s="678"/>
      <c r="F237" s="62">
        <v>0.4</v>
      </c>
      <c r="G237" s="37">
        <v>10</v>
      </c>
      <c r="H237" s="62">
        <v>4</v>
      </c>
      <c r="I237" s="62">
        <v>4.21</v>
      </c>
      <c r="J237" s="37">
        <v>132</v>
      </c>
      <c r="K237" s="37" t="s">
        <v>118</v>
      </c>
      <c r="L237" s="37" t="s">
        <v>45</v>
      </c>
      <c r="M237" s="38" t="s">
        <v>113</v>
      </c>
      <c r="N237" s="38"/>
      <c r="O237" s="37">
        <v>55</v>
      </c>
      <c r="P237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0"/>
      <c r="R237" s="680"/>
      <c r="S237" s="680"/>
      <c r="T237" s="68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43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20" t="s">
        <v>407</v>
      </c>
      <c r="AG237" s="78"/>
      <c r="AJ237" s="84" t="s">
        <v>45</v>
      </c>
      <c r="AK237" s="84">
        <v>0</v>
      </c>
      <c r="BB237" s="321" t="s">
        <v>66</v>
      </c>
      <c r="BM237" s="78">
        <f t="shared" si="44"/>
        <v>0</v>
      </c>
      <c r="BN237" s="78">
        <f t="shared" si="45"/>
        <v>0</v>
      </c>
      <c r="BO237" s="78">
        <f t="shared" si="46"/>
        <v>0</v>
      </c>
      <c r="BP237" s="78">
        <f t="shared" si="47"/>
        <v>0</v>
      </c>
    </row>
    <row r="238" spans="1:68" x14ac:dyDescent="0.2">
      <c r="A238" s="685"/>
      <c r="B238" s="685"/>
      <c r="C238" s="685"/>
      <c r="D238" s="685"/>
      <c r="E238" s="685"/>
      <c r="F238" s="685"/>
      <c r="G238" s="685"/>
      <c r="H238" s="685"/>
      <c r="I238" s="685"/>
      <c r="J238" s="685"/>
      <c r="K238" s="685"/>
      <c r="L238" s="685"/>
      <c r="M238" s="685"/>
      <c r="N238" s="685"/>
      <c r="O238" s="686"/>
      <c r="P238" s="682" t="s">
        <v>40</v>
      </c>
      <c r="Q238" s="683"/>
      <c r="R238" s="683"/>
      <c r="S238" s="683"/>
      <c r="T238" s="683"/>
      <c r="U238" s="683"/>
      <c r="V238" s="684"/>
      <c r="W238" s="42" t="s">
        <v>39</v>
      </c>
      <c r="X238" s="43">
        <f>IFERROR(X230/H230,"0")+IFERROR(X231/H231,"0")+IFERROR(X232/H232,"0")+IFERROR(X233/H233,"0")+IFERROR(X234/H234,"0")+IFERROR(X235/H235,"0")+IFERROR(X236/H236,"0")+IFERROR(X237/H237,"0")</f>
        <v>0</v>
      </c>
      <c r="Y238" s="43">
        <f>IFERROR(Y230/H230,"0")+IFERROR(Y231/H231,"0")+IFERROR(Y232/H232,"0")+IFERROR(Y233/H233,"0")+IFERROR(Y234/H234,"0")+IFERROR(Y235/H235,"0")+IFERROR(Y236/H236,"0")+IFERROR(Y237/H237,"0")</f>
        <v>0</v>
      </c>
      <c r="Z238" s="43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7"/>
      <c r="AB238" s="67"/>
      <c r="AC238" s="67"/>
    </row>
    <row r="239" spans="1:68" x14ac:dyDescent="0.2">
      <c r="A239" s="685"/>
      <c r="B239" s="685"/>
      <c r="C239" s="685"/>
      <c r="D239" s="685"/>
      <c r="E239" s="685"/>
      <c r="F239" s="685"/>
      <c r="G239" s="685"/>
      <c r="H239" s="685"/>
      <c r="I239" s="685"/>
      <c r="J239" s="685"/>
      <c r="K239" s="685"/>
      <c r="L239" s="685"/>
      <c r="M239" s="685"/>
      <c r="N239" s="685"/>
      <c r="O239" s="686"/>
      <c r="P239" s="682" t="s">
        <v>40</v>
      </c>
      <c r="Q239" s="683"/>
      <c r="R239" s="683"/>
      <c r="S239" s="683"/>
      <c r="T239" s="683"/>
      <c r="U239" s="683"/>
      <c r="V239" s="684"/>
      <c r="W239" s="42" t="s">
        <v>0</v>
      </c>
      <c r="X239" s="43">
        <f>IFERROR(SUM(X230:X237),"0")</f>
        <v>0</v>
      </c>
      <c r="Y239" s="43">
        <f>IFERROR(SUM(Y230:Y237),"0")</f>
        <v>0</v>
      </c>
      <c r="Z239" s="42"/>
      <c r="AA239" s="67"/>
      <c r="AB239" s="67"/>
      <c r="AC239" s="67"/>
    </row>
    <row r="240" spans="1:68" ht="14.25" customHeight="1" x14ac:dyDescent="0.25">
      <c r="A240" s="677" t="s">
        <v>149</v>
      </c>
      <c r="B240" s="677"/>
      <c r="C240" s="677"/>
      <c r="D240" s="677"/>
      <c r="E240" s="677"/>
      <c r="F240" s="677"/>
      <c r="G240" s="677"/>
      <c r="H240" s="677"/>
      <c r="I240" s="677"/>
      <c r="J240" s="677"/>
      <c r="K240" s="677"/>
      <c r="L240" s="677"/>
      <c r="M240" s="677"/>
      <c r="N240" s="677"/>
      <c r="O240" s="677"/>
      <c r="P240" s="677"/>
      <c r="Q240" s="677"/>
      <c r="R240" s="677"/>
      <c r="S240" s="677"/>
      <c r="T240" s="677"/>
      <c r="U240" s="677"/>
      <c r="V240" s="677"/>
      <c r="W240" s="677"/>
      <c r="X240" s="677"/>
      <c r="Y240" s="677"/>
      <c r="Z240" s="677"/>
      <c r="AA240" s="66"/>
      <c r="AB240" s="66"/>
      <c r="AC240" s="80"/>
    </row>
    <row r="241" spans="1:68" ht="27" customHeight="1" x14ac:dyDescent="0.25">
      <c r="A241" s="63" t="s">
        <v>415</v>
      </c>
      <c r="B241" s="63" t="s">
        <v>416</v>
      </c>
      <c r="C241" s="36">
        <v>4301020377</v>
      </c>
      <c r="D241" s="678">
        <v>4680115885981</v>
      </c>
      <c r="E241" s="678"/>
      <c r="F241" s="62">
        <v>0.33</v>
      </c>
      <c r="G241" s="37">
        <v>6</v>
      </c>
      <c r="H241" s="62">
        <v>1.98</v>
      </c>
      <c r="I241" s="62">
        <v>2.08</v>
      </c>
      <c r="J241" s="37">
        <v>234</v>
      </c>
      <c r="K241" s="37" t="s">
        <v>164</v>
      </c>
      <c r="L241" s="37" t="s">
        <v>45</v>
      </c>
      <c r="M241" s="38" t="s">
        <v>117</v>
      </c>
      <c r="N241" s="38"/>
      <c r="O241" s="37">
        <v>50</v>
      </c>
      <c r="P241" s="871" t="s">
        <v>417</v>
      </c>
      <c r="Q241" s="680"/>
      <c r="R241" s="680"/>
      <c r="S241" s="680"/>
      <c r="T241" s="681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IFERROR(IF(Y241=0,"",ROUNDUP(Y241/H241,0)*0.00502),"")</f>
        <v/>
      </c>
      <c r="AA241" s="68" t="s">
        <v>45</v>
      </c>
      <c r="AB241" s="69" t="s">
        <v>45</v>
      </c>
      <c r="AC241" s="322" t="s">
        <v>418</v>
      </c>
      <c r="AG241" s="78"/>
      <c r="AJ241" s="84" t="s">
        <v>45</v>
      </c>
      <c r="AK241" s="84">
        <v>0</v>
      </c>
      <c r="BB241" s="323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415</v>
      </c>
      <c r="B242" s="63" t="s">
        <v>419</v>
      </c>
      <c r="C242" s="36">
        <v>4301020340</v>
      </c>
      <c r="D242" s="678">
        <v>4680115885721</v>
      </c>
      <c r="E242" s="678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164</v>
      </c>
      <c r="L242" s="37" t="s">
        <v>45</v>
      </c>
      <c r="M242" s="38" t="s">
        <v>117</v>
      </c>
      <c r="N242" s="38"/>
      <c r="O242" s="37">
        <v>50</v>
      </c>
      <c r="P242" s="87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0"/>
      <c r="R242" s="680"/>
      <c r="S242" s="680"/>
      <c r="T242" s="681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24" t="s">
        <v>418</v>
      </c>
      <c r="AG242" s="78"/>
      <c r="AJ242" s="84" t="s">
        <v>45</v>
      </c>
      <c r="AK242" s="84">
        <v>0</v>
      </c>
      <c r="BB242" s="325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85"/>
      <c r="B243" s="685"/>
      <c r="C243" s="685"/>
      <c r="D243" s="685"/>
      <c r="E243" s="685"/>
      <c r="F243" s="685"/>
      <c r="G243" s="685"/>
      <c r="H243" s="685"/>
      <c r="I243" s="685"/>
      <c r="J243" s="685"/>
      <c r="K243" s="685"/>
      <c r="L243" s="685"/>
      <c r="M243" s="685"/>
      <c r="N243" s="685"/>
      <c r="O243" s="686"/>
      <c r="P243" s="682" t="s">
        <v>40</v>
      </c>
      <c r="Q243" s="683"/>
      <c r="R243" s="683"/>
      <c r="S243" s="683"/>
      <c r="T243" s="683"/>
      <c r="U243" s="683"/>
      <c r="V243" s="684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685"/>
      <c r="B244" s="685"/>
      <c r="C244" s="685"/>
      <c r="D244" s="685"/>
      <c r="E244" s="685"/>
      <c r="F244" s="685"/>
      <c r="G244" s="685"/>
      <c r="H244" s="685"/>
      <c r="I244" s="685"/>
      <c r="J244" s="685"/>
      <c r="K244" s="685"/>
      <c r="L244" s="685"/>
      <c r="M244" s="685"/>
      <c r="N244" s="685"/>
      <c r="O244" s="686"/>
      <c r="P244" s="682" t="s">
        <v>40</v>
      </c>
      <c r="Q244" s="683"/>
      <c r="R244" s="683"/>
      <c r="S244" s="683"/>
      <c r="T244" s="683"/>
      <c r="U244" s="683"/>
      <c r="V244" s="684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77" t="s">
        <v>420</v>
      </c>
      <c r="B245" s="677"/>
      <c r="C245" s="677"/>
      <c r="D245" s="677"/>
      <c r="E245" s="677"/>
      <c r="F245" s="677"/>
      <c r="G245" s="677"/>
      <c r="H245" s="677"/>
      <c r="I245" s="677"/>
      <c r="J245" s="677"/>
      <c r="K245" s="677"/>
      <c r="L245" s="677"/>
      <c r="M245" s="677"/>
      <c r="N245" s="677"/>
      <c r="O245" s="677"/>
      <c r="P245" s="677"/>
      <c r="Q245" s="677"/>
      <c r="R245" s="677"/>
      <c r="S245" s="677"/>
      <c r="T245" s="677"/>
      <c r="U245" s="677"/>
      <c r="V245" s="677"/>
      <c r="W245" s="677"/>
      <c r="X245" s="677"/>
      <c r="Y245" s="677"/>
      <c r="Z245" s="677"/>
      <c r="AA245" s="66"/>
      <c r="AB245" s="66"/>
      <c r="AC245" s="80"/>
    </row>
    <row r="246" spans="1:68" ht="27" customHeight="1" x14ac:dyDescent="0.25">
      <c r="A246" s="63" t="s">
        <v>421</v>
      </c>
      <c r="B246" s="63" t="s">
        <v>422</v>
      </c>
      <c r="C246" s="36">
        <v>4301040361</v>
      </c>
      <c r="D246" s="678">
        <v>4680115886803</v>
      </c>
      <c r="E246" s="678"/>
      <c r="F246" s="62">
        <v>0.12</v>
      </c>
      <c r="G246" s="37">
        <v>18</v>
      </c>
      <c r="H246" s="62">
        <v>2.16</v>
      </c>
      <c r="I246" s="62">
        <v>2.35</v>
      </c>
      <c r="J246" s="37">
        <v>216</v>
      </c>
      <c r="K246" s="37" t="s">
        <v>333</v>
      </c>
      <c r="L246" s="37" t="s">
        <v>45</v>
      </c>
      <c r="M246" s="38" t="s">
        <v>332</v>
      </c>
      <c r="N246" s="38"/>
      <c r="O246" s="37">
        <v>45</v>
      </c>
      <c r="P246" s="863" t="s">
        <v>423</v>
      </c>
      <c r="Q246" s="680"/>
      <c r="R246" s="680"/>
      <c r="S246" s="680"/>
      <c r="T246" s="681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26" t="s">
        <v>424</v>
      </c>
      <c r="AG246" s="78"/>
      <c r="AJ246" s="84" t="s">
        <v>45</v>
      </c>
      <c r="AK246" s="84">
        <v>0</v>
      </c>
      <c r="BB246" s="327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85"/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6"/>
      <c r="P247" s="682" t="s">
        <v>40</v>
      </c>
      <c r="Q247" s="683"/>
      <c r="R247" s="683"/>
      <c r="S247" s="683"/>
      <c r="T247" s="683"/>
      <c r="U247" s="683"/>
      <c r="V247" s="68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85"/>
      <c r="B248" s="685"/>
      <c r="C248" s="685"/>
      <c r="D248" s="685"/>
      <c r="E248" s="685"/>
      <c r="F248" s="685"/>
      <c r="G248" s="685"/>
      <c r="H248" s="685"/>
      <c r="I248" s="685"/>
      <c r="J248" s="685"/>
      <c r="K248" s="685"/>
      <c r="L248" s="685"/>
      <c r="M248" s="685"/>
      <c r="N248" s="685"/>
      <c r="O248" s="686"/>
      <c r="P248" s="682" t="s">
        <v>40</v>
      </c>
      <c r="Q248" s="683"/>
      <c r="R248" s="683"/>
      <c r="S248" s="683"/>
      <c r="T248" s="683"/>
      <c r="U248" s="683"/>
      <c r="V248" s="68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77" t="s">
        <v>425</v>
      </c>
      <c r="B249" s="677"/>
      <c r="C249" s="677"/>
      <c r="D249" s="677"/>
      <c r="E249" s="677"/>
      <c r="F249" s="677"/>
      <c r="G249" s="677"/>
      <c r="H249" s="677"/>
      <c r="I249" s="677"/>
      <c r="J249" s="677"/>
      <c r="K249" s="677"/>
      <c r="L249" s="677"/>
      <c r="M249" s="677"/>
      <c r="N249" s="677"/>
      <c r="O249" s="677"/>
      <c r="P249" s="677"/>
      <c r="Q249" s="677"/>
      <c r="R249" s="677"/>
      <c r="S249" s="677"/>
      <c r="T249" s="677"/>
      <c r="U249" s="677"/>
      <c r="V249" s="677"/>
      <c r="W249" s="677"/>
      <c r="X249" s="677"/>
      <c r="Y249" s="677"/>
      <c r="Z249" s="677"/>
      <c r="AA249" s="66"/>
      <c r="AB249" s="66"/>
      <c r="AC249" s="80"/>
    </row>
    <row r="250" spans="1:68" ht="27" customHeight="1" x14ac:dyDescent="0.25">
      <c r="A250" s="63" t="s">
        <v>426</v>
      </c>
      <c r="B250" s="63" t="s">
        <v>427</v>
      </c>
      <c r="C250" s="36">
        <v>4301041003</v>
      </c>
      <c r="D250" s="678">
        <v>4680115886681</v>
      </c>
      <c r="E250" s="678"/>
      <c r="F250" s="62">
        <v>0.12</v>
      </c>
      <c r="G250" s="37">
        <v>18</v>
      </c>
      <c r="H250" s="62">
        <v>2.16</v>
      </c>
      <c r="I250" s="62">
        <v>2.35</v>
      </c>
      <c r="J250" s="37">
        <v>216</v>
      </c>
      <c r="K250" s="37" t="s">
        <v>333</v>
      </c>
      <c r="L250" s="37" t="s">
        <v>45</v>
      </c>
      <c r="M250" s="38" t="s">
        <v>332</v>
      </c>
      <c r="N250" s="38"/>
      <c r="O250" s="37">
        <v>90</v>
      </c>
      <c r="P250" s="864" t="s">
        <v>428</v>
      </c>
      <c r="Q250" s="680"/>
      <c r="R250" s="680"/>
      <c r="S250" s="680"/>
      <c r="T250" s="681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8" t="s">
        <v>429</v>
      </c>
      <c r="AG250" s="78"/>
      <c r="AJ250" s="84" t="s">
        <v>45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85"/>
      <c r="B251" s="685"/>
      <c r="C251" s="685"/>
      <c r="D251" s="685"/>
      <c r="E251" s="685"/>
      <c r="F251" s="685"/>
      <c r="G251" s="685"/>
      <c r="H251" s="685"/>
      <c r="I251" s="685"/>
      <c r="J251" s="685"/>
      <c r="K251" s="685"/>
      <c r="L251" s="685"/>
      <c r="M251" s="685"/>
      <c r="N251" s="685"/>
      <c r="O251" s="686"/>
      <c r="P251" s="682" t="s">
        <v>40</v>
      </c>
      <c r="Q251" s="683"/>
      <c r="R251" s="683"/>
      <c r="S251" s="683"/>
      <c r="T251" s="683"/>
      <c r="U251" s="683"/>
      <c r="V251" s="68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85"/>
      <c r="B252" s="685"/>
      <c r="C252" s="685"/>
      <c r="D252" s="685"/>
      <c r="E252" s="685"/>
      <c r="F252" s="685"/>
      <c r="G252" s="685"/>
      <c r="H252" s="685"/>
      <c r="I252" s="685"/>
      <c r="J252" s="685"/>
      <c r="K252" s="685"/>
      <c r="L252" s="685"/>
      <c r="M252" s="685"/>
      <c r="N252" s="685"/>
      <c r="O252" s="686"/>
      <c r="P252" s="682" t="s">
        <v>40</v>
      </c>
      <c r="Q252" s="683"/>
      <c r="R252" s="683"/>
      <c r="S252" s="683"/>
      <c r="T252" s="683"/>
      <c r="U252" s="683"/>
      <c r="V252" s="68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99" t="s">
        <v>430</v>
      </c>
      <c r="B253" s="699"/>
      <c r="C253" s="699"/>
      <c r="D253" s="699"/>
      <c r="E253" s="699"/>
      <c r="F253" s="699"/>
      <c r="G253" s="699"/>
      <c r="H253" s="699"/>
      <c r="I253" s="699"/>
      <c r="J253" s="699"/>
      <c r="K253" s="699"/>
      <c r="L253" s="699"/>
      <c r="M253" s="699"/>
      <c r="N253" s="699"/>
      <c r="O253" s="699"/>
      <c r="P253" s="699"/>
      <c r="Q253" s="699"/>
      <c r="R253" s="699"/>
      <c r="S253" s="699"/>
      <c r="T253" s="699"/>
      <c r="U253" s="699"/>
      <c r="V253" s="699"/>
      <c r="W253" s="699"/>
      <c r="X253" s="699"/>
      <c r="Y253" s="699"/>
      <c r="Z253" s="699"/>
      <c r="AA253" s="65"/>
      <c r="AB253" s="65"/>
      <c r="AC253" s="79"/>
    </row>
    <row r="254" spans="1:68" ht="14.25" customHeight="1" x14ac:dyDescent="0.25">
      <c r="A254" s="677" t="s">
        <v>109</v>
      </c>
      <c r="B254" s="677"/>
      <c r="C254" s="677"/>
      <c r="D254" s="677"/>
      <c r="E254" s="677"/>
      <c r="F254" s="677"/>
      <c r="G254" s="677"/>
      <c r="H254" s="677"/>
      <c r="I254" s="677"/>
      <c r="J254" s="677"/>
      <c r="K254" s="677"/>
      <c r="L254" s="677"/>
      <c r="M254" s="677"/>
      <c r="N254" s="677"/>
      <c r="O254" s="677"/>
      <c r="P254" s="677"/>
      <c r="Q254" s="677"/>
      <c r="R254" s="677"/>
      <c r="S254" s="677"/>
      <c r="T254" s="677"/>
      <c r="U254" s="677"/>
      <c r="V254" s="677"/>
      <c r="W254" s="677"/>
      <c r="X254" s="677"/>
      <c r="Y254" s="677"/>
      <c r="Z254" s="677"/>
      <c r="AA254" s="66"/>
      <c r="AB254" s="66"/>
      <c r="AC254" s="80"/>
    </row>
    <row r="255" spans="1:68" ht="27" customHeight="1" x14ac:dyDescent="0.25">
      <c r="A255" s="63" t="s">
        <v>431</v>
      </c>
      <c r="B255" s="63" t="s">
        <v>432</v>
      </c>
      <c r="C255" s="36">
        <v>4301011855</v>
      </c>
      <c r="D255" s="678">
        <v>4680115885837</v>
      </c>
      <c r="E255" s="678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0"/>
      <c r="R255" s="680"/>
      <c r="S255" s="680"/>
      <c r="T255" s="681"/>
      <c r="U255" s="39" t="s">
        <v>45</v>
      </c>
      <c r="V255" s="39" t="s">
        <v>45</v>
      </c>
      <c r="W255" s="40" t="s">
        <v>0</v>
      </c>
      <c r="X255" s="58">
        <v>0</v>
      </c>
      <c r="Y255" s="55">
        <f t="shared" ref="Y255:Y260" si="48"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433</v>
      </c>
      <c r="AG255" s="78"/>
      <c r="AJ255" s="84" t="s">
        <v>45</v>
      </c>
      <c r="AK255" s="84">
        <v>0</v>
      </c>
      <c r="BB255" s="331" t="s">
        <v>66</v>
      </c>
      <c r="BM255" s="78">
        <f t="shared" ref="BM255:BM260" si="49">IFERROR(X255*I255/H255,"0")</f>
        <v>0</v>
      </c>
      <c r="BN255" s="78">
        <f t="shared" ref="BN255:BN260" si="50">IFERROR(Y255*I255/H255,"0")</f>
        <v>0</v>
      </c>
      <c r="BO255" s="78">
        <f t="shared" ref="BO255:BO260" si="51">IFERROR(1/J255*(X255/H255),"0")</f>
        <v>0</v>
      </c>
      <c r="BP255" s="78">
        <f t="shared" ref="BP255:BP260" si="52">IFERROR(1/J255*(Y255/H255),"0")</f>
        <v>0</v>
      </c>
    </row>
    <row r="256" spans="1:68" ht="27" customHeight="1" x14ac:dyDescent="0.25">
      <c r="A256" s="63" t="s">
        <v>434</v>
      </c>
      <c r="B256" s="63" t="s">
        <v>435</v>
      </c>
      <c r="C256" s="36">
        <v>4301011850</v>
      </c>
      <c r="D256" s="678">
        <v>4680115885806</v>
      </c>
      <c r="E256" s="678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8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0"/>
      <c r="R256" s="680"/>
      <c r="S256" s="680"/>
      <c r="T256" s="681"/>
      <c r="U256" s="39" t="s">
        <v>45</v>
      </c>
      <c r="V256" s="39" t="s">
        <v>45</v>
      </c>
      <c r="W256" s="40" t="s">
        <v>0</v>
      </c>
      <c r="X256" s="58">
        <v>0</v>
      </c>
      <c r="Y256" s="55">
        <f t="shared" si="48"/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436</v>
      </c>
      <c r="AG256" s="78"/>
      <c r="AJ256" s="84" t="s">
        <v>45</v>
      </c>
      <c r="AK256" s="84">
        <v>0</v>
      </c>
      <c r="BB256" s="333" t="s">
        <v>66</v>
      </c>
      <c r="BM256" s="78">
        <f t="shared" si="49"/>
        <v>0</v>
      </c>
      <c r="BN256" s="78">
        <f t="shared" si="50"/>
        <v>0</v>
      </c>
      <c r="BO256" s="78">
        <f t="shared" si="51"/>
        <v>0</v>
      </c>
      <c r="BP256" s="78">
        <f t="shared" si="52"/>
        <v>0</v>
      </c>
    </row>
    <row r="257" spans="1:68" ht="27" customHeight="1" x14ac:dyDescent="0.25">
      <c r="A257" s="63" t="s">
        <v>434</v>
      </c>
      <c r="B257" s="63" t="s">
        <v>437</v>
      </c>
      <c r="C257" s="36">
        <v>4301011910</v>
      </c>
      <c r="D257" s="678">
        <v>4680115885806</v>
      </c>
      <c r="E257" s="678"/>
      <c r="F257" s="62">
        <v>1.35</v>
      </c>
      <c r="G257" s="37">
        <v>8</v>
      </c>
      <c r="H257" s="62">
        <v>10.8</v>
      </c>
      <c r="I257" s="62">
        <v>11.28</v>
      </c>
      <c r="J257" s="37">
        <v>48</v>
      </c>
      <c r="K257" s="37" t="s">
        <v>114</v>
      </c>
      <c r="L257" s="37" t="s">
        <v>45</v>
      </c>
      <c r="M257" s="38" t="s">
        <v>401</v>
      </c>
      <c r="N257" s="38"/>
      <c r="O257" s="37">
        <v>55</v>
      </c>
      <c r="P257" s="85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0"/>
      <c r="R257" s="680"/>
      <c r="S257" s="680"/>
      <c r="T257" s="681"/>
      <c r="U257" s="39" t="s">
        <v>45</v>
      </c>
      <c r="V257" s="39" t="s">
        <v>45</v>
      </c>
      <c r="W257" s="40" t="s">
        <v>0</v>
      </c>
      <c r="X257" s="58">
        <v>0</v>
      </c>
      <c r="Y257" s="55">
        <f t="shared" si="48"/>
        <v>0</v>
      </c>
      <c r="Z257" s="41" t="str">
        <f>IFERROR(IF(Y257=0,"",ROUNDUP(Y257/H257,0)*0.02039),"")</f>
        <v/>
      </c>
      <c r="AA257" s="68" t="s">
        <v>45</v>
      </c>
      <c r="AB257" s="69" t="s">
        <v>45</v>
      </c>
      <c r="AC257" s="334" t="s">
        <v>438</v>
      </c>
      <c r="AG257" s="78"/>
      <c r="AJ257" s="84" t="s">
        <v>45</v>
      </c>
      <c r="AK257" s="84">
        <v>0</v>
      </c>
      <c r="BB257" s="335" t="s">
        <v>66</v>
      </c>
      <c r="BM257" s="78">
        <f t="shared" si="49"/>
        <v>0</v>
      </c>
      <c r="BN257" s="78">
        <f t="shared" si="50"/>
        <v>0</v>
      </c>
      <c r="BO257" s="78">
        <f t="shared" si="51"/>
        <v>0</v>
      </c>
      <c r="BP257" s="78">
        <f t="shared" si="52"/>
        <v>0</v>
      </c>
    </row>
    <row r="258" spans="1:68" ht="37.5" customHeight="1" x14ac:dyDescent="0.25">
      <c r="A258" s="63" t="s">
        <v>439</v>
      </c>
      <c r="B258" s="63" t="s">
        <v>440</v>
      </c>
      <c r="C258" s="36">
        <v>4301011853</v>
      </c>
      <c r="D258" s="678">
        <v>4680115885851</v>
      </c>
      <c r="E258" s="678"/>
      <c r="F258" s="62">
        <v>1.35</v>
      </c>
      <c r="G258" s="37">
        <v>8</v>
      </c>
      <c r="H258" s="62">
        <v>10.8</v>
      </c>
      <c r="I258" s="62">
        <v>11.234999999999999</v>
      </c>
      <c r="J258" s="37">
        <v>64</v>
      </c>
      <c r="K258" s="37" t="s">
        <v>114</v>
      </c>
      <c r="L258" s="37" t="s">
        <v>45</v>
      </c>
      <c r="M258" s="38" t="s">
        <v>113</v>
      </c>
      <c r="N258" s="38"/>
      <c r="O258" s="37">
        <v>55</v>
      </c>
      <c r="P258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0"/>
      <c r="R258" s="680"/>
      <c r="S258" s="680"/>
      <c r="T258" s="681"/>
      <c r="U258" s="39" t="s">
        <v>45</v>
      </c>
      <c r="V258" s="39" t="s">
        <v>45</v>
      </c>
      <c r="W258" s="40" t="s">
        <v>0</v>
      </c>
      <c r="X258" s="58">
        <v>0</v>
      </c>
      <c r="Y258" s="55">
        <f t="shared" si="48"/>
        <v>0</v>
      </c>
      <c r="Z258" s="41" t="str">
        <f>IFERROR(IF(Y258=0,"",ROUNDUP(Y258/H258,0)*0.01898),"")</f>
        <v/>
      </c>
      <c r="AA258" s="68" t="s">
        <v>45</v>
      </c>
      <c r="AB258" s="69" t="s">
        <v>45</v>
      </c>
      <c r="AC258" s="336" t="s">
        <v>441</v>
      </c>
      <c r="AG258" s="78"/>
      <c r="AJ258" s="84" t="s">
        <v>45</v>
      </c>
      <c r="AK258" s="84">
        <v>0</v>
      </c>
      <c r="BB258" s="337" t="s">
        <v>66</v>
      </c>
      <c r="BM258" s="78">
        <f t="shared" si="49"/>
        <v>0</v>
      </c>
      <c r="BN258" s="78">
        <f t="shared" si="50"/>
        <v>0</v>
      </c>
      <c r="BO258" s="78">
        <f t="shared" si="51"/>
        <v>0</v>
      </c>
      <c r="BP258" s="78">
        <f t="shared" si="52"/>
        <v>0</v>
      </c>
    </row>
    <row r="259" spans="1:68" ht="27" customHeight="1" x14ac:dyDescent="0.25">
      <c r="A259" s="63" t="s">
        <v>442</v>
      </c>
      <c r="B259" s="63" t="s">
        <v>443</v>
      </c>
      <c r="C259" s="36">
        <v>4301011852</v>
      </c>
      <c r="D259" s="678">
        <v>4680115885844</v>
      </c>
      <c r="E259" s="678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118</v>
      </c>
      <c r="L259" s="37" t="s">
        <v>45</v>
      </c>
      <c r="M259" s="38" t="s">
        <v>113</v>
      </c>
      <c r="N259" s="38"/>
      <c r="O259" s="37">
        <v>55</v>
      </c>
      <c r="P259" s="8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0"/>
      <c r="R259" s="680"/>
      <c r="S259" s="680"/>
      <c r="T259" s="681"/>
      <c r="U259" s="39" t="s">
        <v>45</v>
      </c>
      <c r="V259" s="39" t="s">
        <v>45</v>
      </c>
      <c r="W259" s="40" t="s">
        <v>0</v>
      </c>
      <c r="X259" s="58">
        <v>0</v>
      </c>
      <c r="Y259" s="55">
        <f t="shared" si="48"/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38" t="s">
        <v>444</v>
      </c>
      <c r="AG259" s="78"/>
      <c r="AJ259" s="84" t="s">
        <v>45</v>
      </c>
      <c r="AK259" s="84">
        <v>0</v>
      </c>
      <c r="BB259" s="339" t="s">
        <v>66</v>
      </c>
      <c r="BM259" s="78">
        <f t="shared" si="49"/>
        <v>0</v>
      </c>
      <c r="BN259" s="78">
        <f t="shared" si="50"/>
        <v>0</v>
      </c>
      <c r="BO259" s="78">
        <f t="shared" si="51"/>
        <v>0</v>
      </c>
      <c r="BP259" s="78">
        <f t="shared" si="52"/>
        <v>0</v>
      </c>
    </row>
    <row r="260" spans="1:68" ht="27" customHeight="1" x14ac:dyDescent="0.25">
      <c r="A260" s="63" t="s">
        <v>445</v>
      </c>
      <c r="B260" s="63" t="s">
        <v>446</v>
      </c>
      <c r="C260" s="36">
        <v>4301011851</v>
      </c>
      <c r="D260" s="678">
        <v>4680115885820</v>
      </c>
      <c r="E260" s="678"/>
      <c r="F260" s="62">
        <v>0.4</v>
      </c>
      <c r="G260" s="37">
        <v>10</v>
      </c>
      <c r="H260" s="62">
        <v>4</v>
      </c>
      <c r="I260" s="62">
        <v>4.21</v>
      </c>
      <c r="J260" s="37">
        <v>132</v>
      </c>
      <c r="K260" s="37" t="s">
        <v>118</v>
      </c>
      <c r="L260" s="37" t="s">
        <v>45</v>
      </c>
      <c r="M260" s="38" t="s">
        <v>113</v>
      </c>
      <c r="N260" s="38"/>
      <c r="O260" s="37">
        <v>55</v>
      </c>
      <c r="P26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0"/>
      <c r="R260" s="680"/>
      <c r="S260" s="680"/>
      <c r="T260" s="681"/>
      <c r="U260" s="39" t="s">
        <v>45</v>
      </c>
      <c r="V260" s="39" t="s">
        <v>45</v>
      </c>
      <c r="W260" s="40" t="s">
        <v>0</v>
      </c>
      <c r="X260" s="58">
        <v>0</v>
      </c>
      <c r="Y260" s="55">
        <f t="shared" si="48"/>
        <v>0</v>
      </c>
      <c r="Z260" s="41" t="str">
        <f>IFERROR(IF(Y260=0,"",ROUNDUP(Y260/H260,0)*0.00902),"")</f>
        <v/>
      </c>
      <c r="AA260" s="68" t="s">
        <v>45</v>
      </c>
      <c r="AB260" s="69" t="s">
        <v>45</v>
      </c>
      <c r="AC260" s="340" t="s">
        <v>447</v>
      </c>
      <c r="AG260" s="78"/>
      <c r="AJ260" s="84" t="s">
        <v>45</v>
      </c>
      <c r="AK260" s="84">
        <v>0</v>
      </c>
      <c r="BB260" s="341" t="s">
        <v>66</v>
      </c>
      <c r="BM260" s="78">
        <f t="shared" si="49"/>
        <v>0</v>
      </c>
      <c r="BN260" s="78">
        <f t="shared" si="50"/>
        <v>0</v>
      </c>
      <c r="BO260" s="78">
        <f t="shared" si="51"/>
        <v>0</v>
      </c>
      <c r="BP260" s="78">
        <f t="shared" si="52"/>
        <v>0</v>
      </c>
    </row>
    <row r="261" spans="1:68" x14ac:dyDescent="0.2">
      <c r="A261" s="685"/>
      <c r="B261" s="685"/>
      <c r="C261" s="685"/>
      <c r="D261" s="685"/>
      <c r="E261" s="685"/>
      <c r="F261" s="685"/>
      <c r="G261" s="685"/>
      <c r="H261" s="685"/>
      <c r="I261" s="685"/>
      <c r="J261" s="685"/>
      <c r="K261" s="685"/>
      <c r="L261" s="685"/>
      <c r="M261" s="685"/>
      <c r="N261" s="685"/>
      <c r="O261" s="686"/>
      <c r="P261" s="682" t="s">
        <v>40</v>
      </c>
      <c r="Q261" s="683"/>
      <c r="R261" s="683"/>
      <c r="S261" s="683"/>
      <c r="T261" s="683"/>
      <c r="U261" s="683"/>
      <c r="V261" s="684"/>
      <c r="W261" s="42" t="s">
        <v>39</v>
      </c>
      <c r="X261" s="43">
        <f>IFERROR(X255/H255,"0")+IFERROR(X256/H256,"0")+IFERROR(X257/H257,"0")+IFERROR(X258/H258,"0")+IFERROR(X259/H259,"0")+IFERROR(X260/H260,"0")</f>
        <v>0</v>
      </c>
      <c r="Y261" s="43">
        <f>IFERROR(Y255/H255,"0")+IFERROR(Y256/H256,"0")+IFERROR(Y257/H257,"0")+IFERROR(Y258/H258,"0")+IFERROR(Y259/H259,"0")+IFERROR(Y260/H260,"0")</f>
        <v>0</v>
      </c>
      <c r="Z261" s="43">
        <f>IFERROR(IF(Z255="",0,Z255),"0")+IFERROR(IF(Z256="",0,Z256),"0")+IFERROR(IF(Z257="",0,Z257),"0")+IFERROR(IF(Z258="",0,Z258),"0")+IFERROR(IF(Z259="",0,Z259),"0")+IFERROR(IF(Z260="",0,Z260),"0")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685"/>
      <c r="B262" s="685"/>
      <c r="C262" s="685"/>
      <c r="D262" s="685"/>
      <c r="E262" s="685"/>
      <c r="F262" s="685"/>
      <c r="G262" s="685"/>
      <c r="H262" s="685"/>
      <c r="I262" s="685"/>
      <c r="J262" s="685"/>
      <c r="K262" s="685"/>
      <c r="L262" s="685"/>
      <c r="M262" s="685"/>
      <c r="N262" s="685"/>
      <c r="O262" s="686"/>
      <c r="P262" s="682" t="s">
        <v>40</v>
      </c>
      <c r="Q262" s="683"/>
      <c r="R262" s="683"/>
      <c r="S262" s="683"/>
      <c r="T262" s="683"/>
      <c r="U262" s="683"/>
      <c r="V262" s="684"/>
      <c r="W262" s="42" t="s">
        <v>0</v>
      </c>
      <c r="X262" s="43">
        <f>IFERROR(SUM(X255:X260),"0")</f>
        <v>0</v>
      </c>
      <c r="Y262" s="43">
        <f>IFERROR(SUM(Y255:Y260),"0")</f>
        <v>0</v>
      </c>
      <c r="Z262" s="42"/>
      <c r="AA262" s="67"/>
      <c r="AB262" s="67"/>
      <c r="AC262" s="67"/>
    </row>
    <row r="263" spans="1:68" ht="16.5" customHeight="1" x14ac:dyDescent="0.25">
      <c r="A263" s="699" t="s">
        <v>448</v>
      </c>
      <c r="B263" s="699"/>
      <c r="C263" s="699"/>
      <c r="D263" s="699"/>
      <c r="E263" s="699"/>
      <c r="F263" s="699"/>
      <c r="G263" s="699"/>
      <c r="H263" s="699"/>
      <c r="I263" s="699"/>
      <c r="J263" s="699"/>
      <c r="K263" s="699"/>
      <c r="L263" s="699"/>
      <c r="M263" s="699"/>
      <c r="N263" s="699"/>
      <c r="O263" s="699"/>
      <c r="P263" s="699"/>
      <c r="Q263" s="699"/>
      <c r="R263" s="699"/>
      <c r="S263" s="699"/>
      <c r="T263" s="699"/>
      <c r="U263" s="699"/>
      <c r="V263" s="699"/>
      <c r="W263" s="699"/>
      <c r="X263" s="699"/>
      <c r="Y263" s="699"/>
      <c r="Z263" s="699"/>
      <c r="AA263" s="65"/>
      <c r="AB263" s="65"/>
      <c r="AC263" s="79"/>
    </row>
    <row r="264" spans="1:68" ht="14.25" customHeight="1" x14ac:dyDescent="0.25">
      <c r="A264" s="677" t="s">
        <v>109</v>
      </c>
      <c r="B264" s="677"/>
      <c r="C264" s="677"/>
      <c r="D264" s="677"/>
      <c r="E264" s="677"/>
      <c r="F264" s="677"/>
      <c r="G264" s="677"/>
      <c r="H264" s="677"/>
      <c r="I264" s="677"/>
      <c r="J264" s="677"/>
      <c r="K264" s="677"/>
      <c r="L264" s="677"/>
      <c r="M264" s="677"/>
      <c r="N264" s="677"/>
      <c r="O264" s="677"/>
      <c r="P264" s="677"/>
      <c r="Q264" s="677"/>
      <c r="R264" s="677"/>
      <c r="S264" s="677"/>
      <c r="T264" s="677"/>
      <c r="U264" s="677"/>
      <c r="V264" s="677"/>
      <c r="W264" s="677"/>
      <c r="X264" s="677"/>
      <c r="Y264" s="677"/>
      <c r="Z264" s="677"/>
      <c r="AA264" s="66"/>
      <c r="AB264" s="66"/>
      <c r="AC264" s="80"/>
    </row>
    <row r="265" spans="1:68" ht="37.5" customHeight="1" x14ac:dyDescent="0.25">
      <c r="A265" s="63" t="s">
        <v>449</v>
      </c>
      <c r="B265" s="63" t="s">
        <v>450</v>
      </c>
      <c r="C265" s="36">
        <v>4301011876</v>
      </c>
      <c r="D265" s="678">
        <v>4680115885707</v>
      </c>
      <c r="E265" s="678"/>
      <c r="F265" s="62">
        <v>0.9</v>
      </c>
      <c r="G265" s="37">
        <v>10</v>
      </c>
      <c r="H265" s="62">
        <v>9</v>
      </c>
      <c r="I265" s="62">
        <v>9.4350000000000005</v>
      </c>
      <c r="J265" s="37">
        <v>64</v>
      </c>
      <c r="K265" s="37" t="s">
        <v>114</v>
      </c>
      <c r="L265" s="37" t="s">
        <v>45</v>
      </c>
      <c r="M265" s="38" t="s">
        <v>113</v>
      </c>
      <c r="N265" s="38"/>
      <c r="O265" s="37">
        <v>31</v>
      </c>
      <c r="P265" s="862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0"/>
      <c r="R265" s="680"/>
      <c r="S265" s="680"/>
      <c r="T265" s="68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42" t="s">
        <v>451</v>
      </c>
      <c r="AG265" s="78"/>
      <c r="AJ265" s="84" t="s">
        <v>45</v>
      </c>
      <c r="AK265" s="84">
        <v>0</v>
      </c>
      <c r="BB265" s="343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85"/>
      <c r="B266" s="685"/>
      <c r="C266" s="685"/>
      <c r="D266" s="685"/>
      <c r="E266" s="685"/>
      <c r="F266" s="685"/>
      <c r="G266" s="685"/>
      <c r="H266" s="685"/>
      <c r="I266" s="685"/>
      <c r="J266" s="685"/>
      <c r="K266" s="685"/>
      <c r="L266" s="685"/>
      <c r="M266" s="685"/>
      <c r="N266" s="685"/>
      <c r="O266" s="686"/>
      <c r="P266" s="682" t="s">
        <v>40</v>
      </c>
      <c r="Q266" s="683"/>
      <c r="R266" s="683"/>
      <c r="S266" s="683"/>
      <c r="T266" s="683"/>
      <c r="U266" s="683"/>
      <c r="V266" s="684"/>
      <c r="W266" s="42" t="s">
        <v>39</v>
      </c>
      <c r="X266" s="43">
        <f>IFERROR(X265/H265,"0")</f>
        <v>0</v>
      </c>
      <c r="Y266" s="43">
        <f>IFERROR(Y265/H265,"0")</f>
        <v>0</v>
      </c>
      <c r="Z266" s="43">
        <f>IFERROR(IF(Z265="",0,Z265),"0")</f>
        <v>0</v>
      </c>
      <c r="AA266" s="67"/>
      <c r="AB266" s="67"/>
      <c r="AC266" s="67"/>
    </row>
    <row r="267" spans="1:68" x14ac:dyDescent="0.2">
      <c r="A267" s="685"/>
      <c r="B267" s="685"/>
      <c r="C267" s="685"/>
      <c r="D267" s="685"/>
      <c r="E267" s="685"/>
      <c r="F267" s="685"/>
      <c r="G267" s="685"/>
      <c r="H267" s="685"/>
      <c r="I267" s="685"/>
      <c r="J267" s="685"/>
      <c r="K267" s="685"/>
      <c r="L267" s="685"/>
      <c r="M267" s="685"/>
      <c r="N267" s="685"/>
      <c r="O267" s="686"/>
      <c r="P267" s="682" t="s">
        <v>40</v>
      </c>
      <c r="Q267" s="683"/>
      <c r="R267" s="683"/>
      <c r="S267" s="683"/>
      <c r="T267" s="683"/>
      <c r="U267" s="683"/>
      <c r="V267" s="684"/>
      <c r="W267" s="42" t="s">
        <v>0</v>
      </c>
      <c r="X267" s="43">
        <f>IFERROR(SUM(X265:X265),"0")</f>
        <v>0</v>
      </c>
      <c r="Y267" s="43">
        <f>IFERROR(SUM(Y265:Y265),"0")</f>
        <v>0</v>
      </c>
      <c r="Z267" s="42"/>
      <c r="AA267" s="67"/>
      <c r="AB267" s="67"/>
      <c r="AC267" s="67"/>
    </row>
    <row r="268" spans="1:68" ht="16.5" customHeight="1" x14ac:dyDescent="0.25">
      <c r="A268" s="699" t="s">
        <v>452</v>
      </c>
      <c r="B268" s="699"/>
      <c r="C268" s="699"/>
      <c r="D268" s="699"/>
      <c r="E268" s="699"/>
      <c r="F268" s="699"/>
      <c r="G268" s="699"/>
      <c r="H268" s="699"/>
      <c r="I268" s="699"/>
      <c r="J268" s="699"/>
      <c r="K268" s="699"/>
      <c r="L268" s="699"/>
      <c r="M268" s="699"/>
      <c r="N268" s="699"/>
      <c r="O268" s="699"/>
      <c r="P268" s="699"/>
      <c r="Q268" s="699"/>
      <c r="R268" s="699"/>
      <c r="S268" s="699"/>
      <c r="T268" s="699"/>
      <c r="U268" s="699"/>
      <c r="V268" s="699"/>
      <c r="W268" s="699"/>
      <c r="X268" s="699"/>
      <c r="Y268" s="699"/>
      <c r="Z268" s="699"/>
      <c r="AA268" s="65"/>
      <c r="AB268" s="65"/>
      <c r="AC268" s="79"/>
    </row>
    <row r="269" spans="1:68" ht="14.25" customHeight="1" x14ac:dyDescent="0.25">
      <c r="A269" s="677" t="s">
        <v>109</v>
      </c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77"/>
      <c r="P269" s="677"/>
      <c r="Q269" s="677"/>
      <c r="R269" s="677"/>
      <c r="S269" s="677"/>
      <c r="T269" s="677"/>
      <c r="U269" s="677"/>
      <c r="V269" s="677"/>
      <c r="W269" s="677"/>
      <c r="X269" s="677"/>
      <c r="Y269" s="677"/>
      <c r="Z269" s="677"/>
      <c r="AA269" s="66"/>
      <c r="AB269" s="66"/>
      <c r="AC269" s="80"/>
    </row>
    <row r="270" spans="1:68" ht="27" customHeight="1" x14ac:dyDescent="0.25">
      <c r="A270" s="63" t="s">
        <v>453</v>
      </c>
      <c r="B270" s="63" t="s">
        <v>454</v>
      </c>
      <c r="C270" s="36">
        <v>4301011223</v>
      </c>
      <c r="D270" s="678">
        <v>4607091383423</v>
      </c>
      <c r="E270" s="678"/>
      <c r="F270" s="62">
        <v>1.35</v>
      </c>
      <c r="G270" s="37">
        <v>8</v>
      </c>
      <c r="H270" s="62">
        <v>10.8</v>
      </c>
      <c r="I270" s="62">
        <v>11.331</v>
      </c>
      <c r="J270" s="37">
        <v>64</v>
      </c>
      <c r="K270" s="37" t="s">
        <v>114</v>
      </c>
      <c r="L270" s="37" t="s">
        <v>45</v>
      </c>
      <c r="M270" s="38" t="s">
        <v>117</v>
      </c>
      <c r="N270" s="38"/>
      <c r="O270" s="37">
        <v>35</v>
      </c>
      <c r="P270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0"/>
      <c r="R270" s="680"/>
      <c r="S270" s="680"/>
      <c r="T270" s="681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4" t="s">
        <v>112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4301012099</v>
      </c>
      <c r="D271" s="678">
        <v>4680115885691</v>
      </c>
      <c r="E271" s="678"/>
      <c r="F271" s="62">
        <v>1.35</v>
      </c>
      <c r="G271" s="37">
        <v>8</v>
      </c>
      <c r="H271" s="62">
        <v>10.8</v>
      </c>
      <c r="I271" s="62">
        <v>11.234999999999999</v>
      </c>
      <c r="J271" s="37">
        <v>64</v>
      </c>
      <c r="K271" s="37" t="s">
        <v>114</v>
      </c>
      <c r="L271" s="37" t="s">
        <v>45</v>
      </c>
      <c r="M271" s="38" t="s">
        <v>117</v>
      </c>
      <c r="N271" s="38"/>
      <c r="O271" s="37">
        <v>30</v>
      </c>
      <c r="P271" s="85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0"/>
      <c r="R271" s="680"/>
      <c r="S271" s="680"/>
      <c r="T271" s="681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6" t="s">
        <v>457</v>
      </c>
      <c r="AG271" s="78"/>
      <c r="AJ271" s="84" t="s">
        <v>45</v>
      </c>
      <c r="AK271" s="84">
        <v>0</v>
      </c>
      <c r="BB271" s="347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458</v>
      </c>
      <c r="B272" s="63" t="s">
        <v>459</v>
      </c>
      <c r="C272" s="36">
        <v>4301012098</v>
      </c>
      <c r="D272" s="678">
        <v>4680115885660</v>
      </c>
      <c r="E272" s="678"/>
      <c r="F272" s="62">
        <v>1.35</v>
      </c>
      <c r="G272" s="37">
        <v>8</v>
      </c>
      <c r="H272" s="62">
        <v>10.8</v>
      </c>
      <c r="I272" s="62">
        <v>11.234999999999999</v>
      </c>
      <c r="J272" s="37">
        <v>64</v>
      </c>
      <c r="K272" s="37" t="s">
        <v>114</v>
      </c>
      <c r="L272" s="37" t="s">
        <v>45</v>
      </c>
      <c r="M272" s="38" t="s">
        <v>117</v>
      </c>
      <c r="N272" s="38"/>
      <c r="O272" s="37">
        <v>35</v>
      </c>
      <c r="P272" s="85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0"/>
      <c r="R272" s="680"/>
      <c r="S272" s="680"/>
      <c r="T272" s="68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8" t="s">
        <v>460</v>
      </c>
      <c r="AG272" s="78"/>
      <c r="AJ272" s="84" t="s">
        <v>45</v>
      </c>
      <c r="AK272" s="84">
        <v>0</v>
      </c>
      <c r="BB272" s="349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85"/>
      <c r="B273" s="685"/>
      <c r="C273" s="685"/>
      <c r="D273" s="685"/>
      <c r="E273" s="685"/>
      <c r="F273" s="685"/>
      <c r="G273" s="685"/>
      <c r="H273" s="685"/>
      <c r="I273" s="685"/>
      <c r="J273" s="685"/>
      <c r="K273" s="685"/>
      <c r="L273" s="685"/>
      <c r="M273" s="685"/>
      <c r="N273" s="685"/>
      <c r="O273" s="686"/>
      <c r="P273" s="682" t="s">
        <v>40</v>
      </c>
      <c r="Q273" s="683"/>
      <c r="R273" s="683"/>
      <c r="S273" s="683"/>
      <c r="T273" s="683"/>
      <c r="U273" s="683"/>
      <c r="V273" s="684"/>
      <c r="W273" s="42" t="s">
        <v>39</v>
      </c>
      <c r="X273" s="43">
        <f>IFERROR(X270/H270,"0")+IFERROR(X271/H271,"0")+IFERROR(X272/H272,"0")</f>
        <v>0</v>
      </c>
      <c r="Y273" s="43">
        <f>IFERROR(Y270/H270,"0")+IFERROR(Y271/H271,"0")+IFERROR(Y272/H272,"0")</f>
        <v>0</v>
      </c>
      <c r="Z273" s="43">
        <f>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85"/>
      <c r="B274" s="685"/>
      <c r="C274" s="685"/>
      <c r="D274" s="685"/>
      <c r="E274" s="685"/>
      <c r="F274" s="685"/>
      <c r="G274" s="685"/>
      <c r="H274" s="685"/>
      <c r="I274" s="685"/>
      <c r="J274" s="685"/>
      <c r="K274" s="685"/>
      <c r="L274" s="685"/>
      <c r="M274" s="685"/>
      <c r="N274" s="685"/>
      <c r="O274" s="686"/>
      <c r="P274" s="682" t="s">
        <v>40</v>
      </c>
      <c r="Q274" s="683"/>
      <c r="R274" s="683"/>
      <c r="S274" s="683"/>
      <c r="T274" s="683"/>
      <c r="U274" s="683"/>
      <c r="V274" s="684"/>
      <c r="W274" s="42" t="s">
        <v>0</v>
      </c>
      <c r="X274" s="43">
        <f>IFERROR(SUM(X270:X272),"0")</f>
        <v>0</v>
      </c>
      <c r="Y274" s="43">
        <f>IFERROR(SUM(Y270:Y272),"0")</f>
        <v>0</v>
      </c>
      <c r="Z274" s="42"/>
      <c r="AA274" s="67"/>
      <c r="AB274" s="67"/>
      <c r="AC274" s="67"/>
    </row>
    <row r="275" spans="1:68" ht="16.5" customHeight="1" x14ac:dyDescent="0.25">
      <c r="A275" s="699" t="s">
        <v>461</v>
      </c>
      <c r="B275" s="699"/>
      <c r="C275" s="699"/>
      <c r="D275" s="699"/>
      <c r="E275" s="699"/>
      <c r="F275" s="699"/>
      <c r="G275" s="699"/>
      <c r="H275" s="699"/>
      <c r="I275" s="699"/>
      <c r="J275" s="699"/>
      <c r="K275" s="699"/>
      <c r="L275" s="699"/>
      <c r="M275" s="699"/>
      <c r="N275" s="699"/>
      <c r="O275" s="699"/>
      <c r="P275" s="699"/>
      <c r="Q275" s="699"/>
      <c r="R275" s="699"/>
      <c r="S275" s="699"/>
      <c r="T275" s="699"/>
      <c r="U275" s="699"/>
      <c r="V275" s="699"/>
      <c r="W275" s="699"/>
      <c r="X275" s="699"/>
      <c r="Y275" s="699"/>
      <c r="Z275" s="699"/>
      <c r="AA275" s="65"/>
      <c r="AB275" s="65"/>
      <c r="AC275" s="79"/>
    </row>
    <row r="276" spans="1:68" ht="14.25" customHeight="1" x14ac:dyDescent="0.25">
      <c r="A276" s="677" t="s">
        <v>78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"/>
      <c r="AB276" s="66"/>
      <c r="AC276" s="80"/>
    </row>
    <row r="277" spans="1:68" ht="37.5" customHeight="1" x14ac:dyDescent="0.25">
      <c r="A277" s="63" t="s">
        <v>462</v>
      </c>
      <c r="B277" s="63" t="s">
        <v>463</v>
      </c>
      <c r="C277" s="36">
        <v>4301051940</v>
      </c>
      <c r="D277" s="678">
        <v>4680115881037</v>
      </c>
      <c r="E277" s="678"/>
      <c r="F277" s="62">
        <v>0.84</v>
      </c>
      <c r="G277" s="37">
        <v>4</v>
      </c>
      <c r="H277" s="62">
        <v>3.36</v>
      </c>
      <c r="I277" s="62">
        <v>3.6179999999999999</v>
      </c>
      <c r="J277" s="37">
        <v>132</v>
      </c>
      <c r="K277" s="37" t="s">
        <v>118</v>
      </c>
      <c r="L277" s="37" t="s">
        <v>45</v>
      </c>
      <c r="M277" s="38" t="s">
        <v>146</v>
      </c>
      <c r="N277" s="38"/>
      <c r="O277" s="37">
        <v>40</v>
      </c>
      <c r="P277" s="856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0"/>
      <c r="R277" s="680"/>
      <c r="S277" s="680"/>
      <c r="T277" s="681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50" t="s">
        <v>464</v>
      </c>
      <c r="AG277" s="78"/>
      <c r="AJ277" s="84" t="s">
        <v>45</v>
      </c>
      <c r="AK277" s="84">
        <v>0</v>
      </c>
      <c r="BB277" s="351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4301051893</v>
      </c>
      <c r="D278" s="678">
        <v>4680115886186</v>
      </c>
      <c r="E278" s="678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117</v>
      </c>
      <c r="N278" s="38"/>
      <c r="O278" s="37">
        <v>45</v>
      </c>
      <c r="P278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0"/>
      <c r="R278" s="680"/>
      <c r="S278" s="680"/>
      <c r="T278" s="681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52" t="s">
        <v>467</v>
      </c>
      <c r="AG278" s="78"/>
      <c r="AJ278" s="84" t="s">
        <v>45</v>
      </c>
      <c r="AK278" s="84">
        <v>0</v>
      </c>
      <c r="BB278" s="353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468</v>
      </c>
      <c r="B279" s="63" t="s">
        <v>469</v>
      </c>
      <c r="C279" s="36">
        <v>4301051795</v>
      </c>
      <c r="D279" s="678">
        <v>4680115881228</v>
      </c>
      <c r="E279" s="67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146</v>
      </c>
      <c r="N279" s="38"/>
      <c r="O279" s="37">
        <v>40</v>
      </c>
      <c r="P279" s="8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0"/>
      <c r="R279" s="680"/>
      <c r="S279" s="680"/>
      <c r="T279" s="681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4" t="s">
        <v>464</v>
      </c>
      <c r="AG279" s="78"/>
      <c r="AJ279" s="84" t="s">
        <v>45</v>
      </c>
      <c r="AK279" s="84">
        <v>0</v>
      </c>
      <c r="BB279" s="355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37.5" customHeight="1" x14ac:dyDescent="0.25">
      <c r="A280" s="63" t="s">
        <v>470</v>
      </c>
      <c r="B280" s="63" t="s">
        <v>471</v>
      </c>
      <c r="C280" s="36">
        <v>4301051388</v>
      </c>
      <c r="D280" s="678">
        <v>4680115881211</v>
      </c>
      <c r="E280" s="678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119</v>
      </c>
      <c r="M280" s="38" t="s">
        <v>117</v>
      </c>
      <c r="N280" s="38"/>
      <c r="O280" s="37">
        <v>45</v>
      </c>
      <c r="P280" s="85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0"/>
      <c r="R280" s="680"/>
      <c r="S280" s="680"/>
      <c r="T280" s="68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6" t="s">
        <v>472</v>
      </c>
      <c r="AG280" s="78"/>
      <c r="AJ280" s="84" t="s">
        <v>120</v>
      </c>
      <c r="AK280" s="84">
        <v>33.6</v>
      </c>
      <c r="BB280" s="357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473</v>
      </c>
      <c r="B281" s="63" t="s">
        <v>474</v>
      </c>
      <c r="C281" s="36">
        <v>4301051386</v>
      </c>
      <c r="D281" s="678">
        <v>4680115881020</v>
      </c>
      <c r="E281" s="678"/>
      <c r="F281" s="62">
        <v>0.84</v>
      </c>
      <c r="G281" s="37">
        <v>4</v>
      </c>
      <c r="H281" s="62">
        <v>3.36</v>
      </c>
      <c r="I281" s="62">
        <v>3.57</v>
      </c>
      <c r="J281" s="37">
        <v>132</v>
      </c>
      <c r="K281" s="37" t="s">
        <v>118</v>
      </c>
      <c r="L281" s="37" t="s">
        <v>45</v>
      </c>
      <c r="M281" s="38" t="s">
        <v>117</v>
      </c>
      <c r="N281" s="38"/>
      <c r="O281" s="37">
        <v>45</v>
      </c>
      <c r="P281" s="85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0"/>
      <c r="R281" s="680"/>
      <c r="S281" s="680"/>
      <c r="T281" s="681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IFERROR(IF(Y281=0,"",ROUNDUP(Y281/H281,0)*0.00902),"")</f>
        <v/>
      </c>
      <c r="AA281" s="68" t="s">
        <v>45</v>
      </c>
      <c r="AB281" s="69" t="s">
        <v>45</v>
      </c>
      <c r="AC281" s="358" t="s">
        <v>467</v>
      </c>
      <c r="AG281" s="78"/>
      <c r="AJ281" s="84" t="s">
        <v>45</v>
      </c>
      <c r="AK281" s="84">
        <v>0</v>
      </c>
      <c r="BB281" s="359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85"/>
      <c r="B282" s="685"/>
      <c r="C282" s="685"/>
      <c r="D282" s="685"/>
      <c r="E282" s="685"/>
      <c r="F282" s="685"/>
      <c r="G282" s="685"/>
      <c r="H282" s="685"/>
      <c r="I282" s="685"/>
      <c r="J282" s="685"/>
      <c r="K282" s="685"/>
      <c r="L282" s="685"/>
      <c r="M282" s="685"/>
      <c r="N282" s="685"/>
      <c r="O282" s="686"/>
      <c r="P282" s="682" t="s">
        <v>40</v>
      </c>
      <c r="Q282" s="683"/>
      <c r="R282" s="683"/>
      <c r="S282" s="683"/>
      <c r="T282" s="683"/>
      <c r="U282" s="683"/>
      <c r="V282" s="684"/>
      <c r="W282" s="42" t="s">
        <v>39</v>
      </c>
      <c r="X282" s="43">
        <f>IFERROR(X277/H277,"0")+IFERROR(X278/H278,"0")+IFERROR(X279/H279,"0")+IFERROR(X280/H280,"0")+IFERROR(X281/H281,"0")</f>
        <v>0</v>
      </c>
      <c r="Y282" s="43">
        <f>IFERROR(Y277/H277,"0")+IFERROR(Y278/H278,"0")+IFERROR(Y279/H279,"0")+IFERROR(Y280/H280,"0")+IFERROR(Y281/H281,"0")</f>
        <v>0</v>
      </c>
      <c r="Z282" s="43">
        <f>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85"/>
      <c r="B283" s="685"/>
      <c r="C283" s="685"/>
      <c r="D283" s="685"/>
      <c r="E283" s="685"/>
      <c r="F283" s="685"/>
      <c r="G283" s="685"/>
      <c r="H283" s="685"/>
      <c r="I283" s="685"/>
      <c r="J283" s="685"/>
      <c r="K283" s="685"/>
      <c r="L283" s="685"/>
      <c r="M283" s="685"/>
      <c r="N283" s="685"/>
      <c r="O283" s="686"/>
      <c r="P283" s="682" t="s">
        <v>40</v>
      </c>
      <c r="Q283" s="683"/>
      <c r="R283" s="683"/>
      <c r="S283" s="683"/>
      <c r="T283" s="683"/>
      <c r="U283" s="683"/>
      <c r="V283" s="684"/>
      <c r="W283" s="42" t="s">
        <v>0</v>
      </c>
      <c r="X283" s="43">
        <f>IFERROR(SUM(X277:X281),"0")</f>
        <v>0</v>
      </c>
      <c r="Y283" s="43">
        <f>IFERROR(SUM(Y277:Y281),"0")</f>
        <v>0</v>
      </c>
      <c r="Z283" s="42"/>
      <c r="AA283" s="67"/>
      <c r="AB283" s="67"/>
      <c r="AC283" s="67"/>
    </row>
    <row r="284" spans="1:68" ht="16.5" customHeight="1" x14ac:dyDescent="0.25">
      <c r="A284" s="699" t="s">
        <v>475</v>
      </c>
      <c r="B284" s="699"/>
      <c r="C284" s="699"/>
      <c r="D284" s="699"/>
      <c r="E284" s="699"/>
      <c r="F284" s="699"/>
      <c r="G284" s="699"/>
      <c r="H284" s="699"/>
      <c r="I284" s="699"/>
      <c r="J284" s="699"/>
      <c r="K284" s="699"/>
      <c r="L284" s="699"/>
      <c r="M284" s="699"/>
      <c r="N284" s="699"/>
      <c r="O284" s="699"/>
      <c r="P284" s="699"/>
      <c r="Q284" s="699"/>
      <c r="R284" s="699"/>
      <c r="S284" s="699"/>
      <c r="T284" s="699"/>
      <c r="U284" s="699"/>
      <c r="V284" s="699"/>
      <c r="W284" s="699"/>
      <c r="X284" s="699"/>
      <c r="Y284" s="699"/>
      <c r="Z284" s="699"/>
      <c r="AA284" s="65"/>
      <c r="AB284" s="65"/>
      <c r="AC284" s="79"/>
    </row>
    <row r="285" spans="1:68" ht="14.25" customHeight="1" x14ac:dyDescent="0.25">
      <c r="A285" s="677" t="s">
        <v>109</v>
      </c>
      <c r="B285" s="677"/>
      <c r="C285" s="677"/>
      <c r="D285" s="677"/>
      <c r="E285" s="677"/>
      <c r="F285" s="677"/>
      <c r="G285" s="677"/>
      <c r="H285" s="677"/>
      <c r="I285" s="677"/>
      <c r="J285" s="677"/>
      <c r="K285" s="677"/>
      <c r="L285" s="677"/>
      <c r="M285" s="677"/>
      <c r="N285" s="677"/>
      <c r="O285" s="677"/>
      <c r="P285" s="677"/>
      <c r="Q285" s="677"/>
      <c r="R285" s="677"/>
      <c r="S285" s="677"/>
      <c r="T285" s="677"/>
      <c r="U285" s="677"/>
      <c r="V285" s="677"/>
      <c r="W285" s="677"/>
      <c r="X285" s="677"/>
      <c r="Y285" s="677"/>
      <c r="Z285" s="677"/>
      <c r="AA285" s="66"/>
      <c r="AB285" s="66"/>
      <c r="AC285" s="80"/>
    </row>
    <row r="286" spans="1:68" ht="27" customHeight="1" x14ac:dyDescent="0.25">
      <c r="A286" s="63" t="s">
        <v>476</v>
      </c>
      <c r="B286" s="63" t="s">
        <v>477</v>
      </c>
      <c r="C286" s="36">
        <v>4301011306</v>
      </c>
      <c r="D286" s="678">
        <v>4607091389296</v>
      </c>
      <c r="E286" s="678"/>
      <c r="F286" s="62">
        <v>0.4</v>
      </c>
      <c r="G286" s="37">
        <v>10</v>
      </c>
      <c r="H286" s="62">
        <v>4</v>
      </c>
      <c r="I286" s="62">
        <v>4.21</v>
      </c>
      <c r="J286" s="37">
        <v>132</v>
      </c>
      <c r="K286" s="37" t="s">
        <v>118</v>
      </c>
      <c r="L286" s="37" t="s">
        <v>45</v>
      </c>
      <c r="M286" s="38" t="s">
        <v>117</v>
      </c>
      <c r="N286" s="38"/>
      <c r="O286" s="37">
        <v>45</v>
      </c>
      <c r="P286" s="85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0"/>
      <c r="R286" s="680"/>
      <c r="S286" s="680"/>
      <c r="T286" s="681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IFERROR(IF(Y286=0,"",ROUNDUP(Y286/H286,0)*0.00902),"")</f>
        <v/>
      </c>
      <c r="AA286" s="68" t="s">
        <v>45</v>
      </c>
      <c r="AB286" s="69" t="s">
        <v>45</v>
      </c>
      <c r="AC286" s="360" t="s">
        <v>478</v>
      </c>
      <c r="AG286" s="78"/>
      <c r="AJ286" s="84" t="s">
        <v>45</v>
      </c>
      <c r="AK286" s="84">
        <v>0</v>
      </c>
      <c r="BB286" s="361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85"/>
      <c r="B287" s="685"/>
      <c r="C287" s="685"/>
      <c r="D287" s="685"/>
      <c r="E287" s="685"/>
      <c r="F287" s="685"/>
      <c r="G287" s="685"/>
      <c r="H287" s="685"/>
      <c r="I287" s="685"/>
      <c r="J287" s="685"/>
      <c r="K287" s="685"/>
      <c r="L287" s="685"/>
      <c r="M287" s="685"/>
      <c r="N287" s="685"/>
      <c r="O287" s="686"/>
      <c r="P287" s="682" t="s">
        <v>40</v>
      </c>
      <c r="Q287" s="683"/>
      <c r="R287" s="683"/>
      <c r="S287" s="683"/>
      <c r="T287" s="683"/>
      <c r="U287" s="683"/>
      <c r="V287" s="684"/>
      <c r="W287" s="42" t="s">
        <v>39</v>
      </c>
      <c r="X287" s="43">
        <f>IFERROR(X286/H286,"0")</f>
        <v>0</v>
      </c>
      <c r="Y287" s="43">
        <f>IFERROR(Y286/H286,"0")</f>
        <v>0</v>
      </c>
      <c r="Z287" s="43">
        <f>IFERROR(IF(Z286="",0,Z286),"0")</f>
        <v>0</v>
      </c>
      <c r="AA287" s="67"/>
      <c r="AB287" s="67"/>
      <c r="AC287" s="67"/>
    </row>
    <row r="288" spans="1:68" x14ac:dyDescent="0.2">
      <c r="A288" s="685"/>
      <c r="B288" s="685"/>
      <c r="C288" s="685"/>
      <c r="D288" s="685"/>
      <c r="E288" s="685"/>
      <c r="F288" s="685"/>
      <c r="G288" s="685"/>
      <c r="H288" s="685"/>
      <c r="I288" s="685"/>
      <c r="J288" s="685"/>
      <c r="K288" s="685"/>
      <c r="L288" s="685"/>
      <c r="M288" s="685"/>
      <c r="N288" s="685"/>
      <c r="O288" s="686"/>
      <c r="P288" s="682" t="s">
        <v>40</v>
      </c>
      <c r="Q288" s="683"/>
      <c r="R288" s="683"/>
      <c r="S288" s="683"/>
      <c r="T288" s="683"/>
      <c r="U288" s="683"/>
      <c r="V288" s="684"/>
      <c r="W288" s="42" t="s">
        <v>0</v>
      </c>
      <c r="X288" s="43">
        <f>IFERROR(SUM(X286:X286),"0")</f>
        <v>0</v>
      </c>
      <c r="Y288" s="43">
        <f>IFERROR(SUM(Y286:Y286),"0")</f>
        <v>0</v>
      </c>
      <c r="Z288" s="42"/>
      <c r="AA288" s="67"/>
      <c r="AB288" s="67"/>
      <c r="AC288" s="67"/>
    </row>
    <row r="289" spans="1:68" ht="14.25" customHeight="1" x14ac:dyDescent="0.25">
      <c r="A289" s="677" t="s">
        <v>160</v>
      </c>
      <c r="B289" s="677"/>
      <c r="C289" s="677"/>
      <c r="D289" s="677"/>
      <c r="E289" s="677"/>
      <c r="F289" s="677"/>
      <c r="G289" s="677"/>
      <c r="H289" s="677"/>
      <c r="I289" s="677"/>
      <c r="J289" s="677"/>
      <c r="K289" s="677"/>
      <c r="L289" s="677"/>
      <c r="M289" s="677"/>
      <c r="N289" s="677"/>
      <c r="O289" s="677"/>
      <c r="P289" s="677"/>
      <c r="Q289" s="677"/>
      <c r="R289" s="677"/>
      <c r="S289" s="677"/>
      <c r="T289" s="677"/>
      <c r="U289" s="677"/>
      <c r="V289" s="677"/>
      <c r="W289" s="677"/>
      <c r="X289" s="677"/>
      <c r="Y289" s="677"/>
      <c r="Z289" s="677"/>
      <c r="AA289" s="66"/>
      <c r="AB289" s="66"/>
      <c r="AC289" s="80"/>
    </row>
    <row r="290" spans="1:68" ht="27" customHeight="1" x14ac:dyDescent="0.25">
      <c r="A290" s="63" t="s">
        <v>479</v>
      </c>
      <c r="B290" s="63" t="s">
        <v>480</v>
      </c>
      <c r="C290" s="36">
        <v>4301031307</v>
      </c>
      <c r="D290" s="678">
        <v>4680115880344</v>
      </c>
      <c r="E290" s="678"/>
      <c r="F290" s="62">
        <v>0.28000000000000003</v>
      </c>
      <c r="G290" s="37">
        <v>6</v>
      </c>
      <c r="H290" s="62">
        <v>1.68</v>
      </c>
      <c r="I290" s="62">
        <v>1.78</v>
      </c>
      <c r="J290" s="37">
        <v>234</v>
      </c>
      <c r="K290" s="37" t="s">
        <v>164</v>
      </c>
      <c r="L290" s="37" t="s">
        <v>45</v>
      </c>
      <c r="M290" s="38" t="s">
        <v>82</v>
      </c>
      <c r="N290" s="38"/>
      <c r="O290" s="37">
        <v>40</v>
      </c>
      <c r="P290" s="84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0"/>
      <c r="R290" s="680"/>
      <c r="S290" s="680"/>
      <c r="T290" s="681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IFERROR(IF(Y290=0,"",ROUNDUP(Y290/H290,0)*0.00502),"")</f>
        <v/>
      </c>
      <c r="AA290" s="68" t="s">
        <v>45</v>
      </c>
      <c r="AB290" s="69" t="s">
        <v>45</v>
      </c>
      <c r="AC290" s="362" t="s">
        <v>481</v>
      </c>
      <c r="AG290" s="78"/>
      <c r="AJ290" s="84" t="s">
        <v>45</v>
      </c>
      <c r="AK290" s="84">
        <v>0</v>
      </c>
      <c r="BB290" s="363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85"/>
      <c r="B291" s="685"/>
      <c r="C291" s="685"/>
      <c r="D291" s="685"/>
      <c r="E291" s="685"/>
      <c r="F291" s="685"/>
      <c r="G291" s="685"/>
      <c r="H291" s="685"/>
      <c r="I291" s="685"/>
      <c r="J291" s="685"/>
      <c r="K291" s="685"/>
      <c r="L291" s="685"/>
      <c r="M291" s="685"/>
      <c r="N291" s="685"/>
      <c r="O291" s="686"/>
      <c r="P291" s="682" t="s">
        <v>40</v>
      </c>
      <c r="Q291" s="683"/>
      <c r="R291" s="683"/>
      <c r="S291" s="683"/>
      <c r="T291" s="683"/>
      <c r="U291" s="683"/>
      <c r="V291" s="684"/>
      <c r="W291" s="42" t="s">
        <v>39</v>
      </c>
      <c r="X291" s="43">
        <f>IFERROR(X290/H290,"0")</f>
        <v>0</v>
      </c>
      <c r="Y291" s="43">
        <f>IFERROR(Y290/H290,"0")</f>
        <v>0</v>
      </c>
      <c r="Z291" s="43">
        <f>IFERROR(IF(Z290="",0,Z290),"0")</f>
        <v>0</v>
      </c>
      <c r="AA291" s="67"/>
      <c r="AB291" s="67"/>
      <c r="AC291" s="67"/>
    </row>
    <row r="292" spans="1:68" x14ac:dyDescent="0.2">
      <c r="A292" s="685"/>
      <c r="B292" s="685"/>
      <c r="C292" s="685"/>
      <c r="D292" s="685"/>
      <c r="E292" s="685"/>
      <c r="F292" s="685"/>
      <c r="G292" s="685"/>
      <c r="H292" s="685"/>
      <c r="I292" s="685"/>
      <c r="J292" s="685"/>
      <c r="K292" s="685"/>
      <c r="L292" s="685"/>
      <c r="M292" s="685"/>
      <c r="N292" s="685"/>
      <c r="O292" s="686"/>
      <c r="P292" s="682" t="s">
        <v>40</v>
      </c>
      <c r="Q292" s="683"/>
      <c r="R292" s="683"/>
      <c r="S292" s="683"/>
      <c r="T292" s="683"/>
      <c r="U292" s="683"/>
      <c r="V292" s="684"/>
      <c r="W292" s="42" t="s">
        <v>0</v>
      </c>
      <c r="X292" s="43">
        <f>IFERROR(SUM(X290:X290),"0")</f>
        <v>0</v>
      </c>
      <c r="Y292" s="43">
        <f>IFERROR(SUM(Y290:Y290),"0")</f>
        <v>0</v>
      </c>
      <c r="Z292" s="42"/>
      <c r="AA292" s="67"/>
      <c r="AB292" s="67"/>
      <c r="AC292" s="67"/>
    </row>
    <row r="293" spans="1:68" ht="14.25" customHeight="1" x14ac:dyDescent="0.25">
      <c r="A293" s="677" t="s">
        <v>78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"/>
      <c r="AB293" s="66"/>
      <c r="AC293" s="80"/>
    </row>
    <row r="294" spans="1:68" ht="27" customHeight="1" x14ac:dyDescent="0.25">
      <c r="A294" s="63" t="s">
        <v>482</v>
      </c>
      <c r="B294" s="63" t="s">
        <v>483</v>
      </c>
      <c r="C294" s="36">
        <v>4301051782</v>
      </c>
      <c r="D294" s="678">
        <v>4680115884618</v>
      </c>
      <c r="E294" s="678"/>
      <c r="F294" s="62">
        <v>0.6</v>
      </c>
      <c r="G294" s="37">
        <v>6</v>
      </c>
      <c r="H294" s="62">
        <v>3.6</v>
      </c>
      <c r="I294" s="62">
        <v>3.81</v>
      </c>
      <c r="J294" s="37">
        <v>132</v>
      </c>
      <c r="K294" s="37" t="s">
        <v>118</v>
      </c>
      <c r="L294" s="37" t="s">
        <v>45</v>
      </c>
      <c r="M294" s="38" t="s">
        <v>117</v>
      </c>
      <c r="N294" s="38"/>
      <c r="O294" s="37">
        <v>45</v>
      </c>
      <c r="P294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0"/>
      <c r="R294" s="680"/>
      <c r="S294" s="680"/>
      <c r="T294" s="681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64" t="s">
        <v>484</v>
      </c>
      <c r="AG294" s="78"/>
      <c r="AJ294" s="84" t="s">
        <v>45</v>
      </c>
      <c r="AK294" s="84">
        <v>0</v>
      </c>
      <c r="BB294" s="365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85"/>
      <c r="B295" s="685"/>
      <c r="C295" s="685"/>
      <c r="D295" s="685"/>
      <c r="E295" s="685"/>
      <c r="F295" s="685"/>
      <c r="G295" s="685"/>
      <c r="H295" s="685"/>
      <c r="I295" s="685"/>
      <c r="J295" s="685"/>
      <c r="K295" s="685"/>
      <c r="L295" s="685"/>
      <c r="M295" s="685"/>
      <c r="N295" s="685"/>
      <c r="O295" s="686"/>
      <c r="P295" s="682" t="s">
        <v>40</v>
      </c>
      <c r="Q295" s="683"/>
      <c r="R295" s="683"/>
      <c r="S295" s="683"/>
      <c r="T295" s="683"/>
      <c r="U295" s="683"/>
      <c r="V295" s="684"/>
      <c r="W295" s="42" t="s">
        <v>39</v>
      </c>
      <c r="X295" s="43">
        <f>IFERROR(X294/H294,"0")</f>
        <v>0</v>
      </c>
      <c r="Y295" s="43">
        <f>IFERROR(Y294/H294,"0")</f>
        <v>0</v>
      </c>
      <c r="Z295" s="43">
        <f>IFERROR(IF(Z294="",0,Z294),"0")</f>
        <v>0</v>
      </c>
      <c r="AA295" s="67"/>
      <c r="AB295" s="67"/>
      <c r="AC295" s="67"/>
    </row>
    <row r="296" spans="1:68" x14ac:dyDescent="0.2">
      <c r="A296" s="685"/>
      <c r="B296" s="685"/>
      <c r="C296" s="685"/>
      <c r="D296" s="685"/>
      <c r="E296" s="685"/>
      <c r="F296" s="685"/>
      <c r="G296" s="685"/>
      <c r="H296" s="685"/>
      <c r="I296" s="685"/>
      <c r="J296" s="685"/>
      <c r="K296" s="685"/>
      <c r="L296" s="685"/>
      <c r="M296" s="685"/>
      <c r="N296" s="685"/>
      <c r="O296" s="686"/>
      <c r="P296" s="682" t="s">
        <v>40</v>
      </c>
      <c r="Q296" s="683"/>
      <c r="R296" s="683"/>
      <c r="S296" s="683"/>
      <c r="T296" s="683"/>
      <c r="U296" s="683"/>
      <c r="V296" s="684"/>
      <c r="W296" s="42" t="s">
        <v>0</v>
      </c>
      <c r="X296" s="43">
        <f>IFERROR(SUM(X294:X294),"0")</f>
        <v>0</v>
      </c>
      <c r="Y296" s="43">
        <f>IFERROR(SUM(Y294:Y294),"0")</f>
        <v>0</v>
      </c>
      <c r="Z296" s="42"/>
      <c r="AA296" s="67"/>
      <c r="AB296" s="67"/>
      <c r="AC296" s="67"/>
    </row>
    <row r="297" spans="1:68" ht="16.5" customHeight="1" x14ac:dyDescent="0.25">
      <c r="A297" s="699" t="s">
        <v>485</v>
      </c>
      <c r="B297" s="699"/>
      <c r="C297" s="699"/>
      <c r="D297" s="699"/>
      <c r="E297" s="699"/>
      <c r="F297" s="699"/>
      <c r="G297" s="699"/>
      <c r="H297" s="699"/>
      <c r="I297" s="699"/>
      <c r="J297" s="699"/>
      <c r="K297" s="699"/>
      <c r="L297" s="699"/>
      <c r="M297" s="699"/>
      <c r="N297" s="699"/>
      <c r="O297" s="699"/>
      <c r="P297" s="699"/>
      <c r="Q297" s="699"/>
      <c r="R297" s="699"/>
      <c r="S297" s="699"/>
      <c r="T297" s="699"/>
      <c r="U297" s="699"/>
      <c r="V297" s="699"/>
      <c r="W297" s="699"/>
      <c r="X297" s="699"/>
      <c r="Y297" s="699"/>
      <c r="Z297" s="699"/>
      <c r="AA297" s="65"/>
      <c r="AB297" s="65"/>
      <c r="AC297" s="79"/>
    </row>
    <row r="298" spans="1:68" ht="14.25" customHeight="1" x14ac:dyDescent="0.25">
      <c r="A298" s="677" t="s">
        <v>78</v>
      </c>
      <c r="B298" s="677"/>
      <c r="C298" s="677"/>
      <c r="D298" s="677"/>
      <c r="E298" s="677"/>
      <c r="F298" s="677"/>
      <c r="G298" s="677"/>
      <c r="H298" s="677"/>
      <c r="I298" s="677"/>
      <c r="J298" s="677"/>
      <c r="K298" s="677"/>
      <c r="L298" s="677"/>
      <c r="M298" s="677"/>
      <c r="N298" s="677"/>
      <c r="O298" s="677"/>
      <c r="P298" s="677"/>
      <c r="Q298" s="677"/>
      <c r="R298" s="677"/>
      <c r="S298" s="677"/>
      <c r="T298" s="677"/>
      <c r="U298" s="677"/>
      <c r="V298" s="677"/>
      <c r="W298" s="677"/>
      <c r="X298" s="677"/>
      <c r="Y298" s="677"/>
      <c r="Z298" s="677"/>
      <c r="AA298" s="66"/>
      <c r="AB298" s="66"/>
      <c r="AC298" s="80"/>
    </row>
    <row r="299" spans="1:68" ht="27" customHeight="1" x14ac:dyDescent="0.25">
      <c r="A299" s="63" t="s">
        <v>486</v>
      </c>
      <c r="B299" s="63" t="s">
        <v>487</v>
      </c>
      <c r="C299" s="36">
        <v>4301051277</v>
      </c>
      <c r="D299" s="678">
        <v>4680115880511</v>
      </c>
      <c r="E299" s="678"/>
      <c r="F299" s="62">
        <v>0.33</v>
      </c>
      <c r="G299" s="37">
        <v>6</v>
      </c>
      <c r="H299" s="62">
        <v>1.98</v>
      </c>
      <c r="I299" s="62">
        <v>2.16</v>
      </c>
      <c r="J299" s="37">
        <v>182</v>
      </c>
      <c r="K299" s="37" t="s">
        <v>83</v>
      </c>
      <c r="L299" s="37" t="s">
        <v>45</v>
      </c>
      <c r="M299" s="38" t="s">
        <v>117</v>
      </c>
      <c r="N299" s="38"/>
      <c r="O299" s="37">
        <v>40</v>
      </c>
      <c r="P299" s="84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0"/>
      <c r="R299" s="680"/>
      <c r="S299" s="680"/>
      <c r="T299" s="681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45</v>
      </c>
      <c r="AB299" s="69" t="s">
        <v>45</v>
      </c>
      <c r="AC299" s="366" t="s">
        <v>488</v>
      </c>
      <c r="AG299" s="78"/>
      <c r="AJ299" s="84" t="s">
        <v>45</v>
      </c>
      <c r="AK299" s="84">
        <v>0</v>
      </c>
      <c r="BB299" s="36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85"/>
      <c r="B300" s="685"/>
      <c r="C300" s="685"/>
      <c r="D300" s="685"/>
      <c r="E300" s="685"/>
      <c r="F300" s="685"/>
      <c r="G300" s="685"/>
      <c r="H300" s="685"/>
      <c r="I300" s="685"/>
      <c r="J300" s="685"/>
      <c r="K300" s="685"/>
      <c r="L300" s="685"/>
      <c r="M300" s="685"/>
      <c r="N300" s="685"/>
      <c r="O300" s="686"/>
      <c r="P300" s="682" t="s">
        <v>40</v>
      </c>
      <c r="Q300" s="683"/>
      <c r="R300" s="683"/>
      <c r="S300" s="683"/>
      <c r="T300" s="683"/>
      <c r="U300" s="683"/>
      <c r="V300" s="684"/>
      <c r="W300" s="42" t="s">
        <v>39</v>
      </c>
      <c r="X300" s="43">
        <f>IFERROR(X299/H299,"0")</f>
        <v>0</v>
      </c>
      <c r="Y300" s="43">
        <f>IFERROR(Y299/H299,"0")</f>
        <v>0</v>
      </c>
      <c r="Z300" s="43">
        <f>IFERROR(IF(Z299="",0,Z299),"0")</f>
        <v>0</v>
      </c>
      <c r="AA300" s="67"/>
      <c r="AB300" s="67"/>
      <c r="AC300" s="67"/>
    </row>
    <row r="301" spans="1:68" x14ac:dyDescent="0.2">
      <c r="A301" s="685"/>
      <c r="B301" s="685"/>
      <c r="C301" s="685"/>
      <c r="D301" s="685"/>
      <c r="E301" s="685"/>
      <c r="F301" s="685"/>
      <c r="G301" s="685"/>
      <c r="H301" s="685"/>
      <c r="I301" s="685"/>
      <c r="J301" s="685"/>
      <c r="K301" s="685"/>
      <c r="L301" s="685"/>
      <c r="M301" s="685"/>
      <c r="N301" s="685"/>
      <c r="O301" s="686"/>
      <c r="P301" s="682" t="s">
        <v>40</v>
      </c>
      <c r="Q301" s="683"/>
      <c r="R301" s="683"/>
      <c r="S301" s="683"/>
      <c r="T301" s="683"/>
      <c r="U301" s="683"/>
      <c r="V301" s="684"/>
      <c r="W301" s="42" t="s">
        <v>0</v>
      </c>
      <c r="X301" s="43">
        <f>IFERROR(SUM(X299:X299),"0")</f>
        <v>0</v>
      </c>
      <c r="Y301" s="43">
        <f>IFERROR(SUM(Y299:Y299),"0")</f>
        <v>0</v>
      </c>
      <c r="Z301" s="42"/>
      <c r="AA301" s="67"/>
      <c r="AB301" s="67"/>
      <c r="AC301" s="67"/>
    </row>
    <row r="302" spans="1:68" ht="16.5" customHeight="1" x14ac:dyDescent="0.25">
      <c r="A302" s="699" t="s">
        <v>489</v>
      </c>
      <c r="B302" s="699"/>
      <c r="C302" s="699"/>
      <c r="D302" s="699"/>
      <c r="E302" s="699"/>
      <c r="F302" s="699"/>
      <c r="G302" s="699"/>
      <c r="H302" s="699"/>
      <c r="I302" s="699"/>
      <c r="J302" s="699"/>
      <c r="K302" s="699"/>
      <c r="L302" s="699"/>
      <c r="M302" s="699"/>
      <c r="N302" s="699"/>
      <c r="O302" s="699"/>
      <c r="P302" s="699"/>
      <c r="Q302" s="699"/>
      <c r="R302" s="699"/>
      <c r="S302" s="699"/>
      <c r="T302" s="699"/>
      <c r="U302" s="699"/>
      <c r="V302" s="699"/>
      <c r="W302" s="699"/>
      <c r="X302" s="699"/>
      <c r="Y302" s="699"/>
      <c r="Z302" s="699"/>
      <c r="AA302" s="65"/>
      <c r="AB302" s="65"/>
      <c r="AC302" s="79"/>
    </row>
    <row r="303" spans="1:68" ht="14.25" customHeight="1" x14ac:dyDescent="0.25">
      <c r="A303" s="677" t="s">
        <v>109</v>
      </c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77"/>
      <c r="P303" s="677"/>
      <c r="Q303" s="677"/>
      <c r="R303" s="677"/>
      <c r="S303" s="677"/>
      <c r="T303" s="677"/>
      <c r="U303" s="677"/>
      <c r="V303" s="677"/>
      <c r="W303" s="677"/>
      <c r="X303" s="677"/>
      <c r="Y303" s="677"/>
      <c r="Z303" s="677"/>
      <c r="AA303" s="66"/>
      <c r="AB303" s="66"/>
      <c r="AC303" s="80"/>
    </row>
    <row r="304" spans="1:68" ht="27" customHeight="1" x14ac:dyDescent="0.25">
      <c r="A304" s="63" t="s">
        <v>490</v>
      </c>
      <c r="B304" s="63" t="s">
        <v>491</v>
      </c>
      <c r="C304" s="36">
        <v>4301011594</v>
      </c>
      <c r="D304" s="678">
        <v>4680115883413</v>
      </c>
      <c r="E304" s="678"/>
      <c r="F304" s="62">
        <v>0.37</v>
      </c>
      <c r="G304" s="37">
        <v>10</v>
      </c>
      <c r="H304" s="62">
        <v>3.7</v>
      </c>
      <c r="I304" s="62">
        <v>3.91</v>
      </c>
      <c r="J304" s="37">
        <v>132</v>
      </c>
      <c r="K304" s="37" t="s">
        <v>118</v>
      </c>
      <c r="L304" s="37" t="s">
        <v>45</v>
      </c>
      <c r="M304" s="38" t="s">
        <v>113</v>
      </c>
      <c r="N304" s="38"/>
      <c r="O304" s="37">
        <v>55</v>
      </c>
      <c r="P304" s="84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0"/>
      <c r="R304" s="680"/>
      <c r="S304" s="680"/>
      <c r="T304" s="681"/>
      <c r="U304" s="39" t="s">
        <v>45</v>
      </c>
      <c r="V304" s="39" t="s">
        <v>45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68" t="s">
        <v>451</v>
      </c>
      <c r="AG304" s="78"/>
      <c r="AJ304" s="84" t="s">
        <v>45</v>
      </c>
      <c r="AK304" s="84">
        <v>0</v>
      </c>
      <c r="BB304" s="369" t="s">
        <v>66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685"/>
      <c r="B305" s="685"/>
      <c r="C305" s="685"/>
      <c r="D305" s="685"/>
      <c r="E305" s="685"/>
      <c r="F305" s="685"/>
      <c r="G305" s="685"/>
      <c r="H305" s="685"/>
      <c r="I305" s="685"/>
      <c r="J305" s="685"/>
      <c r="K305" s="685"/>
      <c r="L305" s="685"/>
      <c r="M305" s="685"/>
      <c r="N305" s="685"/>
      <c r="O305" s="686"/>
      <c r="P305" s="682" t="s">
        <v>40</v>
      </c>
      <c r="Q305" s="683"/>
      <c r="R305" s="683"/>
      <c r="S305" s="683"/>
      <c r="T305" s="683"/>
      <c r="U305" s="683"/>
      <c r="V305" s="684"/>
      <c r="W305" s="42" t="s">
        <v>39</v>
      </c>
      <c r="X305" s="43">
        <f>IFERROR(X304/H304,"0")</f>
        <v>0</v>
      </c>
      <c r="Y305" s="43">
        <f>IFERROR(Y304/H304,"0")</f>
        <v>0</v>
      </c>
      <c r="Z305" s="43">
        <f>IFERROR(IF(Z304="",0,Z304),"0")</f>
        <v>0</v>
      </c>
      <c r="AA305" s="67"/>
      <c r="AB305" s="67"/>
      <c r="AC305" s="67"/>
    </row>
    <row r="306" spans="1:68" x14ac:dyDescent="0.2">
      <c r="A306" s="685"/>
      <c r="B306" s="685"/>
      <c r="C306" s="685"/>
      <c r="D306" s="685"/>
      <c r="E306" s="685"/>
      <c r="F306" s="685"/>
      <c r="G306" s="685"/>
      <c r="H306" s="685"/>
      <c r="I306" s="685"/>
      <c r="J306" s="685"/>
      <c r="K306" s="685"/>
      <c r="L306" s="685"/>
      <c r="M306" s="685"/>
      <c r="N306" s="685"/>
      <c r="O306" s="686"/>
      <c r="P306" s="682" t="s">
        <v>40</v>
      </c>
      <c r="Q306" s="683"/>
      <c r="R306" s="683"/>
      <c r="S306" s="683"/>
      <c r="T306" s="683"/>
      <c r="U306" s="683"/>
      <c r="V306" s="684"/>
      <c r="W306" s="42" t="s">
        <v>0</v>
      </c>
      <c r="X306" s="43">
        <f>IFERROR(SUM(X304:X304),"0")</f>
        <v>0</v>
      </c>
      <c r="Y306" s="43">
        <f>IFERROR(SUM(Y304:Y304),"0")</f>
        <v>0</v>
      </c>
      <c r="Z306" s="42"/>
      <c r="AA306" s="67"/>
      <c r="AB306" s="67"/>
      <c r="AC306" s="67"/>
    </row>
    <row r="307" spans="1:68" ht="14.25" customHeight="1" x14ac:dyDescent="0.25">
      <c r="A307" s="677" t="s">
        <v>160</v>
      </c>
      <c r="B307" s="677"/>
      <c r="C307" s="677"/>
      <c r="D307" s="677"/>
      <c r="E307" s="677"/>
      <c r="F307" s="677"/>
      <c r="G307" s="677"/>
      <c r="H307" s="677"/>
      <c r="I307" s="677"/>
      <c r="J307" s="677"/>
      <c r="K307" s="677"/>
      <c r="L307" s="677"/>
      <c r="M307" s="677"/>
      <c r="N307" s="677"/>
      <c r="O307" s="677"/>
      <c r="P307" s="677"/>
      <c r="Q307" s="677"/>
      <c r="R307" s="677"/>
      <c r="S307" s="677"/>
      <c r="T307" s="677"/>
      <c r="U307" s="677"/>
      <c r="V307" s="677"/>
      <c r="W307" s="677"/>
      <c r="X307" s="677"/>
      <c r="Y307" s="677"/>
      <c r="Z307" s="677"/>
      <c r="AA307" s="66"/>
      <c r="AB307" s="66"/>
      <c r="AC307" s="80"/>
    </row>
    <row r="308" spans="1:68" ht="27" customHeight="1" x14ac:dyDescent="0.25">
      <c r="A308" s="63" t="s">
        <v>492</v>
      </c>
      <c r="B308" s="63" t="s">
        <v>493</v>
      </c>
      <c r="C308" s="36">
        <v>4301031305</v>
      </c>
      <c r="D308" s="678">
        <v>4607091389845</v>
      </c>
      <c r="E308" s="678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164</v>
      </c>
      <c r="L308" s="37" t="s">
        <v>45</v>
      </c>
      <c r="M308" s="38" t="s">
        <v>82</v>
      </c>
      <c r="N308" s="38"/>
      <c r="O308" s="37">
        <v>40</v>
      </c>
      <c r="P308" s="84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0"/>
      <c r="R308" s="680"/>
      <c r="S308" s="680"/>
      <c r="T308" s="681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70" t="s">
        <v>494</v>
      </c>
      <c r="AG308" s="78"/>
      <c r="AJ308" s="84" t="s">
        <v>45</v>
      </c>
      <c r="AK308" s="84">
        <v>0</v>
      </c>
      <c r="BB308" s="371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495</v>
      </c>
      <c r="B309" s="63" t="s">
        <v>496</v>
      </c>
      <c r="C309" s="36">
        <v>4301031306</v>
      </c>
      <c r="D309" s="678">
        <v>4680115882881</v>
      </c>
      <c r="E309" s="678"/>
      <c r="F309" s="62">
        <v>0.28000000000000003</v>
      </c>
      <c r="G309" s="37">
        <v>6</v>
      </c>
      <c r="H309" s="62">
        <v>1.68</v>
      </c>
      <c r="I309" s="62">
        <v>1.81</v>
      </c>
      <c r="J309" s="37">
        <v>234</v>
      </c>
      <c r="K309" s="37" t="s">
        <v>164</v>
      </c>
      <c r="L309" s="37" t="s">
        <v>45</v>
      </c>
      <c r="M309" s="38" t="s">
        <v>82</v>
      </c>
      <c r="N309" s="38"/>
      <c r="O309" s="37">
        <v>40</v>
      </c>
      <c r="P309" s="845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0"/>
      <c r="R309" s="680"/>
      <c r="S309" s="680"/>
      <c r="T309" s="681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72" t="s">
        <v>494</v>
      </c>
      <c r="AG309" s="78"/>
      <c r="AJ309" s="84" t="s">
        <v>45</v>
      </c>
      <c r="AK309" s="84">
        <v>0</v>
      </c>
      <c r="BB309" s="373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85"/>
      <c r="B310" s="685"/>
      <c r="C310" s="685"/>
      <c r="D310" s="685"/>
      <c r="E310" s="685"/>
      <c r="F310" s="685"/>
      <c r="G310" s="685"/>
      <c r="H310" s="685"/>
      <c r="I310" s="685"/>
      <c r="J310" s="685"/>
      <c r="K310" s="685"/>
      <c r="L310" s="685"/>
      <c r="M310" s="685"/>
      <c r="N310" s="685"/>
      <c r="O310" s="686"/>
      <c r="P310" s="682" t="s">
        <v>40</v>
      </c>
      <c r="Q310" s="683"/>
      <c r="R310" s="683"/>
      <c r="S310" s="683"/>
      <c r="T310" s="683"/>
      <c r="U310" s="683"/>
      <c r="V310" s="684"/>
      <c r="W310" s="42" t="s">
        <v>39</v>
      </c>
      <c r="X310" s="43">
        <f>IFERROR(X308/H308,"0")+IFERROR(X309/H309,"0")</f>
        <v>0</v>
      </c>
      <c r="Y310" s="43">
        <f>IFERROR(Y308/H308,"0")+IFERROR(Y309/H309,"0")</f>
        <v>0</v>
      </c>
      <c r="Z310" s="43">
        <f>IFERROR(IF(Z308="",0,Z308),"0")+IFERROR(IF(Z309="",0,Z309),"0")</f>
        <v>0</v>
      </c>
      <c r="AA310" s="67"/>
      <c r="AB310" s="67"/>
      <c r="AC310" s="67"/>
    </row>
    <row r="311" spans="1:68" x14ac:dyDescent="0.2">
      <c r="A311" s="685"/>
      <c r="B311" s="685"/>
      <c r="C311" s="685"/>
      <c r="D311" s="685"/>
      <c r="E311" s="685"/>
      <c r="F311" s="685"/>
      <c r="G311" s="685"/>
      <c r="H311" s="685"/>
      <c r="I311" s="685"/>
      <c r="J311" s="685"/>
      <c r="K311" s="685"/>
      <c r="L311" s="685"/>
      <c r="M311" s="685"/>
      <c r="N311" s="685"/>
      <c r="O311" s="686"/>
      <c r="P311" s="682" t="s">
        <v>40</v>
      </c>
      <c r="Q311" s="683"/>
      <c r="R311" s="683"/>
      <c r="S311" s="683"/>
      <c r="T311" s="683"/>
      <c r="U311" s="683"/>
      <c r="V311" s="684"/>
      <c r="W311" s="42" t="s">
        <v>0</v>
      </c>
      <c r="X311" s="43">
        <f>IFERROR(SUM(X308:X309),"0")</f>
        <v>0</v>
      </c>
      <c r="Y311" s="43">
        <f>IFERROR(SUM(Y308:Y309),"0")</f>
        <v>0</v>
      </c>
      <c r="Z311" s="42"/>
      <c r="AA311" s="67"/>
      <c r="AB311" s="67"/>
      <c r="AC311" s="67"/>
    </row>
    <row r="312" spans="1:68" ht="16.5" customHeight="1" x14ac:dyDescent="0.25">
      <c r="A312" s="699" t="s">
        <v>497</v>
      </c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699"/>
      <c r="N312" s="699"/>
      <c r="O312" s="699"/>
      <c r="P312" s="699"/>
      <c r="Q312" s="699"/>
      <c r="R312" s="699"/>
      <c r="S312" s="699"/>
      <c r="T312" s="699"/>
      <c r="U312" s="699"/>
      <c r="V312" s="699"/>
      <c r="W312" s="699"/>
      <c r="X312" s="699"/>
      <c r="Y312" s="699"/>
      <c r="Z312" s="699"/>
      <c r="AA312" s="65"/>
      <c r="AB312" s="65"/>
      <c r="AC312" s="79"/>
    </row>
    <row r="313" spans="1:68" ht="14.25" customHeight="1" x14ac:dyDescent="0.25">
      <c r="A313" s="677" t="s">
        <v>109</v>
      </c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77"/>
      <c r="P313" s="677"/>
      <c r="Q313" s="677"/>
      <c r="R313" s="677"/>
      <c r="S313" s="677"/>
      <c r="T313" s="677"/>
      <c r="U313" s="677"/>
      <c r="V313" s="677"/>
      <c r="W313" s="677"/>
      <c r="X313" s="677"/>
      <c r="Y313" s="677"/>
      <c r="Z313" s="677"/>
      <c r="AA313" s="66"/>
      <c r="AB313" s="66"/>
      <c r="AC313" s="80"/>
    </row>
    <row r="314" spans="1:68" ht="27" customHeight="1" x14ac:dyDescent="0.25">
      <c r="A314" s="63" t="s">
        <v>498</v>
      </c>
      <c r="B314" s="63" t="s">
        <v>499</v>
      </c>
      <c r="C314" s="36">
        <v>4301011662</v>
      </c>
      <c r="D314" s="678">
        <v>4680115883703</v>
      </c>
      <c r="E314" s="678"/>
      <c r="F314" s="62">
        <v>1.35</v>
      </c>
      <c r="G314" s="37">
        <v>8</v>
      </c>
      <c r="H314" s="62">
        <v>10.8</v>
      </c>
      <c r="I314" s="62">
        <v>11.234999999999999</v>
      </c>
      <c r="J314" s="37">
        <v>64</v>
      </c>
      <c r="K314" s="37" t="s">
        <v>114</v>
      </c>
      <c r="L314" s="37" t="s">
        <v>45</v>
      </c>
      <c r="M314" s="38" t="s">
        <v>113</v>
      </c>
      <c r="N314" s="38"/>
      <c r="O314" s="37">
        <v>55</v>
      </c>
      <c r="P314" s="8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0"/>
      <c r="R314" s="680"/>
      <c r="S314" s="680"/>
      <c r="T314" s="681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501</v>
      </c>
      <c r="AB314" s="69" t="s">
        <v>45</v>
      </c>
      <c r="AC314" s="374" t="s">
        <v>500</v>
      </c>
      <c r="AG314" s="78"/>
      <c r="AJ314" s="84" t="s">
        <v>45</v>
      </c>
      <c r="AK314" s="84">
        <v>0</v>
      </c>
      <c r="BB314" s="375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85"/>
      <c r="B315" s="685"/>
      <c r="C315" s="685"/>
      <c r="D315" s="685"/>
      <c r="E315" s="685"/>
      <c r="F315" s="685"/>
      <c r="G315" s="685"/>
      <c r="H315" s="685"/>
      <c r="I315" s="685"/>
      <c r="J315" s="685"/>
      <c r="K315" s="685"/>
      <c r="L315" s="685"/>
      <c r="M315" s="685"/>
      <c r="N315" s="685"/>
      <c r="O315" s="686"/>
      <c r="P315" s="682" t="s">
        <v>40</v>
      </c>
      <c r="Q315" s="683"/>
      <c r="R315" s="683"/>
      <c r="S315" s="683"/>
      <c r="T315" s="683"/>
      <c r="U315" s="683"/>
      <c r="V315" s="68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685"/>
      <c r="B316" s="685"/>
      <c r="C316" s="685"/>
      <c r="D316" s="685"/>
      <c r="E316" s="685"/>
      <c r="F316" s="685"/>
      <c r="G316" s="685"/>
      <c r="H316" s="685"/>
      <c r="I316" s="685"/>
      <c r="J316" s="685"/>
      <c r="K316" s="685"/>
      <c r="L316" s="685"/>
      <c r="M316" s="685"/>
      <c r="N316" s="685"/>
      <c r="O316" s="686"/>
      <c r="P316" s="682" t="s">
        <v>40</v>
      </c>
      <c r="Q316" s="683"/>
      <c r="R316" s="683"/>
      <c r="S316" s="683"/>
      <c r="T316" s="683"/>
      <c r="U316" s="683"/>
      <c r="V316" s="68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6.5" customHeight="1" x14ac:dyDescent="0.25">
      <c r="A317" s="699" t="s">
        <v>502</v>
      </c>
      <c r="B317" s="699"/>
      <c r="C317" s="699"/>
      <c r="D317" s="699"/>
      <c r="E317" s="699"/>
      <c r="F317" s="699"/>
      <c r="G317" s="699"/>
      <c r="H317" s="699"/>
      <c r="I317" s="699"/>
      <c r="J317" s="699"/>
      <c r="K317" s="699"/>
      <c r="L317" s="699"/>
      <c r="M317" s="699"/>
      <c r="N317" s="699"/>
      <c r="O317" s="699"/>
      <c r="P317" s="699"/>
      <c r="Q317" s="699"/>
      <c r="R317" s="699"/>
      <c r="S317" s="699"/>
      <c r="T317" s="699"/>
      <c r="U317" s="699"/>
      <c r="V317" s="699"/>
      <c r="W317" s="699"/>
      <c r="X317" s="699"/>
      <c r="Y317" s="699"/>
      <c r="Z317" s="699"/>
      <c r="AA317" s="65"/>
      <c r="AB317" s="65"/>
      <c r="AC317" s="79"/>
    </row>
    <row r="318" spans="1:68" ht="14.25" customHeight="1" x14ac:dyDescent="0.25">
      <c r="A318" s="677" t="s">
        <v>109</v>
      </c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77"/>
      <c r="P318" s="677"/>
      <c r="Q318" s="677"/>
      <c r="R318" s="677"/>
      <c r="S318" s="677"/>
      <c r="T318" s="677"/>
      <c r="U318" s="677"/>
      <c r="V318" s="677"/>
      <c r="W318" s="677"/>
      <c r="X318" s="677"/>
      <c r="Y318" s="677"/>
      <c r="Z318" s="677"/>
      <c r="AA318" s="66"/>
      <c r="AB318" s="66"/>
      <c r="AC318" s="80"/>
    </row>
    <row r="319" spans="1:68" ht="27" customHeight="1" x14ac:dyDescent="0.25">
      <c r="A319" s="63" t="s">
        <v>503</v>
      </c>
      <c r="B319" s="63" t="s">
        <v>504</v>
      </c>
      <c r="C319" s="36">
        <v>4301012024</v>
      </c>
      <c r="D319" s="678">
        <v>4680115885615</v>
      </c>
      <c r="E319" s="678"/>
      <c r="F319" s="62">
        <v>1.35</v>
      </c>
      <c r="G319" s="37">
        <v>8</v>
      </c>
      <c r="H319" s="62">
        <v>10.8</v>
      </c>
      <c r="I319" s="62">
        <v>11.234999999999999</v>
      </c>
      <c r="J319" s="37">
        <v>64</v>
      </c>
      <c r="K319" s="37" t="s">
        <v>114</v>
      </c>
      <c r="L319" s="37" t="s">
        <v>45</v>
      </c>
      <c r="M319" s="38" t="s">
        <v>117</v>
      </c>
      <c r="N319" s="38"/>
      <c r="O319" s="37">
        <v>55</v>
      </c>
      <c r="P319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0"/>
      <c r="R319" s="680"/>
      <c r="S319" s="680"/>
      <c r="T319" s="681"/>
      <c r="U319" s="39" t="s">
        <v>45</v>
      </c>
      <c r="V319" s="39" t="s">
        <v>45</v>
      </c>
      <c r="W319" s="40" t="s">
        <v>0</v>
      </c>
      <c r="X319" s="58">
        <v>0</v>
      </c>
      <c r="Y319" s="55">
        <f t="shared" ref="Y319:Y324" si="53"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76" t="s">
        <v>505</v>
      </c>
      <c r="AG319" s="78"/>
      <c r="AJ319" s="84" t="s">
        <v>45</v>
      </c>
      <c r="AK319" s="84">
        <v>0</v>
      </c>
      <c r="BB319" s="377" t="s">
        <v>66</v>
      </c>
      <c r="BM319" s="78">
        <f t="shared" ref="BM319:BM324" si="54">IFERROR(X319*I319/H319,"0")</f>
        <v>0</v>
      </c>
      <c r="BN319" s="78">
        <f t="shared" ref="BN319:BN324" si="55">IFERROR(Y319*I319/H319,"0")</f>
        <v>0</v>
      </c>
      <c r="BO319" s="78">
        <f t="shared" ref="BO319:BO324" si="56">IFERROR(1/J319*(X319/H319),"0")</f>
        <v>0</v>
      </c>
      <c r="BP319" s="78">
        <f t="shared" ref="BP319:BP324" si="57">IFERROR(1/J319*(Y319/H319),"0")</f>
        <v>0</v>
      </c>
    </row>
    <row r="320" spans="1:68" ht="27" customHeight="1" x14ac:dyDescent="0.25">
      <c r="A320" s="63" t="s">
        <v>506</v>
      </c>
      <c r="B320" s="63" t="s">
        <v>507</v>
      </c>
      <c r="C320" s="36">
        <v>4301012016</v>
      </c>
      <c r="D320" s="678">
        <v>4680115885554</v>
      </c>
      <c r="E320" s="678"/>
      <c r="F320" s="62">
        <v>1.35</v>
      </c>
      <c r="G320" s="37">
        <v>8</v>
      </c>
      <c r="H320" s="62">
        <v>10.8</v>
      </c>
      <c r="I320" s="62">
        <v>11.234999999999999</v>
      </c>
      <c r="J320" s="37">
        <v>64</v>
      </c>
      <c r="K320" s="37" t="s">
        <v>114</v>
      </c>
      <c r="L320" s="37" t="s">
        <v>136</v>
      </c>
      <c r="M320" s="38" t="s">
        <v>117</v>
      </c>
      <c r="N320" s="38"/>
      <c r="O320" s="37">
        <v>55</v>
      </c>
      <c r="P320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0"/>
      <c r="R320" s="680"/>
      <c r="S320" s="680"/>
      <c r="T320" s="681"/>
      <c r="U320" s="39" t="s">
        <v>45</v>
      </c>
      <c r="V320" s="39" t="s">
        <v>45</v>
      </c>
      <c r="W320" s="40" t="s">
        <v>0</v>
      </c>
      <c r="X320" s="58">
        <v>0</v>
      </c>
      <c r="Y320" s="55">
        <f t="shared" si="53"/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78" t="s">
        <v>508</v>
      </c>
      <c r="AG320" s="78"/>
      <c r="AJ320" s="84" t="s">
        <v>137</v>
      </c>
      <c r="AK320" s="84">
        <v>691.2</v>
      </c>
      <c r="BB320" s="379" t="s">
        <v>66</v>
      </c>
      <c r="BM320" s="78">
        <f t="shared" si="54"/>
        <v>0</v>
      </c>
      <c r="BN320" s="78">
        <f t="shared" si="55"/>
        <v>0</v>
      </c>
      <c r="BO320" s="78">
        <f t="shared" si="56"/>
        <v>0</v>
      </c>
      <c r="BP320" s="78">
        <f t="shared" si="57"/>
        <v>0</v>
      </c>
    </row>
    <row r="321" spans="1:68" ht="27" customHeight="1" x14ac:dyDescent="0.25">
      <c r="A321" s="63" t="s">
        <v>506</v>
      </c>
      <c r="B321" s="63" t="s">
        <v>509</v>
      </c>
      <c r="C321" s="36">
        <v>4301011911</v>
      </c>
      <c r="D321" s="678">
        <v>4680115885554</v>
      </c>
      <c r="E321" s="678"/>
      <c r="F321" s="62">
        <v>1.35</v>
      </c>
      <c r="G321" s="37">
        <v>8</v>
      </c>
      <c r="H321" s="62">
        <v>10.8</v>
      </c>
      <c r="I321" s="62">
        <v>11.28</v>
      </c>
      <c r="J321" s="37">
        <v>48</v>
      </c>
      <c r="K321" s="37" t="s">
        <v>114</v>
      </c>
      <c r="L321" s="37" t="s">
        <v>45</v>
      </c>
      <c r="M321" s="38" t="s">
        <v>401</v>
      </c>
      <c r="N321" s="38"/>
      <c r="O321" s="37">
        <v>55</v>
      </c>
      <c r="P321" s="84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0"/>
      <c r="R321" s="680"/>
      <c r="S321" s="680"/>
      <c r="T321" s="681"/>
      <c r="U321" s="39" t="s">
        <v>45</v>
      </c>
      <c r="V321" s="39" t="s">
        <v>45</v>
      </c>
      <c r="W321" s="40" t="s">
        <v>0</v>
      </c>
      <c r="X321" s="58">
        <v>0</v>
      </c>
      <c r="Y321" s="55">
        <f t="shared" si="53"/>
        <v>0</v>
      </c>
      <c r="Z321" s="41" t="str">
        <f>IFERROR(IF(Y321=0,"",ROUNDUP(Y321/H321,0)*0.02039),"")</f>
        <v/>
      </c>
      <c r="AA321" s="68" t="s">
        <v>45</v>
      </c>
      <c r="AB321" s="69" t="s">
        <v>45</v>
      </c>
      <c r="AC321" s="380" t="s">
        <v>510</v>
      </c>
      <c r="AG321" s="78"/>
      <c r="AJ321" s="84" t="s">
        <v>45</v>
      </c>
      <c r="AK321" s="84">
        <v>0</v>
      </c>
      <c r="BB321" s="381" t="s">
        <v>66</v>
      </c>
      <c r="BM321" s="78">
        <f t="shared" si="54"/>
        <v>0</v>
      </c>
      <c r="BN321" s="78">
        <f t="shared" si="55"/>
        <v>0</v>
      </c>
      <c r="BO321" s="78">
        <f t="shared" si="56"/>
        <v>0</v>
      </c>
      <c r="BP321" s="78">
        <f t="shared" si="57"/>
        <v>0</v>
      </c>
    </row>
    <row r="322" spans="1:68" ht="37.5" customHeight="1" x14ac:dyDescent="0.25">
      <c r="A322" s="63" t="s">
        <v>511</v>
      </c>
      <c r="B322" s="63" t="s">
        <v>512</v>
      </c>
      <c r="C322" s="36">
        <v>4301011858</v>
      </c>
      <c r="D322" s="678">
        <v>4680115885646</v>
      </c>
      <c r="E322" s="678"/>
      <c r="F322" s="62">
        <v>1.35</v>
      </c>
      <c r="G322" s="37">
        <v>8</v>
      </c>
      <c r="H322" s="62">
        <v>10.8</v>
      </c>
      <c r="I322" s="62">
        <v>11.234999999999999</v>
      </c>
      <c r="J322" s="37">
        <v>64</v>
      </c>
      <c r="K322" s="37" t="s">
        <v>114</v>
      </c>
      <c r="L322" s="37" t="s">
        <v>45</v>
      </c>
      <c r="M322" s="38" t="s">
        <v>113</v>
      </c>
      <c r="N322" s="38"/>
      <c r="O322" s="37">
        <v>55</v>
      </c>
      <c r="P322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0"/>
      <c r="R322" s="680"/>
      <c r="S322" s="680"/>
      <c r="T322" s="681"/>
      <c r="U322" s="39" t="s">
        <v>45</v>
      </c>
      <c r="V322" s="39" t="s">
        <v>45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82" t="s">
        <v>513</v>
      </c>
      <c r="AG322" s="78"/>
      <c r="AJ322" s="84" t="s">
        <v>45</v>
      </c>
      <c r="AK322" s="84">
        <v>0</v>
      </c>
      <c r="BB322" s="383" t="s">
        <v>66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27" customHeight="1" x14ac:dyDescent="0.25">
      <c r="A323" s="63" t="s">
        <v>514</v>
      </c>
      <c r="B323" s="63" t="s">
        <v>515</v>
      </c>
      <c r="C323" s="36">
        <v>4301011857</v>
      </c>
      <c r="D323" s="678">
        <v>4680115885622</v>
      </c>
      <c r="E323" s="678"/>
      <c r="F323" s="62">
        <v>0.4</v>
      </c>
      <c r="G323" s="37">
        <v>10</v>
      </c>
      <c r="H323" s="62">
        <v>4</v>
      </c>
      <c r="I323" s="62">
        <v>4.21</v>
      </c>
      <c r="J323" s="37">
        <v>132</v>
      </c>
      <c r="K323" s="37" t="s">
        <v>118</v>
      </c>
      <c r="L323" s="37" t="s">
        <v>45</v>
      </c>
      <c r="M323" s="38" t="s">
        <v>113</v>
      </c>
      <c r="N323" s="38"/>
      <c r="O323" s="37">
        <v>55</v>
      </c>
      <c r="P323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0"/>
      <c r="R323" s="680"/>
      <c r="S323" s="680"/>
      <c r="T323" s="681"/>
      <c r="U323" s="39" t="s">
        <v>45</v>
      </c>
      <c r="V323" s="39" t="s">
        <v>45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84" t="s">
        <v>516</v>
      </c>
      <c r="AG323" s="78"/>
      <c r="AJ323" s="84" t="s">
        <v>45</v>
      </c>
      <c r="AK323" s="84">
        <v>0</v>
      </c>
      <c r="BB323" s="385" t="s">
        <v>66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517</v>
      </c>
      <c r="B324" s="63" t="s">
        <v>518</v>
      </c>
      <c r="C324" s="36">
        <v>4301011859</v>
      </c>
      <c r="D324" s="678">
        <v>4680115885608</v>
      </c>
      <c r="E324" s="678"/>
      <c r="F324" s="62">
        <v>0.4</v>
      </c>
      <c r="G324" s="37">
        <v>10</v>
      </c>
      <c r="H324" s="62">
        <v>4</v>
      </c>
      <c r="I324" s="62">
        <v>4.21</v>
      </c>
      <c r="J324" s="37">
        <v>132</v>
      </c>
      <c r="K324" s="37" t="s">
        <v>118</v>
      </c>
      <c r="L324" s="37" t="s">
        <v>45</v>
      </c>
      <c r="M324" s="38" t="s">
        <v>113</v>
      </c>
      <c r="N324" s="38"/>
      <c r="O324" s="37">
        <v>55</v>
      </c>
      <c r="P324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0"/>
      <c r="R324" s="680"/>
      <c r="S324" s="680"/>
      <c r="T324" s="681"/>
      <c r="U324" s="39" t="s">
        <v>45</v>
      </c>
      <c r="V324" s="39" t="s">
        <v>45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IFERROR(IF(Y324=0,"",ROUNDUP(Y324/H324,0)*0.00902),"")</f>
        <v/>
      </c>
      <c r="AA324" s="68" t="s">
        <v>45</v>
      </c>
      <c r="AB324" s="69" t="s">
        <v>45</v>
      </c>
      <c r="AC324" s="386" t="s">
        <v>508</v>
      </c>
      <c r="AG324" s="78"/>
      <c r="AJ324" s="84" t="s">
        <v>45</v>
      </c>
      <c r="AK324" s="84">
        <v>0</v>
      </c>
      <c r="BB324" s="387" t="s">
        <v>66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x14ac:dyDescent="0.2">
      <c r="A325" s="685"/>
      <c r="B325" s="685"/>
      <c r="C325" s="685"/>
      <c r="D325" s="685"/>
      <c r="E325" s="685"/>
      <c r="F325" s="685"/>
      <c r="G325" s="685"/>
      <c r="H325" s="685"/>
      <c r="I325" s="685"/>
      <c r="J325" s="685"/>
      <c r="K325" s="685"/>
      <c r="L325" s="685"/>
      <c r="M325" s="685"/>
      <c r="N325" s="685"/>
      <c r="O325" s="686"/>
      <c r="P325" s="682" t="s">
        <v>40</v>
      </c>
      <c r="Q325" s="683"/>
      <c r="R325" s="683"/>
      <c r="S325" s="683"/>
      <c r="T325" s="683"/>
      <c r="U325" s="683"/>
      <c r="V325" s="684"/>
      <c r="W325" s="42" t="s">
        <v>39</v>
      </c>
      <c r="X325" s="43">
        <f>IFERROR(X319/H319,"0")+IFERROR(X320/H320,"0")+IFERROR(X321/H321,"0")+IFERROR(X322/H322,"0")+IFERROR(X323/H323,"0")+IFERROR(X324/H324,"0")</f>
        <v>0</v>
      </c>
      <c r="Y325" s="43">
        <f>IFERROR(Y319/H319,"0")+IFERROR(Y320/H320,"0")+IFERROR(Y321/H321,"0")+IFERROR(Y322/H322,"0")+IFERROR(Y323/H323,"0")+IFERROR(Y324/H324,"0")</f>
        <v>0</v>
      </c>
      <c r="Z325" s="43">
        <f>IFERROR(IF(Z319="",0,Z319),"0")+IFERROR(IF(Z320="",0,Z320),"0")+IFERROR(IF(Z321="",0,Z321),"0")+IFERROR(IF(Z322="",0,Z322),"0")+IFERROR(IF(Z323="",0,Z323),"0")+IFERROR(IF(Z324="",0,Z324),"0")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85"/>
      <c r="B326" s="685"/>
      <c r="C326" s="685"/>
      <c r="D326" s="685"/>
      <c r="E326" s="685"/>
      <c r="F326" s="685"/>
      <c r="G326" s="685"/>
      <c r="H326" s="685"/>
      <c r="I326" s="685"/>
      <c r="J326" s="685"/>
      <c r="K326" s="685"/>
      <c r="L326" s="685"/>
      <c r="M326" s="685"/>
      <c r="N326" s="685"/>
      <c r="O326" s="686"/>
      <c r="P326" s="682" t="s">
        <v>40</v>
      </c>
      <c r="Q326" s="683"/>
      <c r="R326" s="683"/>
      <c r="S326" s="683"/>
      <c r="T326" s="683"/>
      <c r="U326" s="683"/>
      <c r="V326" s="684"/>
      <c r="W326" s="42" t="s">
        <v>0</v>
      </c>
      <c r="X326" s="43">
        <f>IFERROR(SUM(X319:X324),"0")</f>
        <v>0</v>
      </c>
      <c r="Y326" s="43">
        <f>IFERROR(SUM(Y319:Y324),"0")</f>
        <v>0</v>
      </c>
      <c r="Z326" s="42"/>
      <c r="AA326" s="67"/>
      <c r="AB326" s="67"/>
      <c r="AC326" s="67"/>
    </row>
    <row r="327" spans="1:68" ht="14.25" customHeight="1" x14ac:dyDescent="0.25">
      <c r="A327" s="677" t="s">
        <v>160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6"/>
      <c r="AB327" s="66"/>
      <c r="AC327" s="80"/>
    </row>
    <row r="328" spans="1:68" ht="27" customHeight="1" x14ac:dyDescent="0.25">
      <c r="A328" s="63" t="s">
        <v>519</v>
      </c>
      <c r="B328" s="63" t="s">
        <v>520</v>
      </c>
      <c r="C328" s="36">
        <v>4301030878</v>
      </c>
      <c r="D328" s="678">
        <v>4607091387193</v>
      </c>
      <c r="E328" s="678"/>
      <c r="F328" s="62">
        <v>0.7</v>
      </c>
      <c r="G328" s="37">
        <v>6</v>
      </c>
      <c r="H328" s="62">
        <v>4.2</v>
      </c>
      <c r="I328" s="62">
        <v>4.47</v>
      </c>
      <c r="J328" s="37">
        <v>132</v>
      </c>
      <c r="K328" s="37" t="s">
        <v>118</v>
      </c>
      <c r="L328" s="37" t="s">
        <v>45</v>
      </c>
      <c r="M328" s="38" t="s">
        <v>82</v>
      </c>
      <c r="N328" s="38"/>
      <c r="O328" s="37">
        <v>35</v>
      </c>
      <c r="P328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0"/>
      <c r="R328" s="680"/>
      <c r="S328" s="680"/>
      <c r="T328" s="68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388" t="s">
        <v>521</v>
      </c>
      <c r="AG328" s="78"/>
      <c r="AJ328" s="84" t="s">
        <v>45</v>
      </c>
      <c r="AK328" s="84">
        <v>0</v>
      </c>
      <c r="BB328" s="389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522</v>
      </c>
      <c r="B329" s="63" t="s">
        <v>523</v>
      </c>
      <c r="C329" s="36">
        <v>4301031153</v>
      </c>
      <c r="D329" s="678">
        <v>4607091387230</v>
      </c>
      <c r="E329" s="678"/>
      <c r="F329" s="62">
        <v>0.7</v>
      </c>
      <c r="G329" s="37">
        <v>6</v>
      </c>
      <c r="H329" s="62">
        <v>4.2</v>
      </c>
      <c r="I329" s="62">
        <v>4.47</v>
      </c>
      <c r="J329" s="37">
        <v>132</v>
      </c>
      <c r="K329" s="37" t="s">
        <v>118</v>
      </c>
      <c r="L329" s="37" t="s">
        <v>45</v>
      </c>
      <c r="M329" s="38" t="s">
        <v>82</v>
      </c>
      <c r="N329" s="38"/>
      <c r="O329" s="37">
        <v>40</v>
      </c>
      <c r="P329" s="8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0"/>
      <c r="R329" s="680"/>
      <c r="S329" s="680"/>
      <c r="T329" s="68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390" t="s">
        <v>524</v>
      </c>
      <c r="AG329" s="78"/>
      <c r="AJ329" s="84" t="s">
        <v>45</v>
      </c>
      <c r="AK329" s="84">
        <v>0</v>
      </c>
      <c r="BB329" s="391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525</v>
      </c>
      <c r="B330" s="63" t="s">
        <v>526</v>
      </c>
      <c r="C330" s="36">
        <v>4301031154</v>
      </c>
      <c r="D330" s="678">
        <v>4607091387292</v>
      </c>
      <c r="E330" s="678"/>
      <c r="F330" s="62">
        <v>0.73</v>
      </c>
      <c r="G330" s="37">
        <v>6</v>
      </c>
      <c r="H330" s="62">
        <v>4.38</v>
      </c>
      <c r="I330" s="62">
        <v>4.6500000000000004</v>
      </c>
      <c r="J330" s="37">
        <v>132</v>
      </c>
      <c r="K330" s="37" t="s">
        <v>118</v>
      </c>
      <c r="L330" s="37" t="s">
        <v>45</v>
      </c>
      <c r="M330" s="38" t="s">
        <v>82</v>
      </c>
      <c r="N330" s="38"/>
      <c r="O330" s="37">
        <v>45</v>
      </c>
      <c r="P330" s="8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0"/>
      <c r="R330" s="680"/>
      <c r="S330" s="680"/>
      <c r="T330" s="681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92" t="s">
        <v>527</v>
      </c>
      <c r="AG330" s="78"/>
      <c r="AJ330" s="84" t="s">
        <v>45</v>
      </c>
      <c r="AK330" s="84">
        <v>0</v>
      </c>
      <c r="BB330" s="393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528</v>
      </c>
      <c r="B331" s="63" t="s">
        <v>529</v>
      </c>
      <c r="C331" s="36">
        <v>4301031152</v>
      </c>
      <c r="D331" s="678">
        <v>4607091387285</v>
      </c>
      <c r="E331" s="678"/>
      <c r="F331" s="62">
        <v>0.35</v>
      </c>
      <c r="G331" s="37">
        <v>6</v>
      </c>
      <c r="H331" s="62">
        <v>2.1</v>
      </c>
      <c r="I331" s="62">
        <v>2.23</v>
      </c>
      <c r="J331" s="37">
        <v>234</v>
      </c>
      <c r="K331" s="37" t="s">
        <v>164</v>
      </c>
      <c r="L331" s="37" t="s">
        <v>45</v>
      </c>
      <c r="M331" s="38" t="s">
        <v>82</v>
      </c>
      <c r="N331" s="38"/>
      <c r="O331" s="37">
        <v>40</v>
      </c>
      <c r="P331" s="8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0"/>
      <c r="R331" s="680"/>
      <c r="S331" s="680"/>
      <c r="T331" s="681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45</v>
      </c>
      <c r="AB331" s="69" t="s">
        <v>45</v>
      </c>
      <c r="AC331" s="394" t="s">
        <v>524</v>
      </c>
      <c r="AG331" s="78"/>
      <c r="AJ331" s="84" t="s">
        <v>45</v>
      </c>
      <c r="AK331" s="84">
        <v>0</v>
      </c>
      <c r="BB331" s="395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85"/>
      <c r="B332" s="685"/>
      <c r="C332" s="685"/>
      <c r="D332" s="685"/>
      <c r="E332" s="685"/>
      <c r="F332" s="685"/>
      <c r="G332" s="685"/>
      <c r="H332" s="685"/>
      <c r="I332" s="685"/>
      <c r="J332" s="685"/>
      <c r="K332" s="685"/>
      <c r="L332" s="685"/>
      <c r="M332" s="685"/>
      <c r="N332" s="685"/>
      <c r="O332" s="686"/>
      <c r="P332" s="682" t="s">
        <v>40</v>
      </c>
      <c r="Q332" s="683"/>
      <c r="R332" s="683"/>
      <c r="S332" s="683"/>
      <c r="T332" s="683"/>
      <c r="U332" s="683"/>
      <c r="V332" s="68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85"/>
      <c r="B333" s="685"/>
      <c r="C333" s="685"/>
      <c r="D333" s="685"/>
      <c r="E333" s="685"/>
      <c r="F333" s="685"/>
      <c r="G333" s="685"/>
      <c r="H333" s="685"/>
      <c r="I333" s="685"/>
      <c r="J333" s="685"/>
      <c r="K333" s="685"/>
      <c r="L333" s="685"/>
      <c r="M333" s="685"/>
      <c r="N333" s="685"/>
      <c r="O333" s="686"/>
      <c r="P333" s="682" t="s">
        <v>40</v>
      </c>
      <c r="Q333" s="683"/>
      <c r="R333" s="683"/>
      <c r="S333" s="683"/>
      <c r="T333" s="683"/>
      <c r="U333" s="683"/>
      <c r="V333" s="68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77" t="s">
        <v>78</v>
      </c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77"/>
      <c r="P334" s="677"/>
      <c r="Q334" s="677"/>
      <c r="R334" s="677"/>
      <c r="S334" s="677"/>
      <c r="T334" s="677"/>
      <c r="U334" s="677"/>
      <c r="V334" s="677"/>
      <c r="W334" s="677"/>
      <c r="X334" s="677"/>
      <c r="Y334" s="677"/>
      <c r="Z334" s="677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4301051100</v>
      </c>
      <c r="D335" s="678">
        <v>4607091387766</v>
      </c>
      <c r="E335" s="678"/>
      <c r="F335" s="62">
        <v>1.3</v>
      </c>
      <c r="G335" s="37">
        <v>6</v>
      </c>
      <c r="H335" s="62">
        <v>7.8</v>
      </c>
      <c r="I335" s="62">
        <v>8.3130000000000006</v>
      </c>
      <c r="J335" s="37">
        <v>64</v>
      </c>
      <c r="K335" s="37" t="s">
        <v>114</v>
      </c>
      <c r="L335" s="37" t="s">
        <v>45</v>
      </c>
      <c r="M335" s="38" t="s">
        <v>117</v>
      </c>
      <c r="N335" s="38"/>
      <c r="O335" s="37">
        <v>40</v>
      </c>
      <c r="P335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0"/>
      <c r="R335" s="680"/>
      <c r="S335" s="680"/>
      <c r="T335" s="681"/>
      <c r="U335" s="39" t="s">
        <v>45</v>
      </c>
      <c r="V335" s="39" t="s">
        <v>45</v>
      </c>
      <c r="W335" s="40" t="s">
        <v>0</v>
      </c>
      <c r="X335" s="58">
        <v>1780</v>
      </c>
      <c r="Y335" s="55">
        <f>IFERROR(IF(X335="",0,CEILING((X335/$H335),1)*$H335),"")</f>
        <v>1786.2</v>
      </c>
      <c r="Z335" s="41">
        <f>IFERROR(IF(Y335=0,"",ROUNDUP(Y335/H335,0)*0.01898),"")</f>
        <v>4.3464200000000002</v>
      </c>
      <c r="AA335" s="68" t="s">
        <v>45</v>
      </c>
      <c r="AB335" s="69" t="s">
        <v>45</v>
      </c>
      <c r="AC335" s="396" t="s">
        <v>532</v>
      </c>
      <c r="AG335" s="78"/>
      <c r="AJ335" s="84" t="s">
        <v>45</v>
      </c>
      <c r="AK335" s="84">
        <v>0</v>
      </c>
      <c r="BB335" s="397" t="s">
        <v>66</v>
      </c>
      <c r="BM335" s="78">
        <f>IFERROR(X335*I335/H335,"0")</f>
        <v>1897.0692307692309</v>
      </c>
      <c r="BN335" s="78">
        <f>IFERROR(Y335*I335/H335,"0")</f>
        <v>1903.6770000000001</v>
      </c>
      <c r="BO335" s="78">
        <f>IFERROR(1/J335*(X335/H335),"0")</f>
        <v>3.5657051282051282</v>
      </c>
      <c r="BP335" s="78">
        <f>IFERROR(1/J335*(Y335/H335),"0")</f>
        <v>3.578125</v>
      </c>
    </row>
    <row r="336" spans="1:68" ht="27" customHeight="1" x14ac:dyDescent="0.25">
      <c r="A336" s="63" t="s">
        <v>533</v>
      </c>
      <c r="B336" s="63" t="s">
        <v>534</v>
      </c>
      <c r="C336" s="36">
        <v>4301051818</v>
      </c>
      <c r="D336" s="678">
        <v>4607091387957</v>
      </c>
      <c r="E336" s="678"/>
      <c r="F336" s="62">
        <v>1.3</v>
      </c>
      <c r="G336" s="37">
        <v>6</v>
      </c>
      <c r="H336" s="62">
        <v>7.8</v>
      </c>
      <c r="I336" s="62">
        <v>8.3190000000000008</v>
      </c>
      <c r="J336" s="37">
        <v>64</v>
      </c>
      <c r="K336" s="37" t="s">
        <v>114</v>
      </c>
      <c r="L336" s="37" t="s">
        <v>45</v>
      </c>
      <c r="M336" s="38" t="s">
        <v>117</v>
      </c>
      <c r="N336" s="38"/>
      <c r="O336" s="37">
        <v>40</v>
      </c>
      <c r="P336" s="8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0"/>
      <c r="R336" s="680"/>
      <c r="S336" s="680"/>
      <c r="T336" s="681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IFERROR(IF(Y336=0,"",ROUNDUP(Y336/H336,0)*0.01898),"")</f>
        <v/>
      </c>
      <c r="AA336" s="68" t="s">
        <v>45</v>
      </c>
      <c r="AB336" s="69" t="s">
        <v>45</v>
      </c>
      <c r="AC336" s="398" t="s">
        <v>535</v>
      </c>
      <c r="AG336" s="78"/>
      <c r="AJ336" s="84" t="s">
        <v>45</v>
      </c>
      <c r="AK336" s="84">
        <v>0</v>
      </c>
      <c r="BB336" s="39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4301051819</v>
      </c>
      <c r="D337" s="678">
        <v>4607091387964</v>
      </c>
      <c r="E337" s="678"/>
      <c r="F337" s="62">
        <v>1.35</v>
      </c>
      <c r="G337" s="37">
        <v>6</v>
      </c>
      <c r="H337" s="62">
        <v>8.1</v>
      </c>
      <c r="I337" s="62">
        <v>8.6010000000000009</v>
      </c>
      <c r="J337" s="37">
        <v>64</v>
      </c>
      <c r="K337" s="37" t="s">
        <v>114</v>
      </c>
      <c r="L337" s="37" t="s">
        <v>45</v>
      </c>
      <c r="M337" s="38" t="s">
        <v>117</v>
      </c>
      <c r="N337" s="38"/>
      <c r="O337" s="37">
        <v>40</v>
      </c>
      <c r="P337" s="8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0"/>
      <c r="R337" s="680"/>
      <c r="S337" s="680"/>
      <c r="T337" s="681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IFERROR(IF(Y337=0,"",ROUNDUP(Y337/H337,0)*0.01898),"")</f>
        <v/>
      </c>
      <c r="AA337" s="68" t="s">
        <v>45</v>
      </c>
      <c r="AB337" s="69" t="s">
        <v>45</v>
      </c>
      <c r="AC337" s="400" t="s">
        <v>538</v>
      </c>
      <c r="AG337" s="78"/>
      <c r="AJ337" s="84" t="s">
        <v>45</v>
      </c>
      <c r="AK337" s="84">
        <v>0</v>
      </c>
      <c r="BB337" s="40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539</v>
      </c>
      <c r="B338" s="63" t="s">
        <v>540</v>
      </c>
      <c r="C338" s="36">
        <v>4301051734</v>
      </c>
      <c r="D338" s="678">
        <v>4680115884588</v>
      </c>
      <c r="E338" s="678"/>
      <c r="F338" s="62">
        <v>0.5</v>
      </c>
      <c r="G338" s="37">
        <v>6</v>
      </c>
      <c r="H338" s="62">
        <v>3</v>
      </c>
      <c r="I338" s="62">
        <v>3.246</v>
      </c>
      <c r="J338" s="37">
        <v>182</v>
      </c>
      <c r="K338" s="37" t="s">
        <v>83</v>
      </c>
      <c r="L338" s="37" t="s">
        <v>45</v>
      </c>
      <c r="M338" s="38" t="s">
        <v>117</v>
      </c>
      <c r="N338" s="38"/>
      <c r="O338" s="37">
        <v>40</v>
      </c>
      <c r="P338" s="8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0"/>
      <c r="R338" s="680"/>
      <c r="S338" s="680"/>
      <c r="T338" s="681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2" t="s">
        <v>541</v>
      </c>
      <c r="AG338" s="78"/>
      <c r="AJ338" s="84" t="s">
        <v>45</v>
      </c>
      <c r="AK338" s="84">
        <v>0</v>
      </c>
      <c r="BB338" s="403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542</v>
      </c>
      <c r="B339" s="63" t="s">
        <v>543</v>
      </c>
      <c r="C339" s="36">
        <v>4301051578</v>
      </c>
      <c r="D339" s="678">
        <v>4607091387513</v>
      </c>
      <c r="E339" s="678"/>
      <c r="F339" s="62">
        <v>0.45</v>
      </c>
      <c r="G339" s="37">
        <v>6</v>
      </c>
      <c r="H339" s="62">
        <v>2.7</v>
      </c>
      <c r="I339" s="62">
        <v>2.9580000000000002</v>
      </c>
      <c r="J339" s="37">
        <v>182</v>
      </c>
      <c r="K339" s="37" t="s">
        <v>83</v>
      </c>
      <c r="L339" s="37" t="s">
        <v>45</v>
      </c>
      <c r="M339" s="38" t="s">
        <v>146</v>
      </c>
      <c r="N339" s="38"/>
      <c r="O339" s="37">
        <v>40</v>
      </c>
      <c r="P339" s="83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0"/>
      <c r="R339" s="680"/>
      <c r="S339" s="680"/>
      <c r="T339" s="681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45</v>
      </c>
      <c r="AB339" s="69" t="s">
        <v>45</v>
      </c>
      <c r="AC339" s="404" t="s">
        <v>544</v>
      </c>
      <c r="AG339" s="78"/>
      <c r="AJ339" s="84" t="s">
        <v>45</v>
      </c>
      <c r="AK339" s="84">
        <v>0</v>
      </c>
      <c r="BB339" s="405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x14ac:dyDescent="0.2">
      <c r="A340" s="685"/>
      <c r="B340" s="685"/>
      <c r="C340" s="685"/>
      <c r="D340" s="685"/>
      <c r="E340" s="685"/>
      <c r="F340" s="685"/>
      <c r="G340" s="685"/>
      <c r="H340" s="685"/>
      <c r="I340" s="685"/>
      <c r="J340" s="685"/>
      <c r="K340" s="685"/>
      <c r="L340" s="685"/>
      <c r="M340" s="685"/>
      <c r="N340" s="685"/>
      <c r="O340" s="686"/>
      <c r="P340" s="682" t="s">
        <v>40</v>
      </c>
      <c r="Q340" s="683"/>
      <c r="R340" s="683"/>
      <c r="S340" s="683"/>
      <c r="T340" s="683"/>
      <c r="U340" s="683"/>
      <c r="V340" s="684"/>
      <c r="W340" s="42" t="s">
        <v>39</v>
      </c>
      <c r="X340" s="43">
        <f>IFERROR(X335/H335,"0")+IFERROR(X336/H336,"0")+IFERROR(X337/H337,"0")+IFERROR(X338/H338,"0")+IFERROR(X339/H339,"0")</f>
        <v>228.2051282051282</v>
      </c>
      <c r="Y340" s="43">
        <f>IFERROR(Y335/H335,"0")+IFERROR(Y336/H336,"0")+IFERROR(Y337/H337,"0")+IFERROR(Y338/H338,"0")+IFERROR(Y339/H339,"0")</f>
        <v>229</v>
      </c>
      <c r="Z340" s="43">
        <f>IFERROR(IF(Z335="",0,Z335),"0")+IFERROR(IF(Z336="",0,Z336),"0")+IFERROR(IF(Z337="",0,Z337),"0")+IFERROR(IF(Z338="",0,Z338),"0")+IFERROR(IF(Z339="",0,Z339),"0")</f>
        <v>4.3464200000000002</v>
      </c>
      <c r="AA340" s="67"/>
      <c r="AB340" s="67"/>
      <c r="AC340" s="67"/>
    </row>
    <row r="341" spans="1:68" x14ac:dyDescent="0.2">
      <c r="A341" s="685"/>
      <c r="B341" s="685"/>
      <c r="C341" s="685"/>
      <c r="D341" s="685"/>
      <c r="E341" s="685"/>
      <c r="F341" s="685"/>
      <c r="G341" s="685"/>
      <c r="H341" s="685"/>
      <c r="I341" s="685"/>
      <c r="J341" s="685"/>
      <c r="K341" s="685"/>
      <c r="L341" s="685"/>
      <c r="M341" s="685"/>
      <c r="N341" s="685"/>
      <c r="O341" s="686"/>
      <c r="P341" s="682" t="s">
        <v>40</v>
      </c>
      <c r="Q341" s="683"/>
      <c r="R341" s="683"/>
      <c r="S341" s="683"/>
      <c r="T341" s="683"/>
      <c r="U341" s="683"/>
      <c r="V341" s="684"/>
      <c r="W341" s="42" t="s">
        <v>0</v>
      </c>
      <c r="X341" s="43">
        <f>IFERROR(SUM(X335:X339),"0")</f>
        <v>1780</v>
      </c>
      <c r="Y341" s="43">
        <f>IFERROR(SUM(Y335:Y339),"0")</f>
        <v>1786.2</v>
      </c>
      <c r="Z341" s="42"/>
      <c r="AA341" s="67"/>
      <c r="AB341" s="67"/>
      <c r="AC341" s="67"/>
    </row>
    <row r="342" spans="1:68" ht="14.25" customHeight="1" x14ac:dyDescent="0.25">
      <c r="A342" s="677" t="s">
        <v>186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"/>
      <c r="AB342" s="66"/>
      <c r="AC342" s="80"/>
    </row>
    <row r="343" spans="1:68" ht="27" customHeight="1" x14ac:dyDescent="0.25">
      <c r="A343" s="63" t="s">
        <v>545</v>
      </c>
      <c r="B343" s="63" t="s">
        <v>546</v>
      </c>
      <c r="C343" s="36">
        <v>4301060387</v>
      </c>
      <c r="D343" s="678">
        <v>4607091380880</v>
      </c>
      <c r="E343" s="678"/>
      <c r="F343" s="62">
        <v>1.4</v>
      </c>
      <c r="G343" s="37">
        <v>6</v>
      </c>
      <c r="H343" s="62">
        <v>8.4</v>
      </c>
      <c r="I343" s="62">
        <v>8.9190000000000005</v>
      </c>
      <c r="J343" s="37">
        <v>64</v>
      </c>
      <c r="K343" s="37" t="s">
        <v>114</v>
      </c>
      <c r="L343" s="37" t="s">
        <v>45</v>
      </c>
      <c r="M343" s="38" t="s">
        <v>117</v>
      </c>
      <c r="N343" s="38"/>
      <c r="O343" s="37">
        <v>30</v>
      </c>
      <c r="P343" s="8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0"/>
      <c r="R343" s="680"/>
      <c r="S343" s="680"/>
      <c r="T343" s="681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45</v>
      </c>
      <c r="AB343" s="69" t="s">
        <v>45</v>
      </c>
      <c r="AC343" s="406" t="s">
        <v>547</v>
      </c>
      <c r="AG343" s="78"/>
      <c r="AJ343" s="84" t="s">
        <v>45</v>
      </c>
      <c r="AK343" s="84">
        <v>0</v>
      </c>
      <c r="BB343" s="407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548</v>
      </c>
      <c r="B344" s="63" t="s">
        <v>549</v>
      </c>
      <c r="C344" s="36">
        <v>4301060406</v>
      </c>
      <c r="D344" s="678">
        <v>4607091384482</v>
      </c>
      <c r="E344" s="678"/>
      <c r="F344" s="62">
        <v>1.3</v>
      </c>
      <c r="G344" s="37">
        <v>6</v>
      </c>
      <c r="H344" s="62">
        <v>7.8</v>
      </c>
      <c r="I344" s="62">
        <v>8.3190000000000008</v>
      </c>
      <c r="J344" s="37">
        <v>64</v>
      </c>
      <c r="K344" s="37" t="s">
        <v>114</v>
      </c>
      <c r="L344" s="37" t="s">
        <v>45</v>
      </c>
      <c r="M344" s="38" t="s">
        <v>117</v>
      </c>
      <c r="N344" s="38"/>
      <c r="O344" s="37">
        <v>30</v>
      </c>
      <c r="P344" s="8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0"/>
      <c r="R344" s="680"/>
      <c r="S344" s="680"/>
      <c r="T344" s="681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45</v>
      </c>
      <c r="AB344" s="69" t="s">
        <v>45</v>
      </c>
      <c r="AC344" s="408" t="s">
        <v>550</v>
      </c>
      <c r="AG344" s="78"/>
      <c r="AJ344" s="84" t="s">
        <v>45</v>
      </c>
      <c r="AK344" s="84">
        <v>0</v>
      </c>
      <c r="BB344" s="409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16.5" customHeight="1" x14ac:dyDescent="0.25">
      <c r="A345" s="63" t="s">
        <v>551</v>
      </c>
      <c r="B345" s="63" t="s">
        <v>552</v>
      </c>
      <c r="C345" s="36">
        <v>4301060484</v>
      </c>
      <c r="D345" s="678">
        <v>4607091380897</v>
      </c>
      <c r="E345" s="678"/>
      <c r="F345" s="62">
        <v>1.4</v>
      </c>
      <c r="G345" s="37">
        <v>6</v>
      </c>
      <c r="H345" s="62">
        <v>8.4</v>
      </c>
      <c r="I345" s="62">
        <v>8.9190000000000005</v>
      </c>
      <c r="J345" s="37">
        <v>64</v>
      </c>
      <c r="K345" s="37" t="s">
        <v>114</v>
      </c>
      <c r="L345" s="37" t="s">
        <v>45</v>
      </c>
      <c r="M345" s="38" t="s">
        <v>146</v>
      </c>
      <c r="N345" s="38"/>
      <c r="O345" s="37">
        <v>30</v>
      </c>
      <c r="P345" s="8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0"/>
      <c r="R345" s="680"/>
      <c r="S345" s="680"/>
      <c r="T345" s="681"/>
      <c r="U345" s="39" t="s">
        <v>45</v>
      </c>
      <c r="V345" s="39" t="s">
        <v>45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45</v>
      </c>
      <c r="AB345" s="69" t="s">
        <v>45</v>
      </c>
      <c r="AC345" s="410" t="s">
        <v>553</v>
      </c>
      <c r="AG345" s="78"/>
      <c r="AJ345" s="84" t="s">
        <v>45</v>
      </c>
      <c r="AK345" s="84">
        <v>0</v>
      </c>
      <c r="BB345" s="411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85"/>
      <c r="B346" s="685"/>
      <c r="C346" s="685"/>
      <c r="D346" s="685"/>
      <c r="E346" s="685"/>
      <c r="F346" s="685"/>
      <c r="G346" s="685"/>
      <c r="H346" s="685"/>
      <c r="I346" s="685"/>
      <c r="J346" s="685"/>
      <c r="K346" s="685"/>
      <c r="L346" s="685"/>
      <c r="M346" s="685"/>
      <c r="N346" s="685"/>
      <c r="O346" s="686"/>
      <c r="P346" s="682" t="s">
        <v>40</v>
      </c>
      <c r="Q346" s="683"/>
      <c r="R346" s="683"/>
      <c r="S346" s="683"/>
      <c r="T346" s="683"/>
      <c r="U346" s="683"/>
      <c r="V346" s="684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85"/>
      <c r="B347" s="685"/>
      <c r="C347" s="685"/>
      <c r="D347" s="685"/>
      <c r="E347" s="685"/>
      <c r="F347" s="685"/>
      <c r="G347" s="685"/>
      <c r="H347" s="685"/>
      <c r="I347" s="685"/>
      <c r="J347" s="685"/>
      <c r="K347" s="685"/>
      <c r="L347" s="685"/>
      <c r="M347" s="685"/>
      <c r="N347" s="685"/>
      <c r="O347" s="686"/>
      <c r="P347" s="682" t="s">
        <v>40</v>
      </c>
      <c r="Q347" s="683"/>
      <c r="R347" s="683"/>
      <c r="S347" s="683"/>
      <c r="T347" s="683"/>
      <c r="U347" s="683"/>
      <c r="V347" s="684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4.25" customHeight="1" x14ac:dyDescent="0.25">
      <c r="A348" s="677" t="s">
        <v>101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6"/>
      <c r="AB348" s="66"/>
      <c r="AC348" s="80"/>
    </row>
    <row r="349" spans="1:68" ht="27" customHeight="1" x14ac:dyDescent="0.25">
      <c r="A349" s="63" t="s">
        <v>554</v>
      </c>
      <c r="B349" s="63" t="s">
        <v>555</v>
      </c>
      <c r="C349" s="36">
        <v>4301032055</v>
      </c>
      <c r="D349" s="678">
        <v>4680115886476</v>
      </c>
      <c r="E349" s="678"/>
      <c r="F349" s="62">
        <v>0.38</v>
      </c>
      <c r="G349" s="37">
        <v>8</v>
      </c>
      <c r="H349" s="62">
        <v>3.04</v>
      </c>
      <c r="I349" s="62">
        <v>3.32</v>
      </c>
      <c r="J349" s="37">
        <v>156</v>
      </c>
      <c r="K349" s="37" t="s">
        <v>118</v>
      </c>
      <c r="L349" s="37" t="s">
        <v>45</v>
      </c>
      <c r="M349" s="38" t="s">
        <v>106</v>
      </c>
      <c r="N349" s="38"/>
      <c r="O349" s="37">
        <v>180</v>
      </c>
      <c r="P349" s="822" t="s">
        <v>556</v>
      </c>
      <c r="Q349" s="680"/>
      <c r="R349" s="680"/>
      <c r="S349" s="680"/>
      <c r="T349" s="681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IFERROR(IF(Y349=0,"",ROUNDUP(Y349/H349,0)*0.00753),"")</f>
        <v/>
      </c>
      <c r="AA349" s="68" t="s">
        <v>45</v>
      </c>
      <c r="AB349" s="69" t="s">
        <v>45</v>
      </c>
      <c r="AC349" s="412" t="s">
        <v>557</v>
      </c>
      <c r="AG349" s="78"/>
      <c r="AJ349" s="84" t="s">
        <v>45</v>
      </c>
      <c r="AK349" s="84">
        <v>0</v>
      </c>
      <c r="BB349" s="41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558</v>
      </c>
      <c r="B350" s="63" t="s">
        <v>559</v>
      </c>
      <c r="C350" s="36">
        <v>4301030232</v>
      </c>
      <c r="D350" s="678">
        <v>4607091388374</v>
      </c>
      <c r="E350" s="678"/>
      <c r="F350" s="62">
        <v>0.38</v>
      </c>
      <c r="G350" s="37">
        <v>8</v>
      </c>
      <c r="H350" s="62">
        <v>3.04</v>
      </c>
      <c r="I350" s="62">
        <v>3.29</v>
      </c>
      <c r="J350" s="37">
        <v>132</v>
      </c>
      <c r="K350" s="37" t="s">
        <v>118</v>
      </c>
      <c r="L350" s="37" t="s">
        <v>45</v>
      </c>
      <c r="M350" s="38" t="s">
        <v>106</v>
      </c>
      <c r="N350" s="38"/>
      <c r="O350" s="37">
        <v>180</v>
      </c>
      <c r="P350" s="823" t="s">
        <v>560</v>
      </c>
      <c r="Q350" s="680"/>
      <c r="R350" s="680"/>
      <c r="S350" s="680"/>
      <c r="T350" s="681"/>
      <c r="U350" s="39" t="s">
        <v>45</v>
      </c>
      <c r="V350" s="39" t="s">
        <v>45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14" t="s">
        <v>561</v>
      </c>
      <c r="AG350" s="78"/>
      <c r="AJ350" s="84" t="s">
        <v>45</v>
      </c>
      <c r="AK350" s="84">
        <v>0</v>
      </c>
      <c r="BB350" s="41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562</v>
      </c>
      <c r="B351" s="63" t="s">
        <v>563</v>
      </c>
      <c r="C351" s="36">
        <v>4301032015</v>
      </c>
      <c r="D351" s="678">
        <v>4607091383102</v>
      </c>
      <c r="E351" s="678"/>
      <c r="F351" s="62">
        <v>0.17</v>
      </c>
      <c r="G351" s="37">
        <v>15</v>
      </c>
      <c r="H351" s="62">
        <v>2.5499999999999998</v>
      </c>
      <c r="I351" s="62">
        <v>2.9550000000000001</v>
      </c>
      <c r="J351" s="37">
        <v>182</v>
      </c>
      <c r="K351" s="37" t="s">
        <v>83</v>
      </c>
      <c r="L351" s="37" t="s">
        <v>45</v>
      </c>
      <c r="M351" s="38" t="s">
        <v>106</v>
      </c>
      <c r="N351" s="38"/>
      <c r="O351" s="37">
        <v>180</v>
      </c>
      <c r="P351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0"/>
      <c r="R351" s="680"/>
      <c r="S351" s="680"/>
      <c r="T351" s="681"/>
      <c r="U351" s="39" t="s">
        <v>45</v>
      </c>
      <c r="V351" s="39" t="s">
        <v>45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IFERROR(IF(Y351=0,"",ROUNDUP(Y351/H351,0)*0.00651),"")</f>
        <v/>
      </c>
      <c r="AA351" s="68" t="s">
        <v>45</v>
      </c>
      <c r="AB351" s="69" t="s">
        <v>45</v>
      </c>
      <c r="AC351" s="416" t="s">
        <v>564</v>
      </c>
      <c r="AG351" s="78"/>
      <c r="AJ351" s="84" t="s">
        <v>45</v>
      </c>
      <c r="AK351" s="84">
        <v>0</v>
      </c>
      <c r="BB351" s="41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565</v>
      </c>
      <c r="B352" s="63" t="s">
        <v>566</v>
      </c>
      <c r="C352" s="36">
        <v>4301030233</v>
      </c>
      <c r="D352" s="678">
        <v>4607091388404</v>
      </c>
      <c r="E352" s="678"/>
      <c r="F352" s="62">
        <v>0.17</v>
      </c>
      <c r="G352" s="37">
        <v>15</v>
      </c>
      <c r="H352" s="62">
        <v>2.5499999999999998</v>
      </c>
      <c r="I352" s="62">
        <v>2.88</v>
      </c>
      <c r="J352" s="37">
        <v>182</v>
      </c>
      <c r="K352" s="37" t="s">
        <v>83</v>
      </c>
      <c r="L352" s="37" t="s">
        <v>45</v>
      </c>
      <c r="M352" s="38" t="s">
        <v>106</v>
      </c>
      <c r="N352" s="38"/>
      <c r="O352" s="37">
        <v>180</v>
      </c>
      <c r="P352" s="8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0"/>
      <c r="R352" s="680"/>
      <c r="S352" s="680"/>
      <c r="T352" s="681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45</v>
      </c>
      <c r="AB352" s="69" t="s">
        <v>45</v>
      </c>
      <c r="AC352" s="418" t="s">
        <v>561</v>
      </c>
      <c r="AG352" s="78"/>
      <c r="AJ352" s="84" t="s">
        <v>45</v>
      </c>
      <c r="AK352" s="84">
        <v>0</v>
      </c>
      <c r="BB352" s="41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685"/>
      <c r="B353" s="685"/>
      <c r="C353" s="685"/>
      <c r="D353" s="685"/>
      <c r="E353" s="685"/>
      <c r="F353" s="685"/>
      <c r="G353" s="685"/>
      <c r="H353" s="685"/>
      <c r="I353" s="685"/>
      <c r="J353" s="685"/>
      <c r="K353" s="685"/>
      <c r="L353" s="685"/>
      <c r="M353" s="685"/>
      <c r="N353" s="685"/>
      <c r="O353" s="686"/>
      <c r="P353" s="682" t="s">
        <v>40</v>
      </c>
      <c r="Q353" s="683"/>
      <c r="R353" s="683"/>
      <c r="S353" s="683"/>
      <c r="T353" s="683"/>
      <c r="U353" s="683"/>
      <c r="V353" s="684"/>
      <c r="W353" s="42" t="s">
        <v>39</v>
      </c>
      <c r="X353" s="43">
        <f>IFERROR(X349/H349,"0")+IFERROR(X350/H350,"0")+IFERROR(X351/H351,"0")+IFERROR(X352/H352,"0")</f>
        <v>0</v>
      </c>
      <c r="Y353" s="43">
        <f>IFERROR(Y349/H349,"0")+IFERROR(Y350/H350,"0")+IFERROR(Y351/H351,"0")+IFERROR(Y352/H352,"0")</f>
        <v>0</v>
      </c>
      <c r="Z353" s="43">
        <f>IFERROR(IF(Z349="",0,Z349),"0")+IFERROR(IF(Z350="",0,Z350),"0")+IFERROR(IF(Z351="",0,Z351),"0")+IFERROR(IF(Z352="",0,Z352),"0")</f>
        <v>0</v>
      </c>
      <c r="AA353" s="67"/>
      <c r="AB353" s="67"/>
      <c r="AC353" s="67"/>
    </row>
    <row r="354" spans="1:68" x14ac:dyDescent="0.2">
      <c r="A354" s="685"/>
      <c r="B354" s="685"/>
      <c r="C354" s="685"/>
      <c r="D354" s="685"/>
      <c r="E354" s="685"/>
      <c r="F354" s="685"/>
      <c r="G354" s="685"/>
      <c r="H354" s="685"/>
      <c r="I354" s="685"/>
      <c r="J354" s="685"/>
      <c r="K354" s="685"/>
      <c r="L354" s="685"/>
      <c r="M354" s="685"/>
      <c r="N354" s="685"/>
      <c r="O354" s="686"/>
      <c r="P354" s="682" t="s">
        <v>40</v>
      </c>
      <c r="Q354" s="683"/>
      <c r="R354" s="683"/>
      <c r="S354" s="683"/>
      <c r="T354" s="683"/>
      <c r="U354" s="683"/>
      <c r="V354" s="684"/>
      <c r="W354" s="42" t="s">
        <v>0</v>
      </c>
      <c r="X354" s="43">
        <f>IFERROR(SUM(X349:X352),"0")</f>
        <v>0</v>
      </c>
      <c r="Y354" s="43">
        <f>IFERROR(SUM(Y349:Y352),"0")</f>
        <v>0</v>
      </c>
      <c r="Z354" s="42"/>
      <c r="AA354" s="67"/>
      <c r="AB354" s="67"/>
      <c r="AC354" s="67"/>
    </row>
    <row r="355" spans="1:68" ht="14.25" customHeight="1" x14ac:dyDescent="0.25">
      <c r="A355" s="677" t="s">
        <v>567</v>
      </c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77"/>
      <c r="P355" s="677"/>
      <c r="Q355" s="677"/>
      <c r="R355" s="677"/>
      <c r="S355" s="677"/>
      <c r="T355" s="677"/>
      <c r="U355" s="677"/>
      <c r="V355" s="677"/>
      <c r="W355" s="677"/>
      <c r="X355" s="677"/>
      <c r="Y355" s="677"/>
      <c r="Z355" s="677"/>
      <c r="AA355" s="66"/>
      <c r="AB355" s="66"/>
      <c r="AC355" s="80"/>
    </row>
    <row r="356" spans="1:68" ht="16.5" customHeight="1" x14ac:dyDescent="0.25">
      <c r="A356" s="63" t="s">
        <v>568</v>
      </c>
      <c r="B356" s="63" t="s">
        <v>569</v>
      </c>
      <c r="C356" s="36">
        <v>4301180007</v>
      </c>
      <c r="D356" s="678">
        <v>4680115881808</v>
      </c>
      <c r="E356" s="678"/>
      <c r="F356" s="62">
        <v>0.1</v>
      </c>
      <c r="G356" s="37">
        <v>20</v>
      </c>
      <c r="H356" s="62">
        <v>2</v>
      </c>
      <c r="I356" s="62">
        <v>2.2400000000000002</v>
      </c>
      <c r="J356" s="37">
        <v>238</v>
      </c>
      <c r="K356" s="37" t="s">
        <v>83</v>
      </c>
      <c r="L356" s="37" t="s">
        <v>45</v>
      </c>
      <c r="M356" s="38" t="s">
        <v>571</v>
      </c>
      <c r="N356" s="38"/>
      <c r="O356" s="37">
        <v>730</v>
      </c>
      <c r="P356" s="8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0"/>
      <c r="R356" s="680"/>
      <c r="S356" s="680"/>
      <c r="T356" s="681"/>
      <c r="U356" s="39" t="s">
        <v>45</v>
      </c>
      <c r="V356" s="39" t="s">
        <v>45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IFERROR(IF(Y356=0,"",ROUNDUP(Y356/H356,0)*0.00474),"")</f>
        <v/>
      </c>
      <c r="AA356" s="68" t="s">
        <v>45</v>
      </c>
      <c r="AB356" s="69" t="s">
        <v>45</v>
      </c>
      <c r="AC356" s="420" t="s">
        <v>570</v>
      </c>
      <c r="AG356" s="78"/>
      <c r="AJ356" s="84" t="s">
        <v>45</v>
      </c>
      <c r="AK356" s="84">
        <v>0</v>
      </c>
      <c r="BB356" s="421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572</v>
      </c>
      <c r="B357" s="63" t="s">
        <v>573</v>
      </c>
      <c r="C357" s="36">
        <v>4301180006</v>
      </c>
      <c r="D357" s="678">
        <v>4680115881822</v>
      </c>
      <c r="E357" s="678"/>
      <c r="F357" s="62">
        <v>0.1</v>
      </c>
      <c r="G357" s="37">
        <v>20</v>
      </c>
      <c r="H357" s="62">
        <v>2</v>
      </c>
      <c r="I357" s="62">
        <v>2.2400000000000002</v>
      </c>
      <c r="J357" s="37">
        <v>238</v>
      </c>
      <c r="K357" s="37" t="s">
        <v>83</v>
      </c>
      <c r="L357" s="37" t="s">
        <v>45</v>
      </c>
      <c r="M357" s="38" t="s">
        <v>571</v>
      </c>
      <c r="N357" s="38"/>
      <c r="O357" s="37">
        <v>730</v>
      </c>
      <c r="P357" s="81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0"/>
      <c r="R357" s="680"/>
      <c r="S357" s="680"/>
      <c r="T357" s="681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IFERROR(IF(Y357=0,"",ROUNDUP(Y357/H357,0)*0.00474),"")</f>
        <v/>
      </c>
      <c r="AA357" s="68" t="s">
        <v>45</v>
      </c>
      <c r="AB357" s="69" t="s">
        <v>45</v>
      </c>
      <c r="AC357" s="422" t="s">
        <v>570</v>
      </c>
      <c r="AG357" s="78"/>
      <c r="AJ357" s="84" t="s">
        <v>45</v>
      </c>
      <c r="AK357" s="84">
        <v>0</v>
      </c>
      <c r="BB357" s="42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574</v>
      </c>
      <c r="B358" s="63" t="s">
        <v>575</v>
      </c>
      <c r="C358" s="36">
        <v>4301180001</v>
      </c>
      <c r="D358" s="678">
        <v>4680115880016</v>
      </c>
      <c r="E358" s="678"/>
      <c r="F358" s="62">
        <v>0.1</v>
      </c>
      <c r="G358" s="37">
        <v>20</v>
      </c>
      <c r="H358" s="62">
        <v>2</v>
      </c>
      <c r="I358" s="62">
        <v>2.2400000000000002</v>
      </c>
      <c r="J358" s="37">
        <v>238</v>
      </c>
      <c r="K358" s="37" t="s">
        <v>83</v>
      </c>
      <c r="L358" s="37" t="s">
        <v>45</v>
      </c>
      <c r="M358" s="38" t="s">
        <v>571</v>
      </c>
      <c r="N358" s="38"/>
      <c r="O358" s="37">
        <v>730</v>
      </c>
      <c r="P358" s="8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0"/>
      <c r="R358" s="680"/>
      <c r="S358" s="680"/>
      <c r="T358" s="681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IFERROR(IF(Y358=0,"",ROUNDUP(Y358/H358,0)*0.00474),"")</f>
        <v/>
      </c>
      <c r="AA358" s="68" t="s">
        <v>45</v>
      </c>
      <c r="AB358" s="69" t="s">
        <v>45</v>
      </c>
      <c r="AC358" s="424" t="s">
        <v>570</v>
      </c>
      <c r="AG358" s="78"/>
      <c r="AJ358" s="84" t="s">
        <v>45</v>
      </c>
      <c r="AK358" s="84">
        <v>0</v>
      </c>
      <c r="BB358" s="42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85"/>
      <c r="B359" s="685"/>
      <c r="C359" s="685"/>
      <c r="D359" s="685"/>
      <c r="E359" s="685"/>
      <c r="F359" s="685"/>
      <c r="G359" s="685"/>
      <c r="H359" s="685"/>
      <c r="I359" s="685"/>
      <c r="J359" s="685"/>
      <c r="K359" s="685"/>
      <c r="L359" s="685"/>
      <c r="M359" s="685"/>
      <c r="N359" s="685"/>
      <c r="O359" s="686"/>
      <c r="P359" s="682" t="s">
        <v>40</v>
      </c>
      <c r="Q359" s="683"/>
      <c r="R359" s="683"/>
      <c r="S359" s="683"/>
      <c r="T359" s="683"/>
      <c r="U359" s="683"/>
      <c r="V359" s="68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85"/>
      <c r="B360" s="685"/>
      <c r="C360" s="685"/>
      <c r="D360" s="685"/>
      <c r="E360" s="685"/>
      <c r="F360" s="685"/>
      <c r="G360" s="685"/>
      <c r="H360" s="685"/>
      <c r="I360" s="685"/>
      <c r="J360" s="685"/>
      <c r="K360" s="685"/>
      <c r="L360" s="685"/>
      <c r="M360" s="685"/>
      <c r="N360" s="685"/>
      <c r="O360" s="686"/>
      <c r="P360" s="682" t="s">
        <v>40</v>
      </c>
      <c r="Q360" s="683"/>
      <c r="R360" s="683"/>
      <c r="S360" s="683"/>
      <c r="T360" s="683"/>
      <c r="U360" s="683"/>
      <c r="V360" s="68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99" t="s">
        <v>576</v>
      </c>
      <c r="B361" s="699"/>
      <c r="C361" s="699"/>
      <c r="D361" s="699"/>
      <c r="E361" s="699"/>
      <c r="F361" s="699"/>
      <c r="G361" s="699"/>
      <c r="H361" s="699"/>
      <c r="I361" s="699"/>
      <c r="J361" s="699"/>
      <c r="K361" s="699"/>
      <c r="L361" s="699"/>
      <c r="M361" s="699"/>
      <c r="N361" s="699"/>
      <c r="O361" s="699"/>
      <c r="P361" s="699"/>
      <c r="Q361" s="699"/>
      <c r="R361" s="699"/>
      <c r="S361" s="699"/>
      <c r="T361" s="699"/>
      <c r="U361" s="699"/>
      <c r="V361" s="699"/>
      <c r="W361" s="699"/>
      <c r="X361" s="699"/>
      <c r="Y361" s="699"/>
      <c r="Z361" s="699"/>
      <c r="AA361" s="65"/>
      <c r="AB361" s="65"/>
      <c r="AC361" s="79"/>
    </row>
    <row r="362" spans="1:68" ht="14.25" customHeight="1" x14ac:dyDescent="0.25">
      <c r="A362" s="677" t="s">
        <v>160</v>
      </c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77"/>
      <c r="P362" s="677"/>
      <c r="Q362" s="677"/>
      <c r="R362" s="677"/>
      <c r="S362" s="677"/>
      <c r="T362" s="677"/>
      <c r="U362" s="677"/>
      <c r="V362" s="677"/>
      <c r="W362" s="677"/>
      <c r="X362" s="677"/>
      <c r="Y362" s="677"/>
      <c r="Z362" s="677"/>
      <c r="AA362" s="66"/>
      <c r="AB362" s="66"/>
      <c r="AC362" s="80"/>
    </row>
    <row r="363" spans="1:68" ht="27" customHeight="1" x14ac:dyDescent="0.25">
      <c r="A363" s="63" t="s">
        <v>577</v>
      </c>
      <c r="B363" s="63" t="s">
        <v>578</v>
      </c>
      <c r="C363" s="36">
        <v>4301031066</v>
      </c>
      <c r="D363" s="678">
        <v>4607091383836</v>
      </c>
      <c r="E363" s="678"/>
      <c r="F363" s="62">
        <v>0.3</v>
      </c>
      <c r="G363" s="37">
        <v>6</v>
      </c>
      <c r="H363" s="62">
        <v>1.8</v>
      </c>
      <c r="I363" s="62">
        <v>2.028</v>
      </c>
      <c r="J363" s="37">
        <v>182</v>
      </c>
      <c r="K363" s="37" t="s">
        <v>83</v>
      </c>
      <c r="L363" s="37" t="s">
        <v>45</v>
      </c>
      <c r="M363" s="38" t="s">
        <v>82</v>
      </c>
      <c r="N363" s="38"/>
      <c r="O363" s="37">
        <v>40</v>
      </c>
      <c r="P363" s="81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0"/>
      <c r="R363" s="680"/>
      <c r="S363" s="680"/>
      <c r="T363" s="681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IFERROR(IF(Y363=0,"",ROUNDUP(Y363/H363,0)*0.00651),"")</f>
        <v/>
      </c>
      <c r="AA363" s="68" t="s">
        <v>45</v>
      </c>
      <c r="AB363" s="69" t="s">
        <v>45</v>
      </c>
      <c r="AC363" s="426" t="s">
        <v>579</v>
      </c>
      <c r="AG363" s="78"/>
      <c r="AJ363" s="84" t="s">
        <v>45</v>
      </c>
      <c r="AK363" s="84">
        <v>0</v>
      </c>
      <c r="BB363" s="42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85"/>
      <c r="B364" s="685"/>
      <c r="C364" s="685"/>
      <c r="D364" s="685"/>
      <c r="E364" s="685"/>
      <c r="F364" s="685"/>
      <c r="G364" s="685"/>
      <c r="H364" s="685"/>
      <c r="I364" s="685"/>
      <c r="J364" s="685"/>
      <c r="K364" s="685"/>
      <c r="L364" s="685"/>
      <c r="M364" s="685"/>
      <c r="N364" s="685"/>
      <c r="O364" s="686"/>
      <c r="P364" s="682" t="s">
        <v>40</v>
      </c>
      <c r="Q364" s="683"/>
      <c r="R364" s="683"/>
      <c r="S364" s="683"/>
      <c r="T364" s="683"/>
      <c r="U364" s="683"/>
      <c r="V364" s="684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85"/>
      <c r="B365" s="685"/>
      <c r="C365" s="685"/>
      <c r="D365" s="685"/>
      <c r="E365" s="685"/>
      <c r="F365" s="685"/>
      <c r="G365" s="685"/>
      <c r="H365" s="685"/>
      <c r="I365" s="685"/>
      <c r="J365" s="685"/>
      <c r="K365" s="685"/>
      <c r="L365" s="685"/>
      <c r="M365" s="685"/>
      <c r="N365" s="685"/>
      <c r="O365" s="686"/>
      <c r="P365" s="682" t="s">
        <v>40</v>
      </c>
      <c r="Q365" s="683"/>
      <c r="R365" s="683"/>
      <c r="S365" s="683"/>
      <c r="T365" s="683"/>
      <c r="U365" s="683"/>
      <c r="V365" s="684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4.25" customHeight="1" x14ac:dyDescent="0.25">
      <c r="A366" s="677" t="s">
        <v>78</v>
      </c>
      <c r="B366" s="677"/>
      <c r="C366" s="677"/>
      <c r="D366" s="677"/>
      <c r="E366" s="677"/>
      <c r="F366" s="677"/>
      <c r="G366" s="677"/>
      <c r="H366" s="677"/>
      <c r="I366" s="677"/>
      <c r="J366" s="677"/>
      <c r="K366" s="677"/>
      <c r="L366" s="677"/>
      <c r="M366" s="677"/>
      <c r="N366" s="677"/>
      <c r="O366" s="677"/>
      <c r="P366" s="677"/>
      <c r="Q366" s="677"/>
      <c r="R366" s="677"/>
      <c r="S366" s="677"/>
      <c r="T366" s="677"/>
      <c r="U366" s="677"/>
      <c r="V366" s="677"/>
      <c r="W366" s="677"/>
      <c r="X366" s="677"/>
      <c r="Y366" s="677"/>
      <c r="Z366" s="677"/>
      <c r="AA366" s="66"/>
      <c r="AB366" s="66"/>
      <c r="AC366" s="80"/>
    </row>
    <row r="367" spans="1:68" ht="27" customHeight="1" x14ac:dyDescent="0.25">
      <c r="A367" s="63" t="s">
        <v>580</v>
      </c>
      <c r="B367" s="63" t="s">
        <v>581</v>
      </c>
      <c r="C367" s="36">
        <v>4301051489</v>
      </c>
      <c r="D367" s="678">
        <v>4607091387919</v>
      </c>
      <c r="E367" s="678"/>
      <c r="F367" s="62">
        <v>1.35</v>
      </c>
      <c r="G367" s="37">
        <v>6</v>
      </c>
      <c r="H367" s="62">
        <v>8.1</v>
      </c>
      <c r="I367" s="62">
        <v>8.6189999999999998</v>
      </c>
      <c r="J367" s="37">
        <v>64</v>
      </c>
      <c r="K367" s="37" t="s">
        <v>114</v>
      </c>
      <c r="L367" s="37" t="s">
        <v>45</v>
      </c>
      <c r="M367" s="38" t="s">
        <v>146</v>
      </c>
      <c r="N367" s="38"/>
      <c r="O367" s="37">
        <v>45</v>
      </c>
      <c r="P367" s="8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0"/>
      <c r="R367" s="680"/>
      <c r="S367" s="680"/>
      <c r="T367" s="681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28" t="s">
        <v>582</v>
      </c>
      <c r="AG367" s="78"/>
      <c r="AJ367" s="84" t="s">
        <v>45</v>
      </c>
      <c r="AK367" s="84">
        <v>0</v>
      </c>
      <c r="BB367" s="42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583</v>
      </c>
      <c r="B368" s="63" t="s">
        <v>584</v>
      </c>
      <c r="C368" s="36">
        <v>4301051461</v>
      </c>
      <c r="D368" s="678">
        <v>4680115883604</v>
      </c>
      <c r="E368" s="678"/>
      <c r="F368" s="62">
        <v>0.35</v>
      </c>
      <c r="G368" s="37">
        <v>6</v>
      </c>
      <c r="H368" s="62">
        <v>2.1</v>
      </c>
      <c r="I368" s="62">
        <v>2.3519999999999999</v>
      </c>
      <c r="J368" s="37">
        <v>182</v>
      </c>
      <c r="K368" s="37" t="s">
        <v>83</v>
      </c>
      <c r="L368" s="37" t="s">
        <v>45</v>
      </c>
      <c r="M368" s="38" t="s">
        <v>117</v>
      </c>
      <c r="N368" s="38"/>
      <c r="O368" s="37">
        <v>45</v>
      </c>
      <c r="P368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0"/>
      <c r="R368" s="680"/>
      <c r="S368" s="680"/>
      <c r="T368" s="681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45</v>
      </c>
      <c r="AB368" s="69" t="s">
        <v>45</v>
      </c>
      <c r="AC368" s="430" t="s">
        <v>585</v>
      </c>
      <c r="AG368" s="78"/>
      <c r="AJ368" s="84" t="s">
        <v>45</v>
      </c>
      <c r="AK368" s="84">
        <v>0</v>
      </c>
      <c r="BB368" s="43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586</v>
      </c>
      <c r="B369" s="63" t="s">
        <v>587</v>
      </c>
      <c r="C369" s="36">
        <v>4301051864</v>
      </c>
      <c r="D369" s="678">
        <v>4680115883567</v>
      </c>
      <c r="E369" s="678"/>
      <c r="F369" s="62">
        <v>0.35</v>
      </c>
      <c r="G369" s="37">
        <v>6</v>
      </c>
      <c r="H369" s="62">
        <v>2.1</v>
      </c>
      <c r="I369" s="62">
        <v>2.34</v>
      </c>
      <c r="J369" s="37">
        <v>182</v>
      </c>
      <c r="K369" s="37" t="s">
        <v>83</v>
      </c>
      <c r="L369" s="37" t="s">
        <v>45</v>
      </c>
      <c r="M369" s="38" t="s">
        <v>146</v>
      </c>
      <c r="N369" s="38"/>
      <c r="O369" s="37">
        <v>40</v>
      </c>
      <c r="P369" s="8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0"/>
      <c r="R369" s="680"/>
      <c r="S369" s="680"/>
      <c r="T369" s="681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IFERROR(IF(Y369=0,"",ROUNDUP(Y369/H369,0)*0.00651),"")</f>
        <v/>
      </c>
      <c r="AA369" s="68" t="s">
        <v>45</v>
      </c>
      <c r="AB369" s="69" t="s">
        <v>45</v>
      </c>
      <c r="AC369" s="432" t="s">
        <v>588</v>
      </c>
      <c r="AG369" s="78"/>
      <c r="AJ369" s="84" t="s">
        <v>45</v>
      </c>
      <c r="AK369" s="84">
        <v>0</v>
      </c>
      <c r="BB369" s="43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85"/>
      <c r="B370" s="685"/>
      <c r="C370" s="685"/>
      <c r="D370" s="685"/>
      <c r="E370" s="685"/>
      <c r="F370" s="685"/>
      <c r="G370" s="685"/>
      <c r="H370" s="685"/>
      <c r="I370" s="685"/>
      <c r="J370" s="685"/>
      <c r="K370" s="685"/>
      <c r="L370" s="685"/>
      <c r="M370" s="685"/>
      <c r="N370" s="685"/>
      <c r="O370" s="686"/>
      <c r="P370" s="682" t="s">
        <v>40</v>
      </c>
      <c r="Q370" s="683"/>
      <c r="R370" s="683"/>
      <c r="S370" s="683"/>
      <c r="T370" s="683"/>
      <c r="U370" s="683"/>
      <c r="V370" s="684"/>
      <c r="W370" s="42" t="s">
        <v>39</v>
      </c>
      <c r="X370" s="43">
        <f>IFERROR(X367/H367,"0")+IFERROR(X368/H368,"0")+IFERROR(X369/H369,"0")</f>
        <v>0</v>
      </c>
      <c r="Y370" s="43">
        <f>IFERROR(Y367/H367,"0")+IFERROR(Y368/H368,"0")+IFERROR(Y369/H369,"0")</f>
        <v>0</v>
      </c>
      <c r="Z370" s="43">
        <f>IFERROR(IF(Z367="",0,Z367),"0")+IFERROR(IF(Z368="",0,Z368),"0")+IFERROR(IF(Z369="",0,Z369),"0")</f>
        <v>0</v>
      </c>
      <c r="AA370" s="67"/>
      <c r="AB370" s="67"/>
      <c r="AC370" s="67"/>
    </row>
    <row r="371" spans="1:68" x14ac:dyDescent="0.2">
      <c r="A371" s="685"/>
      <c r="B371" s="685"/>
      <c r="C371" s="685"/>
      <c r="D371" s="685"/>
      <c r="E371" s="685"/>
      <c r="F371" s="685"/>
      <c r="G371" s="685"/>
      <c r="H371" s="685"/>
      <c r="I371" s="685"/>
      <c r="J371" s="685"/>
      <c r="K371" s="685"/>
      <c r="L371" s="685"/>
      <c r="M371" s="685"/>
      <c r="N371" s="685"/>
      <c r="O371" s="686"/>
      <c r="P371" s="682" t="s">
        <v>40</v>
      </c>
      <c r="Q371" s="683"/>
      <c r="R371" s="683"/>
      <c r="S371" s="683"/>
      <c r="T371" s="683"/>
      <c r="U371" s="683"/>
      <c r="V371" s="684"/>
      <c r="W371" s="42" t="s">
        <v>0</v>
      </c>
      <c r="X371" s="43">
        <f>IFERROR(SUM(X367:X369),"0")</f>
        <v>0</v>
      </c>
      <c r="Y371" s="43">
        <f>IFERROR(SUM(Y367:Y369),"0")</f>
        <v>0</v>
      </c>
      <c r="Z371" s="42"/>
      <c r="AA371" s="67"/>
      <c r="AB371" s="67"/>
      <c r="AC371" s="67"/>
    </row>
    <row r="372" spans="1:68" ht="27.75" customHeight="1" x14ac:dyDescent="0.2">
      <c r="A372" s="723" t="s">
        <v>589</v>
      </c>
      <c r="B372" s="723"/>
      <c r="C372" s="723"/>
      <c r="D372" s="723"/>
      <c r="E372" s="723"/>
      <c r="F372" s="723"/>
      <c r="G372" s="723"/>
      <c r="H372" s="723"/>
      <c r="I372" s="723"/>
      <c r="J372" s="723"/>
      <c r="K372" s="723"/>
      <c r="L372" s="723"/>
      <c r="M372" s="723"/>
      <c r="N372" s="723"/>
      <c r="O372" s="723"/>
      <c r="P372" s="723"/>
      <c r="Q372" s="723"/>
      <c r="R372" s="723"/>
      <c r="S372" s="723"/>
      <c r="T372" s="723"/>
      <c r="U372" s="723"/>
      <c r="V372" s="723"/>
      <c r="W372" s="723"/>
      <c r="X372" s="723"/>
      <c r="Y372" s="723"/>
      <c r="Z372" s="723"/>
      <c r="AA372" s="54"/>
      <c r="AB372" s="54"/>
      <c r="AC372" s="54"/>
    </row>
    <row r="373" spans="1:68" ht="16.5" customHeight="1" x14ac:dyDescent="0.25">
      <c r="A373" s="699" t="s">
        <v>590</v>
      </c>
      <c r="B373" s="699"/>
      <c r="C373" s="699"/>
      <c r="D373" s="699"/>
      <c r="E373" s="699"/>
      <c r="F373" s="699"/>
      <c r="G373" s="699"/>
      <c r="H373" s="699"/>
      <c r="I373" s="699"/>
      <c r="J373" s="699"/>
      <c r="K373" s="699"/>
      <c r="L373" s="699"/>
      <c r="M373" s="699"/>
      <c r="N373" s="699"/>
      <c r="O373" s="699"/>
      <c r="P373" s="699"/>
      <c r="Q373" s="699"/>
      <c r="R373" s="699"/>
      <c r="S373" s="699"/>
      <c r="T373" s="699"/>
      <c r="U373" s="699"/>
      <c r="V373" s="699"/>
      <c r="W373" s="699"/>
      <c r="X373" s="699"/>
      <c r="Y373" s="699"/>
      <c r="Z373" s="699"/>
      <c r="AA373" s="65"/>
      <c r="AB373" s="65"/>
      <c r="AC373" s="79"/>
    </row>
    <row r="374" spans="1:68" ht="14.25" customHeight="1" x14ac:dyDescent="0.25">
      <c r="A374" s="677" t="s">
        <v>109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"/>
      <c r="AB374" s="66"/>
      <c r="AC374" s="80"/>
    </row>
    <row r="375" spans="1:68" ht="37.5" customHeight="1" x14ac:dyDescent="0.25">
      <c r="A375" s="63" t="s">
        <v>591</v>
      </c>
      <c r="B375" s="63" t="s">
        <v>592</v>
      </c>
      <c r="C375" s="36">
        <v>4301011869</v>
      </c>
      <c r="D375" s="678">
        <v>4680115884847</v>
      </c>
      <c r="E375" s="678"/>
      <c r="F375" s="62">
        <v>2.5</v>
      </c>
      <c r="G375" s="37">
        <v>6</v>
      </c>
      <c r="H375" s="62">
        <v>15</v>
      </c>
      <c r="I375" s="62">
        <v>15.48</v>
      </c>
      <c r="J375" s="37">
        <v>48</v>
      </c>
      <c r="K375" s="37" t="s">
        <v>114</v>
      </c>
      <c r="L375" s="37" t="s">
        <v>136</v>
      </c>
      <c r="M375" s="38" t="s">
        <v>82</v>
      </c>
      <c r="N375" s="38"/>
      <c r="O375" s="37">
        <v>60</v>
      </c>
      <c r="P375" s="8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0"/>
      <c r="R375" s="680"/>
      <c r="S375" s="680"/>
      <c r="T375" s="681"/>
      <c r="U375" s="39" t="s">
        <v>45</v>
      </c>
      <c r="V375" s="39" t="s">
        <v>45</v>
      </c>
      <c r="W375" s="40" t="s">
        <v>0</v>
      </c>
      <c r="X375" s="58">
        <v>0</v>
      </c>
      <c r="Y375" s="55">
        <f t="shared" ref="Y375:Y384" si="58">IFERROR(IF(X375="",0,CEILING((X375/$H375),1)*$H375),"")</f>
        <v>0</v>
      </c>
      <c r="Z375" s="41" t="str">
        <f>IFERROR(IF(Y375=0,"",ROUNDUP(Y375/H375,0)*0.02175),"")</f>
        <v/>
      </c>
      <c r="AA375" s="68" t="s">
        <v>45</v>
      </c>
      <c r="AB375" s="69" t="s">
        <v>45</v>
      </c>
      <c r="AC375" s="434" t="s">
        <v>593</v>
      </c>
      <c r="AG375" s="78"/>
      <c r="AJ375" s="84" t="s">
        <v>137</v>
      </c>
      <c r="AK375" s="84">
        <v>720</v>
      </c>
      <c r="BB375" s="435" t="s">
        <v>66</v>
      </c>
      <c r="BM375" s="78">
        <f t="shared" ref="BM375:BM384" si="59">IFERROR(X375*I375/H375,"0")</f>
        <v>0</v>
      </c>
      <c r="BN375" s="78">
        <f t="shared" ref="BN375:BN384" si="60">IFERROR(Y375*I375/H375,"0")</f>
        <v>0</v>
      </c>
      <c r="BO375" s="78">
        <f t="shared" ref="BO375:BO384" si="61">IFERROR(1/J375*(X375/H375),"0")</f>
        <v>0</v>
      </c>
      <c r="BP375" s="78">
        <f t="shared" ref="BP375:BP384" si="62">IFERROR(1/J375*(Y375/H375),"0")</f>
        <v>0</v>
      </c>
    </row>
    <row r="376" spans="1:68" ht="27" customHeight="1" x14ac:dyDescent="0.25">
      <c r="A376" s="63" t="s">
        <v>591</v>
      </c>
      <c r="B376" s="63" t="s">
        <v>594</v>
      </c>
      <c r="C376" s="36">
        <v>4301011946</v>
      </c>
      <c r="D376" s="678">
        <v>4680115884847</v>
      </c>
      <c r="E376" s="678"/>
      <c r="F376" s="62">
        <v>2.5</v>
      </c>
      <c r="G376" s="37">
        <v>6</v>
      </c>
      <c r="H376" s="62">
        <v>15</v>
      </c>
      <c r="I376" s="62">
        <v>15.48</v>
      </c>
      <c r="J376" s="37">
        <v>48</v>
      </c>
      <c r="K376" s="37" t="s">
        <v>114</v>
      </c>
      <c r="L376" s="37" t="s">
        <v>45</v>
      </c>
      <c r="M376" s="38" t="s">
        <v>401</v>
      </c>
      <c r="N376" s="38"/>
      <c r="O376" s="37">
        <v>60</v>
      </c>
      <c r="P376" s="81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0"/>
      <c r="R376" s="680"/>
      <c r="S376" s="680"/>
      <c r="T376" s="681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IFERROR(IF(Y376=0,"",ROUNDUP(Y376/H376,0)*0.02039),"")</f>
        <v/>
      </c>
      <c r="AA376" s="68" t="s">
        <v>45</v>
      </c>
      <c r="AB376" s="69" t="s">
        <v>45</v>
      </c>
      <c r="AC376" s="436" t="s">
        <v>595</v>
      </c>
      <c r="AG376" s="78"/>
      <c r="AJ376" s="84" t="s">
        <v>45</v>
      </c>
      <c r="AK376" s="84">
        <v>0</v>
      </c>
      <c r="BB376" s="437" t="s">
        <v>66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customHeight="1" x14ac:dyDescent="0.25">
      <c r="A377" s="63" t="s">
        <v>596</v>
      </c>
      <c r="B377" s="63" t="s">
        <v>597</v>
      </c>
      <c r="C377" s="36">
        <v>4301011870</v>
      </c>
      <c r="D377" s="678">
        <v>4680115884854</v>
      </c>
      <c r="E377" s="678"/>
      <c r="F377" s="62">
        <v>2.5</v>
      </c>
      <c r="G377" s="37">
        <v>6</v>
      </c>
      <c r="H377" s="62">
        <v>15</v>
      </c>
      <c r="I377" s="62">
        <v>15.48</v>
      </c>
      <c r="J377" s="37">
        <v>48</v>
      </c>
      <c r="K377" s="37" t="s">
        <v>114</v>
      </c>
      <c r="L377" s="37" t="s">
        <v>136</v>
      </c>
      <c r="M377" s="38" t="s">
        <v>82</v>
      </c>
      <c r="N377" s="38"/>
      <c r="O377" s="37">
        <v>60</v>
      </c>
      <c r="P377" s="8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0"/>
      <c r="R377" s="680"/>
      <c r="S377" s="680"/>
      <c r="T377" s="681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IFERROR(IF(Y377=0,"",ROUNDUP(Y377/H377,0)*0.02175),"")</f>
        <v/>
      </c>
      <c r="AA377" s="68" t="s">
        <v>45</v>
      </c>
      <c r="AB377" s="69" t="s">
        <v>45</v>
      </c>
      <c r="AC377" s="438" t="s">
        <v>598</v>
      </c>
      <c r="AG377" s="78"/>
      <c r="AJ377" s="84" t="s">
        <v>137</v>
      </c>
      <c r="AK377" s="84">
        <v>720</v>
      </c>
      <c r="BB377" s="439" t="s">
        <v>66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customHeight="1" x14ac:dyDescent="0.25">
      <c r="A378" s="63" t="s">
        <v>596</v>
      </c>
      <c r="B378" s="63" t="s">
        <v>599</v>
      </c>
      <c r="C378" s="36">
        <v>4301011947</v>
      </c>
      <c r="D378" s="678">
        <v>4680115884854</v>
      </c>
      <c r="E378" s="678"/>
      <c r="F378" s="62">
        <v>2.5</v>
      </c>
      <c r="G378" s="37">
        <v>6</v>
      </c>
      <c r="H378" s="62">
        <v>15</v>
      </c>
      <c r="I378" s="62">
        <v>15.48</v>
      </c>
      <c r="J378" s="37">
        <v>48</v>
      </c>
      <c r="K378" s="37" t="s">
        <v>114</v>
      </c>
      <c r="L378" s="37" t="s">
        <v>45</v>
      </c>
      <c r="M378" s="38" t="s">
        <v>401</v>
      </c>
      <c r="N378" s="38"/>
      <c r="O378" s="37">
        <v>60</v>
      </c>
      <c r="P378" s="80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0"/>
      <c r="R378" s="680"/>
      <c r="S378" s="680"/>
      <c r="T378" s="681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IFERROR(IF(Y378=0,"",ROUNDUP(Y378/H378,0)*0.02039),"")</f>
        <v/>
      </c>
      <c r="AA378" s="68" t="s">
        <v>45</v>
      </c>
      <c r="AB378" s="69" t="s">
        <v>45</v>
      </c>
      <c r="AC378" s="440" t="s">
        <v>595</v>
      </c>
      <c r="AG378" s="78"/>
      <c r="AJ378" s="84" t="s">
        <v>45</v>
      </c>
      <c r="AK378" s="84">
        <v>0</v>
      </c>
      <c r="BB378" s="441" t="s">
        <v>66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customHeight="1" x14ac:dyDescent="0.25">
      <c r="A379" s="63" t="s">
        <v>600</v>
      </c>
      <c r="B379" s="63" t="s">
        <v>601</v>
      </c>
      <c r="C379" s="36">
        <v>4301011832</v>
      </c>
      <c r="D379" s="678">
        <v>4607091383997</v>
      </c>
      <c r="E379" s="678"/>
      <c r="F379" s="62">
        <v>2.5</v>
      </c>
      <c r="G379" s="37">
        <v>6</v>
      </c>
      <c r="H379" s="62">
        <v>15</v>
      </c>
      <c r="I379" s="62">
        <v>15.48</v>
      </c>
      <c r="J379" s="37">
        <v>48</v>
      </c>
      <c r="K379" s="37" t="s">
        <v>114</v>
      </c>
      <c r="L379" s="37" t="s">
        <v>45</v>
      </c>
      <c r="M379" s="38" t="s">
        <v>146</v>
      </c>
      <c r="N379" s="38"/>
      <c r="O379" s="37">
        <v>60</v>
      </c>
      <c r="P379" s="80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0"/>
      <c r="R379" s="680"/>
      <c r="S379" s="680"/>
      <c r="T379" s="681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IFERROR(IF(Y379=0,"",ROUNDUP(Y379/H379,0)*0.02175),"")</f>
        <v/>
      </c>
      <c r="AA379" s="68" t="s">
        <v>45</v>
      </c>
      <c r="AB379" s="69" t="s">
        <v>45</v>
      </c>
      <c r="AC379" s="442" t="s">
        <v>602</v>
      </c>
      <c r="AG379" s="78"/>
      <c r="AJ379" s="84" t="s">
        <v>45</v>
      </c>
      <c r="AK379" s="84">
        <v>0</v>
      </c>
      <c r="BB379" s="443" t="s">
        <v>66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37.5" customHeight="1" x14ac:dyDescent="0.25">
      <c r="A380" s="63" t="s">
        <v>603</v>
      </c>
      <c r="B380" s="63" t="s">
        <v>604</v>
      </c>
      <c r="C380" s="36">
        <v>4301011867</v>
      </c>
      <c r="D380" s="678">
        <v>4680115884830</v>
      </c>
      <c r="E380" s="678"/>
      <c r="F380" s="62">
        <v>2.5</v>
      </c>
      <c r="G380" s="37">
        <v>6</v>
      </c>
      <c r="H380" s="62">
        <v>15</v>
      </c>
      <c r="I380" s="62">
        <v>15.48</v>
      </c>
      <c r="J380" s="37">
        <v>48</v>
      </c>
      <c r="K380" s="37" t="s">
        <v>114</v>
      </c>
      <c r="L380" s="37" t="s">
        <v>136</v>
      </c>
      <c r="M380" s="38" t="s">
        <v>82</v>
      </c>
      <c r="N380" s="38"/>
      <c r="O380" s="37">
        <v>60</v>
      </c>
      <c r="P380" s="8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0"/>
      <c r="R380" s="680"/>
      <c r="S380" s="680"/>
      <c r="T380" s="681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IFERROR(IF(Y380=0,"",ROUNDUP(Y380/H380,0)*0.02175),"")</f>
        <v/>
      </c>
      <c r="AA380" s="68" t="s">
        <v>45</v>
      </c>
      <c r="AB380" s="69" t="s">
        <v>45</v>
      </c>
      <c r="AC380" s="444" t="s">
        <v>605</v>
      </c>
      <c r="AG380" s="78"/>
      <c r="AJ380" s="84" t="s">
        <v>137</v>
      </c>
      <c r="AK380" s="84">
        <v>720</v>
      </c>
      <c r="BB380" s="445" t="s">
        <v>66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t="27" customHeight="1" x14ac:dyDescent="0.25">
      <c r="A381" s="63" t="s">
        <v>603</v>
      </c>
      <c r="B381" s="63" t="s">
        <v>606</v>
      </c>
      <c r="C381" s="36">
        <v>4301011943</v>
      </c>
      <c r="D381" s="678">
        <v>4680115884830</v>
      </c>
      <c r="E381" s="678"/>
      <c r="F381" s="62">
        <v>2.5</v>
      </c>
      <c r="G381" s="37">
        <v>6</v>
      </c>
      <c r="H381" s="62">
        <v>15</v>
      </c>
      <c r="I381" s="62">
        <v>15.48</v>
      </c>
      <c r="J381" s="37">
        <v>48</v>
      </c>
      <c r="K381" s="37" t="s">
        <v>114</v>
      </c>
      <c r="L381" s="37" t="s">
        <v>45</v>
      </c>
      <c r="M381" s="38" t="s">
        <v>401</v>
      </c>
      <c r="N381" s="38"/>
      <c r="O381" s="37">
        <v>60</v>
      </c>
      <c r="P381" s="80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0"/>
      <c r="R381" s="680"/>
      <c r="S381" s="680"/>
      <c r="T381" s="681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58"/>
        <v>0</v>
      </c>
      <c r="Z381" s="41" t="str">
        <f>IFERROR(IF(Y381=0,"",ROUNDUP(Y381/H381,0)*0.02039),"")</f>
        <v/>
      </c>
      <c r="AA381" s="68" t="s">
        <v>45</v>
      </c>
      <c r="AB381" s="69" t="s">
        <v>45</v>
      </c>
      <c r="AC381" s="446" t="s">
        <v>595</v>
      </c>
      <c r="AG381" s="78"/>
      <c r="AJ381" s="84" t="s">
        <v>45</v>
      </c>
      <c r="AK381" s="84">
        <v>0</v>
      </c>
      <c r="BB381" s="447" t="s">
        <v>66</v>
      </c>
      <c r="BM381" s="78">
        <f t="shared" si="59"/>
        <v>0</v>
      </c>
      <c r="BN381" s="78">
        <f t="shared" si="60"/>
        <v>0</v>
      </c>
      <c r="BO381" s="78">
        <f t="shared" si="61"/>
        <v>0</v>
      </c>
      <c r="BP381" s="78">
        <f t="shared" si="62"/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4301011433</v>
      </c>
      <c r="D382" s="678">
        <v>4680115882638</v>
      </c>
      <c r="E382" s="678"/>
      <c r="F382" s="62">
        <v>0.4</v>
      </c>
      <c r="G382" s="37">
        <v>10</v>
      </c>
      <c r="H382" s="62">
        <v>4</v>
      </c>
      <c r="I382" s="62">
        <v>4.21</v>
      </c>
      <c r="J382" s="37">
        <v>132</v>
      </c>
      <c r="K382" s="37" t="s">
        <v>118</v>
      </c>
      <c r="L382" s="37" t="s">
        <v>45</v>
      </c>
      <c r="M382" s="38" t="s">
        <v>113</v>
      </c>
      <c r="N382" s="38"/>
      <c r="O382" s="37">
        <v>90</v>
      </c>
      <c r="P382" s="8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0"/>
      <c r="R382" s="680"/>
      <c r="S382" s="680"/>
      <c r="T382" s="681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58"/>
        <v>0</v>
      </c>
      <c r="Z382" s="41" t="str">
        <f>IFERROR(IF(Y382=0,"",ROUNDUP(Y382/H382,0)*0.00902),"")</f>
        <v/>
      </c>
      <c r="AA382" s="68" t="s">
        <v>45</v>
      </c>
      <c r="AB382" s="69" t="s">
        <v>45</v>
      </c>
      <c r="AC382" s="448" t="s">
        <v>609</v>
      </c>
      <c r="AG382" s="78"/>
      <c r="AJ382" s="84" t="s">
        <v>45</v>
      </c>
      <c r="AK382" s="84">
        <v>0</v>
      </c>
      <c r="BB382" s="449" t="s">
        <v>66</v>
      </c>
      <c r="BM382" s="78">
        <f t="shared" si="59"/>
        <v>0</v>
      </c>
      <c r="BN382" s="78">
        <f t="shared" si="60"/>
        <v>0</v>
      </c>
      <c r="BO382" s="78">
        <f t="shared" si="61"/>
        <v>0</v>
      </c>
      <c r="BP382" s="78">
        <f t="shared" si="62"/>
        <v>0</v>
      </c>
    </row>
    <row r="383" spans="1:68" ht="27" customHeight="1" x14ac:dyDescent="0.25">
      <c r="A383" s="63" t="s">
        <v>610</v>
      </c>
      <c r="B383" s="63" t="s">
        <v>611</v>
      </c>
      <c r="C383" s="36">
        <v>4301011952</v>
      </c>
      <c r="D383" s="678">
        <v>4680115884922</v>
      </c>
      <c r="E383" s="678"/>
      <c r="F383" s="62">
        <v>0.5</v>
      </c>
      <c r="G383" s="37">
        <v>10</v>
      </c>
      <c r="H383" s="62">
        <v>5</v>
      </c>
      <c r="I383" s="62">
        <v>5.21</v>
      </c>
      <c r="J383" s="37">
        <v>132</v>
      </c>
      <c r="K383" s="37" t="s">
        <v>118</v>
      </c>
      <c r="L383" s="37" t="s">
        <v>45</v>
      </c>
      <c r="M383" s="38" t="s">
        <v>82</v>
      </c>
      <c r="N383" s="38"/>
      <c r="O383" s="37">
        <v>60</v>
      </c>
      <c r="P383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0"/>
      <c r="R383" s="680"/>
      <c r="S383" s="680"/>
      <c r="T383" s="681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58"/>
        <v>0</v>
      </c>
      <c r="Z383" s="41" t="str">
        <f>IFERROR(IF(Y383=0,"",ROUNDUP(Y383/H383,0)*0.00902),"")</f>
        <v/>
      </c>
      <c r="AA383" s="68" t="s">
        <v>45</v>
      </c>
      <c r="AB383" s="69" t="s">
        <v>45</v>
      </c>
      <c r="AC383" s="450" t="s">
        <v>598</v>
      </c>
      <c r="AG383" s="78"/>
      <c r="AJ383" s="84" t="s">
        <v>45</v>
      </c>
      <c r="AK383" s="84">
        <v>0</v>
      </c>
      <c r="BB383" s="451" t="s">
        <v>66</v>
      </c>
      <c r="BM383" s="78">
        <f t="shared" si="59"/>
        <v>0</v>
      </c>
      <c r="BN383" s="78">
        <f t="shared" si="60"/>
        <v>0</v>
      </c>
      <c r="BO383" s="78">
        <f t="shared" si="61"/>
        <v>0</v>
      </c>
      <c r="BP383" s="78">
        <f t="shared" si="62"/>
        <v>0</v>
      </c>
    </row>
    <row r="384" spans="1:68" ht="37.5" customHeight="1" x14ac:dyDescent="0.25">
      <c r="A384" s="63" t="s">
        <v>612</v>
      </c>
      <c r="B384" s="63" t="s">
        <v>613</v>
      </c>
      <c r="C384" s="36">
        <v>4301011868</v>
      </c>
      <c r="D384" s="678">
        <v>4680115884861</v>
      </c>
      <c r="E384" s="678"/>
      <c r="F384" s="62">
        <v>0.5</v>
      </c>
      <c r="G384" s="37">
        <v>10</v>
      </c>
      <c r="H384" s="62">
        <v>5</v>
      </c>
      <c r="I384" s="62">
        <v>5.21</v>
      </c>
      <c r="J384" s="37">
        <v>132</v>
      </c>
      <c r="K384" s="37" t="s">
        <v>118</v>
      </c>
      <c r="L384" s="37" t="s">
        <v>45</v>
      </c>
      <c r="M384" s="38" t="s">
        <v>82</v>
      </c>
      <c r="N384" s="38"/>
      <c r="O384" s="37">
        <v>60</v>
      </c>
      <c r="P384" s="8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0"/>
      <c r="R384" s="680"/>
      <c r="S384" s="680"/>
      <c r="T384" s="681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58"/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52" t="s">
        <v>605</v>
      </c>
      <c r="AG384" s="78"/>
      <c r="AJ384" s="84" t="s">
        <v>45</v>
      </c>
      <c r="AK384" s="84">
        <v>0</v>
      </c>
      <c r="BB384" s="453" t="s">
        <v>66</v>
      </c>
      <c r="BM384" s="78">
        <f t="shared" si="59"/>
        <v>0</v>
      </c>
      <c r="BN384" s="78">
        <f t="shared" si="60"/>
        <v>0</v>
      </c>
      <c r="BO384" s="78">
        <f t="shared" si="61"/>
        <v>0</v>
      </c>
      <c r="BP384" s="78">
        <f t="shared" si="62"/>
        <v>0</v>
      </c>
    </row>
    <row r="385" spans="1:68" x14ac:dyDescent="0.2">
      <c r="A385" s="685"/>
      <c r="B385" s="685"/>
      <c r="C385" s="685"/>
      <c r="D385" s="685"/>
      <c r="E385" s="685"/>
      <c r="F385" s="685"/>
      <c r="G385" s="685"/>
      <c r="H385" s="685"/>
      <c r="I385" s="685"/>
      <c r="J385" s="685"/>
      <c r="K385" s="685"/>
      <c r="L385" s="685"/>
      <c r="M385" s="685"/>
      <c r="N385" s="685"/>
      <c r="O385" s="686"/>
      <c r="P385" s="682" t="s">
        <v>40</v>
      </c>
      <c r="Q385" s="683"/>
      <c r="R385" s="683"/>
      <c r="S385" s="683"/>
      <c r="T385" s="683"/>
      <c r="U385" s="683"/>
      <c r="V385" s="684"/>
      <c r="W385" s="42" t="s">
        <v>39</v>
      </c>
      <c r="X385" s="43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43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43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85"/>
      <c r="B386" s="685"/>
      <c r="C386" s="685"/>
      <c r="D386" s="685"/>
      <c r="E386" s="685"/>
      <c r="F386" s="685"/>
      <c r="G386" s="685"/>
      <c r="H386" s="685"/>
      <c r="I386" s="685"/>
      <c r="J386" s="685"/>
      <c r="K386" s="685"/>
      <c r="L386" s="685"/>
      <c r="M386" s="685"/>
      <c r="N386" s="685"/>
      <c r="O386" s="686"/>
      <c r="P386" s="682" t="s">
        <v>40</v>
      </c>
      <c r="Q386" s="683"/>
      <c r="R386" s="683"/>
      <c r="S386" s="683"/>
      <c r="T386" s="683"/>
      <c r="U386" s="683"/>
      <c r="V386" s="684"/>
      <c r="W386" s="42" t="s">
        <v>0</v>
      </c>
      <c r="X386" s="43">
        <f>IFERROR(SUM(X375:X384),"0")</f>
        <v>0</v>
      </c>
      <c r="Y386" s="43">
        <f>IFERROR(SUM(Y375:Y384),"0")</f>
        <v>0</v>
      </c>
      <c r="Z386" s="42"/>
      <c r="AA386" s="67"/>
      <c r="AB386" s="67"/>
      <c r="AC386" s="67"/>
    </row>
    <row r="387" spans="1:68" ht="14.25" customHeight="1" x14ac:dyDescent="0.25">
      <c r="A387" s="677" t="s">
        <v>149</v>
      </c>
      <c r="B387" s="677"/>
      <c r="C387" s="677"/>
      <c r="D387" s="677"/>
      <c r="E387" s="677"/>
      <c r="F387" s="677"/>
      <c r="G387" s="677"/>
      <c r="H387" s="677"/>
      <c r="I387" s="677"/>
      <c r="J387" s="677"/>
      <c r="K387" s="677"/>
      <c r="L387" s="677"/>
      <c r="M387" s="677"/>
      <c r="N387" s="677"/>
      <c r="O387" s="677"/>
      <c r="P387" s="677"/>
      <c r="Q387" s="677"/>
      <c r="R387" s="677"/>
      <c r="S387" s="677"/>
      <c r="T387" s="677"/>
      <c r="U387" s="677"/>
      <c r="V387" s="677"/>
      <c r="W387" s="677"/>
      <c r="X387" s="677"/>
      <c r="Y387" s="677"/>
      <c r="Z387" s="677"/>
      <c r="AA387" s="66"/>
      <c r="AB387" s="66"/>
      <c r="AC387" s="80"/>
    </row>
    <row r="388" spans="1:68" ht="27" customHeight="1" x14ac:dyDescent="0.25">
      <c r="A388" s="63" t="s">
        <v>614</v>
      </c>
      <c r="B388" s="63" t="s">
        <v>615</v>
      </c>
      <c r="C388" s="36">
        <v>4301020178</v>
      </c>
      <c r="D388" s="678">
        <v>4607091383980</v>
      </c>
      <c r="E388" s="678"/>
      <c r="F388" s="62">
        <v>2.5</v>
      </c>
      <c r="G388" s="37">
        <v>6</v>
      </c>
      <c r="H388" s="62">
        <v>15</v>
      </c>
      <c r="I388" s="62">
        <v>15.48</v>
      </c>
      <c r="J388" s="37">
        <v>48</v>
      </c>
      <c r="K388" s="37" t="s">
        <v>114</v>
      </c>
      <c r="L388" s="37" t="s">
        <v>136</v>
      </c>
      <c r="M388" s="38" t="s">
        <v>113</v>
      </c>
      <c r="N388" s="38"/>
      <c r="O388" s="37">
        <v>50</v>
      </c>
      <c r="P388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0"/>
      <c r="R388" s="680"/>
      <c r="S388" s="680"/>
      <c r="T388" s="681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IFERROR(IF(Y388=0,"",ROUNDUP(Y388/H388,0)*0.02175),"")</f>
        <v/>
      </c>
      <c r="AA388" s="68" t="s">
        <v>45</v>
      </c>
      <c r="AB388" s="69" t="s">
        <v>45</v>
      </c>
      <c r="AC388" s="454" t="s">
        <v>616</v>
      </c>
      <c r="AG388" s="78"/>
      <c r="AJ388" s="84" t="s">
        <v>137</v>
      </c>
      <c r="AK388" s="84">
        <v>720</v>
      </c>
      <c r="BB388" s="45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617</v>
      </c>
      <c r="B389" s="63" t="s">
        <v>618</v>
      </c>
      <c r="C389" s="36">
        <v>4301020179</v>
      </c>
      <c r="D389" s="678">
        <v>4607091384178</v>
      </c>
      <c r="E389" s="678"/>
      <c r="F389" s="62">
        <v>0.4</v>
      </c>
      <c r="G389" s="37">
        <v>10</v>
      </c>
      <c r="H389" s="62">
        <v>4</v>
      </c>
      <c r="I389" s="62">
        <v>4.21</v>
      </c>
      <c r="J389" s="37">
        <v>132</v>
      </c>
      <c r="K389" s="37" t="s">
        <v>118</v>
      </c>
      <c r="L389" s="37" t="s">
        <v>45</v>
      </c>
      <c r="M389" s="38" t="s">
        <v>113</v>
      </c>
      <c r="N389" s="38"/>
      <c r="O389" s="37">
        <v>50</v>
      </c>
      <c r="P38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0"/>
      <c r="R389" s="680"/>
      <c r="S389" s="680"/>
      <c r="T389" s="681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6" t="s">
        <v>616</v>
      </c>
      <c r="AG389" s="78"/>
      <c r="AJ389" s="84" t="s">
        <v>45</v>
      </c>
      <c r="AK389" s="84">
        <v>0</v>
      </c>
      <c r="BB389" s="45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85"/>
      <c r="B390" s="685"/>
      <c r="C390" s="685"/>
      <c r="D390" s="685"/>
      <c r="E390" s="685"/>
      <c r="F390" s="685"/>
      <c r="G390" s="685"/>
      <c r="H390" s="685"/>
      <c r="I390" s="685"/>
      <c r="J390" s="685"/>
      <c r="K390" s="685"/>
      <c r="L390" s="685"/>
      <c r="M390" s="685"/>
      <c r="N390" s="685"/>
      <c r="O390" s="686"/>
      <c r="P390" s="682" t="s">
        <v>40</v>
      </c>
      <c r="Q390" s="683"/>
      <c r="R390" s="683"/>
      <c r="S390" s="683"/>
      <c r="T390" s="683"/>
      <c r="U390" s="683"/>
      <c r="V390" s="684"/>
      <c r="W390" s="42" t="s">
        <v>39</v>
      </c>
      <c r="X390" s="43">
        <f>IFERROR(X388/H388,"0")+IFERROR(X389/H389,"0")</f>
        <v>0</v>
      </c>
      <c r="Y390" s="43">
        <f>IFERROR(Y388/H388,"0")+IFERROR(Y389/H389,"0")</f>
        <v>0</v>
      </c>
      <c r="Z390" s="43">
        <f>IFERROR(IF(Z388="",0,Z388),"0")+IFERROR(IF(Z389="",0,Z389),"0")</f>
        <v>0</v>
      </c>
      <c r="AA390" s="67"/>
      <c r="AB390" s="67"/>
      <c r="AC390" s="67"/>
    </row>
    <row r="391" spans="1:68" x14ac:dyDescent="0.2">
      <c r="A391" s="685"/>
      <c r="B391" s="685"/>
      <c r="C391" s="685"/>
      <c r="D391" s="685"/>
      <c r="E391" s="685"/>
      <c r="F391" s="685"/>
      <c r="G391" s="685"/>
      <c r="H391" s="685"/>
      <c r="I391" s="685"/>
      <c r="J391" s="685"/>
      <c r="K391" s="685"/>
      <c r="L391" s="685"/>
      <c r="M391" s="685"/>
      <c r="N391" s="685"/>
      <c r="O391" s="686"/>
      <c r="P391" s="682" t="s">
        <v>40</v>
      </c>
      <c r="Q391" s="683"/>
      <c r="R391" s="683"/>
      <c r="S391" s="683"/>
      <c r="T391" s="683"/>
      <c r="U391" s="683"/>
      <c r="V391" s="684"/>
      <c r="W391" s="42" t="s">
        <v>0</v>
      </c>
      <c r="X391" s="43">
        <f>IFERROR(SUM(X388:X389),"0")</f>
        <v>0</v>
      </c>
      <c r="Y391" s="43">
        <f>IFERROR(SUM(Y388:Y389),"0")</f>
        <v>0</v>
      </c>
      <c r="Z391" s="42"/>
      <c r="AA391" s="67"/>
      <c r="AB391" s="67"/>
      <c r="AC391" s="67"/>
    </row>
    <row r="392" spans="1:68" ht="14.25" customHeight="1" x14ac:dyDescent="0.25">
      <c r="A392" s="677" t="s">
        <v>78</v>
      </c>
      <c r="B392" s="677"/>
      <c r="C392" s="677"/>
      <c r="D392" s="677"/>
      <c r="E392" s="677"/>
      <c r="F392" s="677"/>
      <c r="G392" s="677"/>
      <c r="H392" s="677"/>
      <c r="I392" s="677"/>
      <c r="J392" s="677"/>
      <c r="K392" s="677"/>
      <c r="L392" s="677"/>
      <c r="M392" s="677"/>
      <c r="N392" s="677"/>
      <c r="O392" s="677"/>
      <c r="P392" s="677"/>
      <c r="Q392" s="677"/>
      <c r="R392" s="677"/>
      <c r="S392" s="677"/>
      <c r="T392" s="677"/>
      <c r="U392" s="677"/>
      <c r="V392" s="677"/>
      <c r="W392" s="677"/>
      <c r="X392" s="677"/>
      <c r="Y392" s="677"/>
      <c r="Z392" s="677"/>
      <c r="AA392" s="66"/>
      <c r="AB392" s="66"/>
      <c r="AC392" s="80"/>
    </row>
    <row r="393" spans="1:68" ht="27" customHeight="1" x14ac:dyDescent="0.25">
      <c r="A393" s="63" t="s">
        <v>619</v>
      </c>
      <c r="B393" s="63" t="s">
        <v>620</v>
      </c>
      <c r="C393" s="36">
        <v>4301051903</v>
      </c>
      <c r="D393" s="678">
        <v>4607091383928</v>
      </c>
      <c r="E393" s="678"/>
      <c r="F393" s="62">
        <v>1.5</v>
      </c>
      <c r="G393" s="37">
        <v>6</v>
      </c>
      <c r="H393" s="62">
        <v>9</v>
      </c>
      <c r="I393" s="62">
        <v>9.5250000000000004</v>
      </c>
      <c r="J393" s="37">
        <v>64</v>
      </c>
      <c r="K393" s="37" t="s">
        <v>114</v>
      </c>
      <c r="L393" s="37" t="s">
        <v>45</v>
      </c>
      <c r="M393" s="38" t="s">
        <v>117</v>
      </c>
      <c r="N393" s="38"/>
      <c r="O393" s="37">
        <v>40</v>
      </c>
      <c r="P393" s="801" t="s">
        <v>621</v>
      </c>
      <c r="Q393" s="680"/>
      <c r="R393" s="680"/>
      <c r="S393" s="680"/>
      <c r="T393" s="681"/>
      <c r="U393" s="39" t="s">
        <v>45</v>
      </c>
      <c r="V393" s="39" t="s">
        <v>45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45</v>
      </c>
      <c r="AB393" s="69" t="s">
        <v>45</v>
      </c>
      <c r="AC393" s="458" t="s">
        <v>622</v>
      </c>
      <c r="AG393" s="78"/>
      <c r="AJ393" s="84" t="s">
        <v>45</v>
      </c>
      <c r="AK393" s="84">
        <v>0</v>
      </c>
      <c r="BB393" s="45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623</v>
      </c>
      <c r="B394" s="63" t="s">
        <v>624</v>
      </c>
      <c r="C394" s="36">
        <v>4301051897</v>
      </c>
      <c r="D394" s="678">
        <v>4607091384260</v>
      </c>
      <c r="E394" s="678"/>
      <c r="F394" s="62">
        <v>1.5</v>
      </c>
      <c r="G394" s="37">
        <v>6</v>
      </c>
      <c r="H394" s="62">
        <v>9</v>
      </c>
      <c r="I394" s="62">
        <v>9.5190000000000001</v>
      </c>
      <c r="J394" s="37">
        <v>64</v>
      </c>
      <c r="K394" s="37" t="s">
        <v>114</v>
      </c>
      <c r="L394" s="37" t="s">
        <v>45</v>
      </c>
      <c r="M394" s="38" t="s">
        <v>117</v>
      </c>
      <c r="N394" s="38"/>
      <c r="O394" s="37">
        <v>40</v>
      </c>
      <c r="P394" s="802" t="s">
        <v>625</v>
      </c>
      <c r="Q394" s="680"/>
      <c r="R394" s="680"/>
      <c r="S394" s="680"/>
      <c r="T394" s="681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45</v>
      </c>
      <c r="AB394" s="69" t="s">
        <v>45</v>
      </c>
      <c r="AC394" s="460" t="s">
        <v>626</v>
      </c>
      <c r="AG394" s="78"/>
      <c r="AJ394" s="84" t="s">
        <v>45</v>
      </c>
      <c r="AK394" s="84">
        <v>0</v>
      </c>
      <c r="BB394" s="46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85"/>
      <c r="B395" s="685"/>
      <c r="C395" s="685"/>
      <c r="D395" s="685"/>
      <c r="E395" s="685"/>
      <c r="F395" s="685"/>
      <c r="G395" s="685"/>
      <c r="H395" s="685"/>
      <c r="I395" s="685"/>
      <c r="J395" s="685"/>
      <c r="K395" s="685"/>
      <c r="L395" s="685"/>
      <c r="M395" s="685"/>
      <c r="N395" s="685"/>
      <c r="O395" s="686"/>
      <c r="P395" s="682" t="s">
        <v>40</v>
      </c>
      <c r="Q395" s="683"/>
      <c r="R395" s="683"/>
      <c r="S395" s="683"/>
      <c r="T395" s="683"/>
      <c r="U395" s="683"/>
      <c r="V395" s="684"/>
      <c r="W395" s="42" t="s">
        <v>39</v>
      </c>
      <c r="X395" s="43">
        <f>IFERROR(X393/H393,"0")+IFERROR(X394/H394,"0")</f>
        <v>0</v>
      </c>
      <c r="Y395" s="43">
        <f>IFERROR(Y393/H393,"0")+IFERROR(Y394/H394,"0")</f>
        <v>0</v>
      </c>
      <c r="Z395" s="43">
        <f>IFERROR(IF(Z393="",0,Z393),"0")+IFERROR(IF(Z394="",0,Z394),"0")</f>
        <v>0</v>
      </c>
      <c r="AA395" s="67"/>
      <c r="AB395" s="67"/>
      <c r="AC395" s="67"/>
    </row>
    <row r="396" spans="1:68" x14ac:dyDescent="0.2">
      <c r="A396" s="685"/>
      <c r="B396" s="685"/>
      <c r="C396" s="685"/>
      <c r="D396" s="685"/>
      <c r="E396" s="685"/>
      <c r="F396" s="685"/>
      <c r="G396" s="685"/>
      <c r="H396" s="685"/>
      <c r="I396" s="685"/>
      <c r="J396" s="685"/>
      <c r="K396" s="685"/>
      <c r="L396" s="685"/>
      <c r="M396" s="685"/>
      <c r="N396" s="685"/>
      <c r="O396" s="686"/>
      <c r="P396" s="682" t="s">
        <v>40</v>
      </c>
      <c r="Q396" s="683"/>
      <c r="R396" s="683"/>
      <c r="S396" s="683"/>
      <c r="T396" s="683"/>
      <c r="U396" s="683"/>
      <c r="V396" s="684"/>
      <c r="W396" s="42" t="s">
        <v>0</v>
      </c>
      <c r="X396" s="43">
        <f>IFERROR(SUM(X393:X394),"0")</f>
        <v>0</v>
      </c>
      <c r="Y396" s="43">
        <f>IFERROR(SUM(Y393:Y394),"0")</f>
        <v>0</v>
      </c>
      <c r="Z396" s="42"/>
      <c r="AA396" s="67"/>
      <c r="AB396" s="67"/>
      <c r="AC396" s="67"/>
    </row>
    <row r="397" spans="1:68" ht="14.25" customHeight="1" x14ac:dyDescent="0.25">
      <c r="A397" s="677" t="s">
        <v>186</v>
      </c>
      <c r="B397" s="677"/>
      <c r="C397" s="677"/>
      <c r="D397" s="677"/>
      <c r="E397" s="677"/>
      <c r="F397" s="677"/>
      <c r="G397" s="677"/>
      <c r="H397" s="677"/>
      <c r="I397" s="677"/>
      <c r="J397" s="677"/>
      <c r="K397" s="677"/>
      <c r="L397" s="677"/>
      <c r="M397" s="677"/>
      <c r="N397" s="677"/>
      <c r="O397" s="677"/>
      <c r="P397" s="677"/>
      <c r="Q397" s="677"/>
      <c r="R397" s="677"/>
      <c r="S397" s="677"/>
      <c r="T397" s="677"/>
      <c r="U397" s="677"/>
      <c r="V397" s="677"/>
      <c r="W397" s="677"/>
      <c r="X397" s="677"/>
      <c r="Y397" s="677"/>
      <c r="Z397" s="677"/>
      <c r="AA397" s="66"/>
      <c r="AB397" s="66"/>
      <c r="AC397" s="80"/>
    </row>
    <row r="398" spans="1:68" ht="27" customHeight="1" x14ac:dyDescent="0.25">
      <c r="A398" s="63" t="s">
        <v>627</v>
      </c>
      <c r="B398" s="63" t="s">
        <v>628</v>
      </c>
      <c r="C398" s="36">
        <v>4301060439</v>
      </c>
      <c r="D398" s="678">
        <v>4607091384673</v>
      </c>
      <c r="E398" s="678"/>
      <c r="F398" s="62">
        <v>1.5</v>
      </c>
      <c r="G398" s="37">
        <v>6</v>
      </c>
      <c r="H398" s="62">
        <v>9</v>
      </c>
      <c r="I398" s="62">
        <v>9.5190000000000001</v>
      </c>
      <c r="J398" s="37">
        <v>64</v>
      </c>
      <c r="K398" s="37" t="s">
        <v>114</v>
      </c>
      <c r="L398" s="37" t="s">
        <v>45</v>
      </c>
      <c r="M398" s="38" t="s">
        <v>117</v>
      </c>
      <c r="N398" s="38"/>
      <c r="O398" s="37">
        <v>30</v>
      </c>
      <c r="P398" s="793" t="s">
        <v>629</v>
      </c>
      <c r="Q398" s="680"/>
      <c r="R398" s="680"/>
      <c r="S398" s="680"/>
      <c r="T398" s="681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45</v>
      </c>
      <c r="AB398" s="69" t="s">
        <v>45</v>
      </c>
      <c r="AC398" s="462" t="s">
        <v>630</v>
      </c>
      <c r="AG398" s="78"/>
      <c r="AJ398" s="84" t="s">
        <v>45</v>
      </c>
      <c r="AK398" s="84">
        <v>0</v>
      </c>
      <c r="BB398" s="46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85"/>
      <c r="B399" s="685"/>
      <c r="C399" s="685"/>
      <c r="D399" s="685"/>
      <c r="E399" s="685"/>
      <c r="F399" s="685"/>
      <c r="G399" s="685"/>
      <c r="H399" s="685"/>
      <c r="I399" s="685"/>
      <c r="J399" s="685"/>
      <c r="K399" s="685"/>
      <c r="L399" s="685"/>
      <c r="M399" s="685"/>
      <c r="N399" s="685"/>
      <c r="O399" s="686"/>
      <c r="P399" s="682" t="s">
        <v>40</v>
      </c>
      <c r="Q399" s="683"/>
      <c r="R399" s="683"/>
      <c r="S399" s="683"/>
      <c r="T399" s="683"/>
      <c r="U399" s="683"/>
      <c r="V399" s="684"/>
      <c r="W399" s="42" t="s">
        <v>39</v>
      </c>
      <c r="X399" s="43">
        <f>IFERROR(X398/H398,"0")</f>
        <v>0</v>
      </c>
      <c r="Y399" s="43">
        <f>IFERROR(Y398/H398,"0")</f>
        <v>0</v>
      </c>
      <c r="Z399" s="43">
        <f>IFERROR(IF(Z398="",0,Z398),"0")</f>
        <v>0</v>
      </c>
      <c r="AA399" s="67"/>
      <c r="AB399" s="67"/>
      <c r="AC399" s="67"/>
    </row>
    <row r="400" spans="1:68" x14ac:dyDescent="0.2">
      <c r="A400" s="685"/>
      <c r="B400" s="685"/>
      <c r="C400" s="685"/>
      <c r="D400" s="685"/>
      <c r="E400" s="685"/>
      <c r="F400" s="685"/>
      <c r="G400" s="685"/>
      <c r="H400" s="685"/>
      <c r="I400" s="685"/>
      <c r="J400" s="685"/>
      <c r="K400" s="685"/>
      <c r="L400" s="685"/>
      <c r="M400" s="685"/>
      <c r="N400" s="685"/>
      <c r="O400" s="686"/>
      <c r="P400" s="682" t="s">
        <v>40</v>
      </c>
      <c r="Q400" s="683"/>
      <c r="R400" s="683"/>
      <c r="S400" s="683"/>
      <c r="T400" s="683"/>
      <c r="U400" s="683"/>
      <c r="V400" s="684"/>
      <c r="W400" s="42" t="s">
        <v>0</v>
      </c>
      <c r="X400" s="43">
        <f>IFERROR(SUM(X398:X398),"0")</f>
        <v>0</v>
      </c>
      <c r="Y400" s="43">
        <f>IFERROR(SUM(Y398:Y398),"0")</f>
        <v>0</v>
      </c>
      <c r="Z400" s="42"/>
      <c r="AA400" s="67"/>
      <c r="AB400" s="67"/>
      <c r="AC400" s="67"/>
    </row>
    <row r="401" spans="1:68" ht="16.5" customHeight="1" x14ac:dyDescent="0.25">
      <c r="A401" s="699" t="s">
        <v>631</v>
      </c>
      <c r="B401" s="699"/>
      <c r="C401" s="699"/>
      <c r="D401" s="699"/>
      <c r="E401" s="699"/>
      <c r="F401" s="699"/>
      <c r="G401" s="699"/>
      <c r="H401" s="699"/>
      <c r="I401" s="699"/>
      <c r="J401" s="699"/>
      <c r="K401" s="699"/>
      <c r="L401" s="699"/>
      <c r="M401" s="699"/>
      <c r="N401" s="699"/>
      <c r="O401" s="699"/>
      <c r="P401" s="699"/>
      <c r="Q401" s="699"/>
      <c r="R401" s="699"/>
      <c r="S401" s="699"/>
      <c r="T401" s="699"/>
      <c r="U401" s="699"/>
      <c r="V401" s="699"/>
      <c r="W401" s="699"/>
      <c r="X401" s="699"/>
      <c r="Y401" s="699"/>
      <c r="Z401" s="699"/>
      <c r="AA401" s="65"/>
      <c r="AB401" s="65"/>
      <c r="AC401" s="79"/>
    </row>
    <row r="402" spans="1:68" ht="14.25" customHeight="1" x14ac:dyDescent="0.25">
      <c r="A402" s="677" t="s">
        <v>109</v>
      </c>
      <c r="B402" s="677"/>
      <c r="C402" s="677"/>
      <c r="D402" s="677"/>
      <c r="E402" s="677"/>
      <c r="F402" s="677"/>
      <c r="G402" s="677"/>
      <c r="H402" s="677"/>
      <c r="I402" s="677"/>
      <c r="J402" s="677"/>
      <c r="K402" s="677"/>
      <c r="L402" s="677"/>
      <c r="M402" s="677"/>
      <c r="N402" s="677"/>
      <c r="O402" s="677"/>
      <c r="P402" s="677"/>
      <c r="Q402" s="677"/>
      <c r="R402" s="677"/>
      <c r="S402" s="677"/>
      <c r="T402" s="677"/>
      <c r="U402" s="677"/>
      <c r="V402" s="677"/>
      <c r="W402" s="677"/>
      <c r="X402" s="677"/>
      <c r="Y402" s="677"/>
      <c r="Z402" s="677"/>
      <c r="AA402" s="66"/>
      <c r="AB402" s="66"/>
      <c r="AC402" s="80"/>
    </row>
    <row r="403" spans="1:68" ht="27" customHeight="1" x14ac:dyDescent="0.25">
      <c r="A403" s="63" t="s">
        <v>632</v>
      </c>
      <c r="B403" s="63" t="s">
        <v>633</v>
      </c>
      <c r="C403" s="36">
        <v>4301011483</v>
      </c>
      <c r="D403" s="678">
        <v>4680115881907</v>
      </c>
      <c r="E403" s="678"/>
      <c r="F403" s="62">
        <v>1.8</v>
      </c>
      <c r="G403" s="37">
        <v>6</v>
      </c>
      <c r="H403" s="62">
        <v>10.8</v>
      </c>
      <c r="I403" s="62">
        <v>11.234999999999999</v>
      </c>
      <c r="J403" s="37">
        <v>64</v>
      </c>
      <c r="K403" s="37" t="s">
        <v>114</v>
      </c>
      <c r="L403" s="37" t="s">
        <v>45</v>
      </c>
      <c r="M403" s="38" t="s">
        <v>82</v>
      </c>
      <c r="N403" s="38"/>
      <c r="O403" s="37">
        <v>60</v>
      </c>
      <c r="P403" s="79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0"/>
      <c r="R403" s="680"/>
      <c r="S403" s="680"/>
      <c r="T403" s="681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IFERROR(IF(Y403=0,"",ROUNDUP(Y403/H403,0)*0.01898),"")</f>
        <v/>
      </c>
      <c r="AA403" s="68" t="s">
        <v>45</v>
      </c>
      <c r="AB403" s="69" t="s">
        <v>45</v>
      </c>
      <c r="AC403" s="464" t="s">
        <v>634</v>
      </c>
      <c r="AG403" s="78"/>
      <c r="AJ403" s="84" t="s">
        <v>45</v>
      </c>
      <c r="AK403" s="84">
        <v>0</v>
      </c>
      <c r="BB403" s="46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37.5" customHeight="1" x14ac:dyDescent="0.25">
      <c r="A404" s="63" t="s">
        <v>632</v>
      </c>
      <c r="B404" s="63" t="s">
        <v>635</v>
      </c>
      <c r="C404" s="36">
        <v>4301011873</v>
      </c>
      <c r="D404" s="678">
        <v>4680115881907</v>
      </c>
      <c r="E404" s="678"/>
      <c r="F404" s="62">
        <v>1.8</v>
      </c>
      <c r="G404" s="37">
        <v>6</v>
      </c>
      <c r="H404" s="62">
        <v>10.8</v>
      </c>
      <c r="I404" s="62">
        <v>11.234999999999999</v>
      </c>
      <c r="J404" s="37">
        <v>64</v>
      </c>
      <c r="K404" s="37" t="s">
        <v>114</v>
      </c>
      <c r="L404" s="37" t="s">
        <v>45</v>
      </c>
      <c r="M404" s="38" t="s">
        <v>82</v>
      </c>
      <c r="N404" s="38"/>
      <c r="O404" s="37">
        <v>60</v>
      </c>
      <c r="P404" s="79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0"/>
      <c r="R404" s="680"/>
      <c r="S404" s="680"/>
      <c r="T404" s="681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IFERROR(IF(Y404=0,"",ROUNDUP(Y404/H404,0)*0.01898),"")</f>
        <v/>
      </c>
      <c r="AA404" s="68" t="s">
        <v>45</v>
      </c>
      <c r="AB404" s="69" t="s">
        <v>45</v>
      </c>
      <c r="AC404" s="466" t="s">
        <v>636</v>
      </c>
      <c r="AG404" s="78"/>
      <c r="AJ404" s="84" t="s">
        <v>45</v>
      </c>
      <c r="AK404" s="84">
        <v>0</v>
      </c>
      <c r="BB404" s="46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37.5" customHeight="1" x14ac:dyDescent="0.25">
      <c r="A405" s="63" t="s">
        <v>637</v>
      </c>
      <c r="B405" s="63" t="s">
        <v>638</v>
      </c>
      <c r="C405" s="36">
        <v>4301011874</v>
      </c>
      <c r="D405" s="678">
        <v>4680115884892</v>
      </c>
      <c r="E405" s="678"/>
      <c r="F405" s="62">
        <v>1.8</v>
      </c>
      <c r="G405" s="37">
        <v>6</v>
      </c>
      <c r="H405" s="62">
        <v>10.8</v>
      </c>
      <c r="I405" s="62">
        <v>11.234999999999999</v>
      </c>
      <c r="J405" s="37">
        <v>64</v>
      </c>
      <c r="K405" s="37" t="s">
        <v>114</v>
      </c>
      <c r="L405" s="37" t="s">
        <v>45</v>
      </c>
      <c r="M405" s="38" t="s">
        <v>82</v>
      </c>
      <c r="N405" s="38"/>
      <c r="O405" s="37">
        <v>60</v>
      </c>
      <c r="P405" s="79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0"/>
      <c r="R405" s="680"/>
      <c r="S405" s="680"/>
      <c r="T405" s="681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45</v>
      </c>
      <c r="AB405" s="69" t="s">
        <v>45</v>
      </c>
      <c r="AC405" s="468" t="s">
        <v>639</v>
      </c>
      <c r="AG405" s="78"/>
      <c r="AJ405" s="84" t="s">
        <v>45</v>
      </c>
      <c r="AK405" s="84">
        <v>0</v>
      </c>
      <c r="BB405" s="46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37.5" customHeight="1" x14ac:dyDescent="0.25">
      <c r="A406" s="63" t="s">
        <v>640</v>
      </c>
      <c r="B406" s="63" t="s">
        <v>641</v>
      </c>
      <c r="C406" s="36">
        <v>4301011875</v>
      </c>
      <c r="D406" s="678">
        <v>4680115884885</v>
      </c>
      <c r="E406" s="678"/>
      <c r="F406" s="62">
        <v>0.8</v>
      </c>
      <c r="G406" s="37">
        <v>15</v>
      </c>
      <c r="H406" s="62">
        <v>12</v>
      </c>
      <c r="I406" s="62">
        <v>12.435</v>
      </c>
      <c r="J406" s="37">
        <v>64</v>
      </c>
      <c r="K406" s="37" t="s">
        <v>114</v>
      </c>
      <c r="L406" s="37" t="s">
        <v>45</v>
      </c>
      <c r="M406" s="38" t="s">
        <v>82</v>
      </c>
      <c r="N406" s="38"/>
      <c r="O406" s="37">
        <v>60</v>
      </c>
      <c r="P406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0"/>
      <c r="R406" s="680"/>
      <c r="S406" s="680"/>
      <c r="T406" s="681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45</v>
      </c>
      <c r="AB406" s="69" t="s">
        <v>45</v>
      </c>
      <c r="AC406" s="470" t="s">
        <v>639</v>
      </c>
      <c r="AG406" s="78"/>
      <c r="AJ406" s="84" t="s">
        <v>45</v>
      </c>
      <c r="AK406" s="84">
        <v>0</v>
      </c>
      <c r="BB406" s="47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37.5" customHeight="1" x14ac:dyDescent="0.25">
      <c r="A407" s="63" t="s">
        <v>642</v>
      </c>
      <c r="B407" s="63" t="s">
        <v>643</v>
      </c>
      <c r="C407" s="36">
        <v>4301011871</v>
      </c>
      <c r="D407" s="678">
        <v>4680115884908</v>
      </c>
      <c r="E407" s="678"/>
      <c r="F407" s="62">
        <v>0.4</v>
      </c>
      <c r="G407" s="37">
        <v>10</v>
      </c>
      <c r="H407" s="62">
        <v>4</v>
      </c>
      <c r="I407" s="62">
        <v>4.21</v>
      </c>
      <c r="J407" s="37">
        <v>132</v>
      </c>
      <c r="K407" s="37" t="s">
        <v>118</v>
      </c>
      <c r="L407" s="37" t="s">
        <v>45</v>
      </c>
      <c r="M407" s="38" t="s">
        <v>82</v>
      </c>
      <c r="N407" s="38"/>
      <c r="O407" s="37">
        <v>60</v>
      </c>
      <c r="P407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0"/>
      <c r="R407" s="680"/>
      <c r="S407" s="680"/>
      <c r="T407" s="681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72" t="s">
        <v>639</v>
      </c>
      <c r="AG407" s="78"/>
      <c r="AJ407" s="84" t="s">
        <v>45</v>
      </c>
      <c r="AK407" s="84">
        <v>0</v>
      </c>
      <c r="BB407" s="47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85"/>
      <c r="B408" s="685"/>
      <c r="C408" s="685"/>
      <c r="D408" s="685"/>
      <c r="E408" s="685"/>
      <c r="F408" s="685"/>
      <c r="G408" s="685"/>
      <c r="H408" s="685"/>
      <c r="I408" s="685"/>
      <c r="J408" s="685"/>
      <c r="K408" s="685"/>
      <c r="L408" s="685"/>
      <c r="M408" s="685"/>
      <c r="N408" s="685"/>
      <c r="O408" s="686"/>
      <c r="P408" s="682" t="s">
        <v>40</v>
      </c>
      <c r="Q408" s="683"/>
      <c r="R408" s="683"/>
      <c r="S408" s="683"/>
      <c r="T408" s="683"/>
      <c r="U408" s="683"/>
      <c r="V408" s="684"/>
      <c r="W408" s="42" t="s">
        <v>39</v>
      </c>
      <c r="X408" s="43">
        <f>IFERROR(X403/H403,"0")+IFERROR(X404/H404,"0")+IFERROR(X405/H405,"0")+IFERROR(X406/H406,"0")+IFERROR(X407/H407,"0")</f>
        <v>0</v>
      </c>
      <c r="Y408" s="43">
        <f>IFERROR(Y403/H403,"0")+IFERROR(Y404/H404,"0")+IFERROR(Y405/H405,"0")+IFERROR(Y406/H406,"0")+IFERROR(Y407/H407,"0")</f>
        <v>0</v>
      </c>
      <c r="Z408" s="43">
        <f>IFERROR(IF(Z403="",0,Z403),"0")+IFERROR(IF(Z404="",0,Z404),"0")+IFERROR(IF(Z405="",0,Z405),"0")+IFERROR(IF(Z406="",0,Z406),"0")+IFERROR(IF(Z407="",0,Z407),"0")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85"/>
      <c r="B409" s="685"/>
      <c r="C409" s="685"/>
      <c r="D409" s="685"/>
      <c r="E409" s="685"/>
      <c r="F409" s="685"/>
      <c r="G409" s="685"/>
      <c r="H409" s="685"/>
      <c r="I409" s="685"/>
      <c r="J409" s="685"/>
      <c r="K409" s="685"/>
      <c r="L409" s="685"/>
      <c r="M409" s="685"/>
      <c r="N409" s="685"/>
      <c r="O409" s="686"/>
      <c r="P409" s="682" t="s">
        <v>40</v>
      </c>
      <c r="Q409" s="683"/>
      <c r="R409" s="683"/>
      <c r="S409" s="683"/>
      <c r="T409" s="683"/>
      <c r="U409" s="683"/>
      <c r="V409" s="684"/>
      <c r="W409" s="42" t="s">
        <v>0</v>
      </c>
      <c r="X409" s="43">
        <f>IFERROR(SUM(X403:X407),"0")</f>
        <v>0</v>
      </c>
      <c r="Y409" s="43">
        <f>IFERROR(SUM(Y403:Y407),"0")</f>
        <v>0</v>
      </c>
      <c r="Z409" s="42"/>
      <c r="AA409" s="67"/>
      <c r="AB409" s="67"/>
      <c r="AC409" s="67"/>
    </row>
    <row r="410" spans="1:68" ht="14.25" customHeight="1" x14ac:dyDescent="0.25">
      <c r="A410" s="677" t="s">
        <v>160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"/>
      <c r="AB410" s="66"/>
      <c r="AC410" s="80"/>
    </row>
    <row r="411" spans="1:68" ht="27" customHeight="1" x14ac:dyDescent="0.25">
      <c r="A411" s="63" t="s">
        <v>644</v>
      </c>
      <c r="B411" s="63" t="s">
        <v>645</v>
      </c>
      <c r="C411" s="36">
        <v>4301031303</v>
      </c>
      <c r="D411" s="678">
        <v>4607091384802</v>
      </c>
      <c r="E411" s="678"/>
      <c r="F411" s="62">
        <v>0.73</v>
      </c>
      <c r="G411" s="37">
        <v>6</v>
      </c>
      <c r="H411" s="62">
        <v>4.38</v>
      </c>
      <c r="I411" s="62">
        <v>4.6500000000000004</v>
      </c>
      <c r="J411" s="37">
        <v>132</v>
      </c>
      <c r="K411" s="37" t="s">
        <v>118</v>
      </c>
      <c r="L411" s="37" t="s">
        <v>45</v>
      </c>
      <c r="M411" s="38" t="s">
        <v>82</v>
      </c>
      <c r="N411" s="38"/>
      <c r="O411" s="37">
        <v>35</v>
      </c>
      <c r="P411" s="78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0"/>
      <c r="R411" s="680"/>
      <c r="S411" s="680"/>
      <c r="T411" s="681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4" t="s">
        <v>646</v>
      </c>
      <c r="AG411" s="78"/>
      <c r="AJ411" s="84" t="s">
        <v>45</v>
      </c>
      <c r="AK411" s="84">
        <v>0</v>
      </c>
      <c r="BB411" s="47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647</v>
      </c>
      <c r="B412" s="63" t="s">
        <v>648</v>
      </c>
      <c r="C412" s="36">
        <v>4301031304</v>
      </c>
      <c r="D412" s="678">
        <v>4607091384826</v>
      </c>
      <c r="E412" s="678"/>
      <c r="F412" s="62">
        <v>0.35</v>
      </c>
      <c r="G412" s="37">
        <v>8</v>
      </c>
      <c r="H412" s="62">
        <v>2.8</v>
      </c>
      <c r="I412" s="62">
        <v>2.98</v>
      </c>
      <c r="J412" s="37">
        <v>234</v>
      </c>
      <c r="K412" s="37" t="s">
        <v>164</v>
      </c>
      <c r="L412" s="37" t="s">
        <v>45</v>
      </c>
      <c r="M412" s="38" t="s">
        <v>82</v>
      </c>
      <c r="N412" s="38"/>
      <c r="O412" s="37">
        <v>35</v>
      </c>
      <c r="P412" s="789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0"/>
      <c r="R412" s="680"/>
      <c r="S412" s="680"/>
      <c r="T412" s="681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6" t="s">
        <v>646</v>
      </c>
      <c r="AG412" s="78"/>
      <c r="AJ412" s="84" t="s">
        <v>45</v>
      </c>
      <c r="AK412" s="84">
        <v>0</v>
      </c>
      <c r="BB412" s="477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">
      <c r="A413" s="685"/>
      <c r="B413" s="685"/>
      <c r="C413" s="685"/>
      <c r="D413" s="685"/>
      <c r="E413" s="685"/>
      <c r="F413" s="685"/>
      <c r="G413" s="685"/>
      <c r="H413" s="685"/>
      <c r="I413" s="685"/>
      <c r="J413" s="685"/>
      <c r="K413" s="685"/>
      <c r="L413" s="685"/>
      <c r="M413" s="685"/>
      <c r="N413" s="685"/>
      <c r="O413" s="686"/>
      <c r="P413" s="682" t="s">
        <v>40</v>
      </c>
      <c r="Q413" s="683"/>
      <c r="R413" s="683"/>
      <c r="S413" s="683"/>
      <c r="T413" s="683"/>
      <c r="U413" s="683"/>
      <c r="V413" s="684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">
      <c r="A414" s="685"/>
      <c r="B414" s="685"/>
      <c r="C414" s="685"/>
      <c r="D414" s="685"/>
      <c r="E414" s="685"/>
      <c r="F414" s="685"/>
      <c r="G414" s="685"/>
      <c r="H414" s="685"/>
      <c r="I414" s="685"/>
      <c r="J414" s="685"/>
      <c r="K414" s="685"/>
      <c r="L414" s="685"/>
      <c r="M414" s="685"/>
      <c r="N414" s="685"/>
      <c r="O414" s="686"/>
      <c r="P414" s="682" t="s">
        <v>40</v>
      </c>
      <c r="Q414" s="683"/>
      <c r="R414" s="683"/>
      <c r="S414" s="683"/>
      <c r="T414" s="683"/>
      <c r="U414" s="683"/>
      <c r="V414" s="684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4.25" customHeight="1" x14ac:dyDescent="0.25">
      <c r="A415" s="677" t="s">
        <v>78</v>
      </c>
      <c r="B415" s="677"/>
      <c r="C415" s="677"/>
      <c r="D415" s="677"/>
      <c r="E415" s="677"/>
      <c r="F415" s="677"/>
      <c r="G415" s="677"/>
      <c r="H415" s="677"/>
      <c r="I415" s="677"/>
      <c r="J415" s="677"/>
      <c r="K415" s="677"/>
      <c r="L415" s="677"/>
      <c r="M415" s="677"/>
      <c r="N415" s="677"/>
      <c r="O415" s="677"/>
      <c r="P415" s="677"/>
      <c r="Q415" s="677"/>
      <c r="R415" s="677"/>
      <c r="S415" s="677"/>
      <c r="T415" s="677"/>
      <c r="U415" s="677"/>
      <c r="V415" s="677"/>
      <c r="W415" s="677"/>
      <c r="X415" s="677"/>
      <c r="Y415" s="677"/>
      <c r="Z415" s="677"/>
      <c r="AA415" s="66"/>
      <c r="AB415" s="66"/>
      <c r="AC415" s="80"/>
    </row>
    <row r="416" spans="1:68" ht="27" customHeight="1" x14ac:dyDescent="0.25">
      <c r="A416" s="63" t="s">
        <v>649</v>
      </c>
      <c r="B416" s="63" t="s">
        <v>650</v>
      </c>
      <c r="C416" s="36">
        <v>4301051899</v>
      </c>
      <c r="D416" s="678">
        <v>4607091384246</v>
      </c>
      <c r="E416" s="678"/>
      <c r="F416" s="62">
        <v>1.5</v>
      </c>
      <c r="G416" s="37">
        <v>6</v>
      </c>
      <c r="H416" s="62">
        <v>9</v>
      </c>
      <c r="I416" s="62">
        <v>9.5190000000000001</v>
      </c>
      <c r="J416" s="37">
        <v>64</v>
      </c>
      <c r="K416" s="37" t="s">
        <v>114</v>
      </c>
      <c r="L416" s="37" t="s">
        <v>45</v>
      </c>
      <c r="M416" s="38" t="s">
        <v>117</v>
      </c>
      <c r="N416" s="38"/>
      <c r="O416" s="37">
        <v>40</v>
      </c>
      <c r="P416" s="7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0"/>
      <c r="R416" s="680"/>
      <c r="S416" s="680"/>
      <c r="T416" s="68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45</v>
      </c>
      <c r="AB416" s="69" t="s">
        <v>45</v>
      </c>
      <c r="AC416" s="478" t="s">
        <v>651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37.5" customHeight="1" x14ac:dyDescent="0.25">
      <c r="A417" s="63" t="s">
        <v>652</v>
      </c>
      <c r="B417" s="63" t="s">
        <v>653</v>
      </c>
      <c r="C417" s="36">
        <v>4301051901</v>
      </c>
      <c r="D417" s="678">
        <v>4680115881976</v>
      </c>
      <c r="E417" s="678"/>
      <c r="F417" s="62">
        <v>1.5</v>
      </c>
      <c r="G417" s="37">
        <v>6</v>
      </c>
      <c r="H417" s="62">
        <v>9</v>
      </c>
      <c r="I417" s="62">
        <v>9.4350000000000005</v>
      </c>
      <c r="J417" s="37">
        <v>64</v>
      </c>
      <c r="K417" s="37" t="s">
        <v>114</v>
      </c>
      <c r="L417" s="37" t="s">
        <v>45</v>
      </c>
      <c r="M417" s="38" t="s">
        <v>117</v>
      </c>
      <c r="N417" s="38"/>
      <c r="O417" s="37">
        <v>40</v>
      </c>
      <c r="P417" s="791" t="s">
        <v>654</v>
      </c>
      <c r="Q417" s="680"/>
      <c r="R417" s="680"/>
      <c r="S417" s="680"/>
      <c r="T417" s="681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45</v>
      </c>
      <c r="AB417" s="69" t="s">
        <v>45</v>
      </c>
      <c r="AC417" s="480" t="s">
        <v>655</v>
      </c>
      <c r="AG417" s="78"/>
      <c r="AJ417" s="84" t="s">
        <v>45</v>
      </c>
      <c r="AK417" s="84">
        <v>0</v>
      </c>
      <c r="BB417" s="48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656</v>
      </c>
      <c r="B418" s="63" t="s">
        <v>657</v>
      </c>
      <c r="C418" s="36">
        <v>4301051297</v>
      </c>
      <c r="D418" s="678">
        <v>4607091384253</v>
      </c>
      <c r="E418" s="678"/>
      <c r="F418" s="62">
        <v>0.4</v>
      </c>
      <c r="G418" s="37">
        <v>6</v>
      </c>
      <c r="H418" s="62">
        <v>2.4</v>
      </c>
      <c r="I418" s="62">
        <v>2.6640000000000001</v>
      </c>
      <c r="J418" s="37">
        <v>182</v>
      </c>
      <c r="K418" s="37" t="s">
        <v>83</v>
      </c>
      <c r="L418" s="37" t="s">
        <v>45</v>
      </c>
      <c r="M418" s="38" t="s">
        <v>82</v>
      </c>
      <c r="N418" s="38"/>
      <c r="O418" s="37">
        <v>40</v>
      </c>
      <c r="P418" s="79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0"/>
      <c r="R418" s="680"/>
      <c r="S418" s="680"/>
      <c r="T418" s="681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45</v>
      </c>
      <c r="AB418" s="69" t="s">
        <v>45</v>
      </c>
      <c r="AC418" s="482" t="s">
        <v>658</v>
      </c>
      <c r="AG418" s="78"/>
      <c r="AJ418" s="84" t="s">
        <v>45</v>
      </c>
      <c r="AK418" s="84">
        <v>0</v>
      </c>
      <c r="BB418" s="48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656</v>
      </c>
      <c r="B419" s="63" t="s">
        <v>659</v>
      </c>
      <c r="C419" s="36">
        <v>4301051660</v>
      </c>
      <c r="D419" s="678">
        <v>4607091384253</v>
      </c>
      <c r="E419" s="678"/>
      <c r="F419" s="62">
        <v>0.4</v>
      </c>
      <c r="G419" s="37">
        <v>6</v>
      </c>
      <c r="H419" s="62">
        <v>2.4</v>
      </c>
      <c r="I419" s="62">
        <v>2.6640000000000001</v>
      </c>
      <c r="J419" s="37">
        <v>182</v>
      </c>
      <c r="K419" s="37" t="s">
        <v>83</v>
      </c>
      <c r="L419" s="37" t="s">
        <v>45</v>
      </c>
      <c r="M419" s="38" t="s">
        <v>117</v>
      </c>
      <c r="N419" s="38"/>
      <c r="O419" s="37">
        <v>40</v>
      </c>
      <c r="P419" s="7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0"/>
      <c r="R419" s="680"/>
      <c r="S419" s="680"/>
      <c r="T419" s="681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651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660</v>
      </c>
      <c r="B420" s="63" t="s">
        <v>661</v>
      </c>
      <c r="C420" s="36">
        <v>4301051444</v>
      </c>
      <c r="D420" s="678">
        <v>4680115881969</v>
      </c>
      <c r="E420" s="678"/>
      <c r="F420" s="62">
        <v>0.4</v>
      </c>
      <c r="G420" s="37">
        <v>6</v>
      </c>
      <c r="H420" s="62">
        <v>2.4</v>
      </c>
      <c r="I420" s="62">
        <v>2.58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40</v>
      </c>
      <c r="P420" s="78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0"/>
      <c r="R420" s="680"/>
      <c r="S420" s="680"/>
      <c r="T420" s="681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662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85"/>
      <c r="B421" s="685"/>
      <c r="C421" s="685"/>
      <c r="D421" s="685"/>
      <c r="E421" s="685"/>
      <c r="F421" s="685"/>
      <c r="G421" s="685"/>
      <c r="H421" s="685"/>
      <c r="I421" s="685"/>
      <c r="J421" s="685"/>
      <c r="K421" s="685"/>
      <c r="L421" s="685"/>
      <c r="M421" s="685"/>
      <c r="N421" s="685"/>
      <c r="O421" s="686"/>
      <c r="P421" s="682" t="s">
        <v>40</v>
      </c>
      <c r="Q421" s="683"/>
      <c r="R421" s="683"/>
      <c r="S421" s="683"/>
      <c r="T421" s="683"/>
      <c r="U421" s="683"/>
      <c r="V421" s="684"/>
      <c r="W421" s="42" t="s">
        <v>39</v>
      </c>
      <c r="X421" s="43">
        <f>IFERROR(X416/H416,"0")+IFERROR(X417/H417,"0")+IFERROR(X418/H418,"0")+IFERROR(X419/H419,"0")+IFERROR(X420/H420,"0")</f>
        <v>0</v>
      </c>
      <c r="Y421" s="43">
        <f>IFERROR(Y416/H416,"0")+IFERROR(Y417/H417,"0")+IFERROR(Y418/H418,"0")+IFERROR(Y419/H419,"0")+IFERROR(Y420/H420,"0")</f>
        <v>0</v>
      </c>
      <c r="Z421" s="43">
        <f>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85"/>
      <c r="B422" s="685"/>
      <c r="C422" s="685"/>
      <c r="D422" s="685"/>
      <c r="E422" s="685"/>
      <c r="F422" s="685"/>
      <c r="G422" s="685"/>
      <c r="H422" s="685"/>
      <c r="I422" s="685"/>
      <c r="J422" s="685"/>
      <c r="K422" s="685"/>
      <c r="L422" s="685"/>
      <c r="M422" s="685"/>
      <c r="N422" s="685"/>
      <c r="O422" s="686"/>
      <c r="P422" s="682" t="s">
        <v>40</v>
      </c>
      <c r="Q422" s="683"/>
      <c r="R422" s="683"/>
      <c r="S422" s="683"/>
      <c r="T422" s="683"/>
      <c r="U422" s="683"/>
      <c r="V422" s="684"/>
      <c r="W422" s="42" t="s">
        <v>0</v>
      </c>
      <c r="X422" s="43">
        <f>IFERROR(SUM(X416:X420),"0")</f>
        <v>0</v>
      </c>
      <c r="Y422" s="43">
        <f>IFERROR(SUM(Y416:Y420),"0")</f>
        <v>0</v>
      </c>
      <c r="Z422" s="42"/>
      <c r="AA422" s="67"/>
      <c r="AB422" s="67"/>
      <c r="AC422" s="67"/>
    </row>
    <row r="423" spans="1:68" ht="14.25" customHeight="1" x14ac:dyDescent="0.25">
      <c r="A423" s="677" t="s">
        <v>186</v>
      </c>
      <c r="B423" s="677"/>
      <c r="C423" s="677"/>
      <c r="D423" s="677"/>
      <c r="E423" s="677"/>
      <c r="F423" s="677"/>
      <c r="G423" s="677"/>
      <c r="H423" s="677"/>
      <c r="I423" s="677"/>
      <c r="J423" s="677"/>
      <c r="K423" s="677"/>
      <c r="L423" s="677"/>
      <c r="M423" s="677"/>
      <c r="N423" s="677"/>
      <c r="O423" s="677"/>
      <c r="P423" s="677"/>
      <c r="Q423" s="677"/>
      <c r="R423" s="677"/>
      <c r="S423" s="677"/>
      <c r="T423" s="677"/>
      <c r="U423" s="677"/>
      <c r="V423" s="677"/>
      <c r="W423" s="677"/>
      <c r="X423" s="677"/>
      <c r="Y423" s="677"/>
      <c r="Z423" s="677"/>
      <c r="AA423" s="66"/>
      <c r="AB423" s="66"/>
      <c r="AC423" s="80"/>
    </row>
    <row r="424" spans="1:68" ht="27" customHeight="1" x14ac:dyDescent="0.25">
      <c r="A424" s="63" t="s">
        <v>663</v>
      </c>
      <c r="B424" s="63" t="s">
        <v>664</v>
      </c>
      <c r="C424" s="36">
        <v>4301060441</v>
      </c>
      <c r="D424" s="678">
        <v>4607091389357</v>
      </c>
      <c r="E424" s="678"/>
      <c r="F424" s="62">
        <v>1.5</v>
      </c>
      <c r="G424" s="37">
        <v>6</v>
      </c>
      <c r="H424" s="62">
        <v>9</v>
      </c>
      <c r="I424" s="62">
        <v>9.4350000000000005</v>
      </c>
      <c r="J424" s="37">
        <v>64</v>
      </c>
      <c r="K424" s="37" t="s">
        <v>114</v>
      </c>
      <c r="L424" s="37" t="s">
        <v>45</v>
      </c>
      <c r="M424" s="38" t="s">
        <v>117</v>
      </c>
      <c r="N424" s="38"/>
      <c r="O424" s="37">
        <v>40</v>
      </c>
      <c r="P424" s="786" t="s">
        <v>665</v>
      </c>
      <c r="Q424" s="680"/>
      <c r="R424" s="680"/>
      <c r="S424" s="680"/>
      <c r="T424" s="681"/>
      <c r="U424" s="39" t="s">
        <v>45</v>
      </c>
      <c r="V424" s="39" t="s">
        <v>45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45</v>
      </c>
      <c r="AB424" s="69" t="s">
        <v>45</v>
      </c>
      <c r="AC424" s="488" t="s">
        <v>666</v>
      </c>
      <c r="AG424" s="78"/>
      <c r="AJ424" s="84" t="s">
        <v>45</v>
      </c>
      <c r="AK424" s="84">
        <v>0</v>
      </c>
      <c r="BB424" s="48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85"/>
      <c r="B425" s="685"/>
      <c r="C425" s="685"/>
      <c r="D425" s="685"/>
      <c r="E425" s="685"/>
      <c r="F425" s="685"/>
      <c r="G425" s="685"/>
      <c r="H425" s="685"/>
      <c r="I425" s="685"/>
      <c r="J425" s="685"/>
      <c r="K425" s="685"/>
      <c r="L425" s="685"/>
      <c r="M425" s="685"/>
      <c r="N425" s="685"/>
      <c r="O425" s="686"/>
      <c r="P425" s="682" t="s">
        <v>40</v>
      </c>
      <c r="Q425" s="683"/>
      <c r="R425" s="683"/>
      <c r="S425" s="683"/>
      <c r="T425" s="683"/>
      <c r="U425" s="683"/>
      <c r="V425" s="684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x14ac:dyDescent="0.2">
      <c r="A426" s="685"/>
      <c r="B426" s="685"/>
      <c r="C426" s="685"/>
      <c r="D426" s="685"/>
      <c r="E426" s="685"/>
      <c r="F426" s="685"/>
      <c r="G426" s="685"/>
      <c r="H426" s="685"/>
      <c r="I426" s="685"/>
      <c r="J426" s="685"/>
      <c r="K426" s="685"/>
      <c r="L426" s="685"/>
      <c r="M426" s="685"/>
      <c r="N426" s="685"/>
      <c r="O426" s="686"/>
      <c r="P426" s="682" t="s">
        <v>40</v>
      </c>
      <c r="Q426" s="683"/>
      <c r="R426" s="683"/>
      <c r="S426" s="683"/>
      <c r="T426" s="683"/>
      <c r="U426" s="683"/>
      <c r="V426" s="684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27.75" customHeight="1" x14ac:dyDescent="0.2">
      <c r="A427" s="723" t="s">
        <v>667</v>
      </c>
      <c r="B427" s="723"/>
      <c r="C427" s="723"/>
      <c r="D427" s="723"/>
      <c r="E427" s="723"/>
      <c r="F427" s="723"/>
      <c r="G427" s="723"/>
      <c r="H427" s="723"/>
      <c r="I427" s="723"/>
      <c r="J427" s="723"/>
      <c r="K427" s="723"/>
      <c r="L427" s="723"/>
      <c r="M427" s="723"/>
      <c r="N427" s="723"/>
      <c r="O427" s="723"/>
      <c r="P427" s="723"/>
      <c r="Q427" s="723"/>
      <c r="R427" s="723"/>
      <c r="S427" s="723"/>
      <c r="T427" s="723"/>
      <c r="U427" s="723"/>
      <c r="V427" s="723"/>
      <c r="W427" s="723"/>
      <c r="X427" s="723"/>
      <c r="Y427" s="723"/>
      <c r="Z427" s="723"/>
      <c r="AA427" s="54"/>
      <c r="AB427" s="54"/>
      <c r="AC427" s="54"/>
    </row>
    <row r="428" spans="1:68" ht="16.5" customHeight="1" x14ac:dyDescent="0.25">
      <c r="A428" s="699" t="s">
        <v>668</v>
      </c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699"/>
      <c r="N428" s="699"/>
      <c r="O428" s="699"/>
      <c r="P428" s="699"/>
      <c r="Q428" s="699"/>
      <c r="R428" s="699"/>
      <c r="S428" s="699"/>
      <c r="T428" s="699"/>
      <c r="U428" s="699"/>
      <c r="V428" s="699"/>
      <c r="W428" s="699"/>
      <c r="X428" s="699"/>
      <c r="Y428" s="699"/>
      <c r="Z428" s="699"/>
      <c r="AA428" s="65"/>
      <c r="AB428" s="65"/>
      <c r="AC428" s="79"/>
    </row>
    <row r="429" spans="1:68" ht="14.25" customHeight="1" x14ac:dyDescent="0.25">
      <c r="A429" s="677" t="s">
        <v>160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"/>
      <c r="AB429" s="66"/>
      <c r="AC429" s="80"/>
    </row>
    <row r="430" spans="1:68" ht="27" customHeight="1" x14ac:dyDescent="0.25">
      <c r="A430" s="63" t="s">
        <v>669</v>
      </c>
      <c r="B430" s="63" t="s">
        <v>670</v>
      </c>
      <c r="C430" s="36">
        <v>4301031405</v>
      </c>
      <c r="D430" s="678">
        <v>4680115886100</v>
      </c>
      <c r="E430" s="678"/>
      <c r="F430" s="62">
        <v>0.9</v>
      </c>
      <c r="G430" s="37">
        <v>6</v>
      </c>
      <c r="H430" s="62">
        <v>5.4</v>
      </c>
      <c r="I430" s="62">
        <v>5.61</v>
      </c>
      <c r="J430" s="37">
        <v>132</v>
      </c>
      <c r="K430" s="37" t="s">
        <v>118</v>
      </c>
      <c r="L430" s="37" t="s">
        <v>45</v>
      </c>
      <c r="M430" s="38" t="s">
        <v>82</v>
      </c>
      <c r="N430" s="38"/>
      <c r="O430" s="37">
        <v>50</v>
      </c>
      <c r="P430" s="787" t="s">
        <v>671</v>
      </c>
      <c r="Q430" s="680"/>
      <c r="R430" s="680"/>
      <c r="S430" s="680"/>
      <c r="T430" s="68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ref="Y430:Y441" si="63">IFERROR(IF(X430="",0,CEILING((X430/$H430),1)*$H430),"")</f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0" t="s">
        <v>672</v>
      </c>
      <c r="AG430" s="78"/>
      <c r="AJ430" s="84" t="s">
        <v>45</v>
      </c>
      <c r="AK430" s="84">
        <v>0</v>
      </c>
      <c r="BB430" s="491" t="s">
        <v>66</v>
      </c>
      <c r="BM430" s="78">
        <f t="shared" ref="BM430:BM441" si="64">IFERROR(X430*I430/H430,"0")</f>
        <v>0</v>
      </c>
      <c r="BN430" s="78">
        <f t="shared" ref="BN430:BN441" si="65">IFERROR(Y430*I430/H430,"0")</f>
        <v>0</v>
      </c>
      <c r="BO430" s="78">
        <f t="shared" ref="BO430:BO441" si="66">IFERROR(1/J430*(X430/H430),"0")</f>
        <v>0</v>
      </c>
      <c r="BP430" s="78">
        <f t="shared" ref="BP430:BP441" si="67">IFERROR(1/J430*(Y430/H430),"0")</f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4301031406</v>
      </c>
      <c r="D431" s="678">
        <v>4680115886117</v>
      </c>
      <c r="E431" s="678"/>
      <c r="F431" s="62">
        <v>0.9</v>
      </c>
      <c r="G431" s="37">
        <v>6</v>
      </c>
      <c r="H431" s="62">
        <v>5.4</v>
      </c>
      <c r="I431" s="62">
        <v>5.61</v>
      </c>
      <c r="J431" s="37">
        <v>132</v>
      </c>
      <c r="K431" s="37" t="s">
        <v>118</v>
      </c>
      <c r="L431" s="37" t="s">
        <v>45</v>
      </c>
      <c r="M431" s="38" t="s">
        <v>82</v>
      </c>
      <c r="N431" s="38"/>
      <c r="O431" s="37">
        <v>50</v>
      </c>
      <c r="P431" s="775" t="s">
        <v>675</v>
      </c>
      <c r="Q431" s="680"/>
      <c r="R431" s="680"/>
      <c r="S431" s="680"/>
      <c r="T431" s="68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63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2" t="s">
        <v>676</v>
      </c>
      <c r="AG431" s="78"/>
      <c r="AJ431" s="84" t="s">
        <v>45</v>
      </c>
      <c r="AK431" s="84">
        <v>0</v>
      </c>
      <c r="BB431" s="493" t="s">
        <v>66</v>
      </c>
      <c r="BM431" s="78">
        <f t="shared" si="64"/>
        <v>0</v>
      </c>
      <c r="BN431" s="78">
        <f t="shared" si="65"/>
        <v>0</v>
      </c>
      <c r="BO431" s="78">
        <f t="shared" si="66"/>
        <v>0</v>
      </c>
      <c r="BP431" s="78">
        <f t="shared" si="67"/>
        <v>0</v>
      </c>
    </row>
    <row r="432" spans="1:68" ht="27" customHeight="1" x14ac:dyDescent="0.25">
      <c r="A432" s="63" t="s">
        <v>673</v>
      </c>
      <c r="B432" s="63" t="s">
        <v>677</v>
      </c>
      <c r="C432" s="36">
        <v>4301031382</v>
      </c>
      <c r="D432" s="678">
        <v>4680115886117</v>
      </c>
      <c r="E432" s="678"/>
      <c r="F432" s="62">
        <v>0.9</v>
      </c>
      <c r="G432" s="37">
        <v>6</v>
      </c>
      <c r="H432" s="62">
        <v>5.4</v>
      </c>
      <c r="I432" s="62">
        <v>5.61</v>
      </c>
      <c r="J432" s="37">
        <v>132</v>
      </c>
      <c r="K432" s="37" t="s">
        <v>118</v>
      </c>
      <c r="L432" s="37" t="s">
        <v>45</v>
      </c>
      <c r="M432" s="38" t="s">
        <v>82</v>
      </c>
      <c r="N432" s="38"/>
      <c r="O432" s="37">
        <v>50</v>
      </c>
      <c r="P432" s="776" t="s">
        <v>675</v>
      </c>
      <c r="Q432" s="680"/>
      <c r="R432" s="680"/>
      <c r="S432" s="680"/>
      <c r="T432" s="68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494" t="s">
        <v>676</v>
      </c>
      <c r="AG432" s="78"/>
      <c r="AJ432" s="84" t="s">
        <v>45</v>
      </c>
      <c r="AK432" s="84">
        <v>0</v>
      </c>
      <c r="BB432" s="495" t="s">
        <v>66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customHeight="1" x14ac:dyDescent="0.25">
      <c r="A433" s="63" t="s">
        <v>678</v>
      </c>
      <c r="B433" s="63" t="s">
        <v>679</v>
      </c>
      <c r="C433" s="36">
        <v>4301031402</v>
      </c>
      <c r="D433" s="678">
        <v>4680115886124</v>
      </c>
      <c r="E433" s="678"/>
      <c r="F433" s="62">
        <v>0.9</v>
      </c>
      <c r="G433" s="37">
        <v>6</v>
      </c>
      <c r="H433" s="62">
        <v>5.4</v>
      </c>
      <c r="I433" s="62">
        <v>5.61</v>
      </c>
      <c r="J433" s="37">
        <v>132</v>
      </c>
      <c r="K433" s="37" t="s">
        <v>118</v>
      </c>
      <c r="L433" s="37" t="s">
        <v>45</v>
      </c>
      <c r="M433" s="38" t="s">
        <v>82</v>
      </c>
      <c r="N433" s="38"/>
      <c r="O433" s="37">
        <v>50</v>
      </c>
      <c r="P433" s="777" t="s">
        <v>680</v>
      </c>
      <c r="Q433" s="680"/>
      <c r="R433" s="680"/>
      <c r="S433" s="680"/>
      <c r="T433" s="68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496" t="s">
        <v>681</v>
      </c>
      <c r="AG433" s="78"/>
      <c r="AJ433" s="84" t="s">
        <v>45</v>
      </c>
      <c r="AK433" s="84">
        <v>0</v>
      </c>
      <c r="BB433" s="497" t="s">
        <v>66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682</v>
      </c>
      <c r="B434" s="63" t="s">
        <v>683</v>
      </c>
      <c r="C434" s="36">
        <v>4301031335</v>
      </c>
      <c r="D434" s="678">
        <v>4680115883147</v>
      </c>
      <c r="E434" s="678"/>
      <c r="F434" s="62">
        <v>0.28000000000000003</v>
      </c>
      <c r="G434" s="37">
        <v>6</v>
      </c>
      <c r="H434" s="62">
        <v>1.68</v>
      </c>
      <c r="I434" s="62">
        <v>1.81</v>
      </c>
      <c r="J434" s="37">
        <v>234</v>
      </c>
      <c r="K434" s="37" t="s">
        <v>164</v>
      </c>
      <c r="L434" s="37" t="s">
        <v>45</v>
      </c>
      <c r="M434" s="38" t="s">
        <v>82</v>
      </c>
      <c r="N434" s="38"/>
      <c r="O434" s="37">
        <v>50</v>
      </c>
      <c r="P434" s="7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0"/>
      <c r="R434" s="680"/>
      <c r="S434" s="680"/>
      <c r="T434" s="68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63"/>
        <v>0</v>
      </c>
      <c r="Z434" s="41" t="str">
        <f t="shared" ref="Z434:Z441" si="68">IFERROR(IF(Y434=0,"",ROUNDUP(Y434/H434,0)*0.00502),"")</f>
        <v/>
      </c>
      <c r="AA434" s="68" t="s">
        <v>45</v>
      </c>
      <c r="AB434" s="69" t="s">
        <v>45</v>
      </c>
      <c r="AC434" s="498" t="s">
        <v>672</v>
      </c>
      <c r="AG434" s="78"/>
      <c r="AJ434" s="84" t="s">
        <v>45</v>
      </c>
      <c r="AK434" s="84">
        <v>0</v>
      </c>
      <c r="BB434" s="499" t="s">
        <v>66</v>
      </c>
      <c r="BM434" s="78">
        <f t="shared" si="64"/>
        <v>0</v>
      </c>
      <c r="BN434" s="78">
        <f t="shared" si="65"/>
        <v>0</v>
      </c>
      <c r="BO434" s="78">
        <f t="shared" si="66"/>
        <v>0</v>
      </c>
      <c r="BP434" s="78">
        <f t="shared" si="67"/>
        <v>0</v>
      </c>
    </row>
    <row r="435" spans="1:68" ht="27" customHeight="1" x14ac:dyDescent="0.25">
      <c r="A435" s="63" t="s">
        <v>682</v>
      </c>
      <c r="B435" s="63" t="s">
        <v>684</v>
      </c>
      <c r="C435" s="36">
        <v>4301031366</v>
      </c>
      <c r="D435" s="678">
        <v>4680115883147</v>
      </c>
      <c r="E435" s="678"/>
      <c r="F435" s="62">
        <v>0.28000000000000003</v>
      </c>
      <c r="G435" s="37">
        <v>6</v>
      </c>
      <c r="H435" s="62">
        <v>1.68</v>
      </c>
      <c r="I435" s="62">
        <v>1.81</v>
      </c>
      <c r="J435" s="37">
        <v>234</v>
      </c>
      <c r="K435" s="37" t="s">
        <v>164</v>
      </c>
      <c r="L435" s="37" t="s">
        <v>45</v>
      </c>
      <c r="M435" s="38" t="s">
        <v>82</v>
      </c>
      <c r="N435" s="38"/>
      <c r="O435" s="37">
        <v>50</v>
      </c>
      <c r="P435" s="779" t="s">
        <v>685</v>
      </c>
      <c r="Q435" s="680"/>
      <c r="R435" s="680"/>
      <c r="S435" s="680"/>
      <c r="T435" s="68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63"/>
        <v>0</v>
      </c>
      <c r="Z435" s="41" t="str">
        <f t="shared" si="68"/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customHeight="1" x14ac:dyDescent="0.25">
      <c r="A436" s="63" t="s">
        <v>686</v>
      </c>
      <c r="B436" s="63" t="s">
        <v>687</v>
      </c>
      <c r="C436" s="36">
        <v>4301031362</v>
      </c>
      <c r="D436" s="678">
        <v>4607091384338</v>
      </c>
      <c r="E436" s="678"/>
      <c r="F436" s="62">
        <v>0.35</v>
      </c>
      <c r="G436" s="37">
        <v>6</v>
      </c>
      <c r="H436" s="62">
        <v>2.1</v>
      </c>
      <c r="I436" s="62">
        <v>2.23</v>
      </c>
      <c r="J436" s="37">
        <v>234</v>
      </c>
      <c r="K436" s="37" t="s">
        <v>164</v>
      </c>
      <c r="L436" s="37" t="s">
        <v>45</v>
      </c>
      <c r="M436" s="38" t="s">
        <v>82</v>
      </c>
      <c r="N436" s="38"/>
      <c r="O436" s="37">
        <v>50</v>
      </c>
      <c r="P436" s="7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0"/>
      <c r="R436" s="680"/>
      <c r="S436" s="680"/>
      <c r="T436" s="68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63"/>
        <v>0</v>
      </c>
      <c r="Z436" s="41" t="str">
        <f t="shared" si="68"/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37.5" customHeight="1" x14ac:dyDescent="0.25">
      <c r="A437" s="63" t="s">
        <v>688</v>
      </c>
      <c r="B437" s="63" t="s">
        <v>689</v>
      </c>
      <c r="C437" s="36">
        <v>4301031361</v>
      </c>
      <c r="D437" s="678">
        <v>4607091389524</v>
      </c>
      <c r="E437" s="678"/>
      <c r="F437" s="62">
        <v>0.35</v>
      </c>
      <c r="G437" s="37">
        <v>6</v>
      </c>
      <c r="H437" s="62">
        <v>2.1</v>
      </c>
      <c r="I437" s="62">
        <v>2.23</v>
      </c>
      <c r="J437" s="37">
        <v>234</v>
      </c>
      <c r="K437" s="37" t="s">
        <v>164</v>
      </c>
      <c r="L437" s="37" t="s">
        <v>45</v>
      </c>
      <c r="M437" s="38" t="s">
        <v>82</v>
      </c>
      <c r="N437" s="38"/>
      <c r="O437" s="37">
        <v>50</v>
      </c>
      <c r="P437" s="78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0"/>
      <c r="R437" s="680"/>
      <c r="S437" s="680"/>
      <c r="T437" s="68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63"/>
        <v>0</v>
      </c>
      <c r="Z437" s="41" t="str">
        <f t="shared" si="68"/>
        <v/>
      </c>
      <c r="AA437" s="68" t="s">
        <v>45</v>
      </c>
      <c r="AB437" s="69" t="s">
        <v>45</v>
      </c>
      <c r="AC437" s="504" t="s">
        <v>690</v>
      </c>
      <c r="AG437" s="78"/>
      <c r="AJ437" s="84" t="s">
        <v>45</v>
      </c>
      <c r="AK437" s="84">
        <v>0</v>
      </c>
      <c r="BB437" s="505" t="s">
        <v>66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27" customHeight="1" x14ac:dyDescent="0.25">
      <c r="A438" s="63" t="s">
        <v>691</v>
      </c>
      <c r="B438" s="63" t="s">
        <v>692</v>
      </c>
      <c r="C438" s="36">
        <v>4301031337</v>
      </c>
      <c r="D438" s="678">
        <v>4680115883161</v>
      </c>
      <c r="E438" s="678"/>
      <c r="F438" s="62">
        <v>0.28000000000000003</v>
      </c>
      <c r="G438" s="37">
        <v>6</v>
      </c>
      <c r="H438" s="62">
        <v>1.68</v>
      </c>
      <c r="I438" s="62">
        <v>1.81</v>
      </c>
      <c r="J438" s="37">
        <v>234</v>
      </c>
      <c r="K438" s="37" t="s">
        <v>164</v>
      </c>
      <c r="L438" s="37" t="s">
        <v>45</v>
      </c>
      <c r="M438" s="38" t="s">
        <v>82</v>
      </c>
      <c r="N438" s="38"/>
      <c r="O438" s="37">
        <v>50</v>
      </c>
      <c r="P438" s="78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0"/>
      <c r="R438" s="680"/>
      <c r="S438" s="680"/>
      <c r="T438" s="68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63"/>
        <v>0</v>
      </c>
      <c r="Z438" s="41" t="str">
        <f t="shared" si="68"/>
        <v/>
      </c>
      <c r="AA438" s="68" t="s">
        <v>45</v>
      </c>
      <c r="AB438" s="69" t="s">
        <v>45</v>
      </c>
      <c r="AC438" s="506" t="s">
        <v>693</v>
      </c>
      <c r="AG438" s="78"/>
      <c r="AJ438" s="84" t="s">
        <v>45</v>
      </c>
      <c r="AK438" s="84">
        <v>0</v>
      </c>
      <c r="BB438" s="507" t="s">
        <v>66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ht="27" customHeight="1" x14ac:dyDescent="0.25">
      <c r="A439" s="63" t="s">
        <v>691</v>
      </c>
      <c r="B439" s="63" t="s">
        <v>694</v>
      </c>
      <c r="C439" s="36">
        <v>4301031364</v>
      </c>
      <c r="D439" s="678">
        <v>4680115883161</v>
      </c>
      <c r="E439" s="678"/>
      <c r="F439" s="62">
        <v>0.28000000000000003</v>
      </c>
      <c r="G439" s="37">
        <v>6</v>
      </c>
      <c r="H439" s="62">
        <v>1.68</v>
      </c>
      <c r="I439" s="62">
        <v>1.81</v>
      </c>
      <c r="J439" s="37">
        <v>234</v>
      </c>
      <c r="K439" s="37" t="s">
        <v>164</v>
      </c>
      <c r="L439" s="37" t="s">
        <v>45</v>
      </c>
      <c r="M439" s="38" t="s">
        <v>82</v>
      </c>
      <c r="N439" s="38"/>
      <c r="O439" s="37">
        <v>50</v>
      </c>
      <c r="P439" s="783" t="s">
        <v>695</v>
      </c>
      <c r="Q439" s="680"/>
      <c r="R439" s="680"/>
      <c r="S439" s="680"/>
      <c r="T439" s="681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63"/>
        <v>0</v>
      </c>
      <c r="Z439" s="41" t="str">
        <f t="shared" si="68"/>
        <v/>
      </c>
      <c r="AA439" s="68" t="s">
        <v>45</v>
      </c>
      <c r="AB439" s="69" t="s">
        <v>45</v>
      </c>
      <c r="AC439" s="508" t="s">
        <v>693</v>
      </c>
      <c r="AG439" s="78"/>
      <c r="AJ439" s="84" t="s">
        <v>45</v>
      </c>
      <c r="AK439" s="84">
        <v>0</v>
      </c>
      <c r="BB439" s="509" t="s">
        <v>66</v>
      </c>
      <c r="BM439" s="78">
        <f t="shared" si="64"/>
        <v>0</v>
      </c>
      <c r="BN439" s="78">
        <f t="shared" si="65"/>
        <v>0</v>
      </c>
      <c r="BO439" s="78">
        <f t="shared" si="66"/>
        <v>0</v>
      </c>
      <c r="BP439" s="78">
        <f t="shared" si="67"/>
        <v>0</v>
      </c>
    </row>
    <row r="440" spans="1:68" ht="27" customHeight="1" x14ac:dyDescent="0.25">
      <c r="A440" s="63" t="s">
        <v>696</v>
      </c>
      <c r="B440" s="63" t="s">
        <v>697</v>
      </c>
      <c r="C440" s="36">
        <v>4301031358</v>
      </c>
      <c r="D440" s="678">
        <v>4607091389531</v>
      </c>
      <c r="E440" s="678"/>
      <c r="F440" s="62">
        <v>0.35</v>
      </c>
      <c r="G440" s="37">
        <v>6</v>
      </c>
      <c r="H440" s="62">
        <v>2.1</v>
      </c>
      <c r="I440" s="62">
        <v>2.23</v>
      </c>
      <c r="J440" s="37">
        <v>234</v>
      </c>
      <c r="K440" s="37" t="s">
        <v>164</v>
      </c>
      <c r="L440" s="37" t="s">
        <v>45</v>
      </c>
      <c r="M440" s="38" t="s">
        <v>82</v>
      </c>
      <c r="N440" s="38"/>
      <c r="O440" s="37">
        <v>50</v>
      </c>
      <c r="P440" s="7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0"/>
      <c r="R440" s="680"/>
      <c r="S440" s="680"/>
      <c r="T440" s="681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63"/>
        <v>0</v>
      </c>
      <c r="Z440" s="41" t="str">
        <f t="shared" si="68"/>
        <v/>
      </c>
      <c r="AA440" s="68" t="s">
        <v>45</v>
      </c>
      <c r="AB440" s="69" t="s">
        <v>45</v>
      </c>
      <c r="AC440" s="510" t="s">
        <v>698</v>
      </c>
      <c r="AG440" s="78"/>
      <c r="AJ440" s="84" t="s">
        <v>45</v>
      </c>
      <c r="AK440" s="84">
        <v>0</v>
      </c>
      <c r="BB440" s="511" t="s">
        <v>66</v>
      </c>
      <c r="BM440" s="78">
        <f t="shared" si="64"/>
        <v>0</v>
      </c>
      <c r="BN440" s="78">
        <f t="shared" si="65"/>
        <v>0</v>
      </c>
      <c r="BO440" s="78">
        <f t="shared" si="66"/>
        <v>0</v>
      </c>
      <c r="BP440" s="78">
        <f t="shared" si="67"/>
        <v>0</v>
      </c>
    </row>
    <row r="441" spans="1:68" ht="37.5" customHeight="1" x14ac:dyDescent="0.25">
      <c r="A441" s="63" t="s">
        <v>699</v>
      </c>
      <c r="B441" s="63" t="s">
        <v>700</v>
      </c>
      <c r="C441" s="36">
        <v>4301031360</v>
      </c>
      <c r="D441" s="678">
        <v>4607091384345</v>
      </c>
      <c r="E441" s="678"/>
      <c r="F441" s="62">
        <v>0.35</v>
      </c>
      <c r="G441" s="37">
        <v>6</v>
      </c>
      <c r="H441" s="62">
        <v>2.1</v>
      </c>
      <c r="I441" s="62">
        <v>2.23</v>
      </c>
      <c r="J441" s="37">
        <v>234</v>
      </c>
      <c r="K441" s="37" t="s">
        <v>164</v>
      </c>
      <c r="L441" s="37" t="s">
        <v>45</v>
      </c>
      <c r="M441" s="38" t="s">
        <v>82</v>
      </c>
      <c r="N441" s="38"/>
      <c r="O441" s="37">
        <v>50</v>
      </c>
      <c r="P441" s="7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0"/>
      <c r="R441" s="680"/>
      <c r="S441" s="680"/>
      <c r="T441" s="681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63"/>
        <v>0</v>
      </c>
      <c r="Z441" s="41" t="str">
        <f t="shared" si="68"/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 t="shared" si="64"/>
        <v>0</v>
      </c>
      <c r="BN441" s="78">
        <f t="shared" si="65"/>
        <v>0</v>
      </c>
      <c r="BO441" s="78">
        <f t="shared" si="66"/>
        <v>0</v>
      </c>
      <c r="BP441" s="78">
        <f t="shared" si="67"/>
        <v>0</v>
      </c>
    </row>
    <row r="442" spans="1:68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685"/>
      <c r="L442" s="685"/>
      <c r="M442" s="685"/>
      <c r="N442" s="685"/>
      <c r="O442" s="686"/>
      <c r="P442" s="682" t="s">
        <v>40</v>
      </c>
      <c r="Q442" s="683"/>
      <c r="R442" s="683"/>
      <c r="S442" s="683"/>
      <c r="T442" s="683"/>
      <c r="U442" s="683"/>
      <c r="V442" s="684"/>
      <c r="W442" s="42" t="s">
        <v>39</v>
      </c>
      <c r="X442" s="4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4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4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85"/>
      <c r="B443" s="685"/>
      <c r="C443" s="685"/>
      <c r="D443" s="685"/>
      <c r="E443" s="685"/>
      <c r="F443" s="685"/>
      <c r="G443" s="685"/>
      <c r="H443" s="685"/>
      <c r="I443" s="685"/>
      <c r="J443" s="685"/>
      <c r="K443" s="685"/>
      <c r="L443" s="685"/>
      <c r="M443" s="685"/>
      <c r="N443" s="685"/>
      <c r="O443" s="686"/>
      <c r="P443" s="682" t="s">
        <v>40</v>
      </c>
      <c r="Q443" s="683"/>
      <c r="R443" s="683"/>
      <c r="S443" s="683"/>
      <c r="T443" s="683"/>
      <c r="U443" s="683"/>
      <c r="V443" s="684"/>
      <c r="W443" s="42" t="s">
        <v>0</v>
      </c>
      <c r="X443" s="43">
        <f>IFERROR(SUM(X430:X441),"0")</f>
        <v>0</v>
      </c>
      <c r="Y443" s="43">
        <f>IFERROR(SUM(Y430:Y441),"0")</f>
        <v>0</v>
      </c>
      <c r="Z443" s="42"/>
      <c r="AA443" s="67"/>
      <c r="AB443" s="67"/>
      <c r="AC443" s="67"/>
    </row>
    <row r="444" spans="1:68" ht="14.25" customHeight="1" x14ac:dyDescent="0.25">
      <c r="A444" s="677" t="s">
        <v>78</v>
      </c>
      <c r="B444" s="677"/>
      <c r="C444" s="677"/>
      <c r="D444" s="677"/>
      <c r="E444" s="677"/>
      <c r="F444" s="677"/>
      <c r="G444" s="677"/>
      <c r="H444" s="677"/>
      <c r="I444" s="677"/>
      <c r="J444" s="677"/>
      <c r="K444" s="677"/>
      <c r="L444" s="677"/>
      <c r="M444" s="677"/>
      <c r="N444" s="677"/>
      <c r="O444" s="677"/>
      <c r="P444" s="677"/>
      <c r="Q444" s="677"/>
      <c r="R444" s="677"/>
      <c r="S444" s="677"/>
      <c r="T444" s="677"/>
      <c r="U444" s="677"/>
      <c r="V444" s="677"/>
      <c r="W444" s="677"/>
      <c r="X444" s="677"/>
      <c r="Y444" s="677"/>
      <c r="Z444" s="677"/>
      <c r="AA444" s="66"/>
      <c r="AB444" s="66"/>
      <c r="AC444" s="80"/>
    </row>
    <row r="445" spans="1:68" ht="27" customHeight="1" x14ac:dyDescent="0.25">
      <c r="A445" s="63" t="s">
        <v>701</v>
      </c>
      <c r="B445" s="63" t="s">
        <v>702</v>
      </c>
      <c r="C445" s="36">
        <v>4301051284</v>
      </c>
      <c r="D445" s="678">
        <v>4607091384352</v>
      </c>
      <c r="E445" s="678"/>
      <c r="F445" s="62">
        <v>0.6</v>
      </c>
      <c r="G445" s="37">
        <v>4</v>
      </c>
      <c r="H445" s="62">
        <v>2.4</v>
      </c>
      <c r="I445" s="62">
        <v>2.6459999999999999</v>
      </c>
      <c r="J445" s="37">
        <v>132</v>
      </c>
      <c r="K445" s="37" t="s">
        <v>118</v>
      </c>
      <c r="L445" s="37" t="s">
        <v>45</v>
      </c>
      <c r="M445" s="38" t="s">
        <v>117</v>
      </c>
      <c r="N445" s="38"/>
      <c r="O445" s="37">
        <v>45</v>
      </c>
      <c r="P445" s="7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0"/>
      <c r="R445" s="680"/>
      <c r="S445" s="680"/>
      <c r="T445" s="681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703</v>
      </c>
      <c r="AG445" s="78"/>
      <c r="AJ445" s="84" t="s">
        <v>45</v>
      </c>
      <c r="AK445" s="84">
        <v>0</v>
      </c>
      <c r="BB445" s="51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704</v>
      </c>
      <c r="B446" s="63" t="s">
        <v>705</v>
      </c>
      <c r="C446" s="36">
        <v>4301051431</v>
      </c>
      <c r="D446" s="678">
        <v>4607091389654</v>
      </c>
      <c r="E446" s="678"/>
      <c r="F446" s="62">
        <v>0.33</v>
      </c>
      <c r="G446" s="37">
        <v>6</v>
      </c>
      <c r="H446" s="62">
        <v>1.98</v>
      </c>
      <c r="I446" s="62">
        <v>2.238</v>
      </c>
      <c r="J446" s="37">
        <v>182</v>
      </c>
      <c r="K446" s="37" t="s">
        <v>83</v>
      </c>
      <c r="L446" s="37" t="s">
        <v>45</v>
      </c>
      <c r="M446" s="38" t="s">
        <v>117</v>
      </c>
      <c r="N446" s="38"/>
      <c r="O446" s="37">
        <v>45</v>
      </c>
      <c r="P446" s="7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0"/>
      <c r="R446" s="680"/>
      <c r="S446" s="680"/>
      <c r="T446" s="681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IFERROR(IF(Y446=0,"",ROUNDUP(Y446/H446,0)*0.00651),"")</f>
        <v/>
      </c>
      <c r="AA446" s="68" t="s">
        <v>45</v>
      </c>
      <c r="AB446" s="69" t="s">
        <v>45</v>
      </c>
      <c r="AC446" s="516" t="s">
        <v>706</v>
      </c>
      <c r="AG446" s="78"/>
      <c r="AJ446" s="84" t="s">
        <v>45</v>
      </c>
      <c r="AK446" s="84">
        <v>0</v>
      </c>
      <c r="BB446" s="51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85"/>
      <c r="B447" s="685"/>
      <c r="C447" s="685"/>
      <c r="D447" s="685"/>
      <c r="E447" s="685"/>
      <c r="F447" s="685"/>
      <c r="G447" s="685"/>
      <c r="H447" s="685"/>
      <c r="I447" s="685"/>
      <c r="J447" s="685"/>
      <c r="K447" s="685"/>
      <c r="L447" s="685"/>
      <c r="M447" s="685"/>
      <c r="N447" s="685"/>
      <c r="O447" s="686"/>
      <c r="P447" s="682" t="s">
        <v>40</v>
      </c>
      <c r="Q447" s="683"/>
      <c r="R447" s="683"/>
      <c r="S447" s="683"/>
      <c r="T447" s="683"/>
      <c r="U447" s="683"/>
      <c r="V447" s="68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85"/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6"/>
      <c r="P448" s="682" t="s">
        <v>40</v>
      </c>
      <c r="Q448" s="683"/>
      <c r="R448" s="683"/>
      <c r="S448" s="683"/>
      <c r="T448" s="683"/>
      <c r="U448" s="683"/>
      <c r="V448" s="68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99" t="s">
        <v>707</v>
      </c>
      <c r="B449" s="699"/>
      <c r="C449" s="699"/>
      <c r="D449" s="699"/>
      <c r="E449" s="699"/>
      <c r="F449" s="699"/>
      <c r="G449" s="699"/>
      <c r="H449" s="699"/>
      <c r="I449" s="699"/>
      <c r="J449" s="699"/>
      <c r="K449" s="699"/>
      <c r="L449" s="699"/>
      <c r="M449" s="699"/>
      <c r="N449" s="699"/>
      <c r="O449" s="699"/>
      <c r="P449" s="699"/>
      <c r="Q449" s="699"/>
      <c r="R449" s="699"/>
      <c r="S449" s="699"/>
      <c r="T449" s="699"/>
      <c r="U449" s="699"/>
      <c r="V449" s="699"/>
      <c r="W449" s="699"/>
      <c r="X449" s="699"/>
      <c r="Y449" s="699"/>
      <c r="Z449" s="699"/>
      <c r="AA449" s="65"/>
      <c r="AB449" s="65"/>
      <c r="AC449" s="79"/>
    </row>
    <row r="450" spans="1:68" ht="14.25" customHeight="1" x14ac:dyDescent="0.25">
      <c r="A450" s="677" t="s">
        <v>149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"/>
      <c r="AB450" s="66"/>
      <c r="AC450" s="80"/>
    </row>
    <row r="451" spans="1:68" ht="27" customHeight="1" x14ac:dyDescent="0.25">
      <c r="A451" s="63" t="s">
        <v>708</v>
      </c>
      <c r="B451" s="63" t="s">
        <v>709</v>
      </c>
      <c r="C451" s="36">
        <v>4301020319</v>
      </c>
      <c r="D451" s="678">
        <v>4680115885240</v>
      </c>
      <c r="E451" s="678"/>
      <c r="F451" s="62">
        <v>0.35</v>
      </c>
      <c r="G451" s="37">
        <v>6</v>
      </c>
      <c r="H451" s="62">
        <v>2.1</v>
      </c>
      <c r="I451" s="62">
        <v>2.31</v>
      </c>
      <c r="J451" s="37">
        <v>182</v>
      </c>
      <c r="K451" s="37" t="s">
        <v>83</v>
      </c>
      <c r="L451" s="37" t="s">
        <v>45</v>
      </c>
      <c r="M451" s="38" t="s">
        <v>82</v>
      </c>
      <c r="N451" s="38"/>
      <c r="O451" s="37">
        <v>40</v>
      </c>
      <c r="P451" s="7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0"/>
      <c r="R451" s="680"/>
      <c r="S451" s="680"/>
      <c r="T451" s="681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18" t="s">
        <v>710</v>
      </c>
      <c r="AG451" s="78"/>
      <c r="AJ451" s="84" t="s">
        <v>45</v>
      </c>
      <c r="AK451" s="84">
        <v>0</v>
      </c>
      <c r="BB451" s="51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711</v>
      </c>
      <c r="B452" s="63" t="s">
        <v>712</v>
      </c>
      <c r="C452" s="36">
        <v>4301020315</v>
      </c>
      <c r="D452" s="678">
        <v>4607091389364</v>
      </c>
      <c r="E452" s="678"/>
      <c r="F452" s="62">
        <v>0.42</v>
      </c>
      <c r="G452" s="37">
        <v>6</v>
      </c>
      <c r="H452" s="62">
        <v>2.52</v>
      </c>
      <c r="I452" s="62">
        <v>2.73</v>
      </c>
      <c r="J452" s="37">
        <v>182</v>
      </c>
      <c r="K452" s="37" t="s">
        <v>83</v>
      </c>
      <c r="L452" s="37" t="s">
        <v>45</v>
      </c>
      <c r="M452" s="38" t="s">
        <v>82</v>
      </c>
      <c r="N452" s="38"/>
      <c r="O452" s="37">
        <v>40</v>
      </c>
      <c r="P452" s="76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0"/>
      <c r="R452" s="680"/>
      <c r="S452" s="680"/>
      <c r="T452" s="681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0" t="s">
        <v>713</v>
      </c>
      <c r="AG452" s="78"/>
      <c r="AJ452" s="84" t="s">
        <v>45</v>
      </c>
      <c r="AK452" s="84">
        <v>0</v>
      </c>
      <c r="BB452" s="52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85"/>
      <c r="B453" s="685"/>
      <c r="C453" s="685"/>
      <c r="D453" s="685"/>
      <c r="E453" s="685"/>
      <c r="F453" s="685"/>
      <c r="G453" s="685"/>
      <c r="H453" s="685"/>
      <c r="I453" s="685"/>
      <c r="J453" s="685"/>
      <c r="K453" s="685"/>
      <c r="L453" s="685"/>
      <c r="M453" s="685"/>
      <c r="N453" s="685"/>
      <c r="O453" s="686"/>
      <c r="P453" s="682" t="s">
        <v>40</v>
      </c>
      <c r="Q453" s="683"/>
      <c r="R453" s="683"/>
      <c r="S453" s="683"/>
      <c r="T453" s="683"/>
      <c r="U453" s="683"/>
      <c r="V453" s="68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85"/>
      <c r="B454" s="685"/>
      <c r="C454" s="685"/>
      <c r="D454" s="685"/>
      <c r="E454" s="685"/>
      <c r="F454" s="685"/>
      <c r="G454" s="685"/>
      <c r="H454" s="685"/>
      <c r="I454" s="685"/>
      <c r="J454" s="685"/>
      <c r="K454" s="685"/>
      <c r="L454" s="685"/>
      <c r="M454" s="685"/>
      <c r="N454" s="685"/>
      <c r="O454" s="686"/>
      <c r="P454" s="682" t="s">
        <v>40</v>
      </c>
      <c r="Q454" s="683"/>
      <c r="R454" s="683"/>
      <c r="S454" s="683"/>
      <c r="T454" s="683"/>
      <c r="U454" s="683"/>
      <c r="V454" s="68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77" t="s">
        <v>160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"/>
      <c r="AB455" s="66"/>
      <c r="AC455" s="80"/>
    </row>
    <row r="456" spans="1:68" ht="27" customHeight="1" x14ac:dyDescent="0.25">
      <c r="A456" s="63" t="s">
        <v>714</v>
      </c>
      <c r="B456" s="63" t="s">
        <v>715</v>
      </c>
      <c r="C456" s="36">
        <v>4301031403</v>
      </c>
      <c r="D456" s="678">
        <v>4680115886094</v>
      </c>
      <c r="E456" s="678"/>
      <c r="F456" s="62">
        <v>0.9</v>
      </c>
      <c r="G456" s="37">
        <v>6</v>
      </c>
      <c r="H456" s="62">
        <v>5.4</v>
      </c>
      <c r="I456" s="62">
        <v>5.61</v>
      </c>
      <c r="J456" s="37">
        <v>132</v>
      </c>
      <c r="K456" s="37" t="s">
        <v>118</v>
      </c>
      <c r="L456" s="37" t="s">
        <v>45</v>
      </c>
      <c r="M456" s="38" t="s">
        <v>113</v>
      </c>
      <c r="N456" s="38"/>
      <c r="O456" s="37">
        <v>50</v>
      </c>
      <c r="P456" s="767" t="s">
        <v>716</v>
      </c>
      <c r="Q456" s="680"/>
      <c r="R456" s="680"/>
      <c r="S456" s="680"/>
      <c r="T456" s="681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45</v>
      </c>
      <c r="AB456" s="69" t="s">
        <v>45</v>
      </c>
      <c r="AC456" s="522" t="s">
        <v>717</v>
      </c>
      <c r="AG456" s="78"/>
      <c r="AJ456" s="84" t="s">
        <v>45</v>
      </c>
      <c r="AK456" s="84">
        <v>0</v>
      </c>
      <c r="BB456" s="52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718</v>
      </c>
      <c r="B457" s="63" t="s">
        <v>719</v>
      </c>
      <c r="C457" s="36">
        <v>4301031363</v>
      </c>
      <c r="D457" s="678">
        <v>4607091389425</v>
      </c>
      <c r="E457" s="678"/>
      <c r="F457" s="62">
        <v>0.35</v>
      </c>
      <c r="G457" s="37">
        <v>6</v>
      </c>
      <c r="H457" s="62">
        <v>2.1</v>
      </c>
      <c r="I457" s="62">
        <v>2.23</v>
      </c>
      <c r="J457" s="37">
        <v>234</v>
      </c>
      <c r="K457" s="37" t="s">
        <v>164</v>
      </c>
      <c r="L457" s="37" t="s">
        <v>45</v>
      </c>
      <c r="M457" s="38" t="s">
        <v>82</v>
      </c>
      <c r="N457" s="38"/>
      <c r="O457" s="37">
        <v>50</v>
      </c>
      <c r="P457" s="76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0"/>
      <c r="R457" s="680"/>
      <c r="S457" s="680"/>
      <c r="T457" s="681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IFERROR(IF(Y457=0,"",ROUNDUP(Y457/H457,0)*0.00502),"")</f>
        <v/>
      </c>
      <c r="AA457" s="68" t="s">
        <v>45</v>
      </c>
      <c r="AB457" s="69" t="s">
        <v>45</v>
      </c>
      <c r="AC457" s="524" t="s">
        <v>720</v>
      </c>
      <c r="AG457" s="78"/>
      <c r="AJ457" s="84" t="s">
        <v>45</v>
      </c>
      <c r="AK457" s="84">
        <v>0</v>
      </c>
      <c r="BB457" s="52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721</v>
      </c>
      <c r="B458" s="63" t="s">
        <v>722</v>
      </c>
      <c r="C458" s="36">
        <v>4301031373</v>
      </c>
      <c r="D458" s="678">
        <v>4680115880771</v>
      </c>
      <c r="E458" s="678"/>
      <c r="F458" s="62">
        <v>0.28000000000000003</v>
      </c>
      <c r="G458" s="37">
        <v>6</v>
      </c>
      <c r="H458" s="62">
        <v>1.68</v>
      </c>
      <c r="I458" s="62">
        <v>1.81</v>
      </c>
      <c r="J458" s="37">
        <v>234</v>
      </c>
      <c r="K458" s="37" t="s">
        <v>164</v>
      </c>
      <c r="L458" s="37" t="s">
        <v>45</v>
      </c>
      <c r="M458" s="38" t="s">
        <v>82</v>
      </c>
      <c r="N458" s="38"/>
      <c r="O458" s="37">
        <v>50</v>
      </c>
      <c r="P458" s="769" t="s">
        <v>723</v>
      </c>
      <c r="Q458" s="680"/>
      <c r="R458" s="680"/>
      <c r="S458" s="680"/>
      <c r="T458" s="681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IFERROR(IF(Y458=0,"",ROUNDUP(Y458/H458,0)*0.00502),"")</f>
        <v/>
      </c>
      <c r="AA458" s="68" t="s">
        <v>45</v>
      </c>
      <c r="AB458" s="69" t="s">
        <v>45</v>
      </c>
      <c r="AC458" s="526" t="s">
        <v>724</v>
      </c>
      <c r="AG458" s="78"/>
      <c r="AJ458" s="84" t="s">
        <v>45</v>
      </c>
      <c r="AK458" s="84">
        <v>0</v>
      </c>
      <c r="BB458" s="527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725</v>
      </c>
      <c r="B459" s="63" t="s">
        <v>726</v>
      </c>
      <c r="C459" s="36">
        <v>4301031359</v>
      </c>
      <c r="D459" s="678">
        <v>4607091389500</v>
      </c>
      <c r="E459" s="678"/>
      <c r="F459" s="62">
        <v>0.35</v>
      </c>
      <c r="G459" s="37">
        <v>6</v>
      </c>
      <c r="H459" s="62">
        <v>2.1</v>
      </c>
      <c r="I459" s="62">
        <v>2.23</v>
      </c>
      <c r="J459" s="37">
        <v>234</v>
      </c>
      <c r="K459" s="37" t="s">
        <v>164</v>
      </c>
      <c r="L459" s="37" t="s">
        <v>45</v>
      </c>
      <c r="M459" s="38" t="s">
        <v>82</v>
      </c>
      <c r="N459" s="38"/>
      <c r="O459" s="37">
        <v>50</v>
      </c>
      <c r="P459" s="7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0"/>
      <c r="R459" s="680"/>
      <c r="S459" s="680"/>
      <c r="T459" s="681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IFERROR(IF(Y459=0,"",ROUNDUP(Y459/H459,0)*0.00502),"")</f>
        <v/>
      </c>
      <c r="AA459" s="68" t="s">
        <v>45</v>
      </c>
      <c r="AB459" s="69" t="s">
        <v>45</v>
      </c>
      <c r="AC459" s="528" t="s">
        <v>724</v>
      </c>
      <c r="AG459" s="78"/>
      <c r="AJ459" s="84" t="s">
        <v>45</v>
      </c>
      <c r="AK459" s="84">
        <v>0</v>
      </c>
      <c r="BB459" s="529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85"/>
      <c r="B460" s="685"/>
      <c r="C460" s="685"/>
      <c r="D460" s="685"/>
      <c r="E460" s="685"/>
      <c r="F460" s="685"/>
      <c r="G460" s="685"/>
      <c r="H460" s="685"/>
      <c r="I460" s="685"/>
      <c r="J460" s="685"/>
      <c r="K460" s="685"/>
      <c r="L460" s="685"/>
      <c r="M460" s="685"/>
      <c r="N460" s="685"/>
      <c r="O460" s="686"/>
      <c r="P460" s="682" t="s">
        <v>40</v>
      </c>
      <c r="Q460" s="683"/>
      <c r="R460" s="683"/>
      <c r="S460" s="683"/>
      <c r="T460" s="683"/>
      <c r="U460" s="683"/>
      <c r="V460" s="684"/>
      <c r="W460" s="42" t="s">
        <v>39</v>
      </c>
      <c r="X460" s="43">
        <f>IFERROR(X456/H456,"0")+IFERROR(X457/H457,"0")+IFERROR(X458/H458,"0")+IFERROR(X459/H459,"0")</f>
        <v>0</v>
      </c>
      <c r="Y460" s="43">
        <f>IFERROR(Y456/H456,"0")+IFERROR(Y457/H457,"0")+IFERROR(Y458/H458,"0")+IFERROR(Y459/H459,"0")</f>
        <v>0</v>
      </c>
      <c r="Z460" s="43">
        <f>IFERROR(IF(Z456="",0,Z456),"0")+IFERROR(IF(Z457="",0,Z457),"0")+IFERROR(IF(Z458="",0,Z458),"0")+IFERROR(IF(Z459="",0,Z459),"0")</f>
        <v>0</v>
      </c>
      <c r="AA460" s="67"/>
      <c r="AB460" s="67"/>
      <c r="AC460" s="67"/>
    </row>
    <row r="461" spans="1:68" x14ac:dyDescent="0.2">
      <c r="A461" s="685"/>
      <c r="B461" s="685"/>
      <c r="C461" s="685"/>
      <c r="D461" s="685"/>
      <c r="E461" s="685"/>
      <c r="F461" s="685"/>
      <c r="G461" s="685"/>
      <c r="H461" s="685"/>
      <c r="I461" s="685"/>
      <c r="J461" s="685"/>
      <c r="K461" s="685"/>
      <c r="L461" s="685"/>
      <c r="M461" s="685"/>
      <c r="N461" s="685"/>
      <c r="O461" s="686"/>
      <c r="P461" s="682" t="s">
        <v>40</v>
      </c>
      <c r="Q461" s="683"/>
      <c r="R461" s="683"/>
      <c r="S461" s="683"/>
      <c r="T461" s="683"/>
      <c r="U461" s="683"/>
      <c r="V461" s="684"/>
      <c r="W461" s="42" t="s">
        <v>0</v>
      </c>
      <c r="X461" s="43">
        <f>IFERROR(SUM(X456:X459),"0")</f>
        <v>0</v>
      </c>
      <c r="Y461" s="43">
        <f>IFERROR(SUM(Y456:Y459),"0")</f>
        <v>0</v>
      </c>
      <c r="Z461" s="42"/>
      <c r="AA461" s="67"/>
      <c r="AB461" s="67"/>
      <c r="AC461" s="67"/>
    </row>
    <row r="462" spans="1:68" ht="16.5" customHeight="1" x14ac:dyDescent="0.25">
      <c r="A462" s="699" t="s">
        <v>727</v>
      </c>
      <c r="B462" s="699"/>
      <c r="C462" s="699"/>
      <c r="D462" s="699"/>
      <c r="E462" s="699"/>
      <c r="F462" s="699"/>
      <c r="G462" s="699"/>
      <c r="H462" s="699"/>
      <c r="I462" s="699"/>
      <c r="J462" s="699"/>
      <c r="K462" s="699"/>
      <c r="L462" s="699"/>
      <c r="M462" s="699"/>
      <c r="N462" s="699"/>
      <c r="O462" s="699"/>
      <c r="P462" s="699"/>
      <c r="Q462" s="699"/>
      <c r="R462" s="699"/>
      <c r="S462" s="699"/>
      <c r="T462" s="699"/>
      <c r="U462" s="699"/>
      <c r="V462" s="699"/>
      <c r="W462" s="699"/>
      <c r="X462" s="699"/>
      <c r="Y462" s="699"/>
      <c r="Z462" s="699"/>
      <c r="AA462" s="65"/>
      <c r="AB462" s="65"/>
      <c r="AC462" s="79"/>
    </row>
    <row r="463" spans="1:68" ht="14.25" customHeight="1" x14ac:dyDescent="0.25">
      <c r="A463" s="677" t="s">
        <v>160</v>
      </c>
      <c r="B463" s="677"/>
      <c r="C463" s="677"/>
      <c r="D463" s="677"/>
      <c r="E463" s="677"/>
      <c r="F463" s="677"/>
      <c r="G463" s="677"/>
      <c r="H463" s="677"/>
      <c r="I463" s="677"/>
      <c r="J463" s="677"/>
      <c r="K463" s="677"/>
      <c r="L463" s="677"/>
      <c r="M463" s="677"/>
      <c r="N463" s="677"/>
      <c r="O463" s="677"/>
      <c r="P463" s="677"/>
      <c r="Q463" s="677"/>
      <c r="R463" s="677"/>
      <c r="S463" s="677"/>
      <c r="T463" s="677"/>
      <c r="U463" s="677"/>
      <c r="V463" s="677"/>
      <c r="W463" s="677"/>
      <c r="X463" s="677"/>
      <c r="Y463" s="677"/>
      <c r="Z463" s="677"/>
      <c r="AA463" s="66"/>
      <c r="AB463" s="66"/>
      <c r="AC463" s="80"/>
    </row>
    <row r="464" spans="1:68" ht="27" customHeight="1" x14ac:dyDescent="0.25">
      <c r="A464" s="63" t="s">
        <v>728</v>
      </c>
      <c r="B464" s="63" t="s">
        <v>729</v>
      </c>
      <c r="C464" s="36">
        <v>4301031294</v>
      </c>
      <c r="D464" s="678">
        <v>4680115885189</v>
      </c>
      <c r="E464" s="678"/>
      <c r="F464" s="62">
        <v>0.2</v>
      </c>
      <c r="G464" s="37">
        <v>6</v>
      </c>
      <c r="H464" s="62">
        <v>1.2</v>
      </c>
      <c r="I464" s="62">
        <v>1.3720000000000001</v>
      </c>
      <c r="J464" s="37">
        <v>234</v>
      </c>
      <c r="K464" s="37" t="s">
        <v>164</v>
      </c>
      <c r="L464" s="37" t="s">
        <v>45</v>
      </c>
      <c r="M464" s="38" t="s">
        <v>82</v>
      </c>
      <c r="N464" s="38"/>
      <c r="O464" s="37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0"/>
      <c r="R464" s="680"/>
      <c r="S464" s="680"/>
      <c r="T464" s="681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45</v>
      </c>
      <c r="AB464" s="69" t="s">
        <v>45</v>
      </c>
      <c r="AC464" s="530" t="s">
        <v>730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731</v>
      </c>
      <c r="B465" s="63" t="s">
        <v>732</v>
      </c>
      <c r="C465" s="36">
        <v>4301031347</v>
      </c>
      <c r="D465" s="678">
        <v>4680115885110</v>
      </c>
      <c r="E465" s="678"/>
      <c r="F465" s="62">
        <v>0.2</v>
      </c>
      <c r="G465" s="37">
        <v>6</v>
      </c>
      <c r="H465" s="62">
        <v>1.2</v>
      </c>
      <c r="I465" s="62">
        <v>2.1</v>
      </c>
      <c r="J465" s="37">
        <v>182</v>
      </c>
      <c r="K465" s="37" t="s">
        <v>83</v>
      </c>
      <c r="L465" s="37" t="s">
        <v>45</v>
      </c>
      <c r="M465" s="38" t="s">
        <v>82</v>
      </c>
      <c r="N465" s="38"/>
      <c r="O465" s="37">
        <v>50</v>
      </c>
      <c r="P465" s="763" t="s">
        <v>733</v>
      </c>
      <c r="Q465" s="680"/>
      <c r="R465" s="680"/>
      <c r="S465" s="680"/>
      <c r="T465" s="681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45</v>
      </c>
      <c r="AB465" s="69" t="s">
        <v>45</v>
      </c>
      <c r="AC465" s="532" t="s">
        <v>734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85"/>
      <c r="B466" s="685"/>
      <c r="C466" s="685"/>
      <c r="D466" s="685"/>
      <c r="E466" s="685"/>
      <c r="F466" s="685"/>
      <c r="G466" s="685"/>
      <c r="H466" s="685"/>
      <c r="I466" s="685"/>
      <c r="J466" s="685"/>
      <c r="K466" s="685"/>
      <c r="L466" s="685"/>
      <c r="M466" s="685"/>
      <c r="N466" s="685"/>
      <c r="O466" s="686"/>
      <c r="P466" s="682" t="s">
        <v>40</v>
      </c>
      <c r="Q466" s="683"/>
      <c r="R466" s="683"/>
      <c r="S466" s="683"/>
      <c r="T466" s="683"/>
      <c r="U466" s="683"/>
      <c r="V466" s="684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85"/>
      <c r="B467" s="685"/>
      <c r="C467" s="685"/>
      <c r="D467" s="685"/>
      <c r="E467" s="685"/>
      <c r="F467" s="685"/>
      <c r="G467" s="685"/>
      <c r="H467" s="685"/>
      <c r="I467" s="685"/>
      <c r="J467" s="685"/>
      <c r="K467" s="685"/>
      <c r="L467" s="685"/>
      <c r="M467" s="685"/>
      <c r="N467" s="685"/>
      <c r="O467" s="686"/>
      <c r="P467" s="682" t="s">
        <v>40</v>
      </c>
      <c r="Q467" s="683"/>
      <c r="R467" s="683"/>
      <c r="S467" s="683"/>
      <c r="T467" s="683"/>
      <c r="U467" s="683"/>
      <c r="V467" s="684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6.5" customHeight="1" x14ac:dyDescent="0.25">
      <c r="A468" s="699" t="s">
        <v>735</v>
      </c>
      <c r="B468" s="699"/>
      <c r="C468" s="699"/>
      <c r="D468" s="699"/>
      <c r="E468" s="699"/>
      <c r="F468" s="699"/>
      <c r="G468" s="699"/>
      <c r="H468" s="699"/>
      <c r="I468" s="699"/>
      <c r="J468" s="699"/>
      <c r="K468" s="699"/>
      <c r="L468" s="699"/>
      <c r="M468" s="699"/>
      <c r="N468" s="699"/>
      <c r="O468" s="699"/>
      <c r="P468" s="699"/>
      <c r="Q468" s="699"/>
      <c r="R468" s="699"/>
      <c r="S468" s="699"/>
      <c r="T468" s="699"/>
      <c r="U468" s="699"/>
      <c r="V468" s="699"/>
      <c r="W468" s="699"/>
      <c r="X468" s="699"/>
      <c r="Y468" s="699"/>
      <c r="Z468" s="699"/>
      <c r="AA468" s="65"/>
      <c r="AB468" s="65"/>
      <c r="AC468" s="79"/>
    </row>
    <row r="469" spans="1:68" ht="14.25" customHeight="1" x14ac:dyDescent="0.25">
      <c r="A469" s="677" t="s">
        <v>160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"/>
      <c r="AB469" s="66"/>
      <c r="AC469" s="80"/>
    </row>
    <row r="470" spans="1:68" ht="27" customHeight="1" x14ac:dyDescent="0.25">
      <c r="A470" s="63" t="s">
        <v>736</v>
      </c>
      <c r="B470" s="63" t="s">
        <v>737</v>
      </c>
      <c r="C470" s="36">
        <v>4301031261</v>
      </c>
      <c r="D470" s="678">
        <v>4680115885103</v>
      </c>
      <c r="E470" s="678"/>
      <c r="F470" s="62">
        <v>0.27</v>
      </c>
      <c r="G470" s="37">
        <v>6</v>
      </c>
      <c r="H470" s="62">
        <v>1.62</v>
      </c>
      <c r="I470" s="62">
        <v>1.8</v>
      </c>
      <c r="J470" s="37">
        <v>182</v>
      </c>
      <c r="K470" s="37" t="s">
        <v>83</v>
      </c>
      <c r="L470" s="37" t="s">
        <v>45</v>
      </c>
      <c r="M470" s="38" t="s">
        <v>82</v>
      </c>
      <c r="N470" s="38"/>
      <c r="O470" s="37">
        <v>40</v>
      </c>
      <c r="P470" s="76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0"/>
      <c r="R470" s="680"/>
      <c r="S470" s="680"/>
      <c r="T470" s="681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45</v>
      </c>
      <c r="AB470" s="69" t="s">
        <v>45</v>
      </c>
      <c r="AC470" s="534" t="s">
        <v>738</v>
      </c>
      <c r="AG470" s="78"/>
      <c r="AJ470" s="84" t="s">
        <v>45</v>
      </c>
      <c r="AK470" s="84">
        <v>0</v>
      </c>
      <c r="BB470" s="535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85"/>
      <c r="B471" s="685"/>
      <c r="C471" s="685"/>
      <c r="D471" s="685"/>
      <c r="E471" s="685"/>
      <c r="F471" s="685"/>
      <c r="G471" s="685"/>
      <c r="H471" s="685"/>
      <c r="I471" s="685"/>
      <c r="J471" s="685"/>
      <c r="K471" s="685"/>
      <c r="L471" s="685"/>
      <c r="M471" s="685"/>
      <c r="N471" s="685"/>
      <c r="O471" s="686"/>
      <c r="P471" s="682" t="s">
        <v>40</v>
      </c>
      <c r="Q471" s="683"/>
      <c r="R471" s="683"/>
      <c r="S471" s="683"/>
      <c r="T471" s="683"/>
      <c r="U471" s="683"/>
      <c r="V471" s="684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85"/>
      <c r="B472" s="685"/>
      <c r="C472" s="685"/>
      <c r="D472" s="685"/>
      <c r="E472" s="685"/>
      <c r="F472" s="685"/>
      <c r="G472" s="685"/>
      <c r="H472" s="685"/>
      <c r="I472" s="685"/>
      <c r="J472" s="685"/>
      <c r="K472" s="685"/>
      <c r="L472" s="685"/>
      <c r="M472" s="685"/>
      <c r="N472" s="685"/>
      <c r="O472" s="686"/>
      <c r="P472" s="682" t="s">
        <v>40</v>
      </c>
      <c r="Q472" s="683"/>
      <c r="R472" s="683"/>
      <c r="S472" s="683"/>
      <c r="T472" s="683"/>
      <c r="U472" s="683"/>
      <c r="V472" s="684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7" t="s">
        <v>186</v>
      </c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77"/>
      <c r="P473" s="677"/>
      <c r="Q473" s="677"/>
      <c r="R473" s="677"/>
      <c r="S473" s="677"/>
      <c r="T473" s="677"/>
      <c r="U473" s="677"/>
      <c r="V473" s="677"/>
      <c r="W473" s="677"/>
      <c r="X473" s="677"/>
      <c r="Y473" s="677"/>
      <c r="Z473" s="677"/>
      <c r="AA473" s="66"/>
      <c r="AB473" s="66"/>
      <c r="AC473" s="80"/>
    </row>
    <row r="474" spans="1:68" ht="27" customHeight="1" x14ac:dyDescent="0.25">
      <c r="A474" s="63" t="s">
        <v>739</v>
      </c>
      <c r="B474" s="63" t="s">
        <v>740</v>
      </c>
      <c r="C474" s="36">
        <v>4301060412</v>
      </c>
      <c r="D474" s="678">
        <v>4680115885509</v>
      </c>
      <c r="E474" s="678"/>
      <c r="F474" s="62">
        <v>0.27</v>
      </c>
      <c r="G474" s="37">
        <v>6</v>
      </c>
      <c r="H474" s="62">
        <v>1.62</v>
      </c>
      <c r="I474" s="62">
        <v>1.8660000000000001</v>
      </c>
      <c r="J474" s="37">
        <v>182</v>
      </c>
      <c r="K474" s="37" t="s">
        <v>83</v>
      </c>
      <c r="L474" s="37" t="s">
        <v>45</v>
      </c>
      <c r="M474" s="38" t="s">
        <v>82</v>
      </c>
      <c r="N474" s="38"/>
      <c r="O474" s="37">
        <v>35</v>
      </c>
      <c r="P474" s="75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0"/>
      <c r="R474" s="680"/>
      <c r="S474" s="680"/>
      <c r="T474" s="681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45</v>
      </c>
      <c r="AB474" s="69" t="s">
        <v>45</v>
      </c>
      <c r="AC474" s="536" t="s">
        <v>741</v>
      </c>
      <c r="AG474" s="78"/>
      <c r="AJ474" s="84" t="s">
        <v>45</v>
      </c>
      <c r="AK474" s="84">
        <v>0</v>
      </c>
      <c r="BB474" s="537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85"/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6"/>
      <c r="P475" s="682" t="s">
        <v>40</v>
      </c>
      <c r="Q475" s="683"/>
      <c r="R475" s="683"/>
      <c r="S475" s="683"/>
      <c r="T475" s="683"/>
      <c r="U475" s="683"/>
      <c r="V475" s="68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85"/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6"/>
      <c r="P476" s="682" t="s">
        <v>40</v>
      </c>
      <c r="Q476" s="683"/>
      <c r="R476" s="683"/>
      <c r="S476" s="683"/>
      <c r="T476" s="683"/>
      <c r="U476" s="683"/>
      <c r="V476" s="68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27.75" customHeight="1" x14ac:dyDescent="0.2">
      <c r="A477" s="723" t="s">
        <v>742</v>
      </c>
      <c r="B477" s="723"/>
      <c r="C477" s="723"/>
      <c r="D477" s="723"/>
      <c r="E477" s="723"/>
      <c r="F477" s="723"/>
      <c r="G477" s="723"/>
      <c r="H477" s="723"/>
      <c r="I477" s="723"/>
      <c r="J477" s="723"/>
      <c r="K477" s="723"/>
      <c r="L477" s="723"/>
      <c r="M477" s="723"/>
      <c r="N477" s="723"/>
      <c r="O477" s="723"/>
      <c r="P477" s="723"/>
      <c r="Q477" s="723"/>
      <c r="R477" s="723"/>
      <c r="S477" s="723"/>
      <c r="T477" s="723"/>
      <c r="U477" s="723"/>
      <c r="V477" s="723"/>
      <c r="W477" s="723"/>
      <c r="X477" s="723"/>
      <c r="Y477" s="723"/>
      <c r="Z477" s="723"/>
      <c r="AA477" s="54"/>
      <c r="AB477" s="54"/>
      <c r="AC477" s="54"/>
    </row>
    <row r="478" spans="1:68" ht="16.5" customHeight="1" x14ac:dyDescent="0.25">
      <c r="A478" s="699" t="s">
        <v>742</v>
      </c>
      <c r="B478" s="699"/>
      <c r="C478" s="699"/>
      <c r="D478" s="699"/>
      <c r="E478" s="699"/>
      <c r="F478" s="699"/>
      <c r="G478" s="699"/>
      <c r="H478" s="699"/>
      <c r="I478" s="699"/>
      <c r="J478" s="699"/>
      <c r="K478" s="699"/>
      <c r="L478" s="699"/>
      <c r="M478" s="699"/>
      <c r="N478" s="699"/>
      <c r="O478" s="699"/>
      <c r="P478" s="699"/>
      <c r="Q478" s="699"/>
      <c r="R478" s="699"/>
      <c r="S478" s="699"/>
      <c r="T478" s="699"/>
      <c r="U478" s="699"/>
      <c r="V478" s="699"/>
      <c r="W478" s="699"/>
      <c r="X478" s="699"/>
      <c r="Y478" s="699"/>
      <c r="Z478" s="699"/>
      <c r="AA478" s="65"/>
      <c r="AB478" s="65"/>
      <c r="AC478" s="79"/>
    </row>
    <row r="479" spans="1:68" ht="14.25" customHeight="1" x14ac:dyDescent="0.25">
      <c r="A479" s="677" t="s">
        <v>109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"/>
      <c r="AB479" s="66"/>
      <c r="AC479" s="80"/>
    </row>
    <row r="480" spans="1:68" ht="27" customHeight="1" x14ac:dyDescent="0.25">
      <c r="A480" s="63" t="s">
        <v>743</v>
      </c>
      <c r="B480" s="63" t="s">
        <v>744</v>
      </c>
      <c r="C480" s="36">
        <v>4301011795</v>
      </c>
      <c r="D480" s="678">
        <v>4607091389067</v>
      </c>
      <c r="E480" s="678"/>
      <c r="F480" s="62">
        <v>0.88</v>
      </c>
      <c r="G480" s="37">
        <v>6</v>
      </c>
      <c r="H480" s="62">
        <v>5.28</v>
      </c>
      <c r="I480" s="62">
        <v>5.64</v>
      </c>
      <c r="J480" s="37">
        <v>104</v>
      </c>
      <c r="K480" s="37" t="s">
        <v>114</v>
      </c>
      <c r="L480" s="37" t="s">
        <v>45</v>
      </c>
      <c r="M480" s="38" t="s">
        <v>113</v>
      </c>
      <c r="N480" s="38"/>
      <c r="O480" s="37">
        <v>60</v>
      </c>
      <c r="P480" s="75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0"/>
      <c r="R480" s="680"/>
      <c r="S480" s="680"/>
      <c r="T480" s="681"/>
      <c r="U480" s="39" t="s">
        <v>45</v>
      </c>
      <c r="V480" s="39" t="s">
        <v>45</v>
      </c>
      <c r="W480" s="40" t="s">
        <v>0</v>
      </c>
      <c r="X480" s="58">
        <v>0</v>
      </c>
      <c r="Y480" s="55">
        <f t="shared" ref="Y480:Y495" si="69">IFERROR(IF(X480="",0,CEILING((X480/$H480),1)*$H480),"")</f>
        <v>0</v>
      </c>
      <c r="Z480" s="41" t="str">
        <f t="shared" ref="Z480:Z485" si="70">IFERROR(IF(Y480=0,"",ROUNDUP(Y480/H480,0)*0.01196),"")</f>
        <v/>
      </c>
      <c r="AA480" s="68" t="s">
        <v>45</v>
      </c>
      <c r="AB480" s="69" t="s">
        <v>45</v>
      </c>
      <c r="AC480" s="538" t="s">
        <v>745</v>
      </c>
      <c r="AG480" s="78"/>
      <c r="AJ480" s="84" t="s">
        <v>45</v>
      </c>
      <c r="AK480" s="84">
        <v>0</v>
      </c>
      <c r="BB480" s="539" t="s">
        <v>66</v>
      </c>
      <c r="BM480" s="78">
        <f t="shared" ref="BM480:BM495" si="71">IFERROR(X480*I480/H480,"0")</f>
        <v>0</v>
      </c>
      <c r="BN480" s="78">
        <f t="shared" ref="BN480:BN495" si="72">IFERROR(Y480*I480/H480,"0")</f>
        <v>0</v>
      </c>
      <c r="BO480" s="78">
        <f t="shared" ref="BO480:BO495" si="73">IFERROR(1/J480*(X480/H480),"0")</f>
        <v>0</v>
      </c>
      <c r="BP480" s="78">
        <f t="shared" ref="BP480:BP495" si="74">IFERROR(1/J480*(Y480/H480),"0")</f>
        <v>0</v>
      </c>
    </row>
    <row r="481" spans="1:68" ht="27" customHeight="1" x14ac:dyDescent="0.25">
      <c r="A481" s="63" t="s">
        <v>746</v>
      </c>
      <c r="B481" s="63" t="s">
        <v>747</v>
      </c>
      <c r="C481" s="36">
        <v>4301011961</v>
      </c>
      <c r="D481" s="678">
        <v>4680115885271</v>
      </c>
      <c r="E481" s="678"/>
      <c r="F481" s="62">
        <v>0.88</v>
      </c>
      <c r="G481" s="37">
        <v>6</v>
      </c>
      <c r="H481" s="62">
        <v>5.28</v>
      </c>
      <c r="I481" s="62">
        <v>5.64</v>
      </c>
      <c r="J481" s="37">
        <v>104</v>
      </c>
      <c r="K481" s="37" t="s">
        <v>114</v>
      </c>
      <c r="L481" s="37" t="s">
        <v>45</v>
      </c>
      <c r="M481" s="38" t="s">
        <v>113</v>
      </c>
      <c r="N481" s="38"/>
      <c r="O481" s="37">
        <v>60</v>
      </c>
      <c r="P48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0"/>
      <c r="R481" s="680"/>
      <c r="S481" s="680"/>
      <c r="T481" s="681"/>
      <c r="U481" s="39" t="s">
        <v>45</v>
      </c>
      <c r="V481" s="39" t="s">
        <v>45</v>
      </c>
      <c r="W481" s="40" t="s">
        <v>0</v>
      </c>
      <c r="X481" s="58">
        <v>0</v>
      </c>
      <c r="Y481" s="55">
        <f t="shared" si="69"/>
        <v>0</v>
      </c>
      <c r="Z481" s="41" t="str">
        <f t="shared" si="70"/>
        <v/>
      </c>
      <c r="AA481" s="68" t="s">
        <v>45</v>
      </c>
      <c r="AB481" s="69" t="s">
        <v>45</v>
      </c>
      <c r="AC481" s="540" t="s">
        <v>748</v>
      </c>
      <c r="AG481" s="78"/>
      <c r="AJ481" s="84" t="s">
        <v>45</v>
      </c>
      <c r="AK481" s="84">
        <v>0</v>
      </c>
      <c r="BB481" s="541" t="s">
        <v>66</v>
      </c>
      <c r="BM481" s="78">
        <f t="shared" si="71"/>
        <v>0</v>
      </c>
      <c r="BN481" s="78">
        <f t="shared" si="72"/>
        <v>0</v>
      </c>
      <c r="BO481" s="78">
        <f t="shared" si="73"/>
        <v>0</v>
      </c>
      <c r="BP481" s="78">
        <f t="shared" si="74"/>
        <v>0</v>
      </c>
    </row>
    <row r="482" spans="1:68" ht="27" customHeight="1" x14ac:dyDescent="0.25">
      <c r="A482" s="63" t="s">
        <v>749</v>
      </c>
      <c r="B482" s="63" t="s">
        <v>750</v>
      </c>
      <c r="C482" s="36">
        <v>4301011376</v>
      </c>
      <c r="D482" s="678">
        <v>4680115885226</v>
      </c>
      <c r="E482" s="678"/>
      <c r="F482" s="62">
        <v>0.88</v>
      </c>
      <c r="G482" s="37">
        <v>6</v>
      </c>
      <c r="H482" s="62">
        <v>5.28</v>
      </c>
      <c r="I482" s="62">
        <v>5.64</v>
      </c>
      <c r="J482" s="37">
        <v>104</v>
      </c>
      <c r="K482" s="37" t="s">
        <v>114</v>
      </c>
      <c r="L482" s="37" t="s">
        <v>45</v>
      </c>
      <c r="M482" s="38" t="s">
        <v>117</v>
      </c>
      <c r="N482" s="38"/>
      <c r="O482" s="37">
        <v>60</v>
      </c>
      <c r="P482" s="7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0"/>
      <c r="R482" s="680"/>
      <c r="S482" s="680"/>
      <c r="T482" s="681"/>
      <c r="U482" s="39" t="s">
        <v>45</v>
      </c>
      <c r="V482" s="39" t="s">
        <v>45</v>
      </c>
      <c r="W482" s="40" t="s">
        <v>0</v>
      </c>
      <c r="X482" s="58">
        <v>0</v>
      </c>
      <c r="Y482" s="55">
        <f t="shared" si="69"/>
        <v>0</v>
      </c>
      <c r="Z482" s="41" t="str">
        <f t="shared" si="70"/>
        <v/>
      </c>
      <c r="AA482" s="68" t="s">
        <v>45</v>
      </c>
      <c r="AB482" s="69" t="s">
        <v>45</v>
      </c>
      <c r="AC482" s="542" t="s">
        <v>751</v>
      </c>
      <c r="AG482" s="78"/>
      <c r="AJ482" s="84" t="s">
        <v>45</v>
      </c>
      <c r="AK482" s="84">
        <v>0</v>
      </c>
      <c r="BB482" s="543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16.5" customHeight="1" x14ac:dyDescent="0.25">
      <c r="A483" s="63" t="s">
        <v>753</v>
      </c>
      <c r="B483" s="63" t="s">
        <v>754</v>
      </c>
      <c r="C483" s="36">
        <v>4301011774</v>
      </c>
      <c r="D483" s="678">
        <v>4680115884502</v>
      </c>
      <c r="E483" s="678"/>
      <c r="F483" s="62">
        <v>0.88</v>
      </c>
      <c r="G483" s="37">
        <v>6</v>
      </c>
      <c r="H483" s="62">
        <v>5.28</v>
      </c>
      <c r="I483" s="62">
        <v>5.64</v>
      </c>
      <c r="J483" s="37">
        <v>104</v>
      </c>
      <c r="K483" s="37" t="s">
        <v>114</v>
      </c>
      <c r="L483" s="37" t="s">
        <v>45</v>
      </c>
      <c r="M483" s="38" t="s">
        <v>113</v>
      </c>
      <c r="N483" s="38"/>
      <c r="O483" s="37">
        <v>60</v>
      </c>
      <c r="P483" s="76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0"/>
      <c r="R483" s="680"/>
      <c r="S483" s="680"/>
      <c r="T483" s="681"/>
      <c r="U483" s="39" t="s">
        <v>752</v>
      </c>
      <c r="V483" s="39" t="s">
        <v>45</v>
      </c>
      <c r="W483" s="40" t="s">
        <v>0</v>
      </c>
      <c r="X483" s="58">
        <v>0</v>
      </c>
      <c r="Y483" s="55">
        <f t="shared" si="69"/>
        <v>0</v>
      </c>
      <c r="Z483" s="41" t="str">
        <f t="shared" si="70"/>
        <v/>
      </c>
      <c r="AA483" s="68" t="s">
        <v>45</v>
      </c>
      <c r="AB483" s="69" t="s">
        <v>45</v>
      </c>
      <c r="AC483" s="544" t="s">
        <v>755</v>
      </c>
      <c r="AG483" s="78"/>
      <c r="AJ483" s="84" t="s">
        <v>45</v>
      </c>
      <c r="AK483" s="84">
        <v>0</v>
      </c>
      <c r="BB483" s="545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customHeight="1" x14ac:dyDescent="0.25">
      <c r="A484" s="63" t="s">
        <v>756</v>
      </c>
      <c r="B484" s="63" t="s">
        <v>757</v>
      </c>
      <c r="C484" s="36">
        <v>4301011771</v>
      </c>
      <c r="D484" s="678">
        <v>4607091389104</v>
      </c>
      <c r="E484" s="678"/>
      <c r="F484" s="62">
        <v>0.88</v>
      </c>
      <c r="G484" s="37">
        <v>6</v>
      </c>
      <c r="H484" s="62">
        <v>5.28</v>
      </c>
      <c r="I484" s="62">
        <v>5.64</v>
      </c>
      <c r="J484" s="37">
        <v>104</v>
      </c>
      <c r="K484" s="37" t="s">
        <v>114</v>
      </c>
      <c r="L484" s="37" t="s">
        <v>45</v>
      </c>
      <c r="M484" s="38" t="s">
        <v>113</v>
      </c>
      <c r="N484" s="38"/>
      <c r="O484" s="37">
        <v>60</v>
      </c>
      <c r="P484" s="7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0"/>
      <c r="R484" s="680"/>
      <c r="S484" s="680"/>
      <c r="T484" s="681"/>
      <c r="U484" s="39" t="s">
        <v>45</v>
      </c>
      <c r="V484" s="39" t="s">
        <v>45</v>
      </c>
      <c r="W484" s="40" t="s">
        <v>0</v>
      </c>
      <c r="X484" s="58">
        <v>0</v>
      </c>
      <c r="Y484" s="55">
        <f t="shared" si="69"/>
        <v>0</v>
      </c>
      <c r="Z484" s="41" t="str">
        <f t="shared" si="70"/>
        <v/>
      </c>
      <c r="AA484" s="68" t="s">
        <v>45</v>
      </c>
      <c r="AB484" s="69" t="s">
        <v>45</v>
      </c>
      <c r="AC484" s="546" t="s">
        <v>758</v>
      </c>
      <c r="AG484" s="78"/>
      <c r="AJ484" s="84" t="s">
        <v>45</v>
      </c>
      <c r="AK484" s="84">
        <v>0</v>
      </c>
      <c r="BB484" s="547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16.5" customHeight="1" x14ac:dyDescent="0.25">
      <c r="A485" s="63" t="s">
        <v>759</v>
      </c>
      <c r="B485" s="63" t="s">
        <v>760</v>
      </c>
      <c r="C485" s="36">
        <v>4301011799</v>
      </c>
      <c r="D485" s="678">
        <v>4680115884519</v>
      </c>
      <c r="E485" s="678"/>
      <c r="F485" s="62">
        <v>0.88</v>
      </c>
      <c r="G485" s="37">
        <v>6</v>
      </c>
      <c r="H485" s="62">
        <v>5.28</v>
      </c>
      <c r="I485" s="62">
        <v>5.64</v>
      </c>
      <c r="J485" s="37">
        <v>104</v>
      </c>
      <c r="K485" s="37" t="s">
        <v>114</v>
      </c>
      <c r="L485" s="37" t="s">
        <v>45</v>
      </c>
      <c r="M485" s="38" t="s">
        <v>117</v>
      </c>
      <c r="N485" s="38"/>
      <c r="O485" s="37">
        <v>60</v>
      </c>
      <c r="P485" s="74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0"/>
      <c r="R485" s="680"/>
      <c r="S485" s="680"/>
      <c r="T485" s="681"/>
      <c r="U485" s="39" t="s">
        <v>45</v>
      </c>
      <c r="V485" s="39" t="s">
        <v>45</v>
      </c>
      <c r="W485" s="40" t="s">
        <v>0</v>
      </c>
      <c r="X485" s="58">
        <v>0</v>
      </c>
      <c r="Y485" s="55">
        <f t="shared" si="69"/>
        <v>0</v>
      </c>
      <c r="Z485" s="41" t="str">
        <f t="shared" si="70"/>
        <v/>
      </c>
      <c r="AA485" s="68" t="s">
        <v>45</v>
      </c>
      <c r="AB485" s="69" t="s">
        <v>45</v>
      </c>
      <c r="AC485" s="548" t="s">
        <v>761</v>
      </c>
      <c r="AG485" s="78"/>
      <c r="AJ485" s="84" t="s">
        <v>45</v>
      </c>
      <c r="AK485" s="84">
        <v>0</v>
      </c>
      <c r="BB485" s="549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27" customHeight="1" x14ac:dyDescent="0.25">
      <c r="A486" s="63" t="s">
        <v>762</v>
      </c>
      <c r="B486" s="63" t="s">
        <v>763</v>
      </c>
      <c r="C486" s="36">
        <v>4301012125</v>
      </c>
      <c r="D486" s="678">
        <v>4680115886391</v>
      </c>
      <c r="E486" s="678"/>
      <c r="F486" s="62">
        <v>0.4</v>
      </c>
      <c r="G486" s="37">
        <v>6</v>
      </c>
      <c r="H486" s="62">
        <v>2.4</v>
      </c>
      <c r="I486" s="62">
        <v>2.58</v>
      </c>
      <c r="J486" s="37">
        <v>182</v>
      </c>
      <c r="K486" s="37" t="s">
        <v>83</v>
      </c>
      <c r="L486" s="37" t="s">
        <v>45</v>
      </c>
      <c r="M486" s="38" t="s">
        <v>117</v>
      </c>
      <c r="N486" s="38"/>
      <c r="O486" s="37">
        <v>60</v>
      </c>
      <c r="P486" s="748" t="s">
        <v>764</v>
      </c>
      <c r="Q486" s="680"/>
      <c r="R486" s="680"/>
      <c r="S486" s="680"/>
      <c r="T486" s="681"/>
      <c r="U486" s="39" t="s">
        <v>45</v>
      </c>
      <c r="V486" s="39" t="s">
        <v>45</v>
      </c>
      <c r="W486" s="40" t="s">
        <v>0</v>
      </c>
      <c r="X486" s="58">
        <v>0</v>
      </c>
      <c r="Y486" s="55">
        <f t="shared" si="69"/>
        <v>0</v>
      </c>
      <c r="Z486" s="41" t="str">
        <f>IFERROR(IF(Y486=0,"",ROUNDUP(Y486/H486,0)*0.00651),"")</f>
        <v/>
      </c>
      <c r="AA486" s="68" t="s">
        <v>45</v>
      </c>
      <c r="AB486" s="69" t="s">
        <v>45</v>
      </c>
      <c r="AC486" s="550" t="s">
        <v>745</v>
      </c>
      <c r="AG486" s="78"/>
      <c r="AJ486" s="84" t="s">
        <v>45</v>
      </c>
      <c r="AK486" s="84">
        <v>0</v>
      </c>
      <c r="BB486" s="551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t="27" customHeight="1" x14ac:dyDescent="0.25">
      <c r="A487" s="63" t="s">
        <v>765</v>
      </c>
      <c r="B487" s="63" t="s">
        <v>766</v>
      </c>
      <c r="C487" s="36">
        <v>4301011778</v>
      </c>
      <c r="D487" s="678">
        <v>4680115880603</v>
      </c>
      <c r="E487" s="678"/>
      <c r="F487" s="62">
        <v>0.6</v>
      </c>
      <c r="G487" s="37">
        <v>6</v>
      </c>
      <c r="H487" s="62">
        <v>3.6</v>
      </c>
      <c r="I487" s="62">
        <v>3.81</v>
      </c>
      <c r="J487" s="37">
        <v>132</v>
      </c>
      <c r="K487" s="37" t="s">
        <v>118</v>
      </c>
      <c r="L487" s="37" t="s">
        <v>45</v>
      </c>
      <c r="M487" s="38" t="s">
        <v>113</v>
      </c>
      <c r="N487" s="38"/>
      <c r="O487" s="37">
        <v>60</v>
      </c>
      <c r="P487" s="749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0"/>
      <c r="R487" s="680"/>
      <c r="S487" s="680"/>
      <c r="T487" s="681"/>
      <c r="U487" s="39" t="s">
        <v>45</v>
      </c>
      <c r="V487" s="39" t="s">
        <v>45</v>
      </c>
      <c r="W487" s="40" t="s">
        <v>0</v>
      </c>
      <c r="X487" s="58">
        <v>0</v>
      </c>
      <c r="Y487" s="55">
        <f t="shared" si="69"/>
        <v>0</v>
      </c>
      <c r="Z487" s="41" t="str">
        <f>IFERROR(IF(Y487=0,"",ROUNDUP(Y487/H487,0)*0.00902),"")</f>
        <v/>
      </c>
      <c r="AA487" s="68" t="s">
        <v>45</v>
      </c>
      <c r="AB487" s="69" t="s">
        <v>45</v>
      </c>
      <c r="AC487" s="552" t="s">
        <v>745</v>
      </c>
      <c r="AG487" s="78"/>
      <c r="AJ487" s="84" t="s">
        <v>45</v>
      </c>
      <c r="AK487" s="84">
        <v>0</v>
      </c>
      <c r="BB487" s="553" t="s">
        <v>66</v>
      </c>
      <c r="BM487" s="78">
        <f t="shared" si="71"/>
        <v>0</v>
      </c>
      <c r="BN487" s="78">
        <f t="shared" si="72"/>
        <v>0</v>
      </c>
      <c r="BO487" s="78">
        <f t="shared" si="73"/>
        <v>0</v>
      </c>
      <c r="BP487" s="78">
        <f t="shared" si="74"/>
        <v>0</v>
      </c>
    </row>
    <row r="488" spans="1:68" ht="27" customHeight="1" x14ac:dyDescent="0.25">
      <c r="A488" s="63" t="s">
        <v>765</v>
      </c>
      <c r="B488" s="63" t="s">
        <v>767</v>
      </c>
      <c r="C488" s="36">
        <v>4301012035</v>
      </c>
      <c r="D488" s="678">
        <v>4680115880603</v>
      </c>
      <c r="E488" s="678"/>
      <c r="F488" s="62">
        <v>0.6</v>
      </c>
      <c r="G488" s="37">
        <v>8</v>
      </c>
      <c r="H488" s="62">
        <v>4.8</v>
      </c>
      <c r="I488" s="62">
        <v>6.93</v>
      </c>
      <c r="J488" s="37">
        <v>132</v>
      </c>
      <c r="K488" s="37" t="s">
        <v>118</v>
      </c>
      <c r="L488" s="37" t="s">
        <v>45</v>
      </c>
      <c r="M488" s="38" t="s">
        <v>113</v>
      </c>
      <c r="N488" s="38"/>
      <c r="O488" s="37">
        <v>60</v>
      </c>
      <c r="P488" s="7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0"/>
      <c r="R488" s="680"/>
      <c r="S488" s="680"/>
      <c r="T488" s="681"/>
      <c r="U488" s="39" t="s">
        <v>45</v>
      </c>
      <c r="V488" s="39" t="s">
        <v>45</v>
      </c>
      <c r="W488" s="40" t="s">
        <v>0</v>
      </c>
      <c r="X488" s="58">
        <v>0</v>
      </c>
      <c r="Y488" s="55">
        <f t="shared" si="69"/>
        <v>0</v>
      </c>
      <c r="Z488" s="41" t="str">
        <f>IFERROR(IF(Y488=0,"",ROUNDUP(Y488/H488,0)*0.00902),"")</f>
        <v/>
      </c>
      <c r="AA488" s="68" t="s">
        <v>45</v>
      </c>
      <c r="AB488" s="69" t="s">
        <v>45</v>
      </c>
      <c r="AC488" s="554" t="s">
        <v>745</v>
      </c>
      <c r="AG488" s="78"/>
      <c r="AJ488" s="84" t="s">
        <v>45</v>
      </c>
      <c r="AK488" s="84">
        <v>0</v>
      </c>
      <c r="BB488" s="555" t="s">
        <v>66</v>
      </c>
      <c r="BM488" s="78">
        <f t="shared" si="71"/>
        <v>0</v>
      </c>
      <c r="BN488" s="78">
        <f t="shared" si="72"/>
        <v>0</v>
      </c>
      <c r="BO488" s="78">
        <f t="shared" si="73"/>
        <v>0</v>
      </c>
      <c r="BP488" s="78">
        <f t="shared" si="74"/>
        <v>0</v>
      </c>
    </row>
    <row r="489" spans="1:68" ht="27" customHeight="1" x14ac:dyDescent="0.25">
      <c r="A489" s="63" t="s">
        <v>768</v>
      </c>
      <c r="B489" s="63" t="s">
        <v>769</v>
      </c>
      <c r="C489" s="36">
        <v>4301012036</v>
      </c>
      <c r="D489" s="678">
        <v>4680115882782</v>
      </c>
      <c r="E489" s="678"/>
      <c r="F489" s="62">
        <v>0.6</v>
      </c>
      <c r="G489" s="37">
        <v>8</v>
      </c>
      <c r="H489" s="62">
        <v>4.8</v>
      </c>
      <c r="I489" s="62">
        <v>6.96</v>
      </c>
      <c r="J489" s="37">
        <v>120</v>
      </c>
      <c r="K489" s="37" t="s">
        <v>118</v>
      </c>
      <c r="L489" s="37" t="s">
        <v>45</v>
      </c>
      <c r="M489" s="38" t="s">
        <v>113</v>
      </c>
      <c r="N489" s="38"/>
      <c r="O489" s="37">
        <v>60</v>
      </c>
      <c r="P489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0"/>
      <c r="R489" s="680"/>
      <c r="S489" s="680"/>
      <c r="T489" s="681"/>
      <c r="U489" s="39" t="s">
        <v>45</v>
      </c>
      <c r="V489" s="39" t="s">
        <v>45</v>
      </c>
      <c r="W489" s="40" t="s">
        <v>0</v>
      </c>
      <c r="X489" s="58">
        <v>0</v>
      </c>
      <c r="Y489" s="55">
        <f t="shared" si="69"/>
        <v>0</v>
      </c>
      <c r="Z489" s="41" t="str">
        <f>IFERROR(IF(Y489=0,"",ROUNDUP(Y489/H489,0)*0.00937),"")</f>
        <v/>
      </c>
      <c r="AA489" s="68" t="s">
        <v>45</v>
      </c>
      <c r="AB489" s="69" t="s">
        <v>45</v>
      </c>
      <c r="AC489" s="556" t="s">
        <v>748</v>
      </c>
      <c r="AG489" s="78"/>
      <c r="AJ489" s="84" t="s">
        <v>45</v>
      </c>
      <c r="AK489" s="84">
        <v>0</v>
      </c>
      <c r="BB489" s="557" t="s">
        <v>66</v>
      </c>
      <c r="BM489" s="78">
        <f t="shared" si="71"/>
        <v>0</v>
      </c>
      <c r="BN489" s="78">
        <f t="shared" si="72"/>
        <v>0</v>
      </c>
      <c r="BO489" s="78">
        <f t="shared" si="73"/>
        <v>0</v>
      </c>
      <c r="BP489" s="78">
        <f t="shared" si="74"/>
        <v>0</v>
      </c>
    </row>
    <row r="490" spans="1:68" ht="27" customHeight="1" x14ac:dyDescent="0.25">
      <c r="A490" s="63" t="s">
        <v>770</v>
      </c>
      <c r="B490" s="63" t="s">
        <v>771</v>
      </c>
      <c r="C490" s="36">
        <v>4301012055</v>
      </c>
      <c r="D490" s="678">
        <v>4680115886469</v>
      </c>
      <c r="E490" s="678"/>
      <c r="F490" s="62">
        <v>0.55000000000000004</v>
      </c>
      <c r="G490" s="37">
        <v>8</v>
      </c>
      <c r="H490" s="62">
        <v>4.4000000000000004</v>
      </c>
      <c r="I490" s="62">
        <v>4.6100000000000003</v>
      </c>
      <c r="J490" s="37">
        <v>132</v>
      </c>
      <c r="K490" s="37" t="s">
        <v>118</v>
      </c>
      <c r="L490" s="37" t="s">
        <v>45</v>
      </c>
      <c r="M490" s="38" t="s">
        <v>113</v>
      </c>
      <c r="N490" s="38"/>
      <c r="O490" s="37">
        <v>60</v>
      </c>
      <c r="P490" s="752" t="s">
        <v>772</v>
      </c>
      <c r="Q490" s="680"/>
      <c r="R490" s="680"/>
      <c r="S490" s="680"/>
      <c r="T490" s="681"/>
      <c r="U490" s="39" t="s">
        <v>45</v>
      </c>
      <c r="V490" s="39" t="s">
        <v>45</v>
      </c>
      <c r="W490" s="40" t="s">
        <v>0</v>
      </c>
      <c r="X490" s="58">
        <v>0</v>
      </c>
      <c r="Y490" s="55">
        <f t="shared" si="69"/>
        <v>0</v>
      </c>
      <c r="Z490" s="41" t="str">
        <f>IFERROR(IF(Y490=0,"",ROUNDUP(Y490/H490,0)*0.00902),"")</f>
        <v/>
      </c>
      <c r="AA490" s="68" t="s">
        <v>45</v>
      </c>
      <c r="AB490" s="69" t="s">
        <v>45</v>
      </c>
      <c r="AC490" s="558" t="s">
        <v>751</v>
      </c>
      <c r="AG490" s="78"/>
      <c r="AJ490" s="84" t="s">
        <v>45</v>
      </c>
      <c r="AK490" s="84">
        <v>0</v>
      </c>
      <c r="BB490" s="559" t="s">
        <v>66</v>
      </c>
      <c r="BM490" s="78">
        <f t="shared" si="71"/>
        <v>0</v>
      </c>
      <c r="BN490" s="78">
        <f t="shared" si="72"/>
        <v>0</v>
      </c>
      <c r="BO490" s="78">
        <f t="shared" si="73"/>
        <v>0</v>
      </c>
      <c r="BP490" s="78">
        <f t="shared" si="74"/>
        <v>0</v>
      </c>
    </row>
    <row r="491" spans="1:68" ht="27" customHeight="1" x14ac:dyDescent="0.25">
      <c r="A491" s="63" t="s">
        <v>773</v>
      </c>
      <c r="B491" s="63" t="s">
        <v>774</v>
      </c>
      <c r="C491" s="36">
        <v>4301012057</v>
      </c>
      <c r="D491" s="678">
        <v>4680115886483</v>
      </c>
      <c r="E491" s="678"/>
      <c r="F491" s="62">
        <v>0.55000000000000004</v>
      </c>
      <c r="G491" s="37">
        <v>8</v>
      </c>
      <c r="H491" s="62">
        <v>4.4000000000000004</v>
      </c>
      <c r="I491" s="62">
        <v>4.6100000000000003</v>
      </c>
      <c r="J491" s="37">
        <v>132</v>
      </c>
      <c r="K491" s="37" t="s">
        <v>118</v>
      </c>
      <c r="L491" s="37" t="s">
        <v>45</v>
      </c>
      <c r="M491" s="38" t="s">
        <v>113</v>
      </c>
      <c r="N491" s="38"/>
      <c r="O491" s="37">
        <v>60</v>
      </c>
      <c r="P491" s="753" t="s">
        <v>775</v>
      </c>
      <c r="Q491" s="680"/>
      <c r="R491" s="680"/>
      <c r="S491" s="680"/>
      <c r="T491" s="681"/>
      <c r="U491" s="39" t="s">
        <v>45</v>
      </c>
      <c r="V491" s="39" t="s">
        <v>45</v>
      </c>
      <c r="W491" s="40" t="s">
        <v>0</v>
      </c>
      <c r="X491" s="58">
        <v>0</v>
      </c>
      <c r="Y491" s="55">
        <f t="shared" si="69"/>
        <v>0</v>
      </c>
      <c r="Z491" s="41" t="str">
        <f>IFERROR(IF(Y491=0,"",ROUNDUP(Y491/H491,0)*0.00902),"")</f>
        <v/>
      </c>
      <c r="AA491" s="68" t="s">
        <v>45</v>
      </c>
      <c r="AB491" s="69" t="s">
        <v>45</v>
      </c>
      <c r="AC491" s="560" t="s">
        <v>755</v>
      </c>
      <c r="AG491" s="78"/>
      <c r="AJ491" s="84" t="s">
        <v>45</v>
      </c>
      <c r="AK491" s="84">
        <v>0</v>
      </c>
      <c r="BB491" s="561" t="s">
        <v>66</v>
      </c>
      <c r="BM491" s="78">
        <f t="shared" si="71"/>
        <v>0</v>
      </c>
      <c r="BN491" s="78">
        <f t="shared" si="72"/>
        <v>0</v>
      </c>
      <c r="BO491" s="78">
        <f t="shared" si="73"/>
        <v>0</v>
      </c>
      <c r="BP491" s="78">
        <f t="shared" si="74"/>
        <v>0</v>
      </c>
    </row>
    <row r="492" spans="1:68" ht="27" customHeight="1" x14ac:dyDescent="0.25">
      <c r="A492" s="63" t="s">
        <v>776</v>
      </c>
      <c r="B492" s="63" t="s">
        <v>777</v>
      </c>
      <c r="C492" s="36">
        <v>4301012050</v>
      </c>
      <c r="D492" s="678">
        <v>4680115885479</v>
      </c>
      <c r="E492" s="678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83</v>
      </c>
      <c r="L492" s="37" t="s">
        <v>45</v>
      </c>
      <c r="M492" s="38" t="s">
        <v>113</v>
      </c>
      <c r="N492" s="38"/>
      <c r="O492" s="37">
        <v>60</v>
      </c>
      <c r="P492" s="754" t="s">
        <v>778</v>
      </c>
      <c r="Q492" s="680"/>
      <c r="R492" s="680"/>
      <c r="S492" s="680"/>
      <c r="T492" s="681"/>
      <c r="U492" s="39" t="s">
        <v>45</v>
      </c>
      <c r="V492" s="39" t="s">
        <v>45</v>
      </c>
      <c r="W492" s="40" t="s">
        <v>0</v>
      </c>
      <c r="X492" s="58">
        <v>0</v>
      </c>
      <c r="Y492" s="55">
        <f t="shared" si="69"/>
        <v>0</v>
      </c>
      <c r="Z492" s="41" t="str">
        <f>IFERROR(IF(Y492=0,"",ROUNDUP(Y492/H492,0)*0.00651),"")</f>
        <v/>
      </c>
      <c r="AA492" s="68" t="s">
        <v>45</v>
      </c>
      <c r="AB492" s="69" t="s">
        <v>45</v>
      </c>
      <c r="AC492" s="562" t="s">
        <v>758</v>
      </c>
      <c r="AG492" s="78"/>
      <c r="AJ492" s="84" t="s">
        <v>45</v>
      </c>
      <c r="AK492" s="84">
        <v>0</v>
      </c>
      <c r="BB492" s="563" t="s">
        <v>66</v>
      </c>
      <c r="BM492" s="78">
        <f t="shared" si="71"/>
        <v>0</v>
      </c>
      <c r="BN492" s="78">
        <f t="shared" si="72"/>
        <v>0</v>
      </c>
      <c r="BO492" s="78">
        <f t="shared" si="73"/>
        <v>0</v>
      </c>
      <c r="BP492" s="78">
        <f t="shared" si="74"/>
        <v>0</v>
      </c>
    </row>
    <row r="493" spans="1:68" ht="27" customHeight="1" x14ac:dyDescent="0.25">
      <c r="A493" s="63" t="s">
        <v>779</v>
      </c>
      <c r="B493" s="63" t="s">
        <v>780</v>
      </c>
      <c r="C493" s="36">
        <v>4301011784</v>
      </c>
      <c r="D493" s="678">
        <v>4607091389982</v>
      </c>
      <c r="E493" s="678"/>
      <c r="F493" s="62">
        <v>0.6</v>
      </c>
      <c r="G493" s="37">
        <v>6</v>
      </c>
      <c r="H493" s="62">
        <v>3.6</v>
      </c>
      <c r="I493" s="62">
        <v>3.81</v>
      </c>
      <c r="J493" s="37">
        <v>132</v>
      </c>
      <c r="K493" s="37" t="s">
        <v>118</v>
      </c>
      <c r="L493" s="37" t="s">
        <v>45</v>
      </c>
      <c r="M493" s="38" t="s">
        <v>113</v>
      </c>
      <c r="N493" s="38"/>
      <c r="O493" s="37">
        <v>60</v>
      </c>
      <c r="P493" s="7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0"/>
      <c r="R493" s="680"/>
      <c r="S493" s="680"/>
      <c r="T493" s="681"/>
      <c r="U493" s="39" t="s">
        <v>45</v>
      </c>
      <c r="V493" s="39" t="s">
        <v>45</v>
      </c>
      <c r="W493" s="40" t="s">
        <v>0</v>
      </c>
      <c r="X493" s="58">
        <v>0</v>
      </c>
      <c r="Y493" s="55">
        <f t="shared" si="69"/>
        <v>0</v>
      </c>
      <c r="Z493" s="41" t="str">
        <f>IFERROR(IF(Y493=0,"",ROUNDUP(Y493/H493,0)*0.00902),"")</f>
        <v/>
      </c>
      <c r="AA493" s="68" t="s">
        <v>45</v>
      </c>
      <c r="AB493" s="69" t="s">
        <v>45</v>
      </c>
      <c r="AC493" s="564" t="s">
        <v>758</v>
      </c>
      <c r="AG493" s="78"/>
      <c r="AJ493" s="84" t="s">
        <v>45</v>
      </c>
      <c r="AK493" s="84">
        <v>0</v>
      </c>
      <c r="BB493" s="565" t="s">
        <v>66</v>
      </c>
      <c r="BM493" s="78">
        <f t="shared" si="71"/>
        <v>0</v>
      </c>
      <c r="BN493" s="78">
        <f t="shared" si="72"/>
        <v>0</v>
      </c>
      <c r="BO493" s="78">
        <f t="shared" si="73"/>
        <v>0</v>
      </c>
      <c r="BP493" s="78">
        <f t="shared" si="74"/>
        <v>0</v>
      </c>
    </row>
    <row r="494" spans="1:68" ht="27" customHeight="1" x14ac:dyDescent="0.25">
      <c r="A494" s="63" t="s">
        <v>779</v>
      </c>
      <c r="B494" s="63" t="s">
        <v>781</v>
      </c>
      <c r="C494" s="36">
        <v>4301012034</v>
      </c>
      <c r="D494" s="678">
        <v>4607091389982</v>
      </c>
      <c r="E494" s="678"/>
      <c r="F494" s="62">
        <v>0.6</v>
      </c>
      <c r="G494" s="37">
        <v>8</v>
      </c>
      <c r="H494" s="62">
        <v>4.8</v>
      </c>
      <c r="I494" s="62">
        <v>6.96</v>
      </c>
      <c r="J494" s="37">
        <v>120</v>
      </c>
      <c r="K494" s="37" t="s">
        <v>118</v>
      </c>
      <c r="L494" s="37" t="s">
        <v>45</v>
      </c>
      <c r="M494" s="38" t="s">
        <v>113</v>
      </c>
      <c r="N494" s="38"/>
      <c r="O494" s="37">
        <v>60</v>
      </c>
      <c r="P494" s="7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0"/>
      <c r="R494" s="680"/>
      <c r="S494" s="680"/>
      <c r="T494" s="681"/>
      <c r="U494" s="39" t="s">
        <v>45</v>
      </c>
      <c r="V494" s="39" t="s">
        <v>45</v>
      </c>
      <c r="W494" s="40" t="s">
        <v>0</v>
      </c>
      <c r="X494" s="58">
        <v>0</v>
      </c>
      <c r="Y494" s="55">
        <f t="shared" si="69"/>
        <v>0</v>
      </c>
      <c r="Z494" s="41" t="str">
        <f>IFERROR(IF(Y494=0,"",ROUNDUP(Y494/H494,0)*0.00937),"")</f>
        <v/>
      </c>
      <c r="AA494" s="68" t="s">
        <v>45</v>
      </c>
      <c r="AB494" s="69" t="s">
        <v>45</v>
      </c>
      <c r="AC494" s="566" t="s">
        <v>758</v>
      </c>
      <c r="AG494" s="78"/>
      <c r="AJ494" s="84" t="s">
        <v>45</v>
      </c>
      <c r="AK494" s="84">
        <v>0</v>
      </c>
      <c r="BB494" s="567" t="s">
        <v>66</v>
      </c>
      <c r="BM494" s="78">
        <f t="shared" si="71"/>
        <v>0</v>
      </c>
      <c r="BN494" s="78">
        <f t="shared" si="72"/>
        <v>0</v>
      </c>
      <c r="BO494" s="78">
        <f t="shared" si="73"/>
        <v>0</v>
      </c>
      <c r="BP494" s="78">
        <f t="shared" si="74"/>
        <v>0</v>
      </c>
    </row>
    <row r="495" spans="1:68" ht="27" customHeight="1" x14ac:dyDescent="0.25">
      <c r="A495" s="63" t="s">
        <v>782</v>
      </c>
      <c r="B495" s="63" t="s">
        <v>783</v>
      </c>
      <c r="C495" s="36">
        <v>4301012058</v>
      </c>
      <c r="D495" s="678">
        <v>4680115886490</v>
      </c>
      <c r="E495" s="678"/>
      <c r="F495" s="62">
        <v>0.55000000000000004</v>
      </c>
      <c r="G495" s="37">
        <v>8</v>
      </c>
      <c r="H495" s="62">
        <v>4.4000000000000004</v>
      </c>
      <c r="I495" s="62">
        <v>4.6100000000000003</v>
      </c>
      <c r="J495" s="37">
        <v>132</v>
      </c>
      <c r="K495" s="37" t="s">
        <v>118</v>
      </c>
      <c r="L495" s="37" t="s">
        <v>45</v>
      </c>
      <c r="M495" s="38" t="s">
        <v>113</v>
      </c>
      <c r="N495" s="38"/>
      <c r="O495" s="37">
        <v>60</v>
      </c>
      <c r="P495" s="74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0"/>
      <c r="R495" s="680"/>
      <c r="S495" s="680"/>
      <c r="T495" s="681"/>
      <c r="U495" s="39" t="s">
        <v>45</v>
      </c>
      <c r="V495" s="39" t="s">
        <v>45</v>
      </c>
      <c r="W495" s="40" t="s">
        <v>0</v>
      </c>
      <c r="X495" s="58">
        <v>0</v>
      </c>
      <c r="Y495" s="55">
        <f t="shared" si="69"/>
        <v>0</v>
      </c>
      <c r="Z495" s="41" t="str">
        <f>IFERROR(IF(Y495=0,"",ROUNDUP(Y495/H495,0)*0.00902),"")</f>
        <v/>
      </c>
      <c r="AA495" s="68" t="s">
        <v>45</v>
      </c>
      <c r="AB495" s="69" t="s">
        <v>45</v>
      </c>
      <c r="AC495" s="568" t="s">
        <v>761</v>
      </c>
      <c r="AG495" s="78"/>
      <c r="AJ495" s="84" t="s">
        <v>45</v>
      </c>
      <c r="AK495" s="84">
        <v>0</v>
      </c>
      <c r="BB495" s="569" t="s">
        <v>66</v>
      </c>
      <c r="BM495" s="78">
        <f t="shared" si="71"/>
        <v>0</v>
      </c>
      <c r="BN495" s="78">
        <f t="shared" si="72"/>
        <v>0</v>
      </c>
      <c r="BO495" s="78">
        <f t="shared" si="73"/>
        <v>0</v>
      </c>
      <c r="BP495" s="78">
        <f t="shared" si="74"/>
        <v>0</v>
      </c>
    </row>
    <row r="496" spans="1:68" x14ac:dyDescent="0.2">
      <c r="A496" s="685"/>
      <c r="B496" s="685"/>
      <c r="C496" s="685"/>
      <c r="D496" s="685"/>
      <c r="E496" s="685"/>
      <c r="F496" s="685"/>
      <c r="G496" s="685"/>
      <c r="H496" s="685"/>
      <c r="I496" s="685"/>
      <c r="J496" s="685"/>
      <c r="K496" s="685"/>
      <c r="L496" s="685"/>
      <c r="M496" s="685"/>
      <c r="N496" s="685"/>
      <c r="O496" s="686"/>
      <c r="P496" s="682" t="s">
        <v>40</v>
      </c>
      <c r="Q496" s="683"/>
      <c r="R496" s="683"/>
      <c r="S496" s="683"/>
      <c r="T496" s="683"/>
      <c r="U496" s="683"/>
      <c r="V496" s="684"/>
      <c r="W496" s="42" t="s">
        <v>39</v>
      </c>
      <c r="X496" s="43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43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43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7"/>
      <c r="AB496" s="67"/>
      <c r="AC496" s="67"/>
    </row>
    <row r="497" spans="1:68" x14ac:dyDescent="0.2">
      <c r="A497" s="685"/>
      <c r="B497" s="685"/>
      <c r="C497" s="685"/>
      <c r="D497" s="685"/>
      <c r="E497" s="685"/>
      <c r="F497" s="685"/>
      <c r="G497" s="685"/>
      <c r="H497" s="685"/>
      <c r="I497" s="685"/>
      <c r="J497" s="685"/>
      <c r="K497" s="685"/>
      <c r="L497" s="685"/>
      <c r="M497" s="685"/>
      <c r="N497" s="685"/>
      <c r="O497" s="686"/>
      <c r="P497" s="682" t="s">
        <v>40</v>
      </c>
      <c r="Q497" s="683"/>
      <c r="R497" s="683"/>
      <c r="S497" s="683"/>
      <c r="T497" s="683"/>
      <c r="U497" s="683"/>
      <c r="V497" s="684"/>
      <c r="W497" s="42" t="s">
        <v>0</v>
      </c>
      <c r="X497" s="43">
        <f>IFERROR(SUM(X480:X495),"0")</f>
        <v>0</v>
      </c>
      <c r="Y497" s="43">
        <f>IFERROR(SUM(Y480:Y495),"0")</f>
        <v>0</v>
      </c>
      <c r="Z497" s="42"/>
      <c r="AA497" s="67"/>
      <c r="AB497" s="67"/>
      <c r="AC497" s="67"/>
    </row>
    <row r="498" spans="1:68" ht="14.25" customHeight="1" x14ac:dyDescent="0.25">
      <c r="A498" s="677" t="s">
        <v>149</v>
      </c>
      <c r="B498" s="677"/>
      <c r="C498" s="677"/>
      <c r="D498" s="677"/>
      <c r="E498" s="677"/>
      <c r="F498" s="677"/>
      <c r="G498" s="677"/>
      <c r="H498" s="677"/>
      <c r="I498" s="677"/>
      <c r="J498" s="677"/>
      <c r="K498" s="677"/>
      <c r="L498" s="677"/>
      <c r="M498" s="677"/>
      <c r="N498" s="677"/>
      <c r="O498" s="677"/>
      <c r="P498" s="677"/>
      <c r="Q498" s="677"/>
      <c r="R498" s="677"/>
      <c r="S498" s="677"/>
      <c r="T498" s="677"/>
      <c r="U498" s="677"/>
      <c r="V498" s="677"/>
      <c r="W498" s="677"/>
      <c r="X498" s="677"/>
      <c r="Y498" s="677"/>
      <c r="Z498" s="677"/>
      <c r="AA498" s="66"/>
      <c r="AB498" s="66"/>
      <c r="AC498" s="80"/>
    </row>
    <row r="499" spans="1:68" ht="16.5" customHeight="1" x14ac:dyDescent="0.25">
      <c r="A499" s="63" t="s">
        <v>784</v>
      </c>
      <c r="B499" s="63" t="s">
        <v>785</v>
      </c>
      <c r="C499" s="36">
        <v>4301020222</v>
      </c>
      <c r="D499" s="678">
        <v>4607091388930</v>
      </c>
      <c r="E499" s="678"/>
      <c r="F499" s="62">
        <v>0.88</v>
      </c>
      <c r="G499" s="37">
        <v>6</v>
      </c>
      <c r="H499" s="62">
        <v>5.28</v>
      </c>
      <c r="I499" s="62">
        <v>5.64</v>
      </c>
      <c r="J499" s="37">
        <v>104</v>
      </c>
      <c r="K499" s="37" t="s">
        <v>114</v>
      </c>
      <c r="L499" s="37" t="s">
        <v>45</v>
      </c>
      <c r="M499" s="38" t="s">
        <v>113</v>
      </c>
      <c r="N499" s="38"/>
      <c r="O499" s="37">
        <v>55</v>
      </c>
      <c r="P499" s="74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0"/>
      <c r="R499" s="680"/>
      <c r="S499" s="680"/>
      <c r="T499" s="681"/>
      <c r="U499" s="39" t="s">
        <v>45</v>
      </c>
      <c r="V499" s="39" t="s">
        <v>45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IFERROR(IF(Y499=0,"",ROUNDUP(Y499/H499,0)*0.01196),"")</f>
        <v/>
      </c>
      <c r="AA499" s="68" t="s">
        <v>45</v>
      </c>
      <c r="AB499" s="69" t="s">
        <v>45</v>
      </c>
      <c r="AC499" s="570" t="s">
        <v>786</v>
      </c>
      <c r="AG499" s="78"/>
      <c r="AJ499" s="84" t="s">
        <v>45</v>
      </c>
      <c r="AK499" s="84">
        <v>0</v>
      </c>
      <c r="BB499" s="57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784</v>
      </c>
      <c r="B500" s="63" t="s">
        <v>787</v>
      </c>
      <c r="C500" s="36">
        <v>4301020334</v>
      </c>
      <c r="D500" s="678">
        <v>4607091388930</v>
      </c>
      <c r="E500" s="678"/>
      <c r="F500" s="62">
        <v>0.88</v>
      </c>
      <c r="G500" s="37">
        <v>6</v>
      </c>
      <c r="H500" s="62">
        <v>5.28</v>
      </c>
      <c r="I500" s="62">
        <v>5.64</v>
      </c>
      <c r="J500" s="37">
        <v>104</v>
      </c>
      <c r="K500" s="37" t="s">
        <v>114</v>
      </c>
      <c r="L500" s="37" t="s">
        <v>45</v>
      </c>
      <c r="M500" s="38" t="s">
        <v>117</v>
      </c>
      <c r="N500" s="38"/>
      <c r="O500" s="37">
        <v>70</v>
      </c>
      <c r="P500" s="744" t="s">
        <v>788</v>
      </c>
      <c r="Q500" s="680"/>
      <c r="R500" s="680"/>
      <c r="S500" s="680"/>
      <c r="T500" s="681"/>
      <c r="U500" s="39" t="s">
        <v>45</v>
      </c>
      <c r="V500" s="39" t="s">
        <v>45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IFERROR(IF(Y500=0,"",ROUNDUP(Y500/H500,0)*0.01196),"")</f>
        <v/>
      </c>
      <c r="AA500" s="68" t="s">
        <v>45</v>
      </c>
      <c r="AB500" s="69" t="s">
        <v>45</v>
      </c>
      <c r="AC500" s="572" t="s">
        <v>789</v>
      </c>
      <c r="AG500" s="78"/>
      <c r="AJ500" s="84" t="s">
        <v>45</v>
      </c>
      <c r="AK500" s="84">
        <v>0</v>
      </c>
      <c r="BB500" s="57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16.5" customHeight="1" x14ac:dyDescent="0.25">
      <c r="A501" s="63" t="s">
        <v>790</v>
      </c>
      <c r="B501" s="63" t="s">
        <v>791</v>
      </c>
      <c r="C501" s="36">
        <v>4301020384</v>
      </c>
      <c r="D501" s="678">
        <v>4680115886407</v>
      </c>
      <c r="E501" s="678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83</v>
      </c>
      <c r="L501" s="37" t="s">
        <v>45</v>
      </c>
      <c r="M501" s="38" t="s">
        <v>117</v>
      </c>
      <c r="N501" s="38"/>
      <c r="O501" s="37">
        <v>70</v>
      </c>
      <c r="P501" s="745" t="s">
        <v>792</v>
      </c>
      <c r="Q501" s="680"/>
      <c r="R501" s="680"/>
      <c r="S501" s="680"/>
      <c r="T501" s="681"/>
      <c r="U501" s="39" t="s">
        <v>45</v>
      </c>
      <c r="V501" s="39" t="s">
        <v>45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IFERROR(IF(Y501=0,"",ROUNDUP(Y501/H501,0)*0.00651),"")</f>
        <v/>
      </c>
      <c r="AA501" s="68" t="s">
        <v>45</v>
      </c>
      <c r="AB501" s="69" t="s">
        <v>45</v>
      </c>
      <c r="AC501" s="574" t="s">
        <v>789</v>
      </c>
      <c r="AG501" s="78"/>
      <c r="AJ501" s="84" t="s">
        <v>45</v>
      </c>
      <c r="AK501" s="84">
        <v>0</v>
      </c>
      <c r="BB501" s="57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16.5" customHeight="1" x14ac:dyDescent="0.25">
      <c r="A502" s="63" t="s">
        <v>793</v>
      </c>
      <c r="B502" s="63" t="s">
        <v>794</v>
      </c>
      <c r="C502" s="36">
        <v>4301020385</v>
      </c>
      <c r="D502" s="678">
        <v>4680115880054</v>
      </c>
      <c r="E502" s="678"/>
      <c r="F502" s="62">
        <v>0.6</v>
      </c>
      <c r="G502" s="37">
        <v>8</v>
      </c>
      <c r="H502" s="62">
        <v>4.8</v>
      </c>
      <c r="I502" s="62">
        <v>6.93</v>
      </c>
      <c r="J502" s="37">
        <v>132</v>
      </c>
      <c r="K502" s="37" t="s">
        <v>118</v>
      </c>
      <c r="L502" s="37" t="s">
        <v>45</v>
      </c>
      <c r="M502" s="38" t="s">
        <v>113</v>
      </c>
      <c r="N502" s="38"/>
      <c r="O502" s="37">
        <v>70</v>
      </c>
      <c r="P502" s="746" t="s">
        <v>795</v>
      </c>
      <c r="Q502" s="680"/>
      <c r="R502" s="680"/>
      <c r="S502" s="680"/>
      <c r="T502" s="681"/>
      <c r="U502" s="39" t="s">
        <v>45</v>
      </c>
      <c r="V502" s="39" t="s">
        <v>45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45</v>
      </c>
      <c r="AB502" s="69" t="s">
        <v>45</v>
      </c>
      <c r="AC502" s="576" t="s">
        <v>789</v>
      </c>
      <c r="AG502" s="78"/>
      <c r="AJ502" s="84" t="s">
        <v>45</v>
      </c>
      <c r="AK502" s="84">
        <v>0</v>
      </c>
      <c r="BB502" s="57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x14ac:dyDescent="0.2">
      <c r="A503" s="685"/>
      <c r="B503" s="685"/>
      <c r="C503" s="685"/>
      <c r="D503" s="685"/>
      <c r="E503" s="685"/>
      <c r="F503" s="685"/>
      <c r="G503" s="685"/>
      <c r="H503" s="685"/>
      <c r="I503" s="685"/>
      <c r="J503" s="685"/>
      <c r="K503" s="685"/>
      <c r="L503" s="685"/>
      <c r="M503" s="685"/>
      <c r="N503" s="685"/>
      <c r="O503" s="686"/>
      <c r="P503" s="682" t="s">
        <v>40</v>
      </c>
      <c r="Q503" s="683"/>
      <c r="R503" s="683"/>
      <c r="S503" s="683"/>
      <c r="T503" s="683"/>
      <c r="U503" s="683"/>
      <c r="V503" s="684"/>
      <c r="W503" s="42" t="s">
        <v>39</v>
      </c>
      <c r="X503" s="43">
        <f>IFERROR(X499/H499,"0")+IFERROR(X500/H500,"0")+IFERROR(X501/H501,"0")+IFERROR(X502/H502,"0")</f>
        <v>0</v>
      </c>
      <c r="Y503" s="43">
        <f>IFERROR(Y499/H499,"0")+IFERROR(Y500/H500,"0")+IFERROR(Y501/H501,"0")+IFERROR(Y502/H502,"0")</f>
        <v>0</v>
      </c>
      <c r="Z503" s="43">
        <f>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85"/>
      <c r="B504" s="685"/>
      <c r="C504" s="685"/>
      <c r="D504" s="685"/>
      <c r="E504" s="685"/>
      <c r="F504" s="685"/>
      <c r="G504" s="685"/>
      <c r="H504" s="685"/>
      <c r="I504" s="685"/>
      <c r="J504" s="685"/>
      <c r="K504" s="685"/>
      <c r="L504" s="685"/>
      <c r="M504" s="685"/>
      <c r="N504" s="685"/>
      <c r="O504" s="686"/>
      <c r="P504" s="682" t="s">
        <v>40</v>
      </c>
      <c r="Q504" s="683"/>
      <c r="R504" s="683"/>
      <c r="S504" s="683"/>
      <c r="T504" s="683"/>
      <c r="U504" s="683"/>
      <c r="V504" s="684"/>
      <c r="W504" s="42" t="s">
        <v>0</v>
      </c>
      <c r="X504" s="43">
        <f>IFERROR(SUM(X499:X502),"0")</f>
        <v>0</v>
      </c>
      <c r="Y504" s="43">
        <f>IFERROR(SUM(Y499:Y502),"0")</f>
        <v>0</v>
      </c>
      <c r="Z504" s="42"/>
      <c r="AA504" s="67"/>
      <c r="AB504" s="67"/>
      <c r="AC504" s="67"/>
    </row>
    <row r="505" spans="1:68" ht="14.25" customHeight="1" x14ac:dyDescent="0.25">
      <c r="A505" s="677" t="s">
        <v>160</v>
      </c>
      <c r="B505" s="677"/>
      <c r="C505" s="677"/>
      <c r="D505" s="677"/>
      <c r="E505" s="677"/>
      <c r="F505" s="677"/>
      <c r="G505" s="677"/>
      <c r="H505" s="677"/>
      <c r="I505" s="677"/>
      <c r="J505" s="677"/>
      <c r="K505" s="677"/>
      <c r="L505" s="677"/>
      <c r="M505" s="677"/>
      <c r="N505" s="677"/>
      <c r="O505" s="677"/>
      <c r="P505" s="677"/>
      <c r="Q505" s="677"/>
      <c r="R505" s="677"/>
      <c r="S505" s="677"/>
      <c r="T505" s="677"/>
      <c r="U505" s="677"/>
      <c r="V505" s="677"/>
      <c r="W505" s="677"/>
      <c r="X505" s="677"/>
      <c r="Y505" s="677"/>
      <c r="Z505" s="677"/>
      <c r="AA505" s="66"/>
      <c r="AB505" s="66"/>
      <c r="AC505" s="80"/>
    </row>
    <row r="506" spans="1:68" ht="27" customHeight="1" x14ac:dyDescent="0.25">
      <c r="A506" s="63" t="s">
        <v>796</v>
      </c>
      <c r="B506" s="63" t="s">
        <v>797</v>
      </c>
      <c r="C506" s="36">
        <v>4301031349</v>
      </c>
      <c r="D506" s="678">
        <v>4680115883116</v>
      </c>
      <c r="E506" s="678"/>
      <c r="F506" s="62">
        <v>0.88</v>
      </c>
      <c r="G506" s="37">
        <v>6</v>
      </c>
      <c r="H506" s="62">
        <v>5.28</v>
      </c>
      <c r="I506" s="62">
        <v>5.64</v>
      </c>
      <c r="J506" s="37">
        <v>104</v>
      </c>
      <c r="K506" s="37" t="s">
        <v>114</v>
      </c>
      <c r="L506" s="37" t="s">
        <v>45</v>
      </c>
      <c r="M506" s="38" t="s">
        <v>113</v>
      </c>
      <c r="N506" s="38"/>
      <c r="O506" s="37">
        <v>70</v>
      </c>
      <c r="P506" s="733" t="s">
        <v>798</v>
      </c>
      <c r="Q506" s="680"/>
      <c r="R506" s="680"/>
      <c r="S506" s="680"/>
      <c r="T506" s="681"/>
      <c r="U506" s="39" t="s">
        <v>45</v>
      </c>
      <c r="V506" s="39" t="s">
        <v>45</v>
      </c>
      <c r="W506" s="40" t="s">
        <v>0</v>
      </c>
      <c r="X506" s="58">
        <v>0</v>
      </c>
      <c r="Y506" s="55">
        <f t="shared" ref="Y506:Y517" si="75">IFERROR(IF(X506="",0,CEILING((X506/$H506),1)*$H506),"")</f>
        <v>0</v>
      </c>
      <c r="Z506" s="41" t="str">
        <f>IFERROR(IF(Y506=0,"",ROUNDUP(Y506/H506,0)*0.01196),"")</f>
        <v/>
      </c>
      <c r="AA506" s="68" t="s">
        <v>45</v>
      </c>
      <c r="AB506" s="69" t="s">
        <v>45</v>
      </c>
      <c r="AC506" s="578" t="s">
        <v>799</v>
      </c>
      <c r="AG506" s="78"/>
      <c r="AJ506" s="84" t="s">
        <v>45</v>
      </c>
      <c r="AK506" s="84">
        <v>0</v>
      </c>
      <c r="BB506" s="579" t="s">
        <v>66</v>
      </c>
      <c r="BM506" s="78">
        <f t="shared" ref="BM506:BM517" si="76">IFERROR(X506*I506/H506,"0")</f>
        <v>0</v>
      </c>
      <c r="BN506" s="78">
        <f t="shared" ref="BN506:BN517" si="77">IFERROR(Y506*I506/H506,"0")</f>
        <v>0</v>
      </c>
      <c r="BO506" s="78">
        <f t="shared" ref="BO506:BO517" si="78">IFERROR(1/J506*(X506/H506),"0")</f>
        <v>0</v>
      </c>
      <c r="BP506" s="78">
        <f t="shared" ref="BP506:BP517" si="79">IFERROR(1/J506*(Y506/H506),"0")</f>
        <v>0</v>
      </c>
    </row>
    <row r="507" spans="1:68" ht="27" customHeight="1" x14ac:dyDescent="0.25">
      <c r="A507" s="63" t="s">
        <v>800</v>
      </c>
      <c r="B507" s="63" t="s">
        <v>801</v>
      </c>
      <c r="C507" s="36">
        <v>4301031350</v>
      </c>
      <c r="D507" s="678">
        <v>4680115883093</v>
      </c>
      <c r="E507" s="678"/>
      <c r="F507" s="62">
        <v>0.88</v>
      </c>
      <c r="G507" s="37">
        <v>6</v>
      </c>
      <c r="H507" s="62">
        <v>5.28</v>
      </c>
      <c r="I507" s="62">
        <v>5.64</v>
      </c>
      <c r="J507" s="37">
        <v>104</v>
      </c>
      <c r="K507" s="37" t="s">
        <v>114</v>
      </c>
      <c r="L507" s="37" t="s">
        <v>45</v>
      </c>
      <c r="M507" s="38" t="s">
        <v>82</v>
      </c>
      <c r="N507" s="38"/>
      <c r="O507" s="37">
        <v>70</v>
      </c>
      <c r="P507" s="734" t="s">
        <v>802</v>
      </c>
      <c r="Q507" s="680"/>
      <c r="R507" s="680"/>
      <c r="S507" s="680"/>
      <c r="T507" s="681"/>
      <c r="U507" s="39" t="s">
        <v>45</v>
      </c>
      <c r="V507" s="39" t="s">
        <v>45</v>
      </c>
      <c r="W507" s="40" t="s">
        <v>0</v>
      </c>
      <c r="X507" s="58">
        <v>0</v>
      </c>
      <c r="Y507" s="55">
        <f t="shared" si="75"/>
        <v>0</v>
      </c>
      <c r="Z507" s="41" t="str">
        <f>IFERROR(IF(Y507=0,"",ROUNDUP(Y507/H507,0)*0.01196),"")</f>
        <v/>
      </c>
      <c r="AA507" s="68" t="s">
        <v>45</v>
      </c>
      <c r="AB507" s="69" t="s">
        <v>45</v>
      </c>
      <c r="AC507" s="580" t="s">
        <v>803</v>
      </c>
      <c r="AG507" s="78"/>
      <c r="AJ507" s="84" t="s">
        <v>45</v>
      </c>
      <c r="AK507" s="84">
        <v>0</v>
      </c>
      <c r="BB507" s="581" t="s">
        <v>66</v>
      </c>
      <c r="BM507" s="78">
        <f t="shared" si="76"/>
        <v>0</v>
      </c>
      <c r="BN507" s="78">
        <f t="shared" si="77"/>
        <v>0</v>
      </c>
      <c r="BO507" s="78">
        <f t="shared" si="78"/>
        <v>0</v>
      </c>
      <c r="BP507" s="78">
        <f t="shared" si="79"/>
        <v>0</v>
      </c>
    </row>
    <row r="508" spans="1:68" ht="27" customHeight="1" x14ac:dyDescent="0.25">
      <c r="A508" s="63" t="s">
        <v>804</v>
      </c>
      <c r="B508" s="63" t="s">
        <v>805</v>
      </c>
      <c r="C508" s="36">
        <v>4301031353</v>
      </c>
      <c r="D508" s="678">
        <v>4680115883109</v>
      </c>
      <c r="E508" s="678"/>
      <c r="F508" s="62">
        <v>0.88</v>
      </c>
      <c r="G508" s="37">
        <v>6</v>
      </c>
      <c r="H508" s="62">
        <v>5.28</v>
      </c>
      <c r="I508" s="62">
        <v>5.64</v>
      </c>
      <c r="J508" s="37">
        <v>104</v>
      </c>
      <c r="K508" s="37" t="s">
        <v>114</v>
      </c>
      <c r="L508" s="37" t="s">
        <v>45</v>
      </c>
      <c r="M508" s="38" t="s">
        <v>82</v>
      </c>
      <c r="N508" s="38"/>
      <c r="O508" s="37">
        <v>70</v>
      </c>
      <c r="P508" s="735" t="s">
        <v>806</v>
      </c>
      <c r="Q508" s="680"/>
      <c r="R508" s="680"/>
      <c r="S508" s="680"/>
      <c r="T508" s="681"/>
      <c r="U508" s="39" t="s">
        <v>45</v>
      </c>
      <c r="V508" s="39" t="s">
        <v>45</v>
      </c>
      <c r="W508" s="40" t="s">
        <v>0</v>
      </c>
      <c r="X508" s="58">
        <v>0</v>
      </c>
      <c r="Y508" s="55">
        <f t="shared" si="75"/>
        <v>0</v>
      </c>
      <c r="Z508" s="41" t="str">
        <f>IFERROR(IF(Y508=0,"",ROUNDUP(Y508/H508,0)*0.01196),"")</f>
        <v/>
      </c>
      <c r="AA508" s="68" t="s">
        <v>45</v>
      </c>
      <c r="AB508" s="69" t="s">
        <v>45</v>
      </c>
      <c r="AC508" s="582" t="s">
        <v>807</v>
      </c>
      <c r="AG508" s="78"/>
      <c r="AJ508" s="84" t="s">
        <v>45</v>
      </c>
      <c r="AK508" s="84">
        <v>0</v>
      </c>
      <c r="BB508" s="583" t="s">
        <v>66</v>
      </c>
      <c r="BM508" s="78">
        <f t="shared" si="76"/>
        <v>0</v>
      </c>
      <c r="BN508" s="78">
        <f t="shared" si="77"/>
        <v>0</v>
      </c>
      <c r="BO508" s="78">
        <f t="shared" si="78"/>
        <v>0</v>
      </c>
      <c r="BP508" s="78">
        <f t="shared" si="79"/>
        <v>0</v>
      </c>
    </row>
    <row r="509" spans="1:68" ht="27" customHeight="1" x14ac:dyDescent="0.25">
      <c r="A509" s="63" t="s">
        <v>808</v>
      </c>
      <c r="B509" s="63" t="s">
        <v>809</v>
      </c>
      <c r="C509" s="36">
        <v>4301031409</v>
      </c>
      <c r="D509" s="678">
        <v>4680115886438</v>
      </c>
      <c r="E509" s="678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83</v>
      </c>
      <c r="L509" s="37" t="s">
        <v>45</v>
      </c>
      <c r="M509" s="38" t="s">
        <v>113</v>
      </c>
      <c r="N509" s="38"/>
      <c r="O509" s="37">
        <v>70</v>
      </c>
      <c r="P509" s="736" t="s">
        <v>810</v>
      </c>
      <c r="Q509" s="680"/>
      <c r="R509" s="680"/>
      <c r="S509" s="680"/>
      <c r="T509" s="681"/>
      <c r="U509" s="39" t="s">
        <v>45</v>
      </c>
      <c r="V509" s="39" t="s">
        <v>45</v>
      </c>
      <c r="W509" s="40" t="s">
        <v>0</v>
      </c>
      <c r="X509" s="58">
        <v>0</v>
      </c>
      <c r="Y509" s="55">
        <f t="shared" si="75"/>
        <v>0</v>
      </c>
      <c r="Z509" s="41" t="str">
        <f>IFERROR(IF(Y509=0,"",ROUNDUP(Y509/H509,0)*0.00651),"")</f>
        <v/>
      </c>
      <c r="AA509" s="68" t="s">
        <v>45</v>
      </c>
      <c r="AB509" s="69" t="s">
        <v>45</v>
      </c>
      <c r="AC509" s="584" t="s">
        <v>799</v>
      </c>
      <c r="AG509" s="78"/>
      <c r="AJ509" s="84" t="s">
        <v>45</v>
      </c>
      <c r="AK509" s="84">
        <v>0</v>
      </c>
      <c r="BB509" s="585" t="s">
        <v>66</v>
      </c>
      <c r="BM509" s="78">
        <f t="shared" si="76"/>
        <v>0</v>
      </c>
      <c r="BN509" s="78">
        <f t="shared" si="77"/>
        <v>0</v>
      </c>
      <c r="BO509" s="78">
        <f t="shared" si="78"/>
        <v>0</v>
      </c>
      <c r="BP509" s="78">
        <f t="shared" si="79"/>
        <v>0</v>
      </c>
    </row>
    <row r="510" spans="1:68" ht="27" customHeight="1" x14ac:dyDescent="0.25">
      <c r="A510" s="63" t="s">
        <v>811</v>
      </c>
      <c r="B510" s="63" t="s">
        <v>812</v>
      </c>
      <c r="C510" s="36">
        <v>4301031419</v>
      </c>
      <c r="D510" s="678">
        <v>4680115882072</v>
      </c>
      <c r="E510" s="678"/>
      <c r="F510" s="62">
        <v>0.6</v>
      </c>
      <c r="G510" s="37">
        <v>8</v>
      </c>
      <c r="H510" s="62">
        <v>4.8</v>
      </c>
      <c r="I510" s="62">
        <v>6.93</v>
      </c>
      <c r="J510" s="37">
        <v>132</v>
      </c>
      <c r="K510" s="37" t="s">
        <v>118</v>
      </c>
      <c r="L510" s="37" t="s">
        <v>45</v>
      </c>
      <c r="M510" s="38" t="s">
        <v>113</v>
      </c>
      <c r="N510" s="38"/>
      <c r="O510" s="37">
        <v>70</v>
      </c>
      <c r="P510" s="737" t="s">
        <v>813</v>
      </c>
      <c r="Q510" s="680"/>
      <c r="R510" s="680"/>
      <c r="S510" s="680"/>
      <c r="T510" s="681"/>
      <c r="U510" s="39" t="s">
        <v>45</v>
      </c>
      <c r="V510" s="39" t="s">
        <v>45</v>
      </c>
      <c r="W510" s="40" t="s">
        <v>0</v>
      </c>
      <c r="X510" s="58">
        <v>0</v>
      </c>
      <c r="Y510" s="55">
        <f t="shared" si="75"/>
        <v>0</v>
      </c>
      <c r="Z510" s="41" t="str">
        <f>IFERROR(IF(Y510=0,"",ROUNDUP(Y510/H510,0)*0.00902),"")</f>
        <v/>
      </c>
      <c r="AA510" s="68" t="s">
        <v>45</v>
      </c>
      <c r="AB510" s="69" t="s">
        <v>45</v>
      </c>
      <c r="AC510" s="586" t="s">
        <v>799</v>
      </c>
      <c r="AG510" s="78"/>
      <c r="AJ510" s="84" t="s">
        <v>45</v>
      </c>
      <c r="AK510" s="84">
        <v>0</v>
      </c>
      <c r="BB510" s="587" t="s">
        <v>66</v>
      </c>
      <c r="BM510" s="78">
        <f t="shared" si="76"/>
        <v>0</v>
      </c>
      <c r="BN510" s="78">
        <f t="shared" si="77"/>
        <v>0</v>
      </c>
      <c r="BO510" s="78">
        <f t="shared" si="78"/>
        <v>0</v>
      </c>
      <c r="BP510" s="78">
        <f t="shared" si="79"/>
        <v>0</v>
      </c>
    </row>
    <row r="511" spans="1:68" ht="27" customHeight="1" x14ac:dyDescent="0.25">
      <c r="A511" s="63" t="s">
        <v>811</v>
      </c>
      <c r="B511" s="63" t="s">
        <v>814</v>
      </c>
      <c r="C511" s="36">
        <v>4301031383</v>
      </c>
      <c r="D511" s="678">
        <v>4680115882072</v>
      </c>
      <c r="E511" s="678"/>
      <c r="F511" s="62">
        <v>0.6</v>
      </c>
      <c r="G511" s="37">
        <v>8</v>
      </c>
      <c r="H511" s="62">
        <v>4.8</v>
      </c>
      <c r="I511" s="62">
        <v>6.96</v>
      </c>
      <c r="J511" s="37">
        <v>120</v>
      </c>
      <c r="K511" s="37" t="s">
        <v>118</v>
      </c>
      <c r="L511" s="37" t="s">
        <v>45</v>
      </c>
      <c r="M511" s="38" t="s">
        <v>113</v>
      </c>
      <c r="N511" s="38"/>
      <c r="O511" s="37">
        <v>60</v>
      </c>
      <c r="P511" s="73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0"/>
      <c r="R511" s="680"/>
      <c r="S511" s="680"/>
      <c r="T511" s="681"/>
      <c r="U511" s="39" t="s">
        <v>45</v>
      </c>
      <c r="V511" s="39" t="s">
        <v>45</v>
      </c>
      <c r="W511" s="40" t="s">
        <v>0</v>
      </c>
      <c r="X511" s="58">
        <v>0</v>
      </c>
      <c r="Y511" s="55">
        <f t="shared" si="75"/>
        <v>0</v>
      </c>
      <c r="Z511" s="41" t="str">
        <f>IFERROR(IF(Y511=0,"",ROUNDUP(Y511/H511,0)*0.00937),"")</f>
        <v/>
      </c>
      <c r="AA511" s="68" t="s">
        <v>45</v>
      </c>
      <c r="AB511" s="69" t="s">
        <v>45</v>
      </c>
      <c r="AC511" s="588" t="s">
        <v>815</v>
      </c>
      <c r="AG511" s="78"/>
      <c r="AJ511" s="84" t="s">
        <v>45</v>
      </c>
      <c r="AK511" s="84">
        <v>0</v>
      </c>
      <c r="BB511" s="589" t="s">
        <v>66</v>
      </c>
      <c r="BM511" s="78">
        <f t="shared" si="76"/>
        <v>0</v>
      </c>
      <c r="BN511" s="78">
        <f t="shared" si="77"/>
        <v>0</v>
      </c>
      <c r="BO511" s="78">
        <f t="shared" si="78"/>
        <v>0</v>
      </c>
      <c r="BP511" s="78">
        <f t="shared" si="79"/>
        <v>0</v>
      </c>
    </row>
    <row r="512" spans="1:68" ht="27" customHeight="1" x14ac:dyDescent="0.25">
      <c r="A512" s="63" t="s">
        <v>811</v>
      </c>
      <c r="B512" s="63" t="s">
        <v>816</v>
      </c>
      <c r="C512" s="36">
        <v>4301031351</v>
      </c>
      <c r="D512" s="678">
        <v>4680115882072</v>
      </c>
      <c r="E512" s="678"/>
      <c r="F512" s="62">
        <v>0.6</v>
      </c>
      <c r="G512" s="37">
        <v>6</v>
      </c>
      <c r="H512" s="62">
        <v>3.6</v>
      </c>
      <c r="I512" s="62">
        <v>3.81</v>
      </c>
      <c r="J512" s="37">
        <v>132</v>
      </c>
      <c r="K512" s="37" t="s">
        <v>118</v>
      </c>
      <c r="L512" s="37" t="s">
        <v>45</v>
      </c>
      <c r="M512" s="38" t="s">
        <v>113</v>
      </c>
      <c r="N512" s="38"/>
      <c r="O512" s="37">
        <v>70</v>
      </c>
      <c r="P512" s="739" t="s">
        <v>817</v>
      </c>
      <c r="Q512" s="680"/>
      <c r="R512" s="680"/>
      <c r="S512" s="680"/>
      <c r="T512" s="681"/>
      <c r="U512" s="39" t="s">
        <v>45</v>
      </c>
      <c r="V512" s="39" t="s">
        <v>45</v>
      </c>
      <c r="W512" s="40" t="s">
        <v>0</v>
      </c>
      <c r="X512" s="58">
        <v>0</v>
      </c>
      <c r="Y512" s="55">
        <f t="shared" si="75"/>
        <v>0</v>
      </c>
      <c r="Z512" s="41" t="str">
        <f>IFERROR(IF(Y512=0,"",ROUNDUP(Y512/H512,0)*0.00902),"")</f>
        <v/>
      </c>
      <c r="AA512" s="68" t="s">
        <v>45</v>
      </c>
      <c r="AB512" s="69" t="s">
        <v>45</v>
      </c>
      <c r="AC512" s="590" t="s">
        <v>799</v>
      </c>
      <c r="AG512" s="78"/>
      <c r="AJ512" s="84" t="s">
        <v>45</v>
      </c>
      <c r="AK512" s="84">
        <v>0</v>
      </c>
      <c r="BB512" s="591" t="s">
        <v>66</v>
      </c>
      <c r="BM512" s="78">
        <f t="shared" si="76"/>
        <v>0</v>
      </c>
      <c r="BN512" s="78">
        <f t="shared" si="77"/>
        <v>0</v>
      </c>
      <c r="BO512" s="78">
        <f t="shared" si="78"/>
        <v>0</v>
      </c>
      <c r="BP512" s="78">
        <f t="shared" si="79"/>
        <v>0</v>
      </c>
    </row>
    <row r="513" spans="1:68" ht="27" customHeight="1" x14ac:dyDescent="0.25">
      <c r="A513" s="63" t="s">
        <v>818</v>
      </c>
      <c r="B513" s="63" t="s">
        <v>819</v>
      </c>
      <c r="C513" s="36">
        <v>4301031251</v>
      </c>
      <c r="D513" s="678">
        <v>4680115882102</v>
      </c>
      <c r="E513" s="678"/>
      <c r="F513" s="62">
        <v>0.6</v>
      </c>
      <c r="G513" s="37">
        <v>6</v>
      </c>
      <c r="H513" s="62">
        <v>3.6</v>
      </c>
      <c r="I513" s="62">
        <v>3.81</v>
      </c>
      <c r="J513" s="37">
        <v>132</v>
      </c>
      <c r="K513" s="37" t="s">
        <v>118</v>
      </c>
      <c r="L513" s="37" t="s">
        <v>45</v>
      </c>
      <c r="M513" s="38" t="s">
        <v>82</v>
      </c>
      <c r="N513" s="38"/>
      <c r="O513" s="37">
        <v>60</v>
      </c>
      <c r="P513" s="74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0"/>
      <c r="R513" s="680"/>
      <c r="S513" s="680"/>
      <c r="T513" s="681"/>
      <c r="U513" s="39" t="s">
        <v>45</v>
      </c>
      <c r="V513" s="39" t="s">
        <v>45</v>
      </c>
      <c r="W513" s="40" t="s">
        <v>0</v>
      </c>
      <c r="X513" s="58">
        <v>0</v>
      </c>
      <c r="Y513" s="55">
        <f t="shared" si="75"/>
        <v>0</v>
      </c>
      <c r="Z513" s="41" t="str">
        <f>IFERROR(IF(Y513=0,"",ROUNDUP(Y513/H513,0)*0.00902),"")</f>
        <v/>
      </c>
      <c r="AA513" s="68" t="s">
        <v>45</v>
      </c>
      <c r="AB513" s="69" t="s">
        <v>45</v>
      </c>
      <c r="AC513" s="592" t="s">
        <v>820</v>
      </c>
      <c r="AG513" s="78"/>
      <c r="AJ513" s="84" t="s">
        <v>45</v>
      </c>
      <c r="AK513" s="84">
        <v>0</v>
      </c>
      <c r="BB513" s="593" t="s">
        <v>66</v>
      </c>
      <c r="BM513" s="78">
        <f t="shared" si="76"/>
        <v>0</v>
      </c>
      <c r="BN513" s="78">
        <f t="shared" si="77"/>
        <v>0</v>
      </c>
      <c r="BO513" s="78">
        <f t="shared" si="78"/>
        <v>0</v>
      </c>
      <c r="BP513" s="78">
        <f t="shared" si="79"/>
        <v>0</v>
      </c>
    </row>
    <row r="514" spans="1:68" ht="27" customHeight="1" x14ac:dyDescent="0.25">
      <c r="A514" s="63" t="s">
        <v>818</v>
      </c>
      <c r="B514" s="63" t="s">
        <v>821</v>
      </c>
      <c r="C514" s="36">
        <v>4301031418</v>
      </c>
      <c r="D514" s="678">
        <v>4680115882102</v>
      </c>
      <c r="E514" s="678"/>
      <c r="F514" s="62">
        <v>0.6</v>
      </c>
      <c r="G514" s="37">
        <v>8</v>
      </c>
      <c r="H514" s="62">
        <v>4.8</v>
      </c>
      <c r="I514" s="62">
        <v>6.69</v>
      </c>
      <c r="J514" s="37">
        <v>132</v>
      </c>
      <c r="K514" s="37" t="s">
        <v>118</v>
      </c>
      <c r="L514" s="37" t="s">
        <v>45</v>
      </c>
      <c r="M514" s="38" t="s">
        <v>82</v>
      </c>
      <c r="N514" s="38"/>
      <c r="O514" s="37">
        <v>70</v>
      </c>
      <c r="P514" s="726" t="s">
        <v>822</v>
      </c>
      <c r="Q514" s="680"/>
      <c r="R514" s="680"/>
      <c r="S514" s="680"/>
      <c r="T514" s="681"/>
      <c r="U514" s="39" t="s">
        <v>45</v>
      </c>
      <c r="V514" s="39" t="s">
        <v>45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IFERROR(IF(Y514=0,"",ROUNDUP(Y514/H514,0)*0.00902),"")</f>
        <v/>
      </c>
      <c r="AA514" s="68" t="s">
        <v>45</v>
      </c>
      <c r="AB514" s="69" t="s">
        <v>45</v>
      </c>
      <c r="AC514" s="594" t="s">
        <v>803</v>
      </c>
      <c r="AG514" s="78"/>
      <c r="AJ514" s="84" t="s">
        <v>45</v>
      </c>
      <c r="AK514" s="84">
        <v>0</v>
      </c>
      <c r="BB514" s="595" t="s">
        <v>66</v>
      </c>
      <c r="BM514" s="78">
        <f t="shared" si="76"/>
        <v>0</v>
      </c>
      <c r="BN514" s="78">
        <f t="shared" si="77"/>
        <v>0</v>
      </c>
      <c r="BO514" s="78">
        <f t="shared" si="78"/>
        <v>0</v>
      </c>
      <c r="BP514" s="78">
        <f t="shared" si="79"/>
        <v>0</v>
      </c>
    </row>
    <row r="515" spans="1:68" ht="27" customHeight="1" x14ac:dyDescent="0.25">
      <c r="A515" s="63" t="s">
        <v>823</v>
      </c>
      <c r="B515" s="63" t="s">
        <v>824</v>
      </c>
      <c r="C515" s="36">
        <v>4301031253</v>
      </c>
      <c r="D515" s="678">
        <v>4680115882096</v>
      </c>
      <c r="E515" s="678"/>
      <c r="F515" s="62">
        <v>0.6</v>
      </c>
      <c r="G515" s="37">
        <v>6</v>
      </c>
      <c r="H515" s="62">
        <v>3.6</v>
      </c>
      <c r="I515" s="62">
        <v>3.81</v>
      </c>
      <c r="J515" s="37">
        <v>132</v>
      </c>
      <c r="K515" s="37" t="s">
        <v>118</v>
      </c>
      <c r="L515" s="37" t="s">
        <v>45</v>
      </c>
      <c r="M515" s="38" t="s">
        <v>82</v>
      </c>
      <c r="N515" s="38"/>
      <c r="O515" s="37">
        <v>60</v>
      </c>
      <c r="P515" s="72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0"/>
      <c r="R515" s="680"/>
      <c r="S515" s="680"/>
      <c r="T515" s="681"/>
      <c r="U515" s="39" t="s">
        <v>45</v>
      </c>
      <c r="V515" s="39" t="s">
        <v>45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45</v>
      </c>
      <c r="AB515" s="69" t="s">
        <v>45</v>
      </c>
      <c r="AC515" s="596" t="s">
        <v>825</v>
      </c>
      <c r="AG515" s="78"/>
      <c r="AJ515" s="84" t="s">
        <v>45</v>
      </c>
      <c r="AK515" s="84">
        <v>0</v>
      </c>
      <c r="BB515" s="597" t="s">
        <v>66</v>
      </c>
      <c r="BM515" s="78">
        <f t="shared" si="76"/>
        <v>0</v>
      </c>
      <c r="BN515" s="78">
        <f t="shared" si="77"/>
        <v>0</v>
      </c>
      <c r="BO515" s="78">
        <f t="shared" si="78"/>
        <v>0</v>
      </c>
      <c r="BP515" s="78">
        <f t="shared" si="79"/>
        <v>0</v>
      </c>
    </row>
    <row r="516" spans="1:68" ht="27" customHeight="1" x14ac:dyDescent="0.25">
      <c r="A516" s="63" t="s">
        <v>823</v>
      </c>
      <c r="B516" s="63" t="s">
        <v>826</v>
      </c>
      <c r="C516" s="36">
        <v>4301031417</v>
      </c>
      <c r="D516" s="678">
        <v>4680115882096</v>
      </c>
      <c r="E516" s="678"/>
      <c r="F516" s="62">
        <v>0.6</v>
      </c>
      <c r="G516" s="37">
        <v>8</v>
      </c>
      <c r="H516" s="62">
        <v>4.8</v>
      </c>
      <c r="I516" s="62">
        <v>6.69</v>
      </c>
      <c r="J516" s="37">
        <v>132</v>
      </c>
      <c r="K516" s="37" t="s">
        <v>118</v>
      </c>
      <c r="L516" s="37" t="s">
        <v>45</v>
      </c>
      <c r="M516" s="38" t="s">
        <v>82</v>
      </c>
      <c r="N516" s="38"/>
      <c r="O516" s="37">
        <v>70</v>
      </c>
      <c r="P516" s="728" t="s">
        <v>827</v>
      </c>
      <c r="Q516" s="680"/>
      <c r="R516" s="680"/>
      <c r="S516" s="680"/>
      <c r="T516" s="681"/>
      <c r="U516" s="39" t="s">
        <v>45</v>
      </c>
      <c r="V516" s="39" t="s">
        <v>45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45</v>
      </c>
      <c r="AB516" s="69" t="s">
        <v>45</v>
      </c>
      <c r="AC516" s="598" t="s">
        <v>807</v>
      </c>
      <c r="AG516" s="78"/>
      <c r="AJ516" s="84" t="s">
        <v>45</v>
      </c>
      <c r="AK516" s="84">
        <v>0</v>
      </c>
      <c r="BB516" s="599" t="s">
        <v>66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823</v>
      </c>
      <c r="B517" s="63" t="s">
        <v>828</v>
      </c>
      <c r="C517" s="36">
        <v>4301031384</v>
      </c>
      <c r="D517" s="678">
        <v>4680115882096</v>
      </c>
      <c r="E517" s="678"/>
      <c r="F517" s="62">
        <v>0.6</v>
      </c>
      <c r="G517" s="37">
        <v>8</v>
      </c>
      <c r="H517" s="62">
        <v>4.8</v>
      </c>
      <c r="I517" s="62">
        <v>6.69</v>
      </c>
      <c r="J517" s="37">
        <v>120</v>
      </c>
      <c r="K517" s="37" t="s">
        <v>118</v>
      </c>
      <c r="L517" s="37" t="s">
        <v>45</v>
      </c>
      <c r="M517" s="38" t="s">
        <v>82</v>
      </c>
      <c r="N517" s="38"/>
      <c r="O517" s="37">
        <v>60</v>
      </c>
      <c r="P517" s="72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0"/>
      <c r="R517" s="680"/>
      <c r="S517" s="680"/>
      <c r="T517" s="681"/>
      <c r="U517" s="39" t="s">
        <v>45</v>
      </c>
      <c r="V517" s="39" t="s">
        <v>45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IFERROR(IF(Y517=0,"",ROUNDUP(Y517/H517,0)*0.00937),"")</f>
        <v/>
      </c>
      <c r="AA517" s="68" t="s">
        <v>45</v>
      </c>
      <c r="AB517" s="69" t="s">
        <v>45</v>
      </c>
      <c r="AC517" s="600" t="s">
        <v>807</v>
      </c>
      <c r="AG517" s="78"/>
      <c r="AJ517" s="84" t="s">
        <v>45</v>
      </c>
      <c r="AK517" s="84">
        <v>0</v>
      </c>
      <c r="BB517" s="601" t="s">
        <v>66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x14ac:dyDescent="0.2">
      <c r="A518" s="685"/>
      <c r="B518" s="685"/>
      <c r="C518" s="685"/>
      <c r="D518" s="685"/>
      <c r="E518" s="685"/>
      <c r="F518" s="685"/>
      <c r="G518" s="685"/>
      <c r="H518" s="685"/>
      <c r="I518" s="685"/>
      <c r="J518" s="685"/>
      <c r="K518" s="685"/>
      <c r="L518" s="685"/>
      <c r="M518" s="685"/>
      <c r="N518" s="685"/>
      <c r="O518" s="686"/>
      <c r="P518" s="682" t="s">
        <v>40</v>
      </c>
      <c r="Q518" s="683"/>
      <c r="R518" s="683"/>
      <c r="S518" s="683"/>
      <c r="T518" s="683"/>
      <c r="U518" s="683"/>
      <c r="V518" s="684"/>
      <c r="W518" s="42" t="s">
        <v>39</v>
      </c>
      <c r="X518" s="43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685"/>
      <c r="B519" s="685"/>
      <c r="C519" s="685"/>
      <c r="D519" s="685"/>
      <c r="E519" s="685"/>
      <c r="F519" s="685"/>
      <c r="G519" s="685"/>
      <c r="H519" s="685"/>
      <c r="I519" s="685"/>
      <c r="J519" s="685"/>
      <c r="K519" s="685"/>
      <c r="L519" s="685"/>
      <c r="M519" s="685"/>
      <c r="N519" s="685"/>
      <c r="O519" s="686"/>
      <c r="P519" s="682" t="s">
        <v>40</v>
      </c>
      <c r="Q519" s="683"/>
      <c r="R519" s="683"/>
      <c r="S519" s="683"/>
      <c r="T519" s="683"/>
      <c r="U519" s="683"/>
      <c r="V519" s="684"/>
      <c r="W519" s="42" t="s">
        <v>0</v>
      </c>
      <c r="X519" s="43">
        <f>IFERROR(SUM(X506:X517),"0")</f>
        <v>0</v>
      </c>
      <c r="Y519" s="43">
        <f>IFERROR(SUM(Y506:Y517),"0")</f>
        <v>0</v>
      </c>
      <c r="Z519" s="42"/>
      <c r="AA519" s="67"/>
      <c r="AB519" s="67"/>
      <c r="AC519" s="67"/>
    </row>
    <row r="520" spans="1:68" ht="14.25" customHeight="1" x14ac:dyDescent="0.25">
      <c r="A520" s="677" t="s">
        <v>78</v>
      </c>
      <c r="B520" s="677"/>
      <c r="C520" s="677"/>
      <c r="D520" s="677"/>
      <c r="E520" s="677"/>
      <c r="F520" s="677"/>
      <c r="G520" s="677"/>
      <c r="H520" s="677"/>
      <c r="I520" s="677"/>
      <c r="J520" s="677"/>
      <c r="K520" s="677"/>
      <c r="L520" s="677"/>
      <c r="M520" s="677"/>
      <c r="N520" s="677"/>
      <c r="O520" s="677"/>
      <c r="P520" s="677"/>
      <c r="Q520" s="677"/>
      <c r="R520" s="677"/>
      <c r="S520" s="677"/>
      <c r="T520" s="677"/>
      <c r="U520" s="677"/>
      <c r="V520" s="677"/>
      <c r="W520" s="677"/>
      <c r="X520" s="677"/>
      <c r="Y520" s="677"/>
      <c r="Z520" s="677"/>
      <c r="AA520" s="66"/>
      <c r="AB520" s="66"/>
      <c r="AC520" s="80"/>
    </row>
    <row r="521" spans="1:68" ht="16.5" customHeight="1" x14ac:dyDescent="0.25">
      <c r="A521" s="63" t="s">
        <v>829</v>
      </c>
      <c r="B521" s="63" t="s">
        <v>830</v>
      </c>
      <c r="C521" s="36">
        <v>4301051232</v>
      </c>
      <c r="D521" s="678">
        <v>4607091383409</v>
      </c>
      <c r="E521" s="678"/>
      <c r="F521" s="62">
        <v>1.3</v>
      </c>
      <c r="G521" s="37">
        <v>6</v>
      </c>
      <c r="H521" s="62">
        <v>7.8</v>
      </c>
      <c r="I521" s="62">
        <v>8.3010000000000002</v>
      </c>
      <c r="J521" s="37">
        <v>64</v>
      </c>
      <c r="K521" s="37" t="s">
        <v>114</v>
      </c>
      <c r="L521" s="37" t="s">
        <v>45</v>
      </c>
      <c r="M521" s="38" t="s">
        <v>117</v>
      </c>
      <c r="N521" s="38"/>
      <c r="O521" s="37">
        <v>45</v>
      </c>
      <c r="P521" s="73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0"/>
      <c r="R521" s="680"/>
      <c r="S521" s="680"/>
      <c r="T521" s="681"/>
      <c r="U521" s="39" t="s">
        <v>45</v>
      </c>
      <c r="V521" s="39" t="s">
        <v>45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45</v>
      </c>
      <c r="AB521" s="69" t="s">
        <v>45</v>
      </c>
      <c r="AC521" s="602" t="s">
        <v>831</v>
      </c>
      <c r="AG521" s="78"/>
      <c r="AJ521" s="84" t="s">
        <v>45</v>
      </c>
      <c r="AK521" s="84">
        <v>0</v>
      </c>
      <c r="BB521" s="603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832</v>
      </c>
      <c r="B522" s="63" t="s">
        <v>833</v>
      </c>
      <c r="C522" s="36">
        <v>4301051231</v>
      </c>
      <c r="D522" s="678">
        <v>4607091383416</v>
      </c>
      <c r="E522" s="678"/>
      <c r="F522" s="62">
        <v>1.3</v>
      </c>
      <c r="G522" s="37">
        <v>6</v>
      </c>
      <c r="H522" s="62">
        <v>7.8</v>
      </c>
      <c r="I522" s="62">
        <v>8.3010000000000002</v>
      </c>
      <c r="J522" s="37">
        <v>64</v>
      </c>
      <c r="K522" s="37" t="s">
        <v>114</v>
      </c>
      <c r="L522" s="37" t="s">
        <v>45</v>
      </c>
      <c r="M522" s="38" t="s">
        <v>82</v>
      </c>
      <c r="N522" s="38"/>
      <c r="O522" s="37">
        <v>45</v>
      </c>
      <c r="P522" s="73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0"/>
      <c r="R522" s="680"/>
      <c r="S522" s="680"/>
      <c r="T522" s="681"/>
      <c r="U522" s="39" t="s">
        <v>45</v>
      </c>
      <c r="V522" s="39" t="s">
        <v>45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45</v>
      </c>
      <c r="AB522" s="69" t="s">
        <v>45</v>
      </c>
      <c r="AC522" s="604" t="s">
        <v>834</v>
      </c>
      <c r="AG522" s="78"/>
      <c r="AJ522" s="84" t="s">
        <v>45</v>
      </c>
      <c r="AK522" s="84">
        <v>0</v>
      </c>
      <c r="BB522" s="605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835</v>
      </c>
      <c r="B523" s="63" t="s">
        <v>836</v>
      </c>
      <c r="C523" s="36">
        <v>4301051064</v>
      </c>
      <c r="D523" s="678">
        <v>4680115883536</v>
      </c>
      <c r="E523" s="678"/>
      <c r="F523" s="62">
        <v>0.3</v>
      </c>
      <c r="G523" s="37">
        <v>6</v>
      </c>
      <c r="H523" s="62">
        <v>1.8</v>
      </c>
      <c r="I523" s="62">
        <v>2.0459999999999998</v>
      </c>
      <c r="J523" s="37">
        <v>182</v>
      </c>
      <c r="K523" s="37" t="s">
        <v>83</v>
      </c>
      <c r="L523" s="37" t="s">
        <v>45</v>
      </c>
      <c r="M523" s="38" t="s">
        <v>117</v>
      </c>
      <c r="N523" s="38"/>
      <c r="O523" s="37">
        <v>45</v>
      </c>
      <c r="P523" s="7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0"/>
      <c r="R523" s="680"/>
      <c r="S523" s="680"/>
      <c r="T523" s="681"/>
      <c r="U523" s="39" t="s">
        <v>45</v>
      </c>
      <c r="V523" s="39" t="s">
        <v>45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45</v>
      </c>
      <c r="AB523" s="69" t="s">
        <v>45</v>
      </c>
      <c r="AC523" s="606" t="s">
        <v>837</v>
      </c>
      <c r="AG523" s="78"/>
      <c r="AJ523" s="84" t="s">
        <v>45</v>
      </c>
      <c r="AK523" s="84">
        <v>0</v>
      </c>
      <c r="BB523" s="607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85"/>
      <c r="B524" s="685"/>
      <c r="C524" s="685"/>
      <c r="D524" s="685"/>
      <c r="E524" s="685"/>
      <c r="F524" s="685"/>
      <c r="G524" s="685"/>
      <c r="H524" s="685"/>
      <c r="I524" s="685"/>
      <c r="J524" s="685"/>
      <c r="K524" s="685"/>
      <c r="L524" s="685"/>
      <c r="M524" s="685"/>
      <c r="N524" s="685"/>
      <c r="O524" s="686"/>
      <c r="P524" s="682" t="s">
        <v>40</v>
      </c>
      <c r="Q524" s="683"/>
      <c r="R524" s="683"/>
      <c r="S524" s="683"/>
      <c r="T524" s="683"/>
      <c r="U524" s="683"/>
      <c r="V524" s="684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85"/>
      <c r="B525" s="685"/>
      <c r="C525" s="685"/>
      <c r="D525" s="685"/>
      <c r="E525" s="685"/>
      <c r="F525" s="685"/>
      <c r="G525" s="685"/>
      <c r="H525" s="685"/>
      <c r="I525" s="685"/>
      <c r="J525" s="685"/>
      <c r="K525" s="685"/>
      <c r="L525" s="685"/>
      <c r="M525" s="685"/>
      <c r="N525" s="685"/>
      <c r="O525" s="686"/>
      <c r="P525" s="682" t="s">
        <v>40</v>
      </c>
      <c r="Q525" s="683"/>
      <c r="R525" s="683"/>
      <c r="S525" s="683"/>
      <c r="T525" s="683"/>
      <c r="U525" s="683"/>
      <c r="V525" s="684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677" t="s">
        <v>186</v>
      </c>
      <c r="B526" s="677"/>
      <c r="C526" s="677"/>
      <c r="D526" s="677"/>
      <c r="E526" s="677"/>
      <c r="F526" s="677"/>
      <c r="G526" s="677"/>
      <c r="H526" s="677"/>
      <c r="I526" s="677"/>
      <c r="J526" s="677"/>
      <c r="K526" s="677"/>
      <c r="L526" s="677"/>
      <c r="M526" s="677"/>
      <c r="N526" s="677"/>
      <c r="O526" s="677"/>
      <c r="P526" s="677"/>
      <c r="Q526" s="677"/>
      <c r="R526" s="677"/>
      <c r="S526" s="677"/>
      <c r="T526" s="677"/>
      <c r="U526" s="677"/>
      <c r="V526" s="677"/>
      <c r="W526" s="677"/>
      <c r="X526" s="677"/>
      <c r="Y526" s="677"/>
      <c r="Z526" s="677"/>
      <c r="AA526" s="66"/>
      <c r="AB526" s="66"/>
      <c r="AC526" s="80"/>
    </row>
    <row r="527" spans="1:68" ht="37.5" customHeight="1" x14ac:dyDescent="0.25">
      <c r="A527" s="63" t="s">
        <v>838</v>
      </c>
      <c r="B527" s="63" t="s">
        <v>839</v>
      </c>
      <c r="C527" s="36">
        <v>4301060363</v>
      </c>
      <c r="D527" s="678">
        <v>4680115885035</v>
      </c>
      <c r="E527" s="678"/>
      <c r="F527" s="62">
        <v>1</v>
      </c>
      <c r="G527" s="37">
        <v>4</v>
      </c>
      <c r="H527" s="62">
        <v>4</v>
      </c>
      <c r="I527" s="62">
        <v>4.4160000000000004</v>
      </c>
      <c r="J527" s="37">
        <v>104</v>
      </c>
      <c r="K527" s="37" t="s">
        <v>114</v>
      </c>
      <c r="L527" s="37" t="s">
        <v>45</v>
      </c>
      <c r="M527" s="38" t="s">
        <v>82</v>
      </c>
      <c r="N527" s="38"/>
      <c r="O527" s="37">
        <v>35</v>
      </c>
      <c r="P527" s="721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0"/>
      <c r="R527" s="680"/>
      <c r="S527" s="680"/>
      <c r="T527" s="681"/>
      <c r="U527" s="39" t="s">
        <v>45</v>
      </c>
      <c r="V527" s="39" t="s">
        <v>45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IFERROR(IF(Y527=0,"",ROUNDUP(Y527/H527,0)*0.01196),"")</f>
        <v/>
      </c>
      <c r="AA527" s="68" t="s">
        <v>45</v>
      </c>
      <c r="AB527" s="69" t="s">
        <v>45</v>
      </c>
      <c r="AC527" s="608" t="s">
        <v>840</v>
      </c>
      <c r="AG527" s="78"/>
      <c r="AJ527" s="84" t="s">
        <v>45</v>
      </c>
      <c r="AK527" s="84">
        <v>0</v>
      </c>
      <c r="BB527" s="609" t="s">
        <v>66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ht="37.5" customHeight="1" x14ac:dyDescent="0.25">
      <c r="A528" s="63" t="s">
        <v>841</v>
      </c>
      <c r="B528" s="63" t="s">
        <v>842</v>
      </c>
      <c r="C528" s="36">
        <v>4301060436</v>
      </c>
      <c r="D528" s="678">
        <v>4680115885936</v>
      </c>
      <c r="E528" s="678"/>
      <c r="F528" s="62">
        <v>1.3</v>
      </c>
      <c r="G528" s="37">
        <v>6</v>
      </c>
      <c r="H528" s="62">
        <v>7.8</v>
      </c>
      <c r="I528" s="62">
        <v>8.2349999999999994</v>
      </c>
      <c r="J528" s="37">
        <v>64</v>
      </c>
      <c r="K528" s="37" t="s">
        <v>114</v>
      </c>
      <c r="L528" s="37" t="s">
        <v>45</v>
      </c>
      <c r="M528" s="38" t="s">
        <v>82</v>
      </c>
      <c r="N528" s="38"/>
      <c r="O528" s="37">
        <v>35</v>
      </c>
      <c r="P528" s="722" t="s">
        <v>843</v>
      </c>
      <c r="Q528" s="680"/>
      <c r="R528" s="680"/>
      <c r="S528" s="680"/>
      <c r="T528" s="681"/>
      <c r="U528" s="39" t="s">
        <v>45</v>
      </c>
      <c r="V528" s="39" t="s">
        <v>45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45</v>
      </c>
      <c r="AB528" s="69" t="s">
        <v>45</v>
      </c>
      <c r="AC528" s="610" t="s">
        <v>840</v>
      </c>
      <c r="AG528" s="78"/>
      <c r="AJ528" s="84" t="s">
        <v>45</v>
      </c>
      <c r="AK528" s="84">
        <v>0</v>
      </c>
      <c r="BB528" s="611" t="s">
        <v>66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">
      <c r="A529" s="685"/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6"/>
      <c r="P529" s="682" t="s">
        <v>40</v>
      </c>
      <c r="Q529" s="683"/>
      <c r="R529" s="683"/>
      <c r="S529" s="683"/>
      <c r="T529" s="683"/>
      <c r="U529" s="683"/>
      <c r="V529" s="684"/>
      <c r="W529" s="42" t="s">
        <v>39</v>
      </c>
      <c r="X529" s="43">
        <f>IFERROR(X527/H527,"0")+IFERROR(X528/H528,"0")</f>
        <v>0</v>
      </c>
      <c r="Y529" s="43">
        <f>IFERROR(Y527/H527,"0")+IFERROR(Y528/H528,"0")</f>
        <v>0</v>
      </c>
      <c r="Z529" s="43">
        <f>IFERROR(IF(Z527="",0,Z527),"0")+IFERROR(IF(Z528="",0,Z528),"0")</f>
        <v>0</v>
      </c>
      <c r="AA529" s="67"/>
      <c r="AB529" s="67"/>
      <c r="AC529" s="67"/>
    </row>
    <row r="530" spans="1:68" x14ac:dyDescent="0.2">
      <c r="A530" s="685"/>
      <c r="B530" s="685"/>
      <c r="C530" s="685"/>
      <c r="D530" s="685"/>
      <c r="E530" s="685"/>
      <c r="F530" s="685"/>
      <c r="G530" s="685"/>
      <c r="H530" s="685"/>
      <c r="I530" s="685"/>
      <c r="J530" s="685"/>
      <c r="K530" s="685"/>
      <c r="L530" s="685"/>
      <c r="M530" s="685"/>
      <c r="N530" s="685"/>
      <c r="O530" s="686"/>
      <c r="P530" s="682" t="s">
        <v>40</v>
      </c>
      <c r="Q530" s="683"/>
      <c r="R530" s="683"/>
      <c r="S530" s="683"/>
      <c r="T530" s="683"/>
      <c r="U530" s="683"/>
      <c r="V530" s="684"/>
      <c r="W530" s="42" t="s">
        <v>0</v>
      </c>
      <c r="X530" s="43">
        <f>IFERROR(SUM(X527:X528),"0")</f>
        <v>0</v>
      </c>
      <c r="Y530" s="43">
        <f>IFERROR(SUM(Y527:Y528),"0")</f>
        <v>0</v>
      </c>
      <c r="Z530" s="42"/>
      <c r="AA530" s="67"/>
      <c r="AB530" s="67"/>
      <c r="AC530" s="67"/>
    </row>
    <row r="531" spans="1:68" ht="27.75" customHeight="1" x14ac:dyDescent="0.2">
      <c r="A531" s="723" t="s">
        <v>844</v>
      </c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3"/>
      <c r="P531" s="723"/>
      <c r="Q531" s="723"/>
      <c r="R531" s="723"/>
      <c r="S531" s="723"/>
      <c r="T531" s="723"/>
      <c r="U531" s="723"/>
      <c r="V531" s="723"/>
      <c r="W531" s="723"/>
      <c r="X531" s="723"/>
      <c r="Y531" s="723"/>
      <c r="Z531" s="723"/>
      <c r="AA531" s="54"/>
      <c r="AB531" s="54"/>
      <c r="AC531" s="54"/>
    </row>
    <row r="532" spans="1:68" ht="16.5" customHeight="1" x14ac:dyDescent="0.25">
      <c r="A532" s="699" t="s">
        <v>844</v>
      </c>
      <c r="B532" s="699"/>
      <c r="C532" s="699"/>
      <c r="D532" s="699"/>
      <c r="E532" s="699"/>
      <c r="F532" s="699"/>
      <c r="G532" s="699"/>
      <c r="H532" s="699"/>
      <c r="I532" s="699"/>
      <c r="J532" s="699"/>
      <c r="K532" s="699"/>
      <c r="L532" s="699"/>
      <c r="M532" s="699"/>
      <c r="N532" s="699"/>
      <c r="O532" s="699"/>
      <c r="P532" s="699"/>
      <c r="Q532" s="699"/>
      <c r="R532" s="699"/>
      <c r="S532" s="699"/>
      <c r="T532" s="699"/>
      <c r="U532" s="699"/>
      <c r="V532" s="699"/>
      <c r="W532" s="699"/>
      <c r="X532" s="699"/>
      <c r="Y532" s="699"/>
      <c r="Z532" s="699"/>
      <c r="AA532" s="65"/>
      <c r="AB532" s="65"/>
      <c r="AC532" s="79"/>
    </row>
    <row r="533" spans="1:68" ht="14.25" customHeight="1" x14ac:dyDescent="0.25">
      <c r="A533" s="677" t="s">
        <v>109</v>
      </c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77"/>
      <c r="P533" s="677"/>
      <c r="Q533" s="677"/>
      <c r="R533" s="677"/>
      <c r="S533" s="677"/>
      <c r="T533" s="677"/>
      <c r="U533" s="677"/>
      <c r="V533" s="677"/>
      <c r="W533" s="677"/>
      <c r="X533" s="677"/>
      <c r="Y533" s="677"/>
      <c r="Z533" s="677"/>
      <c r="AA533" s="66"/>
      <c r="AB533" s="66"/>
      <c r="AC533" s="80"/>
    </row>
    <row r="534" spans="1:68" ht="27" customHeight="1" x14ac:dyDescent="0.25">
      <c r="A534" s="63" t="s">
        <v>845</v>
      </c>
      <c r="B534" s="63" t="s">
        <v>846</v>
      </c>
      <c r="C534" s="36">
        <v>4301011763</v>
      </c>
      <c r="D534" s="678">
        <v>4640242181011</v>
      </c>
      <c r="E534" s="678"/>
      <c r="F534" s="62">
        <v>1.35</v>
      </c>
      <c r="G534" s="37">
        <v>8</v>
      </c>
      <c r="H534" s="62">
        <v>10.8</v>
      </c>
      <c r="I534" s="62">
        <v>11.234999999999999</v>
      </c>
      <c r="J534" s="37">
        <v>64</v>
      </c>
      <c r="K534" s="37" t="s">
        <v>114</v>
      </c>
      <c r="L534" s="37" t="s">
        <v>45</v>
      </c>
      <c r="M534" s="38" t="s">
        <v>117</v>
      </c>
      <c r="N534" s="38"/>
      <c r="O534" s="37">
        <v>55</v>
      </c>
      <c r="P534" s="724" t="s">
        <v>847</v>
      </c>
      <c r="Q534" s="680"/>
      <c r="R534" s="680"/>
      <c r="S534" s="680"/>
      <c r="T534" s="681"/>
      <c r="U534" s="39" t="s">
        <v>45</v>
      </c>
      <c r="V534" s="39" t="s">
        <v>45</v>
      </c>
      <c r="W534" s="40" t="s">
        <v>0</v>
      </c>
      <c r="X534" s="58">
        <v>0</v>
      </c>
      <c r="Y534" s="55">
        <f t="shared" ref="Y534:Y539" si="80">IFERROR(IF(X534="",0,CEILING((X534/$H534),1)*$H534),"")</f>
        <v>0</v>
      </c>
      <c r="Z534" s="41" t="str">
        <f>IFERROR(IF(Y534=0,"",ROUNDUP(Y534/H534,0)*0.01898),"")</f>
        <v/>
      </c>
      <c r="AA534" s="68" t="s">
        <v>45</v>
      </c>
      <c r="AB534" s="69" t="s">
        <v>45</v>
      </c>
      <c r="AC534" s="612" t="s">
        <v>848</v>
      </c>
      <c r="AG534" s="78"/>
      <c r="AJ534" s="84" t="s">
        <v>45</v>
      </c>
      <c r="AK534" s="84">
        <v>0</v>
      </c>
      <c r="BB534" s="613" t="s">
        <v>66</v>
      </c>
      <c r="BM534" s="78">
        <f t="shared" ref="BM534:BM539" si="81">IFERROR(X534*I534/H534,"0")</f>
        <v>0</v>
      </c>
      <c r="BN534" s="78">
        <f t="shared" ref="BN534:BN539" si="82">IFERROR(Y534*I534/H534,"0")</f>
        <v>0</v>
      </c>
      <c r="BO534" s="78">
        <f t="shared" ref="BO534:BO539" si="83">IFERROR(1/J534*(X534/H534),"0")</f>
        <v>0</v>
      </c>
      <c r="BP534" s="78">
        <f t="shared" ref="BP534:BP539" si="84">IFERROR(1/J534*(Y534/H534),"0")</f>
        <v>0</v>
      </c>
    </row>
    <row r="535" spans="1:68" ht="27" customHeight="1" x14ac:dyDescent="0.25">
      <c r="A535" s="63" t="s">
        <v>849</v>
      </c>
      <c r="B535" s="63" t="s">
        <v>850</v>
      </c>
      <c r="C535" s="36">
        <v>4301011585</v>
      </c>
      <c r="D535" s="678">
        <v>4640242180441</v>
      </c>
      <c r="E535" s="678"/>
      <c r="F535" s="62">
        <v>1.5</v>
      </c>
      <c r="G535" s="37">
        <v>8</v>
      </c>
      <c r="H535" s="62">
        <v>12</v>
      </c>
      <c r="I535" s="62">
        <v>12.435</v>
      </c>
      <c r="J535" s="37">
        <v>64</v>
      </c>
      <c r="K535" s="37" t="s">
        <v>114</v>
      </c>
      <c r="L535" s="37" t="s">
        <v>45</v>
      </c>
      <c r="M535" s="38" t="s">
        <v>113</v>
      </c>
      <c r="N535" s="38"/>
      <c r="O535" s="37">
        <v>50</v>
      </c>
      <c r="P535" s="725" t="s">
        <v>851</v>
      </c>
      <c r="Q535" s="680"/>
      <c r="R535" s="680"/>
      <c r="S535" s="680"/>
      <c r="T535" s="681"/>
      <c r="U535" s="39" t="s">
        <v>45</v>
      </c>
      <c r="V535" s="39" t="s">
        <v>45</v>
      </c>
      <c r="W535" s="40" t="s">
        <v>0</v>
      </c>
      <c r="X535" s="58">
        <v>0</v>
      </c>
      <c r="Y535" s="55">
        <f t="shared" si="80"/>
        <v>0</v>
      </c>
      <c r="Z535" s="41" t="str">
        <f>IFERROR(IF(Y535=0,"",ROUNDUP(Y535/H535,0)*0.01898),"")</f>
        <v/>
      </c>
      <c r="AA535" s="68" t="s">
        <v>45</v>
      </c>
      <c r="AB535" s="69" t="s">
        <v>45</v>
      </c>
      <c r="AC535" s="614" t="s">
        <v>852</v>
      </c>
      <c r="AG535" s="78"/>
      <c r="AJ535" s="84" t="s">
        <v>45</v>
      </c>
      <c r="AK535" s="84">
        <v>0</v>
      </c>
      <c r="BB535" s="615" t="s">
        <v>66</v>
      </c>
      <c r="BM535" s="78">
        <f t="shared" si="81"/>
        <v>0</v>
      </c>
      <c r="BN535" s="78">
        <f t="shared" si="82"/>
        <v>0</v>
      </c>
      <c r="BO535" s="78">
        <f t="shared" si="83"/>
        <v>0</v>
      </c>
      <c r="BP535" s="78">
        <f t="shared" si="84"/>
        <v>0</v>
      </c>
    </row>
    <row r="536" spans="1:68" ht="27" customHeight="1" x14ac:dyDescent="0.25">
      <c r="A536" s="63" t="s">
        <v>853</v>
      </c>
      <c r="B536" s="63" t="s">
        <v>854</v>
      </c>
      <c r="C536" s="36">
        <v>4301011584</v>
      </c>
      <c r="D536" s="678">
        <v>4640242180564</v>
      </c>
      <c r="E536" s="678"/>
      <c r="F536" s="62">
        <v>1.5</v>
      </c>
      <c r="G536" s="37">
        <v>8</v>
      </c>
      <c r="H536" s="62">
        <v>12</v>
      </c>
      <c r="I536" s="62">
        <v>12.435</v>
      </c>
      <c r="J536" s="37">
        <v>64</v>
      </c>
      <c r="K536" s="37" t="s">
        <v>114</v>
      </c>
      <c r="L536" s="37" t="s">
        <v>45</v>
      </c>
      <c r="M536" s="38" t="s">
        <v>113</v>
      </c>
      <c r="N536" s="38"/>
      <c r="O536" s="37">
        <v>50</v>
      </c>
      <c r="P536" s="714" t="s">
        <v>855</v>
      </c>
      <c r="Q536" s="680"/>
      <c r="R536" s="680"/>
      <c r="S536" s="680"/>
      <c r="T536" s="681"/>
      <c r="U536" s="39" t="s">
        <v>45</v>
      </c>
      <c r="V536" s="39" t="s">
        <v>45</v>
      </c>
      <c r="W536" s="40" t="s">
        <v>0</v>
      </c>
      <c r="X536" s="58">
        <v>0</v>
      </c>
      <c r="Y536" s="55">
        <f t="shared" si="80"/>
        <v>0</v>
      </c>
      <c r="Z536" s="41" t="str">
        <f>IFERROR(IF(Y536=0,"",ROUNDUP(Y536/H536,0)*0.01898),"")</f>
        <v/>
      </c>
      <c r="AA536" s="68" t="s">
        <v>45</v>
      </c>
      <c r="AB536" s="69" t="s">
        <v>45</v>
      </c>
      <c r="AC536" s="616" t="s">
        <v>856</v>
      </c>
      <c r="AG536" s="78"/>
      <c r="AJ536" s="84" t="s">
        <v>45</v>
      </c>
      <c r="AK536" s="84">
        <v>0</v>
      </c>
      <c r="BB536" s="617" t="s">
        <v>66</v>
      </c>
      <c r="BM536" s="78">
        <f t="shared" si="81"/>
        <v>0</v>
      </c>
      <c r="BN536" s="78">
        <f t="shared" si="82"/>
        <v>0</v>
      </c>
      <c r="BO536" s="78">
        <f t="shared" si="83"/>
        <v>0</v>
      </c>
      <c r="BP536" s="78">
        <f t="shared" si="84"/>
        <v>0</v>
      </c>
    </row>
    <row r="537" spans="1:68" ht="27" customHeight="1" x14ac:dyDescent="0.25">
      <c r="A537" s="63" t="s">
        <v>857</v>
      </c>
      <c r="B537" s="63" t="s">
        <v>858</v>
      </c>
      <c r="C537" s="36">
        <v>4301011762</v>
      </c>
      <c r="D537" s="678">
        <v>4640242180922</v>
      </c>
      <c r="E537" s="678"/>
      <c r="F537" s="62">
        <v>1.35</v>
      </c>
      <c r="G537" s="37">
        <v>8</v>
      </c>
      <c r="H537" s="62">
        <v>10.8</v>
      </c>
      <c r="I537" s="62">
        <v>11.234999999999999</v>
      </c>
      <c r="J537" s="37">
        <v>64</v>
      </c>
      <c r="K537" s="37" t="s">
        <v>114</v>
      </c>
      <c r="L537" s="37" t="s">
        <v>45</v>
      </c>
      <c r="M537" s="38" t="s">
        <v>113</v>
      </c>
      <c r="N537" s="38"/>
      <c r="O537" s="37">
        <v>55</v>
      </c>
      <c r="P537" s="715" t="s">
        <v>859</v>
      </c>
      <c r="Q537" s="680"/>
      <c r="R537" s="680"/>
      <c r="S537" s="680"/>
      <c r="T537" s="681"/>
      <c r="U537" s="39" t="s">
        <v>45</v>
      </c>
      <c r="V537" s="39" t="s">
        <v>45</v>
      </c>
      <c r="W537" s="40" t="s">
        <v>0</v>
      </c>
      <c r="X537" s="58">
        <v>0</v>
      </c>
      <c r="Y537" s="55">
        <f t="shared" si="80"/>
        <v>0</v>
      </c>
      <c r="Z537" s="41" t="str">
        <f>IFERROR(IF(Y537=0,"",ROUNDUP(Y537/H537,0)*0.01898),"")</f>
        <v/>
      </c>
      <c r="AA537" s="68" t="s">
        <v>45</v>
      </c>
      <c r="AB537" s="69" t="s">
        <v>45</v>
      </c>
      <c r="AC537" s="618" t="s">
        <v>860</v>
      </c>
      <c r="AG537" s="78"/>
      <c r="AJ537" s="84" t="s">
        <v>45</v>
      </c>
      <c r="AK537" s="84">
        <v>0</v>
      </c>
      <c r="BB537" s="619" t="s">
        <v>66</v>
      </c>
      <c r="BM537" s="78">
        <f t="shared" si="81"/>
        <v>0</v>
      </c>
      <c r="BN537" s="78">
        <f t="shared" si="82"/>
        <v>0</v>
      </c>
      <c r="BO537" s="78">
        <f t="shared" si="83"/>
        <v>0</v>
      </c>
      <c r="BP537" s="78">
        <f t="shared" si="84"/>
        <v>0</v>
      </c>
    </row>
    <row r="538" spans="1:68" ht="27" customHeight="1" x14ac:dyDescent="0.25">
      <c r="A538" s="63" t="s">
        <v>861</v>
      </c>
      <c r="B538" s="63" t="s">
        <v>862</v>
      </c>
      <c r="C538" s="36">
        <v>4301011551</v>
      </c>
      <c r="D538" s="678">
        <v>4640242180038</v>
      </c>
      <c r="E538" s="678"/>
      <c r="F538" s="62">
        <v>0.4</v>
      </c>
      <c r="G538" s="37">
        <v>10</v>
      </c>
      <c r="H538" s="62">
        <v>4</v>
      </c>
      <c r="I538" s="62">
        <v>4.21</v>
      </c>
      <c r="J538" s="37">
        <v>132</v>
      </c>
      <c r="K538" s="37" t="s">
        <v>118</v>
      </c>
      <c r="L538" s="37" t="s">
        <v>45</v>
      </c>
      <c r="M538" s="38" t="s">
        <v>113</v>
      </c>
      <c r="N538" s="38"/>
      <c r="O538" s="37">
        <v>50</v>
      </c>
      <c r="P538" s="716" t="s">
        <v>863</v>
      </c>
      <c r="Q538" s="680"/>
      <c r="R538" s="680"/>
      <c r="S538" s="680"/>
      <c r="T538" s="681"/>
      <c r="U538" s="39" t="s">
        <v>45</v>
      </c>
      <c r="V538" s="39" t="s">
        <v>45</v>
      </c>
      <c r="W538" s="40" t="s">
        <v>0</v>
      </c>
      <c r="X538" s="58">
        <v>0</v>
      </c>
      <c r="Y538" s="55">
        <f t="shared" si="80"/>
        <v>0</v>
      </c>
      <c r="Z538" s="41" t="str">
        <f>IFERROR(IF(Y538=0,"",ROUNDUP(Y538/H538,0)*0.00902),"")</f>
        <v/>
      </c>
      <c r="AA538" s="68" t="s">
        <v>45</v>
      </c>
      <c r="AB538" s="69" t="s">
        <v>45</v>
      </c>
      <c r="AC538" s="620" t="s">
        <v>856</v>
      </c>
      <c r="AG538" s="78"/>
      <c r="AJ538" s="84" t="s">
        <v>45</v>
      </c>
      <c r="AK538" s="84">
        <v>0</v>
      </c>
      <c r="BB538" s="621" t="s">
        <v>66</v>
      </c>
      <c r="BM538" s="78">
        <f t="shared" si="81"/>
        <v>0</v>
      </c>
      <c r="BN538" s="78">
        <f t="shared" si="82"/>
        <v>0</v>
      </c>
      <c r="BO538" s="78">
        <f t="shared" si="83"/>
        <v>0</v>
      </c>
      <c r="BP538" s="78">
        <f t="shared" si="84"/>
        <v>0</v>
      </c>
    </row>
    <row r="539" spans="1:68" ht="27" customHeight="1" x14ac:dyDescent="0.25">
      <c r="A539" s="63" t="s">
        <v>864</v>
      </c>
      <c r="B539" s="63" t="s">
        <v>865</v>
      </c>
      <c r="C539" s="36">
        <v>4301011765</v>
      </c>
      <c r="D539" s="678">
        <v>4640242181172</v>
      </c>
      <c r="E539" s="678"/>
      <c r="F539" s="62">
        <v>0.4</v>
      </c>
      <c r="G539" s="37">
        <v>10</v>
      </c>
      <c r="H539" s="62">
        <v>4</v>
      </c>
      <c r="I539" s="62">
        <v>4.21</v>
      </c>
      <c r="J539" s="37">
        <v>132</v>
      </c>
      <c r="K539" s="37" t="s">
        <v>118</v>
      </c>
      <c r="L539" s="37" t="s">
        <v>45</v>
      </c>
      <c r="M539" s="38" t="s">
        <v>113</v>
      </c>
      <c r="N539" s="38"/>
      <c r="O539" s="37">
        <v>55</v>
      </c>
      <c r="P539" s="717" t="s">
        <v>866</v>
      </c>
      <c r="Q539" s="680"/>
      <c r="R539" s="680"/>
      <c r="S539" s="680"/>
      <c r="T539" s="681"/>
      <c r="U539" s="39" t="s">
        <v>45</v>
      </c>
      <c r="V539" s="39" t="s">
        <v>45</v>
      </c>
      <c r="W539" s="40" t="s">
        <v>0</v>
      </c>
      <c r="X539" s="58">
        <v>0</v>
      </c>
      <c r="Y539" s="55">
        <f t="shared" si="80"/>
        <v>0</v>
      </c>
      <c r="Z539" s="41" t="str">
        <f>IFERROR(IF(Y539=0,"",ROUNDUP(Y539/H539,0)*0.00902),"")</f>
        <v/>
      </c>
      <c r="AA539" s="68" t="s">
        <v>45</v>
      </c>
      <c r="AB539" s="69" t="s">
        <v>45</v>
      </c>
      <c r="AC539" s="622" t="s">
        <v>860</v>
      </c>
      <c r="AG539" s="78"/>
      <c r="AJ539" s="84" t="s">
        <v>45</v>
      </c>
      <c r="AK539" s="84">
        <v>0</v>
      </c>
      <c r="BB539" s="623" t="s">
        <v>66</v>
      </c>
      <c r="BM539" s="78">
        <f t="shared" si="81"/>
        <v>0</v>
      </c>
      <c r="BN539" s="78">
        <f t="shared" si="82"/>
        <v>0</v>
      </c>
      <c r="BO539" s="78">
        <f t="shared" si="83"/>
        <v>0</v>
      </c>
      <c r="BP539" s="78">
        <f t="shared" si="84"/>
        <v>0</v>
      </c>
    </row>
    <row r="540" spans="1:68" x14ac:dyDescent="0.2">
      <c r="A540" s="685"/>
      <c r="B540" s="685"/>
      <c r="C540" s="685"/>
      <c r="D540" s="685"/>
      <c r="E540" s="685"/>
      <c r="F540" s="685"/>
      <c r="G540" s="685"/>
      <c r="H540" s="685"/>
      <c r="I540" s="685"/>
      <c r="J540" s="685"/>
      <c r="K540" s="685"/>
      <c r="L540" s="685"/>
      <c r="M540" s="685"/>
      <c r="N540" s="685"/>
      <c r="O540" s="686"/>
      <c r="P540" s="682" t="s">
        <v>40</v>
      </c>
      <c r="Q540" s="683"/>
      <c r="R540" s="683"/>
      <c r="S540" s="683"/>
      <c r="T540" s="683"/>
      <c r="U540" s="683"/>
      <c r="V540" s="684"/>
      <c r="W540" s="42" t="s">
        <v>39</v>
      </c>
      <c r="X540" s="43">
        <f>IFERROR(X534/H534,"0")+IFERROR(X535/H535,"0")+IFERROR(X536/H536,"0")+IFERROR(X537/H537,"0")+IFERROR(X538/H538,"0")+IFERROR(X539/H539,"0")</f>
        <v>0</v>
      </c>
      <c r="Y540" s="43">
        <f>IFERROR(Y534/H534,"0")+IFERROR(Y535/H535,"0")+IFERROR(Y536/H536,"0")+IFERROR(Y537/H537,"0")+IFERROR(Y538/H538,"0")+IFERROR(Y539/H539,"0")</f>
        <v>0</v>
      </c>
      <c r="Z540" s="43">
        <f>IFERROR(IF(Z534="",0,Z534),"0")+IFERROR(IF(Z535="",0,Z535),"0")+IFERROR(IF(Z536="",0,Z536),"0")+IFERROR(IF(Z537="",0,Z537),"0")+IFERROR(IF(Z538="",0,Z538),"0")+IFERROR(IF(Z539="",0,Z539),"0")</f>
        <v>0</v>
      </c>
      <c r="AA540" s="67"/>
      <c r="AB540" s="67"/>
      <c r="AC540" s="67"/>
    </row>
    <row r="541" spans="1:68" x14ac:dyDescent="0.2">
      <c r="A541" s="685"/>
      <c r="B541" s="685"/>
      <c r="C541" s="685"/>
      <c r="D541" s="685"/>
      <c r="E541" s="685"/>
      <c r="F541" s="685"/>
      <c r="G541" s="685"/>
      <c r="H541" s="685"/>
      <c r="I541" s="685"/>
      <c r="J541" s="685"/>
      <c r="K541" s="685"/>
      <c r="L541" s="685"/>
      <c r="M541" s="685"/>
      <c r="N541" s="685"/>
      <c r="O541" s="686"/>
      <c r="P541" s="682" t="s">
        <v>40</v>
      </c>
      <c r="Q541" s="683"/>
      <c r="R541" s="683"/>
      <c r="S541" s="683"/>
      <c r="T541" s="683"/>
      <c r="U541" s="683"/>
      <c r="V541" s="684"/>
      <c r="W541" s="42" t="s">
        <v>0</v>
      </c>
      <c r="X541" s="43">
        <f>IFERROR(SUM(X534:X539),"0")</f>
        <v>0</v>
      </c>
      <c r="Y541" s="43">
        <f>IFERROR(SUM(Y534:Y539),"0")</f>
        <v>0</v>
      </c>
      <c r="Z541" s="42"/>
      <c r="AA541" s="67"/>
      <c r="AB541" s="67"/>
      <c r="AC541" s="67"/>
    </row>
    <row r="542" spans="1:68" ht="14.25" customHeight="1" x14ac:dyDescent="0.25">
      <c r="A542" s="677" t="s">
        <v>149</v>
      </c>
      <c r="B542" s="677"/>
      <c r="C542" s="677"/>
      <c r="D542" s="677"/>
      <c r="E542" s="677"/>
      <c r="F542" s="677"/>
      <c r="G542" s="677"/>
      <c r="H542" s="677"/>
      <c r="I542" s="677"/>
      <c r="J542" s="677"/>
      <c r="K542" s="677"/>
      <c r="L542" s="677"/>
      <c r="M542" s="677"/>
      <c r="N542" s="677"/>
      <c r="O542" s="677"/>
      <c r="P542" s="677"/>
      <c r="Q542" s="677"/>
      <c r="R542" s="677"/>
      <c r="S542" s="677"/>
      <c r="T542" s="677"/>
      <c r="U542" s="677"/>
      <c r="V542" s="677"/>
      <c r="W542" s="677"/>
      <c r="X542" s="677"/>
      <c r="Y542" s="677"/>
      <c r="Z542" s="677"/>
      <c r="AA542" s="66"/>
      <c r="AB542" s="66"/>
      <c r="AC542" s="80"/>
    </row>
    <row r="543" spans="1:68" ht="27" customHeight="1" x14ac:dyDescent="0.25">
      <c r="A543" s="63" t="s">
        <v>867</v>
      </c>
      <c r="B543" s="63" t="s">
        <v>868</v>
      </c>
      <c r="C543" s="36">
        <v>4301020269</v>
      </c>
      <c r="D543" s="678">
        <v>4640242180519</v>
      </c>
      <c r="E543" s="678"/>
      <c r="F543" s="62">
        <v>1.35</v>
      </c>
      <c r="G543" s="37">
        <v>8</v>
      </c>
      <c r="H543" s="62">
        <v>10.8</v>
      </c>
      <c r="I543" s="62">
        <v>11.234999999999999</v>
      </c>
      <c r="J543" s="37">
        <v>64</v>
      </c>
      <c r="K543" s="37" t="s">
        <v>114</v>
      </c>
      <c r="L543" s="37" t="s">
        <v>45</v>
      </c>
      <c r="M543" s="38" t="s">
        <v>117</v>
      </c>
      <c r="N543" s="38"/>
      <c r="O543" s="37">
        <v>50</v>
      </c>
      <c r="P543" s="718" t="s">
        <v>869</v>
      </c>
      <c r="Q543" s="680"/>
      <c r="R543" s="680"/>
      <c r="S543" s="680"/>
      <c r="T543" s="681"/>
      <c r="U543" s="39" t="s">
        <v>45</v>
      </c>
      <c r="V543" s="39" t="s">
        <v>45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45</v>
      </c>
      <c r="AB543" s="69" t="s">
        <v>45</v>
      </c>
      <c r="AC543" s="624" t="s">
        <v>870</v>
      </c>
      <c r="AG543" s="78"/>
      <c r="AJ543" s="84" t="s">
        <v>45</v>
      </c>
      <c r="AK543" s="84">
        <v>0</v>
      </c>
      <c r="BB543" s="62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867</v>
      </c>
      <c r="B544" s="63" t="s">
        <v>871</v>
      </c>
      <c r="C544" s="36">
        <v>4301020400</v>
      </c>
      <c r="D544" s="678">
        <v>4640242180519</v>
      </c>
      <c r="E544" s="678"/>
      <c r="F544" s="62">
        <v>1.5</v>
      </c>
      <c r="G544" s="37">
        <v>8</v>
      </c>
      <c r="H544" s="62">
        <v>12</v>
      </c>
      <c r="I544" s="62">
        <v>12.435</v>
      </c>
      <c r="J544" s="37">
        <v>64</v>
      </c>
      <c r="K544" s="37" t="s">
        <v>114</v>
      </c>
      <c r="L544" s="37" t="s">
        <v>45</v>
      </c>
      <c r="M544" s="38" t="s">
        <v>113</v>
      </c>
      <c r="N544" s="38"/>
      <c r="O544" s="37">
        <v>50</v>
      </c>
      <c r="P544" s="719" t="s">
        <v>872</v>
      </c>
      <c r="Q544" s="680"/>
      <c r="R544" s="680"/>
      <c r="S544" s="680"/>
      <c r="T544" s="681"/>
      <c r="U544" s="39" t="s">
        <v>45</v>
      </c>
      <c r="V544" s="39" t="s">
        <v>45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45</v>
      </c>
      <c r="AB544" s="69" t="s">
        <v>45</v>
      </c>
      <c r="AC544" s="626" t="s">
        <v>873</v>
      </c>
      <c r="AG544" s="78"/>
      <c r="AJ544" s="84" t="s">
        <v>45</v>
      </c>
      <c r="AK544" s="84">
        <v>0</v>
      </c>
      <c r="BB544" s="62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874</v>
      </c>
      <c r="B545" s="63" t="s">
        <v>875</v>
      </c>
      <c r="C545" s="36">
        <v>4301020260</v>
      </c>
      <c r="D545" s="678">
        <v>4640242180526</v>
      </c>
      <c r="E545" s="678"/>
      <c r="F545" s="62">
        <v>1.8</v>
      </c>
      <c r="G545" s="37">
        <v>6</v>
      </c>
      <c r="H545" s="62">
        <v>10.8</v>
      </c>
      <c r="I545" s="62">
        <v>11.234999999999999</v>
      </c>
      <c r="J545" s="37">
        <v>64</v>
      </c>
      <c r="K545" s="37" t="s">
        <v>114</v>
      </c>
      <c r="L545" s="37" t="s">
        <v>45</v>
      </c>
      <c r="M545" s="38" t="s">
        <v>113</v>
      </c>
      <c r="N545" s="38"/>
      <c r="O545" s="37">
        <v>50</v>
      </c>
      <c r="P545" s="720" t="s">
        <v>876</v>
      </c>
      <c r="Q545" s="680"/>
      <c r="R545" s="680"/>
      <c r="S545" s="680"/>
      <c r="T545" s="681"/>
      <c r="U545" s="39" t="s">
        <v>45</v>
      </c>
      <c r="V545" s="39" t="s">
        <v>45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45</v>
      </c>
      <c r="AB545" s="69" t="s">
        <v>45</v>
      </c>
      <c r="AC545" s="628" t="s">
        <v>870</v>
      </c>
      <c r="AG545" s="78"/>
      <c r="AJ545" s="84" t="s">
        <v>45</v>
      </c>
      <c r="AK545" s="84">
        <v>0</v>
      </c>
      <c r="BB545" s="629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877</v>
      </c>
      <c r="B546" s="63" t="s">
        <v>878</v>
      </c>
      <c r="C546" s="36">
        <v>4301020309</v>
      </c>
      <c r="D546" s="678">
        <v>4640242180090</v>
      </c>
      <c r="E546" s="678"/>
      <c r="F546" s="62">
        <v>1.35</v>
      </c>
      <c r="G546" s="37">
        <v>8</v>
      </c>
      <c r="H546" s="62">
        <v>10.8</v>
      </c>
      <c r="I546" s="62">
        <v>11.234999999999999</v>
      </c>
      <c r="J546" s="37">
        <v>64</v>
      </c>
      <c r="K546" s="37" t="s">
        <v>114</v>
      </c>
      <c r="L546" s="37" t="s">
        <v>45</v>
      </c>
      <c r="M546" s="38" t="s">
        <v>113</v>
      </c>
      <c r="N546" s="38"/>
      <c r="O546" s="37">
        <v>50</v>
      </c>
      <c r="P546" s="707" t="s">
        <v>879</v>
      </c>
      <c r="Q546" s="680"/>
      <c r="R546" s="680"/>
      <c r="S546" s="680"/>
      <c r="T546" s="681"/>
      <c r="U546" s="39" t="s">
        <v>45</v>
      </c>
      <c r="V546" s="39" t="s">
        <v>45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45</v>
      </c>
      <c r="AB546" s="69" t="s">
        <v>45</v>
      </c>
      <c r="AC546" s="630" t="s">
        <v>880</v>
      </c>
      <c r="AG546" s="78"/>
      <c r="AJ546" s="84" t="s">
        <v>45</v>
      </c>
      <c r="AK546" s="84">
        <v>0</v>
      </c>
      <c r="BB546" s="63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881</v>
      </c>
      <c r="B547" s="63" t="s">
        <v>882</v>
      </c>
      <c r="C547" s="36">
        <v>4301020295</v>
      </c>
      <c r="D547" s="678">
        <v>4640242181363</v>
      </c>
      <c r="E547" s="678"/>
      <c r="F547" s="62">
        <v>0.4</v>
      </c>
      <c r="G547" s="37">
        <v>10</v>
      </c>
      <c r="H547" s="62">
        <v>4</v>
      </c>
      <c r="I547" s="62">
        <v>4.21</v>
      </c>
      <c r="J547" s="37">
        <v>132</v>
      </c>
      <c r="K547" s="37" t="s">
        <v>118</v>
      </c>
      <c r="L547" s="37" t="s">
        <v>45</v>
      </c>
      <c r="M547" s="38" t="s">
        <v>113</v>
      </c>
      <c r="N547" s="38"/>
      <c r="O547" s="37">
        <v>50</v>
      </c>
      <c r="P547" s="708" t="s">
        <v>883</v>
      </c>
      <c r="Q547" s="680"/>
      <c r="R547" s="680"/>
      <c r="S547" s="680"/>
      <c r="T547" s="681"/>
      <c r="U547" s="39" t="s">
        <v>45</v>
      </c>
      <c r="V547" s="39" t="s">
        <v>45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45</v>
      </c>
      <c r="AB547" s="69" t="s">
        <v>45</v>
      </c>
      <c r="AC547" s="632" t="s">
        <v>880</v>
      </c>
      <c r="AG547" s="78"/>
      <c r="AJ547" s="84" t="s">
        <v>45</v>
      </c>
      <c r="AK547" s="84">
        <v>0</v>
      </c>
      <c r="BB547" s="633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85"/>
      <c r="B548" s="685"/>
      <c r="C548" s="685"/>
      <c r="D548" s="685"/>
      <c r="E548" s="685"/>
      <c r="F548" s="685"/>
      <c r="G548" s="685"/>
      <c r="H548" s="685"/>
      <c r="I548" s="685"/>
      <c r="J548" s="685"/>
      <c r="K548" s="685"/>
      <c r="L548" s="685"/>
      <c r="M548" s="685"/>
      <c r="N548" s="685"/>
      <c r="O548" s="686"/>
      <c r="P548" s="682" t="s">
        <v>40</v>
      </c>
      <c r="Q548" s="683"/>
      <c r="R548" s="683"/>
      <c r="S548" s="683"/>
      <c r="T548" s="683"/>
      <c r="U548" s="683"/>
      <c r="V548" s="684"/>
      <c r="W548" s="42" t="s">
        <v>39</v>
      </c>
      <c r="X548" s="43">
        <f>IFERROR(X543/H543,"0")+IFERROR(X544/H544,"0")+IFERROR(X545/H545,"0")+IFERROR(X546/H546,"0")+IFERROR(X547/H547,"0")</f>
        <v>0</v>
      </c>
      <c r="Y548" s="43">
        <f>IFERROR(Y543/H543,"0")+IFERROR(Y544/H544,"0")+IFERROR(Y545/H545,"0")+IFERROR(Y546/H546,"0")+IFERROR(Y547/H547,"0")</f>
        <v>0</v>
      </c>
      <c r="Z548" s="43">
        <f>IFERROR(IF(Z543="",0,Z543),"0")+IFERROR(IF(Z544="",0,Z544),"0")+IFERROR(IF(Z545="",0,Z545),"0")+IFERROR(IF(Z546="",0,Z546),"0")+IFERROR(IF(Z547="",0,Z547),"0")</f>
        <v>0</v>
      </c>
      <c r="AA548" s="67"/>
      <c r="AB548" s="67"/>
      <c r="AC548" s="67"/>
    </row>
    <row r="549" spans="1:68" x14ac:dyDescent="0.2">
      <c r="A549" s="685"/>
      <c r="B549" s="685"/>
      <c r="C549" s="685"/>
      <c r="D549" s="685"/>
      <c r="E549" s="685"/>
      <c r="F549" s="685"/>
      <c r="G549" s="685"/>
      <c r="H549" s="685"/>
      <c r="I549" s="685"/>
      <c r="J549" s="685"/>
      <c r="K549" s="685"/>
      <c r="L549" s="685"/>
      <c r="M549" s="685"/>
      <c r="N549" s="685"/>
      <c r="O549" s="686"/>
      <c r="P549" s="682" t="s">
        <v>40</v>
      </c>
      <c r="Q549" s="683"/>
      <c r="R549" s="683"/>
      <c r="S549" s="683"/>
      <c r="T549" s="683"/>
      <c r="U549" s="683"/>
      <c r="V549" s="684"/>
      <c r="W549" s="42" t="s">
        <v>0</v>
      </c>
      <c r="X549" s="43">
        <f>IFERROR(SUM(X543:X547),"0")</f>
        <v>0</v>
      </c>
      <c r="Y549" s="43">
        <f>IFERROR(SUM(Y543:Y547),"0")</f>
        <v>0</v>
      </c>
      <c r="Z549" s="42"/>
      <c r="AA549" s="67"/>
      <c r="AB549" s="67"/>
      <c r="AC549" s="67"/>
    </row>
    <row r="550" spans="1:68" ht="14.25" customHeight="1" x14ac:dyDescent="0.25">
      <c r="A550" s="677" t="s">
        <v>160</v>
      </c>
      <c r="B550" s="677"/>
      <c r="C550" s="677"/>
      <c r="D550" s="677"/>
      <c r="E550" s="677"/>
      <c r="F550" s="677"/>
      <c r="G550" s="677"/>
      <c r="H550" s="677"/>
      <c r="I550" s="677"/>
      <c r="J550" s="677"/>
      <c r="K550" s="677"/>
      <c r="L550" s="677"/>
      <c r="M550" s="677"/>
      <c r="N550" s="677"/>
      <c r="O550" s="677"/>
      <c r="P550" s="677"/>
      <c r="Q550" s="677"/>
      <c r="R550" s="677"/>
      <c r="S550" s="677"/>
      <c r="T550" s="677"/>
      <c r="U550" s="677"/>
      <c r="V550" s="677"/>
      <c r="W550" s="677"/>
      <c r="X550" s="677"/>
      <c r="Y550" s="677"/>
      <c r="Z550" s="677"/>
      <c r="AA550" s="66"/>
      <c r="AB550" s="66"/>
      <c r="AC550" s="80"/>
    </row>
    <row r="551" spans="1:68" ht="27" customHeight="1" x14ac:dyDescent="0.25">
      <c r="A551" s="63" t="s">
        <v>884</v>
      </c>
      <c r="B551" s="63" t="s">
        <v>885</v>
      </c>
      <c r="C551" s="36">
        <v>4301031280</v>
      </c>
      <c r="D551" s="678">
        <v>4640242180816</v>
      </c>
      <c r="E551" s="678"/>
      <c r="F551" s="62">
        <v>0.7</v>
      </c>
      <c r="G551" s="37">
        <v>6</v>
      </c>
      <c r="H551" s="62">
        <v>4.2</v>
      </c>
      <c r="I551" s="62">
        <v>4.47</v>
      </c>
      <c r="J551" s="37">
        <v>132</v>
      </c>
      <c r="K551" s="37" t="s">
        <v>118</v>
      </c>
      <c r="L551" s="37" t="s">
        <v>45</v>
      </c>
      <c r="M551" s="38" t="s">
        <v>82</v>
      </c>
      <c r="N551" s="38"/>
      <c r="O551" s="37">
        <v>40</v>
      </c>
      <c r="P551" s="709" t="s">
        <v>886</v>
      </c>
      <c r="Q551" s="680"/>
      <c r="R551" s="680"/>
      <c r="S551" s="680"/>
      <c r="T551" s="681"/>
      <c r="U551" s="39" t="s">
        <v>45</v>
      </c>
      <c r="V551" s="39" t="s">
        <v>45</v>
      </c>
      <c r="W551" s="40" t="s">
        <v>0</v>
      </c>
      <c r="X551" s="58">
        <v>0</v>
      </c>
      <c r="Y551" s="55">
        <f t="shared" ref="Y551:Y557" si="85">IFERROR(IF(X551="",0,CEILING((X551/$H551),1)*$H551),"")</f>
        <v>0</v>
      </c>
      <c r="Z551" s="41" t="str">
        <f>IFERROR(IF(Y551=0,"",ROUNDUP(Y551/H551,0)*0.00902),"")</f>
        <v/>
      </c>
      <c r="AA551" s="68" t="s">
        <v>45</v>
      </c>
      <c r="AB551" s="69" t="s">
        <v>45</v>
      </c>
      <c r="AC551" s="634" t="s">
        <v>887</v>
      </c>
      <c r="AG551" s="78"/>
      <c r="AJ551" s="84" t="s">
        <v>45</v>
      </c>
      <c r="AK551" s="84">
        <v>0</v>
      </c>
      <c r="BB551" s="635" t="s">
        <v>66</v>
      </c>
      <c r="BM551" s="78">
        <f t="shared" ref="BM551:BM557" si="86">IFERROR(X551*I551/H551,"0")</f>
        <v>0</v>
      </c>
      <c r="BN551" s="78">
        <f t="shared" ref="BN551:BN557" si="87">IFERROR(Y551*I551/H551,"0")</f>
        <v>0</v>
      </c>
      <c r="BO551" s="78">
        <f t="shared" ref="BO551:BO557" si="88">IFERROR(1/J551*(X551/H551),"0")</f>
        <v>0</v>
      </c>
      <c r="BP551" s="78">
        <f t="shared" ref="BP551:BP557" si="89">IFERROR(1/J551*(Y551/H551),"0")</f>
        <v>0</v>
      </c>
    </row>
    <row r="552" spans="1:68" ht="27" customHeight="1" x14ac:dyDescent="0.25">
      <c r="A552" s="63" t="s">
        <v>888</v>
      </c>
      <c r="B552" s="63" t="s">
        <v>889</v>
      </c>
      <c r="C552" s="36">
        <v>4301031244</v>
      </c>
      <c r="D552" s="678">
        <v>4640242180595</v>
      </c>
      <c r="E552" s="678"/>
      <c r="F552" s="62">
        <v>0.7</v>
      </c>
      <c r="G552" s="37">
        <v>6</v>
      </c>
      <c r="H552" s="62">
        <v>4.2</v>
      </c>
      <c r="I552" s="62">
        <v>4.47</v>
      </c>
      <c r="J552" s="37">
        <v>132</v>
      </c>
      <c r="K552" s="37" t="s">
        <v>118</v>
      </c>
      <c r="L552" s="37" t="s">
        <v>45</v>
      </c>
      <c r="M552" s="38" t="s">
        <v>82</v>
      </c>
      <c r="N552" s="38"/>
      <c r="O552" s="37">
        <v>40</v>
      </c>
      <c r="P552" s="710" t="s">
        <v>890</v>
      </c>
      <c r="Q552" s="680"/>
      <c r="R552" s="680"/>
      <c r="S552" s="680"/>
      <c r="T552" s="681"/>
      <c r="U552" s="39" t="s">
        <v>45</v>
      </c>
      <c r="V552" s="39" t="s">
        <v>45</v>
      </c>
      <c r="W552" s="40" t="s">
        <v>0</v>
      </c>
      <c r="X552" s="58">
        <v>0</v>
      </c>
      <c r="Y552" s="55">
        <f t="shared" si="85"/>
        <v>0</v>
      </c>
      <c r="Z552" s="41" t="str">
        <f>IFERROR(IF(Y552=0,"",ROUNDUP(Y552/H552,0)*0.00902),"")</f>
        <v/>
      </c>
      <c r="AA552" s="68" t="s">
        <v>45</v>
      </c>
      <c r="AB552" s="69" t="s">
        <v>45</v>
      </c>
      <c r="AC552" s="636" t="s">
        <v>891</v>
      </c>
      <c r="AG552" s="78"/>
      <c r="AJ552" s="84" t="s">
        <v>45</v>
      </c>
      <c r="AK552" s="84">
        <v>0</v>
      </c>
      <c r="BB552" s="637" t="s">
        <v>66</v>
      </c>
      <c r="BM552" s="78">
        <f t="shared" si="86"/>
        <v>0</v>
      </c>
      <c r="BN552" s="78">
        <f t="shared" si="87"/>
        <v>0</v>
      </c>
      <c r="BO552" s="78">
        <f t="shared" si="88"/>
        <v>0</v>
      </c>
      <c r="BP552" s="78">
        <f t="shared" si="89"/>
        <v>0</v>
      </c>
    </row>
    <row r="553" spans="1:68" ht="27" customHeight="1" x14ac:dyDescent="0.25">
      <c r="A553" s="63" t="s">
        <v>892</v>
      </c>
      <c r="B553" s="63" t="s">
        <v>893</v>
      </c>
      <c r="C553" s="36">
        <v>4301031289</v>
      </c>
      <c r="D553" s="678">
        <v>4640242181615</v>
      </c>
      <c r="E553" s="678"/>
      <c r="F553" s="62">
        <v>0.7</v>
      </c>
      <c r="G553" s="37">
        <v>6</v>
      </c>
      <c r="H553" s="62">
        <v>4.2</v>
      </c>
      <c r="I553" s="62">
        <v>4.41</v>
      </c>
      <c r="J553" s="37">
        <v>132</v>
      </c>
      <c r="K553" s="37" t="s">
        <v>118</v>
      </c>
      <c r="L553" s="37" t="s">
        <v>45</v>
      </c>
      <c r="M553" s="38" t="s">
        <v>82</v>
      </c>
      <c r="N553" s="38"/>
      <c r="O553" s="37">
        <v>45</v>
      </c>
      <c r="P553" s="711" t="s">
        <v>894</v>
      </c>
      <c r="Q553" s="680"/>
      <c r="R553" s="680"/>
      <c r="S553" s="680"/>
      <c r="T553" s="681"/>
      <c r="U553" s="39" t="s">
        <v>45</v>
      </c>
      <c r="V553" s="39" t="s">
        <v>45</v>
      </c>
      <c r="W553" s="40" t="s">
        <v>0</v>
      </c>
      <c r="X553" s="58">
        <v>0</v>
      </c>
      <c r="Y553" s="55">
        <f t="shared" si="85"/>
        <v>0</v>
      </c>
      <c r="Z553" s="41" t="str">
        <f>IFERROR(IF(Y553=0,"",ROUNDUP(Y553/H553,0)*0.00902),"")</f>
        <v/>
      </c>
      <c r="AA553" s="68" t="s">
        <v>45</v>
      </c>
      <c r="AB553" s="69" t="s">
        <v>45</v>
      </c>
      <c r="AC553" s="638" t="s">
        <v>895</v>
      </c>
      <c r="AG553" s="78"/>
      <c r="AJ553" s="84" t="s">
        <v>45</v>
      </c>
      <c r="AK553" s="84">
        <v>0</v>
      </c>
      <c r="BB553" s="639" t="s">
        <v>66</v>
      </c>
      <c r="BM553" s="78">
        <f t="shared" si="86"/>
        <v>0</v>
      </c>
      <c r="BN553" s="78">
        <f t="shared" si="87"/>
        <v>0</v>
      </c>
      <c r="BO553" s="78">
        <f t="shared" si="88"/>
        <v>0</v>
      </c>
      <c r="BP553" s="78">
        <f t="shared" si="89"/>
        <v>0</v>
      </c>
    </row>
    <row r="554" spans="1:68" ht="27" customHeight="1" x14ac:dyDescent="0.25">
      <c r="A554" s="63" t="s">
        <v>896</v>
      </c>
      <c r="B554" s="63" t="s">
        <v>897</v>
      </c>
      <c r="C554" s="36">
        <v>4301031285</v>
      </c>
      <c r="D554" s="678">
        <v>4640242181639</v>
      </c>
      <c r="E554" s="678"/>
      <c r="F554" s="62">
        <v>0.7</v>
      </c>
      <c r="G554" s="37">
        <v>6</v>
      </c>
      <c r="H554" s="62">
        <v>4.2</v>
      </c>
      <c r="I554" s="62">
        <v>4.41</v>
      </c>
      <c r="J554" s="37">
        <v>132</v>
      </c>
      <c r="K554" s="37" t="s">
        <v>118</v>
      </c>
      <c r="L554" s="37" t="s">
        <v>45</v>
      </c>
      <c r="M554" s="38" t="s">
        <v>82</v>
      </c>
      <c r="N554" s="38"/>
      <c r="O554" s="37">
        <v>45</v>
      </c>
      <c r="P554" s="712" t="s">
        <v>898</v>
      </c>
      <c r="Q554" s="680"/>
      <c r="R554" s="680"/>
      <c r="S554" s="680"/>
      <c r="T554" s="681"/>
      <c r="U554" s="39" t="s">
        <v>45</v>
      </c>
      <c r="V554" s="39" t="s">
        <v>45</v>
      </c>
      <c r="W554" s="40" t="s">
        <v>0</v>
      </c>
      <c r="X554" s="58">
        <v>0</v>
      </c>
      <c r="Y554" s="55">
        <f t="shared" si="85"/>
        <v>0</v>
      </c>
      <c r="Z554" s="41" t="str">
        <f>IFERROR(IF(Y554=0,"",ROUNDUP(Y554/H554,0)*0.00902),"")</f>
        <v/>
      </c>
      <c r="AA554" s="68" t="s">
        <v>45</v>
      </c>
      <c r="AB554" s="69" t="s">
        <v>45</v>
      </c>
      <c r="AC554" s="640" t="s">
        <v>899</v>
      </c>
      <c r="AG554" s="78"/>
      <c r="AJ554" s="84" t="s">
        <v>45</v>
      </c>
      <c r="AK554" s="84">
        <v>0</v>
      </c>
      <c r="BB554" s="641" t="s">
        <v>66</v>
      </c>
      <c r="BM554" s="78">
        <f t="shared" si="86"/>
        <v>0</v>
      </c>
      <c r="BN554" s="78">
        <f t="shared" si="87"/>
        <v>0</v>
      </c>
      <c r="BO554" s="78">
        <f t="shared" si="88"/>
        <v>0</v>
      </c>
      <c r="BP554" s="78">
        <f t="shared" si="89"/>
        <v>0</v>
      </c>
    </row>
    <row r="555" spans="1:68" ht="27" customHeight="1" x14ac:dyDescent="0.25">
      <c r="A555" s="63" t="s">
        <v>900</v>
      </c>
      <c r="B555" s="63" t="s">
        <v>901</v>
      </c>
      <c r="C555" s="36">
        <v>4301031287</v>
      </c>
      <c r="D555" s="678">
        <v>4640242181622</v>
      </c>
      <c r="E555" s="678"/>
      <c r="F555" s="62">
        <v>0.7</v>
      </c>
      <c r="G555" s="37">
        <v>6</v>
      </c>
      <c r="H555" s="62">
        <v>4.2</v>
      </c>
      <c r="I555" s="62">
        <v>4.41</v>
      </c>
      <c r="J555" s="37">
        <v>132</v>
      </c>
      <c r="K555" s="37" t="s">
        <v>118</v>
      </c>
      <c r="L555" s="37" t="s">
        <v>45</v>
      </c>
      <c r="M555" s="38" t="s">
        <v>82</v>
      </c>
      <c r="N555" s="38"/>
      <c r="O555" s="37">
        <v>45</v>
      </c>
      <c r="P555" s="713" t="s">
        <v>902</v>
      </c>
      <c r="Q555" s="680"/>
      <c r="R555" s="680"/>
      <c r="S555" s="680"/>
      <c r="T555" s="681"/>
      <c r="U555" s="39" t="s">
        <v>45</v>
      </c>
      <c r="V555" s="39" t="s">
        <v>45</v>
      </c>
      <c r="W555" s="40" t="s">
        <v>0</v>
      </c>
      <c r="X555" s="58">
        <v>0</v>
      </c>
      <c r="Y555" s="55">
        <f t="shared" si="85"/>
        <v>0</v>
      </c>
      <c r="Z555" s="41" t="str">
        <f>IFERROR(IF(Y555=0,"",ROUNDUP(Y555/H555,0)*0.00902),"")</f>
        <v/>
      </c>
      <c r="AA555" s="68" t="s">
        <v>45</v>
      </c>
      <c r="AB555" s="69" t="s">
        <v>45</v>
      </c>
      <c r="AC555" s="642" t="s">
        <v>903</v>
      </c>
      <c r="AG555" s="78"/>
      <c r="AJ555" s="84" t="s">
        <v>45</v>
      </c>
      <c r="AK555" s="84">
        <v>0</v>
      </c>
      <c r="BB555" s="643" t="s">
        <v>66</v>
      </c>
      <c r="BM555" s="78">
        <f t="shared" si="86"/>
        <v>0</v>
      </c>
      <c r="BN555" s="78">
        <f t="shared" si="87"/>
        <v>0</v>
      </c>
      <c r="BO555" s="78">
        <f t="shared" si="88"/>
        <v>0</v>
      </c>
      <c r="BP555" s="78">
        <f t="shared" si="89"/>
        <v>0</v>
      </c>
    </row>
    <row r="556" spans="1:68" ht="27" customHeight="1" x14ac:dyDescent="0.25">
      <c r="A556" s="63" t="s">
        <v>904</v>
      </c>
      <c r="B556" s="63" t="s">
        <v>905</v>
      </c>
      <c r="C556" s="36">
        <v>4301031203</v>
      </c>
      <c r="D556" s="678">
        <v>4640242180908</v>
      </c>
      <c r="E556" s="678"/>
      <c r="F556" s="62">
        <v>0.28000000000000003</v>
      </c>
      <c r="G556" s="37">
        <v>6</v>
      </c>
      <c r="H556" s="62">
        <v>1.68</v>
      </c>
      <c r="I556" s="62">
        <v>1.81</v>
      </c>
      <c r="J556" s="37">
        <v>234</v>
      </c>
      <c r="K556" s="37" t="s">
        <v>164</v>
      </c>
      <c r="L556" s="37" t="s">
        <v>45</v>
      </c>
      <c r="M556" s="38" t="s">
        <v>82</v>
      </c>
      <c r="N556" s="38"/>
      <c r="O556" s="37">
        <v>40</v>
      </c>
      <c r="P556" s="700" t="s">
        <v>906</v>
      </c>
      <c r="Q556" s="680"/>
      <c r="R556" s="680"/>
      <c r="S556" s="680"/>
      <c r="T556" s="681"/>
      <c r="U556" s="39" t="s">
        <v>45</v>
      </c>
      <c r="V556" s="39" t="s">
        <v>45</v>
      </c>
      <c r="W556" s="40" t="s">
        <v>0</v>
      </c>
      <c r="X556" s="58">
        <v>0</v>
      </c>
      <c r="Y556" s="55">
        <f t="shared" si="85"/>
        <v>0</v>
      </c>
      <c r="Z556" s="41" t="str">
        <f>IFERROR(IF(Y556=0,"",ROUNDUP(Y556/H556,0)*0.00502),"")</f>
        <v/>
      </c>
      <c r="AA556" s="68" t="s">
        <v>45</v>
      </c>
      <c r="AB556" s="69" t="s">
        <v>45</v>
      </c>
      <c r="AC556" s="644" t="s">
        <v>887</v>
      </c>
      <c r="AG556" s="78"/>
      <c r="AJ556" s="84" t="s">
        <v>45</v>
      </c>
      <c r="AK556" s="84">
        <v>0</v>
      </c>
      <c r="BB556" s="645" t="s">
        <v>66</v>
      </c>
      <c r="BM556" s="78">
        <f t="shared" si="86"/>
        <v>0</v>
      </c>
      <c r="BN556" s="78">
        <f t="shared" si="87"/>
        <v>0</v>
      </c>
      <c r="BO556" s="78">
        <f t="shared" si="88"/>
        <v>0</v>
      </c>
      <c r="BP556" s="78">
        <f t="shared" si="89"/>
        <v>0</v>
      </c>
    </row>
    <row r="557" spans="1:68" ht="27" customHeight="1" x14ac:dyDescent="0.25">
      <c r="A557" s="63" t="s">
        <v>907</v>
      </c>
      <c r="B557" s="63" t="s">
        <v>908</v>
      </c>
      <c r="C557" s="36">
        <v>4301031200</v>
      </c>
      <c r="D557" s="678">
        <v>4640242180489</v>
      </c>
      <c r="E557" s="678"/>
      <c r="F557" s="62">
        <v>0.28000000000000003</v>
      </c>
      <c r="G557" s="37">
        <v>6</v>
      </c>
      <c r="H557" s="62">
        <v>1.68</v>
      </c>
      <c r="I557" s="62">
        <v>1.84</v>
      </c>
      <c r="J557" s="37">
        <v>234</v>
      </c>
      <c r="K557" s="37" t="s">
        <v>164</v>
      </c>
      <c r="L557" s="37" t="s">
        <v>45</v>
      </c>
      <c r="M557" s="38" t="s">
        <v>82</v>
      </c>
      <c r="N557" s="38"/>
      <c r="O557" s="37">
        <v>40</v>
      </c>
      <c r="P557" s="701" t="s">
        <v>909</v>
      </c>
      <c r="Q557" s="680"/>
      <c r="R557" s="680"/>
      <c r="S557" s="680"/>
      <c r="T557" s="681"/>
      <c r="U557" s="39" t="s">
        <v>45</v>
      </c>
      <c r="V557" s="39" t="s">
        <v>45</v>
      </c>
      <c r="W557" s="40" t="s">
        <v>0</v>
      </c>
      <c r="X557" s="58">
        <v>0</v>
      </c>
      <c r="Y557" s="55">
        <f t="shared" si="85"/>
        <v>0</v>
      </c>
      <c r="Z557" s="41" t="str">
        <f>IFERROR(IF(Y557=0,"",ROUNDUP(Y557/H557,0)*0.00502),"")</f>
        <v/>
      </c>
      <c r="AA557" s="68" t="s">
        <v>45</v>
      </c>
      <c r="AB557" s="69" t="s">
        <v>45</v>
      </c>
      <c r="AC557" s="646" t="s">
        <v>891</v>
      </c>
      <c r="AG557" s="78"/>
      <c r="AJ557" s="84" t="s">
        <v>45</v>
      </c>
      <c r="AK557" s="84">
        <v>0</v>
      </c>
      <c r="BB557" s="647" t="s">
        <v>66</v>
      </c>
      <c r="BM557" s="78">
        <f t="shared" si="86"/>
        <v>0</v>
      </c>
      <c r="BN557" s="78">
        <f t="shared" si="87"/>
        <v>0</v>
      </c>
      <c r="BO557" s="78">
        <f t="shared" si="88"/>
        <v>0</v>
      </c>
      <c r="BP557" s="78">
        <f t="shared" si="89"/>
        <v>0</v>
      </c>
    </row>
    <row r="558" spans="1:68" x14ac:dyDescent="0.2">
      <c r="A558" s="685"/>
      <c r="B558" s="685"/>
      <c r="C558" s="685"/>
      <c r="D558" s="685"/>
      <c r="E558" s="685"/>
      <c r="F558" s="685"/>
      <c r="G558" s="685"/>
      <c r="H558" s="685"/>
      <c r="I558" s="685"/>
      <c r="J558" s="685"/>
      <c r="K558" s="685"/>
      <c r="L558" s="685"/>
      <c r="M558" s="685"/>
      <c r="N558" s="685"/>
      <c r="O558" s="686"/>
      <c r="P558" s="682" t="s">
        <v>40</v>
      </c>
      <c r="Q558" s="683"/>
      <c r="R558" s="683"/>
      <c r="S558" s="683"/>
      <c r="T558" s="683"/>
      <c r="U558" s="683"/>
      <c r="V558" s="684"/>
      <c r="W558" s="42" t="s">
        <v>39</v>
      </c>
      <c r="X558" s="43">
        <f>IFERROR(X551/H551,"0")+IFERROR(X552/H552,"0")+IFERROR(X553/H553,"0")+IFERROR(X554/H554,"0")+IFERROR(X555/H555,"0")+IFERROR(X556/H556,"0")+IFERROR(X557/H557,"0")</f>
        <v>0</v>
      </c>
      <c r="Y558" s="43">
        <f>IFERROR(Y551/H551,"0")+IFERROR(Y552/H552,"0")+IFERROR(Y553/H553,"0")+IFERROR(Y554/H554,"0")+IFERROR(Y555/H555,"0")+IFERROR(Y556/H556,"0")+IFERROR(Y557/H557,"0")</f>
        <v>0</v>
      </c>
      <c r="Z558" s="43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7"/>
      <c r="AB558" s="67"/>
      <c r="AC558" s="67"/>
    </row>
    <row r="559" spans="1:68" x14ac:dyDescent="0.2">
      <c r="A559" s="685"/>
      <c r="B559" s="685"/>
      <c r="C559" s="685"/>
      <c r="D559" s="685"/>
      <c r="E559" s="685"/>
      <c r="F559" s="685"/>
      <c r="G559" s="685"/>
      <c r="H559" s="685"/>
      <c r="I559" s="685"/>
      <c r="J559" s="685"/>
      <c r="K559" s="685"/>
      <c r="L559" s="685"/>
      <c r="M559" s="685"/>
      <c r="N559" s="685"/>
      <c r="O559" s="686"/>
      <c r="P559" s="682" t="s">
        <v>40</v>
      </c>
      <c r="Q559" s="683"/>
      <c r="R559" s="683"/>
      <c r="S559" s="683"/>
      <c r="T559" s="683"/>
      <c r="U559" s="683"/>
      <c r="V559" s="684"/>
      <c r="W559" s="42" t="s">
        <v>0</v>
      </c>
      <c r="X559" s="43">
        <f>IFERROR(SUM(X551:X557),"0")</f>
        <v>0</v>
      </c>
      <c r="Y559" s="43">
        <f>IFERROR(SUM(Y551:Y557),"0")</f>
        <v>0</v>
      </c>
      <c r="Z559" s="42"/>
      <c r="AA559" s="67"/>
      <c r="AB559" s="67"/>
      <c r="AC559" s="67"/>
    </row>
    <row r="560" spans="1:68" ht="14.25" customHeight="1" x14ac:dyDescent="0.25">
      <c r="A560" s="677" t="s">
        <v>78</v>
      </c>
      <c r="B560" s="677"/>
      <c r="C560" s="677"/>
      <c r="D560" s="677"/>
      <c r="E560" s="677"/>
      <c r="F560" s="677"/>
      <c r="G560" s="677"/>
      <c r="H560" s="677"/>
      <c r="I560" s="677"/>
      <c r="J560" s="677"/>
      <c r="K560" s="677"/>
      <c r="L560" s="677"/>
      <c r="M560" s="677"/>
      <c r="N560" s="677"/>
      <c r="O560" s="677"/>
      <c r="P560" s="677"/>
      <c r="Q560" s="677"/>
      <c r="R560" s="677"/>
      <c r="S560" s="677"/>
      <c r="T560" s="677"/>
      <c r="U560" s="677"/>
      <c r="V560" s="677"/>
      <c r="W560" s="677"/>
      <c r="X560" s="677"/>
      <c r="Y560" s="677"/>
      <c r="Z560" s="677"/>
      <c r="AA560" s="66"/>
      <c r="AB560" s="66"/>
      <c r="AC560" s="80"/>
    </row>
    <row r="561" spans="1:68" ht="27" customHeight="1" x14ac:dyDescent="0.25">
      <c r="A561" s="63" t="s">
        <v>910</v>
      </c>
      <c r="B561" s="63" t="s">
        <v>911</v>
      </c>
      <c r="C561" s="36">
        <v>4301051887</v>
      </c>
      <c r="D561" s="678">
        <v>4640242180533</v>
      </c>
      <c r="E561" s="678"/>
      <c r="F561" s="62">
        <v>1.3</v>
      </c>
      <c r="G561" s="37">
        <v>6</v>
      </c>
      <c r="H561" s="62">
        <v>7.8</v>
      </c>
      <c r="I561" s="62">
        <v>8.3190000000000008</v>
      </c>
      <c r="J561" s="37">
        <v>64</v>
      </c>
      <c r="K561" s="37" t="s">
        <v>114</v>
      </c>
      <c r="L561" s="37" t="s">
        <v>45</v>
      </c>
      <c r="M561" s="38" t="s">
        <v>117</v>
      </c>
      <c r="N561" s="38"/>
      <c r="O561" s="37">
        <v>45</v>
      </c>
      <c r="P561" s="702" t="s">
        <v>912</v>
      </c>
      <c r="Q561" s="680"/>
      <c r="R561" s="680"/>
      <c r="S561" s="680"/>
      <c r="T561" s="681"/>
      <c r="U561" s="39" t="s">
        <v>45</v>
      </c>
      <c r="V561" s="39" t="s">
        <v>45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45</v>
      </c>
      <c r="AB561" s="69" t="s">
        <v>45</v>
      </c>
      <c r="AC561" s="648" t="s">
        <v>913</v>
      </c>
      <c r="AG561" s="78"/>
      <c r="AJ561" s="84" t="s">
        <v>45</v>
      </c>
      <c r="AK561" s="84">
        <v>0</v>
      </c>
      <c r="BB561" s="649" t="s">
        <v>66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t="27" customHeight="1" x14ac:dyDescent="0.25">
      <c r="A562" s="63" t="s">
        <v>910</v>
      </c>
      <c r="B562" s="63" t="s">
        <v>914</v>
      </c>
      <c r="C562" s="36">
        <v>4301052046</v>
      </c>
      <c r="D562" s="678">
        <v>4640242180533</v>
      </c>
      <c r="E562" s="678"/>
      <c r="F562" s="62">
        <v>1.5</v>
      </c>
      <c r="G562" s="37">
        <v>6</v>
      </c>
      <c r="H562" s="62">
        <v>9</v>
      </c>
      <c r="I562" s="62">
        <v>9.5190000000000001</v>
      </c>
      <c r="J562" s="37">
        <v>64</v>
      </c>
      <c r="K562" s="37" t="s">
        <v>114</v>
      </c>
      <c r="L562" s="37" t="s">
        <v>45</v>
      </c>
      <c r="M562" s="38" t="s">
        <v>146</v>
      </c>
      <c r="N562" s="38"/>
      <c r="O562" s="37">
        <v>45</v>
      </c>
      <c r="P562" s="703" t="s">
        <v>912</v>
      </c>
      <c r="Q562" s="680"/>
      <c r="R562" s="680"/>
      <c r="S562" s="680"/>
      <c r="T562" s="681"/>
      <c r="U562" s="39" t="s">
        <v>45</v>
      </c>
      <c r="V562" s="39" t="s">
        <v>45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45</v>
      </c>
      <c r="AB562" s="69" t="s">
        <v>45</v>
      </c>
      <c r="AC562" s="650" t="s">
        <v>913</v>
      </c>
      <c r="AG562" s="78"/>
      <c r="AJ562" s="84" t="s">
        <v>45</v>
      </c>
      <c r="AK562" s="84">
        <v>0</v>
      </c>
      <c r="BB562" s="651" t="s">
        <v>66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t="27" customHeight="1" x14ac:dyDescent="0.25">
      <c r="A563" s="63" t="s">
        <v>915</v>
      </c>
      <c r="B563" s="63" t="s">
        <v>916</v>
      </c>
      <c r="C563" s="36">
        <v>4301051933</v>
      </c>
      <c r="D563" s="678">
        <v>4640242180540</v>
      </c>
      <c r="E563" s="678"/>
      <c r="F563" s="62">
        <v>1.3</v>
      </c>
      <c r="G563" s="37">
        <v>6</v>
      </c>
      <c r="H563" s="62">
        <v>7.8</v>
      </c>
      <c r="I563" s="62">
        <v>8.3190000000000008</v>
      </c>
      <c r="J563" s="37">
        <v>64</v>
      </c>
      <c r="K563" s="37" t="s">
        <v>114</v>
      </c>
      <c r="L563" s="37" t="s">
        <v>45</v>
      </c>
      <c r="M563" s="38" t="s">
        <v>117</v>
      </c>
      <c r="N563" s="38"/>
      <c r="O563" s="37">
        <v>45</v>
      </c>
      <c r="P563" s="704" t="s">
        <v>917</v>
      </c>
      <c r="Q563" s="680"/>
      <c r="R563" s="680"/>
      <c r="S563" s="680"/>
      <c r="T563" s="681"/>
      <c r="U563" s="39" t="s">
        <v>45</v>
      </c>
      <c r="V563" s="39" t="s">
        <v>45</v>
      </c>
      <c r="W563" s="40" t="s">
        <v>0</v>
      </c>
      <c r="X563" s="58">
        <v>0</v>
      </c>
      <c r="Y563" s="55">
        <f>IFERROR(IF(X563="",0,CEILING((X563/$H563),1)*$H563),"")</f>
        <v>0</v>
      </c>
      <c r="Z563" s="41" t="str">
        <f>IFERROR(IF(Y563=0,"",ROUNDUP(Y563/H563,0)*0.01898),"")</f>
        <v/>
      </c>
      <c r="AA563" s="68" t="s">
        <v>45</v>
      </c>
      <c r="AB563" s="69" t="s">
        <v>45</v>
      </c>
      <c r="AC563" s="652" t="s">
        <v>918</v>
      </c>
      <c r="AG563" s="78"/>
      <c r="AJ563" s="84" t="s">
        <v>45</v>
      </c>
      <c r="AK563" s="84">
        <v>0</v>
      </c>
      <c r="BB563" s="653" t="s">
        <v>66</v>
      </c>
      <c r="BM563" s="78">
        <f>IFERROR(X563*I563/H563,"0")</f>
        <v>0</v>
      </c>
      <c r="BN563" s="78">
        <f>IFERROR(Y563*I563/H563,"0")</f>
        <v>0</v>
      </c>
      <c r="BO563" s="78">
        <f>IFERROR(1/J563*(X563/H563),"0")</f>
        <v>0</v>
      </c>
      <c r="BP563" s="78">
        <f>IFERROR(1/J563*(Y563/H563),"0")</f>
        <v>0</v>
      </c>
    </row>
    <row r="564" spans="1:68" ht="27" customHeight="1" x14ac:dyDescent="0.25">
      <c r="A564" s="63" t="s">
        <v>919</v>
      </c>
      <c r="B564" s="63" t="s">
        <v>920</v>
      </c>
      <c r="C564" s="36">
        <v>4301051920</v>
      </c>
      <c r="D564" s="678">
        <v>4640242181233</v>
      </c>
      <c r="E564" s="678"/>
      <c r="F564" s="62">
        <v>0.3</v>
      </c>
      <c r="G564" s="37">
        <v>6</v>
      </c>
      <c r="H564" s="62">
        <v>1.8</v>
      </c>
      <c r="I564" s="62">
        <v>2.0640000000000001</v>
      </c>
      <c r="J564" s="37">
        <v>182</v>
      </c>
      <c r="K564" s="37" t="s">
        <v>83</v>
      </c>
      <c r="L564" s="37" t="s">
        <v>45</v>
      </c>
      <c r="M564" s="38" t="s">
        <v>146</v>
      </c>
      <c r="N564" s="38"/>
      <c r="O564" s="37">
        <v>45</v>
      </c>
      <c r="P564" s="705" t="s">
        <v>921</v>
      </c>
      <c r="Q564" s="680"/>
      <c r="R564" s="680"/>
      <c r="S564" s="680"/>
      <c r="T564" s="681"/>
      <c r="U564" s="39" t="s">
        <v>45</v>
      </c>
      <c r="V564" s="39" t="s">
        <v>45</v>
      </c>
      <c r="W564" s="40" t="s">
        <v>0</v>
      </c>
      <c r="X564" s="58">
        <v>0</v>
      </c>
      <c r="Y564" s="55">
        <f>IFERROR(IF(X564="",0,CEILING((X564/$H564),1)*$H564),"")</f>
        <v>0</v>
      </c>
      <c r="Z564" s="41" t="str">
        <f>IFERROR(IF(Y564=0,"",ROUNDUP(Y564/H564,0)*0.00651),"")</f>
        <v/>
      </c>
      <c r="AA564" s="68" t="s">
        <v>45</v>
      </c>
      <c r="AB564" s="69" t="s">
        <v>45</v>
      </c>
      <c r="AC564" s="654" t="s">
        <v>913</v>
      </c>
      <c r="AG564" s="78"/>
      <c r="AJ564" s="84" t="s">
        <v>45</v>
      </c>
      <c r="AK564" s="84">
        <v>0</v>
      </c>
      <c r="BB564" s="655" t="s">
        <v>66</v>
      </c>
      <c r="BM564" s="78">
        <f>IFERROR(X564*I564/H564,"0")</f>
        <v>0</v>
      </c>
      <c r="BN564" s="78">
        <f>IFERROR(Y564*I564/H564,"0")</f>
        <v>0</v>
      </c>
      <c r="BO564" s="78">
        <f>IFERROR(1/J564*(X564/H564),"0")</f>
        <v>0</v>
      </c>
      <c r="BP564" s="78">
        <f>IFERROR(1/J564*(Y564/H564),"0")</f>
        <v>0</v>
      </c>
    </row>
    <row r="565" spans="1:68" ht="27" customHeight="1" x14ac:dyDescent="0.25">
      <c r="A565" s="63" t="s">
        <v>922</v>
      </c>
      <c r="B565" s="63" t="s">
        <v>923</v>
      </c>
      <c r="C565" s="36">
        <v>4301051921</v>
      </c>
      <c r="D565" s="678">
        <v>4640242181226</v>
      </c>
      <c r="E565" s="678"/>
      <c r="F565" s="62">
        <v>0.3</v>
      </c>
      <c r="G565" s="37">
        <v>6</v>
      </c>
      <c r="H565" s="62">
        <v>1.8</v>
      </c>
      <c r="I565" s="62">
        <v>2.052</v>
      </c>
      <c r="J565" s="37">
        <v>182</v>
      </c>
      <c r="K565" s="37" t="s">
        <v>83</v>
      </c>
      <c r="L565" s="37" t="s">
        <v>45</v>
      </c>
      <c r="M565" s="38" t="s">
        <v>146</v>
      </c>
      <c r="N565" s="38"/>
      <c r="O565" s="37">
        <v>45</v>
      </c>
      <c r="P565" s="706" t="s">
        <v>924</v>
      </c>
      <c r="Q565" s="680"/>
      <c r="R565" s="680"/>
      <c r="S565" s="680"/>
      <c r="T565" s="681"/>
      <c r="U565" s="39" t="s">
        <v>45</v>
      </c>
      <c r="V565" s="39" t="s">
        <v>45</v>
      </c>
      <c r="W565" s="40" t="s">
        <v>0</v>
      </c>
      <c r="X565" s="58">
        <v>0</v>
      </c>
      <c r="Y565" s="55">
        <f>IFERROR(IF(X565="",0,CEILING((X565/$H565),1)*$H565),"")</f>
        <v>0</v>
      </c>
      <c r="Z565" s="41" t="str">
        <f>IFERROR(IF(Y565=0,"",ROUNDUP(Y565/H565,0)*0.00651),"")</f>
        <v/>
      </c>
      <c r="AA565" s="68" t="s">
        <v>45</v>
      </c>
      <c r="AB565" s="69" t="s">
        <v>45</v>
      </c>
      <c r="AC565" s="656" t="s">
        <v>918</v>
      </c>
      <c r="AG565" s="78"/>
      <c r="AJ565" s="84" t="s">
        <v>45</v>
      </c>
      <c r="AK565" s="84">
        <v>0</v>
      </c>
      <c r="BB565" s="657" t="s">
        <v>66</v>
      </c>
      <c r="BM565" s="78">
        <f>IFERROR(X565*I565/H565,"0")</f>
        <v>0</v>
      </c>
      <c r="BN565" s="78">
        <f>IFERROR(Y565*I565/H565,"0")</f>
        <v>0</v>
      </c>
      <c r="BO565" s="78">
        <f>IFERROR(1/J565*(X565/H565),"0")</f>
        <v>0</v>
      </c>
      <c r="BP565" s="78">
        <f>IFERROR(1/J565*(Y565/H565),"0")</f>
        <v>0</v>
      </c>
    </row>
    <row r="566" spans="1:68" x14ac:dyDescent="0.2">
      <c r="A566" s="685"/>
      <c r="B566" s="685"/>
      <c r="C566" s="685"/>
      <c r="D566" s="685"/>
      <c r="E566" s="685"/>
      <c r="F566" s="685"/>
      <c r="G566" s="685"/>
      <c r="H566" s="685"/>
      <c r="I566" s="685"/>
      <c r="J566" s="685"/>
      <c r="K566" s="685"/>
      <c r="L566" s="685"/>
      <c r="M566" s="685"/>
      <c r="N566" s="685"/>
      <c r="O566" s="686"/>
      <c r="P566" s="682" t="s">
        <v>40</v>
      </c>
      <c r="Q566" s="683"/>
      <c r="R566" s="683"/>
      <c r="S566" s="683"/>
      <c r="T566" s="683"/>
      <c r="U566" s="683"/>
      <c r="V566" s="684"/>
      <c r="W566" s="42" t="s">
        <v>39</v>
      </c>
      <c r="X566" s="43">
        <f>IFERROR(X561/H561,"0")+IFERROR(X562/H562,"0")+IFERROR(X563/H563,"0")+IFERROR(X564/H564,"0")+IFERROR(X565/H565,"0")</f>
        <v>0</v>
      </c>
      <c r="Y566" s="43">
        <f>IFERROR(Y561/H561,"0")+IFERROR(Y562/H562,"0")+IFERROR(Y563/H563,"0")+IFERROR(Y564/H564,"0")+IFERROR(Y565/H565,"0")</f>
        <v>0</v>
      </c>
      <c r="Z566" s="43">
        <f>IFERROR(IF(Z561="",0,Z561),"0")+IFERROR(IF(Z562="",0,Z562),"0")+IFERROR(IF(Z563="",0,Z563),"0")+IFERROR(IF(Z564="",0,Z564),"0")+IFERROR(IF(Z565="",0,Z565),"0")</f>
        <v>0</v>
      </c>
      <c r="AA566" s="67"/>
      <c r="AB566" s="67"/>
      <c r="AC566" s="67"/>
    </row>
    <row r="567" spans="1:68" x14ac:dyDescent="0.2">
      <c r="A567" s="685"/>
      <c r="B567" s="685"/>
      <c r="C567" s="685"/>
      <c r="D567" s="685"/>
      <c r="E567" s="685"/>
      <c r="F567" s="685"/>
      <c r="G567" s="685"/>
      <c r="H567" s="685"/>
      <c r="I567" s="685"/>
      <c r="J567" s="685"/>
      <c r="K567" s="685"/>
      <c r="L567" s="685"/>
      <c r="M567" s="685"/>
      <c r="N567" s="685"/>
      <c r="O567" s="686"/>
      <c r="P567" s="682" t="s">
        <v>40</v>
      </c>
      <c r="Q567" s="683"/>
      <c r="R567" s="683"/>
      <c r="S567" s="683"/>
      <c r="T567" s="683"/>
      <c r="U567" s="683"/>
      <c r="V567" s="684"/>
      <c r="W567" s="42" t="s">
        <v>0</v>
      </c>
      <c r="X567" s="43">
        <f>IFERROR(SUM(X561:X565),"0")</f>
        <v>0</v>
      </c>
      <c r="Y567" s="43">
        <f>IFERROR(SUM(Y561:Y565),"0")</f>
        <v>0</v>
      </c>
      <c r="Z567" s="42"/>
      <c r="AA567" s="67"/>
      <c r="AB567" s="67"/>
      <c r="AC567" s="67"/>
    </row>
    <row r="568" spans="1:68" ht="14.25" customHeight="1" x14ac:dyDescent="0.25">
      <c r="A568" s="677" t="s">
        <v>186</v>
      </c>
      <c r="B568" s="677"/>
      <c r="C568" s="677"/>
      <c r="D568" s="677"/>
      <c r="E568" s="677"/>
      <c r="F568" s="677"/>
      <c r="G568" s="677"/>
      <c r="H568" s="677"/>
      <c r="I568" s="677"/>
      <c r="J568" s="677"/>
      <c r="K568" s="677"/>
      <c r="L568" s="677"/>
      <c r="M568" s="677"/>
      <c r="N568" s="677"/>
      <c r="O568" s="677"/>
      <c r="P568" s="677"/>
      <c r="Q568" s="677"/>
      <c r="R568" s="677"/>
      <c r="S568" s="677"/>
      <c r="T568" s="677"/>
      <c r="U568" s="677"/>
      <c r="V568" s="677"/>
      <c r="W568" s="677"/>
      <c r="X568" s="677"/>
      <c r="Y568" s="677"/>
      <c r="Z568" s="677"/>
      <c r="AA568" s="66"/>
      <c r="AB568" s="66"/>
      <c r="AC568" s="80"/>
    </row>
    <row r="569" spans="1:68" ht="27" customHeight="1" x14ac:dyDescent="0.25">
      <c r="A569" s="63" t="s">
        <v>925</v>
      </c>
      <c r="B569" s="63" t="s">
        <v>926</v>
      </c>
      <c r="C569" s="36">
        <v>4301060496</v>
      </c>
      <c r="D569" s="678">
        <v>4640242180120</v>
      </c>
      <c r="E569" s="678"/>
      <c r="F569" s="62">
        <v>1.5</v>
      </c>
      <c r="G569" s="37">
        <v>6</v>
      </c>
      <c r="H569" s="62">
        <v>9</v>
      </c>
      <c r="I569" s="62">
        <v>9.4350000000000005</v>
      </c>
      <c r="J569" s="37">
        <v>64</v>
      </c>
      <c r="K569" s="37" t="s">
        <v>114</v>
      </c>
      <c r="L569" s="37" t="s">
        <v>45</v>
      </c>
      <c r="M569" s="38" t="s">
        <v>146</v>
      </c>
      <c r="N569" s="38"/>
      <c r="O569" s="37">
        <v>40</v>
      </c>
      <c r="P569" s="695" t="s">
        <v>927</v>
      </c>
      <c r="Q569" s="680"/>
      <c r="R569" s="680"/>
      <c r="S569" s="680"/>
      <c r="T569" s="681"/>
      <c r="U569" s="39" t="s">
        <v>45</v>
      </c>
      <c r="V569" s="39" t="s">
        <v>45</v>
      </c>
      <c r="W569" s="40" t="s">
        <v>0</v>
      </c>
      <c r="X569" s="58">
        <v>0</v>
      </c>
      <c r="Y569" s="55">
        <f>IFERROR(IF(X569="",0,CEILING((X569/$H569),1)*$H569),"")</f>
        <v>0</v>
      </c>
      <c r="Z569" s="41" t="str">
        <f>IFERROR(IF(Y569=0,"",ROUNDUP(Y569/H569,0)*0.01898),"")</f>
        <v/>
      </c>
      <c r="AA569" s="68" t="s">
        <v>45</v>
      </c>
      <c r="AB569" s="69" t="s">
        <v>45</v>
      </c>
      <c r="AC569" s="658" t="s">
        <v>928</v>
      </c>
      <c r="AG569" s="78"/>
      <c r="AJ569" s="84" t="s">
        <v>45</v>
      </c>
      <c r="AK569" s="84">
        <v>0</v>
      </c>
      <c r="BB569" s="659" t="s">
        <v>66</v>
      </c>
      <c r="BM569" s="78">
        <f>IFERROR(X569*I569/H569,"0")</f>
        <v>0</v>
      </c>
      <c r="BN569" s="78">
        <f>IFERROR(Y569*I569/H569,"0")</f>
        <v>0</v>
      </c>
      <c r="BO569" s="78">
        <f>IFERROR(1/J569*(X569/H569),"0")</f>
        <v>0</v>
      </c>
      <c r="BP569" s="78">
        <f>IFERROR(1/J569*(Y569/H569),"0")</f>
        <v>0</v>
      </c>
    </row>
    <row r="570" spans="1:68" ht="27" customHeight="1" x14ac:dyDescent="0.25">
      <c r="A570" s="63" t="s">
        <v>925</v>
      </c>
      <c r="B570" s="63" t="s">
        <v>929</v>
      </c>
      <c r="C570" s="36">
        <v>4301060485</v>
      </c>
      <c r="D570" s="678">
        <v>4640242180120</v>
      </c>
      <c r="E570" s="678"/>
      <c r="F570" s="62">
        <v>1.3</v>
      </c>
      <c r="G570" s="37">
        <v>6</v>
      </c>
      <c r="H570" s="62">
        <v>7.8</v>
      </c>
      <c r="I570" s="62">
        <v>8.2349999999999994</v>
      </c>
      <c r="J570" s="37">
        <v>64</v>
      </c>
      <c r="K570" s="37" t="s">
        <v>114</v>
      </c>
      <c r="L570" s="37" t="s">
        <v>45</v>
      </c>
      <c r="M570" s="38" t="s">
        <v>117</v>
      </c>
      <c r="N570" s="38"/>
      <c r="O570" s="37">
        <v>40</v>
      </c>
      <c r="P570" s="696" t="s">
        <v>930</v>
      </c>
      <c r="Q570" s="680"/>
      <c r="R570" s="680"/>
      <c r="S570" s="680"/>
      <c r="T570" s="681"/>
      <c r="U570" s="39" t="s">
        <v>45</v>
      </c>
      <c r="V570" s="39" t="s">
        <v>45</v>
      </c>
      <c r="W570" s="40" t="s">
        <v>0</v>
      </c>
      <c r="X570" s="58">
        <v>0</v>
      </c>
      <c r="Y570" s="55">
        <f>IFERROR(IF(X570="",0,CEILING((X570/$H570),1)*$H570),"")</f>
        <v>0</v>
      </c>
      <c r="Z570" s="41" t="str">
        <f>IFERROR(IF(Y570=0,"",ROUNDUP(Y570/H570,0)*0.01898),"")</f>
        <v/>
      </c>
      <c r="AA570" s="68" t="s">
        <v>45</v>
      </c>
      <c r="AB570" s="69" t="s">
        <v>45</v>
      </c>
      <c r="AC570" s="660" t="s">
        <v>928</v>
      </c>
      <c r="AG570" s="78"/>
      <c r="AJ570" s="84" t="s">
        <v>45</v>
      </c>
      <c r="AK570" s="84">
        <v>0</v>
      </c>
      <c r="BB570" s="661" t="s">
        <v>66</v>
      </c>
      <c r="BM570" s="78">
        <f>IFERROR(X570*I570/H570,"0")</f>
        <v>0</v>
      </c>
      <c r="BN570" s="78">
        <f>IFERROR(Y570*I570/H570,"0")</f>
        <v>0</v>
      </c>
      <c r="BO570" s="78">
        <f>IFERROR(1/J570*(X570/H570),"0")</f>
        <v>0</v>
      </c>
      <c r="BP570" s="78">
        <f>IFERROR(1/J570*(Y570/H570),"0")</f>
        <v>0</v>
      </c>
    </row>
    <row r="571" spans="1:68" ht="27" customHeight="1" x14ac:dyDescent="0.25">
      <c r="A571" s="63" t="s">
        <v>931</v>
      </c>
      <c r="B571" s="63" t="s">
        <v>932</v>
      </c>
      <c r="C571" s="36">
        <v>4301060498</v>
      </c>
      <c r="D571" s="678">
        <v>4640242180137</v>
      </c>
      <c r="E571" s="678"/>
      <c r="F571" s="62">
        <v>1.5</v>
      </c>
      <c r="G571" s="37">
        <v>6</v>
      </c>
      <c r="H571" s="62">
        <v>9</v>
      </c>
      <c r="I571" s="62">
        <v>9.4350000000000005</v>
      </c>
      <c r="J571" s="37">
        <v>64</v>
      </c>
      <c r="K571" s="37" t="s">
        <v>114</v>
      </c>
      <c r="L571" s="37" t="s">
        <v>45</v>
      </c>
      <c r="M571" s="38" t="s">
        <v>146</v>
      </c>
      <c r="N571" s="38"/>
      <c r="O571" s="37">
        <v>40</v>
      </c>
      <c r="P571" s="697" t="s">
        <v>933</v>
      </c>
      <c r="Q571" s="680"/>
      <c r="R571" s="680"/>
      <c r="S571" s="680"/>
      <c r="T571" s="681"/>
      <c r="U571" s="39" t="s">
        <v>45</v>
      </c>
      <c r="V571" s="39" t="s">
        <v>45</v>
      </c>
      <c r="W571" s="40" t="s">
        <v>0</v>
      </c>
      <c r="X571" s="58">
        <v>0</v>
      </c>
      <c r="Y571" s="55">
        <f>IFERROR(IF(X571="",0,CEILING((X571/$H571),1)*$H571),"")</f>
        <v>0</v>
      </c>
      <c r="Z571" s="41" t="str">
        <f>IFERROR(IF(Y571=0,"",ROUNDUP(Y571/H571,0)*0.01898),"")</f>
        <v/>
      </c>
      <c r="AA571" s="68" t="s">
        <v>45</v>
      </c>
      <c r="AB571" s="69" t="s">
        <v>45</v>
      </c>
      <c r="AC571" s="662" t="s">
        <v>934</v>
      </c>
      <c r="AG571" s="78"/>
      <c r="AJ571" s="84" t="s">
        <v>45</v>
      </c>
      <c r="AK571" s="84">
        <v>0</v>
      </c>
      <c r="BB571" s="663" t="s">
        <v>66</v>
      </c>
      <c r="BM571" s="78">
        <f>IFERROR(X571*I571/H571,"0")</f>
        <v>0</v>
      </c>
      <c r="BN571" s="78">
        <f>IFERROR(Y571*I571/H571,"0")</f>
        <v>0</v>
      </c>
      <c r="BO571" s="78">
        <f>IFERROR(1/J571*(X571/H571),"0")</f>
        <v>0</v>
      </c>
      <c r="BP571" s="78">
        <f>IFERROR(1/J571*(Y571/H571),"0")</f>
        <v>0</v>
      </c>
    </row>
    <row r="572" spans="1:68" ht="27" customHeight="1" x14ac:dyDescent="0.25">
      <c r="A572" s="63" t="s">
        <v>931</v>
      </c>
      <c r="B572" s="63" t="s">
        <v>935</v>
      </c>
      <c r="C572" s="36">
        <v>4301060486</v>
      </c>
      <c r="D572" s="678">
        <v>4640242180137</v>
      </c>
      <c r="E572" s="678"/>
      <c r="F572" s="62">
        <v>1.3</v>
      </c>
      <c r="G572" s="37">
        <v>6</v>
      </c>
      <c r="H572" s="62">
        <v>7.8</v>
      </c>
      <c r="I572" s="62">
        <v>8.2349999999999994</v>
      </c>
      <c r="J572" s="37">
        <v>64</v>
      </c>
      <c r="K572" s="37" t="s">
        <v>114</v>
      </c>
      <c r="L572" s="37" t="s">
        <v>45</v>
      </c>
      <c r="M572" s="38" t="s">
        <v>117</v>
      </c>
      <c r="N572" s="38"/>
      <c r="O572" s="37">
        <v>40</v>
      </c>
      <c r="P572" s="698" t="s">
        <v>936</v>
      </c>
      <c r="Q572" s="680"/>
      <c r="R572" s="680"/>
      <c r="S572" s="680"/>
      <c r="T572" s="681"/>
      <c r="U572" s="39" t="s">
        <v>45</v>
      </c>
      <c r="V572" s="39" t="s">
        <v>45</v>
      </c>
      <c r="W572" s="40" t="s">
        <v>0</v>
      </c>
      <c r="X572" s="58">
        <v>0</v>
      </c>
      <c r="Y572" s="55">
        <f>IFERROR(IF(X572="",0,CEILING((X572/$H572),1)*$H572),"")</f>
        <v>0</v>
      </c>
      <c r="Z572" s="41" t="str">
        <f>IFERROR(IF(Y572=0,"",ROUNDUP(Y572/H572,0)*0.01898),"")</f>
        <v/>
      </c>
      <c r="AA572" s="68" t="s">
        <v>45</v>
      </c>
      <c r="AB572" s="69" t="s">
        <v>45</v>
      </c>
      <c r="AC572" s="664" t="s">
        <v>934</v>
      </c>
      <c r="AG572" s="78"/>
      <c r="AJ572" s="84" t="s">
        <v>45</v>
      </c>
      <c r="AK572" s="84">
        <v>0</v>
      </c>
      <c r="BB572" s="665" t="s">
        <v>66</v>
      </c>
      <c r="BM572" s="78">
        <f>IFERROR(X572*I572/H572,"0")</f>
        <v>0</v>
      </c>
      <c r="BN572" s="78">
        <f>IFERROR(Y572*I572/H572,"0")</f>
        <v>0</v>
      </c>
      <c r="BO572" s="78">
        <f>IFERROR(1/J572*(X572/H572),"0")</f>
        <v>0</v>
      </c>
      <c r="BP572" s="78">
        <f>IFERROR(1/J572*(Y572/H572),"0")</f>
        <v>0</v>
      </c>
    </row>
    <row r="573" spans="1:68" x14ac:dyDescent="0.2">
      <c r="A573" s="685"/>
      <c r="B573" s="685"/>
      <c r="C573" s="685"/>
      <c r="D573" s="685"/>
      <c r="E573" s="685"/>
      <c r="F573" s="685"/>
      <c r="G573" s="685"/>
      <c r="H573" s="685"/>
      <c r="I573" s="685"/>
      <c r="J573" s="685"/>
      <c r="K573" s="685"/>
      <c r="L573" s="685"/>
      <c r="M573" s="685"/>
      <c r="N573" s="685"/>
      <c r="O573" s="686"/>
      <c r="P573" s="682" t="s">
        <v>40</v>
      </c>
      <c r="Q573" s="683"/>
      <c r="R573" s="683"/>
      <c r="S573" s="683"/>
      <c r="T573" s="683"/>
      <c r="U573" s="683"/>
      <c r="V573" s="684"/>
      <c r="W573" s="42" t="s">
        <v>39</v>
      </c>
      <c r="X573" s="43">
        <f>IFERROR(X569/H569,"0")+IFERROR(X570/H570,"0")+IFERROR(X571/H571,"0")+IFERROR(X572/H572,"0")</f>
        <v>0</v>
      </c>
      <c r="Y573" s="43">
        <f>IFERROR(Y569/H569,"0")+IFERROR(Y570/H570,"0")+IFERROR(Y571/H571,"0")+IFERROR(Y572/H572,"0")</f>
        <v>0</v>
      </c>
      <c r="Z573" s="43">
        <f>IFERROR(IF(Z569="",0,Z569),"0")+IFERROR(IF(Z570="",0,Z570),"0")+IFERROR(IF(Z571="",0,Z571),"0")+IFERROR(IF(Z572="",0,Z572),"0")</f>
        <v>0</v>
      </c>
      <c r="AA573" s="67"/>
      <c r="AB573" s="67"/>
      <c r="AC573" s="67"/>
    </row>
    <row r="574" spans="1:68" x14ac:dyDescent="0.2">
      <c r="A574" s="685"/>
      <c r="B574" s="685"/>
      <c r="C574" s="685"/>
      <c r="D574" s="685"/>
      <c r="E574" s="685"/>
      <c r="F574" s="685"/>
      <c r="G574" s="685"/>
      <c r="H574" s="685"/>
      <c r="I574" s="685"/>
      <c r="J574" s="685"/>
      <c r="K574" s="685"/>
      <c r="L574" s="685"/>
      <c r="M574" s="685"/>
      <c r="N574" s="685"/>
      <c r="O574" s="686"/>
      <c r="P574" s="682" t="s">
        <v>40</v>
      </c>
      <c r="Q574" s="683"/>
      <c r="R574" s="683"/>
      <c r="S574" s="683"/>
      <c r="T574" s="683"/>
      <c r="U574" s="683"/>
      <c r="V574" s="684"/>
      <c r="W574" s="42" t="s">
        <v>0</v>
      </c>
      <c r="X574" s="43">
        <f>IFERROR(SUM(X569:X572),"0")</f>
        <v>0</v>
      </c>
      <c r="Y574" s="43">
        <f>IFERROR(SUM(Y569:Y572),"0")</f>
        <v>0</v>
      </c>
      <c r="Z574" s="42"/>
      <c r="AA574" s="67"/>
      <c r="AB574" s="67"/>
      <c r="AC574" s="67"/>
    </row>
    <row r="575" spans="1:68" ht="16.5" customHeight="1" x14ac:dyDescent="0.25">
      <c r="A575" s="699" t="s">
        <v>937</v>
      </c>
      <c r="B575" s="699"/>
      <c r="C575" s="699"/>
      <c r="D575" s="699"/>
      <c r="E575" s="699"/>
      <c r="F575" s="699"/>
      <c r="G575" s="699"/>
      <c r="H575" s="699"/>
      <c r="I575" s="699"/>
      <c r="J575" s="699"/>
      <c r="K575" s="699"/>
      <c r="L575" s="699"/>
      <c r="M575" s="699"/>
      <c r="N575" s="699"/>
      <c r="O575" s="699"/>
      <c r="P575" s="699"/>
      <c r="Q575" s="699"/>
      <c r="R575" s="699"/>
      <c r="S575" s="699"/>
      <c r="T575" s="699"/>
      <c r="U575" s="699"/>
      <c r="V575" s="699"/>
      <c r="W575" s="699"/>
      <c r="X575" s="699"/>
      <c r="Y575" s="699"/>
      <c r="Z575" s="699"/>
      <c r="AA575" s="65"/>
      <c r="AB575" s="65"/>
      <c r="AC575" s="79"/>
    </row>
    <row r="576" spans="1:68" ht="14.25" customHeight="1" x14ac:dyDescent="0.25">
      <c r="A576" s="677" t="s">
        <v>109</v>
      </c>
      <c r="B576" s="677"/>
      <c r="C576" s="677"/>
      <c r="D576" s="677"/>
      <c r="E576" s="677"/>
      <c r="F576" s="677"/>
      <c r="G576" s="677"/>
      <c r="H576" s="677"/>
      <c r="I576" s="677"/>
      <c r="J576" s="677"/>
      <c r="K576" s="677"/>
      <c r="L576" s="677"/>
      <c r="M576" s="677"/>
      <c r="N576" s="677"/>
      <c r="O576" s="677"/>
      <c r="P576" s="677"/>
      <c r="Q576" s="677"/>
      <c r="R576" s="677"/>
      <c r="S576" s="677"/>
      <c r="T576" s="677"/>
      <c r="U576" s="677"/>
      <c r="V576" s="677"/>
      <c r="W576" s="677"/>
      <c r="X576" s="677"/>
      <c r="Y576" s="677"/>
      <c r="Z576" s="677"/>
      <c r="AA576" s="66"/>
      <c r="AB576" s="66"/>
      <c r="AC576" s="80"/>
    </row>
    <row r="577" spans="1:68" ht="27" customHeight="1" x14ac:dyDescent="0.25">
      <c r="A577" s="63" t="s">
        <v>938</v>
      </c>
      <c r="B577" s="63" t="s">
        <v>939</v>
      </c>
      <c r="C577" s="36">
        <v>4301011951</v>
      </c>
      <c r="D577" s="678">
        <v>4640242180045</v>
      </c>
      <c r="E577" s="678"/>
      <c r="F577" s="62">
        <v>1.5</v>
      </c>
      <c r="G577" s="37">
        <v>8</v>
      </c>
      <c r="H577" s="62">
        <v>12</v>
      </c>
      <c r="I577" s="62">
        <v>12.435</v>
      </c>
      <c r="J577" s="37">
        <v>64</v>
      </c>
      <c r="K577" s="37" t="s">
        <v>114</v>
      </c>
      <c r="L577" s="37" t="s">
        <v>45</v>
      </c>
      <c r="M577" s="38" t="s">
        <v>113</v>
      </c>
      <c r="N577" s="38"/>
      <c r="O577" s="37">
        <v>55</v>
      </c>
      <c r="P577" s="692" t="s">
        <v>940</v>
      </c>
      <c r="Q577" s="680"/>
      <c r="R577" s="680"/>
      <c r="S577" s="680"/>
      <c r="T577" s="681"/>
      <c r="U577" s="39" t="s">
        <v>45</v>
      </c>
      <c r="V577" s="39" t="s">
        <v>45</v>
      </c>
      <c r="W577" s="40" t="s">
        <v>0</v>
      </c>
      <c r="X577" s="58">
        <v>0</v>
      </c>
      <c r="Y577" s="55">
        <f>IFERROR(IF(X577="",0,CEILING((X577/$H577),1)*$H577),"")</f>
        <v>0</v>
      </c>
      <c r="Z577" s="41" t="str">
        <f>IFERROR(IF(Y577=0,"",ROUNDUP(Y577/H577,0)*0.01898),"")</f>
        <v/>
      </c>
      <c r="AA577" s="68" t="s">
        <v>45</v>
      </c>
      <c r="AB577" s="69" t="s">
        <v>45</v>
      </c>
      <c r="AC577" s="666" t="s">
        <v>941</v>
      </c>
      <c r="AG577" s="78"/>
      <c r="AJ577" s="84" t="s">
        <v>45</v>
      </c>
      <c r="AK577" s="84">
        <v>0</v>
      </c>
      <c r="BB577" s="667" t="s">
        <v>66</v>
      </c>
      <c r="BM577" s="78">
        <f>IFERROR(X577*I577/H577,"0")</f>
        <v>0</v>
      </c>
      <c r="BN577" s="78">
        <f>IFERROR(Y577*I577/H577,"0")</f>
        <v>0</v>
      </c>
      <c r="BO577" s="78">
        <f>IFERROR(1/J577*(X577/H577),"0")</f>
        <v>0</v>
      </c>
      <c r="BP577" s="78">
        <f>IFERROR(1/J577*(Y577/H577),"0")</f>
        <v>0</v>
      </c>
    </row>
    <row r="578" spans="1:68" x14ac:dyDescent="0.2">
      <c r="A578" s="685"/>
      <c r="B578" s="685"/>
      <c r="C578" s="685"/>
      <c r="D578" s="685"/>
      <c r="E578" s="685"/>
      <c r="F578" s="685"/>
      <c r="G578" s="685"/>
      <c r="H578" s="685"/>
      <c r="I578" s="685"/>
      <c r="J578" s="685"/>
      <c r="K578" s="685"/>
      <c r="L578" s="685"/>
      <c r="M578" s="685"/>
      <c r="N578" s="685"/>
      <c r="O578" s="686"/>
      <c r="P578" s="682" t="s">
        <v>40</v>
      </c>
      <c r="Q578" s="683"/>
      <c r="R578" s="683"/>
      <c r="S578" s="683"/>
      <c r="T578" s="683"/>
      <c r="U578" s="683"/>
      <c r="V578" s="684"/>
      <c r="W578" s="42" t="s">
        <v>39</v>
      </c>
      <c r="X578" s="43">
        <f>IFERROR(X577/H577,"0")</f>
        <v>0</v>
      </c>
      <c r="Y578" s="43">
        <f>IFERROR(Y577/H577,"0")</f>
        <v>0</v>
      </c>
      <c r="Z578" s="43">
        <f>IFERROR(IF(Z577="",0,Z577),"0")</f>
        <v>0</v>
      </c>
      <c r="AA578" s="67"/>
      <c r="AB578" s="67"/>
      <c r="AC578" s="67"/>
    </row>
    <row r="579" spans="1:68" x14ac:dyDescent="0.2">
      <c r="A579" s="685"/>
      <c r="B579" s="685"/>
      <c r="C579" s="685"/>
      <c r="D579" s="685"/>
      <c r="E579" s="685"/>
      <c r="F579" s="685"/>
      <c r="G579" s="685"/>
      <c r="H579" s="685"/>
      <c r="I579" s="685"/>
      <c r="J579" s="685"/>
      <c r="K579" s="685"/>
      <c r="L579" s="685"/>
      <c r="M579" s="685"/>
      <c r="N579" s="685"/>
      <c r="O579" s="686"/>
      <c r="P579" s="682" t="s">
        <v>40</v>
      </c>
      <c r="Q579" s="683"/>
      <c r="R579" s="683"/>
      <c r="S579" s="683"/>
      <c r="T579" s="683"/>
      <c r="U579" s="683"/>
      <c r="V579" s="684"/>
      <c r="W579" s="42" t="s">
        <v>0</v>
      </c>
      <c r="X579" s="43">
        <f>IFERROR(SUM(X577:X577),"0")</f>
        <v>0</v>
      </c>
      <c r="Y579" s="43">
        <f>IFERROR(SUM(Y577:Y577),"0")</f>
        <v>0</v>
      </c>
      <c r="Z579" s="42"/>
      <c r="AA579" s="67"/>
      <c r="AB579" s="67"/>
      <c r="AC579" s="67"/>
    </row>
    <row r="580" spans="1:68" ht="14.25" customHeight="1" x14ac:dyDescent="0.25">
      <c r="A580" s="677" t="s">
        <v>149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"/>
      <c r="AB580" s="66"/>
      <c r="AC580" s="80"/>
    </row>
    <row r="581" spans="1:68" ht="27" customHeight="1" x14ac:dyDescent="0.25">
      <c r="A581" s="63" t="s">
        <v>942</v>
      </c>
      <c r="B581" s="63" t="s">
        <v>943</v>
      </c>
      <c r="C581" s="36">
        <v>4301020314</v>
      </c>
      <c r="D581" s="678">
        <v>4640242180090</v>
      </c>
      <c r="E581" s="678"/>
      <c r="F581" s="62">
        <v>1.5</v>
      </c>
      <c r="G581" s="37">
        <v>8</v>
      </c>
      <c r="H581" s="62">
        <v>12</v>
      </c>
      <c r="I581" s="62">
        <v>12.435</v>
      </c>
      <c r="J581" s="37">
        <v>64</v>
      </c>
      <c r="K581" s="37" t="s">
        <v>114</v>
      </c>
      <c r="L581" s="37" t="s">
        <v>45</v>
      </c>
      <c r="M581" s="38" t="s">
        <v>113</v>
      </c>
      <c r="N581" s="38"/>
      <c r="O581" s="37">
        <v>50</v>
      </c>
      <c r="P581" s="693" t="s">
        <v>944</v>
      </c>
      <c r="Q581" s="680"/>
      <c r="R581" s="680"/>
      <c r="S581" s="680"/>
      <c r="T581" s="681"/>
      <c r="U581" s="39" t="s">
        <v>45</v>
      </c>
      <c r="V581" s="39" t="s">
        <v>45</v>
      </c>
      <c r="W581" s="40" t="s">
        <v>0</v>
      </c>
      <c r="X581" s="58">
        <v>0</v>
      </c>
      <c r="Y581" s="55">
        <f>IFERROR(IF(X581="",0,CEILING((X581/$H581),1)*$H581),"")</f>
        <v>0</v>
      </c>
      <c r="Z581" s="41" t="str">
        <f>IFERROR(IF(Y581=0,"",ROUNDUP(Y581/H581,0)*0.01898),"")</f>
        <v/>
      </c>
      <c r="AA581" s="68" t="s">
        <v>45</v>
      </c>
      <c r="AB581" s="69" t="s">
        <v>45</v>
      </c>
      <c r="AC581" s="668" t="s">
        <v>945</v>
      </c>
      <c r="AG581" s="78"/>
      <c r="AJ581" s="84" t="s">
        <v>45</v>
      </c>
      <c r="AK581" s="84">
        <v>0</v>
      </c>
      <c r="BB581" s="669" t="s">
        <v>66</v>
      </c>
      <c r="BM581" s="78">
        <f>IFERROR(X581*I581/H581,"0")</f>
        <v>0</v>
      </c>
      <c r="BN581" s="78">
        <f>IFERROR(Y581*I581/H581,"0")</f>
        <v>0</v>
      </c>
      <c r="BO581" s="78">
        <f>IFERROR(1/J581*(X581/H581),"0")</f>
        <v>0</v>
      </c>
      <c r="BP581" s="78">
        <f>IFERROR(1/J581*(Y581/H581),"0")</f>
        <v>0</v>
      </c>
    </row>
    <row r="582" spans="1:68" x14ac:dyDescent="0.2">
      <c r="A582" s="685"/>
      <c r="B582" s="685"/>
      <c r="C582" s="685"/>
      <c r="D582" s="685"/>
      <c r="E582" s="685"/>
      <c r="F582" s="685"/>
      <c r="G582" s="685"/>
      <c r="H582" s="685"/>
      <c r="I582" s="685"/>
      <c r="J582" s="685"/>
      <c r="K582" s="685"/>
      <c r="L582" s="685"/>
      <c r="M582" s="685"/>
      <c r="N582" s="685"/>
      <c r="O582" s="686"/>
      <c r="P582" s="682" t="s">
        <v>40</v>
      </c>
      <c r="Q582" s="683"/>
      <c r="R582" s="683"/>
      <c r="S582" s="683"/>
      <c r="T582" s="683"/>
      <c r="U582" s="683"/>
      <c r="V582" s="684"/>
      <c r="W582" s="42" t="s">
        <v>39</v>
      </c>
      <c r="X582" s="43">
        <f>IFERROR(X581/H581,"0")</f>
        <v>0</v>
      </c>
      <c r="Y582" s="43">
        <f>IFERROR(Y581/H581,"0")</f>
        <v>0</v>
      </c>
      <c r="Z582" s="43">
        <f>IFERROR(IF(Z581="",0,Z581),"0")</f>
        <v>0</v>
      </c>
      <c r="AA582" s="67"/>
      <c r="AB582" s="67"/>
      <c r="AC582" s="67"/>
    </row>
    <row r="583" spans="1:68" x14ac:dyDescent="0.2">
      <c r="A583" s="685"/>
      <c r="B583" s="685"/>
      <c r="C583" s="685"/>
      <c r="D583" s="685"/>
      <c r="E583" s="685"/>
      <c r="F583" s="685"/>
      <c r="G583" s="685"/>
      <c r="H583" s="685"/>
      <c r="I583" s="685"/>
      <c r="J583" s="685"/>
      <c r="K583" s="685"/>
      <c r="L583" s="685"/>
      <c r="M583" s="685"/>
      <c r="N583" s="685"/>
      <c r="O583" s="686"/>
      <c r="P583" s="682" t="s">
        <v>40</v>
      </c>
      <c r="Q583" s="683"/>
      <c r="R583" s="683"/>
      <c r="S583" s="683"/>
      <c r="T583" s="683"/>
      <c r="U583" s="683"/>
      <c r="V583" s="684"/>
      <c r="W583" s="42" t="s">
        <v>0</v>
      </c>
      <c r="X583" s="43">
        <f>IFERROR(SUM(X581:X581),"0")</f>
        <v>0</v>
      </c>
      <c r="Y583" s="43">
        <f>IFERROR(SUM(Y581:Y581),"0")</f>
        <v>0</v>
      </c>
      <c r="Z583" s="42"/>
      <c r="AA583" s="67"/>
      <c r="AB583" s="67"/>
      <c r="AC583" s="67"/>
    </row>
    <row r="584" spans="1:68" ht="14.25" customHeight="1" x14ac:dyDescent="0.25">
      <c r="A584" s="677" t="s">
        <v>160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"/>
      <c r="AB584" s="66"/>
      <c r="AC584" s="80"/>
    </row>
    <row r="585" spans="1:68" ht="27" customHeight="1" x14ac:dyDescent="0.25">
      <c r="A585" s="63" t="s">
        <v>946</v>
      </c>
      <c r="B585" s="63" t="s">
        <v>947</v>
      </c>
      <c r="C585" s="36">
        <v>4301031321</v>
      </c>
      <c r="D585" s="678">
        <v>4640242180076</v>
      </c>
      <c r="E585" s="678"/>
      <c r="F585" s="62">
        <v>0.7</v>
      </c>
      <c r="G585" s="37">
        <v>6</v>
      </c>
      <c r="H585" s="62">
        <v>4.2</v>
      </c>
      <c r="I585" s="62">
        <v>4.41</v>
      </c>
      <c r="J585" s="37">
        <v>132</v>
      </c>
      <c r="K585" s="37" t="s">
        <v>118</v>
      </c>
      <c r="L585" s="37" t="s">
        <v>45</v>
      </c>
      <c r="M585" s="38" t="s">
        <v>82</v>
      </c>
      <c r="N585" s="38"/>
      <c r="O585" s="37">
        <v>40</v>
      </c>
      <c r="P585" s="694" t="s">
        <v>948</v>
      </c>
      <c r="Q585" s="680"/>
      <c r="R585" s="680"/>
      <c r="S585" s="680"/>
      <c r="T585" s="681"/>
      <c r="U585" s="39" t="s">
        <v>45</v>
      </c>
      <c r="V585" s="39" t="s">
        <v>45</v>
      </c>
      <c r="W585" s="40" t="s">
        <v>0</v>
      </c>
      <c r="X585" s="58">
        <v>0</v>
      </c>
      <c r="Y585" s="55">
        <f>IFERROR(IF(X585="",0,CEILING((X585/$H585),1)*$H585),"")</f>
        <v>0</v>
      </c>
      <c r="Z585" s="41" t="str">
        <f>IFERROR(IF(Y585=0,"",ROUNDUP(Y585/H585,0)*0.00902),"")</f>
        <v/>
      </c>
      <c r="AA585" s="68" t="s">
        <v>45</v>
      </c>
      <c r="AB585" s="69" t="s">
        <v>45</v>
      </c>
      <c r="AC585" s="670" t="s">
        <v>949</v>
      </c>
      <c r="AG585" s="78"/>
      <c r="AJ585" s="84" t="s">
        <v>45</v>
      </c>
      <c r="AK585" s="84">
        <v>0</v>
      </c>
      <c r="BB585" s="671" t="s">
        <v>66</v>
      </c>
      <c r="BM585" s="78">
        <f>IFERROR(X585*I585/H585,"0")</f>
        <v>0</v>
      </c>
      <c r="BN585" s="78">
        <f>IFERROR(Y585*I585/H585,"0")</f>
        <v>0</v>
      </c>
      <c r="BO585" s="78">
        <f>IFERROR(1/J585*(X585/H585),"0")</f>
        <v>0</v>
      </c>
      <c r="BP585" s="78">
        <f>IFERROR(1/J585*(Y585/H585),"0")</f>
        <v>0</v>
      </c>
    </row>
    <row r="586" spans="1:68" x14ac:dyDescent="0.2">
      <c r="A586" s="685"/>
      <c r="B586" s="685"/>
      <c r="C586" s="685"/>
      <c r="D586" s="685"/>
      <c r="E586" s="685"/>
      <c r="F586" s="685"/>
      <c r="G586" s="685"/>
      <c r="H586" s="685"/>
      <c r="I586" s="685"/>
      <c r="J586" s="685"/>
      <c r="K586" s="685"/>
      <c r="L586" s="685"/>
      <c r="M586" s="685"/>
      <c r="N586" s="685"/>
      <c r="O586" s="686"/>
      <c r="P586" s="682" t="s">
        <v>40</v>
      </c>
      <c r="Q586" s="683"/>
      <c r="R586" s="683"/>
      <c r="S586" s="683"/>
      <c r="T586" s="683"/>
      <c r="U586" s="683"/>
      <c r="V586" s="684"/>
      <c r="W586" s="42" t="s">
        <v>39</v>
      </c>
      <c r="X586" s="43">
        <f>IFERROR(X585/H585,"0")</f>
        <v>0</v>
      </c>
      <c r="Y586" s="43">
        <f>IFERROR(Y585/H585,"0")</f>
        <v>0</v>
      </c>
      <c r="Z586" s="43">
        <f>IFERROR(IF(Z585="",0,Z585),"0")</f>
        <v>0</v>
      </c>
      <c r="AA586" s="67"/>
      <c r="AB586" s="67"/>
      <c r="AC586" s="67"/>
    </row>
    <row r="587" spans="1:68" x14ac:dyDescent="0.2">
      <c r="A587" s="685"/>
      <c r="B587" s="685"/>
      <c r="C587" s="685"/>
      <c r="D587" s="685"/>
      <c r="E587" s="685"/>
      <c r="F587" s="685"/>
      <c r="G587" s="685"/>
      <c r="H587" s="685"/>
      <c r="I587" s="685"/>
      <c r="J587" s="685"/>
      <c r="K587" s="685"/>
      <c r="L587" s="685"/>
      <c r="M587" s="685"/>
      <c r="N587" s="685"/>
      <c r="O587" s="686"/>
      <c r="P587" s="682" t="s">
        <v>40</v>
      </c>
      <c r="Q587" s="683"/>
      <c r="R587" s="683"/>
      <c r="S587" s="683"/>
      <c r="T587" s="683"/>
      <c r="U587" s="683"/>
      <c r="V587" s="684"/>
      <c r="W587" s="42" t="s">
        <v>0</v>
      </c>
      <c r="X587" s="43">
        <f>IFERROR(SUM(X585:X585),"0")</f>
        <v>0</v>
      </c>
      <c r="Y587" s="43">
        <f>IFERROR(SUM(Y585:Y585),"0")</f>
        <v>0</v>
      </c>
      <c r="Z587" s="42"/>
      <c r="AA587" s="67"/>
      <c r="AB587" s="67"/>
      <c r="AC587" s="67"/>
    </row>
    <row r="588" spans="1:68" ht="14.25" customHeight="1" x14ac:dyDescent="0.25">
      <c r="A588" s="677" t="s">
        <v>78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"/>
      <c r="AB588" s="66"/>
      <c r="AC588" s="80"/>
    </row>
    <row r="589" spans="1:68" ht="27" customHeight="1" x14ac:dyDescent="0.25">
      <c r="A589" s="63" t="s">
        <v>950</v>
      </c>
      <c r="B589" s="63" t="s">
        <v>951</v>
      </c>
      <c r="C589" s="36">
        <v>4301051914</v>
      </c>
      <c r="D589" s="678">
        <v>4640242180113</v>
      </c>
      <c r="E589" s="678"/>
      <c r="F589" s="62">
        <v>1.5</v>
      </c>
      <c r="G589" s="37">
        <v>6</v>
      </c>
      <c r="H589" s="62">
        <v>9</v>
      </c>
      <c r="I589" s="62">
        <v>9.4350000000000005</v>
      </c>
      <c r="J589" s="37">
        <v>64</v>
      </c>
      <c r="K589" s="37" t="s">
        <v>114</v>
      </c>
      <c r="L589" s="37" t="s">
        <v>45</v>
      </c>
      <c r="M589" s="38" t="s">
        <v>146</v>
      </c>
      <c r="N589" s="38"/>
      <c r="O589" s="37">
        <v>45</v>
      </c>
      <c r="P589" s="679" t="s">
        <v>952</v>
      </c>
      <c r="Q589" s="680"/>
      <c r="R589" s="680"/>
      <c r="S589" s="680"/>
      <c r="T589" s="681"/>
      <c r="U589" s="39" t="s">
        <v>45</v>
      </c>
      <c r="V589" s="39" t="s">
        <v>45</v>
      </c>
      <c r="W589" s="40" t="s">
        <v>0</v>
      </c>
      <c r="X589" s="58">
        <v>0</v>
      </c>
      <c r="Y589" s="55">
        <f>IFERROR(IF(X589="",0,CEILING((X589/$H589),1)*$H589),"")</f>
        <v>0</v>
      </c>
      <c r="Z589" s="41" t="str">
        <f>IFERROR(IF(Y589=0,"",ROUNDUP(Y589/H589,0)*0.01898),"")</f>
        <v/>
      </c>
      <c r="AA589" s="68" t="s">
        <v>45</v>
      </c>
      <c r="AB589" s="69" t="s">
        <v>45</v>
      </c>
      <c r="AC589" s="672" t="s">
        <v>953</v>
      </c>
      <c r="AG589" s="78"/>
      <c r="AJ589" s="84" t="s">
        <v>45</v>
      </c>
      <c r="AK589" s="84">
        <v>0</v>
      </c>
      <c r="BB589" s="673" t="s">
        <v>66</v>
      </c>
      <c r="BM589" s="78">
        <f>IFERROR(X589*I589/H589,"0")</f>
        <v>0</v>
      </c>
      <c r="BN589" s="78">
        <f>IFERROR(Y589*I589/H589,"0")</f>
        <v>0</v>
      </c>
      <c r="BO589" s="78">
        <f>IFERROR(1/J589*(X589/H589),"0")</f>
        <v>0</v>
      </c>
      <c r="BP589" s="78">
        <f>IFERROR(1/J589*(Y589/H589),"0")</f>
        <v>0</v>
      </c>
    </row>
    <row r="590" spans="1:68" x14ac:dyDescent="0.2">
      <c r="A590" s="685"/>
      <c r="B590" s="685"/>
      <c r="C590" s="685"/>
      <c r="D590" s="685"/>
      <c r="E590" s="685"/>
      <c r="F590" s="685"/>
      <c r="G590" s="685"/>
      <c r="H590" s="685"/>
      <c r="I590" s="685"/>
      <c r="J590" s="685"/>
      <c r="K590" s="685"/>
      <c r="L590" s="685"/>
      <c r="M590" s="685"/>
      <c r="N590" s="685"/>
      <c r="O590" s="686"/>
      <c r="P590" s="682" t="s">
        <v>40</v>
      </c>
      <c r="Q590" s="683"/>
      <c r="R590" s="683"/>
      <c r="S590" s="683"/>
      <c r="T590" s="683"/>
      <c r="U590" s="683"/>
      <c r="V590" s="684"/>
      <c r="W590" s="42" t="s">
        <v>39</v>
      </c>
      <c r="X590" s="43">
        <f>IFERROR(X589/H589,"0")</f>
        <v>0</v>
      </c>
      <c r="Y590" s="43">
        <f>IFERROR(Y589/H589,"0")</f>
        <v>0</v>
      </c>
      <c r="Z590" s="43">
        <f>IFERROR(IF(Z589="",0,Z589),"0")</f>
        <v>0</v>
      </c>
      <c r="AA590" s="67"/>
      <c r="AB590" s="67"/>
      <c r="AC590" s="67"/>
    </row>
    <row r="591" spans="1:68" x14ac:dyDescent="0.2">
      <c r="A591" s="685"/>
      <c r="B591" s="685"/>
      <c r="C591" s="685"/>
      <c r="D591" s="685"/>
      <c r="E591" s="685"/>
      <c r="F591" s="685"/>
      <c r="G591" s="685"/>
      <c r="H591" s="685"/>
      <c r="I591" s="685"/>
      <c r="J591" s="685"/>
      <c r="K591" s="685"/>
      <c r="L591" s="685"/>
      <c r="M591" s="685"/>
      <c r="N591" s="685"/>
      <c r="O591" s="686"/>
      <c r="P591" s="682" t="s">
        <v>40</v>
      </c>
      <c r="Q591" s="683"/>
      <c r="R591" s="683"/>
      <c r="S591" s="683"/>
      <c r="T591" s="683"/>
      <c r="U591" s="683"/>
      <c r="V591" s="684"/>
      <c r="W591" s="42" t="s">
        <v>0</v>
      </c>
      <c r="X591" s="43">
        <f>IFERROR(SUM(X589:X589),"0")</f>
        <v>0</v>
      </c>
      <c r="Y591" s="43">
        <f>IFERROR(SUM(Y589:Y589),"0")</f>
        <v>0</v>
      </c>
      <c r="Z591" s="42"/>
      <c r="AA591" s="67"/>
      <c r="AB591" s="67"/>
      <c r="AC591" s="67"/>
    </row>
    <row r="592" spans="1:68" ht="15" customHeight="1" x14ac:dyDescent="0.2">
      <c r="A592" s="685"/>
      <c r="B592" s="685"/>
      <c r="C592" s="685"/>
      <c r="D592" s="685"/>
      <c r="E592" s="685"/>
      <c r="F592" s="685"/>
      <c r="G592" s="685"/>
      <c r="H592" s="685"/>
      <c r="I592" s="685"/>
      <c r="J592" s="685"/>
      <c r="K592" s="685"/>
      <c r="L592" s="685"/>
      <c r="M592" s="685"/>
      <c r="N592" s="685"/>
      <c r="O592" s="690"/>
      <c r="P592" s="687" t="s">
        <v>33</v>
      </c>
      <c r="Q592" s="688"/>
      <c r="R592" s="688"/>
      <c r="S592" s="688"/>
      <c r="T592" s="688"/>
      <c r="U592" s="688"/>
      <c r="V592" s="689"/>
      <c r="W592" s="42" t="s">
        <v>0</v>
      </c>
      <c r="X592" s="43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1780</v>
      </c>
      <c r="Y592" s="43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1786.2</v>
      </c>
      <c r="Z592" s="42"/>
      <c r="AA592" s="67"/>
      <c r="AB592" s="67"/>
      <c r="AC592" s="67"/>
    </row>
    <row r="593" spans="1:32" x14ac:dyDescent="0.2">
      <c r="A593" s="685"/>
      <c r="B593" s="685"/>
      <c r="C593" s="685"/>
      <c r="D593" s="685"/>
      <c r="E593" s="685"/>
      <c r="F593" s="685"/>
      <c r="G593" s="685"/>
      <c r="H593" s="685"/>
      <c r="I593" s="685"/>
      <c r="J593" s="685"/>
      <c r="K593" s="685"/>
      <c r="L593" s="685"/>
      <c r="M593" s="685"/>
      <c r="N593" s="685"/>
      <c r="O593" s="690"/>
      <c r="P593" s="687" t="s">
        <v>34</v>
      </c>
      <c r="Q593" s="688"/>
      <c r="R593" s="688"/>
      <c r="S593" s="688"/>
      <c r="T593" s="688"/>
      <c r="U593" s="688"/>
      <c r="V593" s="689"/>
      <c r="W593" s="42" t="s">
        <v>0</v>
      </c>
      <c r="X593" s="43">
        <f>IFERROR(SUM(BM22:BM589),"0")</f>
        <v>1897.0692307692309</v>
      </c>
      <c r="Y593" s="43">
        <f>IFERROR(SUM(BN22:BN589),"0")</f>
        <v>1903.6770000000001</v>
      </c>
      <c r="Z593" s="42"/>
      <c r="AA593" s="67"/>
      <c r="AB593" s="67"/>
      <c r="AC593" s="67"/>
    </row>
    <row r="594" spans="1:32" x14ac:dyDescent="0.2">
      <c r="A594" s="685"/>
      <c r="B594" s="685"/>
      <c r="C594" s="685"/>
      <c r="D594" s="685"/>
      <c r="E594" s="685"/>
      <c r="F594" s="685"/>
      <c r="G594" s="685"/>
      <c r="H594" s="685"/>
      <c r="I594" s="685"/>
      <c r="J594" s="685"/>
      <c r="K594" s="685"/>
      <c r="L594" s="685"/>
      <c r="M594" s="685"/>
      <c r="N594" s="685"/>
      <c r="O594" s="690"/>
      <c r="P594" s="687" t="s">
        <v>35</v>
      </c>
      <c r="Q594" s="688"/>
      <c r="R594" s="688"/>
      <c r="S594" s="688"/>
      <c r="T594" s="688"/>
      <c r="U594" s="688"/>
      <c r="V594" s="689"/>
      <c r="W594" s="42" t="s">
        <v>20</v>
      </c>
      <c r="X594" s="44">
        <f>ROUNDUP(SUM(BO22:BO589),0)</f>
        <v>4</v>
      </c>
      <c r="Y594" s="44">
        <f>ROUNDUP(SUM(BP22:BP589),0)</f>
        <v>4</v>
      </c>
      <c r="Z594" s="42"/>
      <c r="AA594" s="67"/>
      <c r="AB594" s="67"/>
      <c r="AC594" s="67"/>
    </row>
    <row r="595" spans="1:32" x14ac:dyDescent="0.2">
      <c r="A595" s="685"/>
      <c r="B595" s="685"/>
      <c r="C595" s="685"/>
      <c r="D595" s="685"/>
      <c r="E595" s="685"/>
      <c r="F595" s="685"/>
      <c r="G595" s="685"/>
      <c r="H595" s="685"/>
      <c r="I595" s="685"/>
      <c r="J595" s="685"/>
      <c r="K595" s="685"/>
      <c r="L595" s="685"/>
      <c r="M595" s="685"/>
      <c r="N595" s="685"/>
      <c r="O595" s="690"/>
      <c r="P595" s="687" t="s">
        <v>36</v>
      </c>
      <c r="Q595" s="688"/>
      <c r="R595" s="688"/>
      <c r="S595" s="688"/>
      <c r="T595" s="688"/>
      <c r="U595" s="688"/>
      <c r="V595" s="689"/>
      <c r="W595" s="42" t="s">
        <v>0</v>
      </c>
      <c r="X595" s="43">
        <f>GrossWeightTotal+PalletQtyTotal*25</f>
        <v>1997.0692307692309</v>
      </c>
      <c r="Y595" s="43">
        <f>GrossWeightTotalR+PalletQtyTotalR*25</f>
        <v>2003.6770000000001</v>
      </c>
      <c r="Z595" s="42"/>
      <c r="AA595" s="67"/>
      <c r="AB595" s="67"/>
      <c r="AC595" s="67"/>
    </row>
    <row r="596" spans="1:32" x14ac:dyDescent="0.2">
      <c r="A596" s="685"/>
      <c r="B596" s="685"/>
      <c r="C596" s="685"/>
      <c r="D596" s="685"/>
      <c r="E596" s="685"/>
      <c r="F596" s="685"/>
      <c r="G596" s="685"/>
      <c r="H596" s="685"/>
      <c r="I596" s="685"/>
      <c r="J596" s="685"/>
      <c r="K596" s="685"/>
      <c r="L596" s="685"/>
      <c r="M596" s="685"/>
      <c r="N596" s="685"/>
      <c r="O596" s="690"/>
      <c r="P596" s="687" t="s">
        <v>37</v>
      </c>
      <c r="Q596" s="688"/>
      <c r="R596" s="688"/>
      <c r="S596" s="688"/>
      <c r="T596" s="688"/>
      <c r="U596" s="688"/>
      <c r="V596" s="689"/>
      <c r="W596" s="42" t="s">
        <v>20</v>
      </c>
      <c r="X596" s="43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228.2051282051282</v>
      </c>
      <c r="Y596" s="43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229</v>
      </c>
      <c r="Z596" s="42"/>
      <c r="AA596" s="67"/>
      <c r="AB596" s="67"/>
      <c r="AC596" s="67"/>
    </row>
    <row r="597" spans="1:32" ht="14.25" x14ac:dyDescent="0.2">
      <c r="A597" s="685"/>
      <c r="B597" s="685"/>
      <c r="C597" s="685"/>
      <c r="D597" s="685"/>
      <c r="E597" s="685"/>
      <c r="F597" s="685"/>
      <c r="G597" s="685"/>
      <c r="H597" s="685"/>
      <c r="I597" s="685"/>
      <c r="J597" s="685"/>
      <c r="K597" s="685"/>
      <c r="L597" s="685"/>
      <c r="M597" s="685"/>
      <c r="N597" s="685"/>
      <c r="O597" s="690"/>
      <c r="P597" s="687" t="s">
        <v>38</v>
      </c>
      <c r="Q597" s="688"/>
      <c r="R597" s="688"/>
      <c r="S597" s="688"/>
      <c r="T597" s="688"/>
      <c r="U597" s="688"/>
      <c r="V597" s="689"/>
      <c r="W597" s="45" t="s">
        <v>51</v>
      </c>
      <c r="X597" s="42"/>
      <c r="Y597" s="42"/>
      <c r="Z597" s="42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4.3464200000000002</v>
      </c>
      <c r="AA597" s="67"/>
      <c r="AB597" s="67"/>
      <c r="AC597" s="67"/>
    </row>
    <row r="598" spans="1:32" ht="13.5" thickBot="1" x14ac:dyDescent="0.25"/>
    <row r="599" spans="1:32" ht="27" thickTop="1" thickBot="1" x14ac:dyDescent="0.25">
      <c r="A599" s="46" t="s">
        <v>9</v>
      </c>
      <c r="B599" s="85" t="s">
        <v>77</v>
      </c>
      <c r="C599" s="674" t="s">
        <v>107</v>
      </c>
      <c r="D599" s="674" t="s">
        <v>107</v>
      </c>
      <c r="E599" s="674" t="s">
        <v>107</v>
      </c>
      <c r="F599" s="674" t="s">
        <v>107</v>
      </c>
      <c r="G599" s="674" t="s">
        <v>107</v>
      </c>
      <c r="H599" s="674" t="s">
        <v>107</v>
      </c>
      <c r="I599" s="674" t="s">
        <v>299</v>
      </c>
      <c r="J599" s="674" t="s">
        <v>299</v>
      </c>
      <c r="K599" s="674" t="s">
        <v>299</v>
      </c>
      <c r="L599" s="674" t="s">
        <v>299</v>
      </c>
      <c r="M599" s="674" t="s">
        <v>299</v>
      </c>
      <c r="N599" s="691"/>
      <c r="O599" s="674" t="s">
        <v>299</v>
      </c>
      <c r="P599" s="674" t="s">
        <v>299</v>
      </c>
      <c r="Q599" s="674" t="s">
        <v>299</v>
      </c>
      <c r="R599" s="674" t="s">
        <v>299</v>
      </c>
      <c r="S599" s="674" t="s">
        <v>299</v>
      </c>
      <c r="T599" s="674" t="s">
        <v>299</v>
      </c>
      <c r="U599" s="674" t="s">
        <v>299</v>
      </c>
      <c r="V599" s="674" t="s">
        <v>299</v>
      </c>
      <c r="W599" s="674" t="s">
        <v>589</v>
      </c>
      <c r="X599" s="674" t="s">
        <v>589</v>
      </c>
      <c r="Y599" s="674" t="s">
        <v>667</v>
      </c>
      <c r="Z599" s="674" t="s">
        <v>667</v>
      </c>
      <c r="AA599" s="674" t="s">
        <v>667</v>
      </c>
      <c r="AB599" s="674" t="s">
        <v>667</v>
      </c>
      <c r="AC599" s="85" t="s">
        <v>742</v>
      </c>
      <c r="AD599" s="674" t="s">
        <v>844</v>
      </c>
      <c r="AE599" s="674" t="s">
        <v>844</v>
      </c>
      <c r="AF599" s="1"/>
    </row>
    <row r="600" spans="1:32" ht="14.25" customHeight="1" thickTop="1" x14ac:dyDescent="0.2">
      <c r="A600" s="675" t="s">
        <v>10</v>
      </c>
      <c r="B600" s="674" t="s">
        <v>77</v>
      </c>
      <c r="C600" s="674" t="s">
        <v>108</v>
      </c>
      <c r="D600" s="674" t="s">
        <v>129</v>
      </c>
      <c r="E600" s="674" t="s">
        <v>194</v>
      </c>
      <c r="F600" s="674" t="s">
        <v>225</v>
      </c>
      <c r="G600" s="674" t="s">
        <v>270</v>
      </c>
      <c r="H600" s="674" t="s">
        <v>107</v>
      </c>
      <c r="I600" s="674" t="s">
        <v>300</v>
      </c>
      <c r="J600" s="674" t="s">
        <v>334</v>
      </c>
      <c r="K600" s="674" t="s">
        <v>395</v>
      </c>
      <c r="L600" s="674" t="s">
        <v>430</v>
      </c>
      <c r="M600" s="674" t="s">
        <v>448</v>
      </c>
      <c r="N600" s="1"/>
      <c r="O600" s="674" t="s">
        <v>452</v>
      </c>
      <c r="P600" s="674" t="s">
        <v>461</v>
      </c>
      <c r="Q600" s="674" t="s">
        <v>475</v>
      </c>
      <c r="R600" s="674" t="s">
        <v>485</v>
      </c>
      <c r="S600" s="674" t="s">
        <v>489</v>
      </c>
      <c r="T600" s="674" t="s">
        <v>497</v>
      </c>
      <c r="U600" s="674" t="s">
        <v>502</v>
      </c>
      <c r="V600" s="674" t="s">
        <v>576</v>
      </c>
      <c r="W600" s="674" t="s">
        <v>590</v>
      </c>
      <c r="X600" s="674" t="s">
        <v>631</v>
      </c>
      <c r="Y600" s="674" t="s">
        <v>668</v>
      </c>
      <c r="Z600" s="674" t="s">
        <v>707</v>
      </c>
      <c r="AA600" s="674" t="s">
        <v>727</v>
      </c>
      <c r="AB600" s="674" t="s">
        <v>735</v>
      </c>
      <c r="AC600" s="674" t="s">
        <v>742</v>
      </c>
      <c r="AD600" s="674" t="s">
        <v>844</v>
      </c>
      <c r="AE600" s="674" t="s">
        <v>937</v>
      </c>
      <c r="AF600" s="1"/>
    </row>
    <row r="601" spans="1:32" ht="13.5" thickBot="1" x14ac:dyDescent="0.25">
      <c r="A601" s="676"/>
      <c r="B601" s="674"/>
      <c r="C601" s="674"/>
      <c r="D601" s="674"/>
      <c r="E601" s="674"/>
      <c r="F601" s="674"/>
      <c r="G601" s="674"/>
      <c r="H601" s="674"/>
      <c r="I601" s="674"/>
      <c r="J601" s="674"/>
      <c r="K601" s="674"/>
      <c r="L601" s="674"/>
      <c r="M601" s="674"/>
      <c r="N601" s="1"/>
      <c r="O601" s="674"/>
      <c r="P601" s="674"/>
      <c r="Q601" s="674"/>
      <c r="R601" s="674"/>
      <c r="S601" s="674"/>
      <c r="T601" s="674"/>
      <c r="U601" s="674"/>
      <c r="V601" s="674"/>
      <c r="W601" s="674"/>
      <c r="X601" s="674"/>
      <c r="Y601" s="674"/>
      <c r="Z601" s="674"/>
      <c r="AA601" s="674"/>
      <c r="AB601" s="674"/>
      <c r="AC601" s="674"/>
      <c r="AD601" s="674"/>
      <c r="AE601" s="674"/>
      <c r="AF601" s="1"/>
    </row>
    <row r="602" spans="1:32" ht="18" thickTop="1" thickBot="1" x14ac:dyDescent="0.25">
      <c r="A602" s="46" t="s">
        <v>13</v>
      </c>
      <c r="B602" s="52">
        <f>IFERROR(Y22*1,"0")+IFERROR(Y23*1,"0")+IFERROR(Y24*1,"0")+IFERROR(Y25*1,"0")+IFERROR(Y26*1,"0")+IFERROR(Y27*1,"0")+IFERROR(Y31*1,"0")</f>
        <v>0</v>
      </c>
      <c r="C602" s="52">
        <f>IFERROR(Y37*1,"0")+IFERROR(Y38*1,"0")+IFERROR(Y39*1,"0")+IFERROR(Y40*1,"0")+IFERROR(Y44*1,"0")</f>
        <v>0</v>
      </c>
      <c r="D602" s="52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52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52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2">
        <f>IFERROR(Y137*1,"0")+IFERROR(Y138*1,"0")+IFERROR(Y142*1,"0")+IFERROR(Y143*1,"0")+IFERROR(Y147*1,"0")+IFERROR(Y148*1,"0")</f>
        <v>0</v>
      </c>
      <c r="H602" s="52">
        <f>IFERROR(Y153*1,"0")+IFERROR(Y157*1,"0")+IFERROR(Y158*1,"0")+IFERROR(Y159*1,"0")+IFERROR(Y160*1,"0")+IFERROR(Y164*1,"0")</f>
        <v>0</v>
      </c>
      <c r="I602" s="52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52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2">
        <f>IFERROR(Y255*1,"0")+IFERROR(Y256*1,"0")+IFERROR(Y257*1,"0")+IFERROR(Y258*1,"0")+IFERROR(Y259*1,"0")+IFERROR(Y260*1,"0")</f>
        <v>0</v>
      </c>
      <c r="M602" s="52">
        <f>IFERROR(Y265*1,"0")</f>
        <v>0</v>
      </c>
      <c r="N602" s="1"/>
      <c r="O602" s="52">
        <f>IFERROR(Y270*1,"0")+IFERROR(Y271*1,"0")+IFERROR(Y272*1,"0")</f>
        <v>0</v>
      </c>
      <c r="P602" s="52">
        <f>IFERROR(Y277*1,"0")+IFERROR(Y278*1,"0")+IFERROR(Y279*1,"0")+IFERROR(Y280*1,"0")+IFERROR(Y281*1,"0")</f>
        <v>0</v>
      </c>
      <c r="Q602" s="52">
        <f>IFERROR(Y286*1,"0")+IFERROR(Y290*1,"0")+IFERROR(Y294*1,"0")</f>
        <v>0</v>
      </c>
      <c r="R602" s="52">
        <f>IFERROR(Y299*1,"0")</f>
        <v>0</v>
      </c>
      <c r="S602" s="52">
        <f>IFERROR(Y304*1,"0")+IFERROR(Y308*1,"0")+IFERROR(Y309*1,"0")</f>
        <v>0</v>
      </c>
      <c r="T602" s="52">
        <f>IFERROR(Y314*1,"0")</f>
        <v>0</v>
      </c>
      <c r="U602" s="52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1786.2</v>
      </c>
      <c r="V602" s="52">
        <f>IFERROR(Y363*1,"0")+IFERROR(Y367*1,"0")+IFERROR(Y368*1,"0")+IFERROR(Y369*1,"0")</f>
        <v>0</v>
      </c>
      <c r="W602" s="52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52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52">
        <f>IFERROR(Y451*1,"0")+IFERROR(Y452*1,"0")+IFERROR(Y456*1,"0")+IFERROR(Y457*1,"0")+IFERROR(Y458*1,"0")+IFERROR(Y459*1,"0")</f>
        <v>0</v>
      </c>
      <c r="AA602" s="52">
        <f>IFERROR(Y464*1,"0")+IFERROR(Y465*1,"0")</f>
        <v>0</v>
      </c>
      <c r="AB602" s="52">
        <f>IFERROR(Y470*1,"0")+IFERROR(Y474*1,"0")</f>
        <v>0</v>
      </c>
      <c r="AC602" s="52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52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52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3" t="s">
        <v>955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956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957</v>
      </c>
      <c r="D6" s="53" t="s">
        <v>958</v>
      </c>
      <c r="E6" s="53" t="s">
        <v>45</v>
      </c>
    </row>
    <row r="8" spans="2:8" x14ac:dyDescent="0.2">
      <c r="B8" s="53" t="s">
        <v>76</v>
      </c>
      <c r="C8" s="53" t="s">
        <v>957</v>
      </c>
      <c r="D8" s="53" t="s">
        <v>45</v>
      </c>
      <c r="E8" s="53" t="s">
        <v>45</v>
      </c>
    </row>
    <row r="10" spans="2:8" x14ac:dyDescent="0.2">
      <c r="B10" s="53" t="s">
        <v>959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960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961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962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963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964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965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966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967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968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969</v>
      </c>
      <c r="C20" s="53" t="s">
        <v>45</v>
      </c>
      <c r="D20" s="53" t="s">
        <v>45</v>
      </c>
      <c r="E20" s="53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