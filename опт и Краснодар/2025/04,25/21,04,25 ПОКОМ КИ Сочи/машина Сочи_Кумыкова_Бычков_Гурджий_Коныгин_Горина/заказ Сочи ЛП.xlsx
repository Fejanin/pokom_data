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E77D7881-2348-47F9-B7E2-57FBC0C4B16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3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Y365" i="1"/>
  <c r="X365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0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U602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D7" i="1"/>
  <c r="Q6" i="1"/>
  <c r="P2" i="1"/>
  <c r="F10" i="1" l="1"/>
  <c r="J9" i="1"/>
  <c r="H9" i="1"/>
  <c r="F9" i="1"/>
  <c r="A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602" i="1"/>
  <c r="X593" i="1"/>
  <c r="X594" i="1"/>
  <c r="Z23" i="1"/>
  <c r="Z28" i="1" s="1"/>
  <c r="BN23" i="1"/>
  <c r="Y593" i="1" s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594" i="1" s="1"/>
  <c r="Z37" i="1"/>
  <c r="Z41" i="1" s="1"/>
  <c r="BN37" i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1" i="1"/>
  <c r="Z128" i="1" s="1"/>
  <c r="BN121" i="1"/>
  <c r="Z124" i="1"/>
  <c r="BN124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2" i="1"/>
  <c r="Y172" i="1"/>
  <c r="Z175" i="1"/>
  <c r="Z183" i="1" s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Z261" i="1" s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Z282" i="1" s="1"/>
  <c r="BN278" i="1"/>
  <c r="Z280" i="1"/>
  <c r="BN280" i="1"/>
  <c r="Y283" i="1"/>
  <c r="Y288" i="1"/>
  <c r="Y301" i="1"/>
  <c r="S602" i="1"/>
  <c r="Y306" i="1"/>
  <c r="Z309" i="1"/>
  <c r="Z310" i="1" s="1"/>
  <c r="BN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Z332" i="1" s="1"/>
  <c r="BN329" i="1"/>
  <c r="Z331" i="1"/>
  <c r="BN331" i="1"/>
  <c r="Z335" i="1"/>
  <c r="BN335" i="1"/>
  <c r="BP335" i="1"/>
  <c r="Z337" i="1"/>
  <c r="BN337" i="1"/>
  <c r="Z339" i="1"/>
  <c r="BN339" i="1"/>
  <c r="Z343" i="1"/>
  <c r="Z346" i="1" s="1"/>
  <c r="BN343" i="1"/>
  <c r="BP343" i="1"/>
  <c r="Z345" i="1"/>
  <c r="BN345" i="1"/>
  <c r="Z351" i="1"/>
  <c r="Z353" i="1" s="1"/>
  <c r="BN351" i="1"/>
  <c r="Z357" i="1"/>
  <c r="Z359" i="1" s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Z602" i="1"/>
  <c r="BP458" i="1"/>
  <c r="BN458" i="1"/>
  <c r="Z458" i="1"/>
  <c r="Z460" i="1" s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AB602" i="1"/>
  <c r="Y453" i="1"/>
  <c r="Y467" i="1"/>
  <c r="AC602" i="1"/>
  <c r="Z481" i="1"/>
  <c r="Z496" i="1" s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Z503" i="1" s="1"/>
  <c r="BN499" i="1"/>
  <c r="BP499" i="1"/>
  <c r="Z500" i="1"/>
  <c r="BN500" i="1"/>
  <c r="Z501" i="1"/>
  <c r="BN501" i="1"/>
  <c r="Z502" i="1"/>
  <c r="BN502" i="1"/>
  <c r="Y518" i="1"/>
  <c r="Z511" i="1"/>
  <c r="Z518" i="1" s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95" i="1" l="1"/>
  <c r="Z385" i="1"/>
  <c r="Z340" i="1"/>
  <c r="Z325" i="1"/>
  <c r="Z221" i="1"/>
  <c r="Z161" i="1"/>
  <c r="Z110" i="1"/>
  <c r="Z83" i="1"/>
  <c r="Z597" i="1" s="1"/>
  <c r="Y596" i="1"/>
  <c r="X595" i="1"/>
  <c r="Z566" i="1"/>
  <c r="Z548" i="1"/>
  <c r="Z524" i="1"/>
  <c r="Z442" i="1"/>
  <c r="Z408" i="1"/>
  <c r="Z370" i="1"/>
  <c r="Y592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<sst xmlns="http://schemas.openxmlformats.org/spreadsheetml/2006/main" count="2737" uniqueCount="969">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</sst>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5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70</v>
      </c>
      <c r="Y38" s="666">
        <f>IFERROR(IF(X38="",0,CEILING((X38/$H38),1)*$H38),"")</f>
        <v>72</v>
      </c>
      <c r="Z38" s="36">
        <f>IFERROR(IF(Y38=0,"",ROUNDUP(Y38/H38,0)*0.00902),"")</f>
        <v>0.16236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73.674999999999997</v>
      </c>
      <c r="BN38" s="64">
        <f>IFERROR(Y38*I38/H38,"0")</f>
        <v>75.78</v>
      </c>
      <c r="BO38" s="64">
        <f>IFERROR(1/J38*(X38/H38),"0")</f>
        <v>0.13257575757575757</v>
      </c>
      <c r="BP38" s="64">
        <f>IFERROR(1/J38*(Y38/H38),"0")</f>
        <v>0.13636363636363635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17.5</v>
      </c>
      <c r="Y41" s="667">
        <f>IFERROR(Y37/H37,"0")+IFERROR(Y38/H38,"0")+IFERROR(Y39/H39,"0")+IFERROR(Y40/H40,"0")</f>
        <v>18</v>
      </c>
      <c r="Z41" s="667">
        <f>IFERROR(IF(Z37="",0,Z37),"0")+IFERROR(IF(Z38="",0,Z38),"0")+IFERROR(IF(Z39="",0,Z39),"0")+IFERROR(IF(Z40="",0,Z40),"0")</f>
        <v>0.16236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70</v>
      </c>
      <c r="Y42" s="667">
        <f>IFERROR(SUM(Y37:Y40),"0")</f>
        <v>72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90</v>
      </c>
      <c r="Y54" s="666">
        <f t="shared" si="6"/>
        <v>90</v>
      </c>
      <c r="Z54" s="36">
        <f>IFERROR(IF(Y54=0,"",ROUNDUP(Y54/H54,0)*0.00902),"")</f>
        <v>0.1804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94.199999999999989</v>
      </c>
      <c r="BN54" s="64">
        <f t="shared" si="8"/>
        <v>94.199999999999989</v>
      </c>
      <c r="BO54" s="64">
        <f t="shared" si="9"/>
        <v>0.15151515151515152</v>
      </c>
      <c r="BP54" s="64">
        <f t="shared" si="10"/>
        <v>0.15151515151515152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20</v>
      </c>
      <c r="Y55" s="667">
        <f>IFERROR(Y49/H49,"0")+IFERROR(Y50/H50,"0")+IFERROR(Y51/H51,"0")+IFERROR(Y52/H52,"0")+IFERROR(Y53/H53,"0")+IFERROR(Y54/H54,"0")</f>
        <v>20</v>
      </c>
      <c r="Z55" s="667">
        <f>IFERROR(IF(Z49="",0,Z49),"0")+IFERROR(IF(Z50="",0,Z50),"0")+IFERROR(IF(Z51="",0,Z51),"0")+IFERROR(IF(Z52="",0,Z52),"0")+IFERROR(IF(Z53="",0,Z53),"0")+IFERROR(IF(Z54="",0,Z54),"0")</f>
        <v>0.1804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90</v>
      </c>
      <c r="Y56" s="667">
        <f>IFERROR(SUM(Y49:Y54),"0")</f>
        <v>90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130</v>
      </c>
      <c r="Y58" s="666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135.23611111111109</v>
      </c>
      <c r="BN58" s="64">
        <f>IFERROR(Y58*I58/H58,"0")</f>
        <v>146.05499999999998</v>
      </c>
      <c r="BO58" s="64">
        <f>IFERROR(1/J58*(X58/H58),"0")</f>
        <v>0.18807870370370369</v>
      </c>
      <c r="BP58" s="64">
        <f>IFERROR(1/J58*(Y58/H58),"0")</f>
        <v>0.203125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66</v>
      </c>
      <c r="Y61" s="666">
        <f>IFERROR(IF(X61="",0,CEILING((X61/$H61),1)*$H61),"")</f>
        <v>67.5</v>
      </c>
      <c r="Z61" s="36">
        <f>IFERROR(IF(Y61=0,"",ROUNDUP(Y61/H61,0)*0.00651),"")</f>
        <v>0.16275000000000001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70.399999999999991</v>
      </c>
      <c r="BN61" s="64">
        <f>IFERROR(Y61*I61/H61,"0")</f>
        <v>72</v>
      </c>
      <c r="BO61" s="64">
        <f>IFERROR(1/J61*(X61/H61),"0")</f>
        <v>0.1343101343101343</v>
      </c>
      <c r="BP61" s="64">
        <f>IFERROR(1/J61*(Y61/H61),"0")</f>
        <v>0.13736263736263737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36.481481481481481</v>
      </c>
      <c r="Y62" s="667">
        <f>IFERROR(Y58/H58,"0")+IFERROR(Y59/H59,"0")+IFERROR(Y60/H60,"0")+IFERROR(Y61/H61,"0")</f>
        <v>38</v>
      </c>
      <c r="Z62" s="667">
        <f>IFERROR(IF(Z58="",0,Z58),"0")+IFERROR(IF(Z59="",0,Z59),"0")+IFERROR(IF(Z60="",0,Z60),"0")+IFERROR(IF(Z61="",0,Z61),"0")</f>
        <v>0.40949000000000002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196</v>
      </c>
      <c r="Y63" s="667">
        <f>IFERROR(SUM(Y58:Y61),"0")</f>
        <v>207.9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17</v>
      </c>
      <c r="Y87" s="666">
        <f>IFERROR(IF(X87="",0,CEILING((X87/$H87),1)*$H87),"")</f>
        <v>21.6</v>
      </c>
      <c r="Z87" s="36">
        <f>IFERROR(IF(Y87=0,"",ROUNDUP(Y87/H87,0)*0.01898),"")</f>
        <v>3.7960000000000001E-2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17.68472222222222</v>
      </c>
      <c r="BN87" s="64">
        <f>IFERROR(Y87*I87/H87,"0")</f>
        <v>22.47</v>
      </c>
      <c r="BO87" s="64">
        <f>IFERROR(1/J87*(X87/H87),"0")</f>
        <v>2.4594907407407406E-2</v>
      </c>
      <c r="BP87" s="64">
        <f>IFERROR(1/J87*(Y87/H87),"0")</f>
        <v>3.125E-2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96</v>
      </c>
      <c r="Y89" s="666">
        <f>IFERROR(IF(X89="",0,CEILING((X89/$H89),1)*$H89),"")</f>
        <v>99</v>
      </c>
      <c r="Z89" s="36">
        <f>IFERROR(IF(Y89=0,"",ROUNDUP(Y89/H89,0)*0.00902),"")</f>
        <v>0.19844000000000001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100.47999999999999</v>
      </c>
      <c r="BN89" s="64">
        <f>IFERROR(Y89*I89/H89,"0")</f>
        <v>103.62</v>
      </c>
      <c r="BO89" s="64">
        <f>IFERROR(1/J89*(X89/H89),"0")</f>
        <v>0.1616161616161616</v>
      </c>
      <c r="BP89" s="64">
        <f>IFERROR(1/J89*(Y89/H89),"0")</f>
        <v>0.16666666666666669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22.907407407407405</v>
      </c>
      <c r="Y90" s="667">
        <f>IFERROR(Y87/H87,"0")+IFERROR(Y88/H88,"0")+IFERROR(Y89/H89,"0")</f>
        <v>24</v>
      </c>
      <c r="Z90" s="667">
        <f>IFERROR(IF(Z87="",0,Z87),"0")+IFERROR(IF(Z88="",0,Z88),"0")+IFERROR(IF(Z89="",0,Z89),"0")</f>
        <v>0.2364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113</v>
      </c>
      <c r="Y91" s="667">
        <f>IFERROR(SUM(Y87:Y89),"0")</f>
        <v>120.6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64</v>
      </c>
      <c r="Y98" s="666">
        <f t="shared" si="16"/>
        <v>64.800000000000011</v>
      </c>
      <c r="Z98" s="36">
        <f>IFERROR(IF(Y98=0,"",ROUNDUP(Y98/H98,0)*0.00651),"")</f>
        <v>0.15623999999999999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69.973333333333329</v>
      </c>
      <c r="BN98" s="64">
        <f t="shared" si="18"/>
        <v>70.848000000000013</v>
      </c>
      <c r="BO98" s="64">
        <f t="shared" si="19"/>
        <v>0.13024013024013023</v>
      </c>
      <c r="BP98" s="64">
        <f t="shared" si="20"/>
        <v>0.1318681318681319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23.703703703703702</v>
      </c>
      <c r="Y102" s="667">
        <f>IFERROR(Y93/H93,"0")+IFERROR(Y94/H94,"0")+IFERROR(Y95/H95,"0")+IFERROR(Y96/H96,"0")+IFERROR(Y97/H97,"0")+IFERROR(Y98/H98,"0")+IFERROR(Y99/H99,"0")+IFERROR(Y100/H100,"0")+IFERROR(Y101/H101,"0")</f>
        <v>24.000000000000004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0.15623999999999999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64</v>
      </c>
      <c r="Y103" s="667">
        <f>IFERROR(SUM(Y93:Y101),"0")</f>
        <v>64.800000000000011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66</v>
      </c>
      <c r="Y108" s="666">
        <f>IFERROR(IF(X108="",0,CEILING((X108/$H108),1)*$H108),"")</f>
        <v>67.5</v>
      </c>
      <c r="Z108" s="36">
        <f>IFERROR(IF(Y108=0,"",ROUNDUP(Y108/H108,0)*0.00902),"")</f>
        <v>0.1353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69.08</v>
      </c>
      <c r="BN108" s="64">
        <f>IFERROR(Y108*I108/H108,"0")</f>
        <v>70.650000000000006</v>
      </c>
      <c r="BO108" s="64">
        <f>IFERROR(1/J108*(X108/H108),"0")</f>
        <v>0.1111111111111111</v>
      </c>
      <c r="BP108" s="64">
        <f>IFERROR(1/J108*(Y108/H108),"0")</f>
        <v>0.11363636363636365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14.666666666666666</v>
      </c>
      <c r="Y110" s="667">
        <f>IFERROR(Y106/H106,"0")+IFERROR(Y107/H107,"0")+IFERROR(Y108/H108,"0")+IFERROR(Y109/H109,"0")</f>
        <v>15</v>
      </c>
      <c r="Z110" s="667">
        <f>IFERROR(IF(Z106="",0,Z106),"0")+IFERROR(IF(Z107="",0,Z107),"0")+IFERROR(IF(Z108="",0,Z108),"0")+IFERROR(IF(Z109="",0,Z109),"0")</f>
        <v>0.1353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66</v>
      </c>
      <c r="Y111" s="667">
        <f>IFERROR(SUM(Y106:Y109),"0")</f>
        <v>67.5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86</v>
      </c>
      <c r="Y124" s="666">
        <f t="shared" si="21"/>
        <v>86.4</v>
      </c>
      <c r="Z124" s="36">
        <f t="shared" si="26"/>
        <v>0.20832000000000001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94.026666666666657</v>
      </c>
      <c r="BN124" s="64">
        <f t="shared" si="23"/>
        <v>94.463999999999999</v>
      </c>
      <c r="BO124" s="64">
        <f t="shared" si="24"/>
        <v>0.17501017501017502</v>
      </c>
      <c r="BP124" s="64">
        <f t="shared" si="25"/>
        <v>0.17582417582417584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31.851851851851851</v>
      </c>
      <c r="Y128" s="667">
        <f>IFERROR(Y119/H119,"0")+IFERROR(Y120/H120,"0")+IFERROR(Y121/H121,"0")+IFERROR(Y122/H122,"0")+IFERROR(Y123/H123,"0")+IFERROR(Y124/H124,"0")+IFERROR(Y125/H125,"0")+IFERROR(Y126/H126,"0")+IFERROR(Y127/H127,"0")</f>
        <v>32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0.20832000000000001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86</v>
      </c>
      <c r="Y129" s="667">
        <f>IFERROR(SUM(Y119:Y127),"0")</f>
        <v>86.4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40</v>
      </c>
      <c r="Y137" s="666">
        <f>IFERROR(IF(X137="",0,CEILING((X137/$H137),1)*$H137),"")</f>
        <v>41.6</v>
      </c>
      <c r="Z137" s="36">
        <f>IFERROR(IF(Y137=0,"",ROUNDUP(Y137/H137,0)*0.00651),"")</f>
        <v>8.4629999999999997E-2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42.249999999999993</v>
      </c>
      <c r="BN137" s="64">
        <f>IFERROR(Y137*I137/H137,"0")</f>
        <v>43.94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12.5</v>
      </c>
      <c r="Y139" s="667">
        <f>IFERROR(Y137/H137,"0")+IFERROR(Y138/H138,"0")</f>
        <v>13</v>
      </c>
      <c r="Z139" s="667">
        <f>IFERROR(IF(Z137="",0,Z137),"0")+IFERROR(IF(Z138="",0,Z138),"0")</f>
        <v>8.4629999999999997E-2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40</v>
      </c>
      <c r="Y140" s="667">
        <f>IFERROR(SUM(Y137:Y138),"0")</f>
        <v>41.6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11</v>
      </c>
      <c r="Y143" s="666">
        <f>IFERROR(IF(X143="",0,CEILING((X143/$H143),1)*$H143),"")</f>
        <v>11.2</v>
      </c>
      <c r="Z143" s="36">
        <f>IFERROR(IF(Y143=0,"",ROUNDUP(Y143/H143,0)*0.00651),"")</f>
        <v>2.6040000000000001E-2</v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12.052857142857142</v>
      </c>
      <c r="BN143" s="64">
        <f>IFERROR(Y143*I143/H143,"0")</f>
        <v>12.271999999999998</v>
      </c>
      <c r="BO143" s="64">
        <f>IFERROR(1/J143*(X143/H143),"0")</f>
        <v>2.1585557299843017E-2</v>
      </c>
      <c r="BP143" s="64">
        <f>IFERROR(1/J143*(Y143/H143),"0")</f>
        <v>2.197802197802198E-2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3.9285714285714288</v>
      </c>
      <c r="Y144" s="667">
        <f>IFERROR(Y142/H142,"0")+IFERROR(Y143/H143,"0")</f>
        <v>4</v>
      </c>
      <c r="Z144" s="667">
        <f>IFERROR(IF(Z142="",0,Z142),"0")+IFERROR(IF(Z143="",0,Z143),"0")</f>
        <v>2.6040000000000001E-2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11</v>
      </c>
      <c r="Y145" s="667">
        <f>IFERROR(SUM(Y142:Y143),"0")</f>
        <v>11.2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26</v>
      </c>
      <c r="Y148" s="666">
        <f>IFERROR(IF(X148="",0,CEILING((X148/$H148),1)*$H148),"")</f>
        <v>26.400000000000002</v>
      </c>
      <c r="Z148" s="36">
        <f>IFERROR(IF(Y148=0,"",ROUNDUP(Y148/H148,0)*0.00651),"")</f>
        <v>6.5100000000000005E-2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28.639393939393941</v>
      </c>
      <c r="BN148" s="64">
        <f>IFERROR(Y148*I148/H148,"0")</f>
        <v>29.080000000000002</v>
      </c>
      <c r="BO148" s="64">
        <f>IFERROR(1/J148*(X148/H148),"0")</f>
        <v>5.4112554112554112E-2</v>
      </c>
      <c r="BP148" s="64">
        <f>IFERROR(1/J148*(Y148/H148),"0")</f>
        <v>5.4945054945054951E-2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9.8484848484848477</v>
      </c>
      <c r="Y149" s="667">
        <f>IFERROR(Y147/H147,"0")+IFERROR(Y148/H148,"0")</f>
        <v>10</v>
      </c>
      <c r="Z149" s="667">
        <f>IFERROR(IF(Z147="",0,Z147),"0")+IFERROR(IF(Z148="",0,Z148),"0")</f>
        <v>6.5100000000000005E-2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26</v>
      </c>
      <c r="Y150" s="667">
        <f>IFERROR(SUM(Y147:Y148),"0")</f>
        <v>26.400000000000002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64</v>
      </c>
      <c r="Y153" s="666">
        <f>IFERROR(IF(X153="",0,CEILING((X153/$H153),1)*$H153),"")</f>
        <v>64</v>
      </c>
      <c r="Z153" s="36">
        <f>IFERROR(IF(Y153=0,"",ROUNDUP(Y153/H153,0)*0.00902),"")</f>
        <v>0.14432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67.36</v>
      </c>
      <c r="BN153" s="64">
        <f>IFERROR(Y153*I153/H153,"0")</f>
        <v>67.36</v>
      </c>
      <c r="BO153" s="64">
        <f>IFERROR(1/J153*(X153/H153),"0")</f>
        <v>0.12121212121212122</v>
      </c>
      <c r="BP153" s="64">
        <f>IFERROR(1/J153*(Y153/H153),"0")</f>
        <v>0.12121212121212122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16</v>
      </c>
      <c r="Y154" s="667">
        <f>IFERROR(Y153/H153,"0")</f>
        <v>16</v>
      </c>
      <c r="Z154" s="667">
        <f>IFERROR(IF(Z153="",0,Z153),"0")</f>
        <v>0.14432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64</v>
      </c>
      <c r="Y155" s="667">
        <f>IFERROR(SUM(Y153:Y153),"0")</f>
        <v>64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18</v>
      </c>
      <c r="Y177" s="666">
        <f t="shared" si="27"/>
        <v>18.900000000000002</v>
      </c>
      <c r="Z177" s="36">
        <f>IFERROR(IF(Y177=0,"",ROUNDUP(Y177/H177,0)*0.00502),"")</f>
        <v>4.5179999999999998E-2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19.114285714285714</v>
      </c>
      <c r="BN177" s="64">
        <f t="shared" si="29"/>
        <v>20.07</v>
      </c>
      <c r="BO177" s="64">
        <f t="shared" si="30"/>
        <v>3.6630036630036632E-2</v>
      </c>
      <c r="BP177" s="64">
        <f t="shared" si="31"/>
        <v>3.8461538461538464E-2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8.5714285714285712</v>
      </c>
      <c r="Y183" s="667">
        <f>IFERROR(Y174/H174,"0")+IFERROR(Y175/H175,"0")+IFERROR(Y176/H176,"0")+IFERROR(Y177/H177,"0")+IFERROR(Y178/H178,"0")+IFERROR(Y179/H179,"0")+IFERROR(Y180/H180,"0")+IFERROR(Y181/H181,"0")+IFERROR(Y182/H182,"0")</f>
        <v>9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4.5179999999999998E-2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18</v>
      </c>
      <c r="Y184" s="667">
        <f>IFERROR(SUM(Y174:Y182),"0")</f>
        <v>18.900000000000002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4</v>
      </c>
      <c r="Y186" s="66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3.1746031746031744</v>
      </c>
      <c r="Y187" s="667">
        <f>IFERROR(Y186/H186,"0")</f>
        <v>4</v>
      </c>
      <c r="Z187" s="667">
        <f>IFERROR(IF(Z186="",0,Z186),"0")</f>
        <v>2.3599999999999999E-2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4</v>
      </c>
      <c r="Y188" s="667">
        <f>IFERROR(SUM(Y186:Y186),"0")</f>
        <v>5.04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40</v>
      </c>
      <c r="Y201" s="666">
        <f t="shared" ref="Y201:Y208" si="32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41.555555555555557</v>
      </c>
      <c r="BN201" s="64">
        <f t="shared" ref="BN201:BN208" si="34">IFERROR(Y201*I201/H201,"0")</f>
        <v>44.88</v>
      </c>
      <c r="BO201" s="64">
        <f t="shared" ref="BO201:BO208" si="35">IFERROR(1/J201*(X201/H201),"0")</f>
        <v>5.6116722783389444E-2</v>
      </c>
      <c r="BP201" s="64">
        <f t="shared" ref="BP201:BP208" si="36">IFERROR(1/J201*(Y201/H201),"0")</f>
        <v>6.0606060606060608E-2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10</v>
      </c>
      <c r="Y205" s="666">
        <f t="shared" si="32"/>
        <v>10.8</v>
      </c>
      <c r="Z205" s="36">
        <f>IFERROR(IF(Y205=0,"",ROUNDUP(Y205/H205,0)*0.00502),"")</f>
        <v>3.0120000000000001E-2</v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10.722222222222223</v>
      </c>
      <c r="BN205" s="64">
        <f t="shared" si="34"/>
        <v>11.58</v>
      </c>
      <c r="BO205" s="64">
        <f t="shared" si="35"/>
        <v>2.3741690408357077E-2</v>
      </c>
      <c r="BP205" s="64">
        <f t="shared" si="36"/>
        <v>2.5641025641025644E-2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7</v>
      </c>
      <c r="Y206" s="666">
        <f t="shared" si="32"/>
        <v>7.2</v>
      </c>
      <c r="Z206" s="36">
        <f>IFERROR(IF(Y206=0,"",ROUNDUP(Y206/H206,0)*0.00502),"")</f>
        <v>2.0080000000000001E-2</v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7.3888888888888884</v>
      </c>
      <c r="BN206" s="64">
        <f t="shared" si="34"/>
        <v>7.6</v>
      </c>
      <c r="BO206" s="64">
        <f t="shared" si="35"/>
        <v>1.6619183285849954E-2</v>
      </c>
      <c r="BP206" s="64">
        <f t="shared" si="36"/>
        <v>1.7094017094017096E-2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16.851851851851851</v>
      </c>
      <c r="Y209" s="667">
        <f>IFERROR(Y201/H201,"0")+IFERROR(Y202/H202,"0")+IFERROR(Y203/H203,"0")+IFERROR(Y204/H204,"0")+IFERROR(Y205/H205,"0")+IFERROR(Y206/H206,"0")+IFERROR(Y207/H207,"0")+IFERROR(Y208/H208,"0")</f>
        <v>18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0.12236000000000001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57</v>
      </c>
      <c r="Y210" s="667">
        <f>IFERROR(SUM(Y201:Y208),"0")</f>
        <v>61.2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70</v>
      </c>
      <c r="Y217" s="666">
        <f t="shared" si="37"/>
        <v>72</v>
      </c>
      <c r="Z217" s="36">
        <f t="shared" si="42"/>
        <v>0.1953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77.350000000000009</v>
      </c>
      <c r="BN217" s="64">
        <f t="shared" si="39"/>
        <v>79.560000000000016</v>
      </c>
      <c r="BO217" s="64">
        <f t="shared" si="40"/>
        <v>0.16025641025641027</v>
      </c>
      <c r="BP217" s="64">
        <f t="shared" si="41"/>
        <v>0.16483516483516486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58</v>
      </c>
      <c r="Y218" s="666">
        <f t="shared" si="37"/>
        <v>60</v>
      </c>
      <c r="Z218" s="36">
        <f t="shared" si="42"/>
        <v>0.16275000000000001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64.09</v>
      </c>
      <c r="BN218" s="64">
        <f t="shared" si="39"/>
        <v>66.300000000000011</v>
      </c>
      <c r="BO218" s="64">
        <f t="shared" si="40"/>
        <v>0.13278388278388281</v>
      </c>
      <c r="BP218" s="64">
        <f t="shared" si="41"/>
        <v>0.13736263736263737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53.333333333333336</v>
      </c>
      <c r="Y221" s="667">
        <f>IFERROR(Y212/H212,"0")+IFERROR(Y213/H213,"0")+IFERROR(Y214/H214,"0")+IFERROR(Y215/H215,"0")+IFERROR(Y216/H216,"0")+IFERROR(Y217/H217,"0")+IFERROR(Y218/H218,"0")+IFERROR(Y219/H219,"0")+IFERROR(Y220/H220,"0")</f>
        <v>55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0.35804999999999998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128</v>
      </c>
      <c r="Y222" s="667">
        <f>IFERROR(SUM(Y212:Y220),"0")</f>
        <v>132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6</v>
      </c>
      <c r="Y246" s="666">
        <f>IFERROR(IF(X246="",0,CEILING((X246/$H246),1)*$H246),"")</f>
        <v>6.48</v>
      </c>
      <c r="Z246" s="36">
        <f>IFERROR(IF(Y246=0,"",ROUNDUP(Y246/H246,0)*0.0059),"")</f>
        <v>1.77E-2</v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6.5277777777777777</v>
      </c>
      <c r="BN246" s="64">
        <f>IFERROR(Y246*I246/H246,"0")</f>
        <v>7.05</v>
      </c>
      <c r="BO246" s="64">
        <f>IFERROR(1/J246*(X246/H246),"0")</f>
        <v>1.2860082304526748E-2</v>
      </c>
      <c r="BP246" s="64">
        <f>IFERROR(1/J246*(Y246/H246),"0")</f>
        <v>1.3888888888888888E-2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2.7777777777777777</v>
      </c>
      <c r="Y247" s="667">
        <f>IFERROR(Y246/H246,"0")</f>
        <v>3</v>
      </c>
      <c r="Z247" s="667">
        <f>IFERROR(IF(Z246="",0,Z246),"0")</f>
        <v>1.77E-2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6</v>
      </c>
      <c r="Y248" s="667">
        <f>IFERROR(SUM(Y246:Y246),"0")</f>
        <v>6.48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6</v>
      </c>
      <c r="Y250" s="666">
        <f>IFERROR(IF(X250="",0,CEILING((X250/$H250),1)*$H250),"")</f>
        <v>6.48</v>
      </c>
      <c r="Z250" s="36">
        <f>IFERROR(IF(Y250=0,"",ROUNDUP(Y250/H250,0)*0.0059),"")</f>
        <v>1.77E-2</v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6.5277777777777777</v>
      </c>
      <c r="BN250" s="64">
        <f>IFERROR(Y250*I250/H250,"0")</f>
        <v>7.05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2.7777777777777777</v>
      </c>
      <c r="Y251" s="667">
        <f>IFERROR(Y250/H250,"0")</f>
        <v>3</v>
      </c>
      <c r="Z251" s="667">
        <f>IFERROR(IF(Z250="",0,Z250),"0")</f>
        <v>1.77E-2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6</v>
      </c>
      <c r="Y252" s="667">
        <f>IFERROR(SUM(Y250:Y250),"0")</f>
        <v>6.48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8</v>
      </c>
      <c r="Y279" s="666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3.3333333333333335</v>
      </c>
      <c r="Y282" s="667">
        <f>IFERROR(Y277/H277,"0")+IFERROR(Y278/H278,"0")+IFERROR(Y279/H279,"0")+IFERROR(Y280/H280,"0")+IFERROR(Y281/H281,"0")</f>
        <v>4</v>
      </c>
      <c r="Z282" s="667">
        <f>IFERROR(IF(Z277="",0,Z277),"0")+IFERROR(IF(Z278="",0,Z278),"0")+IFERROR(IF(Z279="",0,Z279),"0")+IFERROR(IF(Z280="",0,Z280),"0")+IFERROR(IF(Z281="",0,Z281),"0")</f>
        <v>2.6040000000000001E-2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8</v>
      </c>
      <c r="Y283" s="667">
        <f>IFERROR(SUM(Y277:Y281),"0")</f>
        <v>9.6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220</v>
      </c>
      <c r="Y329" s="666">
        <f>IFERROR(IF(X329="",0,CEILING((X329/$H329),1)*$H329),"")</f>
        <v>222.60000000000002</v>
      </c>
      <c r="Z329" s="36">
        <f>IFERROR(IF(Y329=0,"",ROUNDUP(Y329/H329,0)*0.00902),"")</f>
        <v>0.47806000000000004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234.14285714285714</v>
      </c>
      <c r="BN329" s="64">
        <f>IFERROR(Y329*I329/H329,"0")</f>
        <v>236.91</v>
      </c>
      <c r="BO329" s="64">
        <f>IFERROR(1/J329*(X329/H329),"0")</f>
        <v>0.3968253968253968</v>
      </c>
      <c r="BP329" s="64">
        <f>IFERROR(1/J329*(Y329/H329),"0")</f>
        <v>0.40151515151515155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52.38095238095238</v>
      </c>
      <c r="Y332" s="667">
        <f>IFERROR(Y328/H328,"0")+IFERROR(Y329/H329,"0")+IFERROR(Y330/H330,"0")+IFERROR(Y331/H331,"0")</f>
        <v>53</v>
      </c>
      <c r="Z332" s="667">
        <f>IFERROR(IF(Z328="",0,Z328),"0")+IFERROR(IF(Z329="",0,Z329),"0")+IFERROR(IF(Z330="",0,Z330),"0")+IFERROR(IF(Z331="",0,Z331),"0")</f>
        <v>0.47806000000000004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220</v>
      </c>
      <c r="Y333" s="667">
        <f>IFERROR(SUM(Y328:Y331),"0")</f>
        <v>222.60000000000002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174</v>
      </c>
      <c r="Y335" s="666">
        <f>IFERROR(IF(X335="",0,CEILING((X335/$H335),1)*$H335),"")</f>
        <v>179.4</v>
      </c>
      <c r="Z335" s="36">
        <f>IFERROR(IF(Y335=0,"",ROUNDUP(Y335/H335,0)*0.01898),"")</f>
        <v>0.43653999999999998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185.44384615384618</v>
      </c>
      <c r="BN335" s="64">
        <f>IFERROR(Y335*I335/H335,"0")</f>
        <v>191.19900000000004</v>
      </c>
      <c r="BO335" s="64">
        <f>IFERROR(1/J335*(X335/H335),"0")</f>
        <v>0.34855769230769229</v>
      </c>
      <c r="BP335" s="64">
        <f>IFERROR(1/J335*(Y335/H335),"0")</f>
        <v>0.359375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11</v>
      </c>
      <c r="Y338" s="666">
        <f>IFERROR(IF(X338="",0,CEILING((X338/$H338),1)*$H338),"")</f>
        <v>12</v>
      </c>
      <c r="Z338" s="36">
        <f>IFERROR(IF(Y338=0,"",ROUNDUP(Y338/H338,0)*0.00651),"")</f>
        <v>2.6040000000000001E-2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11.902000000000001</v>
      </c>
      <c r="BN338" s="64">
        <f>IFERROR(Y338*I338/H338,"0")</f>
        <v>12.984</v>
      </c>
      <c r="BO338" s="64">
        <f>IFERROR(1/J338*(X338/H338),"0")</f>
        <v>2.0146520146520148E-2</v>
      </c>
      <c r="BP338" s="64">
        <f>IFERROR(1/J338*(Y338/H338),"0")</f>
        <v>2.197802197802198E-2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25.974358974358974</v>
      </c>
      <c r="Y340" s="667">
        <f>IFERROR(Y335/H335,"0")+IFERROR(Y336/H336,"0")+IFERROR(Y337/H337,"0")+IFERROR(Y338/H338,"0")+IFERROR(Y339/H339,"0")</f>
        <v>27</v>
      </c>
      <c r="Z340" s="667">
        <f>IFERROR(IF(Z335="",0,Z335),"0")+IFERROR(IF(Z336="",0,Z336),"0")+IFERROR(IF(Z337="",0,Z337),"0")+IFERROR(IF(Z338="",0,Z338),"0")+IFERROR(IF(Z339="",0,Z339),"0")</f>
        <v>0.46257999999999999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185</v>
      </c>
      <c r="Y341" s="667">
        <f>IFERROR(SUM(Y335:Y339),"0")</f>
        <v>191.4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10</v>
      </c>
      <c r="Y344" s="666">
        <f>IFERROR(IF(X344="",0,CEILING((X344/$H344),1)*$H344),"")</f>
        <v>15.6</v>
      </c>
      <c r="Z344" s="36">
        <f>IFERROR(IF(Y344=0,"",ROUNDUP(Y344/H344,0)*0.01898),"")</f>
        <v>3.7960000000000001E-2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10.665384615384617</v>
      </c>
      <c r="BN344" s="64">
        <f>IFERROR(Y344*I344/H344,"0")</f>
        <v>16.638000000000002</v>
      </c>
      <c r="BO344" s="64">
        <f>IFERROR(1/J344*(X344/H344),"0")</f>
        <v>2.0032051282051284E-2</v>
      </c>
      <c r="BP344" s="64">
        <f>IFERROR(1/J344*(Y344/H344),"0")</f>
        <v>3.125E-2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1.2820512820512822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10</v>
      </c>
      <c r="Y347" s="667">
        <f>IFERROR(SUM(Y343:Y345),"0")</f>
        <v>15.6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6</v>
      </c>
      <c r="Y352" s="666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6.7764705882352949</v>
      </c>
      <c r="BN352" s="64">
        <f>IFERROR(Y352*I352/H352,"0")</f>
        <v>8.6399999999999988</v>
      </c>
      <c r="BO352" s="64">
        <f>IFERROR(1/J352*(X352/H352),"0")</f>
        <v>1.292824822236587E-2</v>
      </c>
      <c r="BP352" s="64">
        <f>IFERROR(1/J352*(Y352/H352),"0")</f>
        <v>1.6483516483516484E-2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2.3529411764705883</v>
      </c>
      <c r="Y353" s="667">
        <f>IFERROR(Y349/H349,"0")+IFERROR(Y350/H350,"0")+IFERROR(Y351/H351,"0")+IFERROR(Y352/H352,"0")</f>
        <v>3</v>
      </c>
      <c r="Z353" s="667">
        <f>IFERROR(IF(Z349="",0,Z349),"0")+IFERROR(IF(Z350="",0,Z350),"0")+IFERROR(IF(Z351="",0,Z351),"0")+IFERROR(IF(Z352="",0,Z352),"0")</f>
        <v>1.9529999999999999E-2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6</v>
      </c>
      <c r="Y354" s="667">
        <f>IFERROR(SUM(Y349:Y352),"0")</f>
        <v>7.6499999999999995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45</v>
      </c>
      <c r="Y377" s="666">
        <f t="shared" si="58"/>
        <v>45</v>
      </c>
      <c r="Z377" s="36">
        <f>IFERROR(IF(Y377=0,"",ROUNDUP(Y377/H377,0)*0.02175),"")</f>
        <v>6.5250000000000002E-2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46.440000000000005</v>
      </c>
      <c r="BN377" s="64">
        <f t="shared" si="60"/>
        <v>46.440000000000005</v>
      </c>
      <c r="BO377" s="64">
        <f t="shared" si="61"/>
        <v>6.25E-2</v>
      </c>
      <c r="BP377" s="64">
        <f t="shared" si="62"/>
        <v>6.25E-2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9</v>
      </c>
      <c r="Y384" s="666">
        <f t="shared" si="58"/>
        <v>10</v>
      </c>
      <c r="Z384" s="36">
        <f>IFERROR(IF(Y384=0,"",ROUNDUP(Y384/H384,0)*0.00902),"")</f>
        <v>1.804E-2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9.3780000000000001</v>
      </c>
      <c r="BN384" s="64">
        <f t="shared" si="60"/>
        <v>10.42</v>
      </c>
      <c r="BO384" s="64">
        <f t="shared" si="61"/>
        <v>1.3636363636363637E-2</v>
      </c>
      <c r="BP384" s="64">
        <f t="shared" si="62"/>
        <v>1.5151515151515152E-2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4.8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8.3290000000000003E-2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54</v>
      </c>
      <c r="Y386" s="667">
        <f>IFERROR(SUM(Y375:Y384),"0")</f>
        <v>55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2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2.105</v>
      </c>
      <c r="BN389" s="64">
        <f>IFERROR(Y389*I389/H389,"0")</f>
        <v>4.21</v>
      </c>
      <c r="BO389" s="64">
        <f>IFERROR(1/J389*(X389/H389),"0")</f>
        <v>3.787878787878788E-3</v>
      </c>
      <c r="BP389" s="64">
        <f>IFERROR(1/J389*(Y389/H389),"0")</f>
        <v>7.575757575757576E-3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0.5</v>
      </c>
      <c r="Y390" s="667">
        <f>IFERROR(Y388/H388,"0")+IFERROR(Y389/H389,"0")</f>
        <v>1</v>
      </c>
      <c r="Z390" s="667">
        <f>IFERROR(IF(Z388="",0,Z388),"0")+IFERROR(IF(Z389="",0,Z389),"0")</f>
        <v>9.0200000000000002E-3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2</v>
      </c>
      <c r="Y391" s="667">
        <f>IFERROR(SUM(Y388:Y389),"0")</f>
        <v>4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2</v>
      </c>
      <c r="Y436" s="666">
        <f t="shared" si="63"/>
        <v>2.1</v>
      </c>
      <c r="Z436" s="36">
        <f t="shared" si="68"/>
        <v>5.0200000000000002E-3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2.1238095238095238</v>
      </c>
      <c r="BN436" s="64">
        <f t="shared" si="65"/>
        <v>2.23</v>
      </c>
      <c r="BO436" s="64">
        <f t="shared" si="66"/>
        <v>4.0700040700040706E-3</v>
      </c>
      <c r="BP436" s="64">
        <f t="shared" si="67"/>
        <v>4.2735042735042739E-3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0.95238095238095233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5.0200000000000002E-3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</v>
      </c>
      <c r="Y443" s="667">
        <f>IFERROR(SUM(Y430:Y441),"0")</f>
        <v>2.1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21</v>
      </c>
      <c r="Y487" s="666">
        <f t="shared" si="69"/>
        <v>21.6</v>
      </c>
      <c r="Z487" s="36">
        <f>IFERROR(IF(Y487=0,"",ROUNDUP(Y487/H487,0)*0.00902),"")</f>
        <v>5.4120000000000001E-2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22.225000000000001</v>
      </c>
      <c r="BN487" s="64">
        <f t="shared" si="72"/>
        <v>22.860000000000003</v>
      </c>
      <c r="BO487" s="64">
        <f t="shared" si="73"/>
        <v>4.4191919191919192E-2</v>
      </c>
      <c r="BP487" s="64">
        <f t="shared" si="74"/>
        <v>4.5454545454545456E-2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3</v>
      </c>
      <c r="Y492" s="666">
        <f t="shared" si="69"/>
        <v>4.8</v>
      </c>
      <c r="Z492" s="36">
        <f>IFERROR(IF(Y492=0,"",ROUNDUP(Y492/H492,0)*0.00651),"")</f>
        <v>1.302E-2</v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3.2250000000000001</v>
      </c>
      <c r="BN492" s="64">
        <f t="shared" si="72"/>
        <v>5.16</v>
      </c>
      <c r="BO492" s="64">
        <f t="shared" si="73"/>
        <v>6.8681318681318689E-3</v>
      </c>
      <c r="BP492" s="64">
        <f t="shared" si="74"/>
        <v>1.098901098901099E-2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7.083333333333333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8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6.7140000000000005E-2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24</v>
      </c>
      <c r="Y497" s="667">
        <f>IFERROR(SUM(Y480:Y495),"0")</f>
        <v>26.400000000000002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17</v>
      </c>
      <c r="Y510" s="666">
        <f t="shared" si="75"/>
        <v>19.2</v>
      </c>
      <c r="Z510" s="36">
        <f>IFERROR(IF(Y510=0,"",ROUNDUP(Y510/H510,0)*0.00902),"")</f>
        <v>3.6080000000000001E-2</v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24.543750000000003</v>
      </c>
      <c r="BN510" s="64">
        <f t="shared" si="77"/>
        <v>27.72</v>
      </c>
      <c r="BO510" s="64">
        <f t="shared" si="78"/>
        <v>2.6830808080808084E-2</v>
      </c>
      <c r="BP510" s="64">
        <f t="shared" si="79"/>
        <v>3.0303030303030304E-2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12</v>
      </c>
      <c r="Y513" s="666">
        <f t="shared" si="75"/>
        <v>14.4</v>
      </c>
      <c r="Z513" s="36">
        <f>IFERROR(IF(Y513=0,"",ROUNDUP(Y513/H513,0)*0.00902),"")</f>
        <v>3.6080000000000001E-2</v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12.7</v>
      </c>
      <c r="BN513" s="64">
        <f t="shared" si="77"/>
        <v>15.24</v>
      </c>
      <c r="BO513" s="64">
        <f t="shared" si="78"/>
        <v>2.5252525252525252E-2</v>
      </c>
      <c r="BP513" s="64">
        <f t="shared" si="79"/>
        <v>3.0303030303030304E-2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10</v>
      </c>
      <c r="Y515" s="666">
        <f t="shared" si="75"/>
        <v>10.8</v>
      </c>
      <c r="Z515" s="36">
        <f>IFERROR(IF(Y515=0,"",ROUNDUP(Y515/H515,0)*0.00902),"")</f>
        <v>2.7060000000000001E-2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10.583333333333334</v>
      </c>
      <c r="BN515" s="64">
        <f t="shared" si="77"/>
        <v>11.430000000000001</v>
      </c>
      <c r="BO515" s="64">
        <f t="shared" si="78"/>
        <v>2.1043771043771045E-2</v>
      </c>
      <c r="BP515" s="64">
        <f t="shared" si="79"/>
        <v>2.2727272727272728E-2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9.6527777777777786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11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9.9220000000000003E-2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39</v>
      </c>
      <c r="Y519" s="667">
        <f>IFERROR(SUM(Y506:Y517),"0")</f>
        <v>44.400000000000006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5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53.214285714285715</v>
      </c>
      <c r="BN552" s="64">
        <f t="shared" si="87"/>
        <v>53.64</v>
      </c>
      <c r="BO552" s="64">
        <f t="shared" si="88"/>
        <v>9.0187590187590191E-2</v>
      </c>
      <c r="BP552" s="64">
        <f t="shared" si="89"/>
        <v>9.0909090909090912E-2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1645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1711.65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1757.2465040270185</v>
      </c>
      <c r="Y593" s="667">
        <f>IFERROR(SUM(BN22:BN589),"0")</f>
        <v>1828.9580000000005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1857.2465040270185</v>
      </c>
      <c r="Y595" s="667">
        <f>GrossWeightTotalR+PalletQtyTotalR*25</f>
        <v>1928.9580000000005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417.09183099036034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433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3.7892900000000003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72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297.89999999999998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185.4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153.9</v>
      </c>
      <c r="G602" s="46">
        <f>IFERROR(Y137*1,"0")+IFERROR(Y138*1,"0")+IFERROR(Y142*1,"0")+IFERROR(Y143*1,"0")+IFERROR(Y147*1,"0")+IFERROR(Y148*1,"0")</f>
        <v>79.2</v>
      </c>
      <c r="H602" s="46">
        <f>IFERROR(Y153*1,"0")+IFERROR(Y157*1,"0")+IFERROR(Y158*1,"0")+IFERROR(Y159*1,"0")+IFERROR(Y160*1,"0")+IFERROR(Y164*1,"0")</f>
        <v>64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23.94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193.2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12.96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9.6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437.25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59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2.1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70.8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50.400000000000006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