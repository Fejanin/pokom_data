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8_{9DE1231E-934E-4228-9BB8-1C081C94D221}" xr6:coauthVersionLast="47" xr6:coauthVersionMax="47" xr10:uidLastSave="{00000000-0000-0000-0000-000000000000}"/>
  <bookViews>
    <workbookView xWindow="1170" yWindow="1170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5" i="2" l="1"/>
  <c r="X594" i="2"/>
  <c r="BO593" i="2"/>
  <c r="BM593" i="2"/>
  <c r="Y593" i="2"/>
  <c r="Z593" i="2" s="1"/>
  <c r="Z594" i="2" s="1"/>
  <c r="X591" i="2"/>
  <c r="X590" i="2"/>
  <c r="BO589" i="2"/>
  <c r="BM589" i="2"/>
  <c r="Y589" i="2"/>
  <c r="BP589" i="2" s="1"/>
  <c r="X587" i="2"/>
  <c r="X586" i="2"/>
  <c r="BO585" i="2"/>
  <c r="BM585" i="2"/>
  <c r="Y585" i="2"/>
  <c r="Y587" i="2" s="1"/>
  <c r="X583" i="2"/>
  <c r="X582" i="2"/>
  <c r="BO581" i="2"/>
  <c r="BM581" i="2"/>
  <c r="Y581" i="2"/>
  <c r="X578" i="2"/>
  <c r="X577" i="2"/>
  <c r="BO576" i="2"/>
  <c r="BM576" i="2"/>
  <c r="Y576" i="2"/>
  <c r="BP576" i="2" s="1"/>
  <c r="BO575" i="2"/>
  <c r="BM575" i="2"/>
  <c r="Y575" i="2"/>
  <c r="BP575" i="2" s="1"/>
  <c r="BO574" i="2"/>
  <c r="BM574" i="2"/>
  <c r="Y574" i="2"/>
  <c r="BP574" i="2" s="1"/>
  <c r="BO573" i="2"/>
  <c r="BM573" i="2"/>
  <c r="Y573" i="2"/>
  <c r="BP573" i="2" s="1"/>
  <c r="X571" i="2"/>
  <c r="X570" i="2"/>
  <c r="BO569" i="2"/>
  <c r="BM569" i="2"/>
  <c r="Y569" i="2"/>
  <c r="BN569" i="2" s="1"/>
  <c r="BO568" i="2"/>
  <c r="BM568" i="2"/>
  <c r="Y568" i="2"/>
  <c r="Z568" i="2" s="1"/>
  <c r="BO567" i="2"/>
  <c r="BM567" i="2"/>
  <c r="Y567" i="2"/>
  <c r="BP567" i="2" s="1"/>
  <c r="BO566" i="2"/>
  <c r="BM566" i="2"/>
  <c r="Y566" i="2"/>
  <c r="Z566" i="2" s="1"/>
  <c r="BO565" i="2"/>
  <c r="BM565" i="2"/>
  <c r="Y565" i="2"/>
  <c r="Z565" i="2" s="1"/>
  <c r="X563" i="2"/>
  <c r="X562" i="2"/>
  <c r="BO561" i="2"/>
  <c r="BM561" i="2"/>
  <c r="Y561" i="2"/>
  <c r="BP561" i="2" s="1"/>
  <c r="BO560" i="2"/>
  <c r="BM560" i="2"/>
  <c r="Y560" i="2"/>
  <c r="Z560" i="2" s="1"/>
  <c r="BO559" i="2"/>
  <c r="BM559" i="2"/>
  <c r="Y559" i="2"/>
  <c r="BO558" i="2"/>
  <c r="BM558" i="2"/>
  <c r="Y558" i="2"/>
  <c r="BP558" i="2" s="1"/>
  <c r="BO557" i="2"/>
  <c r="BM557" i="2"/>
  <c r="Y557" i="2"/>
  <c r="Z557" i="2" s="1"/>
  <c r="BO556" i="2"/>
  <c r="BM556" i="2"/>
  <c r="Y556" i="2"/>
  <c r="BO555" i="2"/>
  <c r="BM555" i="2"/>
  <c r="Y555" i="2"/>
  <c r="X553" i="2"/>
  <c r="X552" i="2"/>
  <c r="BO551" i="2"/>
  <c r="BM551" i="2"/>
  <c r="Y551" i="2"/>
  <c r="BP551" i="2" s="1"/>
  <c r="BO550" i="2"/>
  <c r="BM550" i="2"/>
  <c r="Y550" i="2"/>
  <c r="BP550" i="2" s="1"/>
  <c r="BO549" i="2"/>
  <c r="BM549" i="2"/>
  <c r="Y549" i="2"/>
  <c r="BP549" i="2" s="1"/>
  <c r="BO548" i="2"/>
  <c r="BM548" i="2"/>
  <c r="Y548" i="2"/>
  <c r="BP548" i="2" s="1"/>
  <c r="BO547" i="2"/>
  <c r="BM547" i="2"/>
  <c r="Y547" i="2"/>
  <c r="X545" i="2"/>
  <c r="X544" i="2"/>
  <c r="BO543" i="2"/>
  <c r="BM543" i="2"/>
  <c r="Y543" i="2"/>
  <c r="BP543" i="2" s="1"/>
  <c r="BO542" i="2"/>
  <c r="BM542" i="2"/>
  <c r="Y542" i="2"/>
  <c r="BO541" i="2"/>
  <c r="BM541" i="2"/>
  <c r="Y541" i="2"/>
  <c r="BP541" i="2" s="1"/>
  <c r="BO540" i="2"/>
  <c r="BM540" i="2"/>
  <c r="Y540" i="2"/>
  <c r="BP540" i="2" s="1"/>
  <c r="BO539" i="2"/>
  <c r="BM539" i="2"/>
  <c r="Y539" i="2"/>
  <c r="BO538" i="2"/>
  <c r="BM538" i="2"/>
  <c r="Y538" i="2"/>
  <c r="X534" i="2"/>
  <c r="X533" i="2"/>
  <c r="BO532" i="2"/>
  <c r="BN532" i="2"/>
  <c r="BM532" i="2"/>
  <c r="Z532" i="2"/>
  <c r="Z533" i="2" s="1"/>
  <c r="Y532" i="2"/>
  <c r="X530" i="2"/>
  <c r="X529" i="2"/>
  <c r="BP528" i="2"/>
  <c r="BO528" i="2"/>
  <c r="BN528" i="2"/>
  <c r="BM528" i="2"/>
  <c r="Z528" i="2"/>
  <c r="Y528" i="2"/>
  <c r="P528" i="2"/>
  <c r="BO527" i="2"/>
  <c r="BM527" i="2"/>
  <c r="Y527" i="2"/>
  <c r="BP527" i="2" s="1"/>
  <c r="P527" i="2"/>
  <c r="BO526" i="2"/>
  <c r="BM526" i="2"/>
  <c r="Y526" i="2"/>
  <c r="Y530" i="2" s="1"/>
  <c r="P526" i="2"/>
  <c r="X524" i="2"/>
  <c r="X523" i="2"/>
  <c r="BO522" i="2"/>
  <c r="BM522" i="2"/>
  <c r="Y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BO518" i="2"/>
  <c r="BM518" i="2"/>
  <c r="Y518" i="2"/>
  <c r="BP518" i="2" s="1"/>
  <c r="BO517" i="2"/>
  <c r="BM517" i="2"/>
  <c r="Y517" i="2"/>
  <c r="P517" i="2"/>
  <c r="BO516" i="2"/>
  <c r="BM516" i="2"/>
  <c r="Y516" i="2"/>
  <c r="BP516" i="2" s="1"/>
  <c r="BO515" i="2"/>
  <c r="BM515" i="2"/>
  <c r="Y515" i="2"/>
  <c r="Z515" i="2" s="1"/>
  <c r="BO514" i="2"/>
  <c r="BM514" i="2"/>
  <c r="Y514" i="2"/>
  <c r="BP514" i="2" s="1"/>
  <c r="BO513" i="2"/>
  <c r="BM513" i="2"/>
  <c r="Y513" i="2"/>
  <c r="BP513" i="2" s="1"/>
  <c r="BO512" i="2"/>
  <c r="BM512" i="2"/>
  <c r="Y512" i="2"/>
  <c r="BP512" i="2" s="1"/>
  <c r="X510" i="2"/>
  <c r="X509" i="2"/>
  <c r="BO508" i="2"/>
  <c r="BM508" i="2"/>
  <c r="Y508" i="2"/>
  <c r="BP508" i="2" s="1"/>
  <c r="BO507" i="2"/>
  <c r="BN507" i="2"/>
  <c r="BM507" i="2"/>
  <c r="Y507" i="2"/>
  <c r="BP507" i="2" s="1"/>
  <c r="BO506" i="2"/>
  <c r="BM506" i="2"/>
  <c r="Y506" i="2"/>
  <c r="P506" i="2"/>
  <c r="BO505" i="2"/>
  <c r="BM505" i="2"/>
  <c r="Y505" i="2"/>
  <c r="Z505" i="2" s="1"/>
  <c r="X503" i="2"/>
  <c r="X502" i="2"/>
  <c r="BO501" i="2"/>
  <c r="BM501" i="2"/>
  <c r="Y501" i="2"/>
  <c r="P501" i="2"/>
  <c r="BO500" i="2"/>
  <c r="BM500" i="2"/>
  <c r="Y500" i="2"/>
  <c r="BP500" i="2" s="1"/>
  <c r="P500" i="2"/>
  <c r="BO499" i="2"/>
  <c r="BN499" i="2"/>
  <c r="BM499" i="2"/>
  <c r="Y499" i="2"/>
  <c r="BP499" i="2" s="1"/>
  <c r="P499" i="2"/>
  <c r="BO498" i="2"/>
  <c r="BM498" i="2"/>
  <c r="Y498" i="2"/>
  <c r="BP498" i="2" s="1"/>
  <c r="BO497" i="2"/>
  <c r="BM497" i="2"/>
  <c r="Y497" i="2"/>
  <c r="BP497" i="2" s="1"/>
  <c r="BO496" i="2"/>
  <c r="BM496" i="2"/>
  <c r="Y496" i="2"/>
  <c r="BP496" i="2" s="1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BP491" i="2"/>
  <c r="BO491" i="2"/>
  <c r="BN491" i="2"/>
  <c r="BM491" i="2"/>
  <c r="Z491" i="2"/>
  <c r="Y491" i="2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N486" i="2" s="1"/>
  <c r="P486" i="2"/>
  <c r="X482" i="2"/>
  <c r="X481" i="2"/>
  <c r="BO480" i="2"/>
  <c r="BM480" i="2"/>
  <c r="Y480" i="2"/>
  <c r="P480" i="2"/>
  <c r="X478" i="2"/>
  <c r="X477" i="2"/>
  <c r="BO476" i="2"/>
  <c r="BM476" i="2"/>
  <c r="Y476" i="2"/>
  <c r="BP476" i="2" s="1"/>
  <c r="P476" i="2"/>
  <c r="X473" i="2"/>
  <c r="X472" i="2"/>
  <c r="BO471" i="2"/>
  <c r="BM471" i="2"/>
  <c r="Y471" i="2"/>
  <c r="BP471" i="2" s="1"/>
  <c r="BO470" i="2"/>
  <c r="BM470" i="2"/>
  <c r="Y470" i="2"/>
  <c r="BP470" i="2" s="1"/>
  <c r="P470" i="2"/>
  <c r="X467" i="2"/>
  <c r="X466" i="2"/>
  <c r="BO465" i="2"/>
  <c r="BM465" i="2"/>
  <c r="Y465" i="2"/>
  <c r="BP465" i="2" s="1"/>
  <c r="P465" i="2"/>
  <c r="BO464" i="2"/>
  <c r="BM464" i="2"/>
  <c r="Y464" i="2"/>
  <c r="BO463" i="2"/>
  <c r="BM463" i="2"/>
  <c r="Y463" i="2"/>
  <c r="BP463" i="2" s="1"/>
  <c r="P463" i="2"/>
  <c r="BO462" i="2"/>
  <c r="BM462" i="2"/>
  <c r="Y462" i="2"/>
  <c r="Z462" i="2" s="1"/>
  <c r="X460" i="2"/>
  <c r="X459" i="2"/>
  <c r="BO458" i="2"/>
  <c r="BM458" i="2"/>
  <c r="Y458" i="2"/>
  <c r="P458" i="2"/>
  <c r="BO457" i="2"/>
  <c r="BM457" i="2"/>
  <c r="Y457" i="2"/>
  <c r="Z457" i="2" s="1"/>
  <c r="P457" i="2"/>
  <c r="X454" i="2"/>
  <c r="X453" i="2"/>
  <c r="BO452" i="2"/>
  <c r="BM452" i="2"/>
  <c r="Y452" i="2"/>
  <c r="Z452" i="2" s="1"/>
  <c r="P452" i="2"/>
  <c r="BO451" i="2"/>
  <c r="BM451" i="2"/>
  <c r="Y451" i="2"/>
  <c r="Y454" i="2" s="1"/>
  <c r="P451" i="2"/>
  <c r="X449" i="2"/>
  <c r="X448" i="2"/>
  <c r="BO447" i="2"/>
  <c r="BM447" i="2"/>
  <c r="Y447" i="2"/>
  <c r="Z447" i="2" s="1"/>
  <c r="P447" i="2"/>
  <c r="BO446" i="2"/>
  <c r="BM446" i="2"/>
  <c r="Y446" i="2"/>
  <c r="BP446" i="2" s="1"/>
  <c r="P446" i="2"/>
  <c r="BO445" i="2"/>
  <c r="BM445" i="2"/>
  <c r="Y445" i="2"/>
  <c r="BP445" i="2" s="1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Z441" i="2" s="1"/>
  <c r="BO440" i="2"/>
  <c r="BM440" i="2"/>
  <c r="Y440" i="2"/>
  <c r="P440" i="2"/>
  <c r="BO439" i="2"/>
  <c r="BM439" i="2"/>
  <c r="Y439" i="2"/>
  <c r="BP439" i="2" s="1"/>
  <c r="BO438" i="2"/>
  <c r="BN438" i="2"/>
  <c r="BM438" i="2"/>
  <c r="Y438" i="2"/>
  <c r="BP438" i="2" s="1"/>
  <c r="BO437" i="2"/>
  <c r="BM437" i="2"/>
  <c r="Y437" i="2"/>
  <c r="BO436" i="2"/>
  <c r="BN436" i="2"/>
  <c r="BM436" i="2"/>
  <c r="Y436" i="2"/>
  <c r="Z436" i="2" s="1"/>
  <c r="X432" i="2"/>
  <c r="X431" i="2"/>
  <c r="BO430" i="2"/>
  <c r="BM430" i="2"/>
  <c r="Y430" i="2"/>
  <c r="Z430" i="2" s="1"/>
  <c r="Z431" i="2" s="1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N423" i="2"/>
  <c r="BM423" i="2"/>
  <c r="Y423" i="2"/>
  <c r="BP423" i="2" s="1"/>
  <c r="P423" i="2"/>
  <c r="X421" i="2"/>
  <c r="X420" i="2"/>
  <c r="BO419" i="2"/>
  <c r="BM419" i="2"/>
  <c r="Y419" i="2"/>
  <c r="Y421" i="2" s="1"/>
  <c r="P419" i="2"/>
  <c r="X417" i="2"/>
  <c r="X416" i="2"/>
  <c r="BO415" i="2"/>
  <c r="BM415" i="2"/>
  <c r="Y415" i="2"/>
  <c r="BP415" i="2" s="1"/>
  <c r="P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Y408" i="2" s="1"/>
  <c r="X404" i="2"/>
  <c r="X403" i="2"/>
  <c r="BO402" i="2"/>
  <c r="BM402" i="2"/>
  <c r="Y402" i="2"/>
  <c r="BO401" i="2"/>
  <c r="BM401" i="2"/>
  <c r="Y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N390" i="2"/>
  <c r="BM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Z383" i="2" s="1"/>
  <c r="P383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P375" i="2"/>
  <c r="X373" i="2"/>
  <c r="X372" i="2"/>
  <c r="BO371" i="2"/>
  <c r="BM371" i="2"/>
  <c r="Y371" i="2"/>
  <c r="Y373" i="2" s="1"/>
  <c r="P371" i="2"/>
  <c r="X368" i="2"/>
  <c r="X367" i="2"/>
  <c r="BP366" i="2"/>
  <c r="BO366" i="2"/>
  <c r="BM366" i="2"/>
  <c r="Z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Y360" i="2"/>
  <c r="Z360" i="2" s="1"/>
  <c r="P360" i="2"/>
  <c r="BO359" i="2"/>
  <c r="BM359" i="2"/>
  <c r="Y359" i="2"/>
  <c r="BP359" i="2" s="1"/>
  <c r="P359" i="2"/>
  <c r="BO358" i="2"/>
  <c r="BM358" i="2"/>
  <c r="Y358" i="2"/>
  <c r="BP358" i="2" s="1"/>
  <c r="BO357" i="2"/>
  <c r="BM357" i="2"/>
  <c r="Y357" i="2"/>
  <c r="BP357" i="2" s="1"/>
  <c r="X355" i="2"/>
  <c r="X354" i="2"/>
  <c r="BO353" i="2"/>
  <c r="BM353" i="2"/>
  <c r="Y353" i="2"/>
  <c r="BP353" i="2" s="1"/>
  <c r="P353" i="2"/>
  <c r="BO352" i="2"/>
  <c r="BM352" i="2"/>
  <c r="Y352" i="2"/>
  <c r="BN352" i="2" s="1"/>
  <c r="P352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Y340" i="2" s="1"/>
  <c r="P336" i="2"/>
  <c r="X334" i="2"/>
  <c r="X333" i="2"/>
  <c r="BO332" i="2"/>
  <c r="BM332" i="2"/>
  <c r="Y332" i="2"/>
  <c r="P332" i="2"/>
  <c r="BO331" i="2"/>
  <c r="BM331" i="2"/>
  <c r="Z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X324" i="2"/>
  <c r="X323" i="2"/>
  <c r="BO322" i="2"/>
  <c r="BM322" i="2"/>
  <c r="Y322" i="2"/>
  <c r="T606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X314" i="2"/>
  <c r="X313" i="2"/>
  <c r="BO312" i="2"/>
  <c r="BM312" i="2"/>
  <c r="Y312" i="2"/>
  <c r="BP312" i="2" s="1"/>
  <c r="P312" i="2"/>
  <c r="X309" i="2"/>
  <c r="X308" i="2"/>
  <c r="BO307" i="2"/>
  <c r="BM307" i="2"/>
  <c r="Y307" i="2"/>
  <c r="Y309" i="2" s="1"/>
  <c r="P307" i="2"/>
  <c r="X304" i="2"/>
  <c r="X303" i="2"/>
  <c r="BO302" i="2"/>
  <c r="BM302" i="2"/>
  <c r="Y302" i="2"/>
  <c r="Y304" i="2" s="1"/>
  <c r="P302" i="2"/>
  <c r="X300" i="2"/>
  <c r="X299" i="2"/>
  <c r="BO298" i="2"/>
  <c r="BM298" i="2"/>
  <c r="Y298" i="2"/>
  <c r="P298" i="2"/>
  <c r="X296" i="2"/>
  <c r="X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Y291" i="2" s="1"/>
  <c r="P285" i="2"/>
  <c r="X282" i="2"/>
  <c r="X281" i="2"/>
  <c r="BO280" i="2"/>
  <c r="BM280" i="2"/>
  <c r="Y280" i="2"/>
  <c r="BP280" i="2" s="1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4" i="2"/>
  <c r="X273" i="2"/>
  <c r="BO272" i="2"/>
  <c r="BM272" i="2"/>
  <c r="Y272" i="2"/>
  <c r="M606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Z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BP257" i="2" s="1"/>
  <c r="BO256" i="2"/>
  <c r="BM256" i="2"/>
  <c r="Y256" i="2"/>
  <c r="BP256" i="2" s="1"/>
  <c r="BO255" i="2"/>
  <c r="BM255" i="2"/>
  <c r="Y255" i="2"/>
  <c r="BP255" i="2" s="1"/>
  <c r="BO254" i="2"/>
  <c r="BM254" i="2"/>
  <c r="Y254" i="2"/>
  <c r="BP254" i="2" s="1"/>
  <c r="BO253" i="2"/>
  <c r="BM253" i="2"/>
  <c r="Y253" i="2"/>
  <c r="BP253" i="2" s="1"/>
  <c r="X251" i="2"/>
  <c r="X250" i="2"/>
  <c r="BO249" i="2"/>
  <c r="BM249" i="2"/>
  <c r="Y249" i="2"/>
  <c r="Y251" i="2" s="1"/>
  <c r="X247" i="2"/>
  <c r="X246" i="2"/>
  <c r="BO245" i="2"/>
  <c r="BM245" i="2"/>
  <c r="Y245" i="2"/>
  <c r="Z245" i="2" s="1"/>
  <c r="BO244" i="2"/>
  <c r="BN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N234" i="2"/>
  <c r="BM234" i="2"/>
  <c r="Y234" i="2"/>
  <c r="BP234" i="2" s="1"/>
  <c r="P234" i="2"/>
  <c r="BO233" i="2"/>
  <c r="BM233" i="2"/>
  <c r="Z233" i="2"/>
  <c r="Y233" i="2"/>
  <c r="BN233" i="2" s="1"/>
  <c r="P233" i="2"/>
  <c r="X230" i="2"/>
  <c r="X229" i="2"/>
  <c r="BO228" i="2"/>
  <c r="BM228" i="2"/>
  <c r="Y228" i="2"/>
  <c r="BP228" i="2" s="1"/>
  <c r="P228" i="2"/>
  <c r="BO227" i="2"/>
  <c r="BN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N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N218" i="2"/>
  <c r="BM218" i="2"/>
  <c r="Y218" i="2"/>
  <c r="BP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BN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N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Y202" i="2"/>
  <c r="X202" i="2"/>
  <c r="X201" i="2"/>
  <c r="BO200" i="2"/>
  <c r="BM200" i="2"/>
  <c r="Y200" i="2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M189" i="2"/>
  <c r="Y189" i="2"/>
  <c r="BN189" i="2" s="1"/>
  <c r="X187" i="2"/>
  <c r="X186" i="2"/>
  <c r="BO185" i="2"/>
  <c r="BM185" i="2"/>
  <c r="Y185" i="2"/>
  <c r="BN185" i="2" s="1"/>
  <c r="BO184" i="2"/>
  <c r="BM184" i="2"/>
  <c r="Y184" i="2"/>
  <c r="BP184" i="2" s="1"/>
  <c r="BO183" i="2"/>
  <c r="BM183" i="2"/>
  <c r="Y183" i="2"/>
  <c r="BP183" i="2" s="1"/>
  <c r="X181" i="2"/>
  <c r="X180" i="2"/>
  <c r="BO179" i="2"/>
  <c r="BM179" i="2"/>
  <c r="Y179" i="2"/>
  <c r="Z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P171" i="2"/>
  <c r="X169" i="2"/>
  <c r="Y168" i="2"/>
  <c r="X168" i="2"/>
  <c r="BO167" i="2"/>
  <c r="BN167" i="2"/>
  <c r="BM167" i="2"/>
  <c r="Y167" i="2"/>
  <c r="Y169" i="2" s="1"/>
  <c r="P167" i="2"/>
  <c r="X163" i="2"/>
  <c r="X162" i="2"/>
  <c r="BO161" i="2"/>
  <c r="BM161" i="2"/>
  <c r="Y161" i="2"/>
  <c r="Y163" i="2" s="1"/>
  <c r="P161" i="2"/>
  <c r="X159" i="2"/>
  <c r="X158" i="2"/>
  <c r="BO157" i="2"/>
  <c r="BM157" i="2"/>
  <c r="Y157" i="2"/>
  <c r="BP157" i="2" s="1"/>
  <c r="P157" i="2"/>
  <c r="BP156" i="2"/>
  <c r="BO156" i="2"/>
  <c r="BN156" i="2"/>
  <c r="BM156" i="2"/>
  <c r="Z156" i="2"/>
  <c r="Y156" i="2"/>
  <c r="P156" i="2"/>
  <c r="BO155" i="2"/>
  <c r="BM155" i="2"/>
  <c r="Y155" i="2"/>
  <c r="BP155" i="2" s="1"/>
  <c r="P155" i="2"/>
  <c r="X153" i="2"/>
  <c r="X152" i="2"/>
  <c r="BO151" i="2"/>
  <c r="BM151" i="2"/>
  <c r="Y151" i="2"/>
  <c r="H606" i="2" s="1"/>
  <c r="P151" i="2"/>
  <c r="X148" i="2"/>
  <c r="X147" i="2"/>
  <c r="BP146" i="2"/>
  <c r="BO146" i="2"/>
  <c r="BM146" i="2"/>
  <c r="Z146" i="2"/>
  <c r="Y146" i="2"/>
  <c r="BN146" i="2" s="1"/>
  <c r="P146" i="2"/>
  <c r="BO145" i="2"/>
  <c r="BM145" i="2"/>
  <c r="Y145" i="2"/>
  <c r="Y148" i="2" s="1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N124" i="2"/>
  <c r="BM124" i="2"/>
  <c r="Y124" i="2"/>
  <c r="BP124" i="2" s="1"/>
  <c r="P124" i="2"/>
  <c r="BO123" i="2"/>
  <c r="BM123" i="2"/>
  <c r="Y123" i="2"/>
  <c r="BP123" i="2" s="1"/>
  <c r="BP122" i="2"/>
  <c r="BO122" i="2"/>
  <c r="BM122" i="2"/>
  <c r="Z122" i="2"/>
  <c r="Y122" i="2"/>
  <c r="BN122" i="2" s="1"/>
  <c r="BO121" i="2"/>
  <c r="BM121" i="2"/>
  <c r="Y121" i="2"/>
  <c r="BP121" i="2" s="1"/>
  <c r="BO120" i="2"/>
  <c r="BM120" i="2"/>
  <c r="Y120" i="2"/>
  <c r="BP120" i="2" s="1"/>
  <c r="P120" i="2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Z98" i="2" s="1"/>
  <c r="BO97" i="2"/>
  <c r="BM97" i="2"/>
  <c r="Y97" i="2"/>
  <c r="BN97" i="2" s="1"/>
  <c r="BO96" i="2"/>
  <c r="BM96" i="2"/>
  <c r="Y96" i="2"/>
  <c r="BN96" i="2" s="1"/>
  <c r="BO95" i="2"/>
  <c r="BM95" i="2"/>
  <c r="Y95" i="2"/>
  <c r="Z95" i="2" s="1"/>
  <c r="BO94" i="2"/>
  <c r="BM94" i="2"/>
  <c r="Y94" i="2"/>
  <c r="BN94" i="2" s="1"/>
  <c r="P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Y83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Y78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Z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N52" i="2"/>
  <c r="BM52" i="2"/>
  <c r="Y52" i="2"/>
  <c r="BP52" i="2" s="1"/>
  <c r="P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X46" i="2"/>
  <c r="X45" i="2"/>
  <c r="BO44" i="2"/>
  <c r="BM44" i="2"/>
  <c r="Y44" i="2"/>
  <c r="BP44" i="2" s="1"/>
  <c r="P44" i="2"/>
  <c r="X42" i="2"/>
  <c r="X41" i="2"/>
  <c r="BP40" i="2"/>
  <c r="BO40" i="2"/>
  <c r="BN40" i="2"/>
  <c r="BM40" i="2"/>
  <c r="Z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Z25" i="2" s="1"/>
  <c r="BO24" i="2"/>
  <c r="BM24" i="2"/>
  <c r="Y24" i="2"/>
  <c r="BP24" i="2" s="1"/>
  <c r="BO23" i="2"/>
  <c r="BM23" i="2"/>
  <c r="Y23" i="2"/>
  <c r="BP23" i="2" s="1"/>
  <c r="P23" i="2"/>
  <c r="BO22" i="2"/>
  <c r="BM22" i="2"/>
  <c r="Y22" i="2"/>
  <c r="Y29" i="2" s="1"/>
  <c r="P22" i="2"/>
  <c r="H10" i="2"/>
  <c r="A9" i="2"/>
  <c r="A10" i="2" s="1"/>
  <c r="D7" i="2"/>
  <c r="Q6" i="2"/>
  <c r="P2" i="2"/>
  <c r="BN140" i="2" l="1"/>
  <c r="Y142" i="2"/>
  <c r="Z140" i="2"/>
  <c r="Z352" i="2"/>
  <c r="BP352" i="2"/>
  <c r="X600" i="2"/>
  <c r="BN82" i="2"/>
  <c r="BN115" i="2"/>
  <c r="BN119" i="2"/>
  <c r="Z136" i="2"/>
  <c r="BP136" i="2"/>
  <c r="Z185" i="2"/>
  <c r="BP185" i="2"/>
  <c r="Z189" i="2"/>
  <c r="Z190" i="2" s="1"/>
  <c r="Z211" i="2"/>
  <c r="BP211" i="2"/>
  <c r="Z237" i="2"/>
  <c r="BP237" i="2"/>
  <c r="Z249" i="2"/>
  <c r="Z250" i="2" s="1"/>
  <c r="BP249" i="2"/>
  <c r="Z52" i="2"/>
  <c r="Z66" i="2"/>
  <c r="BP96" i="2"/>
  <c r="Z124" i="2"/>
  <c r="Z167" i="2"/>
  <c r="Z168" i="2" s="1"/>
  <c r="BP167" i="2"/>
  <c r="Z207" i="2"/>
  <c r="Z218" i="2"/>
  <c r="Z222" i="2"/>
  <c r="Z234" i="2"/>
  <c r="Z244" i="2"/>
  <c r="Z246" i="2" s="1"/>
  <c r="Z390" i="2"/>
  <c r="Z423" i="2"/>
  <c r="Z486" i="2"/>
  <c r="BP486" i="2"/>
  <c r="Z508" i="2"/>
  <c r="Y553" i="2"/>
  <c r="Z82" i="2"/>
  <c r="Z115" i="2"/>
  <c r="Z119" i="2"/>
  <c r="Z227" i="2"/>
  <c r="BN249" i="2"/>
  <c r="Z438" i="2"/>
  <c r="Z499" i="2"/>
  <c r="Z507" i="2"/>
  <c r="BN508" i="2"/>
  <c r="BN22" i="2"/>
  <c r="BP22" i="2"/>
  <c r="BN25" i="2"/>
  <c r="BP25" i="2"/>
  <c r="Y45" i="2"/>
  <c r="Y46" i="2"/>
  <c r="BN53" i="2"/>
  <c r="BP53" i="2"/>
  <c r="BN54" i="2"/>
  <c r="BP54" i="2"/>
  <c r="BN58" i="2"/>
  <c r="BP74" i="2"/>
  <c r="BN87" i="2"/>
  <c r="BP87" i="2"/>
  <c r="BN106" i="2"/>
  <c r="BP106" i="2"/>
  <c r="Y111" i="2"/>
  <c r="Y143" i="2"/>
  <c r="BN155" i="2"/>
  <c r="BN195" i="2"/>
  <c r="BP215" i="2"/>
  <c r="BN223" i="2"/>
  <c r="BN238" i="2"/>
  <c r="BP238" i="2"/>
  <c r="Y250" i="2"/>
  <c r="BN254" i="2"/>
  <c r="BN257" i="2"/>
  <c r="Z266" i="2"/>
  <c r="BN266" i="2"/>
  <c r="Z272" i="2"/>
  <c r="Z273" i="2" s="1"/>
  <c r="BN272" i="2"/>
  <c r="BP272" i="2"/>
  <c r="Y273" i="2"/>
  <c r="BP278" i="2"/>
  <c r="Z280" i="2"/>
  <c r="BN280" i="2"/>
  <c r="Z289" i="2"/>
  <c r="BN289" i="2"/>
  <c r="Z312" i="2"/>
  <c r="Z313" i="2" s="1"/>
  <c r="BN312" i="2"/>
  <c r="Z322" i="2"/>
  <c r="Z323" i="2" s="1"/>
  <c r="Y323" i="2"/>
  <c r="BN330" i="2"/>
  <c r="BP330" i="2"/>
  <c r="X598" i="2"/>
  <c r="Z27" i="2"/>
  <c r="BN27" i="2"/>
  <c r="Z37" i="2"/>
  <c r="BN37" i="2"/>
  <c r="Z49" i="2"/>
  <c r="BN49" i="2"/>
  <c r="Z59" i="2"/>
  <c r="BN59" i="2"/>
  <c r="BP61" i="2"/>
  <c r="BP66" i="2"/>
  <c r="BN71" i="2"/>
  <c r="Z74" i="2"/>
  <c r="Z88" i="2"/>
  <c r="BN88" i="2"/>
  <c r="BN93" i="2"/>
  <c r="BP93" i="2"/>
  <c r="Z114" i="2"/>
  <c r="BN114" i="2"/>
  <c r="BN121" i="2"/>
  <c r="Z129" i="2"/>
  <c r="BN129" i="2"/>
  <c r="Y131" i="2"/>
  <c r="Z141" i="2"/>
  <c r="BN141" i="2"/>
  <c r="BP141" i="2"/>
  <c r="Z145" i="2"/>
  <c r="Z147" i="2" s="1"/>
  <c r="BN145" i="2"/>
  <c r="BP145" i="2"/>
  <c r="Z157" i="2"/>
  <c r="Y158" i="2"/>
  <c r="Y159" i="2"/>
  <c r="BN172" i="2"/>
  <c r="BP172" i="2"/>
  <c r="BN175" i="2"/>
  <c r="BP175" i="2"/>
  <c r="Z177" i="2"/>
  <c r="BN177" i="2"/>
  <c r="Z183" i="2"/>
  <c r="Z194" i="2"/>
  <c r="BN194" i="2"/>
  <c r="Y196" i="2"/>
  <c r="Z206" i="2"/>
  <c r="BN206" i="2"/>
  <c r="Z208" i="2"/>
  <c r="BN208" i="2"/>
  <c r="Z215" i="2"/>
  <c r="Z216" i="2"/>
  <c r="BN216" i="2"/>
  <c r="Y224" i="2"/>
  <c r="Z219" i="2"/>
  <c r="BN219" i="2"/>
  <c r="Z221" i="2"/>
  <c r="BN221" i="2"/>
  <c r="Y230" i="2"/>
  <c r="Z228" i="2"/>
  <c r="BN228" i="2"/>
  <c r="Y229" i="2"/>
  <c r="Z235" i="2"/>
  <c r="Z239" i="2"/>
  <c r="BN239" i="2"/>
  <c r="Y247" i="2"/>
  <c r="Z253" i="2"/>
  <c r="Y258" i="2"/>
  <c r="Z263" i="2"/>
  <c r="BN263" i="2"/>
  <c r="Z267" i="2"/>
  <c r="BN267" i="2"/>
  <c r="Y274" i="2"/>
  <c r="Z286" i="2"/>
  <c r="BN286" i="2"/>
  <c r="BN287" i="2"/>
  <c r="BP287" i="2"/>
  <c r="Z302" i="2"/>
  <c r="Z303" i="2" s="1"/>
  <c r="BN302" i="2"/>
  <c r="BP302" i="2"/>
  <c r="Y303" i="2"/>
  <c r="Y308" i="2"/>
  <c r="Z316" i="2"/>
  <c r="BN316" i="2"/>
  <c r="Y324" i="2"/>
  <c r="BN327" i="2"/>
  <c r="BN337" i="2"/>
  <c r="Y341" i="2"/>
  <c r="Y348" i="2"/>
  <c r="Y349" i="2"/>
  <c r="BP345" i="2"/>
  <c r="BN345" i="2"/>
  <c r="Z345" i="2"/>
  <c r="Y362" i="2"/>
  <c r="BN385" i="2"/>
  <c r="BP385" i="2"/>
  <c r="BP396" i="2"/>
  <c r="Y398" i="2"/>
  <c r="Y399" i="2"/>
  <c r="BN411" i="2"/>
  <c r="BN414" i="2"/>
  <c r="BP414" i="2"/>
  <c r="Y420" i="2"/>
  <c r="Y432" i="2"/>
  <c r="BN441" i="2"/>
  <c r="BP441" i="2"/>
  <c r="Z446" i="2"/>
  <c r="BN446" i="2"/>
  <c r="BN447" i="2"/>
  <c r="BP447" i="2"/>
  <c r="BN457" i="2"/>
  <c r="BP457" i="2"/>
  <c r="Y459" i="2"/>
  <c r="Z514" i="2"/>
  <c r="Z518" i="2"/>
  <c r="BN518" i="2"/>
  <c r="Z549" i="2"/>
  <c r="BN549" i="2"/>
  <c r="Z550" i="2"/>
  <c r="BN557" i="2"/>
  <c r="BP557" i="2"/>
  <c r="BN566" i="2"/>
  <c r="BP566" i="2"/>
  <c r="Z567" i="2"/>
  <c r="Z573" i="2"/>
  <c r="BN573" i="2"/>
  <c r="Z576" i="2"/>
  <c r="BN576" i="2"/>
  <c r="Y590" i="2"/>
  <c r="Y591" i="2"/>
  <c r="BN347" i="2"/>
  <c r="Y355" i="2"/>
  <c r="Z353" i="2"/>
  <c r="BN353" i="2"/>
  <c r="Z357" i="2"/>
  <c r="BN357" i="2"/>
  <c r="Z358" i="2"/>
  <c r="BN358" i="2"/>
  <c r="BN360" i="2"/>
  <c r="BP360" i="2"/>
  <c r="Z365" i="2"/>
  <c r="BN365" i="2"/>
  <c r="Z371" i="2"/>
  <c r="Z372" i="2" s="1"/>
  <c r="BN371" i="2"/>
  <c r="BP371" i="2"/>
  <c r="Y372" i="2"/>
  <c r="BP388" i="2"/>
  <c r="Z391" i="2"/>
  <c r="BN391" i="2"/>
  <c r="Y403" i="2"/>
  <c r="Y404" i="2"/>
  <c r="Z406" i="2"/>
  <c r="Z407" i="2" s="1"/>
  <c r="BN406" i="2"/>
  <c r="Z426" i="2"/>
  <c r="BN426" i="2"/>
  <c r="BP444" i="2"/>
  <c r="Z445" i="2"/>
  <c r="Z451" i="2"/>
  <c r="BN451" i="2"/>
  <c r="BP451" i="2"/>
  <c r="Z453" i="2"/>
  <c r="BN452" i="2"/>
  <c r="BP452" i="2"/>
  <c r="Y453" i="2"/>
  <c r="BN462" i="2"/>
  <c r="BP462" i="2"/>
  <c r="Z465" i="2"/>
  <c r="BN465" i="2"/>
  <c r="Z471" i="2"/>
  <c r="BN471" i="2"/>
  <c r="Y472" i="2"/>
  <c r="Y473" i="2"/>
  <c r="Y477" i="2"/>
  <c r="Y478" i="2"/>
  <c r="Z487" i="2"/>
  <c r="BN487" i="2"/>
  <c r="Z488" i="2"/>
  <c r="BN488" i="2"/>
  <c r="Z496" i="2"/>
  <c r="BN496" i="2"/>
  <c r="Z500" i="2"/>
  <c r="BN512" i="2"/>
  <c r="BN515" i="2"/>
  <c r="BP515" i="2"/>
  <c r="BN521" i="2"/>
  <c r="BP521" i="2"/>
  <c r="BN540" i="2"/>
  <c r="BN543" i="2"/>
  <c r="BN560" i="2"/>
  <c r="BP560" i="2"/>
  <c r="BN565" i="2"/>
  <c r="BP565" i="2"/>
  <c r="BN568" i="2"/>
  <c r="BP568" i="2"/>
  <c r="BP569" i="2"/>
  <c r="Y570" i="2"/>
  <c r="Z585" i="2"/>
  <c r="Z586" i="2" s="1"/>
  <c r="Y379" i="2"/>
  <c r="BP375" i="2"/>
  <c r="Y378" i="2"/>
  <c r="BN375" i="2"/>
  <c r="Z375" i="2"/>
  <c r="V606" i="2"/>
  <c r="BP425" i="2"/>
  <c r="BN425" i="2"/>
  <c r="Y482" i="2"/>
  <c r="Y481" i="2"/>
  <c r="BP490" i="2"/>
  <c r="BN490" i="2"/>
  <c r="Y503" i="2"/>
  <c r="Y595" i="2"/>
  <c r="Y594" i="2"/>
  <c r="BP593" i="2"/>
  <c r="Z184" i="2"/>
  <c r="Z186" i="2" s="1"/>
  <c r="BP285" i="2"/>
  <c r="P606" i="2"/>
  <c r="Z329" i="2"/>
  <c r="BP332" i="2"/>
  <c r="BN332" i="2"/>
  <c r="Z332" i="2"/>
  <c r="Y393" i="2"/>
  <c r="W606" i="2"/>
  <c r="Z425" i="2"/>
  <c r="Z480" i="2"/>
  <c r="Z481" i="2" s="1"/>
  <c r="Z490" i="2"/>
  <c r="Y510" i="2"/>
  <c r="Y509" i="2"/>
  <c r="Z527" i="2"/>
  <c r="BP556" i="2"/>
  <c r="BN556" i="2"/>
  <c r="Z556" i="2"/>
  <c r="BP100" i="2"/>
  <c r="Z100" i="2"/>
  <c r="Z209" i="2"/>
  <c r="Y212" i="2"/>
  <c r="Z236" i="2"/>
  <c r="Z285" i="2"/>
  <c r="BP294" i="2"/>
  <c r="BN294" i="2"/>
  <c r="Z294" i="2"/>
  <c r="Z295" i="2" s="1"/>
  <c r="Q606" i="2"/>
  <c r="Y545" i="2"/>
  <c r="Z51" i="2"/>
  <c r="BN125" i="2"/>
  <c r="BN130" i="2"/>
  <c r="Z176" i="2"/>
  <c r="BN184" i="2"/>
  <c r="Z217" i="2"/>
  <c r="Z279" i="2"/>
  <c r="BP288" i="2"/>
  <c r="BN288" i="2"/>
  <c r="BN329" i="2"/>
  <c r="Y368" i="2"/>
  <c r="BP364" i="2"/>
  <c r="Y367" i="2"/>
  <c r="BN364" i="2"/>
  <c r="Z386" i="2"/>
  <c r="Z389" i="2"/>
  <c r="Z442" i="2"/>
  <c r="Y448" i="2"/>
  <c r="BN480" i="2"/>
  <c r="BN527" i="2"/>
  <c r="Z541" i="2"/>
  <c r="BN550" i="2"/>
  <c r="BN585" i="2"/>
  <c r="BN593" i="2"/>
  <c r="Z125" i="2"/>
  <c r="Z173" i="2"/>
  <c r="Z204" i="2"/>
  <c r="BN209" i="2"/>
  <c r="BN285" i="2"/>
  <c r="Z288" i="2"/>
  <c r="Z317" i="2"/>
  <c r="Z318" i="2" s="1"/>
  <c r="Z343" i="2"/>
  <c r="Z351" i="2"/>
  <c r="Z364" i="2"/>
  <c r="BN383" i="2"/>
  <c r="BP392" i="2"/>
  <c r="BN392" i="2"/>
  <c r="Z412" i="2"/>
  <c r="Z415" i="2"/>
  <c r="Z439" i="2"/>
  <c r="BN445" i="2"/>
  <c r="BN505" i="2"/>
  <c r="BP522" i="2"/>
  <c r="BN522" i="2"/>
  <c r="Z547" i="2"/>
  <c r="Z31" i="2"/>
  <c r="Z32" i="2" s="1"/>
  <c r="Z38" i="2"/>
  <c r="BP51" i="2"/>
  <c r="Z67" i="2"/>
  <c r="Z75" i="2"/>
  <c r="Z89" i="2"/>
  <c r="BP97" i="2"/>
  <c r="BP109" i="2"/>
  <c r="Z123" i="2"/>
  <c r="BP130" i="2"/>
  <c r="Z161" i="2"/>
  <c r="Z162" i="2" s="1"/>
  <c r="BN176" i="2"/>
  <c r="BP179" i="2"/>
  <c r="BN179" i="2"/>
  <c r="Y213" i="2"/>
  <c r="BN217" i="2"/>
  <c r="BP220" i="2"/>
  <c r="BN220" i="2"/>
  <c r="BP236" i="2"/>
  <c r="Z255" i="2"/>
  <c r="Z264" i="2"/>
  <c r="BN279" i="2"/>
  <c r="Y314" i="2"/>
  <c r="Y313" i="2"/>
  <c r="S606" i="2"/>
  <c r="Y333" i="2"/>
  <c r="Z338" i="2"/>
  <c r="Z346" i="2"/>
  <c r="Z359" i="2"/>
  <c r="Z376" i="2"/>
  <c r="BN386" i="2"/>
  <c r="BN389" i="2"/>
  <c r="Z392" i="2"/>
  <c r="Y606" i="2"/>
  <c r="Y449" i="2"/>
  <c r="BN442" i="2"/>
  <c r="BP480" i="2"/>
  <c r="Z494" i="2"/>
  <c r="Z497" i="2"/>
  <c r="Z522" i="2"/>
  <c r="BN541" i="2"/>
  <c r="Z561" i="2"/>
  <c r="BP585" i="2"/>
  <c r="BN173" i="2"/>
  <c r="Y259" i="2"/>
  <c r="Y295" i="2"/>
  <c r="BN317" i="2"/>
  <c r="BN343" i="2"/>
  <c r="BN351" i="2"/>
  <c r="Y354" i="2"/>
  <c r="BP383" i="2"/>
  <c r="BN412" i="2"/>
  <c r="BN415" i="2"/>
  <c r="BN439" i="2"/>
  <c r="BP505" i="2"/>
  <c r="Y524" i="2"/>
  <c r="AD606" i="2"/>
  <c r="BN547" i="2"/>
  <c r="Z130" i="2"/>
  <c r="BN100" i="2"/>
  <c r="Z23" i="2"/>
  <c r="BN80" i="2"/>
  <c r="BN204" i="2"/>
  <c r="BN38" i="2"/>
  <c r="Y63" i="2"/>
  <c r="BN67" i="2"/>
  <c r="BN75" i="2"/>
  <c r="Y84" i="2"/>
  <c r="BN89" i="2"/>
  <c r="BP94" i="2"/>
  <c r="Z101" i="2"/>
  <c r="Z107" i="2"/>
  <c r="Y110" i="2"/>
  <c r="Z120" i="2"/>
  <c r="BN123" i="2"/>
  <c r="Y126" i="2"/>
  <c r="Z151" i="2"/>
  <c r="Z152" i="2" s="1"/>
  <c r="BN161" i="2"/>
  <c r="J606" i="2"/>
  <c r="Z199" i="2"/>
  <c r="BP217" i="2"/>
  <c r="BN255" i="2"/>
  <c r="BN264" i="2"/>
  <c r="BN338" i="2"/>
  <c r="BN346" i="2"/>
  <c r="BN359" i="2"/>
  <c r="BN376" i="2"/>
  <c r="Y466" i="2"/>
  <c r="BN494" i="2"/>
  <c r="BN497" i="2"/>
  <c r="Z519" i="2"/>
  <c r="Z538" i="2"/>
  <c r="BN561" i="2"/>
  <c r="Y586" i="2"/>
  <c r="Z72" i="2"/>
  <c r="Y41" i="2"/>
  <c r="BP26" i="2"/>
  <c r="BP210" i="2"/>
  <c r="BN210" i="2"/>
  <c r="Y268" i="2"/>
  <c r="Y334" i="2"/>
  <c r="BP343" i="2"/>
  <c r="BP351" i="2"/>
  <c r="BN500" i="2"/>
  <c r="BP506" i="2"/>
  <c r="BN506" i="2"/>
  <c r="Z506" i="2"/>
  <c r="Z509" i="2" s="1"/>
  <c r="BP542" i="2"/>
  <c r="BN542" i="2"/>
  <c r="BP547" i="2"/>
  <c r="Y577" i="2"/>
  <c r="X596" i="2"/>
  <c r="Z97" i="2"/>
  <c r="Z80" i="2"/>
  <c r="BN101" i="2"/>
  <c r="BN120" i="2"/>
  <c r="BN151" i="2"/>
  <c r="BP161" i="2"/>
  <c r="Y180" i="2"/>
  <c r="BP171" i="2"/>
  <c r="BN199" i="2"/>
  <c r="Z210" i="2"/>
  <c r="Z262" i="2"/>
  <c r="BP277" i="2"/>
  <c r="BN277" i="2"/>
  <c r="Z277" i="2"/>
  <c r="O606" i="2"/>
  <c r="Y296" i="2"/>
  <c r="Z384" i="2"/>
  <c r="BP387" i="2"/>
  <c r="BN387" i="2"/>
  <c r="Z387" i="2"/>
  <c r="Z463" i="2"/>
  <c r="Y502" i="2"/>
  <c r="Z516" i="2"/>
  <c r="BN519" i="2"/>
  <c r="BN538" i="2"/>
  <c r="Z542" i="2"/>
  <c r="BN23" i="2"/>
  <c r="BP98" i="2"/>
  <c r="BP344" i="2"/>
  <c r="BN344" i="2"/>
  <c r="BP406" i="2"/>
  <c r="BP436" i="2"/>
  <c r="BP440" i="2"/>
  <c r="BN440" i="2"/>
  <c r="Y467" i="2"/>
  <c r="Y552" i="2"/>
  <c r="Z558" i="2"/>
  <c r="BP31" i="2"/>
  <c r="BP80" i="2"/>
  <c r="BN98" i="2"/>
  <c r="Z24" i="2"/>
  <c r="BP81" i="2"/>
  <c r="Z81" i="2"/>
  <c r="BP174" i="2"/>
  <c r="BN174" i="2"/>
  <c r="Z174" i="2"/>
  <c r="BP199" i="2"/>
  <c r="Z240" i="2"/>
  <c r="Y300" i="2"/>
  <c r="Y299" i="2"/>
  <c r="Z336" i="2"/>
  <c r="Z344" i="2"/>
  <c r="BN384" i="2"/>
  <c r="Y394" i="2"/>
  <c r="Z401" i="2"/>
  <c r="BP437" i="2"/>
  <c r="BN437" i="2"/>
  <c r="Z440" i="2"/>
  <c r="BN463" i="2"/>
  <c r="Z498" i="2"/>
  <c r="BN516" i="2"/>
  <c r="BP538" i="2"/>
  <c r="Z574" i="2"/>
  <c r="Y578" i="2"/>
  <c r="BN26" i="2"/>
  <c r="BN72" i="2"/>
  <c r="Y32" i="2"/>
  <c r="Z65" i="2"/>
  <c r="Z68" i="2" s="1"/>
  <c r="BN95" i="2"/>
  <c r="BN24" i="2"/>
  <c r="Z76" i="2"/>
  <c r="Y116" i="2"/>
  <c r="BN113" i="2"/>
  <c r="BN171" i="2"/>
  <c r="Y186" i="2"/>
  <c r="BP194" i="2"/>
  <c r="BN245" i="2"/>
  <c r="Z298" i="2"/>
  <c r="Z299" i="2" s="1"/>
  <c r="Z328" i="2"/>
  <c r="Z339" i="2"/>
  <c r="Z377" i="2"/>
  <c r="Y407" i="2"/>
  <c r="Z419" i="2"/>
  <c r="Z420" i="2" s="1"/>
  <c r="Z424" i="2"/>
  <c r="Z427" i="2" s="1"/>
  <c r="Y427" i="2"/>
  <c r="Z437" i="2"/>
  <c r="Z489" i="2"/>
  <c r="Z492" i="2"/>
  <c r="Z495" i="2"/>
  <c r="BP501" i="2"/>
  <c r="BN501" i="2"/>
  <c r="Z501" i="2"/>
  <c r="Z513" i="2"/>
  <c r="Z526" i="2"/>
  <c r="Z529" i="2" s="1"/>
  <c r="BP539" i="2"/>
  <c r="BN539" i="2"/>
  <c r="BN558" i="2"/>
  <c r="AE606" i="2"/>
  <c r="Y583" i="2"/>
  <c r="Y582" i="2"/>
  <c r="BP581" i="2"/>
  <c r="Z581" i="2"/>
  <c r="Z582" i="2" s="1"/>
  <c r="Y68" i="2"/>
  <c r="Y162" i="2"/>
  <c r="Z44" i="2"/>
  <c r="Z45" i="2" s="1"/>
  <c r="BP95" i="2"/>
  <c r="BN39" i="2"/>
  <c r="BN73" i="2"/>
  <c r="Y152" i="2"/>
  <c r="BP200" i="2"/>
  <c r="BN200" i="2"/>
  <c r="BN240" i="2"/>
  <c r="BN256" i="2"/>
  <c r="BP262" i="2"/>
  <c r="Y269" i="2"/>
  <c r="BN336" i="2"/>
  <c r="BN401" i="2"/>
  <c r="Z458" i="2"/>
  <c r="Z459" i="2" s="1"/>
  <c r="BN498" i="2"/>
  <c r="Y529" i="2"/>
  <c r="Z539" i="2"/>
  <c r="BN574" i="2"/>
  <c r="F9" i="2"/>
  <c r="Y55" i="2"/>
  <c r="Z171" i="2"/>
  <c r="Z39" i="2"/>
  <c r="Y91" i="2"/>
  <c r="Z50" i="2"/>
  <c r="Z55" i="2" s="1"/>
  <c r="BN60" i="2"/>
  <c r="Z113" i="2"/>
  <c r="Z116" i="2" s="1"/>
  <c r="BN44" i="2"/>
  <c r="Y62" i="2"/>
  <c r="BP65" i="2"/>
  <c r="Z96" i="2"/>
  <c r="Z108" i="2"/>
  <c r="Z200" i="2"/>
  <c r="BP205" i="2"/>
  <c r="Y225" i="2"/>
  <c r="BP245" i="2"/>
  <c r="Z278" i="2"/>
  <c r="Y281" i="2"/>
  <c r="BN298" i="2"/>
  <c r="BP307" i="2"/>
  <c r="BN307" i="2"/>
  <c r="Z307" i="2"/>
  <c r="Z308" i="2" s="1"/>
  <c r="R606" i="2"/>
  <c r="Y319" i="2"/>
  <c r="BN328" i="2"/>
  <c r="BN339" i="2"/>
  <c r="BN377" i="2"/>
  <c r="Z388" i="2"/>
  <c r="Z396" i="2"/>
  <c r="BN419" i="2"/>
  <c r="BN424" i="2"/>
  <c r="Z444" i="2"/>
  <c r="BP464" i="2"/>
  <c r="BN464" i="2"/>
  <c r="Z464" i="2"/>
  <c r="BN489" i="2"/>
  <c r="BN492" i="2"/>
  <c r="BN495" i="2"/>
  <c r="BN513" i="2"/>
  <c r="BN526" i="2"/>
  <c r="Y563" i="2"/>
  <c r="Y562" i="2"/>
  <c r="BP555" i="2"/>
  <c r="BP559" i="2"/>
  <c r="BN559" i="2"/>
  <c r="Z559" i="2"/>
  <c r="Z569" i="2"/>
  <c r="Z570" i="2" s="1"/>
  <c r="BN581" i="2"/>
  <c r="BN109" i="2"/>
  <c r="Z94" i="2"/>
  <c r="Z90" i="2"/>
  <c r="J9" i="2"/>
  <c r="Z60" i="2"/>
  <c r="Z135" i="2"/>
  <c r="Z137" i="2" s="1"/>
  <c r="Y138" i="2"/>
  <c r="G606" i="2"/>
  <c r="Z256" i="2"/>
  <c r="Y56" i="2"/>
  <c r="BN65" i="2"/>
  <c r="Y33" i="2"/>
  <c r="Z99" i="2"/>
  <c r="Y102" i="2"/>
  <c r="BN135" i="2"/>
  <c r="B606" i="2"/>
  <c r="Z22" i="2"/>
  <c r="Z28" i="2" s="1"/>
  <c r="C606" i="2"/>
  <c r="BN50" i="2"/>
  <c r="Z58" i="2"/>
  <c r="BP76" i="2"/>
  <c r="BN99" i="2"/>
  <c r="Y117" i="2"/>
  <c r="BP135" i="2"/>
  <c r="BN157" i="2"/>
  <c r="I606" i="2"/>
  <c r="BN183" i="2"/>
  <c r="Y187" i="2"/>
  <c r="Z195" i="2"/>
  <c r="Z196" i="2" s="1"/>
  <c r="BN235" i="2"/>
  <c r="BN253" i="2"/>
  <c r="Y290" i="2"/>
  <c r="BN322" i="2"/>
  <c r="BN331" i="2"/>
  <c r="BP336" i="2"/>
  <c r="BP401" i="2"/>
  <c r="Y417" i="2"/>
  <c r="Y428" i="2"/>
  <c r="BN458" i="2"/>
  <c r="BP517" i="2"/>
  <c r="BN517" i="2"/>
  <c r="Z517" i="2"/>
  <c r="Z555" i="2"/>
  <c r="D606" i="2"/>
  <c r="Y42" i="2"/>
  <c r="BN107" i="2"/>
  <c r="Y90" i="2"/>
  <c r="Z73" i="2"/>
  <c r="BP107" i="2"/>
  <c r="Y132" i="2"/>
  <c r="Y181" i="2"/>
  <c r="Z205" i="2"/>
  <c r="BN262" i="2"/>
  <c r="BN81" i="2"/>
  <c r="X597" i="2"/>
  <c r="Y77" i="2"/>
  <c r="BP71" i="2"/>
  <c r="Z71" i="2"/>
  <c r="Z77" i="2" s="1"/>
  <c r="Y103" i="2"/>
  <c r="BN108" i="2"/>
  <c r="BP113" i="2"/>
  <c r="Y153" i="2"/>
  <c r="Y191" i="2"/>
  <c r="Y190" i="2"/>
  <c r="BP189" i="2"/>
  <c r="Y246" i="2"/>
  <c r="BP298" i="2"/>
  <c r="Y361" i="2"/>
  <c r="BP402" i="2"/>
  <c r="BN402" i="2"/>
  <c r="Z402" i="2"/>
  <c r="BP419" i="2"/>
  <c r="Y431" i="2"/>
  <c r="BP430" i="2"/>
  <c r="BN430" i="2"/>
  <c r="BP526" i="2"/>
  <c r="L606" i="2"/>
  <c r="F10" i="2"/>
  <c r="H9" i="2"/>
  <c r="BP151" i="2"/>
  <c r="BP265" i="2"/>
  <c r="BN265" i="2"/>
  <c r="Y28" i="2"/>
  <c r="Y127" i="2"/>
  <c r="K606" i="2"/>
  <c r="Y242" i="2"/>
  <c r="BP233" i="2"/>
  <c r="Y241" i="2"/>
  <c r="Y282" i="2"/>
  <c r="BP322" i="2"/>
  <c r="BP458" i="2"/>
  <c r="Y534" i="2"/>
  <c r="Y533" i="2"/>
  <c r="BP532" i="2"/>
  <c r="Y544" i="2"/>
  <c r="BN555" i="2"/>
  <c r="U606" i="2"/>
  <c r="Z575" i="2"/>
  <c r="BN575" i="2"/>
  <c r="E606" i="2"/>
  <c r="X606" i="2"/>
  <c r="Z397" i="2"/>
  <c r="Z443" i="2"/>
  <c r="Z470" i="2"/>
  <c r="Z493" i="2"/>
  <c r="BN514" i="2"/>
  <c r="Z520" i="2"/>
  <c r="Z548" i="2"/>
  <c r="Z551" i="2"/>
  <c r="BN567" i="2"/>
  <c r="Z589" i="2"/>
  <c r="Z590" i="2" s="1"/>
  <c r="F606" i="2"/>
  <c r="Z413" i="2"/>
  <c r="Z476" i="2"/>
  <c r="Z477" i="2" s="1"/>
  <c r="Z121" i="2"/>
  <c r="Y147" i="2"/>
  <c r="Z155" i="2"/>
  <c r="Z158" i="2" s="1"/>
  <c r="Z223" i="2"/>
  <c r="Z254" i="2"/>
  <c r="Z257" i="2"/>
  <c r="Y318" i="2"/>
  <c r="Z327" i="2"/>
  <c r="Z337" i="2"/>
  <c r="Z347" i="2"/>
  <c r="Y523" i="2"/>
  <c r="Z540" i="2"/>
  <c r="Z543" i="2"/>
  <c r="Y571" i="2"/>
  <c r="Z606" i="2"/>
  <c r="BN397" i="2"/>
  <c r="BN413" i="2"/>
  <c r="Y416" i="2"/>
  <c r="BN443" i="2"/>
  <c r="Y460" i="2"/>
  <c r="BN470" i="2"/>
  <c r="BN476" i="2"/>
  <c r="BN493" i="2"/>
  <c r="BN520" i="2"/>
  <c r="BN548" i="2"/>
  <c r="BN551" i="2"/>
  <c r="BN589" i="2"/>
  <c r="AA606" i="2"/>
  <c r="AB606" i="2"/>
  <c r="Z411" i="2"/>
  <c r="Z512" i="2"/>
  <c r="AC606" i="2"/>
  <c r="Z142" i="2" l="1"/>
  <c r="Z229" i="2"/>
  <c r="Z354" i="2"/>
  <c r="Z472" i="2"/>
  <c r="X599" i="2"/>
  <c r="Z268" i="2"/>
  <c r="Z131" i="2"/>
  <c r="Z523" i="2"/>
  <c r="Z102" i="2"/>
  <c r="Z361" i="2"/>
  <c r="Z367" i="2"/>
  <c r="Z416" i="2"/>
  <c r="Z398" i="2"/>
  <c r="Z448" i="2"/>
  <c r="Y598" i="2"/>
  <c r="Z126" i="2"/>
  <c r="Z110" i="2"/>
  <c r="Z41" i="2"/>
  <c r="Y596" i="2"/>
  <c r="Z502" i="2"/>
  <c r="Z577" i="2"/>
  <c r="Z340" i="2"/>
  <c r="Y597" i="2"/>
  <c r="Z466" i="2"/>
  <c r="Z393" i="2"/>
  <c r="Z224" i="2"/>
  <c r="Z241" i="2"/>
  <c r="Z544" i="2"/>
  <c r="Z290" i="2"/>
  <c r="Z378" i="2"/>
  <c r="Z281" i="2"/>
  <c r="Z62" i="2"/>
  <c r="Z552" i="2"/>
  <c r="Z212" i="2"/>
  <c r="Z333" i="2"/>
  <c r="Z201" i="2"/>
  <c r="Z83" i="2"/>
  <c r="Z403" i="2"/>
  <c r="Z180" i="2"/>
  <c r="Z258" i="2"/>
  <c r="Z348" i="2"/>
  <c r="Y600" i="2"/>
  <c r="Z562" i="2"/>
  <c r="Y599" i="2" l="1"/>
  <c r="Z601" i="2"/>
</calcChain>
</file>

<file path=xl/sharedStrings.xml><?xml version="1.0" encoding="utf-8"?>
<sst xmlns="http://schemas.openxmlformats.org/spreadsheetml/2006/main" count="4564" uniqueCount="983">
  <si>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</si>
  <si>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</si>
  <si>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</si>
  <si>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</si>
  <si>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</si>
  <si>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</si>
  <si>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</si>
  <si>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</si>
  <si>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</si>
  <si>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</si>
  <si>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</si>
  <si>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</si>
  <si>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</si>
  <si>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</si>
  <si>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</si>
  <si>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</si>
  <si>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</si>
  <si>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</si>
  <si>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</si>
  <si>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</si>
  <si>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</si>
  <si>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</si>
  <si>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</si>
  <si>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</si>
  <si>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</si>
  <si>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</si>
  <si>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</si>
  <si>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</si>
  <si>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</si>
  <si>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</si>
  <si>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</si>
  <si>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</si>
  <si>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</si>
  <si>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</si>
  <si>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</si>
  <si>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</si>
  <si>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</si>
  <si>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</si>
  <si>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</si>
  <si>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</si>
  <si>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</si>
  <si>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</si>
  <si>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</si>
  <si>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</si>
  <si>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</si>
  <si>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</si>
  <si>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</si>
  <si>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</si>
  <si>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</si>
  <si>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</si>
  <si>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</si>
  <si>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</si>
  <si>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</si>
  <si>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</si>
  <si>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</si>
  <si>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</si>
  <si>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</si>
  <si>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</si>
  <si>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</si>
  <si>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</si>
  <si>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</si>
  <si>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</si>
  <si>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</si>
  <si>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</si>
  <si>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</si>
  <si>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</si>
  <si>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</si>
  <si>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28.04.2025</t>
  </si>
  <si>
    <t>23.04.2025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</si>
  <si>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</si>
  <si>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</si>
  <si>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</si>
  <si>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</si>
  <si>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</si>
  <si>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</si>
  <si>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</si>
  <si>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</si>
  <si>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</si>
  <si>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</si>
  <si>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</si>
  <si>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</si>
  <si>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</si>
  <si>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</si>
  <si>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</si>
  <si>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</si>
  <si>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</si>
  <si>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</si>
  <si>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</si>
  <si>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</si>
  <si>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</si>
  <si>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</si>
  <si>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</si>
  <si>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</si>
  <si>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</si>
  <si>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</si>
  <si>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</si>
  <si>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</si>
  <si>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</si>
  <si>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</si>
  <si>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</si>
  <si>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</si>
  <si>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</si>
  <si>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</si>
  <si>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</si>
  <si>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</si>
  <si>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</si>
  <si>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</si>
  <si>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</si>
  <si>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</si>
  <si>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</si>
  <si>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</si>
  <si>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</si>
  <si>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</si>
  <si>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</si>
  <si>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</si>
  <si>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</si>
  <si>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</si>
  <si>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</si>
  <si>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</si>
  <si>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</si>
  <si>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</si>
  <si>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</si>
  <si>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</si>
  <si>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</si>
  <si>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</si>
  <si>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</si>
  <si>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</si>
  <si>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</si>
  <si>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</si>
  <si>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</si>
  <si>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</si>
  <si>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</si>
  <si>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</si>
  <si>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</si>
  <si>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</si>
  <si>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</si>
  <si>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</si>
  <si>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</si>
  <si>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</si>
  <si>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</si>
  <si>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</si>
  <si>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</si>
  <si>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</si>
  <si>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</si>
  <si>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</si>
  <si>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</si>
  <si>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</si>
  <si>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</si>
  <si>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</si>
  <si>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</si>
  <si>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</si>
  <si>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</si>
  <si>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</si>
  <si>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</si>
  <si>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</si>
  <si>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</si>
  <si>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</si>
  <si>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</si>
  <si>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</si>
  <si>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</si>
  <si>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</si>
  <si>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</si>
  <si>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</si>
  <si>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</si>
  <si>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</si>
  <si>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</si>
  <si>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</si>
  <si>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</si>
  <si>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</si>
  <si>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</si>
  <si>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</si>
  <si>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</si>
  <si>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</si>
  <si>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</si>
  <si>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</si>
  <si>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</si>
  <si>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</si>
  <si>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</si>
  <si>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</si>
  <si>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</si>
  <si>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</si>
  <si>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</si>
  <si>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</si>
  <si>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</si>
  <si>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</si>
  <si>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</si>
  <si>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</si>
  <si>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</si>
  <si>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</si>
  <si>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</si>
  <si>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</si>
  <si>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</si>
  <si>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</si>
  <si>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</si>
  <si>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</si>
  <si>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</si>
  <si>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</si>
  <si>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</si>
  <si>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</si>
  <si>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</si>
  <si>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</si>
  <si>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</si>
  <si>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</si>
  <si>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</si>
  <si>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</si>
  <si>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</si>
  <si>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</si>
  <si>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</si>
  <si>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</si>
  <si>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</si>
  <si>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</si>
  <si>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</si>
  <si>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</si>
  <si>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</si>
  <si>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</si>
  <si>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</si>
  <si>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</si>
  <si>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</si>
  <si>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</si>
  <si>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</si>
  <si>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</si>
  <si>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</si>
  <si>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</si>
  <si>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</si>
  <si>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</si>
  <si>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</si>
  <si>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</si>
  <si>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</si>
  <si>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</si>
  <si>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</si>
  <si>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</si>
  <si>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</si>
  <si>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</si>
  <si>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</si>
  <si>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</si>
  <si>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</si>
  <si>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</si>
  <si>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</si>
  <si>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</si>
  <si>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</si>
  <si>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</si>
  <si>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</si>
  <si>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</si>
  <si>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</si>
  <si>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</si>
  <si>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</si>
  <si>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</si>
  <si>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</si>
  <si>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</si>
  <si>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</si>
  <si>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</si>
  <si>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</si>
  <si>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</si>
  <si>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</si>
  <si>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</si>
  <si>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</si>
  <si>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</si>
  <si>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</si>
  <si>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</si>
  <si>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</si>
  <si>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</si>
  <si>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</si>
  <si>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</si>
  <si>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</si>
  <si>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</si>
  <si>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</si>
  <si>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</si>
  <si>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</si>
  <si>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</si>
  <si>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</si>
  <si>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</si>
  <si>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</si>
  <si>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</si>
  <si>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</si>
  <si>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</si>
  <si>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</si>
  <si>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</si>
  <si>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</si>
  <si>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</si>
  <si>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</si>
  <si>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</si>
  <si>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</si>
  <si>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</si>
  <si>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</si>
  <si>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</si>
  <si>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</si>
  <si>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</si>
  <si>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</si>
  <si>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</si>
  <si>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</si>
  <si>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</si>
  <si>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</si>
  <si>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</si>
  <si>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</si>
  <si>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</si>
  <si>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</si>
  <si>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</si>
  <si>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</si>
  <si>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</si>
  <si>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</si>
  <si>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</si>
  <si>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</si>
  <si>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</si>
  <si>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</si>
  <si>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</si>
  <si>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</si>
  <si>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</si>
  <si>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</si>
  <si>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</si>
  <si>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</si>
  <si>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</si>
  <si>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</si>
  <si>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</si>
  <si>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</si>
  <si>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</si>
  <si>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</si>
  <si>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</si>
  <si>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</si>
  <si>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</si>
  <si>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</si>
  <si>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</si>
  <si>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</si>
  <si>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</si>
  <si>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</si>
  <si>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</si>
  <si>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</si>
  <si>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</si>
  <si>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</si>
  <si>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Новинка</t>
  </si>
  <si>
    <t>МЗР</t>
  </si>
  <si>
    <t>27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</si>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</sst>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944" fillId="0" borderId="11" xfId="0" applyFont="1" applyBorder="1" applyAlignment="1" applyProtection="1">
      <alignment wrapText="1"/>
      <protection hidden="1"/>
    </xf>
    <xf numFmtId="0" fontId="94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37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940" fillId="0" borderId="45" xfId="0" applyFont="1" applyBorder="1" applyAlignment="1">
      <alignment horizontal="left" vertical="center" wrapText="1"/>
    </xf>
    <xf numFmtId="0" fontId="943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3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D534" zoomScaleNormal="100" zoomScaleSheetLayoutView="100" workbookViewId="0">
      <selection activeCell="X402" sqref="X40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4" t="s">
        <v>26</v>
      </c>
      <c r="E1" s="1024"/>
      <c r="F1" s="1024"/>
      <c r="G1" s="14" t="s">
        <v>66</v>
      </c>
      <c r="H1" s="1024" t="s">
        <v>46</v>
      </c>
      <c r="I1" s="1024"/>
      <c r="J1" s="1024"/>
      <c r="K1" s="1024"/>
      <c r="L1" s="1024"/>
      <c r="M1" s="1024"/>
      <c r="N1" s="1024"/>
      <c r="O1" s="1024"/>
      <c r="P1" s="1024"/>
      <c r="Q1" s="1024"/>
      <c r="R1" s="1025" t="s">
        <v>67</v>
      </c>
      <c r="S1" s="1026"/>
      <c r="T1" s="10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7"/>
      <c r="R2" s="1027"/>
      <c r="S2" s="1027"/>
      <c r="T2" s="1027"/>
      <c r="U2" s="1027"/>
      <c r="V2" s="1027"/>
      <c r="W2" s="102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7"/>
      <c r="Q3" s="1027"/>
      <c r="R3" s="1027"/>
      <c r="S3" s="1027"/>
      <c r="T3" s="1027"/>
      <c r="U3" s="1027"/>
      <c r="V3" s="1027"/>
      <c r="W3" s="102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8" t="s">
        <v>8</v>
      </c>
      <c r="B5" s="1028"/>
      <c r="C5" s="1028"/>
      <c r="D5" s="1029"/>
      <c r="E5" s="1029"/>
      <c r="F5" s="1030" t="s">
        <v>14</v>
      </c>
      <c r="G5" s="1030"/>
      <c r="H5" s="1029"/>
      <c r="I5" s="1029"/>
      <c r="J5" s="1029"/>
      <c r="K5" s="1029"/>
      <c r="L5" s="1029"/>
      <c r="M5" s="1029"/>
      <c r="N5" s="69"/>
      <c r="P5" s="26" t="s">
        <v>4</v>
      </c>
      <c r="Q5" s="1031">
        <v>45773</v>
      </c>
      <c r="R5" s="1031"/>
      <c r="T5" s="1032" t="s">
        <v>3</v>
      </c>
      <c r="U5" s="1033"/>
      <c r="V5" s="1034" t="s">
        <v>969</v>
      </c>
      <c r="W5" s="1035"/>
      <c r="AB5" s="57"/>
      <c r="AC5" s="57"/>
      <c r="AD5" s="57"/>
      <c r="AE5" s="57"/>
    </row>
    <row r="6" spans="1:32" s="17" customFormat="1" ht="24" customHeight="1" x14ac:dyDescent="0.2">
      <c r="A6" s="1028" t="s">
        <v>1</v>
      </c>
      <c r="B6" s="1028"/>
      <c r="C6" s="1028"/>
      <c r="D6" s="1036" t="s">
        <v>75</v>
      </c>
      <c r="E6" s="1036"/>
      <c r="F6" s="1036"/>
      <c r="G6" s="1036"/>
      <c r="H6" s="1036"/>
      <c r="I6" s="1036"/>
      <c r="J6" s="1036"/>
      <c r="K6" s="1036"/>
      <c r="L6" s="1036"/>
      <c r="M6" s="1036"/>
      <c r="N6" s="70"/>
      <c r="P6" s="26" t="s">
        <v>27</v>
      </c>
      <c r="Q6" s="1037" t="str">
        <f>IF(Q5=0," ",CHOOSE(WEEKDAY(Q5,2),"Понедельник","Вторник","Среда","Четверг","Пятница","Суббота","Воскресенье"))</f>
        <v>Суббота</v>
      </c>
      <c r="R6" s="1037"/>
      <c r="T6" s="1038" t="s">
        <v>5</v>
      </c>
      <c r="U6" s="1039"/>
      <c r="V6" s="1040" t="s">
        <v>69</v>
      </c>
      <c r="W6" s="104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6" t="str">
        <f>IFERROR(VLOOKUP(DeliveryAddress,Table,3,0),1)</f>
        <v>1</v>
      </c>
      <c r="E7" s="1047"/>
      <c r="F7" s="1047"/>
      <c r="G7" s="1047"/>
      <c r="H7" s="1047"/>
      <c r="I7" s="1047"/>
      <c r="J7" s="1047"/>
      <c r="K7" s="1047"/>
      <c r="L7" s="1047"/>
      <c r="M7" s="1048"/>
      <c r="N7" s="71"/>
      <c r="P7" s="26"/>
      <c r="Q7" s="46"/>
      <c r="R7" s="46"/>
      <c r="T7" s="1038"/>
      <c r="U7" s="1039"/>
      <c r="V7" s="1042"/>
      <c r="W7" s="1043"/>
      <c r="AB7" s="57"/>
      <c r="AC7" s="57"/>
      <c r="AD7" s="57"/>
      <c r="AE7" s="57"/>
    </row>
    <row r="8" spans="1:32" s="17" customFormat="1" ht="25.5" customHeight="1" x14ac:dyDescent="0.2">
      <c r="A8" s="1049" t="s">
        <v>57</v>
      </c>
      <c r="B8" s="1049"/>
      <c r="C8" s="1049"/>
      <c r="D8" s="1050" t="s">
        <v>76</v>
      </c>
      <c r="E8" s="1050"/>
      <c r="F8" s="1050"/>
      <c r="G8" s="1050"/>
      <c r="H8" s="1050"/>
      <c r="I8" s="1050"/>
      <c r="J8" s="1050"/>
      <c r="K8" s="1050"/>
      <c r="L8" s="1050"/>
      <c r="M8" s="1050"/>
      <c r="N8" s="72"/>
      <c r="P8" s="26" t="s">
        <v>11</v>
      </c>
      <c r="Q8" s="1009">
        <v>0.41666666666666669</v>
      </c>
      <c r="R8" s="1009"/>
      <c r="T8" s="1038"/>
      <c r="U8" s="1039"/>
      <c r="V8" s="1042"/>
      <c r="W8" s="1043"/>
      <c r="AB8" s="57"/>
      <c r="AC8" s="57"/>
      <c r="AD8" s="57"/>
      <c r="AE8" s="57"/>
    </row>
    <row r="9" spans="1:32" s="17" customFormat="1" ht="39.950000000000003" customHeight="1" x14ac:dyDescent="0.2">
      <c r="A9" s="9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9"/>
      <c r="C9" s="999"/>
      <c r="D9" s="1000" t="s">
        <v>45</v>
      </c>
      <c r="E9" s="1001"/>
      <c r="F9" s="9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9"/>
      <c r="H9" s="1051" t="str">
        <f>IF(AND($A$9="Тип доверенности/получателя при получении в адресе перегруза:",$D$9="Разовая доверенность"),"Введите ФИО","")</f>
        <v/>
      </c>
      <c r="I9" s="1051"/>
      <c r="J9" s="10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51"/>
      <c r="L9" s="1051"/>
      <c r="M9" s="1051"/>
      <c r="N9" s="67"/>
      <c r="P9" s="29" t="s">
        <v>15</v>
      </c>
      <c r="Q9" s="1052"/>
      <c r="R9" s="1052"/>
      <c r="T9" s="1038"/>
      <c r="U9" s="1039"/>
      <c r="V9" s="1044"/>
      <c r="W9" s="104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9"/>
      <c r="C10" s="999"/>
      <c r="D10" s="1000"/>
      <c r="E10" s="1001"/>
      <c r="F10" s="9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9"/>
      <c r="H10" s="1002" t="str">
        <f>IFERROR(VLOOKUP($D$10,Proxy,2,FALSE),"")</f>
        <v/>
      </c>
      <c r="I10" s="1002"/>
      <c r="J10" s="1002"/>
      <c r="K10" s="1002"/>
      <c r="L10" s="1002"/>
      <c r="M10" s="1002"/>
      <c r="N10" s="68"/>
      <c r="P10" s="29" t="s">
        <v>32</v>
      </c>
      <c r="Q10" s="1003"/>
      <c r="R10" s="1003"/>
      <c r="U10" s="26" t="s">
        <v>12</v>
      </c>
      <c r="V10" s="1004" t="s">
        <v>70</v>
      </c>
      <c r="W10" s="10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6"/>
      <c r="R11" s="1006"/>
      <c r="U11" s="26" t="s">
        <v>28</v>
      </c>
      <c r="V11" s="1007" t="s">
        <v>54</v>
      </c>
      <c r="W11" s="10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8" t="s">
        <v>71</v>
      </c>
      <c r="B12" s="1008"/>
      <c r="C12" s="1008"/>
      <c r="D12" s="1008"/>
      <c r="E12" s="1008"/>
      <c r="F12" s="1008"/>
      <c r="G12" s="1008"/>
      <c r="H12" s="1008"/>
      <c r="I12" s="1008"/>
      <c r="J12" s="1008"/>
      <c r="K12" s="1008"/>
      <c r="L12" s="1008"/>
      <c r="M12" s="1008"/>
      <c r="N12" s="73"/>
      <c r="P12" s="26" t="s">
        <v>30</v>
      </c>
      <c r="Q12" s="1009"/>
      <c r="R12" s="1009"/>
      <c r="S12" s="27"/>
      <c r="T12"/>
      <c r="U12" s="26" t="s">
        <v>45</v>
      </c>
      <c r="V12" s="1010"/>
      <c r="W12" s="1010"/>
      <c r="X12"/>
      <c r="AB12" s="57"/>
      <c r="AC12" s="57"/>
      <c r="AD12" s="57"/>
      <c r="AE12" s="57"/>
    </row>
    <row r="13" spans="1:32" s="17" customFormat="1" ht="23.25" customHeight="1" x14ac:dyDescent="0.2">
      <c r="A13" s="1008" t="s">
        <v>72</v>
      </c>
      <c r="B13" s="1008"/>
      <c r="C13" s="1008"/>
      <c r="D13" s="1008"/>
      <c r="E13" s="1008"/>
      <c r="F13" s="1008"/>
      <c r="G13" s="1008"/>
      <c r="H13" s="1008"/>
      <c r="I13" s="1008"/>
      <c r="J13" s="1008"/>
      <c r="K13" s="1008"/>
      <c r="L13" s="1008"/>
      <c r="M13" s="1008"/>
      <c r="N13" s="73"/>
      <c r="O13" s="29"/>
      <c r="P13" s="29" t="s">
        <v>31</v>
      </c>
      <c r="Q13" s="1007"/>
      <c r="R13" s="10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8" t="s">
        <v>73</v>
      </c>
      <c r="B14" s="1008"/>
      <c r="C14" s="1008"/>
      <c r="D14" s="1008"/>
      <c r="E14" s="1008"/>
      <c r="F14" s="1008"/>
      <c r="G14" s="1008"/>
      <c r="H14" s="1008"/>
      <c r="I14" s="1008"/>
      <c r="J14" s="1008"/>
      <c r="K14" s="1008"/>
      <c r="L14" s="1008"/>
      <c r="M14" s="10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11" t="s">
        <v>74</v>
      </c>
      <c r="B15" s="1011"/>
      <c r="C15" s="1011"/>
      <c r="D15" s="1011"/>
      <c r="E15" s="1011"/>
      <c r="F15" s="1011"/>
      <c r="G15" s="1011"/>
      <c r="H15" s="1011"/>
      <c r="I15" s="1011"/>
      <c r="J15" s="1011"/>
      <c r="K15" s="1011"/>
      <c r="L15" s="1011"/>
      <c r="M15" s="1011"/>
      <c r="N15" s="74"/>
      <c r="O15"/>
      <c r="P15" s="1012" t="s">
        <v>60</v>
      </c>
      <c r="Q15" s="1012"/>
      <c r="R15" s="1012"/>
      <c r="S15" s="1012"/>
      <c r="T15" s="101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3"/>
      <c r="Q16" s="1013"/>
      <c r="R16" s="1013"/>
      <c r="S16" s="1013"/>
      <c r="T16" s="101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82" t="s">
        <v>58</v>
      </c>
      <c r="B17" s="982" t="s">
        <v>48</v>
      </c>
      <c r="C17" s="1016" t="s">
        <v>47</v>
      </c>
      <c r="D17" s="1018" t="s">
        <v>49</v>
      </c>
      <c r="E17" s="1019"/>
      <c r="F17" s="982" t="s">
        <v>21</v>
      </c>
      <c r="G17" s="982" t="s">
        <v>24</v>
      </c>
      <c r="H17" s="982" t="s">
        <v>22</v>
      </c>
      <c r="I17" s="982" t="s">
        <v>23</v>
      </c>
      <c r="J17" s="982" t="s">
        <v>16</v>
      </c>
      <c r="K17" s="982" t="s">
        <v>65</v>
      </c>
      <c r="L17" s="982" t="s">
        <v>63</v>
      </c>
      <c r="M17" s="982" t="s">
        <v>2</v>
      </c>
      <c r="N17" s="982" t="s">
        <v>62</v>
      </c>
      <c r="O17" s="982" t="s">
        <v>25</v>
      </c>
      <c r="P17" s="1018" t="s">
        <v>17</v>
      </c>
      <c r="Q17" s="1022"/>
      <c r="R17" s="1022"/>
      <c r="S17" s="1022"/>
      <c r="T17" s="1019"/>
      <c r="U17" s="1014" t="s">
        <v>55</v>
      </c>
      <c r="V17" s="1015"/>
      <c r="W17" s="982" t="s">
        <v>6</v>
      </c>
      <c r="X17" s="982" t="s">
        <v>41</v>
      </c>
      <c r="Y17" s="984" t="s">
        <v>53</v>
      </c>
      <c r="Z17" s="986" t="s">
        <v>18</v>
      </c>
      <c r="AA17" s="988" t="s">
        <v>59</v>
      </c>
      <c r="AB17" s="988" t="s">
        <v>19</v>
      </c>
      <c r="AC17" s="988" t="s">
        <v>64</v>
      </c>
      <c r="AD17" s="990" t="s">
        <v>56</v>
      </c>
      <c r="AE17" s="991"/>
      <c r="AF17" s="992"/>
      <c r="AG17" s="77"/>
      <c r="BD17" s="76" t="s">
        <v>61</v>
      </c>
    </row>
    <row r="18" spans="1:68" ht="14.25" customHeight="1" x14ac:dyDescent="0.2">
      <c r="A18" s="983"/>
      <c r="B18" s="983"/>
      <c r="C18" s="1017"/>
      <c r="D18" s="1020"/>
      <c r="E18" s="1021"/>
      <c r="F18" s="983"/>
      <c r="G18" s="983"/>
      <c r="H18" s="983"/>
      <c r="I18" s="983"/>
      <c r="J18" s="983"/>
      <c r="K18" s="983"/>
      <c r="L18" s="983"/>
      <c r="M18" s="983"/>
      <c r="N18" s="983"/>
      <c r="O18" s="983"/>
      <c r="P18" s="1020"/>
      <c r="Q18" s="1023"/>
      <c r="R18" s="1023"/>
      <c r="S18" s="1023"/>
      <c r="T18" s="1021"/>
      <c r="U18" s="78" t="s">
        <v>44</v>
      </c>
      <c r="V18" s="78" t="s">
        <v>43</v>
      </c>
      <c r="W18" s="983"/>
      <c r="X18" s="983"/>
      <c r="Y18" s="985"/>
      <c r="Z18" s="987"/>
      <c r="AA18" s="989"/>
      <c r="AB18" s="989"/>
      <c r="AC18" s="989"/>
      <c r="AD18" s="993"/>
      <c r="AE18" s="994"/>
      <c r="AF18" s="995"/>
      <c r="AG18" s="77"/>
      <c r="BD18" s="76"/>
    </row>
    <row r="19" spans="1:68" ht="27.75" customHeight="1" x14ac:dyDescent="0.2">
      <c r="A19" s="717" t="s">
        <v>77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52"/>
      <c r="AB19" s="52"/>
      <c r="AC19" s="52"/>
    </row>
    <row r="20" spans="1:68" ht="16.5" customHeight="1" x14ac:dyDescent="0.25">
      <c r="A20" s="695" t="s">
        <v>77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2"/>
      <c r="AB20" s="62"/>
      <c r="AC20" s="62"/>
    </row>
    <row r="21" spans="1:68" ht="14.25" customHeight="1" x14ac:dyDescent="0.25">
      <c r="A21" s="680" t="s">
        <v>78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81">
        <v>4680115885912</v>
      </c>
      <c r="E22" s="681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3"/>
      <c r="R22" s="683"/>
      <c r="S22" s="683"/>
      <c r="T22" s="684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81">
        <v>4607091388237</v>
      </c>
      <c r="E23" s="681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3"/>
      <c r="R23" s="683"/>
      <c r="S23" s="683"/>
      <c r="T23" s="684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681">
        <v>4680115886230</v>
      </c>
      <c r="E24" s="681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8" t="s">
        <v>89</v>
      </c>
      <c r="Q24" s="683"/>
      <c r="R24" s="683"/>
      <c r="S24" s="683"/>
      <c r="T24" s="684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681">
        <v>4680115886247</v>
      </c>
      <c r="E25" s="681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8" t="s">
        <v>93</v>
      </c>
      <c r="Q25" s="683"/>
      <c r="R25" s="683"/>
      <c r="S25" s="683"/>
      <c r="T25" s="684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681">
        <v>4680115885905</v>
      </c>
      <c r="E26" s="681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3"/>
      <c r="R26" s="683"/>
      <c r="S26" s="683"/>
      <c r="T26" s="684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681">
        <v>4607091388244</v>
      </c>
      <c r="E27" s="681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3"/>
      <c r="R27" s="683"/>
      <c r="S27" s="683"/>
      <c r="T27" s="684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675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88"/>
      <c r="P28" s="685" t="s">
        <v>40</v>
      </c>
      <c r="Q28" s="686"/>
      <c r="R28" s="686"/>
      <c r="S28" s="686"/>
      <c r="T28" s="686"/>
      <c r="U28" s="686"/>
      <c r="V28" s="687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88"/>
      <c r="P29" s="685" t="s">
        <v>40</v>
      </c>
      <c r="Q29" s="686"/>
      <c r="R29" s="686"/>
      <c r="S29" s="686"/>
      <c r="T29" s="686"/>
      <c r="U29" s="686"/>
      <c r="V29" s="687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680" t="s">
        <v>101</v>
      </c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0"/>
      <c r="P30" s="680"/>
      <c r="Q30" s="680"/>
      <c r="R30" s="680"/>
      <c r="S30" s="680"/>
      <c r="T30" s="680"/>
      <c r="U30" s="680"/>
      <c r="V30" s="680"/>
      <c r="W30" s="680"/>
      <c r="X30" s="680"/>
      <c r="Y30" s="680"/>
      <c r="Z30" s="680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681">
        <v>4607091388503</v>
      </c>
      <c r="E31" s="681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8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3"/>
      <c r="R31" s="683"/>
      <c r="S31" s="683"/>
      <c r="T31" s="684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75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88"/>
      <c r="P32" s="685" t="s">
        <v>40</v>
      </c>
      <c r="Q32" s="686"/>
      <c r="R32" s="686"/>
      <c r="S32" s="686"/>
      <c r="T32" s="686"/>
      <c r="U32" s="686"/>
      <c r="V32" s="687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88"/>
      <c r="P33" s="685" t="s">
        <v>40</v>
      </c>
      <c r="Q33" s="686"/>
      <c r="R33" s="686"/>
      <c r="S33" s="686"/>
      <c r="T33" s="686"/>
      <c r="U33" s="686"/>
      <c r="V33" s="687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17" t="s">
        <v>107</v>
      </c>
      <c r="B34" s="717"/>
      <c r="C34" s="717"/>
      <c r="D34" s="717"/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/>
      <c r="T34" s="717"/>
      <c r="U34" s="717"/>
      <c r="V34" s="717"/>
      <c r="W34" s="717"/>
      <c r="X34" s="717"/>
      <c r="Y34" s="717"/>
      <c r="Z34" s="717"/>
      <c r="AA34" s="52"/>
      <c r="AB34" s="52"/>
      <c r="AC34" s="52"/>
    </row>
    <row r="35" spans="1:68" ht="16.5" customHeight="1" x14ac:dyDescent="0.25">
      <c r="A35" s="695" t="s">
        <v>108</v>
      </c>
      <c r="B35" s="695"/>
      <c r="C35" s="695"/>
      <c r="D35" s="695"/>
      <c r="E35" s="695"/>
      <c r="F35" s="695"/>
      <c r="G35" s="695"/>
      <c r="H35" s="695"/>
      <c r="I35" s="695"/>
      <c r="J35" s="695"/>
      <c r="K35" s="695"/>
      <c r="L35" s="695"/>
      <c r="M35" s="695"/>
      <c r="N35" s="695"/>
      <c r="O35" s="695"/>
      <c r="P35" s="695"/>
      <c r="Q35" s="695"/>
      <c r="R35" s="695"/>
      <c r="S35" s="695"/>
      <c r="T35" s="695"/>
      <c r="U35" s="695"/>
      <c r="V35" s="695"/>
      <c r="W35" s="695"/>
      <c r="X35" s="695"/>
      <c r="Y35" s="695"/>
      <c r="Z35" s="695"/>
      <c r="AA35" s="62"/>
      <c r="AB35" s="62"/>
      <c r="AC35" s="62"/>
    </row>
    <row r="36" spans="1:68" ht="14.25" customHeight="1" x14ac:dyDescent="0.25">
      <c r="A36" s="680" t="s">
        <v>109</v>
      </c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0"/>
      <c r="Q36" s="680"/>
      <c r="R36" s="680"/>
      <c r="S36" s="680"/>
      <c r="T36" s="680"/>
      <c r="U36" s="680"/>
      <c r="V36" s="680"/>
      <c r="W36" s="680"/>
      <c r="X36" s="680"/>
      <c r="Y36" s="680"/>
      <c r="Z36" s="680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81">
        <v>4607091385670</v>
      </c>
      <c r="E37" s="681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3"/>
      <c r="R37" s="683"/>
      <c r="S37" s="683"/>
      <c r="T37" s="684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681">
        <v>4607091385687</v>
      </c>
      <c r="E38" s="681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7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3"/>
      <c r="R38" s="683"/>
      <c r="S38" s="683"/>
      <c r="T38" s="684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681">
        <v>4680115882539</v>
      </c>
      <c r="E39" s="681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7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3"/>
      <c r="R39" s="683"/>
      <c r="S39" s="683"/>
      <c r="T39" s="684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681">
        <v>4680115883949</v>
      </c>
      <c r="E40" s="681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3"/>
      <c r="R40" s="683"/>
      <c r="S40" s="683"/>
      <c r="T40" s="684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75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88"/>
      <c r="P41" s="685" t="s">
        <v>40</v>
      </c>
      <c r="Q41" s="686"/>
      <c r="R41" s="686"/>
      <c r="S41" s="686"/>
      <c r="T41" s="686"/>
      <c r="U41" s="686"/>
      <c r="V41" s="687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88"/>
      <c r="P42" s="685" t="s">
        <v>40</v>
      </c>
      <c r="Q42" s="686"/>
      <c r="R42" s="686"/>
      <c r="S42" s="686"/>
      <c r="T42" s="686"/>
      <c r="U42" s="686"/>
      <c r="V42" s="687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680" t="s">
        <v>78</v>
      </c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0"/>
      <c r="P43" s="680"/>
      <c r="Q43" s="680"/>
      <c r="R43" s="680"/>
      <c r="S43" s="680"/>
      <c r="T43" s="680"/>
      <c r="U43" s="680"/>
      <c r="V43" s="680"/>
      <c r="W43" s="680"/>
      <c r="X43" s="680"/>
      <c r="Y43" s="680"/>
      <c r="Z43" s="680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681">
        <v>4680115884915</v>
      </c>
      <c r="E44" s="681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3"/>
      <c r="R44" s="683"/>
      <c r="S44" s="683"/>
      <c r="T44" s="684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75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88"/>
      <c r="P45" s="685" t="s">
        <v>40</v>
      </c>
      <c r="Q45" s="686"/>
      <c r="R45" s="686"/>
      <c r="S45" s="686"/>
      <c r="T45" s="686"/>
      <c r="U45" s="686"/>
      <c r="V45" s="687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88"/>
      <c r="P46" s="685" t="s">
        <v>40</v>
      </c>
      <c r="Q46" s="686"/>
      <c r="R46" s="686"/>
      <c r="S46" s="686"/>
      <c r="T46" s="686"/>
      <c r="U46" s="686"/>
      <c r="V46" s="687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695" t="s">
        <v>129</v>
      </c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5"/>
      <c r="P47" s="695"/>
      <c r="Q47" s="695"/>
      <c r="R47" s="695"/>
      <c r="S47" s="695"/>
      <c r="T47" s="695"/>
      <c r="U47" s="695"/>
      <c r="V47" s="695"/>
      <c r="W47" s="695"/>
      <c r="X47" s="695"/>
      <c r="Y47" s="695"/>
      <c r="Z47" s="695"/>
      <c r="AA47" s="62"/>
      <c r="AB47" s="62"/>
      <c r="AC47" s="62"/>
    </row>
    <row r="48" spans="1:68" ht="14.25" customHeight="1" x14ac:dyDescent="0.25">
      <c r="A48" s="680" t="s">
        <v>109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680"/>
      <c r="Q48" s="680"/>
      <c r="R48" s="680"/>
      <c r="S48" s="680"/>
      <c r="T48" s="680"/>
      <c r="U48" s="680"/>
      <c r="V48" s="680"/>
      <c r="W48" s="680"/>
      <c r="X48" s="680"/>
      <c r="Y48" s="680"/>
      <c r="Z48" s="680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81">
        <v>4680115885882</v>
      </c>
      <c r="E49" s="681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3"/>
      <c r="R49" s="683"/>
      <c r="S49" s="683"/>
      <c r="T49" s="684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681">
        <v>4680115881426</v>
      </c>
      <c r="E50" s="681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3"/>
      <c r="R50" s="683"/>
      <c r="S50" s="683"/>
      <c r="T50" s="684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681">
        <v>4680115880283</v>
      </c>
      <c r="E51" s="681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3"/>
      <c r="R51" s="683"/>
      <c r="S51" s="683"/>
      <c r="T51" s="684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681">
        <v>4680115881525</v>
      </c>
      <c r="E52" s="681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7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3"/>
      <c r="R52" s="683"/>
      <c r="S52" s="683"/>
      <c r="T52" s="684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81">
        <v>4680115885899</v>
      </c>
      <c r="E53" s="681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7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3"/>
      <c r="R53" s="683"/>
      <c r="S53" s="683"/>
      <c r="T53" s="684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81">
        <v>4680115881419</v>
      </c>
      <c r="E54" s="681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3"/>
      <c r="R54" s="683"/>
      <c r="S54" s="683"/>
      <c r="T54" s="684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675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88"/>
      <c r="P55" s="685" t="s">
        <v>40</v>
      </c>
      <c r="Q55" s="686"/>
      <c r="R55" s="686"/>
      <c r="S55" s="686"/>
      <c r="T55" s="686"/>
      <c r="U55" s="686"/>
      <c r="V55" s="687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88"/>
      <c r="P56" s="685" t="s">
        <v>40</v>
      </c>
      <c r="Q56" s="686"/>
      <c r="R56" s="686"/>
      <c r="S56" s="686"/>
      <c r="T56" s="686"/>
      <c r="U56" s="686"/>
      <c r="V56" s="687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680" t="s">
        <v>149</v>
      </c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80"/>
      <c r="R57" s="680"/>
      <c r="S57" s="680"/>
      <c r="T57" s="680"/>
      <c r="U57" s="680"/>
      <c r="V57" s="680"/>
      <c r="W57" s="680"/>
      <c r="X57" s="680"/>
      <c r="Y57" s="680"/>
      <c r="Z57" s="680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81">
        <v>4680115881440</v>
      </c>
      <c r="E58" s="681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3"/>
      <c r="R58" s="683"/>
      <c r="S58" s="683"/>
      <c r="T58" s="684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681">
        <v>4680115882751</v>
      </c>
      <c r="E59" s="681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62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3"/>
      <c r="R59" s="683"/>
      <c r="S59" s="683"/>
      <c r="T59" s="684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681">
        <v>4680115885950</v>
      </c>
      <c r="E60" s="681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3"/>
      <c r="R60" s="683"/>
      <c r="S60" s="683"/>
      <c r="T60" s="684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81">
        <v>4680115881433</v>
      </c>
      <c r="E61" s="681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3"/>
      <c r="R61" s="683"/>
      <c r="S61" s="683"/>
      <c r="T61" s="684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675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88"/>
      <c r="P62" s="685" t="s">
        <v>40</v>
      </c>
      <c r="Q62" s="686"/>
      <c r="R62" s="686"/>
      <c r="S62" s="686"/>
      <c r="T62" s="686"/>
      <c r="U62" s="686"/>
      <c r="V62" s="687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88"/>
      <c r="P63" s="685" t="s">
        <v>40</v>
      </c>
      <c r="Q63" s="686"/>
      <c r="R63" s="686"/>
      <c r="S63" s="686"/>
      <c r="T63" s="686"/>
      <c r="U63" s="686"/>
      <c r="V63" s="687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680" t="s">
        <v>160</v>
      </c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0"/>
      <c r="R64" s="680"/>
      <c r="S64" s="680"/>
      <c r="T64" s="680"/>
      <c r="U64" s="680"/>
      <c r="V64" s="680"/>
      <c r="W64" s="680"/>
      <c r="X64" s="680"/>
      <c r="Y64" s="680"/>
      <c r="Z64" s="680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681">
        <v>4680115885073</v>
      </c>
      <c r="E65" s="681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6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3"/>
      <c r="R65" s="683"/>
      <c r="S65" s="683"/>
      <c r="T65" s="684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681">
        <v>4680115885059</v>
      </c>
      <c r="E66" s="681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3"/>
      <c r="R66" s="683"/>
      <c r="S66" s="683"/>
      <c r="T66" s="684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681">
        <v>4680115885097</v>
      </c>
      <c r="E67" s="681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5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3"/>
      <c r="R67" s="683"/>
      <c r="S67" s="683"/>
      <c r="T67" s="684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75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88"/>
      <c r="P68" s="685" t="s">
        <v>40</v>
      </c>
      <c r="Q68" s="686"/>
      <c r="R68" s="686"/>
      <c r="S68" s="686"/>
      <c r="T68" s="686"/>
      <c r="U68" s="686"/>
      <c r="V68" s="687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88"/>
      <c r="P69" s="685" t="s">
        <v>40</v>
      </c>
      <c r="Q69" s="686"/>
      <c r="R69" s="686"/>
      <c r="S69" s="686"/>
      <c r="T69" s="686"/>
      <c r="U69" s="686"/>
      <c r="V69" s="687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680" t="s">
        <v>78</v>
      </c>
      <c r="B70" s="680"/>
      <c r="C70" s="680"/>
      <c r="D70" s="680"/>
      <c r="E70" s="680"/>
      <c r="F70" s="680"/>
      <c r="G70" s="680"/>
      <c r="H70" s="680"/>
      <c r="I70" s="680"/>
      <c r="J70" s="680"/>
      <c r="K70" s="680"/>
      <c r="L70" s="680"/>
      <c r="M70" s="680"/>
      <c r="N70" s="680"/>
      <c r="O70" s="680"/>
      <c r="P70" s="680"/>
      <c r="Q70" s="680"/>
      <c r="R70" s="680"/>
      <c r="S70" s="680"/>
      <c r="T70" s="680"/>
      <c r="U70" s="680"/>
      <c r="V70" s="680"/>
      <c r="W70" s="680"/>
      <c r="X70" s="680"/>
      <c r="Y70" s="680"/>
      <c r="Z70" s="680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81">
        <v>4680115881891</v>
      </c>
      <c r="E71" s="681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5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3"/>
      <c r="R71" s="683"/>
      <c r="S71" s="683"/>
      <c r="T71" s="684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81">
        <v>4680115885769</v>
      </c>
      <c r="E72" s="681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3"/>
      <c r="R72" s="683"/>
      <c r="S72" s="683"/>
      <c r="T72" s="684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81">
        <v>4680115884410</v>
      </c>
      <c r="E73" s="681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3"/>
      <c r="R73" s="683"/>
      <c r="S73" s="683"/>
      <c r="T73" s="684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11"/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0</v>
      </c>
      <c r="BN73" s="75">
        <f t="shared" si="13"/>
        <v>0</v>
      </c>
      <c r="BO73" s="75">
        <f t="shared" si="14"/>
        <v>0</v>
      </c>
      <c r="BP73" s="75">
        <f t="shared" si="15"/>
        <v>0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681">
        <v>4680115884311</v>
      </c>
      <c r="E74" s="681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3"/>
      <c r="R74" s="683"/>
      <c r="S74" s="683"/>
      <c r="T74" s="684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681">
        <v>4680115885929</v>
      </c>
      <c r="E75" s="681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3"/>
      <c r="R75" s="683"/>
      <c r="S75" s="683"/>
      <c r="T75" s="684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681">
        <v>4680115884403</v>
      </c>
      <c r="E76" s="68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3"/>
      <c r="R76" s="683"/>
      <c r="S76" s="683"/>
      <c r="T76" s="684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75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88"/>
      <c r="P77" s="685" t="s">
        <v>40</v>
      </c>
      <c r="Q77" s="686"/>
      <c r="R77" s="686"/>
      <c r="S77" s="686"/>
      <c r="T77" s="686"/>
      <c r="U77" s="686"/>
      <c r="V77" s="687"/>
      <c r="W77" s="40" t="s">
        <v>39</v>
      </c>
      <c r="X77" s="41">
        <f>IFERROR(X71/H71,"0")+IFERROR(X72/H72,"0")+IFERROR(X73/H73,"0")+IFERROR(X74/H74,"0")+IFERROR(X75/H75,"0")+IFERROR(X76/H76,"0")</f>
        <v>0</v>
      </c>
      <c r="Y77" s="41">
        <f>IFERROR(Y71/H71,"0")+IFERROR(Y72/H72,"0")+IFERROR(Y73/H73,"0")+IFERROR(Y74/H74,"0")+IFERROR(Y75/H75,"0")+IFERROR(Y76/H76,"0")</f>
        <v>0</v>
      </c>
      <c r="Z77" s="41">
        <f>IFERROR(IF(Z71="",0,Z71),"0")+IFERROR(IF(Z72="",0,Z72),"0")+IFERROR(IF(Z73="",0,Z73),"0")+IFERROR(IF(Z74="",0,Z74),"0")+IFERROR(IF(Z75="",0,Z75),"0")+IFERROR(IF(Z76="",0,Z76),"0")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88"/>
      <c r="P78" s="685" t="s">
        <v>40</v>
      </c>
      <c r="Q78" s="686"/>
      <c r="R78" s="686"/>
      <c r="S78" s="686"/>
      <c r="T78" s="686"/>
      <c r="U78" s="686"/>
      <c r="V78" s="687"/>
      <c r="W78" s="40" t="s">
        <v>0</v>
      </c>
      <c r="X78" s="41">
        <f>IFERROR(SUM(X71:X76),"0")</f>
        <v>0</v>
      </c>
      <c r="Y78" s="41">
        <f>IFERROR(SUM(Y71:Y76),"0")</f>
        <v>0</v>
      </c>
      <c r="Z78" s="40"/>
      <c r="AA78" s="64"/>
      <c r="AB78" s="64"/>
      <c r="AC78" s="64"/>
    </row>
    <row r="79" spans="1:68" ht="14.25" customHeight="1" x14ac:dyDescent="0.25">
      <c r="A79" s="680" t="s">
        <v>186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681">
        <v>4680115881532</v>
      </c>
      <c r="E80" s="681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83"/>
      <c r="R80" s="683"/>
      <c r="S80" s="683"/>
      <c r="T80" s="684"/>
      <c r="U80" s="37" t="s">
        <v>45</v>
      </c>
      <c r="V80" s="37" t="s">
        <v>45</v>
      </c>
      <c r="W80" s="38" t="s">
        <v>0</v>
      </c>
      <c r="X80" s="56">
        <v>100</v>
      </c>
      <c r="Y80" s="53">
        <f>IFERROR(IF(X80="",0,CEILING((X80/$H80),1)*$H80),"")</f>
        <v>101.39999999999999</v>
      </c>
      <c r="Z80" s="39">
        <f>IFERROR(IF(Y80=0,"",ROUNDUP(Y80/H80,0)*0.01898),"")</f>
        <v>0.24674000000000001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105.57692307692308</v>
      </c>
      <c r="BN80" s="75">
        <f>IFERROR(Y80*I80/H80,"0")</f>
        <v>107.05499999999999</v>
      </c>
      <c r="BO80" s="75">
        <f>IFERROR(1/J80*(X80/H80),"0")</f>
        <v>0.20032051282051283</v>
      </c>
      <c r="BP80" s="75">
        <f>IFERROR(1/J80*(Y80/H80),"0")</f>
        <v>0.203125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681">
        <v>4680115881532</v>
      </c>
      <c r="E81" s="681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51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83"/>
      <c r="R81" s="683"/>
      <c r="S81" s="683"/>
      <c r="T81" s="684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681">
        <v>4680115881464</v>
      </c>
      <c r="E82" s="681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3"/>
      <c r="R82" s="683"/>
      <c r="S82" s="683"/>
      <c r="T82" s="684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75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88"/>
      <c r="P83" s="685" t="s">
        <v>40</v>
      </c>
      <c r="Q83" s="686"/>
      <c r="R83" s="686"/>
      <c r="S83" s="686"/>
      <c r="T83" s="686"/>
      <c r="U83" s="686"/>
      <c r="V83" s="687"/>
      <c r="W83" s="40" t="s">
        <v>39</v>
      </c>
      <c r="X83" s="41">
        <f>IFERROR(X80/H80,"0")+IFERROR(X81/H81,"0")+IFERROR(X82/H82,"0")</f>
        <v>12.820512820512821</v>
      </c>
      <c r="Y83" s="41">
        <f>IFERROR(Y80/H80,"0")+IFERROR(Y81/H81,"0")+IFERROR(Y82/H82,"0")</f>
        <v>13</v>
      </c>
      <c r="Z83" s="41">
        <f>IFERROR(IF(Z80="",0,Z80),"0")+IFERROR(IF(Z81="",0,Z81),"0")+IFERROR(IF(Z82="",0,Z82),"0")</f>
        <v>0.24674000000000001</v>
      </c>
      <c r="AA83" s="64"/>
      <c r="AB83" s="64"/>
      <c r="AC83" s="64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88"/>
      <c r="P84" s="685" t="s">
        <v>40</v>
      </c>
      <c r="Q84" s="686"/>
      <c r="R84" s="686"/>
      <c r="S84" s="686"/>
      <c r="T84" s="686"/>
      <c r="U84" s="686"/>
      <c r="V84" s="687"/>
      <c r="W84" s="40" t="s">
        <v>0</v>
      </c>
      <c r="X84" s="41">
        <f>IFERROR(SUM(X80:X82),"0")</f>
        <v>100</v>
      </c>
      <c r="Y84" s="41">
        <f>IFERROR(SUM(Y80:Y82),"0")</f>
        <v>101.39999999999999</v>
      </c>
      <c r="Z84" s="40"/>
      <c r="AA84" s="64"/>
      <c r="AB84" s="64"/>
      <c r="AC84" s="64"/>
    </row>
    <row r="85" spans="1:68" ht="16.5" customHeight="1" x14ac:dyDescent="0.25">
      <c r="A85" s="695" t="s">
        <v>194</v>
      </c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5"/>
      <c r="P85" s="695"/>
      <c r="Q85" s="695"/>
      <c r="R85" s="695"/>
      <c r="S85" s="695"/>
      <c r="T85" s="695"/>
      <c r="U85" s="695"/>
      <c r="V85" s="695"/>
      <c r="W85" s="695"/>
      <c r="X85" s="695"/>
      <c r="Y85" s="695"/>
      <c r="Z85" s="695"/>
      <c r="AA85" s="62"/>
      <c r="AB85" s="62"/>
      <c r="AC85" s="62"/>
    </row>
    <row r="86" spans="1:68" ht="14.25" customHeight="1" x14ac:dyDescent="0.25">
      <c r="A86" s="680" t="s">
        <v>109</v>
      </c>
      <c r="B86" s="680"/>
      <c r="C86" s="680"/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80"/>
      <c r="O86" s="680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80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81">
        <v>4680115881327</v>
      </c>
      <c r="E87" s="681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3"/>
      <c r="R87" s="683"/>
      <c r="S87" s="683"/>
      <c r="T87" s="684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681">
        <v>4680115881518</v>
      </c>
      <c r="E88" s="681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4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3"/>
      <c r="R88" s="683"/>
      <c r="S88" s="683"/>
      <c r="T88" s="684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81">
        <v>4680115881303</v>
      </c>
      <c r="E89" s="681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3"/>
      <c r="R89" s="683"/>
      <c r="S89" s="683"/>
      <c r="T89" s="684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75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88"/>
      <c r="P90" s="685" t="s">
        <v>40</v>
      </c>
      <c r="Q90" s="686"/>
      <c r="R90" s="686"/>
      <c r="S90" s="686"/>
      <c r="T90" s="686"/>
      <c r="U90" s="686"/>
      <c r="V90" s="687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88"/>
      <c r="P91" s="685" t="s">
        <v>40</v>
      </c>
      <c r="Q91" s="686"/>
      <c r="R91" s="686"/>
      <c r="S91" s="686"/>
      <c r="T91" s="686"/>
      <c r="U91" s="686"/>
      <c r="V91" s="687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680" t="s">
        <v>78</v>
      </c>
      <c r="B92" s="680"/>
      <c r="C92" s="680"/>
      <c r="D92" s="680"/>
      <c r="E92" s="680"/>
      <c r="F92" s="680"/>
      <c r="G92" s="680"/>
      <c r="H92" s="680"/>
      <c r="I92" s="680"/>
      <c r="J92" s="680"/>
      <c r="K92" s="680"/>
      <c r="L92" s="680"/>
      <c r="M92" s="680"/>
      <c r="N92" s="680"/>
      <c r="O92" s="680"/>
      <c r="P92" s="680"/>
      <c r="Q92" s="680"/>
      <c r="R92" s="680"/>
      <c r="S92" s="680"/>
      <c r="T92" s="680"/>
      <c r="U92" s="680"/>
      <c r="V92" s="680"/>
      <c r="W92" s="680"/>
      <c r="X92" s="680"/>
      <c r="Y92" s="680"/>
      <c r="Z92" s="680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81">
        <v>4607091386967</v>
      </c>
      <c r="E93" s="681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4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3"/>
      <c r="R93" s="683"/>
      <c r="S93" s="683"/>
      <c r="T93" s="684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81">
        <v>4607091386967</v>
      </c>
      <c r="E94" s="681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3"/>
      <c r="R94" s="683"/>
      <c r="S94" s="683"/>
      <c r="T94" s="684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681">
        <v>4607091386967</v>
      </c>
      <c r="E95" s="681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7" t="s">
        <v>208</v>
      </c>
      <c r="Q95" s="683"/>
      <c r="R95" s="683"/>
      <c r="S95" s="683"/>
      <c r="T95" s="684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681">
        <v>4680115884953</v>
      </c>
      <c r="E96" s="68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8" t="s">
        <v>212</v>
      </c>
      <c r="Q96" s="683"/>
      <c r="R96" s="683"/>
      <c r="S96" s="683"/>
      <c r="T96" s="684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681">
        <v>4607091385731</v>
      </c>
      <c r="E97" s="68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949" t="s">
        <v>216</v>
      </c>
      <c r="Q97" s="683"/>
      <c r="R97" s="683"/>
      <c r="S97" s="683"/>
      <c r="T97" s="684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681">
        <v>4607091385731</v>
      </c>
      <c r="E98" s="681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937" t="s">
        <v>218</v>
      </c>
      <c r="Q98" s="683"/>
      <c r="R98" s="683"/>
      <c r="S98" s="683"/>
      <c r="T98" s="684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681">
        <v>4680115880894</v>
      </c>
      <c r="E99" s="681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3"/>
      <c r="R99" s="683"/>
      <c r="S99" s="683"/>
      <c r="T99" s="684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81">
        <v>4680115880214</v>
      </c>
      <c r="E100" s="681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3"/>
      <c r="R100" s="683"/>
      <c r="S100" s="683"/>
      <c r="T100" s="684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681">
        <v>4680115880214</v>
      </c>
      <c r="E101" s="681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3"/>
      <c r="R101" s="683"/>
      <c r="S101" s="683"/>
      <c r="T101" s="684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75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88"/>
      <c r="P102" s="685" t="s">
        <v>40</v>
      </c>
      <c r="Q102" s="686"/>
      <c r="R102" s="686"/>
      <c r="S102" s="686"/>
      <c r="T102" s="686"/>
      <c r="U102" s="686"/>
      <c r="V102" s="687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88"/>
      <c r="P103" s="685" t="s">
        <v>40</v>
      </c>
      <c r="Q103" s="686"/>
      <c r="R103" s="686"/>
      <c r="S103" s="686"/>
      <c r="T103" s="686"/>
      <c r="U103" s="686"/>
      <c r="V103" s="687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695" t="s">
        <v>225</v>
      </c>
      <c r="B104" s="695"/>
      <c r="C104" s="695"/>
      <c r="D104" s="695"/>
      <c r="E104" s="695"/>
      <c r="F104" s="695"/>
      <c r="G104" s="695"/>
      <c r="H104" s="695"/>
      <c r="I104" s="695"/>
      <c r="J104" s="695"/>
      <c r="K104" s="695"/>
      <c r="L104" s="695"/>
      <c r="M104" s="695"/>
      <c r="N104" s="695"/>
      <c r="O104" s="695"/>
      <c r="P104" s="695"/>
      <c r="Q104" s="695"/>
      <c r="R104" s="695"/>
      <c r="S104" s="695"/>
      <c r="T104" s="695"/>
      <c r="U104" s="695"/>
      <c r="V104" s="695"/>
      <c r="W104" s="695"/>
      <c r="X104" s="695"/>
      <c r="Y104" s="695"/>
      <c r="Z104" s="695"/>
      <c r="AA104" s="62"/>
      <c r="AB104" s="62"/>
      <c r="AC104" s="62"/>
    </row>
    <row r="105" spans="1:68" ht="14.25" customHeight="1" x14ac:dyDescent="0.25">
      <c r="A105" s="680" t="s">
        <v>109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81">
        <v>4680115882133</v>
      </c>
      <c r="E106" s="681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3"/>
      <c r="R106" s="683"/>
      <c r="S106" s="683"/>
      <c r="T106" s="684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681">
        <v>4680115880269</v>
      </c>
      <c r="E107" s="681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3"/>
      <c r="R107" s="683"/>
      <c r="S107" s="683"/>
      <c r="T107" s="684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681">
        <v>4680115880429</v>
      </c>
      <c r="E108" s="681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3"/>
      <c r="R108" s="683"/>
      <c r="S108" s="683"/>
      <c r="T108" s="684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681">
        <v>4680115881457</v>
      </c>
      <c r="E109" s="681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3"/>
      <c r="R109" s="683"/>
      <c r="S109" s="683"/>
      <c r="T109" s="684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75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88"/>
      <c r="P110" s="685" t="s">
        <v>40</v>
      </c>
      <c r="Q110" s="686"/>
      <c r="R110" s="686"/>
      <c r="S110" s="686"/>
      <c r="T110" s="686"/>
      <c r="U110" s="686"/>
      <c r="V110" s="687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88"/>
      <c r="P111" s="685" t="s">
        <v>40</v>
      </c>
      <c r="Q111" s="686"/>
      <c r="R111" s="686"/>
      <c r="S111" s="686"/>
      <c r="T111" s="686"/>
      <c r="U111" s="686"/>
      <c r="V111" s="687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customHeight="1" x14ac:dyDescent="0.25">
      <c r="A112" s="680" t="s">
        <v>149</v>
      </c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0"/>
      <c r="N112" s="680"/>
      <c r="O112" s="680"/>
      <c r="P112" s="680"/>
      <c r="Q112" s="680"/>
      <c r="R112" s="680"/>
      <c r="S112" s="680"/>
      <c r="T112" s="680"/>
      <c r="U112" s="680"/>
      <c r="V112" s="680"/>
      <c r="W112" s="680"/>
      <c r="X112" s="680"/>
      <c r="Y112" s="680"/>
      <c r="Z112" s="680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681">
        <v>4680115881488</v>
      </c>
      <c r="E113" s="681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3"/>
      <c r="R113" s="683"/>
      <c r="S113" s="683"/>
      <c r="T113" s="684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681">
        <v>4680115882775</v>
      </c>
      <c r="E114" s="681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3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3"/>
      <c r="R114" s="683"/>
      <c r="S114" s="683"/>
      <c r="T114" s="684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81">
        <v>4680115880658</v>
      </c>
      <c r="E115" s="681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3"/>
      <c r="R115" s="683"/>
      <c r="S115" s="683"/>
      <c r="T115" s="684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75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88"/>
      <c r="P116" s="685" t="s">
        <v>40</v>
      </c>
      <c r="Q116" s="686"/>
      <c r="R116" s="686"/>
      <c r="S116" s="686"/>
      <c r="T116" s="686"/>
      <c r="U116" s="686"/>
      <c r="V116" s="687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88"/>
      <c r="P117" s="685" t="s">
        <v>40</v>
      </c>
      <c r="Q117" s="686"/>
      <c r="R117" s="686"/>
      <c r="S117" s="686"/>
      <c r="T117" s="686"/>
      <c r="U117" s="686"/>
      <c r="V117" s="687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680" t="s">
        <v>78</v>
      </c>
      <c r="B118" s="680"/>
      <c r="C118" s="680"/>
      <c r="D118" s="680"/>
      <c r="E118" s="680"/>
      <c r="F118" s="680"/>
      <c r="G118" s="680"/>
      <c r="H118" s="680"/>
      <c r="I118" s="680"/>
      <c r="J118" s="680"/>
      <c r="K118" s="680"/>
      <c r="L118" s="680"/>
      <c r="M118" s="680"/>
      <c r="N118" s="680"/>
      <c r="O118" s="680"/>
      <c r="P118" s="680"/>
      <c r="Q118" s="680"/>
      <c r="R118" s="680"/>
      <c r="S118" s="680"/>
      <c r="T118" s="680"/>
      <c r="U118" s="680"/>
      <c r="V118" s="680"/>
      <c r="W118" s="680"/>
      <c r="X118" s="680"/>
      <c r="Y118" s="680"/>
      <c r="Z118" s="680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681">
        <v>4607091385168</v>
      </c>
      <c r="E119" s="681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2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3"/>
      <c r="R119" s="683"/>
      <c r="S119" s="683"/>
      <c r="T119" s="684"/>
      <c r="U119" s="37" t="s">
        <v>45</v>
      </c>
      <c r="V119" s="37" t="s">
        <v>45</v>
      </c>
      <c r="W119" s="38" t="s">
        <v>0</v>
      </c>
      <c r="X119" s="56">
        <v>80</v>
      </c>
      <c r="Y119" s="53">
        <f t="shared" ref="Y119:Y125" si="21">IFERROR(IF(X119="",0,CEILING((X119/$H119),1)*$H119),"")</f>
        <v>81</v>
      </c>
      <c r="Z119" s="39">
        <f>IFERROR(IF(Y119=0,"",ROUNDUP(Y119/H119,0)*0.01898),"")</f>
        <v>0.1898</v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5" si="22">IFERROR(X119*I119/H119,"0")</f>
        <v>85.066666666666663</v>
      </c>
      <c r="BN119" s="75">
        <f t="shared" ref="BN119:BN125" si="23">IFERROR(Y119*I119/H119,"0")</f>
        <v>86.13000000000001</v>
      </c>
      <c r="BO119" s="75">
        <f t="shared" ref="BO119:BO125" si="24">IFERROR(1/J119*(X119/H119),"0")</f>
        <v>0.15432098765432101</v>
      </c>
      <c r="BP119" s="75">
        <f t="shared" ref="BP119:BP125" si="25">IFERROR(1/J119*(Y119/H119),"0")</f>
        <v>0.15625</v>
      </c>
    </row>
    <row r="120" spans="1:68" ht="27" customHeight="1" x14ac:dyDescent="0.25">
      <c r="A120" s="60" t="s">
        <v>242</v>
      </c>
      <c r="B120" s="60" t="s">
        <v>245</v>
      </c>
      <c r="C120" s="34">
        <v>4301051625</v>
      </c>
      <c r="D120" s="681">
        <v>4607091385168</v>
      </c>
      <c r="E120" s="681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114</v>
      </c>
      <c r="L120" s="35" t="s">
        <v>45</v>
      </c>
      <c r="M120" s="36" t="s">
        <v>117</v>
      </c>
      <c r="N120" s="36"/>
      <c r="O120" s="35">
        <v>45</v>
      </c>
      <c r="P120" s="92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3"/>
      <c r="R120" s="683"/>
      <c r="S120" s="683"/>
      <c r="T120" s="684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246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16.5" customHeight="1" x14ac:dyDescent="0.25">
      <c r="A121" s="60" t="s">
        <v>242</v>
      </c>
      <c r="B121" s="60" t="s">
        <v>247</v>
      </c>
      <c r="C121" s="34">
        <v>4301051724</v>
      </c>
      <c r="D121" s="681">
        <v>4607091385168</v>
      </c>
      <c r="E121" s="681"/>
      <c r="F121" s="59">
        <v>1.35</v>
      </c>
      <c r="G121" s="35">
        <v>6</v>
      </c>
      <c r="H121" s="59">
        <v>8.1</v>
      </c>
      <c r="I121" s="59">
        <v>8.6129999999999995</v>
      </c>
      <c r="J121" s="35">
        <v>64</v>
      </c>
      <c r="K121" s="35" t="s">
        <v>114</v>
      </c>
      <c r="L121" s="35" t="s">
        <v>45</v>
      </c>
      <c r="M121" s="36" t="s">
        <v>146</v>
      </c>
      <c r="N121" s="36"/>
      <c r="O121" s="35">
        <v>45</v>
      </c>
      <c r="P121" s="927" t="s">
        <v>248</v>
      </c>
      <c r="Q121" s="683"/>
      <c r="R121" s="683"/>
      <c r="S121" s="683"/>
      <c r="T121" s="684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27" customHeight="1" x14ac:dyDescent="0.25">
      <c r="A122" s="60" t="s">
        <v>250</v>
      </c>
      <c r="B122" s="60" t="s">
        <v>251</v>
      </c>
      <c r="C122" s="34">
        <v>4301051730</v>
      </c>
      <c r="D122" s="681">
        <v>4607091383256</v>
      </c>
      <c r="E122" s="68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146</v>
      </c>
      <c r="N122" s="36"/>
      <c r="O122" s="35">
        <v>45</v>
      </c>
      <c r="P122" s="928" t="s">
        <v>252</v>
      </c>
      <c r="Q122" s="683"/>
      <c r="R122" s="683"/>
      <c r="S122" s="683"/>
      <c r="T122" s="684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>IFERROR(IF(Y122=0,"",ROUNDUP(Y122/H122,0)*0.00651),"")</f>
        <v/>
      </c>
      <c r="AA122" s="65" t="s">
        <v>45</v>
      </c>
      <c r="AB122" s="66" t="s">
        <v>45</v>
      </c>
      <c r="AC122" s="193" t="s">
        <v>249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253</v>
      </c>
      <c r="B123" s="60" t="s">
        <v>254</v>
      </c>
      <c r="C123" s="34">
        <v>4301051721</v>
      </c>
      <c r="D123" s="681">
        <v>4607091385748</v>
      </c>
      <c r="E123" s="68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9" t="s">
        <v>255</v>
      </c>
      <c r="Q123" s="683"/>
      <c r="R123" s="683"/>
      <c r="S123" s="683"/>
      <c r="T123" s="684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95" t="s">
        <v>249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27" customHeight="1" x14ac:dyDescent="0.25">
      <c r="A124" s="60" t="s">
        <v>256</v>
      </c>
      <c r="B124" s="60" t="s">
        <v>257</v>
      </c>
      <c r="C124" s="34">
        <v>4301051740</v>
      </c>
      <c r="D124" s="681">
        <v>4680115884533</v>
      </c>
      <c r="E124" s="68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83</v>
      </c>
      <c r="L124" s="35" t="s">
        <v>45</v>
      </c>
      <c r="M124" s="36" t="s">
        <v>117</v>
      </c>
      <c r="N124" s="36"/>
      <c r="O124" s="35">
        <v>45</v>
      </c>
      <c r="P124" s="9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83"/>
      <c r="R124" s="683"/>
      <c r="S124" s="683"/>
      <c r="T124" s="684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>IFERROR(IF(Y124=0,"",ROUNDUP(Y124/H124,0)*0.00651),"")</f>
        <v/>
      </c>
      <c r="AA124" s="65" t="s">
        <v>45</v>
      </c>
      <c r="AB124" s="66" t="s">
        <v>45</v>
      </c>
      <c r="AC124" s="197" t="s">
        <v>258</v>
      </c>
      <c r="AG124" s="75"/>
      <c r="AJ124" s="79" t="s">
        <v>45</v>
      </c>
      <c r="AK124" s="79">
        <v>0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37.5" customHeight="1" x14ac:dyDescent="0.25">
      <c r="A125" s="60" t="s">
        <v>259</v>
      </c>
      <c r="B125" s="60" t="s">
        <v>260</v>
      </c>
      <c r="C125" s="34">
        <v>4301051480</v>
      </c>
      <c r="D125" s="681">
        <v>4680115882645</v>
      </c>
      <c r="E125" s="681"/>
      <c r="F125" s="59">
        <v>0.3</v>
      </c>
      <c r="G125" s="35">
        <v>6</v>
      </c>
      <c r="H125" s="59">
        <v>1.8</v>
      </c>
      <c r="I125" s="59">
        <v>2.64</v>
      </c>
      <c r="J125" s="35">
        <v>182</v>
      </c>
      <c r="K125" s="35" t="s">
        <v>83</v>
      </c>
      <c r="L125" s="35" t="s">
        <v>45</v>
      </c>
      <c r="M125" s="36" t="s">
        <v>82</v>
      </c>
      <c r="N125" s="36"/>
      <c r="O125" s="35">
        <v>40</v>
      </c>
      <c r="P125" s="93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83"/>
      <c r="R125" s="683"/>
      <c r="S125" s="683"/>
      <c r="T125" s="684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99" t="s">
        <v>261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x14ac:dyDescent="0.2">
      <c r="A126" s="675"/>
      <c r="B126" s="675"/>
      <c r="C126" s="675"/>
      <c r="D126" s="675"/>
      <c r="E126" s="675"/>
      <c r="F126" s="675"/>
      <c r="G126" s="675"/>
      <c r="H126" s="675"/>
      <c r="I126" s="675"/>
      <c r="J126" s="675"/>
      <c r="K126" s="675"/>
      <c r="L126" s="675"/>
      <c r="M126" s="675"/>
      <c r="N126" s="675"/>
      <c r="O126" s="688"/>
      <c r="P126" s="685" t="s">
        <v>40</v>
      </c>
      <c r="Q126" s="686"/>
      <c r="R126" s="686"/>
      <c r="S126" s="686"/>
      <c r="T126" s="686"/>
      <c r="U126" s="686"/>
      <c r="V126" s="687"/>
      <c r="W126" s="40" t="s">
        <v>39</v>
      </c>
      <c r="X126" s="41">
        <f>IFERROR(X119/H119,"0")+IFERROR(X120/H120,"0")+IFERROR(X121/H121,"0")+IFERROR(X122/H122,"0")+IFERROR(X123/H123,"0")+IFERROR(X124/H124,"0")+IFERROR(X125/H125,"0")</f>
        <v>9.8765432098765444</v>
      </c>
      <c r="Y126" s="41">
        <f>IFERROR(Y119/H119,"0")+IFERROR(Y120/H120,"0")+IFERROR(Y121/H121,"0")+IFERROR(Y122/H122,"0")+IFERROR(Y123/H123,"0")+IFERROR(Y124/H124,"0")+IFERROR(Y125/H125,"0")</f>
        <v>10</v>
      </c>
      <c r="Z126" s="41">
        <f>IFERROR(IF(Z119="",0,Z119),"0")+IFERROR(IF(Z120="",0,Z120),"0")+IFERROR(IF(Z121="",0,Z121),"0")+IFERROR(IF(Z122="",0,Z122),"0")+IFERROR(IF(Z123="",0,Z123),"0")+IFERROR(IF(Z124="",0,Z124),"0")+IFERROR(IF(Z125="",0,Z125),"0")</f>
        <v>0.1898</v>
      </c>
      <c r="AA126" s="64"/>
      <c r="AB126" s="64"/>
      <c r="AC126" s="64"/>
    </row>
    <row r="127" spans="1:68" x14ac:dyDescent="0.2">
      <c r="A127" s="675"/>
      <c r="B127" s="675"/>
      <c r="C127" s="675"/>
      <c r="D127" s="675"/>
      <c r="E127" s="675"/>
      <c r="F127" s="675"/>
      <c r="G127" s="675"/>
      <c r="H127" s="675"/>
      <c r="I127" s="675"/>
      <c r="J127" s="675"/>
      <c r="K127" s="675"/>
      <c r="L127" s="675"/>
      <c r="M127" s="675"/>
      <c r="N127" s="675"/>
      <c r="O127" s="688"/>
      <c r="P127" s="685" t="s">
        <v>40</v>
      </c>
      <c r="Q127" s="686"/>
      <c r="R127" s="686"/>
      <c r="S127" s="686"/>
      <c r="T127" s="686"/>
      <c r="U127" s="686"/>
      <c r="V127" s="687"/>
      <c r="W127" s="40" t="s">
        <v>0</v>
      </c>
      <c r="X127" s="41">
        <f>IFERROR(SUM(X119:X125),"0")</f>
        <v>80</v>
      </c>
      <c r="Y127" s="41">
        <f>IFERROR(SUM(Y119:Y125),"0")</f>
        <v>81</v>
      </c>
      <c r="Z127" s="40"/>
      <c r="AA127" s="64"/>
      <c r="AB127" s="64"/>
      <c r="AC127" s="64"/>
    </row>
    <row r="128" spans="1:68" ht="14.25" customHeight="1" x14ac:dyDescent="0.25">
      <c r="A128" s="680" t="s">
        <v>186</v>
      </c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0"/>
      <c r="P128" s="680"/>
      <c r="Q128" s="680"/>
      <c r="R128" s="680"/>
      <c r="S128" s="680"/>
      <c r="T128" s="680"/>
      <c r="U128" s="680"/>
      <c r="V128" s="680"/>
      <c r="W128" s="680"/>
      <c r="X128" s="680"/>
      <c r="Y128" s="680"/>
      <c r="Z128" s="680"/>
      <c r="AA128" s="63"/>
      <c r="AB128" s="63"/>
      <c r="AC128" s="63"/>
    </row>
    <row r="129" spans="1:68" ht="37.5" customHeight="1" x14ac:dyDescent="0.25">
      <c r="A129" s="60" t="s">
        <v>262</v>
      </c>
      <c r="B129" s="60" t="s">
        <v>263</v>
      </c>
      <c r="C129" s="34">
        <v>4301060356</v>
      </c>
      <c r="D129" s="681">
        <v>4680115882652</v>
      </c>
      <c r="E129" s="681"/>
      <c r="F129" s="59">
        <v>0.33</v>
      </c>
      <c r="G129" s="35">
        <v>6</v>
      </c>
      <c r="H129" s="59">
        <v>1.98</v>
      </c>
      <c r="I129" s="59">
        <v>2.82</v>
      </c>
      <c r="J129" s="35">
        <v>182</v>
      </c>
      <c r="K129" s="35" t="s">
        <v>83</v>
      </c>
      <c r="L129" s="35" t="s">
        <v>45</v>
      </c>
      <c r="M129" s="36" t="s">
        <v>82</v>
      </c>
      <c r="N129" s="36"/>
      <c r="O129" s="35">
        <v>40</v>
      </c>
      <c r="P129" s="921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83"/>
      <c r="R129" s="683"/>
      <c r="S129" s="683"/>
      <c r="T129" s="684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201" t="s">
        <v>264</v>
      </c>
      <c r="AG129" s="75"/>
      <c r="AJ129" s="79" t="s">
        <v>45</v>
      </c>
      <c r="AK129" s="79">
        <v>0</v>
      </c>
      <c r="BB129" s="202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265</v>
      </c>
      <c r="B130" s="60" t="s">
        <v>266</v>
      </c>
      <c r="C130" s="34">
        <v>4301060317</v>
      </c>
      <c r="D130" s="681">
        <v>4680115880238</v>
      </c>
      <c r="E130" s="681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83</v>
      </c>
      <c r="L130" s="35" t="s">
        <v>45</v>
      </c>
      <c r="M130" s="36" t="s">
        <v>117</v>
      </c>
      <c r="N130" s="36"/>
      <c r="O130" s="35">
        <v>40</v>
      </c>
      <c r="P130" s="9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3"/>
      <c r="R130" s="683"/>
      <c r="S130" s="683"/>
      <c r="T130" s="684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267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x14ac:dyDescent="0.2">
      <c r="A131" s="675"/>
      <c r="B131" s="675"/>
      <c r="C131" s="675"/>
      <c r="D131" s="675"/>
      <c r="E131" s="675"/>
      <c r="F131" s="675"/>
      <c r="G131" s="675"/>
      <c r="H131" s="675"/>
      <c r="I131" s="675"/>
      <c r="J131" s="675"/>
      <c r="K131" s="675"/>
      <c r="L131" s="675"/>
      <c r="M131" s="675"/>
      <c r="N131" s="675"/>
      <c r="O131" s="688"/>
      <c r="P131" s="685" t="s">
        <v>40</v>
      </c>
      <c r="Q131" s="686"/>
      <c r="R131" s="686"/>
      <c r="S131" s="686"/>
      <c r="T131" s="686"/>
      <c r="U131" s="686"/>
      <c r="V131" s="687"/>
      <c r="W131" s="40" t="s">
        <v>39</v>
      </c>
      <c r="X131" s="41">
        <f>IFERROR(X129/H129,"0")+IFERROR(X130/H130,"0")</f>
        <v>0</v>
      </c>
      <c r="Y131" s="41">
        <f>IFERROR(Y129/H129,"0")+IFERROR(Y130/H130,"0")</f>
        <v>0</v>
      </c>
      <c r="Z131" s="41">
        <f>IFERROR(IF(Z129="",0,Z129),"0")+IFERROR(IF(Z130="",0,Z130),"0")</f>
        <v>0</v>
      </c>
      <c r="AA131" s="64"/>
      <c r="AB131" s="64"/>
      <c r="AC131" s="64"/>
    </row>
    <row r="132" spans="1:68" x14ac:dyDescent="0.2">
      <c r="A132" s="675"/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88"/>
      <c r="P132" s="685" t="s">
        <v>40</v>
      </c>
      <c r="Q132" s="686"/>
      <c r="R132" s="686"/>
      <c r="S132" s="686"/>
      <c r="T132" s="686"/>
      <c r="U132" s="686"/>
      <c r="V132" s="687"/>
      <c r="W132" s="40" t="s">
        <v>0</v>
      </c>
      <c r="X132" s="41">
        <f>IFERROR(SUM(X129:X130),"0")</f>
        <v>0</v>
      </c>
      <c r="Y132" s="41">
        <f>IFERROR(SUM(Y129:Y130),"0")</f>
        <v>0</v>
      </c>
      <c r="Z132" s="40"/>
      <c r="AA132" s="64"/>
      <c r="AB132" s="64"/>
      <c r="AC132" s="64"/>
    </row>
    <row r="133" spans="1:68" ht="16.5" customHeight="1" x14ac:dyDescent="0.25">
      <c r="A133" s="695" t="s">
        <v>268</v>
      </c>
      <c r="B133" s="695"/>
      <c r="C133" s="695"/>
      <c r="D133" s="695"/>
      <c r="E133" s="695"/>
      <c r="F133" s="695"/>
      <c r="G133" s="695"/>
      <c r="H133" s="695"/>
      <c r="I133" s="695"/>
      <c r="J133" s="695"/>
      <c r="K133" s="695"/>
      <c r="L133" s="695"/>
      <c r="M133" s="695"/>
      <c r="N133" s="695"/>
      <c r="O133" s="695"/>
      <c r="P133" s="695"/>
      <c r="Q133" s="695"/>
      <c r="R133" s="695"/>
      <c r="S133" s="695"/>
      <c r="T133" s="695"/>
      <c r="U133" s="695"/>
      <c r="V133" s="695"/>
      <c r="W133" s="695"/>
      <c r="X133" s="695"/>
      <c r="Y133" s="695"/>
      <c r="Z133" s="695"/>
      <c r="AA133" s="62"/>
      <c r="AB133" s="62"/>
      <c r="AC133" s="62"/>
    </row>
    <row r="134" spans="1:68" ht="14.25" customHeight="1" x14ac:dyDescent="0.25">
      <c r="A134" s="680" t="s">
        <v>109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3"/>
      <c r="AB134" s="63"/>
      <c r="AC134" s="63"/>
    </row>
    <row r="135" spans="1:68" ht="27" customHeight="1" x14ac:dyDescent="0.25">
      <c r="A135" s="60" t="s">
        <v>269</v>
      </c>
      <c r="B135" s="60" t="s">
        <v>270</v>
      </c>
      <c r="C135" s="34">
        <v>4301011564</v>
      </c>
      <c r="D135" s="681">
        <v>4680115882577</v>
      </c>
      <c r="E135" s="681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83</v>
      </c>
      <c r="L135" s="35" t="s">
        <v>45</v>
      </c>
      <c r="M135" s="36" t="s">
        <v>106</v>
      </c>
      <c r="N135" s="36"/>
      <c r="O135" s="35">
        <v>90</v>
      </c>
      <c r="P135" s="9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3"/>
      <c r="R135" s="683"/>
      <c r="S135" s="683"/>
      <c r="T135" s="684"/>
      <c r="U135" s="37" t="s">
        <v>45</v>
      </c>
      <c r="V135" s="37" t="s">
        <v>45</v>
      </c>
      <c r="W135" s="38" t="s">
        <v>0</v>
      </c>
      <c r="X135" s="56">
        <v>144</v>
      </c>
      <c r="Y135" s="53">
        <f>IFERROR(IF(X135="",0,CEILING((X135/$H135),1)*$H135),"")</f>
        <v>144</v>
      </c>
      <c r="Z135" s="39">
        <f>IFERROR(IF(Y135=0,"",ROUNDUP(Y135/H135,0)*0.00651),"")</f>
        <v>0.29294999999999999</v>
      </c>
      <c r="AA135" s="65" t="s">
        <v>45</v>
      </c>
      <c r="AB135" s="66" t="s">
        <v>45</v>
      </c>
      <c r="AC135" s="205" t="s">
        <v>271</v>
      </c>
      <c r="AG135" s="75"/>
      <c r="AJ135" s="79" t="s">
        <v>45</v>
      </c>
      <c r="AK135" s="79">
        <v>0</v>
      </c>
      <c r="BB135" s="206" t="s">
        <v>66</v>
      </c>
      <c r="BM135" s="75">
        <f>IFERROR(X135*I135/H135,"0")</f>
        <v>152.1</v>
      </c>
      <c r="BN135" s="75">
        <f>IFERROR(Y135*I135/H135,"0")</f>
        <v>152.1</v>
      </c>
      <c r="BO135" s="75">
        <f>IFERROR(1/J135*(X135/H135),"0")</f>
        <v>0.24725274725274726</v>
      </c>
      <c r="BP135" s="75">
        <f>IFERROR(1/J135*(Y135/H135),"0")</f>
        <v>0.24725274725274726</v>
      </c>
    </row>
    <row r="136" spans="1:68" ht="27" customHeight="1" x14ac:dyDescent="0.25">
      <c r="A136" s="60" t="s">
        <v>269</v>
      </c>
      <c r="B136" s="60" t="s">
        <v>272</v>
      </c>
      <c r="C136" s="34">
        <v>4301011562</v>
      </c>
      <c r="D136" s="681">
        <v>4680115882577</v>
      </c>
      <c r="E136" s="681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106</v>
      </c>
      <c r="N136" s="36"/>
      <c r="O136" s="35">
        <v>90</v>
      </c>
      <c r="P136" s="9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3"/>
      <c r="R136" s="683"/>
      <c r="S136" s="683"/>
      <c r="T136" s="684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271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675"/>
      <c r="B137" s="675"/>
      <c r="C137" s="675"/>
      <c r="D137" s="675"/>
      <c r="E137" s="675"/>
      <c r="F137" s="675"/>
      <c r="G137" s="675"/>
      <c r="H137" s="675"/>
      <c r="I137" s="675"/>
      <c r="J137" s="675"/>
      <c r="K137" s="675"/>
      <c r="L137" s="675"/>
      <c r="M137" s="675"/>
      <c r="N137" s="675"/>
      <c r="O137" s="688"/>
      <c r="P137" s="685" t="s">
        <v>40</v>
      </c>
      <c r="Q137" s="686"/>
      <c r="R137" s="686"/>
      <c r="S137" s="686"/>
      <c r="T137" s="686"/>
      <c r="U137" s="686"/>
      <c r="V137" s="687"/>
      <c r="W137" s="40" t="s">
        <v>39</v>
      </c>
      <c r="X137" s="41">
        <f>IFERROR(X135/H135,"0")+IFERROR(X136/H136,"0")</f>
        <v>45</v>
      </c>
      <c r="Y137" s="41">
        <f>IFERROR(Y135/H135,"0")+IFERROR(Y136/H136,"0")</f>
        <v>45</v>
      </c>
      <c r="Z137" s="41">
        <f>IFERROR(IF(Z135="",0,Z135),"0")+IFERROR(IF(Z136="",0,Z136),"0")</f>
        <v>0.29294999999999999</v>
      </c>
      <c r="AA137" s="64"/>
      <c r="AB137" s="64"/>
      <c r="AC137" s="64"/>
    </row>
    <row r="138" spans="1:68" x14ac:dyDescent="0.2">
      <c r="A138" s="675"/>
      <c r="B138" s="675"/>
      <c r="C138" s="675"/>
      <c r="D138" s="675"/>
      <c r="E138" s="675"/>
      <c r="F138" s="675"/>
      <c r="G138" s="675"/>
      <c r="H138" s="675"/>
      <c r="I138" s="675"/>
      <c r="J138" s="675"/>
      <c r="K138" s="675"/>
      <c r="L138" s="675"/>
      <c r="M138" s="675"/>
      <c r="N138" s="675"/>
      <c r="O138" s="688"/>
      <c r="P138" s="685" t="s">
        <v>40</v>
      </c>
      <c r="Q138" s="686"/>
      <c r="R138" s="686"/>
      <c r="S138" s="686"/>
      <c r="T138" s="686"/>
      <c r="U138" s="686"/>
      <c r="V138" s="687"/>
      <c r="W138" s="40" t="s">
        <v>0</v>
      </c>
      <c r="X138" s="41">
        <f>IFERROR(SUM(X135:X136),"0")</f>
        <v>144</v>
      </c>
      <c r="Y138" s="41">
        <f>IFERROR(SUM(Y135:Y136),"0")</f>
        <v>144</v>
      </c>
      <c r="Z138" s="40"/>
      <c r="AA138" s="64"/>
      <c r="AB138" s="64"/>
      <c r="AC138" s="64"/>
    </row>
    <row r="139" spans="1:68" ht="14.25" customHeight="1" x14ac:dyDescent="0.25">
      <c r="A139" s="680" t="s">
        <v>160</v>
      </c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0"/>
      <c r="P139" s="680"/>
      <c r="Q139" s="680"/>
      <c r="R139" s="680"/>
      <c r="S139" s="680"/>
      <c r="T139" s="680"/>
      <c r="U139" s="680"/>
      <c r="V139" s="680"/>
      <c r="W139" s="680"/>
      <c r="X139" s="680"/>
      <c r="Y139" s="680"/>
      <c r="Z139" s="680"/>
      <c r="AA139" s="63"/>
      <c r="AB139" s="63"/>
      <c r="AC139" s="63"/>
    </row>
    <row r="140" spans="1:68" ht="27" customHeight="1" x14ac:dyDescent="0.25">
      <c r="A140" s="60" t="s">
        <v>273</v>
      </c>
      <c r="B140" s="60" t="s">
        <v>274</v>
      </c>
      <c r="C140" s="34">
        <v>4301031234</v>
      </c>
      <c r="D140" s="681">
        <v>4680115883444</v>
      </c>
      <c r="E140" s="681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83</v>
      </c>
      <c r="L140" s="35" t="s">
        <v>45</v>
      </c>
      <c r="M140" s="36" t="s">
        <v>106</v>
      </c>
      <c r="N140" s="36"/>
      <c r="O140" s="35">
        <v>90</v>
      </c>
      <c r="P140" s="91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3"/>
      <c r="R140" s="683"/>
      <c r="S140" s="683"/>
      <c r="T140" s="684"/>
      <c r="U140" s="37" t="s">
        <v>45</v>
      </c>
      <c r="V140" s="37" t="s">
        <v>45</v>
      </c>
      <c r="W140" s="38" t="s">
        <v>0</v>
      </c>
      <c r="X140" s="56">
        <v>98</v>
      </c>
      <c r="Y140" s="53">
        <f>IFERROR(IF(X140="",0,CEILING((X140/$H140),1)*$H140),"")</f>
        <v>98</v>
      </c>
      <c r="Z140" s="39">
        <f>IFERROR(IF(Y140=0,"",ROUNDUP(Y140/H140,0)*0.00651),"")</f>
        <v>0.22785</v>
      </c>
      <c r="AA140" s="65" t="s">
        <v>45</v>
      </c>
      <c r="AB140" s="66" t="s">
        <v>45</v>
      </c>
      <c r="AC140" s="209" t="s">
        <v>275</v>
      </c>
      <c r="AG140" s="75"/>
      <c r="AJ140" s="79" t="s">
        <v>45</v>
      </c>
      <c r="AK140" s="79">
        <v>0</v>
      </c>
      <c r="BB140" s="210" t="s">
        <v>66</v>
      </c>
      <c r="BM140" s="75">
        <f>IFERROR(X140*I140/H140,"0")</f>
        <v>107.38</v>
      </c>
      <c r="BN140" s="75">
        <f>IFERROR(Y140*I140/H140,"0")</f>
        <v>107.38</v>
      </c>
      <c r="BO140" s="75">
        <f>IFERROR(1/J140*(X140/H140),"0")</f>
        <v>0.19230769230769232</v>
      </c>
      <c r="BP140" s="75">
        <f>IFERROR(1/J140*(Y140/H140),"0")</f>
        <v>0.19230769230769232</v>
      </c>
    </row>
    <row r="141" spans="1:68" ht="27" customHeight="1" x14ac:dyDescent="0.25">
      <c r="A141" s="60" t="s">
        <v>273</v>
      </c>
      <c r="B141" s="60" t="s">
        <v>276</v>
      </c>
      <c r="C141" s="34">
        <v>4301031235</v>
      </c>
      <c r="D141" s="681">
        <v>4680115883444</v>
      </c>
      <c r="E141" s="681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106</v>
      </c>
      <c r="N141" s="36"/>
      <c r="O141" s="35">
        <v>90</v>
      </c>
      <c r="P141" s="9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3"/>
      <c r="R141" s="683"/>
      <c r="S141" s="683"/>
      <c r="T141" s="684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275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675"/>
      <c r="B142" s="675"/>
      <c r="C142" s="675"/>
      <c r="D142" s="675"/>
      <c r="E142" s="675"/>
      <c r="F142" s="675"/>
      <c r="G142" s="675"/>
      <c r="H142" s="675"/>
      <c r="I142" s="675"/>
      <c r="J142" s="675"/>
      <c r="K142" s="675"/>
      <c r="L142" s="675"/>
      <c r="M142" s="675"/>
      <c r="N142" s="675"/>
      <c r="O142" s="688"/>
      <c r="P142" s="685" t="s">
        <v>40</v>
      </c>
      <c r="Q142" s="686"/>
      <c r="R142" s="686"/>
      <c r="S142" s="686"/>
      <c r="T142" s="686"/>
      <c r="U142" s="686"/>
      <c r="V142" s="687"/>
      <c r="W142" s="40" t="s">
        <v>39</v>
      </c>
      <c r="X142" s="41">
        <f>IFERROR(X140/H140,"0")+IFERROR(X141/H141,"0")</f>
        <v>35</v>
      </c>
      <c r="Y142" s="41">
        <f>IFERROR(Y140/H140,"0")+IFERROR(Y141/H141,"0")</f>
        <v>35</v>
      </c>
      <c r="Z142" s="41">
        <f>IFERROR(IF(Z140="",0,Z140),"0")+IFERROR(IF(Z141="",0,Z141),"0")</f>
        <v>0.22785</v>
      </c>
      <c r="AA142" s="64"/>
      <c r="AB142" s="64"/>
      <c r="AC142" s="64"/>
    </row>
    <row r="143" spans="1:68" x14ac:dyDescent="0.2">
      <c r="A143" s="675"/>
      <c r="B143" s="675"/>
      <c r="C143" s="675"/>
      <c r="D143" s="675"/>
      <c r="E143" s="675"/>
      <c r="F143" s="675"/>
      <c r="G143" s="675"/>
      <c r="H143" s="675"/>
      <c r="I143" s="675"/>
      <c r="J143" s="675"/>
      <c r="K143" s="675"/>
      <c r="L143" s="675"/>
      <c r="M143" s="675"/>
      <c r="N143" s="675"/>
      <c r="O143" s="688"/>
      <c r="P143" s="685" t="s">
        <v>40</v>
      </c>
      <c r="Q143" s="686"/>
      <c r="R143" s="686"/>
      <c r="S143" s="686"/>
      <c r="T143" s="686"/>
      <c r="U143" s="686"/>
      <c r="V143" s="687"/>
      <c r="W143" s="40" t="s">
        <v>0</v>
      </c>
      <c r="X143" s="41">
        <f>IFERROR(SUM(X140:X141),"0")</f>
        <v>98</v>
      </c>
      <c r="Y143" s="41">
        <f>IFERROR(SUM(Y140:Y141),"0")</f>
        <v>98</v>
      </c>
      <c r="Z143" s="40"/>
      <c r="AA143" s="64"/>
      <c r="AB143" s="64"/>
      <c r="AC143" s="64"/>
    </row>
    <row r="144" spans="1:68" ht="14.25" customHeight="1" x14ac:dyDescent="0.25">
      <c r="A144" s="680" t="s">
        <v>78</v>
      </c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0"/>
      <c r="P144" s="680"/>
      <c r="Q144" s="680"/>
      <c r="R144" s="680"/>
      <c r="S144" s="680"/>
      <c r="T144" s="680"/>
      <c r="U144" s="680"/>
      <c r="V144" s="680"/>
      <c r="W144" s="680"/>
      <c r="X144" s="680"/>
      <c r="Y144" s="680"/>
      <c r="Z144" s="680"/>
      <c r="AA144" s="63"/>
      <c r="AB144" s="63"/>
      <c r="AC144" s="63"/>
    </row>
    <row r="145" spans="1:68" ht="16.5" customHeight="1" x14ac:dyDescent="0.25">
      <c r="A145" s="60" t="s">
        <v>277</v>
      </c>
      <c r="B145" s="60" t="s">
        <v>278</v>
      </c>
      <c r="C145" s="34">
        <v>4301051477</v>
      </c>
      <c r="D145" s="681">
        <v>4680115882584</v>
      </c>
      <c r="E145" s="681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83</v>
      </c>
      <c r="L145" s="35" t="s">
        <v>45</v>
      </c>
      <c r="M145" s="36" t="s">
        <v>106</v>
      </c>
      <c r="N145" s="36"/>
      <c r="O145" s="35">
        <v>60</v>
      </c>
      <c r="P145" s="9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3"/>
      <c r="R145" s="683"/>
      <c r="S145" s="683"/>
      <c r="T145" s="684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45</v>
      </c>
      <c r="AB145" s="66" t="s">
        <v>45</v>
      </c>
      <c r="AC145" s="213" t="s">
        <v>271</v>
      </c>
      <c r="AG145" s="75"/>
      <c r="AJ145" s="79" t="s">
        <v>45</v>
      </c>
      <c r="AK145" s="79">
        <v>0</v>
      </c>
      <c r="BB145" s="214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16.5" customHeight="1" x14ac:dyDescent="0.25">
      <c r="A146" s="60" t="s">
        <v>277</v>
      </c>
      <c r="B146" s="60" t="s">
        <v>279</v>
      </c>
      <c r="C146" s="34">
        <v>4301051476</v>
      </c>
      <c r="D146" s="681">
        <v>4680115882584</v>
      </c>
      <c r="E146" s="681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106</v>
      </c>
      <c r="N146" s="36"/>
      <c r="O146" s="35">
        <v>60</v>
      </c>
      <c r="P146" s="9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3"/>
      <c r="R146" s="683"/>
      <c r="S146" s="683"/>
      <c r="T146" s="684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271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675"/>
      <c r="B147" s="675"/>
      <c r="C147" s="675"/>
      <c r="D147" s="675"/>
      <c r="E147" s="675"/>
      <c r="F147" s="675"/>
      <c r="G147" s="675"/>
      <c r="H147" s="675"/>
      <c r="I147" s="675"/>
      <c r="J147" s="675"/>
      <c r="K147" s="675"/>
      <c r="L147" s="675"/>
      <c r="M147" s="675"/>
      <c r="N147" s="675"/>
      <c r="O147" s="688"/>
      <c r="P147" s="685" t="s">
        <v>40</v>
      </c>
      <c r="Q147" s="686"/>
      <c r="R147" s="686"/>
      <c r="S147" s="686"/>
      <c r="T147" s="686"/>
      <c r="U147" s="686"/>
      <c r="V147" s="687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x14ac:dyDescent="0.2">
      <c r="A148" s="675"/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88"/>
      <c r="P148" s="685" t="s">
        <v>40</v>
      </c>
      <c r="Q148" s="686"/>
      <c r="R148" s="686"/>
      <c r="S148" s="686"/>
      <c r="T148" s="686"/>
      <c r="U148" s="686"/>
      <c r="V148" s="687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6.5" customHeight="1" x14ac:dyDescent="0.25">
      <c r="A149" s="695" t="s">
        <v>107</v>
      </c>
      <c r="B149" s="695"/>
      <c r="C149" s="695"/>
      <c r="D149" s="695"/>
      <c r="E149" s="695"/>
      <c r="F149" s="695"/>
      <c r="G149" s="695"/>
      <c r="H149" s="695"/>
      <c r="I149" s="695"/>
      <c r="J149" s="695"/>
      <c r="K149" s="695"/>
      <c r="L149" s="695"/>
      <c r="M149" s="695"/>
      <c r="N149" s="695"/>
      <c r="O149" s="695"/>
      <c r="P149" s="695"/>
      <c r="Q149" s="695"/>
      <c r="R149" s="695"/>
      <c r="S149" s="695"/>
      <c r="T149" s="695"/>
      <c r="U149" s="695"/>
      <c r="V149" s="695"/>
      <c r="W149" s="695"/>
      <c r="X149" s="695"/>
      <c r="Y149" s="695"/>
      <c r="Z149" s="695"/>
      <c r="AA149" s="62"/>
      <c r="AB149" s="62"/>
      <c r="AC149" s="62"/>
    </row>
    <row r="150" spans="1:68" ht="14.25" customHeight="1" x14ac:dyDescent="0.25">
      <c r="A150" s="680" t="s">
        <v>109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3"/>
      <c r="AB150" s="63"/>
      <c r="AC150" s="63"/>
    </row>
    <row r="151" spans="1:68" ht="27" customHeight="1" x14ac:dyDescent="0.25">
      <c r="A151" s="60" t="s">
        <v>280</v>
      </c>
      <c r="B151" s="60" t="s">
        <v>281</v>
      </c>
      <c r="C151" s="34">
        <v>4301011705</v>
      </c>
      <c r="D151" s="681">
        <v>4607091384604</v>
      </c>
      <c r="E151" s="681"/>
      <c r="F151" s="59">
        <v>0.4</v>
      </c>
      <c r="G151" s="35">
        <v>10</v>
      </c>
      <c r="H151" s="59">
        <v>4</v>
      </c>
      <c r="I151" s="59">
        <v>4.21</v>
      </c>
      <c r="J151" s="35">
        <v>132</v>
      </c>
      <c r="K151" s="35" t="s">
        <v>118</v>
      </c>
      <c r="L151" s="35" t="s">
        <v>45</v>
      </c>
      <c r="M151" s="36" t="s">
        <v>113</v>
      </c>
      <c r="N151" s="36"/>
      <c r="O151" s="35">
        <v>50</v>
      </c>
      <c r="P151" s="9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83"/>
      <c r="R151" s="683"/>
      <c r="S151" s="683"/>
      <c r="T151" s="684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IFERROR(IF(Y151=0,"",ROUNDUP(Y151/H151,0)*0.00902),"")</f>
        <v/>
      </c>
      <c r="AA151" s="65" t="s">
        <v>45</v>
      </c>
      <c r="AB151" s="66" t="s">
        <v>45</v>
      </c>
      <c r="AC151" s="217" t="s">
        <v>282</v>
      </c>
      <c r="AG151" s="75"/>
      <c r="AJ151" s="79" t="s">
        <v>45</v>
      </c>
      <c r="AK151" s="79">
        <v>0</v>
      </c>
      <c r="BB151" s="218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x14ac:dyDescent="0.2">
      <c r="A152" s="675"/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88"/>
      <c r="P152" s="685" t="s">
        <v>40</v>
      </c>
      <c r="Q152" s="686"/>
      <c r="R152" s="686"/>
      <c r="S152" s="686"/>
      <c r="T152" s="686"/>
      <c r="U152" s="686"/>
      <c r="V152" s="687"/>
      <c r="W152" s="40" t="s">
        <v>39</v>
      </c>
      <c r="X152" s="41">
        <f>IFERROR(X151/H151,"0")</f>
        <v>0</v>
      </c>
      <c r="Y152" s="41">
        <f>IFERROR(Y151/H151,"0")</f>
        <v>0</v>
      </c>
      <c r="Z152" s="41">
        <f>IFERROR(IF(Z151="",0,Z151),"0")</f>
        <v>0</v>
      </c>
      <c r="AA152" s="64"/>
      <c r="AB152" s="64"/>
      <c r="AC152" s="64"/>
    </row>
    <row r="153" spans="1:68" x14ac:dyDescent="0.2">
      <c r="A153" s="675"/>
      <c r="B153" s="675"/>
      <c r="C153" s="675"/>
      <c r="D153" s="675"/>
      <c r="E153" s="675"/>
      <c r="F153" s="675"/>
      <c r="G153" s="675"/>
      <c r="H153" s="675"/>
      <c r="I153" s="675"/>
      <c r="J153" s="675"/>
      <c r="K153" s="675"/>
      <c r="L153" s="675"/>
      <c r="M153" s="675"/>
      <c r="N153" s="675"/>
      <c r="O153" s="688"/>
      <c r="P153" s="685" t="s">
        <v>40</v>
      </c>
      <c r="Q153" s="686"/>
      <c r="R153" s="686"/>
      <c r="S153" s="686"/>
      <c r="T153" s="686"/>
      <c r="U153" s="686"/>
      <c r="V153" s="687"/>
      <c r="W153" s="40" t="s">
        <v>0</v>
      </c>
      <c r="X153" s="41">
        <f>IFERROR(SUM(X151:X151),"0")</f>
        <v>0</v>
      </c>
      <c r="Y153" s="41">
        <f>IFERROR(SUM(Y151:Y151),"0")</f>
        <v>0</v>
      </c>
      <c r="Z153" s="40"/>
      <c r="AA153" s="64"/>
      <c r="AB153" s="64"/>
      <c r="AC153" s="64"/>
    </row>
    <row r="154" spans="1:68" ht="14.25" customHeight="1" x14ac:dyDescent="0.25">
      <c r="A154" s="680" t="s">
        <v>160</v>
      </c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0"/>
      <c r="P154" s="680"/>
      <c r="Q154" s="680"/>
      <c r="R154" s="680"/>
      <c r="S154" s="680"/>
      <c r="T154" s="680"/>
      <c r="U154" s="680"/>
      <c r="V154" s="680"/>
      <c r="W154" s="680"/>
      <c r="X154" s="680"/>
      <c r="Y154" s="680"/>
      <c r="Z154" s="680"/>
      <c r="AA154" s="63"/>
      <c r="AB154" s="63"/>
      <c r="AC154" s="63"/>
    </row>
    <row r="155" spans="1:68" ht="16.5" customHeight="1" x14ac:dyDescent="0.25">
      <c r="A155" s="60" t="s">
        <v>283</v>
      </c>
      <c r="B155" s="60" t="s">
        <v>284</v>
      </c>
      <c r="C155" s="34">
        <v>4301030895</v>
      </c>
      <c r="D155" s="681">
        <v>4607091387667</v>
      </c>
      <c r="E155" s="681"/>
      <c r="F155" s="59">
        <v>0.9</v>
      </c>
      <c r="G155" s="35">
        <v>10</v>
      </c>
      <c r="H155" s="59">
        <v>9</v>
      </c>
      <c r="I155" s="59">
        <v>9.5850000000000009</v>
      </c>
      <c r="J155" s="35">
        <v>64</v>
      </c>
      <c r="K155" s="35" t="s">
        <v>114</v>
      </c>
      <c r="L155" s="35" t="s">
        <v>45</v>
      </c>
      <c r="M155" s="36" t="s">
        <v>113</v>
      </c>
      <c r="N155" s="36"/>
      <c r="O155" s="35">
        <v>40</v>
      </c>
      <c r="P155" s="91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83"/>
      <c r="R155" s="683"/>
      <c r="S155" s="683"/>
      <c r="T155" s="684"/>
      <c r="U155" s="37" t="s">
        <v>45</v>
      </c>
      <c r="V155" s="37" t="s">
        <v>45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IFERROR(IF(Y155=0,"",ROUNDUP(Y155/H155,0)*0.01898),"")</f>
        <v/>
      </c>
      <c r="AA155" s="65" t="s">
        <v>45</v>
      </c>
      <c r="AB155" s="66" t="s">
        <v>45</v>
      </c>
      <c r="AC155" s="219" t="s">
        <v>285</v>
      </c>
      <c r="AG155" s="75"/>
      <c r="AJ155" s="79" t="s">
        <v>45</v>
      </c>
      <c r="AK155" s="79">
        <v>0</v>
      </c>
      <c r="BB155" s="220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286</v>
      </c>
      <c r="B156" s="60" t="s">
        <v>287</v>
      </c>
      <c r="C156" s="34">
        <v>4301030961</v>
      </c>
      <c r="D156" s="681">
        <v>4607091387636</v>
      </c>
      <c r="E156" s="681"/>
      <c r="F156" s="59">
        <v>0.7</v>
      </c>
      <c r="G156" s="35">
        <v>6</v>
      </c>
      <c r="H156" s="59">
        <v>4.2</v>
      </c>
      <c r="I156" s="59">
        <v>4.47</v>
      </c>
      <c r="J156" s="35">
        <v>182</v>
      </c>
      <c r="K156" s="35" t="s">
        <v>83</v>
      </c>
      <c r="L156" s="35" t="s">
        <v>45</v>
      </c>
      <c r="M156" s="36" t="s">
        <v>82</v>
      </c>
      <c r="N156" s="36"/>
      <c r="O156" s="35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83"/>
      <c r="R156" s="683"/>
      <c r="S156" s="683"/>
      <c r="T156" s="684"/>
      <c r="U156" s="37" t="s">
        <v>45</v>
      </c>
      <c r="V156" s="37" t="s">
        <v>45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45</v>
      </c>
      <c r="AB156" s="66" t="s">
        <v>45</v>
      </c>
      <c r="AC156" s="221" t="s">
        <v>288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16.5" customHeight="1" x14ac:dyDescent="0.25">
      <c r="A157" s="60" t="s">
        <v>289</v>
      </c>
      <c r="B157" s="60" t="s">
        <v>290</v>
      </c>
      <c r="C157" s="34">
        <v>4301030963</v>
      </c>
      <c r="D157" s="681">
        <v>4607091382426</v>
      </c>
      <c r="E157" s="681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82</v>
      </c>
      <c r="N157" s="36"/>
      <c r="O157" s="35">
        <v>40</v>
      </c>
      <c r="P157" s="9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83"/>
      <c r="R157" s="683"/>
      <c r="S157" s="683"/>
      <c r="T157" s="684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291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75"/>
      <c r="B158" s="675"/>
      <c r="C158" s="675"/>
      <c r="D158" s="675"/>
      <c r="E158" s="675"/>
      <c r="F158" s="675"/>
      <c r="G158" s="675"/>
      <c r="H158" s="675"/>
      <c r="I158" s="675"/>
      <c r="J158" s="675"/>
      <c r="K158" s="675"/>
      <c r="L158" s="675"/>
      <c r="M158" s="675"/>
      <c r="N158" s="675"/>
      <c r="O158" s="688"/>
      <c r="P158" s="685" t="s">
        <v>40</v>
      </c>
      <c r="Q158" s="686"/>
      <c r="R158" s="686"/>
      <c r="S158" s="686"/>
      <c r="T158" s="686"/>
      <c r="U158" s="686"/>
      <c r="V158" s="687"/>
      <c r="W158" s="40" t="s">
        <v>39</v>
      </c>
      <c r="X158" s="41">
        <f>IFERROR(X155/H155,"0")+IFERROR(X156/H156,"0")+IFERROR(X157/H157,"0")</f>
        <v>0</v>
      </c>
      <c r="Y158" s="41">
        <f>IFERROR(Y155/H155,"0")+IFERROR(Y156/H156,"0")+IFERROR(Y157/H157,"0")</f>
        <v>0</v>
      </c>
      <c r="Z158" s="41">
        <f>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75"/>
      <c r="B159" s="675"/>
      <c r="C159" s="675"/>
      <c r="D159" s="675"/>
      <c r="E159" s="675"/>
      <c r="F159" s="675"/>
      <c r="G159" s="675"/>
      <c r="H159" s="675"/>
      <c r="I159" s="675"/>
      <c r="J159" s="675"/>
      <c r="K159" s="675"/>
      <c r="L159" s="675"/>
      <c r="M159" s="675"/>
      <c r="N159" s="675"/>
      <c r="O159" s="688"/>
      <c r="P159" s="685" t="s">
        <v>40</v>
      </c>
      <c r="Q159" s="686"/>
      <c r="R159" s="686"/>
      <c r="S159" s="686"/>
      <c r="T159" s="686"/>
      <c r="U159" s="686"/>
      <c r="V159" s="687"/>
      <c r="W159" s="40" t="s">
        <v>0</v>
      </c>
      <c r="X159" s="41">
        <f>IFERROR(SUM(X155:X157),"0")</f>
        <v>0</v>
      </c>
      <c r="Y159" s="41">
        <f>IFERROR(SUM(Y155:Y157),"0")</f>
        <v>0</v>
      </c>
      <c r="Z159" s="40"/>
      <c r="AA159" s="64"/>
      <c r="AB159" s="64"/>
      <c r="AC159" s="64"/>
    </row>
    <row r="160" spans="1:68" ht="14.25" customHeight="1" x14ac:dyDescent="0.25">
      <c r="A160" s="680" t="s">
        <v>78</v>
      </c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0"/>
      <c r="P160" s="680"/>
      <c r="Q160" s="680"/>
      <c r="R160" s="680"/>
      <c r="S160" s="680"/>
      <c r="T160" s="680"/>
      <c r="U160" s="680"/>
      <c r="V160" s="680"/>
      <c r="W160" s="680"/>
      <c r="X160" s="680"/>
      <c r="Y160" s="680"/>
      <c r="Z160" s="680"/>
      <c r="AA160" s="63"/>
      <c r="AB160" s="63"/>
      <c r="AC160" s="63"/>
    </row>
    <row r="161" spans="1:68" ht="16.5" customHeight="1" x14ac:dyDescent="0.25">
      <c r="A161" s="60" t="s">
        <v>292</v>
      </c>
      <c r="B161" s="60" t="s">
        <v>293</v>
      </c>
      <c r="C161" s="34">
        <v>4301051653</v>
      </c>
      <c r="D161" s="681">
        <v>4607091386264</v>
      </c>
      <c r="E161" s="681"/>
      <c r="F161" s="59">
        <v>0.5</v>
      </c>
      <c r="G161" s="35">
        <v>6</v>
      </c>
      <c r="H161" s="59">
        <v>3</v>
      </c>
      <c r="I161" s="59">
        <v>3.258</v>
      </c>
      <c r="J161" s="35">
        <v>182</v>
      </c>
      <c r="K161" s="35" t="s">
        <v>83</v>
      </c>
      <c r="L161" s="35" t="s">
        <v>45</v>
      </c>
      <c r="M161" s="36" t="s">
        <v>117</v>
      </c>
      <c r="N161" s="36"/>
      <c r="O161" s="35">
        <v>31</v>
      </c>
      <c r="P161" s="90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83"/>
      <c r="R161" s="683"/>
      <c r="S161" s="683"/>
      <c r="T161" s="684"/>
      <c r="U161" s="37" t="s">
        <v>45</v>
      </c>
      <c r="V161" s="37" t="s">
        <v>45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IFERROR(IF(Y161=0,"",ROUNDUP(Y161/H161,0)*0.00651),"")</f>
        <v/>
      </c>
      <c r="AA161" s="65" t="s">
        <v>45</v>
      </c>
      <c r="AB161" s="66" t="s">
        <v>45</v>
      </c>
      <c r="AC161" s="225" t="s">
        <v>294</v>
      </c>
      <c r="AG161" s="75"/>
      <c r="AJ161" s="79" t="s">
        <v>45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88"/>
      <c r="P162" s="685" t="s">
        <v>40</v>
      </c>
      <c r="Q162" s="686"/>
      <c r="R162" s="686"/>
      <c r="S162" s="686"/>
      <c r="T162" s="686"/>
      <c r="U162" s="686"/>
      <c r="V162" s="68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75"/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88"/>
      <c r="P163" s="685" t="s">
        <v>40</v>
      </c>
      <c r="Q163" s="686"/>
      <c r="R163" s="686"/>
      <c r="S163" s="686"/>
      <c r="T163" s="686"/>
      <c r="U163" s="686"/>
      <c r="V163" s="68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27.75" customHeight="1" x14ac:dyDescent="0.2">
      <c r="A164" s="717" t="s">
        <v>295</v>
      </c>
      <c r="B164" s="717"/>
      <c r="C164" s="717"/>
      <c r="D164" s="717"/>
      <c r="E164" s="717"/>
      <c r="F164" s="717"/>
      <c r="G164" s="717"/>
      <c r="H164" s="717"/>
      <c r="I164" s="717"/>
      <c r="J164" s="717"/>
      <c r="K164" s="717"/>
      <c r="L164" s="717"/>
      <c r="M164" s="717"/>
      <c r="N164" s="717"/>
      <c r="O164" s="717"/>
      <c r="P164" s="717"/>
      <c r="Q164" s="717"/>
      <c r="R164" s="717"/>
      <c r="S164" s="717"/>
      <c r="T164" s="717"/>
      <c r="U164" s="717"/>
      <c r="V164" s="717"/>
      <c r="W164" s="717"/>
      <c r="X164" s="717"/>
      <c r="Y164" s="717"/>
      <c r="Z164" s="717"/>
      <c r="AA164" s="52"/>
      <c r="AB164" s="52"/>
      <c r="AC164" s="52"/>
    </row>
    <row r="165" spans="1:68" ht="16.5" customHeight="1" x14ac:dyDescent="0.25">
      <c r="A165" s="695" t="s">
        <v>296</v>
      </c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5"/>
      <c r="P165" s="695"/>
      <c r="Q165" s="695"/>
      <c r="R165" s="695"/>
      <c r="S165" s="695"/>
      <c r="T165" s="695"/>
      <c r="U165" s="695"/>
      <c r="V165" s="695"/>
      <c r="W165" s="695"/>
      <c r="X165" s="695"/>
      <c r="Y165" s="695"/>
      <c r="Z165" s="695"/>
      <c r="AA165" s="62"/>
      <c r="AB165" s="62"/>
      <c r="AC165" s="62"/>
    </row>
    <row r="166" spans="1:68" ht="14.25" customHeight="1" x14ac:dyDescent="0.25">
      <c r="A166" s="680" t="s">
        <v>149</v>
      </c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0"/>
      <c r="P166" s="680"/>
      <c r="Q166" s="680"/>
      <c r="R166" s="680"/>
      <c r="S166" s="680"/>
      <c r="T166" s="680"/>
      <c r="U166" s="680"/>
      <c r="V166" s="680"/>
      <c r="W166" s="680"/>
      <c r="X166" s="680"/>
      <c r="Y166" s="680"/>
      <c r="Z166" s="680"/>
      <c r="AA166" s="63"/>
      <c r="AB166" s="63"/>
      <c r="AC166" s="63"/>
    </row>
    <row r="167" spans="1:68" ht="27" customHeight="1" x14ac:dyDescent="0.25">
      <c r="A167" s="60" t="s">
        <v>297</v>
      </c>
      <c r="B167" s="60" t="s">
        <v>298</v>
      </c>
      <c r="C167" s="34">
        <v>4301020323</v>
      </c>
      <c r="D167" s="681">
        <v>4680115886223</v>
      </c>
      <c r="E167" s="681"/>
      <c r="F167" s="59">
        <v>0.33</v>
      </c>
      <c r="G167" s="35">
        <v>6</v>
      </c>
      <c r="H167" s="59">
        <v>1.98</v>
      </c>
      <c r="I167" s="59">
        <v>2.08</v>
      </c>
      <c r="J167" s="35">
        <v>234</v>
      </c>
      <c r="K167" s="35" t="s">
        <v>164</v>
      </c>
      <c r="L167" s="35" t="s">
        <v>45</v>
      </c>
      <c r="M167" s="36" t="s">
        <v>82</v>
      </c>
      <c r="N167" s="36"/>
      <c r="O167" s="35">
        <v>40</v>
      </c>
      <c r="P167" s="9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83"/>
      <c r="R167" s="683"/>
      <c r="S167" s="683"/>
      <c r="T167" s="684"/>
      <c r="U167" s="37" t="s">
        <v>45</v>
      </c>
      <c r="V167" s="37" t="s">
        <v>45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27" t="s">
        <v>299</v>
      </c>
      <c r="AG167" s="75"/>
      <c r="AJ167" s="79" t="s">
        <v>45</v>
      </c>
      <c r="AK167" s="79">
        <v>0</v>
      </c>
      <c r="BB167" s="228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x14ac:dyDescent="0.2">
      <c r="A168" s="675"/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88"/>
      <c r="P168" s="685" t="s">
        <v>40</v>
      </c>
      <c r="Q168" s="686"/>
      <c r="R168" s="686"/>
      <c r="S168" s="686"/>
      <c r="T168" s="686"/>
      <c r="U168" s="686"/>
      <c r="V168" s="687"/>
      <c r="W168" s="40" t="s">
        <v>39</v>
      </c>
      <c r="X168" s="41">
        <f>IFERROR(X167/H167,"0")</f>
        <v>0</v>
      </c>
      <c r="Y168" s="41">
        <f>IFERROR(Y167/H167,"0")</f>
        <v>0</v>
      </c>
      <c r="Z168" s="41">
        <f>IFERROR(IF(Z167="",0,Z167),"0")</f>
        <v>0</v>
      </c>
      <c r="AA168" s="64"/>
      <c r="AB168" s="64"/>
      <c r="AC168" s="64"/>
    </row>
    <row r="169" spans="1:68" x14ac:dyDescent="0.2">
      <c r="A169" s="675"/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88"/>
      <c r="P169" s="685" t="s">
        <v>40</v>
      </c>
      <c r="Q169" s="686"/>
      <c r="R169" s="686"/>
      <c r="S169" s="686"/>
      <c r="T169" s="686"/>
      <c r="U169" s="686"/>
      <c r="V169" s="687"/>
      <c r="W169" s="40" t="s">
        <v>0</v>
      </c>
      <c r="X169" s="41">
        <f>IFERROR(SUM(X167:X167),"0")</f>
        <v>0</v>
      </c>
      <c r="Y169" s="41">
        <f>IFERROR(SUM(Y167:Y167),"0")</f>
        <v>0</v>
      </c>
      <c r="Z169" s="40"/>
      <c r="AA169" s="64"/>
      <c r="AB169" s="64"/>
      <c r="AC169" s="64"/>
    </row>
    <row r="170" spans="1:68" ht="14.25" customHeight="1" x14ac:dyDescent="0.25">
      <c r="A170" s="680" t="s">
        <v>160</v>
      </c>
      <c r="B170" s="680"/>
      <c r="C170" s="680"/>
      <c r="D170" s="680"/>
      <c r="E170" s="680"/>
      <c r="F170" s="680"/>
      <c r="G170" s="680"/>
      <c r="H170" s="680"/>
      <c r="I170" s="680"/>
      <c r="J170" s="680"/>
      <c r="K170" s="680"/>
      <c r="L170" s="680"/>
      <c r="M170" s="680"/>
      <c r="N170" s="680"/>
      <c r="O170" s="680"/>
      <c r="P170" s="680"/>
      <c r="Q170" s="680"/>
      <c r="R170" s="680"/>
      <c r="S170" s="680"/>
      <c r="T170" s="680"/>
      <c r="U170" s="680"/>
      <c r="V170" s="680"/>
      <c r="W170" s="680"/>
      <c r="X170" s="680"/>
      <c r="Y170" s="680"/>
      <c r="Z170" s="680"/>
      <c r="AA170" s="63"/>
      <c r="AB170" s="63"/>
      <c r="AC170" s="63"/>
    </row>
    <row r="171" spans="1:68" ht="27" customHeight="1" x14ac:dyDescent="0.25">
      <c r="A171" s="60" t="s">
        <v>300</v>
      </c>
      <c r="B171" s="60" t="s">
        <v>301</v>
      </c>
      <c r="C171" s="34">
        <v>4301031191</v>
      </c>
      <c r="D171" s="681">
        <v>4680115880993</v>
      </c>
      <c r="E171" s="681"/>
      <c r="F171" s="59">
        <v>0.7</v>
      </c>
      <c r="G171" s="35">
        <v>6</v>
      </c>
      <c r="H171" s="59">
        <v>4.2</v>
      </c>
      <c r="I171" s="59">
        <v>4.47</v>
      </c>
      <c r="J171" s="35">
        <v>132</v>
      </c>
      <c r="K171" s="35" t="s">
        <v>118</v>
      </c>
      <c r="L171" s="35" t="s">
        <v>45</v>
      </c>
      <c r="M171" s="36" t="s">
        <v>82</v>
      </c>
      <c r="N171" s="36"/>
      <c r="O171" s="35">
        <v>40</v>
      </c>
      <c r="P171" s="91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83"/>
      <c r="R171" s="683"/>
      <c r="S171" s="683"/>
      <c r="T171" s="684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ref="Y171:Y179" si="26">IFERROR(IF(X171="",0,CEILING((X171/$H171),1)*$H171),"")</f>
        <v>0</v>
      </c>
      <c r="Z171" s="39" t="str">
        <f>IFERROR(IF(Y171=0,"",ROUNDUP(Y171/H171,0)*0.00902),"")</f>
        <v/>
      </c>
      <c r="AA171" s="65" t="s">
        <v>45</v>
      </c>
      <c r="AB171" s="66" t="s">
        <v>45</v>
      </c>
      <c r="AC171" s="229" t="s">
        <v>302</v>
      </c>
      <c r="AG171" s="75"/>
      <c r="AJ171" s="79" t="s">
        <v>45</v>
      </c>
      <c r="AK171" s="79">
        <v>0</v>
      </c>
      <c r="BB171" s="230" t="s">
        <v>66</v>
      </c>
      <c r="BM171" s="75">
        <f t="shared" ref="BM171:BM179" si="27">IFERROR(X171*I171/H171,"0")</f>
        <v>0</v>
      </c>
      <c r="BN171" s="75">
        <f t="shared" ref="BN171:BN179" si="28">IFERROR(Y171*I171/H171,"0")</f>
        <v>0</v>
      </c>
      <c r="BO171" s="75">
        <f t="shared" ref="BO171:BO179" si="29">IFERROR(1/J171*(X171/H171),"0")</f>
        <v>0</v>
      </c>
      <c r="BP171" s="75">
        <f t="shared" ref="BP171:BP179" si="30">IFERROR(1/J171*(Y171/H171),"0")</f>
        <v>0</v>
      </c>
    </row>
    <row r="172" spans="1:68" ht="27" customHeight="1" x14ac:dyDescent="0.25">
      <c r="A172" s="60" t="s">
        <v>303</v>
      </c>
      <c r="B172" s="60" t="s">
        <v>304</v>
      </c>
      <c r="C172" s="34">
        <v>4301031204</v>
      </c>
      <c r="D172" s="681">
        <v>4680115881761</v>
      </c>
      <c r="E172" s="681"/>
      <c r="F172" s="59">
        <v>0.7</v>
      </c>
      <c r="G172" s="35">
        <v>6</v>
      </c>
      <c r="H172" s="59">
        <v>4.2</v>
      </c>
      <c r="I172" s="59">
        <v>4.47</v>
      </c>
      <c r="J172" s="35">
        <v>132</v>
      </c>
      <c r="K172" s="35" t="s">
        <v>118</v>
      </c>
      <c r="L172" s="35" t="s">
        <v>45</v>
      </c>
      <c r="M172" s="36" t="s">
        <v>82</v>
      </c>
      <c r="N172" s="36"/>
      <c r="O172" s="35">
        <v>40</v>
      </c>
      <c r="P172" s="9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83"/>
      <c r="R172" s="683"/>
      <c r="S172" s="683"/>
      <c r="T172" s="684"/>
      <c r="U172" s="37" t="s">
        <v>45</v>
      </c>
      <c r="V172" s="37" t="s">
        <v>45</v>
      </c>
      <c r="W172" s="38" t="s">
        <v>0</v>
      </c>
      <c r="X172" s="56">
        <v>60</v>
      </c>
      <c r="Y172" s="53">
        <f t="shared" si="26"/>
        <v>63</v>
      </c>
      <c r="Z172" s="39">
        <f>IFERROR(IF(Y172=0,"",ROUNDUP(Y172/H172,0)*0.00902),"")</f>
        <v>0.1353</v>
      </c>
      <c r="AA172" s="65" t="s">
        <v>45</v>
      </c>
      <c r="AB172" s="66" t="s">
        <v>45</v>
      </c>
      <c r="AC172" s="231" t="s">
        <v>305</v>
      </c>
      <c r="AG172" s="75"/>
      <c r="AJ172" s="79" t="s">
        <v>45</v>
      </c>
      <c r="AK172" s="79">
        <v>0</v>
      </c>
      <c r="BB172" s="232" t="s">
        <v>66</v>
      </c>
      <c r="BM172" s="75">
        <f t="shared" si="27"/>
        <v>63.857142857142854</v>
      </c>
      <c r="BN172" s="75">
        <f t="shared" si="28"/>
        <v>67.049999999999983</v>
      </c>
      <c r="BO172" s="75">
        <f t="shared" si="29"/>
        <v>0.10822510822510822</v>
      </c>
      <c r="BP172" s="75">
        <f t="shared" si="30"/>
        <v>0.11363636363636365</v>
      </c>
    </row>
    <row r="173" spans="1:68" ht="27" customHeight="1" x14ac:dyDescent="0.25">
      <c r="A173" s="60" t="s">
        <v>306</v>
      </c>
      <c r="B173" s="60" t="s">
        <v>307</v>
      </c>
      <c r="C173" s="34">
        <v>4301031201</v>
      </c>
      <c r="D173" s="681">
        <v>4680115881563</v>
      </c>
      <c r="E173" s="681"/>
      <c r="F173" s="59">
        <v>0.7</v>
      </c>
      <c r="G173" s="35">
        <v>6</v>
      </c>
      <c r="H173" s="59">
        <v>4.2</v>
      </c>
      <c r="I173" s="59">
        <v>4.41</v>
      </c>
      <c r="J173" s="35">
        <v>132</v>
      </c>
      <c r="K173" s="35" t="s">
        <v>118</v>
      </c>
      <c r="L173" s="35" t="s">
        <v>45</v>
      </c>
      <c r="M173" s="36" t="s">
        <v>82</v>
      </c>
      <c r="N173" s="36"/>
      <c r="O173" s="35">
        <v>40</v>
      </c>
      <c r="P173" s="9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83"/>
      <c r="R173" s="683"/>
      <c r="S173" s="683"/>
      <c r="T173" s="684"/>
      <c r="U173" s="37" t="s">
        <v>45</v>
      </c>
      <c r="V173" s="37" t="s">
        <v>45</v>
      </c>
      <c r="W173" s="38" t="s">
        <v>0</v>
      </c>
      <c r="X173" s="56">
        <v>180</v>
      </c>
      <c r="Y173" s="53">
        <f t="shared" si="26"/>
        <v>180.6</v>
      </c>
      <c r="Z173" s="39">
        <f>IFERROR(IF(Y173=0,"",ROUNDUP(Y173/H173,0)*0.00902),"")</f>
        <v>0.38785999999999998</v>
      </c>
      <c r="AA173" s="65" t="s">
        <v>45</v>
      </c>
      <c r="AB173" s="66" t="s">
        <v>45</v>
      </c>
      <c r="AC173" s="233" t="s">
        <v>308</v>
      </c>
      <c r="AG173" s="75"/>
      <c r="AJ173" s="79" t="s">
        <v>45</v>
      </c>
      <c r="AK173" s="79">
        <v>0</v>
      </c>
      <c r="BB173" s="234" t="s">
        <v>66</v>
      </c>
      <c r="BM173" s="75">
        <f t="shared" si="27"/>
        <v>189</v>
      </c>
      <c r="BN173" s="75">
        <f t="shared" si="28"/>
        <v>189.63</v>
      </c>
      <c r="BO173" s="75">
        <f t="shared" si="29"/>
        <v>0.32467532467532467</v>
      </c>
      <c r="BP173" s="75">
        <f t="shared" si="30"/>
        <v>0.32575757575757575</v>
      </c>
    </row>
    <row r="174" spans="1:68" ht="27" customHeight="1" x14ac:dyDescent="0.25">
      <c r="A174" s="60" t="s">
        <v>309</v>
      </c>
      <c r="B174" s="60" t="s">
        <v>310</v>
      </c>
      <c r="C174" s="34">
        <v>4301031199</v>
      </c>
      <c r="D174" s="681">
        <v>4680115880986</v>
      </c>
      <c r="E174" s="681"/>
      <c r="F174" s="59">
        <v>0.35</v>
      </c>
      <c r="G174" s="35">
        <v>6</v>
      </c>
      <c r="H174" s="59">
        <v>2.1</v>
      </c>
      <c r="I174" s="59">
        <v>2.23</v>
      </c>
      <c r="J174" s="35">
        <v>234</v>
      </c>
      <c r="K174" s="35" t="s">
        <v>164</v>
      </c>
      <c r="L174" s="35" t="s">
        <v>45</v>
      </c>
      <c r="M174" s="36" t="s">
        <v>82</v>
      </c>
      <c r="N174" s="36"/>
      <c r="O174" s="35">
        <v>40</v>
      </c>
      <c r="P174" s="9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83"/>
      <c r="R174" s="683"/>
      <c r="S174" s="683"/>
      <c r="T174" s="684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26"/>
        <v>0</v>
      </c>
      <c r="Z174" s="39" t="str">
        <f>IFERROR(IF(Y174=0,"",ROUNDUP(Y174/H174,0)*0.00502),"")</f>
        <v/>
      </c>
      <c r="AA174" s="65" t="s">
        <v>45</v>
      </c>
      <c r="AB174" s="66" t="s">
        <v>45</v>
      </c>
      <c r="AC174" s="235" t="s">
        <v>302</v>
      </c>
      <c r="AG174" s="75"/>
      <c r="AJ174" s="79" t="s">
        <v>45</v>
      </c>
      <c r="AK174" s="79">
        <v>0</v>
      </c>
      <c r="BB174" s="236" t="s">
        <v>66</v>
      </c>
      <c r="BM174" s="75">
        <f t="shared" si="27"/>
        <v>0</v>
      </c>
      <c r="BN174" s="75">
        <f t="shared" si="28"/>
        <v>0</v>
      </c>
      <c r="BO174" s="75">
        <f t="shared" si="29"/>
        <v>0</v>
      </c>
      <c r="BP174" s="75">
        <f t="shared" si="30"/>
        <v>0</v>
      </c>
    </row>
    <row r="175" spans="1:68" ht="27" customHeight="1" x14ac:dyDescent="0.25">
      <c r="A175" s="60" t="s">
        <v>311</v>
      </c>
      <c r="B175" s="60" t="s">
        <v>312</v>
      </c>
      <c r="C175" s="34">
        <v>4301031205</v>
      </c>
      <c r="D175" s="681">
        <v>4680115881785</v>
      </c>
      <c r="E175" s="681"/>
      <c r="F175" s="59">
        <v>0.35</v>
      </c>
      <c r="G175" s="35">
        <v>6</v>
      </c>
      <c r="H175" s="59">
        <v>2.1</v>
      </c>
      <c r="I175" s="59">
        <v>2.23</v>
      </c>
      <c r="J175" s="35">
        <v>234</v>
      </c>
      <c r="K175" s="35" t="s">
        <v>164</v>
      </c>
      <c r="L175" s="35" t="s">
        <v>45</v>
      </c>
      <c r="M175" s="36" t="s">
        <v>82</v>
      </c>
      <c r="N175" s="36"/>
      <c r="O175" s="35">
        <v>40</v>
      </c>
      <c r="P175" s="9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83"/>
      <c r="R175" s="683"/>
      <c r="S175" s="683"/>
      <c r="T175" s="684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6"/>
        <v>0</v>
      </c>
      <c r="Z175" s="39" t="str">
        <f>IFERROR(IF(Y175=0,"",ROUNDUP(Y175/H175,0)*0.00502),"")</f>
        <v/>
      </c>
      <c r="AA175" s="65" t="s">
        <v>45</v>
      </c>
      <c r="AB175" s="66" t="s">
        <v>45</v>
      </c>
      <c r="AC175" s="237" t="s">
        <v>305</v>
      </c>
      <c r="AG175" s="75"/>
      <c r="AJ175" s="79" t="s">
        <v>45</v>
      </c>
      <c r="AK175" s="79">
        <v>0</v>
      </c>
      <c r="BB175" s="238" t="s">
        <v>66</v>
      </c>
      <c r="BM175" s="75">
        <f t="shared" si="27"/>
        <v>0</v>
      </c>
      <c r="BN175" s="75">
        <f t="shared" si="28"/>
        <v>0</v>
      </c>
      <c r="BO175" s="75">
        <f t="shared" si="29"/>
        <v>0</v>
      </c>
      <c r="BP175" s="75">
        <f t="shared" si="30"/>
        <v>0</v>
      </c>
    </row>
    <row r="176" spans="1:68" ht="27" customHeight="1" x14ac:dyDescent="0.25">
      <c r="A176" s="60" t="s">
        <v>313</v>
      </c>
      <c r="B176" s="60" t="s">
        <v>314</v>
      </c>
      <c r="C176" s="34">
        <v>4301031399</v>
      </c>
      <c r="D176" s="681">
        <v>4680115886537</v>
      </c>
      <c r="E176" s="681"/>
      <c r="F176" s="59">
        <v>0.3</v>
      </c>
      <c r="G176" s="35">
        <v>6</v>
      </c>
      <c r="H176" s="59">
        <v>1.8</v>
      </c>
      <c r="I176" s="59">
        <v>1.93</v>
      </c>
      <c r="J176" s="35">
        <v>234</v>
      </c>
      <c r="K176" s="35" t="s">
        <v>164</v>
      </c>
      <c r="L176" s="35" t="s">
        <v>45</v>
      </c>
      <c r="M176" s="36" t="s">
        <v>82</v>
      </c>
      <c r="N176" s="36"/>
      <c r="O176" s="35">
        <v>40</v>
      </c>
      <c r="P176" s="905" t="s">
        <v>315</v>
      </c>
      <c r="Q176" s="683"/>
      <c r="R176" s="683"/>
      <c r="S176" s="683"/>
      <c r="T176" s="684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6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9" t="s">
        <v>316</v>
      </c>
      <c r="AG176" s="75"/>
      <c r="AJ176" s="79" t="s">
        <v>45</v>
      </c>
      <c r="AK176" s="79">
        <v>0</v>
      </c>
      <c r="BB176" s="240" t="s">
        <v>66</v>
      </c>
      <c r="BM176" s="75">
        <f t="shared" si="27"/>
        <v>0</v>
      </c>
      <c r="BN176" s="75">
        <f t="shared" si="28"/>
        <v>0</v>
      </c>
      <c r="BO176" s="75">
        <f t="shared" si="29"/>
        <v>0</v>
      </c>
      <c r="BP176" s="75">
        <f t="shared" si="30"/>
        <v>0</v>
      </c>
    </row>
    <row r="177" spans="1:68" ht="37.5" customHeight="1" x14ac:dyDescent="0.25">
      <c r="A177" s="60" t="s">
        <v>317</v>
      </c>
      <c r="B177" s="60" t="s">
        <v>318</v>
      </c>
      <c r="C177" s="34">
        <v>4301031202</v>
      </c>
      <c r="D177" s="681">
        <v>4680115881679</v>
      </c>
      <c r="E177" s="681"/>
      <c r="F177" s="59">
        <v>0.35</v>
      </c>
      <c r="G177" s="35">
        <v>6</v>
      </c>
      <c r="H177" s="59">
        <v>2.1</v>
      </c>
      <c r="I177" s="59">
        <v>2.2000000000000002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9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83"/>
      <c r="R177" s="683"/>
      <c r="S177" s="683"/>
      <c r="T177" s="684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6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308</v>
      </c>
      <c r="AG177" s="75"/>
      <c r="AJ177" s="79" t="s">
        <v>45</v>
      </c>
      <c r="AK177" s="79">
        <v>0</v>
      </c>
      <c r="BB177" s="242" t="s">
        <v>66</v>
      </c>
      <c r="BM177" s="75">
        <f t="shared" si="27"/>
        <v>0</v>
      </c>
      <c r="BN177" s="75">
        <f t="shared" si="28"/>
        <v>0</v>
      </c>
      <c r="BO177" s="75">
        <f t="shared" si="29"/>
        <v>0</v>
      </c>
      <c r="BP177" s="75">
        <f t="shared" si="30"/>
        <v>0</v>
      </c>
    </row>
    <row r="178" spans="1:68" ht="27" customHeight="1" x14ac:dyDescent="0.25">
      <c r="A178" s="60" t="s">
        <v>319</v>
      </c>
      <c r="B178" s="60" t="s">
        <v>320</v>
      </c>
      <c r="C178" s="34">
        <v>4301031158</v>
      </c>
      <c r="D178" s="681">
        <v>4680115880191</v>
      </c>
      <c r="E178" s="681"/>
      <c r="F178" s="59">
        <v>0.4</v>
      </c>
      <c r="G178" s="35">
        <v>6</v>
      </c>
      <c r="H178" s="59">
        <v>2.4</v>
      </c>
      <c r="I178" s="59">
        <v>2.58</v>
      </c>
      <c r="J178" s="35">
        <v>182</v>
      </c>
      <c r="K178" s="35" t="s">
        <v>83</v>
      </c>
      <c r="L178" s="35" t="s">
        <v>45</v>
      </c>
      <c r="M178" s="36" t="s">
        <v>82</v>
      </c>
      <c r="N178" s="36"/>
      <c r="O178" s="35">
        <v>40</v>
      </c>
      <c r="P178" s="90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83"/>
      <c r="R178" s="683"/>
      <c r="S178" s="683"/>
      <c r="T178" s="684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6"/>
        <v>0</v>
      </c>
      <c r="Z178" s="39" t="str">
        <f>IFERROR(IF(Y178=0,"",ROUNDUP(Y178/H178,0)*0.00651),"")</f>
        <v/>
      </c>
      <c r="AA178" s="65" t="s">
        <v>45</v>
      </c>
      <c r="AB178" s="66" t="s">
        <v>45</v>
      </c>
      <c r="AC178" s="243" t="s">
        <v>308</v>
      </c>
      <c r="AG178" s="75"/>
      <c r="AJ178" s="79" t="s">
        <v>45</v>
      </c>
      <c r="AK178" s="79">
        <v>0</v>
      </c>
      <c r="BB178" s="244" t="s">
        <v>66</v>
      </c>
      <c r="BM178" s="75">
        <f t="shared" si="27"/>
        <v>0</v>
      </c>
      <c r="BN178" s="75">
        <f t="shared" si="28"/>
        <v>0</v>
      </c>
      <c r="BO178" s="75">
        <f t="shared" si="29"/>
        <v>0</v>
      </c>
      <c r="BP178" s="75">
        <f t="shared" si="30"/>
        <v>0</v>
      </c>
    </row>
    <row r="179" spans="1:68" ht="27" customHeight="1" x14ac:dyDescent="0.25">
      <c r="A179" s="60" t="s">
        <v>321</v>
      </c>
      <c r="B179" s="60" t="s">
        <v>322</v>
      </c>
      <c r="C179" s="34">
        <v>4301031245</v>
      </c>
      <c r="D179" s="681">
        <v>4680115883963</v>
      </c>
      <c r="E179" s="681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9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83"/>
      <c r="R179" s="683"/>
      <c r="S179" s="683"/>
      <c r="T179" s="684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6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323</v>
      </c>
      <c r="AG179" s="75"/>
      <c r="AJ179" s="79" t="s">
        <v>45</v>
      </c>
      <c r="AK179" s="79">
        <v>0</v>
      </c>
      <c r="BB179" s="246" t="s">
        <v>66</v>
      </c>
      <c r="BM179" s="75">
        <f t="shared" si="27"/>
        <v>0</v>
      </c>
      <c r="BN179" s="75">
        <f t="shared" si="28"/>
        <v>0</v>
      </c>
      <c r="BO179" s="75">
        <f t="shared" si="29"/>
        <v>0</v>
      </c>
      <c r="BP179" s="75">
        <f t="shared" si="30"/>
        <v>0</v>
      </c>
    </row>
    <row r="180" spans="1:68" x14ac:dyDescent="0.2">
      <c r="A180" s="675"/>
      <c r="B180" s="675"/>
      <c r="C180" s="675"/>
      <c r="D180" s="675"/>
      <c r="E180" s="675"/>
      <c r="F180" s="675"/>
      <c r="G180" s="675"/>
      <c r="H180" s="675"/>
      <c r="I180" s="675"/>
      <c r="J180" s="675"/>
      <c r="K180" s="675"/>
      <c r="L180" s="675"/>
      <c r="M180" s="675"/>
      <c r="N180" s="675"/>
      <c r="O180" s="688"/>
      <c r="P180" s="685" t="s">
        <v>40</v>
      </c>
      <c r="Q180" s="686"/>
      <c r="R180" s="686"/>
      <c r="S180" s="686"/>
      <c r="T180" s="686"/>
      <c r="U180" s="686"/>
      <c r="V180" s="687"/>
      <c r="W180" s="40" t="s">
        <v>39</v>
      </c>
      <c r="X180" s="41">
        <f>IFERROR(X171/H171,"0")+IFERROR(X172/H172,"0")+IFERROR(X173/H173,"0")+IFERROR(X174/H174,"0")+IFERROR(X175/H175,"0")+IFERROR(X176/H176,"0")+IFERROR(X177/H177,"0")+IFERROR(X178/H178,"0")+IFERROR(X179/H179,"0")</f>
        <v>57.142857142857139</v>
      </c>
      <c r="Y180" s="41">
        <f>IFERROR(Y171/H171,"0")+IFERROR(Y172/H172,"0")+IFERROR(Y173/H173,"0")+IFERROR(Y174/H174,"0")+IFERROR(Y175/H175,"0")+IFERROR(Y176/H176,"0")+IFERROR(Y177/H177,"0")+IFERROR(Y178/H178,"0")+IFERROR(Y179/H179,"0")</f>
        <v>58</v>
      </c>
      <c r="Z180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0.52315999999999996</v>
      </c>
      <c r="AA180" s="64"/>
      <c r="AB180" s="64"/>
      <c r="AC180" s="64"/>
    </row>
    <row r="181" spans="1:68" x14ac:dyDescent="0.2">
      <c r="A181" s="675"/>
      <c r="B181" s="675"/>
      <c r="C181" s="675"/>
      <c r="D181" s="675"/>
      <c r="E181" s="675"/>
      <c r="F181" s="675"/>
      <c r="G181" s="675"/>
      <c r="H181" s="675"/>
      <c r="I181" s="675"/>
      <c r="J181" s="675"/>
      <c r="K181" s="675"/>
      <c r="L181" s="675"/>
      <c r="M181" s="675"/>
      <c r="N181" s="675"/>
      <c r="O181" s="688"/>
      <c r="P181" s="685" t="s">
        <v>40</v>
      </c>
      <c r="Q181" s="686"/>
      <c r="R181" s="686"/>
      <c r="S181" s="686"/>
      <c r="T181" s="686"/>
      <c r="U181" s="686"/>
      <c r="V181" s="687"/>
      <c r="W181" s="40" t="s">
        <v>0</v>
      </c>
      <c r="X181" s="41">
        <f>IFERROR(SUM(X171:X179),"0")</f>
        <v>240</v>
      </c>
      <c r="Y181" s="41">
        <f>IFERROR(SUM(Y171:Y179),"0")</f>
        <v>243.6</v>
      </c>
      <c r="Z181" s="40"/>
      <c r="AA181" s="64"/>
      <c r="AB181" s="64"/>
      <c r="AC181" s="64"/>
    </row>
    <row r="182" spans="1:68" ht="14.25" customHeight="1" x14ac:dyDescent="0.25">
      <c r="A182" s="680" t="s">
        <v>101</v>
      </c>
      <c r="B182" s="680"/>
      <c r="C182" s="680"/>
      <c r="D182" s="680"/>
      <c r="E182" s="680"/>
      <c r="F182" s="680"/>
      <c r="G182" s="680"/>
      <c r="H182" s="680"/>
      <c r="I182" s="680"/>
      <c r="J182" s="680"/>
      <c r="K182" s="680"/>
      <c r="L182" s="680"/>
      <c r="M182" s="680"/>
      <c r="N182" s="680"/>
      <c r="O182" s="680"/>
      <c r="P182" s="680"/>
      <c r="Q182" s="680"/>
      <c r="R182" s="680"/>
      <c r="S182" s="680"/>
      <c r="T182" s="680"/>
      <c r="U182" s="680"/>
      <c r="V182" s="680"/>
      <c r="W182" s="680"/>
      <c r="X182" s="680"/>
      <c r="Y182" s="680"/>
      <c r="Z182" s="680"/>
      <c r="AA182" s="63"/>
      <c r="AB182" s="63"/>
      <c r="AC182" s="63"/>
    </row>
    <row r="183" spans="1:68" ht="27" customHeight="1" x14ac:dyDescent="0.25">
      <c r="A183" s="60" t="s">
        <v>324</v>
      </c>
      <c r="B183" s="60" t="s">
        <v>325</v>
      </c>
      <c r="C183" s="34">
        <v>4301032051</v>
      </c>
      <c r="D183" s="681">
        <v>4680115886742</v>
      </c>
      <c r="E183" s="681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330</v>
      </c>
      <c r="L183" s="35" t="s">
        <v>45</v>
      </c>
      <c r="M183" s="36" t="s">
        <v>329</v>
      </c>
      <c r="N183" s="36"/>
      <c r="O183" s="35">
        <v>90</v>
      </c>
      <c r="P183" s="898" t="s">
        <v>326</v>
      </c>
      <c r="Q183" s="683"/>
      <c r="R183" s="683"/>
      <c r="S183" s="683"/>
      <c r="T183" s="684"/>
      <c r="U183" s="37" t="s">
        <v>45</v>
      </c>
      <c r="V183" s="37" t="s">
        <v>45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 t="s">
        <v>45</v>
      </c>
      <c r="AB183" s="66" t="s">
        <v>328</v>
      </c>
      <c r="AC183" s="247" t="s">
        <v>327</v>
      </c>
      <c r="AG183" s="75"/>
      <c r="AJ183" s="79" t="s">
        <v>45</v>
      </c>
      <c r="AK183" s="79">
        <v>0</v>
      </c>
      <c r="BB183" s="248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customHeight="1" x14ac:dyDescent="0.25">
      <c r="A184" s="60" t="s">
        <v>331</v>
      </c>
      <c r="B184" s="60" t="s">
        <v>332</v>
      </c>
      <c r="C184" s="34">
        <v>4301032052</v>
      </c>
      <c r="D184" s="681">
        <v>4680115886766</v>
      </c>
      <c r="E184" s="681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330</v>
      </c>
      <c r="L184" s="35" t="s">
        <v>45</v>
      </c>
      <c r="M184" s="36" t="s">
        <v>329</v>
      </c>
      <c r="N184" s="36"/>
      <c r="O184" s="35">
        <v>90</v>
      </c>
      <c r="P184" s="899" t="s">
        <v>333</v>
      </c>
      <c r="Q184" s="683"/>
      <c r="R184" s="683"/>
      <c r="S184" s="683"/>
      <c r="T184" s="684"/>
      <c r="U184" s="37" t="s">
        <v>45</v>
      </c>
      <c r="V184" s="37" t="s">
        <v>45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 t="s">
        <v>45</v>
      </c>
      <c r="AB184" s="66" t="s">
        <v>328</v>
      </c>
      <c r="AC184" s="249" t="s">
        <v>327</v>
      </c>
      <c r="AG184" s="75"/>
      <c r="AJ184" s="79" t="s">
        <v>45</v>
      </c>
      <c r="AK184" s="79">
        <v>0</v>
      </c>
      <c r="BB184" s="250" t="s">
        <v>66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customHeight="1" x14ac:dyDescent="0.25">
      <c r="A185" s="60" t="s">
        <v>334</v>
      </c>
      <c r="B185" s="60" t="s">
        <v>335</v>
      </c>
      <c r="C185" s="34">
        <v>4301032053</v>
      </c>
      <c r="D185" s="681">
        <v>4680115886780</v>
      </c>
      <c r="E185" s="681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330</v>
      </c>
      <c r="L185" s="35" t="s">
        <v>45</v>
      </c>
      <c r="M185" s="36" t="s">
        <v>329</v>
      </c>
      <c r="N185" s="36"/>
      <c r="O185" s="35">
        <v>60</v>
      </c>
      <c r="P185" s="900" t="s">
        <v>336</v>
      </c>
      <c r="Q185" s="683"/>
      <c r="R185" s="683"/>
      <c r="S185" s="683"/>
      <c r="T185" s="684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51" t="s">
        <v>337</v>
      </c>
      <c r="AG185" s="75"/>
      <c r="AJ185" s="79" t="s">
        <v>45</v>
      </c>
      <c r="AK185" s="79">
        <v>0</v>
      </c>
      <c r="BB185" s="252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x14ac:dyDescent="0.2">
      <c r="A186" s="675"/>
      <c r="B186" s="675"/>
      <c r="C186" s="675"/>
      <c r="D186" s="675"/>
      <c r="E186" s="675"/>
      <c r="F186" s="675"/>
      <c r="G186" s="675"/>
      <c r="H186" s="675"/>
      <c r="I186" s="675"/>
      <c r="J186" s="675"/>
      <c r="K186" s="675"/>
      <c r="L186" s="675"/>
      <c r="M186" s="675"/>
      <c r="N186" s="675"/>
      <c r="O186" s="688"/>
      <c r="P186" s="685" t="s">
        <v>40</v>
      </c>
      <c r="Q186" s="686"/>
      <c r="R186" s="686"/>
      <c r="S186" s="686"/>
      <c r="T186" s="686"/>
      <c r="U186" s="686"/>
      <c r="V186" s="687"/>
      <c r="W186" s="40" t="s">
        <v>39</v>
      </c>
      <c r="X186" s="41">
        <f>IFERROR(X183/H183,"0")+IFERROR(X184/H184,"0")+IFERROR(X185/H185,"0")</f>
        <v>0</v>
      </c>
      <c r="Y186" s="41">
        <f>IFERROR(Y183/H183,"0")+IFERROR(Y184/H184,"0")+IFERROR(Y185/H185,"0")</f>
        <v>0</v>
      </c>
      <c r="Z186" s="41">
        <f>IFERROR(IF(Z183="",0,Z183),"0")+IFERROR(IF(Z184="",0,Z184),"0")+IFERROR(IF(Z185="",0,Z185),"0")</f>
        <v>0</v>
      </c>
      <c r="AA186" s="64"/>
      <c r="AB186" s="64"/>
      <c r="AC186" s="64"/>
    </row>
    <row r="187" spans="1:68" x14ac:dyDescent="0.2">
      <c r="A187" s="675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88"/>
      <c r="P187" s="685" t="s">
        <v>40</v>
      </c>
      <c r="Q187" s="686"/>
      <c r="R187" s="686"/>
      <c r="S187" s="686"/>
      <c r="T187" s="686"/>
      <c r="U187" s="686"/>
      <c r="V187" s="687"/>
      <c r="W187" s="40" t="s">
        <v>0</v>
      </c>
      <c r="X187" s="41">
        <f>IFERROR(SUM(X183:X185),"0")</f>
        <v>0</v>
      </c>
      <c r="Y187" s="41">
        <f>IFERROR(SUM(Y183:Y185),"0")</f>
        <v>0</v>
      </c>
      <c r="Z187" s="40"/>
      <c r="AA187" s="64"/>
      <c r="AB187" s="64"/>
      <c r="AC187" s="64"/>
    </row>
    <row r="188" spans="1:68" ht="14.25" customHeight="1" x14ac:dyDescent="0.25">
      <c r="A188" s="680" t="s">
        <v>338</v>
      </c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0"/>
      <c r="P188" s="680"/>
      <c r="Q188" s="680"/>
      <c r="R188" s="680"/>
      <c r="S188" s="680"/>
      <c r="T188" s="680"/>
      <c r="U188" s="680"/>
      <c r="V188" s="680"/>
      <c r="W188" s="680"/>
      <c r="X188" s="680"/>
      <c r="Y188" s="680"/>
      <c r="Z188" s="680"/>
      <c r="AA188" s="63"/>
      <c r="AB188" s="63"/>
      <c r="AC188" s="63"/>
    </row>
    <row r="189" spans="1:68" ht="27" customHeight="1" x14ac:dyDescent="0.25">
      <c r="A189" s="60" t="s">
        <v>339</v>
      </c>
      <c r="B189" s="60" t="s">
        <v>340</v>
      </c>
      <c r="C189" s="34">
        <v>4301170013</v>
      </c>
      <c r="D189" s="681">
        <v>4680115886797</v>
      </c>
      <c r="E189" s="681"/>
      <c r="F189" s="59">
        <v>7.0000000000000007E-2</v>
      </c>
      <c r="G189" s="35">
        <v>18</v>
      </c>
      <c r="H189" s="59">
        <v>1.26</v>
      </c>
      <c r="I189" s="59">
        <v>1.45</v>
      </c>
      <c r="J189" s="35">
        <v>216</v>
      </c>
      <c r="K189" s="35" t="s">
        <v>330</v>
      </c>
      <c r="L189" s="35" t="s">
        <v>45</v>
      </c>
      <c r="M189" s="36" t="s">
        <v>329</v>
      </c>
      <c r="N189" s="36"/>
      <c r="O189" s="35">
        <v>90</v>
      </c>
      <c r="P189" s="901" t="s">
        <v>341</v>
      </c>
      <c r="Q189" s="683"/>
      <c r="R189" s="683"/>
      <c r="S189" s="683"/>
      <c r="T189" s="684"/>
      <c r="U189" s="37" t="s">
        <v>45</v>
      </c>
      <c r="V189" s="37" t="s">
        <v>45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45</v>
      </c>
      <c r="AB189" s="66" t="s">
        <v>328</v>
      </c>
      <c r="AC189" s="253" t="s">
        <v>327</v>
      </c>
      <c r="AG189" s="75"/>
      <c r="AJ189" s="79" t="s">
        <v>45</v>
      </c>
      <c r="AK189" s="79">
        <v>0</v>
      </c>
      <c r="BB189" s="25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x14ac:dyDescent="0.2">
      <c r="A190" s="675"/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88"/>
      <c r="P190" s="685" t="s">
        <v>40</v>
      </c>
      <c r="Q190" s="686"/>
      <c r="R190" s="686"/>
      <c r="S190" s="686"/>
      <c r="T190" s="686"/>
      <c r="U190" s="686"/>
      <c r="V190" s="68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x14ac:dyDescent="0.2">
      <c r="A191" s="675"/>
      <c r="B191" s="675"/>
      <c r="C191" s="675"/>
      <c r="D191" s="675"/>
      <c r="E191" s="675"/>
      <c r="F191" s="675"/>
      <c r="G191" s="675"/>
      <c r="H191" s="675"/>
      <c r="I191" s="675"/>
      <c r="J191" s="675"/>
      <c r="K191" s="675"/>
      <c r="L191" s="675"/>
      <c r="M191" s="675"/>
      <c r="N191" s="675"/>
      <c r="O191" s="688"/>
      <c r="P191" s="685" t="s">
        <v>40</v>
      </c>
      <c r="Q191" s="686"/>
      <c r="R191" s="686"/>
      <c r="S191" s="686"/>
      <c r="T191" s="686"/>
      <c r="U191" s="686"/>
      <c r="V191" s="68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6.5" customHeight="1" x14ac:dyDescent="0.25">
      <c r="A192" s="695" t="s">
        <v>342</v>
      </c>
      <c r="B192" s="695"/>
      <c r="C192" s="695"/>
      <c r="D192" s="695"/>
      <c r="E192" s="695"/>
      <c r="F192" s="695"/>
      <c r="G192" s="695"/>
      <c r="H192" s="695"/>
      <c r="I192" s="695"/>
      <c r="J192" s="695"/>
      <c r="K192" s="695"/>
      <c r="L192" s="695"/>
      <c r="M192" s="695"/>
      <c r="N192" s="695"/>
      <c r="O192" s="695"/>
      <c r="P192" s="695"/>
      <c r="Q192" s="695"/>
      <c r="R192" s="695"/>
      <c r="S192" s="695"/>
      <c r="T192" s="695"/>
      <c r="U192" s="695"/>
      <c r="V192" s="695"/>
      <c r="W192" s="695"/>
      <c r="X192" s="695"/>
      <c r="Y192" s="695"/>
      <c r="Z192" s="695"/>
      <c r="AA192" s="62"/>
      <c r="AB192" s="62"/>
      <c r="AC192" s="62"/>
    </row>
    <row r="193" spans="1:68" ht="14.25" customHeight="1" x14ac:dyDescent="0.25">
      <c r="A193" s="680" t="s">
        <v>109</v>
      </c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0"/>
      <c r="P193" s="680"/>
      <c r="Q193" s="680"/>
      <c r="R193" s="680"/>
      <c r="S193" s="680"/>
      <c r="T193" s="680"/>
      <c r="U193" s="680"/>
      <c r="V193" s="680"/>
      <c r="W193" s="680"/>
      <c r="X193" s="680"/>
      <c r="Y193" s="680"/>
      <c r="Z193" s="680"/>
      <c r="AA193" s="63"/>
      <c r="AB193" s="63"/>
      <c r="AC193" s="63"/>
    </row>
    <row r="194" spans="1:68" ht="16.5" customHeight="1" x14ac:dyDescent="0.25">
      <c r="A194" s="60" t="s">
        <v>343</v>
      </c>
      <c r="B194" s="60" t="s">
        <v>344</v>
      </c>
      <c r="C194" s="34">
        <v>4301011450</v>
      </c>
      <c r="D194" s="681">
        <v>4680115881402</v>
      </c>
      <c r="E194" s="681"/>
      <c r="F194" s="59">
        <v>1.35</v>
      </c>
      <c r="G194" s="35">
        <v>8</v>
      </c>
      <c r="H194" s="59">
        <v>10.8</v>
      </c>
      <c r="I194" s="59">
        <v>11.234999999999999</v>
      </c>
      <c r="J194" s="35">
        <v>64</v>
      </c>
      <c r="K194" s="35" t="s">
        <v>114</v>
      </c>
      <c r="L194" s="35" t="s">
        <v>45</v>
      </c>
      <c r="M194" s="36" t="s">
        <v>113</v>
      </c>
      <c r="N194" s="36"/>
      <c r="O194" s="35">
        <v>55</v>
      </c>
      <c r="P194" s="8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83"/>
      <c r="R194" s="683"/>
      <c r="S194" s="683"/>
      <c r="T194" s="684"/>
      <c r="U194" s="37" t="s">
        <v>45</v>
      </c>
      <c r="V194" s="37" t="s">
        <v>45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IFERROR(IF(Y194=0,"",ROUNDUP(Y194/H194,0)*0.01898),"")</f>
        <v/>
      </c>
      <c r="AA194" s="65" t="s">
        <v>45</v>
      </c>
      <c r="AB194" s="66" t="s">
        <v>45</v>
      </c>
      <c r="AC194" s="255" t="s">
        <v>345</v>
      </c>
      <c r="AG194" s="75"/>
      <c r="AJ194" s="79" t="s">
        <v>45</v>
      </c>
      <c r="AK194" s="79">
        <v>0</v>
      </c>
      <c r="BB194" s="256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t="27" customHeight="1" x14ac:dyDescent="0.25">
      <c r="A195" s="60" t="s">
        <v>346</v>
      </c>
      <c r="B195" s="60" t="s">
        <v>347</v>
      </c>
      <c r="C195" s="34">
        <v>4301011768</v>
      </c>
      <c r="D195" s="681">
        <v>4680115881396</v>
      </c>
      <c r="E195" s="681"/>
      <c r="F195" s="59">
        <v>0.45</v>
      </c>
      <c r="G195" s="35">
        <v>6</v>
      </c>
      <c r="H195" s="59">
        <v>2.7</v>
      </c>
      <c r="I195" s="59">
        <v>2.88</v>
      </c>
      <c r="J195" s="35">
        <v>182</v>
      </c>
      <c r="K195" s="35" t="s">
        <v>83</v>
      </c>
      <c r="L195" s="35" t="s">
        <v>45</v>
      </c>
      <c r="M195" s="36" t="s">
        <v>113</v>
      </c>
      <c r="N195" s="36"/>
      <c r="O195" s="35">
        <v>55</v>
      </c>
      <c r="P195" s="8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83"/>
      <c r="R195" s="683"/>
      <c r="S195" s="683"/>
      <c r="T195" s="684"/>
      <c r="U195" s="37" t="s">
        <v>45</v>
      </c>
      <c r="V195" s="37" t="s">
        <v>45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45</v>
      </c>
      <c r="AB195" s="66" t="s">
        <v>45</v>
      </c>
      <c r="AC195" s="257" t="s">
        <v>345</v>
      </c>
      <c r="AG195" s="75"/>
      <c r="AJ195" s="79" t="s">
        <v>45</v>
      </c>
      <c r="AK195" s="79">
        <v>0</v>
      </c>
      <c r="BB195" s="258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x14ac:dyDescent="0.2">
      <c r="A196" s="675"/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88"/>
      <c r="P196" s="685" t="s">
        <v>40</v>
      </c>
      <c r="Q196" s="686"/>
      <c r="R196" s="686"/>
      <c r="S196" s="686"/>
      <c r="T196" s="686"/>
      <c r="U196" s="686"/>
      <c r="V196" s="687"/>
      <c r="W196" s="40" t="s">
        <v>39</v>
      </c>
      <c r="X196" s="41">
        <f>IFERROR(X194/H194,"0")+IFERROR(X195/H195,"0")</f>
        <v>0</v>
      </c>
      <c r="Y196" s="41">
        <f>IFERROR(Y194/H194,"0")+IFERROR(Y195/H195,"0")</f>
        <v>0</v>
      </c>
      <c r="Z196" s="41">
        <f>IFERROR(IF(Z194="",0,Z194),"0")+IFERROR(IF(Z195="",0,Z195),"0")</f>
        <v>0</v>
      </c>
      <c r="AA196" s="64"/>
      <c r="AB196" s="64"/>
      <c r="AC196" s="64"/>
    </row>
    <row r="197" spans="1:68" x14ac:dyDescent="0.2">
      <c r="A197" s="675"/>
      <c r="B197" s="675"/>
      <c r="C197" s="675"/>
      <c r="D197" s="675"/>
      <c r="E197" s="675"/>
      <c r="F197" s="675"/>
      <c r="G197" s="675"/>
      <c r="H197" s="675"/>
      <c r="I197" s="675"/>
      <c r="J197" s="675"/>
      <c r="K197" s="675"/>
      <c r="L197" s="675"/>
      <c r="M197" s="675"/>
      <c r="N197" s="675"/>
      <c r="O197" s="688"/>
      <c r="P197" s="685" t="s">
        <v>40</v>
      </c>
      <c r="Q197" s="686"/>
      <c r="R197" s="686"/>
      <c r="S197" s="686"/>
      <c r="T197" s="686"/>
      <c r="U197" s="686"/>
      <c r="V197" s="687"/>
      <c r="W197" s="40" t="s">
        <v>0</v>
      </c>
      <c r="X197" s="41">
        <f>IFERROR(SUM(X194:X195),"0")</f>
        <v>0</v>
      </c>
      <c r="Y197" s="41">
        <f>IFERROR(SUM(Y194:Y195),"0")</f>
        <v>0</v>
      </c>
      <c r="Z197" s="40"/>
      <c r="AA197" s="64"/>
      <c r="AB197" s="64"/>
      <c r="AC197" s="64"/>
    </row>
    <row r="198" spans="1:68" ht="14.25" customHeight="1" x14ac:dyDescent="0.25">
      <c r="A198" s="680" t="s">
        <v>149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3"/>
      <c r="AB198" s="63"/>
      <c r="AC198" s="63"/>
    </row>
    <row r="199" spans="1:68" ht="16.5" customHeight="1" x14ac:dyDescent="0.25">
      <c r="A199" s="60" t="s">
        <v>348</v>
      </c>
      <c r="B199" s="60" t="s">
        <v>349</v>
      </c>
      <c r="C199" s="34">
        <v>4301020262</v>
      </c>
      <c r="D199" s="681">
        <v>4680115882935</v>
      </c>
      <c r="E199" s="681"/>
      <c r="F199" s="59">
        <v>1.35</v>
      </c>
      <c r="G199" s="35">
        <v>8</v>
      </c>
      <c r="H199" s="59">
        <v>10.8</v>
      </c>
      <c r="I199" s="59">
        <v>11.234999999999999</v>
      </c>
      <c r="J199" s="35">
        <v>64</v>
      </c>
      <c r="K199" s="35" t="s">
        <v>114</v>
      </c>
      <c r="L199" s="35" t="s">
        <v>45</v>
      </c>
      <c r="M199" s="36" t="s">
        <v>117</v>
      </c>
      <c r="N199" s="36"/>
      <c r="O199" s="35">
        <v>50</v>
      </c>
      <c r="P199" s="89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83"/>
      <c r="R199" s="683"/>
      <c r="S199" s="683"/>
      <c r="T199" s="684"/>
      <c r="U199" s="37" t="s">
        <v>45</v>
      </c>
      <c r="V199" s="37" t="s">
        <v>45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45</v>
      </c>
      <c r="AB199" s="66" t="s">
        <v>45</v>
      </c>
      <c r="AC199" s="259" t="s">
        <v>350</v>
      </c>
      <c r="AG199" s="75"/>
      <c r="AJ199" s="79" t="s">
        <v>45</v>
      </c>
      <c r="AK199" s="79">
        <v>0</v>
      </c>
      <c r="BB199" s="260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customHeight="1" x14ac:dyDescent="0.25">
      <c r="A200" s="60" t="s">
        <v>351</v>
      </c>
      <c r="B200" s="60" t="s">
        <v>352</v>
      </c>
      <c r="C200" s="34">
        <v>4301020220</v>
      </c>
      <c r="D200" s="681">
        <v>4680115880764</v>
      </c>
      <c r="E200" s="681"/>
      <c r="F200" s="59">
        <v>0.35</v>
      </c>
      <c r="G200" s="35">
        <v>6</v>
      </c>
      <c r="H200" s="59">
        <v>2.1</v>
      </c>
      <c r="I200" s="59">
        <v>2.2799999999999998</v>
      </c>
      <c r="J200" s="35">
        <v>182</v>
      </c>
      <c r="K200" s="35" t="s">
        <v>83</v>
      </c>
      <c r="L200" s="35" t="s">
        <v>45</v>
      </c>
      <c r="M200" s="36" t="s">
        <v>113</v>
      </c>
      <c r="N200" s="36"/>
      <c r="O200" s="35">
        <v>50</v>
      </c>
      <c r="P200" s="8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83"/>
      <c r="R200" s="683"/>
      <c r="S200" s="683"/>
      <c r="T200" s="684"/>
      <c r="U200" s="37" t="s">
        <v>45</v>
      </c>
      <c r="V200" s="37" t="s">
        <v>45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45</v>
      </c>
      <c r="AB200" s="66" t="s">
        <v>45</v>
      </c>
      <c r="AC200" s="261" t="s">
        <v>350</v>
      </c>
      <c r="AG200" s="75"/>
      <c r="AJ200" s="79" t="s">
        <v>45</v>
      </c>
      <c r="AK200" s="79">
        <v>0</v>
      </c>
      <c r="BB200" s="262" t="s">
        <v>66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75"/>
      <c r="B201" s="675"/>
      <c r="C201" s="675"/>
      <c r="D201" s="675"/>
      <c r="E201" s="675"/>
      <c r="F201" s="675"/>
      <c r="G201" s="675"/>
      <c r="H201" s="675"/>
      <c r="I201" s="675"/>
      <c r="J201" s="675"/>
      <c r="K201" s="675"/>
      <c r="L201" s="675"/>
      <c r="M201" s="675"/>
      <c r="N201" s="675"/>
      <c r="O201" s="688"/>
      <c r="P201" s="685" t="s">
        <v>40</v>
      </c>
      <c r="Q201" s="686"/>
      <c r="R201" s="686"/>
      <c r="S201" s="686"/>
      <c r="T201" s="686"/>
      <c r="U201" s="686"/>
      <c r="V201" s="687"/>
      <c r="W201" s="40" t="s">
        <v>39</v>
      </c>
      <c r="X201" s="41">
        <f>IFERROR(X199/H199,"0")+IFERROR(X200/H200,"0")</f>
        <v>0</v>
      </c>
      <c r="Y201" s="41">
        <f>IFERROR(Y199/H199,"0")+IFERROR(Y200/H200,"0")</f>
        <v>0</v>
      </c>
      <c r="Z201" s="41">
        <f>IFERROR(IF(Z199="",0,Z199),"0")+IFERROR(IF(Z200="",0,Z200),"0")</f>
        <v>0</v>
      </c>
      <c r="AA201" s="64"/>
      <c r="AB201" s="64"/>
      <c r="AC201" s="64"/>
    </row>
    <row r="202" spans="1:68" x14ac:dyDescent="0.2">
      <c r="A202" s="675"/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88"/>
      <c r="P202" s="685" t="s">
        <v>40</v>
      </c>
      <c r="Q202" s="686"/>
      <c r="R202" s="686"/>
      <c r="S202" s="686"/>
      <c r="T202" s="686"/>
      <c r="U202" s="686"/>
      <c r="V202" s="687"/>
      <c r="W202" s="40" t="s">
        <v>0</v>
      </c>
      <c r="X202" s="41">
        <f>IFERROR(SUM(X199:X200),"0")</f>
        <v>0</v>
      </c>
      <c r="Y202" s="41">
        <f>IFERROR(SUM(Y199:Y200),"0")</f>
        <v>0</v>
      </c>
      <c r="Z202" s="40"/>
      <c r="AA202" s="64"/>
      <c r="AB202" s="64"/>
      <c r="AC202" s="64"/>
    </row>
    <row r="203" spans="1:68" ht="14.25" customHeight="1" x14ac:dyDescent="0.25">
      <c r="A203" s="680" t="s">
        <v>160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63"/>
      <c r="AB203" s="63"/>
      <c r="AC203" s="63"/>
    </row>
    <row r="204" spans="1:68" ht="27" customHeight="1" x14ac:dyDescent="0.25">
      <c r="A204" s="60" t="s">
        <v>353</v>
      </c>
      <c r="B204" s="60" t="s">
        <v>354</v>
      </c>
      <c r="C204" s="34">
        <v>4301031224</v>
      </c>
      <c r="D204" s="681">
        <v>4680115882683</v>
      </c>
      <c r="E204" s="681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83"/>
      <c r="R204" s="683"/>
      <c r="S204" s="683"/>
      <c r="T204" s="684"/>
      <c r="U204" s="37" t="s">
        <v>45</v>
      </c>
      <c r="V204" s="37" t="s">
        <v>45</v>
      </c>
      <c r="W204" s="38" t="s">
        <v>0</v>
      </c>
      <c r="X204" s="56">
        <v>600</v>
      </c>
      <c r="Y204" s="53">
        <f t="shared" ref="Y204:Y211" si="31">IFERROR(IF(X204="",0,CEILING((X204/$H204),1)*$H204),"")</f>
        <v>604.80000000000007</v>
      </c>
      <c r="Z204" s="39">
        <f>IFERROR(IF(Y204=0,"",ROUNDUP(Y204/H204,0)*0.00902),"")</f>
        <v>1.01024</v>
      </c>
      <c r="AA204" s="65" t="s">
        <v>45</v>
      </c>
      <c r="AB204" s="66" t="s">
        <v>45</v>
      </c>
      <c r="AC204" s="263" t="s">
        <v>355</v>
      </c>
      <c r="AG204" s="75"/>
      <c r="AJ204" s="79" t="s">
        <v>45</v>
      </c>
      <c r="AK204" s="79">
        <v>0</v>
      </c>
      <c r="BB204" s="264" t="s">
        <v>66</v>
      </c>
      <c r="BM204" s="75">
        <f t="shared" ref="BM204:BM211" si="32">IFERROR(X204*I204/H204,"0")</f>
        <v>623.33333333333326</v>
      </c>
      <c r="BN204" s="75">
        <f t="shared" ref="BN204:BN211" si="33">IFERROR(Y204*I204/H204,"0")</f>
        <v>628.32000000000005</v>
      </c>
      <c r="BO204" s="75">
        <f t="shared" ref="BO204:BO211" si="34">IFERROR(1/J204*(X204/H204),"0")</f>
        <v>0.84175084175084169</v>
      </c>
      <c r="BP204" s="75">
        <f t="shared" ref="BP204:BP211" si="35">IFERROR(1/J204*(Y204/H204),"0")</f>
        <v>0.84848484848484851</v>
      </c>
    </row>
    <row r="205" spans="1:68" ht="27" customHeight="1" x14ac:dyDescent="0.25">
      <c r="A205" s="60" t="s">
        <v>356</v>
      </c>
      <c r="B205" s="60" t="s">
        <v>357</v>
      </c>
      <c r="C205" s="34">
        <v>4301031230</v>
      </c>
      <c r="D205" s="681">
        <v>4680115882690</v>
      </c>
      <c r="E205" s="681"/>
      <c r="F205" s="59">
        <v>0.9</v>
      </c>
      <c r="G205" s="35">
        <v>6</v>
      </c>
      <c r="H205" s="59">
        <v>5.4</v>
      </c>
      <c r="I205" s="59">
        <v>5.61</v>
      </c>
      <c r="J205" s="35">
        <v>132</v>
      </c>
      <c r="K205" s="35" t="s">
        <v>118</v>
      </c>
      <c r="L205" s="35" t="s">
        <v>45</v>
      </c>
      <c r="M205" s="36" t="s">
        <v>82</v>
      </c>
      <c r="N205" s="36"/>
      <c r="O205" s="35">
        <v>40</v>
      </c>
      <c r="P205" s="8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83"/>
      <c r="R205" s="683"/>
      <c r="S205" s="683"/>
      <c r="T205" s="684"/>
      <c r="U205" s="37" t="s">
        <v>45</v>
      </c>
      <c r="V205" s="37" t="s">
        <v>45</v>
      </c>
      <c r="W205" s="38" t="s">
        <v>0</v>
      </c>
      <c r="X205" s="56">
        <v>250</v>
      </c>
      <c r="Y205" s="53">
        <f t="shared" si="31"/>
        <v>253.8</v>
      </c>
      <c r="Z205" s="39">
        <f>IFERROR(IF(Y205=0,"",ROUNDUP(Y205/H205,0)*0.00902),"")</f>
        <v>0.42393999999999998</v>
      </c>
      <c r="AA205" s="65" t="s">
        <v>45</v>
      </c>
      <c r="AB205" s="66" t="s">
        <v>45</v>
      </c>
      <c r="AC205" s="265" t="s">
        <v>358</v>
      </c>
      <c r="AG205" s="75"/>
      <c r="AJ205" s="79" t="s">
        <v>45</v>
      </c>
      <c r="AK205" s="79">
        <v>0</v>
      </c>
      <c r="BB205" s="266" t="s">
        <v>66</v>
      </c>
      <c r="BM205" s="75">
        <f t="shared" si="32"/>
        <v>259.72222222222223</v>
      </c>
      <c r="BN205" s="75">
        <f t="shared" si="33"/>
        <v>263.67</v>
      </c>
      <c r="BO205" s="75">
        <f t="shared" si="34"/>
        <v>0.35072951739618402</v>
      </c>
      <c r="BP205" s="75">
        <f t="shared" si="35"/>
        <v>0.35606060606060608</v>
      </c>
    </row>
    <row r="206" spans="1:68" ht="27" customHeight="1" x14ac:dyDescent="0.25">
      <c r="A206" s="60" t="s">
        <v>359</v>
      </c>
      <c r="B206" s="60" t="s">
        <v>360</v>
      </c>
      <c r="C206" s="34">
        <v>4301031220</v>
      </c>
      <c r="D206" s="681">
        <v>4680115882669</v>
      </c>
      <c r="E206" s="681"/>
      <c r="F206" s="59">
        <v>0.9</v>
      </c>
      <c r="G206" s="35">
        <v>6</v>
      </c>
      <c r="H206" s="59">
        <v>5.4</v>
      </c>
      <c r="I206" s="59">
        <v>5.61</v>
      </c>
      <c r="J206" s="35">
        <v>132</v>
      </c>
      <c r="K206" s="35" t="s">
        <v>118</v>
      </c>
      <c r="L206" s="35" t="s">
        <v>45</v>
      </c>
      <c r="M206" s="36" t="s">
        <v>82</v>
      </c>
      <c r="N206" s="36"/>
      <c r="O206" s="35">
        <v>40</v>
      </c>
      <c r="P206" s="8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83"/>
      <c r="R206" s="683"/>
      <c r="S206" s="683"/>
      <c r="T206" s="684"/>
      <c r="U206" s="37" t="s">
        <v>45</v>
      </c>
      <c r="V206" s="37" t="s">
        <v>45</v>
      </c>
      <c r="W206" s="38" t="s">
        <v>0</v>
      </c>
      <c r="X206" s="56">
        <v>350</v>
      </c>
      <c r="Y206" s="53">
        <f t="shared" si="31"/>
        <v>351</v>
      </c>
      <c r="Z206" s="39">
        <f>IFERROR(IF(Y206=0,"",ROUNDUP(Y206/H206,0)*0.00902),"")</f>
        <v>0.58630000000000004</v>
      </c>
      <c r="AA206" s="65" t="s">
        <v>45</v>
      </c>
      <c r="AB206" s="66" t="s">
        <v>45</v>
      </c>
      <c r="AC206" s="267" t="s">
        <v>361</v>
      </c>
      <c r="AG206" s="75"/>
      <c r="AJ206" s="79" t="s">
        <v>45</v>
      </c>
      <c r="AK206" s="79">
        <v>0</v>
      </c>
      <c r="BB206" s="268" t="s">
        <v>66</v>
      </c>
      <c r="BM206" s="75">
        <f t="shared" si="32"/>
        <v>363.61111111111109</v>
      </c>
      <c r="BN206" s="75">
        <f t="shared" si="33"/>
        <v>364.65</v>
      </c>
      <c r="BO206" s="75">
        <f t="shared" si="34"/>
        <v>0.49102132435465767</v>
      </c>
      <c r="BP206" s="75">
        <f t="shared" si="35"/>
        <v>0.49242424242424243</v>
      </c>
    </row>
    <row r="207" spans="1:68" ht="27" customHeight="1" x14ac:dyDescent="0.25">
      <c r="A207" s="60" t="s">
        <v>362</v>
      </c>
      <c r="B207" s="60" t="s">
        <v>363</v>
      </c>
      <c r="C207" s="34">
        <v>4301031221</v>
      </c>
      <c r="D207" s="681">
        <v>4680115882676</v>
      </c>
      <c r="E207" s="681"/>
      <c r="F207" s="59">
        <v>0.9</v>
      </c>
      <c r="G207" s="35">
        <v>6</v>
      </c>
      <c r="H207" s="59">
        <v>5.4</v>
      </c>
      <c r="I207" s="59">
        <v>5.61</v>
      </c>
      <c r="J207" s="35">
        <v>132</v>
      </c>
      <c r="K207" s="35" t="s">
        <v>118</v>
      </c>
      <c r="L207" s="35" t="s">
        <v>45</v>
      </c>
      <c r="M207" s="36" t="s">
        <v>82</v>
      </c>
      <c r="N207" s="36"/>
      <c r="O207" s="35">
        <v>40</v>
      </c>
      <c r="P207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83"/>
      <c r="R207" s="683"/>
      <c r="S207" s="683"/>
      <c r="T207" s="684"/>
      <c r="U207" s="37" t="s">
        <v>45</v>
      </c>
      <c r="V207" s="37" t="s">
        <v>45</v>
      </c>
      <c r="W207" s="38" t="s">
        <v>0</v>
      </c>
      <c r="X207" s="56">
        <v>400</v>
      </c>
      <c r="Y207" s="53">
        <f t="shared" si="31"/>
        <v>405</v>
      </c>
      <c r="Z207" s="39">
        <f>IFERROR(IF(Y207=0,"",ROUNDUP(Y207/H207,0)*0.00902),"")</f>
        <v>0.67649999999999999</v>
      </c>
      <c r="AA207" s="65" t="s">
        <v>45</v>
      </c>
      <c r="AB207" s="66" t="s">
        <v>45</v>
      </c>
      <c r="AC207" s="269" t="s">
        <v>364</v>
      </c>
      <c r="AG207" s="75"/>
      <c r="AJ207" s="79" t="s">
        <v>45</v>
      </c>
      <c r="AK207" s="79">
        <v>0</v>
      </c>
      <c r="BB207" s="270" t="s">
        <v>66</v>
      </c>
      <c r="BM207" s="75">
        <f t="shared" si="32"/>
        <v>415.55555555555554</v>
      </c>
      <c r="BN207" s="75">
        <f t="shared" si="33"/>
        <v>420.75</v>
      </c>
      <c r="BO207" s="75">
        <f t="shared" si="34"/>
        <v>0.5611672278338945</v>
      </c>
      <c r="BP207" s="75">
        <f t="shared" si="35"/>
        <v>0.56818181818181823</v>
      </c>
    </row>
    <row r="208" spans="1:68" ht="27" customHeight="1" x14ac:dyDescent="0.25">
      <c r="A208" s="60" t="s">
        <v>365</v>
      </c>
      <c r="B208" s="60" t="s">
        <v>366</v>
      </c>
      <c r="C208" s="34">
        <v>4301031223</v>
      </c>
      <c r="D208" s="681">
        <v>4680115884014</v>
      </c>
      <c r="E208" s="681"/>
      <c r="F208" s="59">
        <v>0.3</v>
      </c>
      <c r="G208" s="35">
        <v>6</v>
      </c>
      <c r="H208" s="59">
        <v>1.8</v>
      </c>
      <c r="I208" s="59">
        <v>1.93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83"/>
      <c r="R208" s="683"/>
      <c r="S208" s="683"/>
      <c r="T208" s="684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1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1" t="s">
        <v>355</v>
      </c>
      <c r="AG208" s="75"/>
      <c r="AJ208" s="79" t="s">
        <v>45</v>
      </c>
      <c r="AK208" s="79">
        <v>0</v>
      </c>
      <c r="BB208" s="272" t="s">
        <v>66</v>
      </c>
      <c r="BM208" s="75">
        <f t="shared" si="32"/>
        <v>0</v>
      </c>
      <c r="BN208" s="75">
        <f t="shared" si="33"/>
        <v>0</v>
      </c>
      <c r="BO208" s="75">
        <f t="shared" si="34"/>
        <v>0</v>
      </c>
      <c r="BP208" s="75">
        <f t="shared" si="35"/>
        <v>0</v>
      </c>
    </row>
    <row r="209" spans="1:68" ht="27" customHeight="1" x14ac:dyDescent="0.25">
      <c r="A209" s="60" t="s">
        <v>367</v>
      </c>
      <c r="B209" s="60" t="s">
        <v>368</v>
      </c>
      <c r="C209" s="34">
        <v>4301031222</v>
      </c>
      <c r="D209" s="681">
        <v>4680115884007</v>
      </c>
      <c r="E209" s="681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164</v>
      </c>
      <c r="L209" s="35" t="s">
        <v>45</v>
      </c>
      <c r="M209" s="36" t="s">
        <v>82</v>
      </c>
      <c r="N209" s="36"/>
      <c r="O209" s="35">
        <v>40</v>
      </c>
      <c r="P209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83"/>
      <c r="R209" s="683"/>
      <c r="S209" s="683"/>
      <c r="T209" s="684"/>
      <c r="U209" s="37" t="s">
        <v>45</v>
      </c>
      <c r="V209" s="37" t="s">
        <v>45</v>
      </c>
      <c r="W209" s="38" t="s">
        <v>0</v>
      </c>
      <c r="X209" s="56">
        <v>0</v>
      </c>
      <c r="Y209" s="53">
        <f t="shared" si="31"/>
        <v>0</v>
      </c>
      <c r="Z209" s="39" t="str">
        <f>IFERROR(IF(Y209=0,"",ROUNDUP(Y209/H209,0)*0.00502),"")</f>
        <v/>
      </c>
      <c r="AA209" s="65" t="s">
        <v>45</v>
      </c>
      <c r="AB209" s="66" t="s">
        <v>45</v>
      </c>
      <c r="AC209" s="273" t="s">
        <v>358</v>
      </c>
      <c r="AG209" s="75"/>
      <c r="AJ209" s="79" t="s">
        <v>45</v>
      </c>
      <c r="AK209" s="79">
        <v>0</v>
      </c>
      <c r="BB209" s="274" t="s">
        <v>66</v>
      </c>
      <c r="BM209" s="75">
        <f t="shared" si="32"/>
        <v>0</v>
      </c>
      <c r="BN209" s="75">
        <f t="shared" si="33"/>
        <v>0</v>
      </c>
      <c r="BO209" s="75">
        <f t="shared" si="34"/>
        <v>0</v>
      </c>
      <c r="BP209" s="75">
        <f t="shared" si="35"/>
        <v>0</v>
      </c>
    </row>
    <row r="210" spans="1:68" ht="27" customHeight="1" x14ac:dyDescent="0.25">
      <c r="A210" s="60" t="s">
        <v>369</v>
      </c>
      <c r="B210" s="60" t="s">
        <v>370</v>
      </c>
      <c r="C210" s="34">
        <v>4301031229</v>
      </c>
      <c r="D210" s="681">
        <v>4680115884038</v>
      </c>
      <c r="E210" s="681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164</v>
      </c>
      <c r="L210" s="35" t="s">
        <v>45</v>
      </c>
      <c r="M210" s="36" t="s">
        <v>82</v>
      </c>
      <c r="N210" s="36"/>
      <c r="O210" s="35">
        <v>40</v>
      </c>
      <c r="P210" s="8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83"/>
      <c r="R210" s="683"/>
      <c r="S210" s="683"/>
      <c r="T210" s="684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31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75" t="s">
        <v>361</v>
      </c>
      <c r="AG210" s="75"/>
      <c r="AJ210" s="79" t="s">
        <v>45</v>
      </c>
      <c r="AK210" s="79">
        <v>0</v>
      </c>
      <c r="BB210" s="276" t="s">
        <v>66</v>
      </c>
      <c r="BM210" s="75">
        <f t="shared" si="32"/>
        <v>0</v>
      </c>
      <c r="BN210" s="75">
        <f t="shared" si="33"/>
        <v>0</v>
      </c>
      <c r="BO210" s="75">
        <f t="shared" si="34"/>
        <v>0</v>
      </c>
      <c r="BP210" s="75">
        <f t="shared" si="35"/>
        <v>0</v>
      </c>
    </row>
    <row r="211" spans="1:68" ht="27" customHeight="1" x14ac:dyDescent="0.25">
      <c r="A211" s="60" t="s">
        <v>371</v>
      </c>
      <c r="B211" s="60" t="s">
        <v>372</v>
      </c>
      <c r="C211" s="34">
        <v>4301031225</v>
      </c>
      <c r="D211" s="681">
        <v>4680115884021</v>
      </c>
      <c r="E211" s="681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164</v>
      </c>
      <c r="L211" s="35" t="s">
        <v>45</v>
      </c>
      <c r="M211" s="36" t="s">
        <v>82</v>
      </c>
      <c r="N211" s="36"/>
      <c r="O211" s="35">
        <v>40</v>
      </c>
      <c r="P211" s="8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83"/>
      <c r="R211" s="683"/>
      <c r="S211" s="683"/>
      <c r="T211" s="684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31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7" t="s">
        <v>364</v>
      </c>
      <c r="AG211" s="75"/>
      <c r="AJ211" s="79" t="s">
        <v>45</v>
      </c>
      <c r="AK211" s="79">
        <v>0</v>
      </c>
      <c r="BB211" s="278" t="s">
        <v>66</v>
      </c>
      <c r="BM211" s="75">
        <f t="shared" si="32"/>
        <v>0</v>
      </c>
      <c r="BN211" s="75">
        <f t="shared" si="33"/>
        <v>0</v>
      </c>
      <c r="BO211" s="75">
        <f t="shared" si="34"/>
        <v>0</v>
      </c>
      <c r="BP211" s="75">
        <f t="shared" si="35"/>
        <v>0</v>
      </c>
    </row>
    <row r="212" spans="1:68" x14ac:dyDescent="0.2">
      <c r="A212" s="675"/>
      <c r="B212" s="675"/>
      <c r="C212" s="675"/>
      <c r="D212" s="675"/>
      <c r="E212" s="675"/>
      <c r="F212" s="675"/>
      <c r="G212" s="675"/>
      <c r="H212" s="675"/>
      <c r="I212" s="675"/>
      <c r="J212" s="675"/>
      <c r="K212" s="675"/>
      <c r="L212" s="675"/>
      <c r="M212" s="675"/>
      <c r="N212" s="675"/>
      <c r="O212" s="688"/>
      <c r="P212" s="685" t="s">
        <v>40</v>
      </c>
      <c r="Q212" s="686"/>
      <c r="R212" s="686"/>
      <c r="S212" s="686"/>
      <c r="T212" s="686"/>
      <c r="U212" s="686"/>
      <c r="V212" s="687"/>
      <c r="W212" s="40" t="s">
        <v>39</v>
      </c>
      <c r="X212" s="41">
        <f>IFERROR(X204/H204,"0")+IFERROR(X205/H205,"0")+IFERROR(X206/H206,"0")+IFERROR(X207/H207,"0")+IFERROR(X208/H208,"0")+IFERROR(X209/H209,"0")+IFERROR(X210/H210,"0")+IFERROR(X211/H211,"0")</f>
        <v>296.2962962962963</v>
      </c>
      <c r="Y212" s="41">
        <f>IFERROR(Y204/H204,"0")+IFERROR(Y205/H205,"0")+IFERROR(Y206/H206,"0")+IFERROR(Y207/H207,"0")+IFERROR(Y208/H208,"0")+IFERROR(Y209/H209,"0")+IFERROR(Y210/H210,"0")+IFERROR(Y211/H211,"0")</f>
        <v>299</v>
      </c>
      <c r="Z212" s="4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2.6969799999999999</v>
      </c>
      <c r="AA212" s="64"/>
      <c r="AB212" s="64"/>
      <c r="AC212" s="64"/>
    </row>
    <row r="213" spans="1:68" x14ac:dyDescent="0.2">
      <c r="A213" s="675"/>
      <c r="B213" s="675"/>
      <c r="C213" s="675"/>
      <c r="D213" s="675"/>
      <c r="E213" s="675"/>
      <c r="F213" s="675"/>
      <c r="G213" s="675"/>
      <c r="H213" s="675"/>
      <c r="I213" s="675"/>
      <c r="J213" s="675"/>
      <c r="K213" s="675"/>
      <c r="L213" s="675"/>
      <c r="M213" s="675"/>
      <c r="N213" s="675"/>
      <c r="O213" s="688"/>
      <c r="P213" s="685" t="s">
        <v>40</v>
      </c>
      <c r="Q213" s="686"/>
      <c r="R213" s="686"/>
      <c r="S213" s="686"/>
      <c r="T213" s="686"/>
      <c r="U213" s="686"/>
      <c r="V213" s="687"/>
      <c r="W213" s="40" t="s">
        <v>0</v>
      </c>
      <c r="X213" s="41">
        <f>IFERROR(SUM(X204:X211),"0")</f>
        <v>1600</v>
      </c>
      <c r="Y213" s="41">
        <f>IFERROR(SUM(Y204:Y211),"0")</f>
        <v>1614.6000000000001</v>
      </c>
      <c r="Z213" s="40"/>
      <c r="AA213" s="64"/>
      <c r="AB213" s="64"/>
      <c r="AC213" s="64"/>
    </row>
    <row r="214" spans="1:68" ht="14.25" customHeight="1" x14ac:dyDescent="0.25">
      <c r="A214" s="680" t="s">
        <v>78</v>
      </c>
      <c r="B214" s="680"/>
      <c r="C214" s="680"/>
      <c r="D214" s="680"/>
      <c r="E214" s="680"/>
      <c r="F214" s="680"/>
      <c r="G214" s="680"/>
      <c r="H214" s="680"/>
      <c r="I214" s="680"/>
      <c r="J214" s="680"/>
      <c r="K214" s="680"/>
      <c r="L214" s="680"/>
      <c r="M214" s="680"/>
      <c r="N214" s="680"/>
      <c r="O214" s="680"/>
      <c r="P214" s="680"/>
      <c r="Q214" s="680"/>
      <c r="R214" s="680"/>
      <c r="S214" s="680"/>
      <c r="T214" s="680"/>
      <c r="U214" s="680"/>
      <c r="V214" s="680"/>
      <c r="W214" s="680"/>
      <c r="X214" s="680"/>
      <c r="Y214" s="680"/>
      <c r="Z214" s="680"/>
      <c r="AA214" s="63"/>
      <c r="AB214" s="63"/>
      <c r="AC214" s="63"/>
    </row>
    <row r="215" spans="1:68" ht="27" customHeight="1" x14ac:dyDescent="0.25">
      <c r="A215" s="60" t="s">
        <v>373</v>
      </c>
      <c r="B215" s="60" t="s">
        <v>374</v>
      </c>
      <c r="C215" s="34">
        <v>4301051408</v>
      </c>
      <c r="D215" s="681">
        <v>4680115881594</v>
      </c>
      <c r="E215" s="681"/>
      <c r="F215" s="59">
        <v>1.35</v>
      </c>
      <c r="G215" s="35">
        <v>6</v>
      </c>
      <c r="H215" s="59">
        <v>8.1</v>
      </c>
      <c r="I215" s="59">
        <v>8.6189999999999998</v>
      </c>
      <c r="J215" s="35">
        <v>64</v>
      </c>
      <c r="K215" s="35" t="s">
        <v>114</v>
      </c>
      <c r="L215" s="35" t="s">
        <v>45</v>
      </c>
      <c r="M215" s="36" t="s">
        <v>117</v>
      </c>
      <c r="N215" s="36"/>
      <c r="O215" s="35">
        <v>40</v>
      </c>
      <c r="P215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83"/>
      <c r="R215" s="683"/>
      <c r="S215" s="683"/>
      <c r="T215" s="684"/>
      <c r="U215" s="37" t="s">
        <v>45</v>
      </c>
      <c r="V215" s="37" t="s">
        <v>45</v>
      </c>
      <c r="W215" s="38" t="s">
        <v>0</v>
      </c>
      <c r="X215" s="56">
        <v>35</v>
      </c>
      <c r="Y215" s="53">
        <f t="shared" ref="Y215:Y223" si="36">IFERROR(IF(X215="",0,CEILING((X215/$H215),1)*$H215),"")</f>
        <v>40.5</v>
      </c>
      <c r="Z215" s="39">
        <f>IFERROR(IF(Y215=0,"",ROUNDUP(Y215/H215,0)*0.01898),"")</f>
        <v>9.4899999999999998E-2</v>
      </c>
      <c r="AA215" s="65" t="s">
        <v>45</v>
      </c>
      <c r="AB215" s="66" t="s">
        <v>45</v>
      </c>
      <c r="AC215" s="279" t="s">
        <v>375</v>
      </c>
      <c r="AG215" s="75"/>
      <c r="AJ215" s="79" t="s">
        <v>45</v>
      </c>
      <c r="AK215" s="79">
        <v>0</v>
      </c>
      <c r="BB215" s="280" t="s">
        <v>66</v>
      </c>
      <c r="BM215" s="75">
        <f t="shared" ref="BM215:BM223" si="37">IFERROR(X215*I215/H215,"0")</f>
        <v>37.242592592592587</v>
      </c>
      <c r="BN215" s="75">
        <f t="shared" ref="BN215:BN223" si="38">IFERROR(Y215*I215/H215,"0")</f>
        <v>43.095000000000006</v>
      </c>
      <c r="BO215" s="75">
        <f t="shared" ref="BO215:BO223" si="39">IFERROR(1/J215*(X215/H215),"0")</f>
        <v>6.751543209876544E-2</v>
      </c>
      <c r="BP215" s="75">
        <f t="shared" ref="BP215:BP223" si="40">IFERROR(1/J215*(Y215/H215),"0")</f>
        <v>7.8125E-2</v>
      </c>
    </row>
    <row r="216" spans="1:68" ht="27" customHeight="1" x14ac:dyDescent="0.25">
      <c r="A216" s="60" t="s">
        <v>376</v>
      </c>
      <c r="B216" s="60" t="s">
        <v>377</v>
      </c>
      <c r="C216" s="34">
        <v>4301051411</v>
      </c>
      <c r="D216" s="681">
        <v>4680115881617</v>
      </c>
      <c r="E216" s="681"/>
      <c r="F216" s="59">
        <v>1.35</v>
      </c>
      <c r="G216" s="35">
        <v>6</v>
      </c>
      <c r="H216" s="59">
        <v>8.1</v>
      </c>
      <c r="I216" s="59">
        <v>8.6010000000000009</v>
      </c>
      <c r="J216" s="35">
        <v>64</v>
      </c>
      <c r="K216" s="35" t="s">
        <v>114</v>
      </c>
      <c r="L216" s="35" t="s">
        <v>45</v>
      </c>
      <c r="M216" s="36" t="s">
        <v>117</v>
      </c>
      <c r="N216" s="36"/>
      <c r="O216" s="35">
        <v>40</v>
      </c>
      <c r="P216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83"/>
      <c r="R216" s="683"/>
      <c r="S216" s="683"/>
      <c r="T216" s="684"/>
      <c r="U216" s="37" t="s">
        <v>45</v>
      </c>
      <c r="V216" s="37" t="s">
        <v>45</v>
      </c>
      <c r="W216" s="38" t="s">
        <v>0</v>
      </c>
      <c r="X216" s="56">
        <v>30</v>
      </c>
      <c r="Y216" s="53">
        <f t="shared" si="36"/>
        <v>32.4</v>
      </c>
      <c r="Z216" s="39">
        <f>IFERROR(IF(Y216=0,"",ROUNDUP(Y216/H216,0)*0.01898),"")</f>
        <v>7.5920000000000001E-2</v>
      </c>
      <c r="AA216" s="65" t="s">
        <v>45</v>
      </c>
      <c r="AB216" s="66" t="s">
        <v>45</v>
      </c>
      <c r="AC216" s="281" t="s">
        <v>378</v>
      </c>
      <c r="AG216" s="75"/>
      <c r="AJ216" s="79" t="s">
        <v>45</v>
      </c>
      <c r="AK216" s="79">
        <v>0</v>
      </c>
      <c r="BB216" s="282" t="s">
        <v>66</v>
      </c>
      <c r="BM216" s="75">
        <f t="shared" si="37"/>
        <v>31.855555555555561</v>
      </c>
      <c r="BN216" s="75">
        <f t="shared" si="38"/>
        <v>34.404000000000003</v>
      </c>
      <c r="BO216" s="75">
        <f t="shared" si="39"/>
        <v>5.7870370370370371E-2</v>
      </c>
      <c r="BP216" s="75">
        <f t="shared" si="40"/>
        <v>6.25E-2</v>
      </c>
    </row>
    <row r="217" spans="1:68" ht="16.5" customHeight="1" x14ac:dyDescent="0.25">
      <c r="A217" s="60" t="s">
        <v>379</v>
      </c>
      <c r="B217" s="60" t="s">
        <v>380</v>
      </c>
      <c r="C217" s="34">
        <v>4301051656</v>
      </c>
      <c r="D217" s="681">
        <v>4680115880573</v>
      </c>
      <c r="E217" s="681"/>
      <c r="F217" s="59">
        <v>1.45</v>
      </c>
      <c r="G217" s="35">
        <v>6</v>
      </c>
      <c r="H217" s="59">
        <v>8.6999999999999993</v>
      </c>
      <c r="I217" s="59">
        <v>9.2189999999999994</v>
      </c>
      <c r="J217" s="35">
        <v>64</v>
      </c>
      <c r="K217" s="35" t="s">
        <v>114</v>
      </c>
      <c r="L217" s="35" t="s">
        <v>45</v>
      </c>
      <c r="M217" s="36" t="s">
        <v>117</v>
      </c>
      <c r="N217" s="36"/>
      <c r="O217" s="35">
        <v>45</v>
      </c>
      <c r="P217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83"/>
      <c r="R217" s="683"/>
      <c r="S217" s="683"/>
      <c r="T217" s="684"/>
      <c r="U217" s="37" t="s">
        <v>45</v>
      </c>
      <c r="V217" s="37" t="s">
        <v>45</v>
      </c>
      <c r="W217" s="38" t="s">
        <v>0</v>
      </c>
      <c r="X217" s="56">
        <v>450</v>
      </c>
      <c r="Y217" s="53">
        <f t="shared" si="36"/>
        <v>452.4</v>
      </c>
      <c r="Z217" s="39">
        <f>IFERROR(IF(Y217=0,"",ROUNDUP(Y217/H217,0)*0.01898),"")</f>
        <v>0.98696000000000006</v>
      </c>
      <c r="AA217" s="65" t="s">
        <v>45</v>
      </c>
      <c r="AB217" s="66" t="s">
        <v>45</v>
      </c>
      <c r="AC217" s="283" t="s">
        <v>381</v>
      </c>
      <c r="AG217" s="75"/>
      <c r="AJ217" s="79" t="s">
        <v>45</v>
      </c>
      <c r="AK217" s="79">
        <v>0</v>
      </c>
      <c r="BB217" s="284" t="s">
        <v>66</v>
      </c>
      <c r="BM217" s="75">
        <f t="shared" si="37"/>
        <v>476.84482758620697</v>
      </c>
      <c r="BN217" s="75">
        <f t="shared" si="38"/>
        <v>479.38799999999998</v>
      </c>
      <c r="BO217" s="75">
        <f t="shared" si="39"/>
        <v>0.80818965517241381</v>
      </c>
      <c r="BP217" s="75">
        <f t="shared" si="40"/>
        <v>0.8125</v>
      </c>
    </row>
    <row r="218" spans="1:68" ht="27" customHeight="1" x14ac:dyDescent="0.25">
      <c r="A218" s="60" t="s">
        <v>382</v>
      </c>
      <c r="B218" s="60" t="s">
        <v>383</v>
      </c>
      <c r="C218" s="34">
        <v>4301051407</v>
      </c>
      <c r="D218" s="681">
        <v>4680115882195</v>
      </c>
      <c r="E218" s="681"/>
      <c r="F218" s="59">
        <v>0.4</v>
      </c>
      <c r="G218" s="35">
        <v>6</v>
      </c>
      <c r="H218" s="59">
        <v>2.4</v>
      </c>
      <c r="I218" s="59">
        <v>2.67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40</v>
      </c>
      <c r="P218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83"/>
      <c r="R218" s="683"/>
      <c r="S218" s="683"/>
      <c r="T218" s="684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6"/>
        <v>0</v>
      </c>
      <c r="Z218" s="39" t="str">
        <f t="shared" ref="Z218:Z223" si="41">IFERROR(IF(Y218=0,"",ROUNDUP(Y218/H218,0)*0.00651),"")</f>
        <v/>
      </c>
      <c r="AA218" s="65" t="s">
        <v>45</v>
      </c>
      <c r="AB218" s="66" t="s">
        <v>45</v>
      </c>
      <c r="AC218" s="285" t="s">
        <v>375</v>
      </c>
      <c r="AG218" s="75"/>
      <c r="AJ218" s="79" t="s">
        <v>45</v>
      </c>
      <c r="AK218" s="79">
        <v>0</v>
      </c>
      <c r="BB218" s="286" t="s">
        <v>66</v>
      </c>
      <c r="BM218" s="75">
        <f t="shared" si="37"/>
        <v>0</v>
      </c>
      <c r="BN218" s="75">
        <f t="shared" si="38"/>
        <v>0</v>
      </c>
      <c r="BO218" s="75">
        <f t="shared" si="39"/>
        <v>0</v>
      </c>
      <c r="BP218" s="75">
        <f t="shared" si="40"/>
        <v>0</v>
      </c>
    </row>
    <row r="219" spans="1:68" ht="27" customHeight="1" x14ac:dyDescent="0.25">
      <c r="A219" s="60" t="s">
        <v>384</v>
      </c>
      <c r="B219" s="60" t="s">
        <v>385</v>
      </c>
      <c r="C219" s="34">
        <v>4301051752</v>
      </c>
      <c r="D219" s="681">
        <v>4680115882607</v>
      </c>
      <c r="E219" s="681"/>
      <c r="F219" s="59">
        <v>0.3</v>
      </c>
      <c r="G219" s="35">
        <v>6</v>
      </c>
      <c r="H219" s="59">
        <v>1.8</v>
      </c>
      <c r="I219" s="59">
        <v>2.052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45</v>
      </c>
      <c r="P219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83"/>
      <c r="R219" s="683"/>
      <c r="S219" s="683"/>
      <c r="T219" s="684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6"/>
        <v>0</v>
      </c>
      <c r="Z219" s="39" t="str">
        <f t="shared" si="41"/>
        <v/>
      </c>
      <c r="AA219" s="65" t="s">
        <v>45</v>
      </c>
      <c r="AB219" s="66" t="s">
        <v>45</v>
      </c>
      <c r="AC219" s="287" t="s">
        <v>386</v>
      </c>
      <c r="AG219" s="75"/>
      <c r="AJ219" s="79" t="s">
        <v>45</v>
      </c>
      <c r="AK219" s="79">
        <v>0</v>
      </c>
      <c r="BB219" s="288" t="s">
        <v>66</v>
      </c>
      <c r="BM219" s="75">
        <f t="shared" si="37"/>
        <v>0</v>
      </c>
      <c r="BN219" s="75">
        <f t="shared" si="38"/>
        <v>0</v>
      </c>
      <c r="BO219" s="75">
        <f t="shared" si="39"/>
        <v>0</v>
      </c>
      <c r="BP219" s="75">
        <f t="shared" si="40"/>
        <v>0</v>
      </c>
    </row>
    <row r="220" spans="1:68" ht="27" customHeight="1" x14ac:dyDescent="0.25">
      <c r="A220" s="60" t="s">
        <v>387</v>
      </c>
      <c r="B220" s="60" t="s">
        <v>388</v>
      </c>
      <c r="C220" s="34">
        <v>4301051666</v>
      </c>
      <c r="D220" s="681">
        <v>4680115880092</v>
      </c>
      <c r="E220" s="681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45</v>
      </c>
      <c r="P220" s="88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83"/>
      <c r="R220" s="683"/>
      <c r="S220" s="683"/>
      <c r="T220" s="684"/>
      <c r="U220" s="37" t="s">
        <v>45</v>
      </c>
      <c r="V220" s="37" t="s">
        <v>45</v>
      </c>
      <c r="W220" s="38" t="s">
        <v>0</v>
      </c>
      <c r="X220" s="56">
        <v>72</v>
      </c>
      <c r="Y220" s="53">
        <f t="shared" si="36"/>
        <v>72</v>
      </c>
      <c r="Z220" s="39">
        <f t="shared" si="41"/>
        <v>0.1953</v>
      </c>
      <c r="AA220" s="65" t="s">
        <v>45</v>
      </c>
      <c r="AB220" s="66" t="s">
        <v>45</v>
      </c>
      <c r="AC220" s="289" t="s">
        <v>381</v>
      </c>
      <c r="AG220" s="75"/>
      <c r="AJ220" s="79" t="s">
        <v>45</v>
      </c>
      <c r="AK220" s="79">
        <v>0</v>
      </c>
      <c r="BB220" s="290" t="s">
        <v>66</v>
      </c>
      <c r="BM220" s="75">
        <f t="shared" si="37"/>
        <v>79.560000000000016</v>
      </c>
      <c r="BN220" s="75">
        <f t="shared" si="38"/>
        <v>79.560000000000016</v>
      </c>
      <c r="BO220" s="75">
        <f t="shared" si="39"/>
        <v>0.16483516483516486</v>
      </c>
      <c r="BP220" s="75">
        <f t="shared" si="40"/>
        <v>0.16483516483516486</v>
      </c>
    </row>
    <row r="221" spans="1:68" ht="27" customHeight="1" x14ac:dyDescent="0.25">
      <c r="A221" s="60" t="s">
        <v>389</v>
      </c>
      <c r="B221" s="60" t="s">
        <v>390</v>
      </c>
      <c r="C221" s="34">
        <v>4301051668</v>
      </c>
      <c r="D221" s="681">
        <v>4680115880221</v>
      </c>
      <c r="E221" s="681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83</v>
      </c>
      <c r="L221" s="35" t="s">
        <v>45</v>
      </c>
      <c r="M221" s="36" t="s">
        <v>117</v>
      </c>
      <c r="N221" s="36"/>
      <c r="O221" s="35">
        <v>45</v>
      </c>
      <c r="P22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83"/>
      <c r="R221" s="683"/>
      <c r="S221" s="683"/>
      <c r="T221" s="684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36"/>
        <v>0</v>
      </c>
      <c r="Z221" s="39" t="str">
        <f t="shared" si="41"/>
        <v/>
      </c>
      <c r="AA221" s="65" t="s">
        <v>45</v>
      </c>
      <c r="AB221" s="66" t="s">
        <v>45</v>
      </c>
      <c r="AC221" s="291" t="s">
        <v>381</v>
      </c>
      <c r="AG221" s="75"/>
      <c r="AJ221" s="79" t="s">
        <v>45</v>
      </c>
      <c r="AK221" s="79">
        <v>0</v>
      </c>
      <c r="BB221" s="292" t="s">
        <v>66</v>
      </c>
      <c r="BM221" s="75">
        <f t="shared" si="37"/>
        <v>0</v>
      </c>
      <c r="BN221" s="75">
        <f t="shared" si="38"/>
        <v>0</v>
      </c>
      <c r="BO221" s="75">
        <f t="shared" si="39"/>
        <v>0</v>
      </c>
      <c r="BP221" s="75">
        <f t="shared" si="40"/>
        <v>0</v>
      </c>
    </row>
    <row r="222" spans="1:68" ht="27" customHeight="1" x14ac:dyDescent="0.25">
      <c r="A222" s="60" t="s">
        <v>391</v>
      </c>
      <c r="B222" s="60" t="s">
        <v>392</v>
      </c>
      <c r="C222" s="34">
        <v>4301051945</v>
      </c>
      <c r="D222" s="681">
        <v>4680115880504</v>
      </c>
      <c r="E222" s="681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83</v>
      </c>
      <c r="L222" s="35" t="s">
        <v>45</v>
      </c>
      <c r="M222" s="36" t="s">
        <v>146</v>
      </c>
      <c r="N222" s="36"/>
      <c r="O222" s="35">
        <v>40</v>
      </c>
      <c r="P22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83"/>
      <c r="R222" s="683"/>
      <c r="S222" s="683"/>
      <c r="T222" s="684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36"/>
        <v>0</v>
      </c>
      <c r="Z222" s="39" t="str">
        <f t="shared" si="41"/>
        <v/>
      </c>
      <c r="AA222" s="65" t="s">
        <v>45</v>
      </c>
      <c r="AB222" s="66" t="s">
        <v>45</v>
      </c>
      <c r="AC222" s="293" t="s">
        <v>393</v>
      </c>
      <c r="AG222" s="75"/>
      <c r="AJ222" s="79" t="s">
        <v>45</v>
      </c>
      <c r="AK222" s="79">
        <v>0</v>
      </c>
      <c r="BB222" s="294" t="s">
        <v>66</v>
      </c>
      <c r="BM222" s="75">
        <f t="shared" si="37"/>
        <v>0</v>
      </c>
      <c r="BN222" s="75">
        <f t="shared" si="38"/>
        <v>0</v>
      </c>
      <c r="BO222" s="75">
        <f t="shared" si="39"/>
        <v>0</v>
      </c>
      <c r="BP222" s="75">
        <f t="shared" si="40"/>
        <v>0</v>
      </c>
    </row>
    <row r="223" spans="1:68" ht="27" customHeight="1" x14ac:dyDescent="0.25">
      <c r="A223" s="60" t="s">
        <v>394</v>
      </c>
      <c r="B223" s="60" t="s">
        <v>395</v>
      </c>
      <c r="C223" s="34">
        <v>4301051410</v>
      </c>
      <c r="D223" s="681">
        <v>4680115882164</v>
      </c>
      <c r="E223" s="681"/>
      <c r="F223" s="59">
        <v>0.4</v>
      </c>
      <c r="G223" s="35">
        <v>6</v>
      </c>
      <c r="H223" s="59">
        <v>2.4</v>
      </c>
      <c r="I223" s="59">
        <v>2.6579999999999999</v>
      </c>
      <c r="J223" s="35">
        <v>182</v>
      </c>
      <c r="K223" s="35" t="s">
        <v>83</v>
      </c>
      <c r="L223" s="35" t="s">
        <v>45</v>
      </c>
      <c r="M223" s="36" t="s">
        <v>117</v>
      </c>
      <c r="N223" s="36"/>
      <c r="O223" s="35">
        <v>40</v>
      </c>
      <c r="P223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83"/>
      <c r="R223" s="683"/>
      <c r="S223" s="683"/>
      <c r="T223" s="684"/>
      <c r="U223" s="37" t="s">
        <v>45</v>
      </c>
      <c r="V223" s="37" t="s">
        <v>45</v>
      </c>
      <c r="W223" s="38" t="s">
        <v>0</v>
      </c>
      <c r="X223" s="56">
        <v>72</v>
      </c>
      <c r="Y223" s="53">
        <f t="shared" si="36"/>
        <v>72</v>
      </c>
      <c r="Z223" s="39">
        <f t="shared" si="41"/>
        <v>0.1953</v>
      </c>
      <c r="AA223" s="65" t="s">
        <v>45</v>
      </c>
      <c r="AB223" s="66" t="s">
        <v>45</v>
      </c>
      <c r="AC223" s="295" t="s">
        <v>396</v>
      </c>
      <c r="AG223" s="75"/>
      <c r="AJ223" s="79" t="s">
        <v>45</v>
      </c>
      <c r="AK223" s="79">
        <v>0</v>
      </c>
      <c r="BB223" s="296" t="s">
        <v>66</v>
      </c>
      <c r="BM223" s="75">
        <f t="shared" si="37"/>
        <v>79.740000000000009</v>
      </c>
      <c r="BN223" s="75">
        <f t="shared" si="38"/>
        <v>79.740000000000009</v>
      </c>
      <c r="BO223" s="75">
        <f t="shared" si="39"/>
        <v>0.16483516483516486</v>
      </c>
      <c r="BP223" s="75">
        <f t="shared" si="40"/>
        <v>0.16483516483516486</v>
      </c>
    </row>
    <row r="224" spans="1:68" x14ac:dyDescent="0.2">
      <c r="A224" s="675"/>
      <c r="B224" s="675"/>
      <c r="C224" s="675"/>
      <c r="D224" s="675"/>
      <c r="E224" s="675"/>
      <c r="F224" s="675"/>
      <c r="G224" s="675"/>
      <c r="H224" s="675"/>
      <c r="I224" s="675"/>
      <c r="J224" s="675"/>
      <c r="K224" s="675"/>
      <c r="L224" s="675"/>
      <c r="M224" s="675"/>
      <c r="N224" s="675"/>
      <c r="O224" s="688"/>
      <c r="P224" s="685" t="s">
        <v>40</v>
      </c>
      <c r="Q224" s="686"/>
      <c r="R224" s="686"/>
      <c r="S224" s="686"/>
      <c r="T224" s="686"/>
      <c r="U224" s="686"/>
      <c r="V224" s="687"/>
      <c r="W224" s="40" t="s">
        <v>39</v>
      </c>
      <c r="X224" s="41">
        <f>IFERROR(X215/H215,"0")+IFERROR(X216/H216,"0")+IFERROR(X217/H217,"0")+IFERROR(X218/H218,"0")+IFERROR(X219/H219,"0")+IFERROR(X220/H220,"0")+IFERROR(X221/H221,"0")+IFERROR(X222/H222,"0")+IFERROR(X223/H223,"0")</f>
        <v>119.74882928905917</v>
      </c>
      <c r="Y224" s="41">
        <f>IFERROR(Y215/H215,"0")+IFERROR(Y216/H216,"0")+IFERROR(Y217/H217,"0")+IFERROR(Y218/H218,"0")+IFERROR(Y219/H219,"0")+IFERROR(Y220/H220,"0")+IFERROR(Y221/H221,"0")+IFERROR(Y222/H222,"0")+IFERROR(Y223/H223,"0")</f>
        <v>121</v>
      </c>
      <c r="Z224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1.5483800000000001</v>
      </c>
      <c r="AA224" s="64"/>
      <c r="AB224" s="64"/>
      <c r="AC224" s="64"/>
    </row>
    <row r="225" spans="1:68" x14ac:dyDescent="0.2">
      <c r="A225" s="675"/>
      <c r="B225" s="675"/>
      <c r="C225" s="675"/>
      <c r="D225" s="675"/>
      <c r="E225" s="675"/>
      <c r="F225" s="675"/>
      <c r="G225" s="675"/>
      <c r="H225" s="675"/>
      <c r="I225" s="675"/>
      <c r="J225" s="675"/>
      <c r="K225" s="675"/>
      <c r="L225" s="675"/>
      <c r="M225" s="675"/>
      <c r="N225" s="675"/>
      <c r="O225" s="688"/>
      <c r="P225" s="685" t="s">
        <v>40</v>
      </c>
      <c r="Q225" s="686"/>
      <c r="R225" s="686"/>
      <c r="S225" s="686"/>
      <c r="T225" s="686"/>
      <c r="U225" s="686"/>
      <c r="V225" s="687"/>
      <c r="W225" s="40" t="s">
        <v>0</v>
      </c>
      <c r="X225" s="41">
        <f>IFERROR(SUM(X215:X223),"0")</f>
        <v>659</v>
      </c>
      <c r="Y225" s="41">
        <f>IFERROR(SUM(Y215:Y223),"0")</f>
        <v>669.3</v>
      </c>
      <c r="Z225" s="40"/>
      <c r="AA225" s="64"/>
      <c r="AB225" s="64"/>
      <c r="AC225" s="64"/>
    </row>
    <row r="226" spans="1:68" ht="14.25" customHeight="1" x14ac:dyDescent="0.25">
      <c r="A226" s="680" t="s">
        <v>186</v>
      </c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0"/>
      <c r="P226" s="680"/>
      <c r="Q226" s="680"/>
      <c r="R226" s="680"/>
      <c r="S226" s="680"/>
      <c r="T226" s="680"/>
      <c r="U226" s="680"/>
      <c r="V226" s="680"/>
      <c r="W226" s="680"/>
      <c r="X226" s="680"/>
      <c r="Y226" s="680"/>
      <c r="Z226" s="680"/>
      <c r="AA226" s="63"/>
      <c r="AB226" s="63"/>
      <c r="AC226" s="63"/>
    </row>
    <row r="227" spans="1:68" ht="27" customHeight="1" x14ac:dyDescent="0.25">
      <c r="A227" s="60" t="s">
        <v>397</v>
      </c>
      <c r="B227" s="60" t="s">
        <v>398</v>
      </c>
      <c r="C227" s="34">
        <v>4301060463</v>
      </c>
      <c r="D227" s="681">
        <v>4680115880818</v>
      </c>
      <c r="E227" s="681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83</v>
      </c>
      <c r="L227" s="35" t="s">
        <v>45</v>
      </c>
      <c r="M227" s="36" t="s">
        <v>146</v>
      </c>
      <c r="N227" s="36"/>
      <c r="O227" s="35">
        <v>40</v>
      </c>
      <c r="P227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83"/>
      <c r="R227" s="683"/>
      <c r="S227" s="683"/>
      <c r="T227" s="684"/>
      <c r="U227" s="37" t="s">
        <v>45</v>
      </c>
      <c r="V227" s="37" t="s">
        <v>45</v>
      </c>
      <c r="W227" s="38" t="s">
        <v>0</v>
      </c>
      <c r="X227" s="56">
        <v>48</v>
      </c>
      <c r="Y227" s="53">
        <f>IFERROR(IF(X227="",0,CEILING((X227/$H227),1)*$H227),"")</f>
        <v>48</v>
      </c>
      <c r="Z227" s="39">
        <f>IFERROR(IF(Y227=0,"",ROUNDUP(Y227/H227,0)*0.00651),"")</f>
        <v>0.13020000000000001</v>
      </c>
      <c r="AA227" s="65" t="s">
        <v>45</v>
      </c>
      <c r="AB227" s="66" t="s">
        <v>45</v>
      </c>
      <c r="AC227" s="297" t="s">
        <v>399</v>
      </c>
      <c r="AG227" s="75"/>
      <c r="AJ227" s="79" t="s">
        <v>45</v>
      </c>
      <c r="AK227" s="79">
        <v>0</v>
      </c>
      <c r="BB227" s="298" t="s">
        <v>66</v>
      </c>
      <c r="BM227" s="75">
        <f>IFERROR(X227*I227/H227,"0")</f>
        <v>53.040000000000006</v>
      </c>
      <c r="BN227" s="75">
        <f>IFERROR(Y227*I227/H227,"0")</f>
        <v>53.040000000000006</v>
      </c>
      <c r="BO227" s="75">
        <f>IFERROR(1/J227*(X227/H227),"0")</f>
        <v>0.1098901098901099</v>
      </c>
      <c r="BP227" s="75">
        <f>IFERROR(1/J227*(Y227/H227),"0")</f>
        <v>0.1098901098901099</v>
      </c>
    </row>
    <row r="228" spans="1:68" ht="27" customHeight="1" x14ac:dyDescent="0.25">
      <c r="A228" s="60" t="s">
        <v>400</v>
      </c>
      <c r="B228" s="60" t="s">
        <v>401</v>
      </c>
      <c r="C228" s="34">
        <v>4301060389</v>
      </c>
      <c r="D228" s="681">
        <v>4680115880801</v>
      </c>
      <c r="E228" s="681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83</v>
      </c>
      <c r="L228" s="35" t="s">
        <v>45</v>
      </c>
      <c r="M228" s="36" t="s">
        <v>117</v>
      </c>
      <c r="N228" s="36"/>
      <c r="O228" s="35">
        <v>40</v>
      </c>
      <c r="P228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83"/>
      <c r="R228" s="683"/>
      <c r="S228" s="683"/>
      <c r="T228" s="684"/>
      <c r="U228" s="37" t="s">
        <v>45</v>
      </c>
      <c r="V228" s="37" t="s">
        <v>45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 t="s">
        <v>45</v>
      </c>
      <c r="AB228" s="66" t="s">
        <v>45</v>
      </c>
      <c r="AC228" s="299" t="s">
        <v>402</v>
      </c>
      <c r="AG228" s="75"/>
      <c r="AJ228" s="79" t="s">
        <v>45</v>
      </c>
      <c r="AK228" s="79">
        <v>0</v>
      </c>
      <c r="BB228" s="300" t="s">
        <v>66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x14ac:dyDescent="0.2">
      <c r="A229" s="675"/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88"/>
      <c r="P229" s="685" t="s">
        <v>40</v>
      </c>
      <c r="Q229" s="686"/>
      <c r="R229" s="686"/>
      <c r="S229" s="686"/>
      <c r="T229" s="686"/>
      <c r="U229" s="686"/>
      <c r="V229" s="687"/>
      <c r="W229" s="40" t="s">
        <v>39</v>
      </c>
      <c r="X229" s="41">
        <f>IFERROR(X227/H227,"0")+IFERROR(X228/H228,"0")</f>
        <v>20</v>
      </c>
      <c r="Y229" s="41">
        <f>IFERROR(Y227/H227,"0")+IFERROR(Y228/H228,"0")</f>
        <v>20</v>
      </c>
      <c r="Z229" s="41">
        <f>IFERROR(IF(Z227="",0,Z227),"0")+IFERROR(IF(Z228="",0,Z228),"0")</f>
        <v>0.13020000000000001</v>
      </c>
      <c r="AA229" s="64"/>
      <c r="AB229" s="64"/>
      <c r="AC229" s="64"/>
    </row>
    <row r="230" spans="1:68" x14ac:dyDescent="0.2">
      <c r="A230" s="675"/>
      <c r="B230" s="675"/>
      <c r="C230" s="675"/>
      <c r="D230" s="675"/>
      <c r="E230" s="675"/>
      <c r="F230" s="675"/>
      <c r="G230" s="675"/>
      <c r="H230" s="675"/>
      <c r="I230" s="675"/>
      <c r="J230" s="675"/>
      <c r="K230" s="675"/>
      <c r="L230" s="675"/>
      <c r="M230" s="675"/>
      <c r="N230" s="675"/>
      <c r="O230" s="688"/>
      <c r="P230" s="685" t="s">
        <v>40</v>
      </c>
      <c r="Q230" s="686"/>
      <c r="R230" s="686"/>
      <c r="S230" s="686"/>
      <c r="T230" s="686"/>
      <c r="U230" s="686"/>
      <c r="V230" s="687"/>
      <c r="W230" s="40" t="s">
        <v>0</v>
      </c>
      <c r="X230" s="41">
        <f>IFERROR(SUM(X227:X228),"0")</f>
        <v>48</v>
      </c>
      <c r="Y230" s="41">
        <f>IFERROR(SUM(Y227:Y228),"0")</f>
        <v>48</v>
      </c>
      <c r="Z230" s="40"/>
      <c r="AA230" s="64"/>
      <c r="AB230" s="64"/>
      <c r="AC230" s="64"/>
    </row>
    <row r="231" spans="1:68" ht="16.5" customHeight="1" x14ac:dyDescent="0.25">
      <c r="A231" s="695" t="s">
        <v>403</v>
      </c>
      <c r="B231" s="695"/>
      <c r="C231" s="695"/>
      <c r="D231" s="695"/>
      <c r="E231" s="695"/>
      <c r="F231" s="695"/>
      <c r="G231" s="695"/>
      <c r="H231" s="695"/>
      <c r="I231" s="695"/>
      <c r="J231" s="695"/>
      <c r="K231" s="695"/>
      <c r="L231" s="695"/>
      <c r="M231" s="695"/>
      <c r="N231" s="695"/>
      <c r="O231" s="695"/>
      <c r="P231" s="695"/>
      <c r="Q231" s="695"/>
      <c r="R231" s="695"/>
      <c r="S231" s="695"/>
      <c r="T231" s="695"/>
      <c r="U231" s="695"/>
      <c r="V231" s="695"/>
      <c r="W231" s="695"/>
      <c r="X231" s="695"/>
      <c r="Y231" s="695"/>
      <c r="Z231" s="695"/>
      <c r="AA231" s="62"/>
      <c r="AB231" s="62"/>
      <c r="AC231" s="62"/>
    </row>
    <row r="232" spans="1:68" ht="14.25" customHeight="1" x14ac:dyDescent="0.25">
      <c r="A232" s="680" t="s">
        <v>109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3"/>
      <c r="AB232" s="63"/>
      <c r="AC232" s="63"/>
    </row>
    <row r="233" spans="1:68" ht="27" customHeight="1" x14ac:dyDescent="0.25">
      <c r="A233" s="60" t="s">
        <v>404</v>
      </c>
      <c r="B233" s="60" t="s">
        <v>405</v>
      </c>
      <c r="C233" s="34">
        <v>4301011942</v>
      </c>
      <c r="D233" s="681">
        <v>4680115884137</v>
      </c>
      <c r="E233" s="681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114</v>
      </c>
      <c r="L233" s="35" t="s">
        <v>45</v>
      </c>
      <c r="M233" s="36" t="s">
        <v>407</v>
      </c>
      <c r="N233" s="36"/>
      <c r="O233" s="35">
        <v>55</v>
      </c>
      <c r="P233" s="8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83"/>
      <c r="R233" s="683"/>
      <c r="S233" s="683"/>
      <c r="T233" s="684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ref="Y233:Y240" si="42">IFERROR(IF(X233="",0,CEILING((X233/$H233),1)*$H233),"")</f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1" t="s">
        <v>406</v>
      </c>
      <c r="AG233" s="75"/>
      <c r="AJ233" s="79" t="s">
        <v>45</v>
      </c>
      <c r="AK233" s="79">
        <v>0</v>
      </c>
      <c r="BB233" s="302" t="s">
        <v>66</v>
      </c>
      <c r="BM233" s="75">
        <f t="shared" ref="BM233:BM240" si="43">IFERROR(X233*I233/H233,"0")</f>
        <v>0</v>
      </c>
      <c r="BN233" s="75">
        <f t="shared" ref="BN233:BN240" si="44">IFERROR(Y233*I233/H233,"0")</f>
        <v>0</v>
      </c>
      <c r="BO233" s="75">
        <f t="shared" ref="BO233:BO240" si="45">IFERROR(1/J233*(X233/H233),"0")</f>
        <v>0</v>
      </c>
      <c r="BP233" s="75">
        <f t="shared" ref="BP233:BP240" si="46">IFERROR(1/J233*(Y233/H233),"0")</f>
        <v>0</v>
      </c>
    </row>
    <row r="234" spans="1:68" ht="27" customHeight="1" x14ac:dyDescent="0.25">
      <c r="A234" s="60" t="s">
        <v>404</v>
      </c>
      <c r="B234" s="60" t="s">
        <v>408</v>
      </c>
      <c r="C234" s="34">
        <v>4301011826</v>
      </c>
      <c r="D234" s="681">
        <v>4680115884137</v>
      </c>
      <c r="E234" s="681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114</v>
      </c>
      <c r="L234" s="35" t="s">
        <v>45</v>
      </c>
      <c r="M234" s="36" t="s">
        <v>113</v>
      </c>
      <c r="N234" s="36"/>
      <c r="O234" s="35">
        <v>55</v>
      </c>
      <c r="P234" s="8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83"/>
      <c r="R234" s="683"/>
      <c r="S234" s="683"/>
      <c r="T234" s="684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2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3" t="s">
        <v>409</v>
      </c>
      <c r="AG234" s="75"/>
      <c r="AJ234" s="79" t="s">
        <v>45</v>
      </c>
      <c r="AK234" s="79">
        <v>0</v>
      </c>
      <c r="BB234" s="304" t="s">
        <v>66</v>
      </c>
      <c r="BM234" s="75">
        <f t="shared" si="43"/>
        <v>0</v>
      </c>
      <c r="BN234" s="75">
        <f t="shared" si="44"/>
        <v>0</v>
      </c>
      <c r="BO234" s="75">
        <f t="shared" si="45"/>
        <v>0</v>
      </c>
      <c r="BP234" s="75">
        <f t="shared" si="46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4301011724</v>
      </c>
      <c r="D235" s="681">
        <v>4680115884236</v>
      </c>
      <c r="E235" s="681"/>
      <c r="F235" s="59">
        <v>1.45</v>
      </c>
      <c r="G235" s="35">
        <v>8</v>
      </c>
      <c r="H235" s="59">
        <v>11.6</v>
      </c>
      <c r="I235" s="59">
        <v>12.035</v>
      </c>
      <c r="J235" s="35">
        <v>64</v>
      </c>
      <c r="K235" s="35" t="s">
        <v>114</v>
      </c>
      <c r="L235" s="35" t="s">
        <v>45</v>
      </c>
      <c r="M235" s="36" t="s">
        <v>113</v>
      </c>
      <c r="N235" s="36"/>
      <c r="O235" s="35">
        <v>55</v>
      </c>
      <c r="P235" s="8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83"/>
      <c r="R235" s="683"/>
      <c r="S235" s="683"/>
      <c r="T235" s="684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2"/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305" t="s">
        <v>412</v>
      </c>
      <c r="AG235" s="75"/>
      <c r="AJ235" s="79" t="s">
        <v>45</v>
      </c>
      <c r="AK235" s="79">
        <v>0</v>
      </c>
      <c r="BB235" s="306" t="s">
        <v>66</v>
      </c>
      <c r="BM235" s="75">
        <f t="shared" si="43"/>
        <v>0</v>
      </c>
      <c r="BN235" s="75">
        <f t="shared" si="44"/>
        <v>0</v>
      </c>
      <c r="BO235" s="75">
        <f t="shared" si="45"/>
        <v>0</v>
      </c>
      <c r="BP235" s="75">
        <f t="shared" si="46"/>
        <v>0</v>
      </c>
    </row>
    <row r="236" spans="1:68" ht="27" customHeight="1" x14ac:dyDescent="0.25">
      <c r="A236" s="60" t="s">
        <v>413</v>
      </c>
      <c r="B236" s="60" t="s">
        <v>414</v>
      </c>
      <c r="C236" s="34">
        <v>4301011941</v>
      </c>
      <c r="D236" s="681">
        <v>4680115884175</v>
      </c>
      <c r="E236" s="681"/>
      <c r="F236" s="59">
        <v>1.45</v>
      </c>
      <c r="G236" s="35">
        <v>8</v>
      </c>
      <c r="H236" s="59">
        <v>11.6</v>
      </c>
      <c r="I236" s="59">
        <v>12.08</v>
      </c>
      <c r="J236" s="35">
        <v>48</v>
      </c>
      <c r="K236" s="35" t="s">
        <v>114</v>
      </c>
      <c r="L236" s="35" t="s">
        <v>45</v>
      </c>
      <c r="M236" s="36" t="s">
        <v>407</v>
      </c>
      <c r="N236" s="36"/>
      <c r="O236" s="35">
        <v>55</v>
      </c>
      <c r="P236" s="86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83"/>
      <c r="R236" s="683"/>
      <c r="S236" s="683"/>
      <c r="T236" s="684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2"/>
        <v>0</v>
      </c>
      <c r="Z236" s="39" t="str">
        <f>IFERROR(IF(Y236=0,"",ROUNDUP(Y236/H236,0)*0.02039),"")</f>
        <v/>
      </c>
      <c r="AA236" s="65" t="s">
        <v>45</v>
      </c>
      <c r="AB236" s="66" t="s">
        <v>45</v>
      </c>
      <c r="AC236" s="307" t="s">
        <v>406</v>
      </c>
      <c r="AG236" s="75"/>
      <c r="AJ236" s="79" t="s">
        <v>45</v>
      </c>
      <c r="AK236" s="79">
        <v>0</v>
      </c>
      <c r="BB236" s="308" t="s">
        <v>66</v>
      </c>
      <c r="BM236" s="75">
        <f t="shared" si="43"/>
        <v>0</v>
      </c>
      <c r="BN236" s="75">
        <f t="shared" si="44"/>
        <v>0</v>
      </c>
      <c r="BO236" s="75">
        <f t="shared" si="45"/>
        <v>0</v>
      </c>
      <c r="BP236" s="75">
        <f t="shared" si="46"/>
        <v>0</v>
      </c>
    </row>
    <row r="237" spans="1:68" ht="27" customHeight="1" x14ac:dyDescent="0.25">
      <c r="A237" s="60" t="s">
        <v>413</v>
      </c>
      <c r="B237" s="60" t="s">
        <v>415</v>
      </c>
      <c r="C237" s="34">
        <v>4301011721</v>
      </c>
      <c r="D237" s="681">
        <v>4680115884175</v>
      </c>
      <c r="E237" s="681"/>
      <c r="F237" s="59">
        <v>1.45</v>
      </c>
      <c r="G237" s="35">
        <v>8</v>
      </c>
      <c r="H237" s="59">
        <v>11.6</v>
      </c>
      <c r="I237" s="59">
        <v>12.035</v>
      </c>
      <c r="J237" s="35">
        <v>64</v>
      </c>
      <c r="K237" s="35" t="s">
        <v>114</v>
      </c>
      <c r="L237" s="35" t="s">
        <v>45</v>
      </c>
      <c r="M237" s="36" t="s">
        <v>113</v>
      </c>
      <c r="N237" s="36"/>
      <c r="O237" s="35">
        <v>55</v>
      </c>
      <c r="P237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83"/>
      <c r="R237" s="683"/>
      <c r="S237" s="683"/>
      <c r="T237" s="684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2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9" t="s">
        <v>416</v>
      </c>
      <c r="AG237" s="75"/>
      <c r="AJ237" s="79" t="s">
        <v>45</v>
      </c>
      <c r="AK237" s="79">
        <v>0</v>
      </c>
      <c r="BB237" s="310" t="s">
        <v>66</v>
      </c>
      <c r="BM237" s="75">
        <f t="shared" si="43"/>
        <v>0</v>
      </c>
      <c r="BN237" s="75">
        <f t="shared" si="44"/>
        <v>0</v>
      </c>
      <c r="BO237" s="75">
        <f t="shared" si="45"/>
        <v>0</v>
      </c>
      <c r="BP237" s="75">
        <f t="shared" si="46"/>
        <v>0</v>
      </c>
    </row>
    <row r="238" spans="1:68" ht="27" customHeight="1" x14ac:dyDescent="0.25">
      <c r="A238" s="60" t="s">
        <v>417</v>
      </c>
      <c r="B238" s="60" t="s">
        <v>418</v>
      </c>
      <c r="C238" s="34">
        <v>4301011824</v>
      </c>
      <c r="D238" s="681">
        <v>4680115884144</v>
      </c>
      <c r="E238" s="681"/>
      <c r="F238" s="59">
        <v>0.4</v>
      </c>
      <c r="G238" s="35">
        <v>10</v>
      </c>
      <c r="H238" s="59">
        <v>4</v>
      </c>
      <c r="I238" s="59">
        <v>4.21</v>
      </c>
      <c r="J238" s="35">
        <v>132</v>
      </c>
      <c r="K238" s="35" t="s">
        <v>118</v>
      </c>
      <c r="L238" s="35" t="s">
        <v>45</v>
      </c>
      <c r="M238" s="36" t="s">
        <v>113</v>
      </c>
      <c r="N238" s="36"/>
      <c r="O238" s="35">
        <v>55</v>
      </c>
      <c r="P238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83"/>
      <c r="R238" s="683"/>
      <c r="S238" s="683"/>
      <c r="T238" s="684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42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11" t="s">
        <v>409</v>
      </c>
      <c r="AG238" s="75"/>
      <c r="AJ238" s="79" t="s">
        <v>45</v>
      </c>
      <c r="AK238" s="79">
        <v>0</v>
      </c>
      <c r="BB238" s="312" t="s">
        <v>66</v>
      </c>
      <c r="BM238" s="75">
        <f t="shared" si="43"/>
        <v>0</v>
      </c>
      <c r="BN238" s="75">
        <f t="shared" si="44"/>
        <v>0</v>
      </c>
      <c r="BO238" s="75">
        <f t="shared" si="45"/>
        <v>0</v>
      </c>
      <c r="BP238" s="75">
        <f t="shared" si="46"/>
        <v>0</v>
      </c>
    </row>
    <row r="239" spans="1:68" ht="27" customHeight="1" x14ac:dyDescent="0.25">
      <c r="A239" s="60" t="s">
        <v>419</v>
      </c>
      <c r="B239" s="60" t="s">
        <v>420</v>
      </c>
      <c r="C239" s="34">
        <v>4301011726</v>
      </c>
      <c r="D239" s="681">
        <v>4680115884182</v>
      </c>
      <c r="E239" s="681"/>
      <c r="F239" s="59">
        <v>0.37</v>
      </c>
      <c r="G239" s="35">
        <v>10</v>
      </c>
      <c r="H239" s="59">
        <v>3.7</v>
      </c>
      <c r="I239" s="59">
        <v>3.91</v>
      </c>
      <c r="J239" s="35">
        <v>132</v>
      </c>
      <c r="K239" s="35" t="s">
        <v>118</v>
      </c>
      <c r="L239" s="35" t="s">
        <v>45</v>
      </c>
      <c r="M239" s="36" t="s">
        <v>113</v>
      </c>
      <c r="N239" s="36"/>
      <c r="O239" s="35">
        <v>55</v>
      </c>
      <c r="P239" s="87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83"/>
      <c r="R239" s="683"/>
      <c r="S239" s="683"/>
      <c r="T239" s="684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42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13" t="s">
        <v>412</v>
      </c>
      <c r="AG239" s="75"/>
      <c r="AJ239" s="79" t="s">
        <v>45</v>
      </c>
      <c r="AK239" s="79">
        <v>0</v>
      </c>
      <c r="BB239" s="314" t="s">
        <v>66</v>
      </c>
      <c r="BM239" s="75">
        <f t="shared" si="43"/>
        <v>0</v>
      </c>
      <c r="BN239" s="75">
        <f t="shared" si="44"/>
        <v>0</v>
      </c>
      <c r="BO239" s="75">
        <f t="shared" si="45"/>
        <v>0</v>
      </c>
      <c r="BP239" s="75">
        <f t="shared" si="46"/>
        <v>0</v>
      </c>
    </row>
    <row r="240" spans="1:68" ht="27" customHeight="1" x14ac:dyDescent="0.25">
      <c r="A240" s="60" t="s">
        <v>421</v>
      </c>
      <c r="B240" s="60" t="s">
        <v>422</v>
      </c>
      <c r="C240" s="34">
        <v>4301011722</v>
      </c>
      <c r="D240" s="681">
        <v>4680115884205</v>
      </c>
      <c r="E240" s="681"/>
      <c r="F240" s="59">
        <v>0.4</v>
      </c>
      <c r="G240" s="35">
        <v>10</v>
      </c>
      <c r="H240" s="59">
        <v>4</v>
      </c>
      <c r="I240" s="59">
        <v>4.21</v>
      </c>
      <c r="J240" s="35">
        <v>132</v>
      </c>
      <c r="K240" s="35" t="s">
        <v>118</v>
      </c>
      <c r="L240" s="35" t="s">
        <v>45</v>
      </c>
      <c r="M240" s="36" t="s">
        <v>113</v>
      </c>
      <c r="N240" s="36"/>
      <c r="O240" s="35">
        <v>55</v>
      </c>
      <c r="P240" s="87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83"/>
      <c r="R240" s="683"/>
      <c r="S240" s="683"/>
      <c r="T240" s="684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42"/>
        <v>0</v>
      </c>
      <c r="Z240" s="39" t="str">
        <f>IFERROR(IF(Y240=0,"",ROUNDUP(Y240/H240,0)*0.00902),"")</f>
        <v/>
      </c>
      <c r="AA240" s="65" t="s">
        <v>45</v>
      </c>
      <c r="AB240" s="66" t="s">
        <v>45</v>
      </c>
      <c r="AC240" s="315" t="s">
        <v>416</v>
      </c>
      <c r="AG240" s="75"/>
      <c r="AJ240" s="79" t="s">
        <v>45</v>
      </c>
      <c r="AK240" s="79">
        <v>0</v>
      </c>
      <c r="BB240" s="316" t="s">
        <v>66</v>
      </c>
      <c r="BM240" s="75">
        <f t="shared" si="43"/>
        <v>0</v>
      </c>
      <c r="BN240" s="75">
        <f t="shared" si="44"/>
        <v>0</v>
      </c>
      <c r="BO240" s="75">
        <f t="shared" si="45"/>
        <v>0</v>
      </c>
      <c r="BP240" s="75">
        <f t="shared" si="46"/>
        <v>0</v>
      </c>
    </row>
    <row r="241" spans="1:68" x14ac:dyDescent="0.2">
      <c r="A241" s="675"/>
      <c r="B241" s="675"/>
      <c r="C241" s="675"/>
      <c r="D241" s="675"/>
      <c r="E241" s="675"/>
      <c r="F241" s="675"/>
      <c r="G241" s="675"/>
      <c r="H241" s="675"/>
      <c r="I241" s="675"/>
      <c r="J241" s="675"/>
      <c r="K241" s="675"/>
      <c r="L241" s="675"/>
      <c r="M241" s="675"/>
      <c r="N241" s="675"/>
      <c r="O241" s="688"/>
      <c r="P241" s="685" t="s">
        <v>40</v>
      </c>
      <c r="Q241" s="686"/>
      <c r="R241" s="686"/>
      <c r="S241" s="686"/>
      <c r="T241" s="686"/>
      <c r="U241" s="686"/>
      <c r="V241" s="687"/>
      <c r="W241" s="40" t="s">
        <v>39</v>
      </c>
      <c r="X241" s="41">
        <f>IFERROR(X233/H233,"0")+IFERROR(X234/H234,"0")+IFERROR(X235/H235,"0")+IFERROR(X236/H236,"0")+IFERROR(X237/H237,"0")+IFERROR(X238/H238,"0")+IFERROR(X239/H239,"0")+IFERROR(X240/H240,"0")</f>
        <v>0</v>
      </c>
      <c r="Y241" s="41">
        <f>IFERROR(Y233/H233,"0")+IFERROR(Y234/H234,"0")+IFERROR(Y235/H235,"0")+IFERROR(Y236/H236,"0")+IFERROR(Y237/H237,"0")+IFERROR(Y238/H238,"0")+IFERROR(Y239/H239,"0")+IFERROR(Y240/H240,"0")</f>
        <v>0</v>
      </c>
      <c r="Z241" s="41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675"/>
      <c r="B242" s="675"/>
      <c r="C242" s="675"/>
      <c r="D242" s="675"/>
      <c r="E242" s="675"/>
      <c r="F242" s="675"/>
      <c r="G242" s="675"/>
      <c r="H242" s="675"/>
      <c r="I242" s="675"/>
      <c r="J242" s="675"/>
      <c r="K242" s="675"/>
      <c r="L242" s="675"/>
      <c r="M242" s="675"/>
      <c r="N242" s="675"/>
      <c r="O242" s="688"/>
      <c r="P242" s="685" t="s">
        <v>40</v>
      </c>
      <c r="Q242" s="686"/>
      <c r="R242" s="686"/>
      <c r="S242" s="686"/>
      <c r="T242" s="686"/>
      <c r="U242" s="686"/>
      <c r="V242" s="687"/>
      <c r="W242" s="40" t="s">
        <v>0</v>
      </c>
      <c r="X242" s="41">
        <f>IFERROR(SUM(X233:X240),"0")</f>
        <v>0</v>
      </c>
      <c r="Y242" s="41">
        <f>IFERROR(SUM(Y233:Y240),"0")</f>
        <v>0</v>
      </c>
      <c r="Z242" s="40"/>
      <c r="AA242" s="64"/>
      <c r="AB242" s="64"/>
      <c r="AC242" s="64"/>
    </row>
    <row r="243" spans="1:68" ht="14.25" customHeight="1" x14ac:dyDescent="0.25">
      <c r="A243" s="680" t="s">
        <v>149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3"/>
      <c r="AB243" s="63"/>
      <c r="AC243" s="63"/>
    </row>
    <row r="244" spans="1:68" ht="27" customHeight="1" x14ac:dyDescent="0.25">
      <c r="A244" s="60" t="s">
        <v>423</v>
      </c>
      <c r="B244" s="60" t="s">
        <v>424</v>
      </c>
      <c r="C244" s="34">
        <v>4301020340</v>
      </c>
      <c r="D244" s="681">
        <v>4680115885721</v>
      </c>
      <c r="E244" s="681"/>
      <c r="F244" s="59">
        <v>0.33</v>
      </c>
      <c r="G244" s="35">
        <v>6</v>
      </c>
      <c r="H244" s="59">
        <v>1.98</v>
      </c>
      <c r="I244" s="59">
        <v>2.08</v>
      </c>
      <c r="J244" s="35">
        <v>234</v>
      </c>
      <c r="K244" s="35" t="s">
        <v>164</v>
      </c>
      <c r="L244" s="35" t="s">
        <v>45</v>
      </c>
      <c r="M244" s="36" t="s">
        <v>117</v>
      </c>
      <c r="N244" s="36"/>
      <c r="O244" s="35">
        <v>50</v>
      </c>
      <c r="P244" s="86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83"/>
      <c r="R244" s="683"/>
      <c r="S244" s="683"/>
      <c r="T244" s="684"/>
      <c r="U244" s="37" t="s">
        <v>45</v>
      </c>
      <c r="V244" s="37" t="s">
        <v>45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IFERROR(IF(Y244=0,"",ROUNDUP(Y244/H244,0)*0.00502),"")</f>
        <v/>
      </c>
      <c r="AA244" s="65" t="s">
        <v>45</v>
      </c>
      <c r="AB244" s="66" t="s">
        <v>45</v>
      </c>
      <c r="AC244" s="317" t="s">
        <v>425</v>
      </c>
      <c r="AG244" s="75"/>
      <c r="AJ244" s="79" t="s">
        <v>45</v>
      </c>
      <c r="AK244" s="79">
        <v>0</v>
      </c>
      <c r="BB244" s="318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customHeight="1" x14ac:dyDescent="0.25">
      <c r="A245" s="60" t="s">
        <v>423</v>
      </c>
      <c r="B245" s="60" t="s">
        <v>426</v>
      </c>
      <c r="C245" s="34">
        <v>4301020377</v>
      </c>
      <c r="D245" s="681">
        <v>4680115885981</v>
      </c>
      <c r="E245" s="681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164</v>
      </c>
      <c r="L245" s="35" t="s">
        <v>45</v>
      </c>
      <c r="M245" s="36" t="s">
        <v>117</v>
      </c>
      <c r="N245" s="36"/>
      <c r="O245" s="35">
        <v>50</v>
      </c>
      <c r="P245" s="864" t="s">
        <v>427</v>
      </c>
      <c r="Q245" s="683"/>
      <c r="R245" s="683"/>
      <c r="S245" s="683"/>
      <c r="T245" s="684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9" t="s">
        <v>425</v>
      </c>
      <c r="AG245" s="75"/>
      <c r="AJ245" s="79" t="s">
        <v>45</v>
      </c>
      <c r="AK245" s="79">
        <v>0</v>
      </c>
      <c r="BB245" s="320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75"/>
      <c r="B246" s="675"/>
      <c r="C246" s="675"/>
      <c r="D246" s="675"/>
      <c r="E246" s="675"/>
      <c r="F246" s="675"/>
      <c r="G246" s="675"/>
      <c r="H246" s="675"/>
      <c r="I246" s="675"/>
      <c r="J246" s="675"/>
      <c r="K246" s="675"/>
      <c r="L246" s="675"/>
      <c r="M246" s="675"/>
      <c r="N246" s="675"/>
      <c r="O246" s="688"/>
      <c r="P246" s="685" t="s">
        <v>40</v>
      </c>
      <c r="Q246" s="686"/>
      <c r="R246" s="686"/>
      <c r="S246" s="686"/>
      <c r="T246" s="686"/>
      <c r="U246" s="686"/>
      <c r="V246" s="687"/>
      <c r="W246" s="40" t="s">
        <v>39</v>
      </c>
      <c r="X246" s="41">
        <f>IFERROR(X244/H244,"0")+IFERROR(X245/H245,"0")</f>
        <v>0</v>
      </c>
      <c r="Y246" s="41">
        <f>IFERROR(Y244/H244,"0")+IFERROR(Y245/H245,"0")</f>
        <v>0</v>
      </c>
      <c r="Z246" s="41">
        <f>IFERROR(IF(Z244="",0,Z244),"0")+IFERROR(IF(Z245="",0,Z245),"0")</f>
        <v>0</v>
      </c>
      <c r="AA246" s="64"/>
      <c r="AB246" s="64"/>
      <c r="AC246" s="64"/>
    </row>
    <row r="247" spans="1:68" x14ac:dyDescent="0.2">
      <c r="A247" s="675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88"/>
      <c r="P247" s="685" t="s">
        <v>40</v>
      </c>
      <c r="Q247" s="686"/>
      <c r="R247" s="686"/>
      <c r="S247" s="686"/>
      <c r="T247" s="686"/>
      <c r="U247" s="686"/>
      <c r="V247" s="687"/>
      <c r="W247" s="40" t="s">
        <v>0</v>
      </c>
      <c r="X247" s="41">
        <f>IFERROR(SUM(X244:X245),"0")</f>
        <v>0</v>
      </c>
      <c r="Y247" s="41">
        <f>IFERROR(SUM(Y244:Y245),"0")</f>
        <v>0</v>
      </c>
      <c r="Z247" s="40"/>
      <c r="AA247" s="64"/>
      <c r="AB247" s="64"/>
      <c r="AC247" s="64"/>
    </row>
    <row r="248" spans="1:68" ht="14.25" customHeight="1" x14ac:dyDescent="0.25">
      <c r="A248" s="680" t="s">
        <v>428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3"/>
      <c r="AB248" s="63"/>
      <c r="AC248" s="63"/>
    </row>
    <row r="249" spans="1:68" ht="27" customHeight="1" x14ac:dyDescent="0.25">
      <c r="A249" s="60" t="s">
        <v>429</v>
      </c>
      <c r="B249" s="60" t="s">
        <v>430</v>
      </c>
      <c r="C249" s="34">
        <v>4301040361</v>
      </c>
      <c r="D249" s="681">
        <v>4680115886803</v>
      </c>
      <c r="E249" s="681"/>
      <c r="F249" s="59">
        <v>0.12</v>
      </c>
      <c r="G249" s="35">
        <v>18</v>
      </c>
      <c r="H249" s="59">
        <v>2.16</v>
      </c>
      <c r="I249" s="59">
        <v>2.35</v>
      </c>
      <c r="J249" s="35">
        <v>216</v>
      </c>
      <c r="K249" s="35" t="s">
        <v>330</v>
      </c>
      <c r="L249" s="35" t="s">
        <v>45</v>
      </c>
      <c r="M249" s="36" t="s">
        <v>329</v>
      </c>
      <c r="N249" s="36"/>
      <c r="O249" s="35">
        <v>45</v>
      </c>
      <c r="P249" s="865" t="s">
        <v>431</v>
      </c>
      <c r="Q249" s="683"/>
      <c r="R249" s="683"/>
      <c r="S249" s="683"/>
      <c r="T249" s="684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21" t="s">
        <v>432</v>
      </c>
      <c r="AG249" s="75"/>
      <c r="AJ249" s="79" t="s">
        <v>45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75"/>
      <c r="B250" s="675"/>
      <c r="C250" s="675"/>
      <c r="D250" s="675"/>
      <c r="E250" s="675"/>
      <c r="F250" s="675"/>
      <c r="G250" s="675"/>
      <c r="H250" s="675"/>
      <c r="I250" s="675"/>
      <c r="J250" s="675"/>
      <c r="K250" s="675"/>
      <c r="L250" s="675"/>
      <c r="M250" s="675"/>
      <c r="N250" s="675"/>
      <c r="O250" s="688"/>
      <c r="P250" s="685" t="s">
        <v>40</v>
      </c>
      <c r="Q250" s="686"/>
      <c r="R250" s="686"/>
      <c r="S250" s="686"/>
      <c r="T250" s="686"/>
      <c r="U250" s="686"/>
      <c r="V250" s="68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75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88"/>
      <c r="P251" s="685" t="s">
        <v>40</v>
      </c>
      <c r="Q251" s="686"/>
      <c r="R251" s="686"/>
      <c r="S251" s="686"/>
      <c r="T251" s="686"/>
      <c r="U251" s="686"/>
      <c r="V251" s="68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80" t="s">
        <v>433</v>
      </c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0"/>
      <c r="P252" s="680"/>
      <c r="Q252" s="680"/>
      <c r="R252" s="680"/>
      <c r="S252" s="680"/>
      <c r="T252" s="680"/>
      <c r="U252" s="680"/>
      <c r="V252" s="680"/>
      <c r="W252" s="680"/>
      <c r="X252" s="680"/>
      <c r="Y252" s="680"/>
      <c r="Z252" s="680"/>
      <c r="AA252" s="63"/>
      <c r="AB252" s="63"/>
      <c r="AC252" s="63"/>
    </row>
    <row r="253" spans="1:68" ht="27" customHeight="1" x14ac:dyDescent="0.25">
      <c r="A253" s="60" t="s">
        <v>434</v>
      </c>
      <c r="B253" s="60" t="s">
        <v>435</v>
      </c>
      <c r="C253" s="34">
        <v>4301041004</v>
      </c>
      <c r="D253" s="681">
        <v>4680115886704</v>
      </c>
      <c r="E253" s="681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330</v>
      </c>
      <c r="L253" s="35" t="s">
        <v>45</v>
      </c>
      <c r="M253" s="36" t="s">
        <v>329</v>
      </c>
      <c r="N253" s="36"/>
      <c r="O253" s="35">
        <v>90</v>
      </c>
      <c r="P253" s="866" t="s">
        <v>436</v>
      </c>
      <c r="Q253" s="683"/>
      <c r="R253" s="683"/>
      <c r="S253" s="683"/>
      <c r="T253" s="684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328</v>
      </c>
      <c r="AC253" s="323" t="s">
        <v>437</v>
      </c>
      <c r="AG253" s="75"/>
      <c r="AJ253" s="79" t="s">
        <v>45</v>
      </c>
      <c r="AK253" s="79">
        <v>0</v>
      </c>
      <c r="BB253" s="32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438</v>
      </c>
      <c r="B254" s="60" t="s">
        <v>439</v>
      </c>
      <c r="C254" s="34">
        <v>4301041007</v>
      </c>
      <c r="D254" s="681">
        <v>4680115886735</v>
      </c>
      <c r="E254" s="681"/>
      <c r="F254" s="59">
        <v>0.05</v>
      </c>
      <c r="G254" s="35">
        <v>18</v>
      </c>
      <c r="H254" s="59">
        <v>0.9</v>
      </c>
      <c r="I254" s="59">
        <v>1.0900000000000001</v>
      </c>
      <c r="J254" s="35">
        <v>216</v>
      </c>
      <c r="K254" s="35" t="s">
        <v>330</v>
      </c>
      <c r="L254" s="35" t="s">
        <v>45</v>
      </c>
      <c r="M254" s="36" t="s">
        <v>329</v>
      </c>
      <c r="N254" s="36"/>
      <c r="O254" s="35">
        <v>90</v>
      </c>
      <c r="P254" s="857" t="s">
        <v>440</v>
      </c>
      <c r="Q254" s="683"/>
      <c r="R254" s="683"/>
      <c r="S254" s="683"/>
      <c r="T254" s="684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328</v>
      </c>
      <c r="AC254" s="325" t="s">
        <v>437</v>
      </c>
      <c r="AG254" s="75"/>
      <c r="AJ254" s="79" t="s">
        <v>45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441</v>
      </c>
      <c r="B255" s="60" t="s">
        <v>442</v>
      </c>
      <c r="C255" s="34">
        <v>4301041006</v>
      </c>
      <c r="D255" s="681">
        <v>4680115886728</v>
      </c>
      <c r="E255" s="681"/>
      <c r="F255" s="59">
        <v>5.5E-2</v>
      </c>
      <c r="G255" s="35">
        <v>18</v>
      </c>
      <c r="H255" s="59">
        <v>0.99</v>
      </c>
      <c r="I255" s="59">
        <v>1.18</v>
      </c>
      <c r="J255" s="35">
        <v>216</v>
      </c>
      <c r="K255" s="35" t="s">
        <v>330</v>
      </c>
      <c r="L255" s="35" t="s">
        <v>45</v>
      </c>
      <c r="M255" s="36" t="s">
        <v>329</v>
      </c>
      <c r="N255" s="36"/>
      <c r="O255" s="35">
        <v>90</v>
      </c>
      <c r="P255" s="858" t="s">
        <v>443</v>
      </c>
      <c r="Q255" s="683"/>
      <c r="R255" s="683"/>
      <c r="S255" s="683"/>
      <c r="T255" s="684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328</v>
      </c>
      <c r="AC255" s="327" t="s">
        <v>437</v>
      </c>
      <c r="AG255" s="75"/>
      <c r="AJ255" s="79" t="s">
        <v>45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444</v>
      </c>
      <c r="B256" s="60" t="s">
        <v>445</v>
      </c>
      <c r="C256" s="34">
        <v>4301041005</v>
      </c>
      <c r="D256" s="681">
        <v>4680115886711</v>
      </c>
      <c r="E256" s="681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330</v>
      </c>
      <c r="L256" s="35" t="s">
        <v>45</v>
      </c>
      <c r="M256" s="36" t="s">
        <v>329</v>
      </c>
      <c r="N256" s="36"/>
      <c r="O256" s="35">
        <v>90</v>
      </c>
      <c r="P256" s="859" t="s">
        <v>446</v>
      </c>
      <c r="Q256" s="683"/>
      <c r="R256" s="683"/>
      <c r="S256" s="683"/>
      <c r="T256" s="684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328</v>
      </c>
      <c r="AC256" s="329" t="s">
        <v>437</v>
      </c>
      <c r="AG256" s="75"/>
      <c r="AJ256" s="79" t="s">
        <v>45</v>
      </c>
      <c r="AK256" s="79">
        <v>0</v>
      </c>
      <c r="BB256" s="330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447</v>
      </c>
      <c r="B257" s="60" t="s">
        <v>448</v>
      </c>
      <c r="C257" s="34">
        <v>4301041003</v>
      </c>
      <c r="D257" s="681">
        <v>4680115886681</v>
      </c>
      <c r="E257" s="681"/>
      <c r="F257" s="59">
        <v>0.12</v>
      </c>
      <c r="G257" s="35">
        <v>18</v>
      </c>
      <c r="H257" s="59">
        <v>2.16</v>
      </c>
      <c r="I257" s="59">
        <v>2.35</v>
      </c>
      <c r="J257" s="35">
        <v>216</v>
      </c>
      <c r="K257" s="35" t="s">
        <v>330</v>
      </c>
      <c r="L257" s="35" t="s">
        <v>45</v>
      </c>
      <c r="M257" s="36" t="s">
        <v>329</v>
      </c>
      <c r="N257" s="36"/>
      <c r="O257" s="35">
        <v>90</v>
      </c>
      <c r="P257" s="860" t="s">
        <v>449</v>
      </c>
      <c r="Q257" s="683"/>
      <c r="R257" s="683"/>
      <c r="S257" s="683"/>
      <c r="T257" s="684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31" t="s">
        <v>437</v>
      </c>
      <c r="AG257" s="75"/>
      <c r="AJ257" s="79" t="s">
        <v>45</v>
      </c>
      <c r="AK257" s="79">
        <v>0</v>
      </c>
      <c r="BB257" s="332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75"/>
      <c r="B258" s="675"/>
      <c r="C258" s="675"/>
      <c r="D258" s="675"/>
      <c r="E258" s="675"/>
      <c r="F258" s="675"/>
      <c r="G258" s="675"/>
      <c r="H258" s="675"/>
      <c r="I258" s="675"/>
      <c r="J258" s="675"/>
      <c r="K258" s="675"/>
      <c r="L258" s="675"/>
      <c r="M258" s="675"/>
      <c r="N258" s="675"/>
      <c r="O258" s="688"/>
      <c r="P258" s="685" t="s">
        <v>40</v>
      </c>
      <c r="Q258" s="686"/>
      <c r="R258" s="686"/>
      <c r="S258" s="686"/>
      <c r="T258" s="686"/>
      <c r="U258" s="686"/>
      <c r="V258" s="68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75"/>
      <c r="B259" s="675"/>
      <c r="C259" s="675"/>
      <c r="D259" s="675"/>
      <c r="E259" s="675"/>
      <c r="F259" s="675"/>
      <c r="G259" s="675"/>
      <c r="H259" s="675"/>
      <c r="I259" s="675"/>
      <c r="J259" s="675"/>
      <c r="K259" s="675"/>
      <c r="L259" s="675"/>
      <c r="M259" s="675"/>
      <c r="N259" s="675"/>
      <c r="O259" s="688"/>
      <c r="P259" s="685" t="s">
        <v>40</v>
      </c>
      <c r="Q259" s="686"/>
      <c r="R259" s="686"/>
      <c r="S259" s="686"/>
      <c r="T259" s="686"/>
      <c r="U259" s="686"/>
      <c r="V259" s="68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95" t="s">
        <v>450</v>
      </c>
      <c r="B260" s="695"/>
      <c r="C260" s="695"/>
      <c r="D260" s="695"/>
      <c r="E260" s="695"/>
      <c r="F260" s="695"/>
      <c r="G260" s="695"/>
      <c r="H260" s="695"/>
      <c r="I260" s="695"/>
      <c r="J260" s="695"/>
      <c r="K260" s="695"/>
      <c r="L260" s="695"/>
      <c r="M260" s="695"/>
      <c r="N260" s="695"/>
      <c r="O260" s="695"/>
      <c r="P260" s="695"/>
      <c r="Q260" s="695"/>
      <c r="R260" s="695"/>
      <c r="S260" s="695"/>
      <c r="T260" s="695"/>
      <c r="U260" s="695"/>
      <c r="V260" s="695"/>
      <c r="W260" s="695"/>
      <c r="X260" s="695"/>
      <c r="Y260" s="695"/>
      <c r="Z260" s="695"/>
      <c r="AA260" s="62"/>
      <c r="AB260" s="62"/>
      <c r="AC260" s="62"/>
    </row>
    <row r="261" spans="1:68" ht="14.25" customHeight="1" x14ac:dyDescent="0.25">
      <c r="A261" s="680" t="s">
        <v>109</v>
      </c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0"/>
      <c r="P261" s="680"/>
      <c r="Q261" s="680"/>
      <c r="R261" s="680"/>
      <c r="S261" s="680"/>
      <c r="T261" s="680"/>
      <c r="U261" s="680"/>
      <c r="V261" s="680"/>
      <c r="W261" s="680"/>
      <c r="X261" s="680"/>
      <c r="Y261" s="680"/>
      <c r="Z261" s="680"/>
      <c r="AA261" s="63"/>
      <c r="AB261" s="63"/>
      <c r="AC261" s="63"/>
    </row>
    <row r="262" spans="1:68" ht="27" customHeight="1" x14ac:dyDescent="0.25">
      <c r="A262" s="60" t="s">
        <v>451</v>
      </c>
      <c r="B262" s="60" t="s">
        <v>452</v>
      </c>
      <c r="C262" s="34">
        <v>4301011855</v>
      </c>
      <c r="D262" s="681">
        <v>4680115885837</v>
      </c>
      <c r="E262" s="681"/>
      <c r="F262" s="59">
        <v>1.35</v>
      </c>
      <c r="G262" s="35">
        <v>8</v>
      </c>
      <c r="H262" s="59">
        <v>10.8</v>
      </c>
      <c r="I262" s="59">
        <v>11.234999999999999</v>
      </c>
      <c r="J262" s="35">
        <v>64</v>
      </c>
      <c r="K262" s="35" t="s">
        <v>114</v>
      </c>
      <c r="L262" s="35" t="s">
        <v>45</v>
      </c>
      <c r="M262" s="36" t="s">
        <v>113</v>
      </c>
      <c r="N262" s="36"/>
      <c r="O262" s="35">
        <v>55</v>
      </c>
      <c r="P262" s="8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83"/>
      <c r="R262" s="683"/>
      <c r="S262" s="683"/>
      <c r="T262" s="684"/>
      <c r="U262" s="37" t="s">
        <v>45</v>
      </c>
      <c r="V262" s="37" t="s">
        <v>45</v>
      </c>
      <c r="W262" s="38" t="s">
        <v>0</v>
      </c>
      <c r="X262" s="56">
        <v>0</v>
      </c>
      <c r="Y262" s="53">
        <f t="shared" ref="Y262:Y267" si="47"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33" t="s">
        <v>453</v>
      </c>
      <c r="AG262" s="75"/>
      <c r="AJ262" s="79" t="s">
        <v>45</v>
      </c>
      <c r="AK262" s="79">
        <v>0</v>
      </c>
      <c r="BB262" s="334" t="s">
        <v>66</v>
      </c>
      <c r="BM262" s="75">
        <f t="shared" ref="BM262:BM267" si="48">IFERROR(X262*I262/H262,"0")</f>
        <v>0</v>
      </c>
      <c r="BN262" s="75">
        <f t="shared" ref="BN262:BN267" si="49">IFERROR(Y262*I262/H262,"0")</f>
        <v>0</v>
      </c>
      <c r="BO262" s="75">
        <f t="shared" ref="BO262:BO267" si="50">IFERROR(1/J262*(X262/H262),"0")</f>
        <v>0</v>
      </c>
      <c r="BP262" s="75">
        <f t="shared" ref="BP262:BP267" si="51">IFERROR(1/J262*(Y262/H262),"0")</f>
        <v>0</v>
      </c>
    </row>
    <row r="263" spans="1:68" ht="27" customHeight="1" x14ac:dyDescent="0.25">
      <c r="A263" s="60" t="s">
        <v>454</v>
      </c>
      <c r="B263" s="60" t="s">
        <v>455</v>
      </c>
      <c r="C263" s="34">
        <v>4301011910</v>
      </c>
      <c r="D263" s="681">
        <v>4680115885806</v>
      </c>
      <c r="E263" s="681"/>
      <c r="F263" s="59">
        <v>1.35</v>
      </c>
      <c r="G263" s="35">
        <v>8</v>
      </c>
      <c r="H263" s="59">
        <v>10.8</v>
      </c>
      <c r="I263" s="59">
        <v>11.28</v>
      </c>
      <c r="J263" s="35">
        <v>48</v>
      </c>
      <c r="K263" s="35" t="s">
        <v>114</v>
      </c>
      <c r="L263" s="35" t="s">
        <v>45</v>
      </c>
      <c r="M263" s="36" t="s">
        <v>407</v>
      </c>
      <c r="N263" s="36"/>
      <c r="O263" s="35">
        <v>55</v>
      </c>
      <c r="P263" s="86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83"/>
      <c r="R263" s="683"/>
      <c r="S263" s="683"/>
      <c r="T263" s="684"/>
      <c r="U263" s="37" t="s">
        <v>45</v>
      </c>
      <c r="V263" s="37" t="s">
        <v>45</v>
      </c>
      <c r="W263" s="38" t="s">
        <v>0</v>
      </c>
      <c r="X263" s="56">
        <v>0</v>
      </c>
      <c r="Y263" s="53">
        <f t="shared" si="47"/>
        <v>0</v>
      </c>
      <c r="Z263" s="39" t="str">
        <f>IFERROR(IF(Y263=0,"",ROUNDUP(Y263/H263,0)*0.02039),"")</f>
        <v/>
      </c>
      <c r="AA263" s="65" t="s">
        <v>45</v>
      </c>
      <c r="AB263" s="66" t="s">
        <v>45</v>
      </c>
      <c r="AC263" s="335" t="s">
        <v>456</v>
      </c>
      <c r="AG263" s="75"/>
      <c r="AJ263" s="79" t="s">
        <v>45</v>
      </c>
      <c r="AK263" s="79">
        <v>0</v>
      </c>
      <c r="BB263" s="336" t="s">
        <v>66</v>
      </c>
      <c r="BM263" s="75">
        <f t="shared" si="48"/>
        <v>0</v>
      </c>
      <c r="BN263" s="75">
        <f t="shared" si="49"/>
        <v>0</v>
      </c>
      <c r="BO263" s="75">
        <f t="shared" si="50"/>
        <v>0</v>
      </c>
      <c r="BP263" s="75">
        <f t="shared" si="51"/>
        <v>0</v>
      </c>
    </row>
    <row r="264" spans="1:68" ht="27" customHeight="1" x14ac:dyDescent="0.25">
      <c r="A264" s="60" t="s">
        <v>454</v>
      </c>
      <c r="B264" s="60" t="s">
        <v>457</v>
      </c>
      <c r="C264" s="34">
        <v>4301011850</v>
      </c>
      <c r="D264" s="681">
        <v>4680115885806</v>
      </c>
      <c r="E264" s="681"/>
      <c r="F264" s="59">
        <v>1.35</v>
      </c>
      <c r="G264" s="35">
        <v>8</v>
      </c>
      <c r="H264" s="59">
        <v>10.8</v>
      </c>
      <c r="I264" s="59">
        <v>11.234999999999999</v>
      </c>
      <c r="J264" s="35">
        <v>64</v>
      </c>
      <c r="K264" s="35" t="s">
        <v>114</v>
      </c>
      <c r="L264" s="35" t="s">
        <v>45</v>
      </c>
      <c r="M264" s="36" t="s">
        <v>113</v>
      </c>
      <c r="N264" s="36"/>
      <c r="O264" s="35">
        <v>55</v>
      </c>
      <c r="P264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83"/>
      <c r="R264" s="683"/>
      <c r="S264" s="683"/>
      <c r="T264" s="684"/>
      <c r="U264" s="37" t="s">
        <v>45</v>
      </c>
      <c r="V264" s="37" t="s">
        <v>45</v>
      </c>
      <c r="W264" s="38" t="s">
        <v>0</v>
      </c>
      <c r="X264" s="56">
        <v>0</v>
      </c>
      <c r="Y264" s="53">
        <f t="shared" si="47"/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7" t="s">
        <v>458</v>
      </c>
      <c r="AG264" s="75"/>
      <c r="AJ264" s="79" t="s">
        <v>45</v>
      </c>
      <c r="AK264" s="79">
        <v>0</v>
      </c>
      <c r="BB264" s="338" t="s">
        <v>66</v>
      </c>
      <c r="BM264" s="75">
        <f t="shared" si="48"/>
        <v>0</v>
      </c>
      <c r="BN264" s="75">
        <f t="shared" si="49"/>
        <v>0</v>
      </c>
      <c r="BO264" s="75">
        <f t="shared" si="50"/>
        <v>0</v>
      </c>
      <c r="BP264" s="75">
        <f t="shared" si="51"/>
        <v>0</v>
      </c>
    </row>
    <row r="265" spans="1:68" ht="37.5" customHeight="1" x14ac:dyDescent="0.25">
      <c r="A265" s="60" t="s">
        <v>459</v>
      </c>
      <c r="B265" s="60" t="s">
        <v>460</v>
      </c>
      <c r="C265" s="34">
        <v>4301011853</v>
      </c>
      <c r="D265" s="681">
        <v>4680115885851</v>
      </c>
      <c r="E265" s="681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55</v>
      </c>
      <c r="P265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83"/>
      <c r="R265" s="683"/>
      <c r="S265" s="683"/>
      <c r="T265" s="684"/>
      <c r="U265" s="37" t="s">
        <v>45</v>
      </c>
      <c r="V265" s="37" t="s">
        <v>45</v>
      </c>
      <c r="W265" s="38" t="s">
        <v>0</v>
      </c>
      <c r="X265" s="56">
        <v>0</v>
      </c>
      <c r="Y265" s="53">
        <f t="shared" si="47"/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9" t="s">
        <v>461</v>
      </c>
      <c r="AG265" s="75"/>
      <c r="AJ265" s="79" t="s">
        <v>45</v>
      </c>
      <c r="AK265" s="79">
        <v>0</v>
      </c>
      <c r="BB265" s="340" t="s">
        <v>66</v>
      </c>
      <c r="BM265" s="75">
        <f t="shared" si="48"/>
        <v>0</v>
      </c>
      <c r="BN265" s="75">
        <f t="shared" si="49"/>
        <v>0</v>
      </c>
      <c r="BO265" s="75">
        <f t="shared" si="50"/>
        <v>0</v>
      </c>
      <c r="BP265" s="75">
        <f t="shared" si="51"/>
        <v>0</v>
      </c>
    </row>
    <row r="266" spans="1:68" ht="27" customHeight="1" x14ac:dyDescent="0.25">
      <c r="A266" s="60" t="s">
        <v>462</v>
      </c>
      <c r="B266" s="60" t="s">
        <v>463</v>
      </c>
      <c r="C266" s="34">
        <v>4301011852</v>
      </c>
      <c r="D266" s="681">
        <v>4680115885844</v>
      </c>
      <c r="E266" s="681"/>
      <c r="F266" s="59">
        <v>0.4</v>
      </c>
      <c r="G266" s="35">
        <v>10</v>
      </c>
      <c r="H266" s="59">
        <v>4</v>
      </c>
      <c r="I266" s="59">
        <v>4.21</v>
      </c>
      <c r="J266" s="35">
        <v>132</v>
      </c>
      <c r="K266" s="35" t="s">
        <v>118</v>
      </c>
      <c r="L266" s="35" t="s">
        <v>45</v>
      </c>
      <c r="M266" s="36" t="s">
        <v>113</v>
      </c>
      <c r="N266" s="36"/>
      <c r="O266" s="35">
        <v>55</v>
      </c>
      <c r="P266" s="8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83"/>
      <c r="R266" s="683"/>
      <c r="S266" s="683"/>
      <c r="T266" s="684"/>
      <c r="U266" s="37" t="s">
        <v>45</v>
      </c>
      <c r="V266" s="37" t="s">
        <v>45</v>
      </c>
      <c r="W266" s="38" t="s">
        <v>0</v>
      </c>
      <c r="X266" s="56">
        <v>0</v>
      </c>
      <c r="Y266" s="53">
        <f t="shared" si="47"/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41" t="s">
        <v>464</v>
      </c>
      <c r="AG266" s="75"/>
      <c r="AJ266" s="79" t="s">
        <v>45</v>
      </c>
      <c r="AK266" s="79">
        <v>0</v>
      </c>
      <c r="BB266" s="342" t="s">
        <v>66</v>
      </c>
      <c r="BM266" s="75">
        <f t="shared" si="48"/>
        <v>0</v>
      </c>
      <c r="BN266" s="75">
        <f t="shared" si="49"/>
        <v>0</v>
      </c>
      <c r="BO266" s="75">
        <f t="shared" si="50"/>
        <v>0</v>
      </c>
      <c r="BP266" s="75">
        <f t="shared" si="51"/>
        <v>0</v>
      </c>
    </row>
    <row r="267" spans="1:68" ht="27" customHeight="1" x14ac:dyDescent="0.25">
      <c r="A267" s="60" t="s">
        <v>465</v>
      </c>
      <c r="B267" s="60" t="s">
        <v>466</v>
      </c>
      <c r="C267" s="34">
        <v>4301011851</v>
      </c>
      <c r="D267" s="681">
        <v>4680115885820</v>
      </c>
      <c r="E267" s="681"/>
      <c r="F267" s="59">
        <v>0.4</v>
      </c>
      <c r="G267" s="35">
        <v>10</v>
      </c>
      <c r="H267" s="59">
        <v>4</v>
      </c>
      <c r="I267" s="59">
        <v>4.21</v>
      </c>
      <c r="J267" s="35">
        <v>132</v>
      </c>
      <c r="K267" s="35" t="s">
        <v>118</v>
      </c>
      <c r="L267" s="35" t="s">
        <v>45</v>
      </c>
      <c r="M267" s="36" t="s">
        <v>113</v>
      </c>
      <c r="N267" s="36"/>
      <c r="O267" s="35">
        <v>55</v>
      </c>
      <c r="P267" s="8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83"/>
      <c r="R267" s="683"/>
      <c r="S267" s="683"/>
      <c r="T267" s="684"/>
      <c r="U267" s="37" t="s">
        <v>45</v>
      </c>
      <c r="V267" s="37" t="s">
        <v>45</v>
      </c>
      <c r="W267" s="38" t="s">
        <v>0</v>
      </c>
      <c r="X267" s="56">
        <v>0</v>
      </c>
      <c r="Y267" s="53">
        <f t="shared" si="47"/>
        <v>0</v>
      </c>
      <c r="Z267" s="39" t="str">
        <f>IFERROR(IF(Y267=0,"",ROUNDUP(Y267/H267,0)*0.00902),"")</f>
        <v/>
      </c>
      <c r="AA267" s="65" t="s">
        <v>45</v>
      </c>
      <c r="AB267" s="66" t="s">
        <v>45</v>
      </c>
      <c r="AC267" s="343" t="s">
        <v>467</v>
      </c>
      <c r="AG267" s="75"/>
      <c r="AJ267" s="79" t="s">
        <v>45</v>
      </c>
      <c r="AK267" s="79">
        <v>0</v>
      </c>
      <c r="BB267" s="344" t="s">
        <v>66</v>
      </c>
      <c r="BM267" s="75">
        <f t="shared" si="48"/>
        <v>0</v>
      </c>
      <c r="BN267" s="75">
        <f t="shared" si="49"/>
        <v>0</v>
      </c>
      <c r="BO267" s="75">
        <f t="shared" si="50"/>
        <v>0</v>
      </c>
      <c r="BP267" s="75">
        <f t="shared" si="51"/>
        <v>0</v>
      </c>
    </row>
    <row r="268" spans="1:68" x14ac:dyDescent="0.2">
      <c r="A268" s="675"/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88"/>
      <c r="P268" s="685" t="s">
        <v>40</v>
      </c>
      <c r="Q268" s="686"/>
      <c r="R268" s="686"/>
      <c r="S268" s="686"/>
      <c r="T268" s="686"/>
      <c r="U268" s="686"/>
      <c r="V268" s="687"/>
      <c r="W268" s="40" t="s">
        <v>39</v>
      </c>
      <c r="X268" s="41">
        <f>IFERROR(X262/H262,"0")+IFERROR(X263/H263,"0")+IFERROR(X264/H264,"0")+IFERROR(X265/H265,"0")+IFERROR(X266/H266,"0")+IFERROR(X267/H267,"0")</f>
        <v>0</v>
      </c>
      <c r="Y268" s="41">
        <f>IFERROR(Y262/H262,"0")+IFERROR(Y263/H263,"0")+IFERROR(Y264/H264,"0")+IFERROR(Y265/H265,"0")+IFERROR(Y266/H266,"0")+IFERROR(Y267/H267,"0")</f>
        <v>0</v>
      </c>
      <c r="Z268" s="41">
        <f>IFERROR(IF(Z262="",0,Z262),"0")+IFERROR(IF(Z263="",0,Z263),"0")+IFERROR(IF(Z264="",0,Z264),"0")+IFERROR(IF(Z265="",0,Z265),"0")+IFERROR(IF(Z266="",0,Z266),"0")+IFERROR(IF(Z267="",0,Z267),"0")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675"/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88"/>
      <c r="P269" s="685" t="s">
        <v>40</v>
      </c>
      <c r="Q269" s="686"/>
      <c r="R269" s="686"/>
      <c r="S269" s="686"/>
      <c r="T269" s="686"/>
      <c r="U269" s="686"/>
      <c r="V269" s="687"/>
      <c r="W269" s="40" t="s">
        <v>0</v>
      </c>
      <c r="X269" s="41">
        <f>IFERROR(SUM(X262:X267),"0")</f>
        <v>0</v>
      </c>
      <c r="Y269" s="41">
        <f>IFERROR(SUM(Y262:Y267),"0")</f>
        <v>0</v>
      </c>
      <c r="Z269" s="40"/>
      <c r="AA269" s="64"/>
      <c r="AB269" s="64"/>
      <c r="AC269" s="64"/>
    </row>
    <row r="270" spans="1:68" ht="16.5" customHeight="1" x14ac:dyDescent="0.25">
      <c r="A270" s="695" t="s">
        <v>468</v>
      </c>
      <c r="B270" s="695"/>
      <c r="C270" s="695"/>
      <c r="D270" s="695"/>
      <c r="E270" s="695"/>
      <c r="F270" s="695"/>
      <c r="G270" s="695"/>
      <c r="H270" s="695"/>
      <c r="I270" s="695"/>
      <c r="J270" s="695"/>
      <c r="K270" s="695"/>
      <c r="L270" s="695"/>
      <c r="M270" s="695"/>
      <c r="N270" s="695"/>
      <c r="O270" s="695"/>
      <c r="P270" s="695"/>
      <c r="Q270" s="695"/>
      <c r="R270" s="695"/>
      <c r="S270" s="695"/>
      <c r="T270" s="695"/>
      <c r="U270" s="695"/>
      <c r="V270" s="695"/>
      <c r="W270" s="695"/>
      <c r="X270" s="695"/>
      <c r="Y270" s="695"/>
      <c r="Z270" s="695"/>
      <c r="AA270" s="62"/>
      <c r="AB270" s="62"/>
      <c r="AC270" s="62"/>
    </row>
    <row r="271" spans="1:68" ht="14.25" customHeight="1" x14ac:dyDescent="0.25">
      <c r="A271" s="680" t="s">
        <v>109</v>
      </c>
      <c r="B271" s="680"/>
      <c r="C271" s="680"/>
      <c r="D271" s="680"/>
      <c r="E271" s="680"/>
      <c r="F271" s="680"/>
      <c r="G271" s="680"/>
      <c r="H271" s="680"/>
      <c r="I271" s="680"/>
      <c r="J271" s="680"/>
      <c r="K271" s="680"/>
      <c r="L271" s="680"/>
      <c r="M271" s="680"/>
      <c r="N271" s="680"/>
      <c r="O271" s="680"/>
      <c r="P271" s="680"/>
      <c r="Q271" s="680"/>
      <c r="R271" s="680"/>
      <c r="S271" s="680"/>
      <c r="T271" s="680"/>
      <c r="U271" s="680"/>
      <c r="V271" s="680"/>
      <c r="W271" s="680"/>
      <c r="X271" s="680"/>
      <c r="Y271" s="680"/>
      <c r="Z271" s="680"/>
      <c r="AA271" s="63"/>
      <c r="AB271" s="63"/>
      <c r="AC271" s="63"/>
    </row>
    <row r="272" spans="1:68" ht="37.5" customHeight="1" x14ac:dyDescent="0.25">
      <c r="A272" s="60" t="s">
        <v>469</v>
      </c>
      <c r="B272" s="60" t="s">
        <v>470</v>
      </c>
      <c r="C272" s="34">
        <v>4301011876</v>
      </c>
      <c r="D272" s="681">
        <v>4680115885707</v>
      </c>
      <c r="E272" s="681"/>
      <c r="F272" s="59">
        <v>0.9</v>
      </c>
      <c r="G272" s="35">
        <v>10</v>
      </c>
      <c r="H272" s="59">
        <v>9</v>
      </c>
      <c r="I272" s="59">
        <v>9.4350000000000005</v>
      </c>
      <c r="J272" s="35">
        <v>64</v>
      </c>
      <c r="K272" s="35" t="s">
        <v>114</v>
      </c>
      <c r="L272" s="35" t="s">
        <v>45</v>
      </c>
      <c r="M272" s="36" t="s">
        <v>113</v>
      </c>
      <c r="N272" s="36"/>
      <c r="O272" s="35">
        <v>31</v>
      </c>
      <c r="P272" s="85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83"/>
      <c r="R272" s="683"/>
      <c r="S272" s="683"/>
      <c r="T272" s="684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5" t="s">
        <v>471</v>
      </c>
      <c r="AG272" s="75"/>
      <c r="AJ272" s="79" t="s">
        <v>45</v>
      </c>
      <c r="AK272" s="79">
        <v>0</v>
      </c>
      <c r="BB272" s="346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75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88"/>
      <c r="P273" s="685" t="s">
        <v>40</v>
      </c>
      <c r="Q273" s="686"/>
      <c r="R273" s="686"/>
      <c r="S273" s="686"/>
      <c r="T273" s="686"/>
      <c r="U273" s="686"/>
      <c r="V273" s="687"/>
      <c r="W273" s="40" t="s">
        <v>39</v>
      </c>
      <c r="X273" s="41">
        <f>IFERROR(X272/H272,"0")</f>
        <v>0</v>
      </c>
      <c r="Y273" s="41">
        <f>IFERROR(Y272/H272,"0")</f>
        <v>0</v>
      </c>
      <c r="Z273" s="41">
        <f>IFERROR(IF(Z272="",0,Z272),"0")</f>
        <v>0</v>
      </c>
      <c r="AA273" s="64"/>
      <c r="AB273" s="64"/>
      <c r="AC273" s="64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88"/>
      <c r="P274" s="685" t="s">
        <v>40</v>
      </c>
      <c r="Q274" s="686"/>
      <c r="R274" s="686"/>
      <c r="S274" s="686"/>
      <c r="T274" s="686"/>
      <c r="U274" s="686"/>
      <c r="V274" s="687"/>
      <c r="W274" s="40" t="s">
        <v>0</v>
      </c>
      <c r="X274" s="41">
        <f>IFERROR(SUM(X272:X272),"0")</f>
        <v>0</v>
      </c>
      <c r="Y274" s="41">
        <f>IFERROR(SUM(Y272:Y272),"0")</f>
        <v>0</v>
      </c>
      <c r="Z274" s="40"/>
      <c r="AA274" s="64"/>
      <c r="AB274" s="64"/>
      <c r="AC274" s="64"/>
    </row>
    <row r="275" spans="1:68" ht="16.5" customHeight="1" x14ac:dyDescent="0.25">
      <c r="A275" s="695" t="s">
        <v>472</v>
      </c>
      <c r="B275" s="695"/>
      <c r="C275" s="695"/>
      <c r="D275" s="695"/>
      <c r="E275" s="695"/>
      <c r="F275" s="695"/>
      <c r="G275" s="695"/>
      <c r="H275" s="695"/>
      <c r="I275" s="695"/>
      <c r="J275" s="695"/>
      <c r="K275" s="695"/>
      <c r="L275" s="695"/>
      <c r="M275" s="695"/>
      <c r="N275" s="695"/>
      <c r="O275" s="695"/>
      <c r="P275" s="695"/>
      <c r="Q275" s="695"/>
      <c r="R275" s="695"/>
      <c r="S275" s="695"/>
      <c r="T275" s="695"/>
      <c r="U275" s="695"/>
      <c r="V275" s="695"/>
      <c r="W275" s="695"/>
      <c r="X275" s="695"/>
      <c r="Y275" s="695"/>
      <c r="Z275" s="695"/>
      <c r="AA275" s="62"/>
      <c r="AB275" s="62"/>
      <c r="AC275" s="62"/>
    </row>
    <row r="276" spans="1:68" ht="14.25" customHeight="1" x14ac:dyDescent="0.25">
      <c r="A276" s="680" t="s">
        <v>109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3"/>
      <c r="AB276" s="63"/>
      <c r="AC276" s="63"/>
    </row>
    <row r="277" spans="1:68" ht="27" customHeight="1" x14ac:dyDescent="0.25">
      <c r="A277" s="60" t="s">
        <v>473</v>
      </c>
      <c r="B277" s="60" t="s">
        <v>474</v>
      </c>
      <c r="C277" s="34">
        <v>4301011223</v>
      </c>
      <c r="D277" s="681">
        <v>4607091383423</v>
      </c>
      <c r="E277" s="681"/>
      <c r="F277" s="59">
        <v>1.35</v>
      </c>
      <c r="G277" s="35">
        <v>8</v>
      </c>
      <c r="H277" s="59">
        <v>10.8</v>
      </c>
      <c r="I277" s="59">
        <v>11.331</v>
      </c>
      <c r="J277" s="35">
        <v>64</v>
      </c>
      <c r="K277" s="35" t="s">
        <v>114</v>
      </c>
      <c r="L277" s="35" t="s">
        <v>45</v>
      </c>
      <c r="M277" s="36" t="s">
        <v>117</v>
      </c>
      <c r="N277" s="36"/>
      <c r="O277" s="35">
        <v>35</v>
      </c>
      <c r="P277" s="8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83"/>
      <c r="R277" s="683"/>
      <c r="S277" s="683"/>
      <c r="T277" s="684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IFERROR(IF(Y277=0,"",ROUNDUP(Y277/H277,0)*0.01898),"")</f>
        <v/>
      </c>
      <c r="AA277" s="65" t="s">
        <v>45</v>
      </c>
      <c r="AB277" s="66" t="s">
        <v>45</v>
      </c>
      <c r="AC277" s="347" t="s">
        <v>112</v>
      </c>
      <c r="AG277" s="75"/>
      <c r="AJ277" s="79" t="s">
        <v>45</v>
      </c>
      <c r="AK277" s="79">
        <v>0</v>
      </c>
      <c r="BB277" s="348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475</v>
      </c>
      <c r="B278" s="60" t="s">
        <v>476</v>
      </c>
      <c r="C278" s="34">
        <v>4301012099</v>
      </c>
      <c r="D278" s="681">
        <v>4680115885691</v>
      </c>
      <c r="E278" s="681"/>
      <c r="F278" s="59">
        <v>1.35</v>
      </c>
      <c r="G278" s="35">
        <v>8</v>
      </c>
      <c r="H278" s="59">
        <v>10.8</v>
      </c>
      <c r="I278" s="59">
        <v>11.234999999999999</v>
      </c>
      <c r="J278" s="35">
        <v>64</v>
      </c>
      <c r="K278" s="35" t="s">
        <v>114</v>
      </c>
      <c r="L278" s="35" t="s">
        <v>45</v>
      </c>
      <c r="M278" s="36" t="s">
        <v>117</v>
      </c>
      <c r="N278" s="36"/>
      <c r="O278" s="35">
        <v>30</v>
      </c>
      <c r="P278" s="84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83"/>
      <c r="R278" s="683"/>
      <c r="S278" s="683"/>
      <c r="T278" s="684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IFERROR(IF(Y278=0,"",ROUNDUP(Y278/H278,0)*0.01898),"")</f>
        <v/>
      </c>
      <c r="AA278" s="65" t="s">
        <v>45</v>
      </c>
      <c r="AB278" s="66" t="s">
        <v>45</v>
      </c>
      <c r="AC278" s="349" t="s">
        <v>477</v>
      </c>
      <c r="AG278" s="75"/>
      <c r="AJ278" s="79" t="s">
        <v>45</v>
      </c>
      <c r="AK278" s="79">
        <v>0</v>
      </c>
      <c r="BB278" s="350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478</v>
      </c>
      <c r="B279" s="60" t="s">
        <v>479</v>
      </c>
      <c r="C279" s="34">
        <v>4301012098</v>
      </c>
      <c r="D279" s="681">
        <v>4680115885660</v>
      </c>
      <c r="E279" s="681"/>
      <c r="F279" s="59">
        <v>1.35</v>
      </c>
      <c r="G279" s="35">
        <v>8</v>
      </c>
      <c r="H279" s="59">
        <v>10.8</v>
      </c>
      <c r="I279" s="59">
        <v>11.234999999999999</v>
      </c>
      <c r="J279" s="35">
        <v>64</v>
      </c>
      <c r="K279" s="35" t="s">
        <v>114</v>
      </c>
      <c r="L279" s="35" t="s">
        <v>45</v>
      </c>
      <c r="M279" s="36" t="s">
        <v>117</v>
      </c>
      <c r="N279" s="36"/>
      <c r="O279" s="35">
        <v>35</v>
      </c>
      <c r="P279" s="8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83"/>
      <c r="R279" s="683"/>
      <c r="S279" s="683"/>
      <c r="T279" s="684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IFERROR(IF(Y279=0,"",ROUNDUP(Y279/H279,0)*0.01898),"")</f>
        <v/>
      </c>
      <c r="AA279" s="65" t="s">
        <v>45</v>
      </c>
      <c r="AB279" s="66" t="s">
        <v>45</v>
      </c>
      <c r="AC279" s="351" t="s">
        <v>480</v>
      </c>
      <c r="AG279" s="75"/>
      <c r="AJ279" s="79" t="s">
        <v>45</v>
      </c>
      <c r="AK279" s="79">
        <v>0</v>
      </c>
      <c r="BB279" s="352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481</v>
      </c>
      <c r="B280" s="60" t="s">
        <v>482</v>
      </c>
      <c r="C280" s="34">
        <v>4301012176</v>
      </c>
      <c r="D280" s="681">
        <v>4680115886773</v>
      </c>
      <c r="E280" s="681"/>
      <c r="F280" s="59">
        <v>0.9</v>
      </c>
      <c r="G280" s="35">
        <v>10</v>
      </c>
      <c r="H280" s="59">
        <v>9</v>
      </c>
      <c r="I280" s="59">
        <v>9.4350000000000005</v>
      </c>
      <c r="J280" s="35">
        <v>64</v>
      </c>
      <c r="K280" s="35" t="s">
        <v>114</v>
      </c>
      <c r="L280" s="35" t="s">
        <v>45</v>
      </c>
      <c r="M280" s="36" t="s">
        <v>113</v>
      </c>
      <c r="N280" s="36"/>
      <c r="O280" s="35">
        <v>31</v>
      </c>
      <c r="P280" s="850" t="s">
        <v>483</v>
      </c>
      <c r="Q280" s="683"/>
      <c r="R280" s="683"/>
      <c r="S280" s="683"/>
      <c r="T280" s="684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IFERROR(IF(Y280=0,"",ROUNDUP(Y280/H280,0)*0.01898),"")</f>
        <v/>
      </c>
      <c r="AA280" s="65" t="s">
        <v>45</v>
      </c>
      <c r="AB280" s="66" t="s">
        <v>45</v>
      </c>
      <c r="AC280" s="353" t="s">
        <v>484</v>
      </c>
      <c r="AG280" s="75"/>
      <c r="AJ280" s="79" t="s">
        <v>45</v>
      </c>
      <c r="AK280" s="79">
        <v>0</v>
      </c>
      <c r="BB280" s="354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675"/>
      <c r="B281" s="675"/>
      <c r="C281" s="675"/>
      <c r="D281" s="675"/>
      <c r="E281" s="675"/>
      <c r="F281" s="675"/>
      <c r="G281" s="675"/>
      <c r="H281" s="675"/>
      <c r="I281" s="675"/>
      <c r="J281" s="675"/>
      <c r="K281" s="675"/>
      <c r="L281" s="675"/>
      <c r="M281" s="675"/>
      <c r="N281" s="675"/>
      <c r="O281" s="688"/>
      <c r="P281" s="685" t="s">
        <v>40</v>
      </c>
      <c r="Q281" s="686"/>
      <c r="R281" s="686"/>
      <c r="S281" s="686"/>
      <c r="T281" s="686"/>
      <c r="U281" s="686"/>
      <c r="V281" s="687"/>
      <c r="W281" s="40" t="s">
        <v>39</v>
      </c>
      <c r="X281" s="41">
        <f>IFERROR(X277/H277,"0")+IFERROR(X278/H278,"0")+IFERROR(X279/H279,"0")+IFERROR(X280/H280,"0")</f>
        <v>0</v>
      </c>
      <c r="Y281" s="41">
        <f>IFERROR(Y277/H277,"0")+IFERROR(Y278/H278,"0")+IFERROR(Y279/H279,"0")+IFERROR(Y280/H280,"0")</f>
        <v>0</v>
      </c>
      <c r="Z281" s="41">
        <f>IFERROR(IF(Z277="",0,Z277),"0")+IFERROR(IF(Z278="",0,Z278),"0")+IFERROR(IF(Z279="",0,Z279),"0")+IFERROR(IF(Z280="",0,Z280),"0")</f>
        <v>0</v>
      </c>
      <c r="AA281" s="64"/>
      <c r="AB281" s="64"/>
      <c r="AC281" s="64"/>
    </row>
    <row r="282" spans="1:68" x14ac:dyDescent="0.2">
      <c r="A282" s="675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88"/>
      <c r="P282" s="685" t="s">
        <v>40</v>
      </c>
      <c r="Q282" s="686"/>
      <c r="R282" s="686"/>
      <c r="S282" s="686"/>
      <c r="T282" s="686"/>
      <c r="U282" s="686"/>
      <c r="V282" s="687"/>
      <c r="W282" s="40" t="s">
        <v>0</v>
      </c>
      <c r="X282" s="41">
        <f>IFERROR(SUM(X277:X280),"0")</f>
        <v>0</v>
      </c>
      <c r="Y282" s="41">
        <f>IFERROR(SUM(Y277:Y280),"0")</f>
        <v>0</v>
      </c>
      <c r="Z282" s="40"/>
      <c r="AA282" s="64"/>
      <c r="AB282" s="64"/>
      <c r="AC282" s="64"/>
    </row>
    <row r="283" spans="1:68" ht="16.5" customHeight="1" x14ac:dyDescent="0.25">
      <c r="A283" s="695" t="s">
        <v>485</v>
      </c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5"/>
      <c r="P283" s="695"/>
      <c r="Q283" s="695"/>
      <c r="R283" s="695"/>
      <c r="S283" s="695"/>
      <c r="T283" s="695"/>
      <c r="U283" s="695"/>
      <c r="V283" s="695"/>
      <c r="W283" s="695"/>
      <c r="X283" s="695"/>
      <c r="Y283" s="695"/>
      <c r="Z283" s="695"/>
      <c r="AA283" s="62"/>
      <c r="AB283" s="62"/>
      <c r="AC283" s="62"/>
    </row>
    <row r="284" spans="1:68" ht="14.25" customHeight="1" x14ac:dyDescent="0.25">
      <c r="A284" s="680" t="s">
        <v>78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3"/>
      <c r="AB284" s="63"/>
      <c r="AC284" s="63"/>
    </row>
    <row r="285" spans="1:68" ht="37.5" customHeight="1" x14ac:dyDescent="0.25">
      <c r="A285" s="60" t="s">
        <v>486</v>
      </c>
      <c r="B285" s="60" t="s">
        <v>487</v>
      </c>
      <c r="C285" s="34">
        <v>4301051940</v>
      </c>
      <c r="D285" s="681">
        <v>4680115881037</v>
      </c>
      <c r="E285" s="681"/>
      <c r="F285" s="59">
        <v>0.84</v>
      </c>
      <c r="G285" s="35">
        <v>4</v>
      </c>
      <c r="H285" s="59">
        <v>3.36</v>
      </c>
      <c r="I285" s="59">
        <v>3.6179999999999999</v>
      </c>
      <c r="J285" s="35">
        <v>132</v>
      </c>
      <c r="K285" s="35" t="s">
        <v>118</v>
      </c>
      <c r="L285" s="35" t="s">
        <v>45</v>
      </c>
      <c r="M285" s="36" t="s">
        <v>146</v>
      </c>
      <c r="N285" s="36"/>
      <c r="O285" s="35">
        <v>40</v>
      </c>
      <c r="P285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83"/>
      <c r="R285" s="683"/>
      <c r="S285" s="683"/>
      <c r="T285" s="684"/>
      <c r="U285" s="37" t="s">
        <v>45</v>
      </c>
      <c r="V285" s="37" t="s">
        <v>45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IFERROR(IF(Y285=0,"",ROUNDUP(Y285/H285,0)*0.00902),"")</f>
        <v/>
      </c>
      <c r="AA285" s="65" t="s">
        <v>45</v>
      </c>
      <c r="AB285" s="66" t="s">
        <v>45</v>
      </c>
      <c r="AC285" s="355" t="s">
        <v>488</v>
      </c>
      <c r="AG285" s="75"/>
      <c r="AJ285" s="79" t="s">
        <v>45</v>
      </c>
      <c r="AK285" s="79">
        <v>0</v>
      </c>
      <c r="BB285" s="356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489</v>
      </c>
      <c r="B286" s="60" t="s">
        <v>490</v>
      </c>
      <c r="C286" s="34">
        <v>4301051893</v>
      </c>
      <c r="D286" s="681">
        <v>4680115886186</v>
      </c>
      <c r="E286" s="681"/>
      <c r="F286" s="59">
        <v>0.3</v>
      </c>
      <c r="G286" s="35">
        <v>6</v>
      </c>
      <c r="H286" s="59">
        <v>1.8</v>
      </c>
      <c r="I286" s="59">
        <v>1.98</v>
      </c>
      <c r="J286" s="35">
        <v>182</v>
      </c>
      <c r="K286" s="35" t="s">
        <v>83</v>
      </c>
      <c r="L286" s="35" t="s">
        <v>45</v>
      </c>
      <c r="M286" s="36" t="s">
        <v>117</v>
      </c>
      <c r="N286" s="36"/>
      <c r="O286" s="35">
        <v>45</v>
      </c>
      <c r="P286" s="8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83"/>
      <c r="R286" s="683"/>
      <c r="S286" s="683"/>
      <c r="T286" s="684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45</v>
      </c>
      <c r="AB286" s="66" t="s">
        <v>45</v>
      </c>
      <c r="AC286" s="357" t="s">
        <v>491</v>
      </c>
      <c r="AG286" s="75"/>
      <c r="AJ286" s="79" t="s">
        <v>45</v>
      </c>
      <c r="AK286" s="79">
        <v>0</v>
      </c>
      <c r="BB286" s="358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492</v>
      </c>
      <c r="B287" s="60" t="s">
        <v>493</v>
      </c>
      <c r="C287" s="34">
        <v>4301051795</v>
      </c>
      <c r="D287" s="681">
        <v>4680115881228</v>
      </c>
      <c r="E287" s="681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83</v>
      </c>
      <c r="L287" s="35" t="s">
        <v>45</v>
      </c>
      <c r="M287" s="36" t="s">
        <v>146</v>
      </c>
      <c r="N287" s="36"/>
      <c r="O287" s="35">
        <v>40</v>
      </c>
      <c r="P287" s="8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83"/>
      <c r="R287" s="683"/>
      <c r="S287" s="683"/>
      <c r="T287" s="684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9" t="s">
        <v>488</v>
      </c>
      <c r="AG287" s="75"/>
      <c r="AJ287" s="79" t="s">
        <v>45</v>
      </c>
      <c r="AK287" s="79">
        <v>0</v>
      </c>
      <c r="BB287" s="360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37.5" customHeight="1" x14ac:dyDescent="0.25">
      <c r="A288" s="60" t="s">
        <v>494</v>
      </c>
      <c r="B288" s="60" t="s">
        <v>495</v>
      </c>
      <c r="C288" s="34">
        <v>4301051388</v>
      </c>
      <c r="D288" s="681">
        <v>4680115881211</v>
      </c>
      <c r="E288" s="681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83</v>
      </c>
      <c r="L288" s="35" t="s">
        <v>119</v>
      </c>
      <c r="M288" s="36" t="s">
        <v>117</v>
      </c>
      <c r="N288" s="36"/>
      <c r="O288" s="35">
        <v>45</v>
      </c>
      <c r="P288" s="84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83"/>
      <c r="R288" s="683"/>
      <c r="S288" s="683"/>
      <c r="T288" s="684"/>
      <c r="U288" s="37" t="s">
        <v>45</v>
      </c>
      <c r="V288" s="37" t="s">
        <v>45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IFERROR(IF(Y288=0,"",ROUNDUP(Y288/H288,0)*0.00651),"")</f>
        <v/>
      </c>
      <c r="AA288" s="65" t="s">
        <v>45</v>
      </c>
      <c r="AB288" s="66" t="s">
        <v>45</v>
      </c>
      <c r="AC288" s="361" t="s">
        <v>496</v>
      </c>
      <c r="AG288" s="75"/>
      <c r="AJ288" s="79" t="s">
        <v>120</v>
      </c>
      <c r="AK288" s="79">
        <v>33.6</v>
      </c>
      <c r="BB288" s="362" t="s">
        <v>66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t="27" customHeight="1" x14ac:dyDescent="0.25">
      <c r="A289" s="60" t="s">
        <v>497</v>
      </c>
      <c r="B289" s="60" t="s">
        <v>498</v>
      </c>
      <c r="C289" s="34">
        <v>4301051386</v>
      </c>
      <c r="D289" s="681">
        <v>4680115881020</v>
      </c>
      <c r="E289" s="681"/>
      <c r="F289" s="59">
        <v>0.84</v>
      </c>
      <c r="G289" s="35">
        <v>4</v>
      </c>
      <c r="H289" s="59">
        <v>3.36</v>
      </c>
      <c r="I289" s="59">
        <v>3.57</v>
      </c>
      <c r="J289" s="35">
        <v>132</v>
      </c>
      <c r="K289" s="35" t="s">
        <v>118</v>
      </c>
      <c r="L289" s="35" t="s">
        <v>45</v>
      </c>
      <c r="M289" s="36" t="s">
        <v>117</v>
      </c>
      <c r="N289" s="36"/>
      <c r="O289" s="35">
        <v>45</v>
      </c>
      <c r="P289" s="84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83"/>
      <c r="R289" s="683"/>
      <c r="S289" s="683"/>
      <c r="T289" s="684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IFERROR(IF(Y289=0,"",ROUNDUP(Y289/H289,0)*0.00902),"")</f>
        <v/>
      </c>
      <c r="AA289" s="65" t="s">
        <v>45</v>
      </c>
      <c r="AB289" s="66" t="s">
        <v>45</v>
      </c>
      <c r="AC289" s="363" t="s">
        <v>491</v>
      </c>
      <c r="AG289" s="75"/>
      <c r="AJ289" s="79" t="s">
        <v>45</v>
      </c>
      <c r="AK289" s="79">
        <v>0</v>
      </c>
      <c r="BB289" s="36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x14ac:dyDescent="0.2">
      <c r="A290" s="675"/>
      <c r="B290" s="675"/>
      <c r="C290" s="675"/>
      <c r="D290" s="675"/>
      <c r="E290" s="675"/>
      <c r="F290" s="675"/>
      <c r="G290" s="675"/>
      <c r="H290" s="675"/>
      <c r="I290" s="675"/>
      <c r="J290" s="675"/>
      <c r="K290" s="675"/>
      <c r="L290" s="675"/>
      <c r="M290" s="675"/>
      <c r="N290" s="675"/>
      <c r="O290" s="688"/>
      <c r="P290" s="685" t="s">
        <v>40</v>
      </c>
      <c r="Q290" s="686"/>
      <c r="R290" s="686"/>
      <c r="S290" s="686"/>
      <c r="T290" s="686"/>
      <c r="U290" s="686"/>
      <c r="V290" s="687"/>
      <c r="W290" s="40" t="s">
        <v>39</v>
      </c>
      <c r="X290" s="41">
        <f>IFERROR(X285/H285,"0")+IFERROR(X286/H286,"0")+IFERROR(X287/H287,"0")+IFERROR(X288/H288,"0")+IFERROR(X289/H289,"0")</f>
        <v>0</v>
      </c>
      <c r="Y290" s="41">
        <f>IFERROR(Y285/H285,"0")+IFERROR(Y286/H286,"0")+IFERROR(Y287/H287,"0")+IFERROR(Y288/H288,"0")+IFERROR(Y289/H289,"0")</f>
        <v>0</v>
      </c>
      <c r="Z290" s="41">
        <f>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75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88"/>
      <c r="P291" s="685" t="s">
        <v>40</v>
      </c>
      <c r="Q291" s="686"/>
      <c r="R291" s="686"/>
      <c r="S291" s="686"/>
      <c r="T291" s="686"/>
      <c r="U291" s="686"/>
      <c r="V291" s="687"/>
      <c r="W291" s="40" t="s">
        <v>0</v>
      </c>
      <c r="X291" s="41">
        <f>IFERROR(SUM(X285:X289),"0")</f>
        <v>0</v>
      </c>
      <c r="Y291" s="41">
        <f>IFERROR(SUM(Y285:Y289),"0")</f>
        <v>0</v>
      </c>
      <c r="Z291" s="40"/>
      <c r="AA291" s="64"/>
      <c r="AB291" s="64"/>
      <c r="AC291" s="64"/>
    </row>
    <row r="292" spans="1:68" ht="16.5" customHeight="1" x14ac:dyDescent="0.25">
      <c r="A292" s="695" t="s">
        <v>499</v>
      </c>
      <c r="B292" s="695"/>
      <c r="C292" s="695"/>
      <c r="D292" s="695"/>
      <c r="E292" s="695"/>
      <c r="F292" s="695"/>
      <c r="G292" s="695"/>
      <c r="H292" s="695"/>
      <c r="I292" s="695"/>
      <c r="J292" s="695"/>
      <c r="K292" s="695"/>
      <c r="L292" s="695"/>
      <c r="M292" s="695"/>
      <c r="N292" s="695"/>
      <c r="O292" s="695"/>
      <c r="P292" s="695"/>
      <c r="Q292" s="695"/>
      <c r="R292" s="695"/>
      <c r="S292" s="695"/>
      <c r="T292" s="695"/>
      <c r="U292" s="695"/>
      <c r="V292" s="695"/>
      <c r="W292" s="695"/>
      <c r="X292" s="695"/>
      <c r="Y292" s="695"/>
      <c r="Z292" s="695"/>
      <c r="AA292" s="62"/>
      <c r="AB292" s="62"/>
      <c r="AC292" s="62"/>
    </row>
    <row r="293" spans="1:68" ht="14.25" customHeight="1" x14ac:dyDescent="0.25">
      <c r="A293" s="680" t="s">
        <v>109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3"/>
      <c r="AB293" s="63"/>
      <c r="AC293" s="63"/>
    </row>
    <row r="294" spans="1:68" ht="27" customHeight="1" x14ac:dyDescent="0.25">
      <c r="A294" s="60" t="s">
        <v>500</v>
      </c>
      <c r="B294" s="60" t="s">
        <v>501</v>
      </c>
      <c r="C294" s="34">
        <v>4301011306</v>
      </c>
      <c r="D294" s="681">
        <v>4607091389296</v>
      </c>
      <c r="E294" s="681"/>
      <c r="F294" s="59">
        <v>0.4</v>
      </c>
      <c r="G294" s="35">
        <v>10</v>
      </c>
      <c r="H294" s="59">
        <v>4</v>
      </c>
      <c r="I294" s="59">
        <v>4.21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46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83"/>
      <c r="R294" s="683"/>
      <c r="S294" s="683"/>
      <c r="T294" s="684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65" t="s">
        <v>502</v>
      </c>
      <c r="AG294" s="75"/>
      <c r="AJ294" s="79" t="s">
        <v>45</v>
      </c>
      <c r="AK294" s="79">
        <v>0</v>
      </c>
      <c r="BB294" s="366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75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88"/>
      <c r="P295" s="685" t="s">
        <v>40</v>
      </c>
      <c r="Q295" s="686"/>
      <c r="R295" s="686"/>
      <c r="S295" s="686"/>
      <c r="T295" s="686"/>
      <c r="U295" s="686"/>
      <c r="V295" s="687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88"/>
      <c r="P296" s="685" t="s">
        <v>40</v>
      </c>
      <c r="Q296" s="686"/>
      <c r="R296" s="686"/>
      <c r="S296" s="686"/>
      <c r="T296" s="686"/>
      <c r="U296" s="686"/>
      <c r="V296" s="687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4.25" customHeight="1" x14ac:dyDescent="0.25">
      <c r="A297" s="680" t="s">
        <v>160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3"/>
      <c r="AB297" s="63"/>
      <c r="AC297" s="63"/>
    </row>
    <row r="298" spans="1:68" ht="27" customHeight="1" x14ac:dyDescent="0.25">
      <c r="A298" s="60" t="s">
        <v>503</v>
      </c>
      <c r="B298" s="60" t="s">
        <v>504</v>
      </c>
      <c r="C298" s="34">
        <v>4301031307</v>
      </c>
      <c r="D298" s="681">
        <v>4680115880344</v>
      </c>
      <c r="E298" s="681"/>
      <c r="F298" s="59">
        <v>0.28000000000000003</v>
      </c>
      <c r="G298" s="35">
        <v>6</v>
      </c>
      <c r="H298" s="59">
        <v>1.68</v>
      </c>
      <c r="I298" s="59">
        <v>1.78</v>
      </c>
      <c r="J298" s="35">
        <v>234</v>
      </c>
      <c r="K298" s="35" t="s">
        <v>164</v>
      </c>
      <c r="L298" s="35" t="s">
        <v>45</v>
      </c>
      <c r="M298" s="36" t="s">
        <v>82</v>
      </c>
      <c r="N298" s="36"/>
      <c r="O298" s="35">
        <v>40</v>
      </c>
      <c r="P298" s="8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83"/>
      <c r="R298" s="683"/>
      <c r="S298" s="683"/>
      <c r="T298" s="684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IFERROR(IF(Y298=0,"",ROUNDUP(Y298/H298,0)*0.00502),"")</f>
        <v/>
      </c>
      <c r="AA298" s="65" t="s">
        <v>45</v>
      </c>
      <c r="AB298" s="66" t="s">
        <v>45</v>
      </c>
      <c r="AC298" s="367" t="s">
        <v>505</v>
      </c>
      <c r="AG298" s="75"/>
      <c r="AJ298" s="79" t="s">
        <v>45</v>
      </c>
      <c r="AK298" s="79">
        <v>0</v>
      </c>
      <c r="BB298" s="368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x14ac:dyDescent="0.2">
      <c r="A299" s="675"/>
      <c r="B299" s="675"/>
      <c r="C299" s="675"/>
      <c r="D299" s="675"/>
      <c r="E299" s="675"/>
      <c r="F299" s="675"/>
      <c r="G299" s="675"/>
      <c r="H299" s="675"/>
      <c r="I299" s="675"/>
      <c r="J299" s="675"/>
      <c r="K299" s="675"/>
      <c r="L299" s="675"/>
      <c r="M299" s="675"/>
      <c r="N299" s="675"/>
      <c r="O299" s="688"/>
      <c r="P299" s="685" t="s">
        <v>40</v>
      </c>
      <c r="Q299" s="686"/>
      <c r="R299" s="686"/>
      <c r="S299" s="686"/>
      <c r="T299" s="686"/>
      <c r="U299" s="686"/>
      <c r="V299" s="687"/>
      <c r="W299" s="40" t="s">
        <v>39</v>
      </c>
      <c r="X299" s="41">
        <f>IFERROR(X298/H298,"0")</f>
        <v>0</v>
      </c>
      <c r="Y299" s="41">
        <f>IFERROR(Y298/H298,"0")</f>
        <v>0</v>
      </c>
      <c r="Z299" s="41">
        <f>IFERROR(IF(Z298="",0,Z298),"0")</f>
        <v>0</v>
      </c>
      <c r="AA299" s="64"/>
      <c r="AB299" s="64"/>
      <c r="AC299" s="64"/>
    </row>
    <row r="300" spans="1:68" x14ac:dyDescent="0.2">
      <c r="A300" s="675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88"/>
      <c r="P300" s="685" t="s">
        <v>40</v>
      </c>
      <c r="Q300" s="686"/>
      <c r="R300" s="686"/>
      <c r="S300" s="686"/>
      <c r="T300" s="686"/>
      <c r="U300" s="686"/>
      <c r="V300" s="687"/>
      <c r="W300" s="40" t="s">
        <v>0</v>
      </c>
      <c r="X300" s="41">
        <f>IFERROR(SUM(X298:X298),"0")</f>
        <v>0</v>
      </c>
      <c r="Y300" s="41">
        <f>IFERROR(SUM(Y298:Y298),"0")</f>
        <v>0</v>
      </c>
      <c r="Z300" s="40"/>
      <c r="AA300" s="64"/>
      <c r="AB300" s="64"/>
      <c r="AC300" s="64"/>
    </row>
    <row r="301" spans="1:68" ht="14.25" customHeight="1" x14ac:dyDescent="0.25">
      <c r="A301" s="680" t="s">
        <v>78</v>
      </c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0"/>
      <c r="P301" s="680"/>
      <c r="Q301" s="680"/>
      <c r="R301" s="680"/>
      <c r="S301" s="680"/>
      <c r="T301" s="680"/>
      <c r="U301" s="680"/>
      <c r="V301" s="680"/>
      <c r="W301" s="680"/>
      <c r="X301" s="680"/>
      <c r="Y301" s="680"/>
      <c r="Z301" s="680"/>
      <c r="AA301" s="63"/>
      <c r="AB301" s="63"/>
      <c r="AC301" s="63"/>
    </row>
    <row r="302" spans="1:68" ht="27" customHeight="1" x14ac:dyDescent="0.25">
      <c r="A302" s="60" t="s">
        <v>506</v>
      </c>
      <c r="B302" s="60" t="s">
        <v>507</v>
      </c>
      <c r="C302" s="34">
        <v>4301051782</v>
      </c>
      <c r="D302" s="681">
        <v>4680115884618</v>
      </c>
      <c r="E302" s="681"/>
      <c r="F302" s="59">
        <v>0.6</v>
      </c>
      <c r="G302" s="35">
        <v>6</v>
      </c>
      <c r="H302" s="59">
        <v>3.6</v>
      </c>
      <c r="I302" s="59">
        <v>3.81</v>
      </c>
      <c r="J302" s="35">
        <v>132</v>
      </c>
      <c r="K302" s="35" t="s">
        <v>118</v>
      </c>
      <c r="L302" s="35" t="s">
        <v>45</v>
      </c>
      <c r="M302" s="36" t="s">
        <v>117</v>
      </c>
      <c r="N302" s="36"/>
      <c r="O302" s="35">
        <v>45</v>
      </c>
      <c r="P302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83"/>
      <c r="R302" s="683"/>
      <c r="S302" s="683"/>
      <c r="T302" s="684"/>
      <c r="U302" s="37" t="s">
        <v>45</v>
      </c>
      <c r="V302" s="37" t="s">
        <v>45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IFERROR(IF(Y302=0,"",ROUNDUP(Y302/H302,0)*0.00902),"")</f>
        <v/>
      </c>
      <c r="AA302" s="65" t="s">
        <v>45</v>
      </c>
      <c r="AB302" s="66" t="s">
        <v>45</v>
      </c>
      <c r="AC302" s="369" t="s">
        <v>508</v>
      </c>
      <c r="AG302" s="75"/>
      <c r="AJ302" s="79" t="s">
        <v>45</v>
      </c>
      <c r="AK302" s="79">
        <v>0</v>
      </c>
      <c r="BB302" s="370" t="s">
        <v>66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x14ac:dyDescent="0.2">
      <c r="A303" s="675"/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88"/>
      <c r="P303" s="685" t="s">
        <v>40</v>
      </c>
      <c r="Q303" s="686"/>
      <c r="R303" s="686"/>
      <c r="S303" s="686"/>
      <c r="T303" s="686"/>
      <c r="U303" s="686"/>
      <c r="V303" s="687"/>
      <c r="W303" s="40" t="s">
        <v>39</v>
      </c>
      <c r="X303" s="41">
        <f>IFERROR(X302/H302,"0")</f>
        <v>0</v>
      </c>
      <c r="Y303" s="41">
        <f>IFERROR(Y302/H302,"0")</f>
        <v>0</v>
      </c>
      <c r="Z303" s="41">
        <f>IFERROR(IF(Z302="",0,Z302),"0")</f>
        <v>0</v>
      </c>
      <c r="AA303" s="64"/>
      <c r="AB303" s="64"/>
      <c r="AC303" s="64"/>
    </row>
    <row r="304" spans="1:68" x14ac:dyDescent="0.2">
      <c r="A304" s="675"/>
      <c r="B304" s="675"/>
      <c r="C304" s="675"/>
      <c r="D304" s="675"/>
      <c r="E304" s="675"/>
      <c r="F304" s="675"/>
      <c r="G304" s="675"/>
      <c r="H304" s="675"/>
      <c r="I304" s="675"/>
      <c r="J304" s="675"/>
      <c r="K304" s="675"/>
      <c r="L304" s="675"/>
      <c r="M304" s="675"/>
      <c r="N304" s="675"/>
      <c r="O304" s="688"/>
      <c r="P304" s="685" t="s">
        <v>40</v>
      </c>
      <c r="Q304" s="686"/>
      <c r="R304" s="686"/>
      <c r="S304" s="686"/>
      <c r="T304" s="686"/>
      <c r="U304" s="686"/>
      <c r="V304" s="687"/>
      <c r="W304" s="40" t="s">
        <v>0</v>
      </c>
      <c r="X304" s="41">
        <f>IFERROR(SUM(X302:X302),"0")</f>
        <v>0</v>
      </c>
      <c r="Y304" s="41">
        <f>IFERROR(SUM(Y302:Y302),"0")</f>
        <v>0</v>
      </c>
      <c r="Z304" s="40"/>
      <c r="AA304" s="64"/>
      <c r="AB304" s="64"/>
      <c r="AC304" s="64"/>
    </row>
    <row r="305" spans="1:68" ht="16.5" customHeight="1" x14ac:dyDescent="0.25">
      <c r="A305" s="695" t="s">
        <v>509</v>
      </c>
      <c r="B305" s="695"/>
      <c r="C305" s="695"/>
      <c r="D305" s="695"/>
      <c r="E305" s="695"/>
      <c r="F305" s="695"/>
      <c r="G305" s="695"/>
      <c r="H305" s="695"/>
      <c r="I305" s="695"/>
      <c r="J305" s="695"/>
      <c r="K305" s="695"/>
      <c r="L305" s="695"/>
      <c r="M305" s="695"/>
      <c r="N305" s="695"/>
      <c r="O305" s="695"/>
      <c r="P305" s="695"/>
      <c r="Q305" s="695"/>
      <c r="R305" s="695"/>
      <c r="S305" s="695"/>
      <c r="T305" s="695"/>
      <c r="U305" s="695"/>
      <c r="V305" s="695"/>
      <c r="W305" s="695"/>
      <c r="X305" s="695"/>
      <c r="Y305" s="695"/>
      <c r="Z305" s="695"/>
      <c r="AA305" s="62"/>
      <c r="AB305" s="62"/>
      <c r="AC305" s="62"/>
    </row>
    <row r="306" spans="1:68" ht="14.25" customHeight="1" x14ac:dyDescent="0.25">
      <c r="A306" s="680" t="s">
        <v>78</v>
      </c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0"/>
      <c r="P306" s="680"/>
      <c r="Q306" s="680"/>
      <c r="R306" s="680"/>
      <c r="S306" s="680"/>
      <c r="T306" s="680"/>
      <c r="U306" s="680"/>
      <c r="V306" s="680"/>
      <c r="W306" s="680"/>
      <c r="X306" s="680"/>
      <c r="Y306" s="680"/>
      <c r="Z306" s="680"/>
      <c r="AA306" s="63"/>
      <c r="AB306" s="63"/>
      <c r="AC306" s="63"/>
    </row>
    <row r="307" spans="1:68" ht="27" customHeight="1" x14ac:dyDescent="0.25">
      <c r="A307" s="60" t="s">
        <v>510</v>
      </c>
      <c r="B307" s="60" t="s">
        <v>511</v>
      </c>
      <c r="C307" s="34">
        <v>4301051277</v>
      </c>
      <c r="D307" s="681">
        <v>4680115880511</v>
      </c>
      <c r="E307" s="681"/>
      <c r="F307" s="59">
        <v>0.33</v>
      </c>
      <c r="G307" s="35">
        <v>6</v>
      </c>
      <c r="H307" s="59">
        <v>1.98</v>
      </c>
      <c r="I307" s="59">
        <v>2.16</v>
      </c>
      <c r="J307" s="35">
        <v>182</v>
      </c>
      <c r="K307" s="35" t="s">
        <v>83</v>
      </c>
      <c r="L307" s="35" t="s">
        <v>45</v>
      </c>
      <c r="M307" s="36" t="s">
        <v>117</v>
      </c>
      <c r="N307" s="36"/>
      <c r="O307" s="35">
        <v>40</v>
      </c>
      <c r="P307" s="8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83"/>
      <c r="R307" s="683"/>
      <c r="S307" s="683"/>
      <c r="T307" s="684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45</v>
      </c>
      <c r="AB307" s="66" t="s">
        <v>45</v>
      </c>
      <c r="AC307" s="371" t="s">
        <v>512</v>
      </c>
      <c r="AG307" s="75"/>
      <c r="AJ307" s="79" t="s">
        <v>45</v>
      </c>
      <c r="AK307" s="79">
        <v>0</v>
      </c>
      <c r="BB307" s="372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675"/>
      <c r="B308" s="675"/>
      <c r="C308" s="675"/>
      <c r="D308" s="675"/>
      <c r="E308" s="675"/>
      <c r="F308" s="675"/>
      <c r="G308" s="675"/>
      <c r="H308" s="675"/>
      <c r="I308" s="675"/>
      <c r="J308" s="675"/>
      <c r="K308" s="675"/>
      <c r="L308" s="675"/>
      <c r="M308" s="675"/>
      <c r="N308" s="675"/>
      <c r="O308" s="688"/>
      <c r="P308" s="685" t="s">
        <v>40</v>
      </c>
      <c r="Q308" s="686"/>
      <c r="R308" s="686"/>
      <c r="S308" s="686"/>
      <c r="T308" s="686"/>
      <c r="U308" s="686"/>
      <c r="V308" s="687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x14ac:dyDescent="0.2">
      <c r="A309" s="675"/>
      <c r="B309" s="675"/>
      <c r="C309" s="675"/>
      <c r="D309" s="675"/>
      <c r="E309" s="675"/>
      <c r="F309" s="675"/>
      <c r="G309" s="675"/>
      <c r="H309" s="675"/>
      <c r="I309" s="675"/>
      <c r="J309" s="675"/>
      <c r="K309" s="675"/>
      <c r="L309" s="675"/>
      <c r="M309" s="675"/>
      <c r="N309" s="675"/>
      <c r="O309" s="688"/>
      <c r="P309" s="685" t="s">
        <v>40</v>
      </c>
      <c r="Q309" s="686"/>
      <c r="R309" s="686"/>
      <c r="S309" s="686"/>
      <c r="T309" s="686"/>
      <c r="U309" s="686"/>
      <c r="V309" s="687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6.5" customHeight="1" x14ac:dyDescent="0.25">
      <c r="A310" s="695" t="s">
        <v>513</v>
      </c>
      <c r="B310" s="695"/>
      <c r="C310" s="695"/>
      <c r="D310" s="695"/>
      <c r="E310" s="695"/>
      <c r="F310" s="695"/>
      <c r="G310" s="695"/>
      <c r="H310" s="695"/>
      <c r="I310" s="695"/>
      <c r="J310" s="695"/>
      <c r="K310" s="695"/>
      <c r="L310" s="695"/>
      <c r="M310" s="695"/>
      <c r="N310" s="695"/>
      <c r="O310" s="695"/>
      <c r="P310" s="695"/>
      <c r="Q310" s="695"/>
      <c r="R310" s="695"/>
      <c r="S310" s="695"/>
      <c r="T310" s="695"/>
      <c r="U310" s="695"/>
      <c r="V310" s="695"/>
      <c r="W310" s="695"/>
      <c r="X310" s="695"/>
      <c r="Y310" s="695"/>
      <c r="Z310" s="695"/>
      <c r="AA310" s="62"/>
      <c r="AB310" s="62"/>
      <c r="AC310" s="62"/>
    </row>
    <row r="311" spans="1:68" ht="14.25" customHeight="1" x14ac:dyDescent="0.25">
      <c r="A311" s="680" t="s">
        <v>109</v>
      </c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0"/>
      <c r="P311" s="680"/>
      <c r="Q311" s="680"/>
      <c r="R311" s="680"/>
      <c r="S311" s="680"/>
      <c r="T311" s="680"/>
      <c r="U311" s="680"/>
      <c r="V311" s="680"/>
      <c r="W311" s="680"/>
      <c r="X311" s="680"/>
      <c r="Y311" s="680"/>
      <c r="Z311" s="680"/>
      <c r="AA311" s="63"/>
      <c r="AB311" s="63"/>
      <c r="AC311" s="63"/>
    </row>
    <row r="312" spans="1:68" ht="27" customHeight="1" x14ac:dyDescent="0.25">
      <c r="A312" s="60" t="s">
        <v>514</v>
      </c>
      <c r="B312" s="60" t="s">
        <v>515</v>
      </c>
      <c r="C312" s="34">
        <v>4301011594</v>
      </c>
      <c r="D312" s="681">
        <v>4680115883413</v>
      </c>
      <c r="E312" s="681"/>
      <c r="F312" s="59">
        <v>0.37</v>
      </c>
      <c r="G312" s="35">
        <v>10</v>
      </c>
      <c r="H312" s="59">
        <v>3.7</v>
      </c>
      <c r="I312" s="59">
        <v>3.91</v>
      </c>
      <c r="J312" s="35">
        <v>132</v>
      </c>
      <c r="K312" s="35" t="s">
        <v>118</v>
      </c>
      <c r="L312" s="35" t="s">
        <v>45</v>
      </c>
      <c r="M312" s="36" t="s">
        <v>113</v>
      </c>
      <c r="N312" s="36"/>
      <c r="O312" s="35">
        <v>55</v>
      </c>
      <c r="P312" s="83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83"/>
      <c r="R312" s="683"/>
      <c r="S312" s="683"/>
      <c r="T312" s="684"/>
      <c r="U312" s="37" t="s">
        <v>45</v>
      </c>
      <c r="V312" s="37" t="s">
        <v>45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45</v>
      </c>
      <c r="AB312" s="66" t="s">
        <v>45</v>
      </c>
      <c r="AC312" s="373" t="s">
        <v>471</v>
      </c>
      <c r="AG312" s="75"/>
      <c r="AJ312" s="79" t="s">
        <v>45</v>
      </c>
      <c r="AK312" s="79">
        <v>0</v>
      </c>
      <c r="BB312" s="374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75"/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88"/>
      <c r="P313" s="685" t="s">
        <v>40</v>
      </c>
      <c r="Q313" s="686"/>
      <c r="R313" s="686"/>
      <c r="S313" s="686"/>
      <c r="T313" s="686"/>
      <c r="U313" s="686"/>
      <c r="V313" s="687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x14ac:dyDescent="0.2">
      <c r="A314" s="675"/>
      <c r="B314" s="675"/>
      <c r="C314" s="675"/>
      <c r="D314" s="675"/>
      <c r="E314" s="675"/>
      <c r="F314" s="675"/>
      <c r="G314" s="675"/>
      <c r="H314" s="675"/>
      <c r="I314" s="675"/>
      <c r="J314" s="675"/>
      <c r="K314" s="675"/>
      <c r="L314" s="675"/>
      <c r="M314" s="675"/>
      <c r="N314" s="675"/>
      <c r="O314" s="688"/>
      <c r="P314" s="685" t="s">
        <v>40</v>
      </c>
      <c r="Q314" s="686"/>
      <c r="R314" s="686"/>
      <c r="S314" s="686"/>
      <c r="T314" s="686"/>
      <c r="U314" s="686"/>
      <c r="V314" s="687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customHeight="1" x14ac:dyDescent="0.25">
      <c r="A315" s="680" t="s">
        <v>160</v>
      </c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0"/>
      <c r="P315" s="680"/>
      <c r="Q315" s="680"/>
      <c r="R315" s="680"/>
      <c r="S315" s="680"/>
      <c r="T315" s="680"/>
      <c r="U315" s="680"/>
      <c r="V315" s="680"/>
      <c r="W315" s="680"/>
      <c r="X315" s="680"/>
      <c r="Y315" s="680"/>
      <c r="Z315" s="680"/>
      <c r="AA315" s="63"/>
      <c r="AB315" s="63"/>
      <c r="AC315" s="63"/>
    </row>
    <row r="316" spans="1:68" ht="27" customHeight="1" x14ac:dyDescent="0.25">
      <c r="A316" s="60" t="s">
        <v>516</v>
      </c>
      <c r="B316" s="60" t="s">
        <v>517</v>
      </c>
      <c r="C316" s="34">
        <v>4301031305</v>
      </c>
      <c r="D316" s="681">
        <v>4607091389845</v>
      </c>
      <c r="E316" s="681"/>
      <c r="F316" s="59">
        <v>0.35</v>
      </c>
      <c r="G316" s="35">
        <v>6</v>
      </c>
      <c r="H316" s="59">
        <v>2.1</v>
      </c>
      <c r="I316" s="59">
        <v>2.2000000000000002</v>
      </c>
      <c r="J316" s="35">
        <v>234</v>
      </c>
      <c r="K316" s="35" t="s">
        <v>164</v>
      </c>
      <c r="L316" s="35" t="s">
        <v>45</v>
      </c>
      <c r="M316" s="36" t="s">
        <v>82</v>
      </c>
      <c r="N316" s="36"/>
      <c r="O316" s="35">
        <v>40</v>
      </c>
      <c r="P316" s="83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83"/>
      <c r="R316" s="683"/>
      <c r="S316" s="683"/>
      <c r="T316" s="684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45</v>
      </c>
      <c r="AB316" s="66" t="s">
        <v>45</v>
      </c>
      <c r="AC316" s="375" t="s">
        <v>518</v>
      </c>
      <c r="AG316" s="75"/>
      <c r="AJ316" s="79" t="s">
        <v>45</v>
      </c>
      <c r="AK316" s="79">
        <v>0</v>
      </c>
      <c r="BB316" s="37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customHeight="1" x14ac:dyDescent="0.25">
      <c r="A317" s="60" t="s">
        <v>519</v>
      </c>
      <c r="B317" s="60" t="s">
        <v>520</v>
      </c>
      <c r="C317" s="34">
        <v>4301031306</v>
      </c>
      <c r="D317" s="681">
        <v>4680115882881</v>
      </c>
      <c r="E317" s="681"/>
      <c r="F317" s="59">
        <v>0.28000000000000003</v>
      </c>
      <c r="G317" s="35">
        <v>6</v>
      </c>
      <c r="H317" s="59">
        <v>1.68</v>
      </c>
      <c r="I317" s="59">
        <v>1.81</v>
      </c>
      <c r="J317" s="35">
        <v>234</v>
      </c>
      <c r="K317" s="35" t="s">
        <v>164</v>
      </c>
      <c r="L317" s="35" t="s">
        <v>45</v>
      </c>
      <c r="M317" s="36" t="s">
        <v>82</v>
      </c>
      <c r="N317" s="36"/>
      <c r="O317" s="35">
        <v>40</v>
      </c>
      <c r="P317" s="83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83"/>
      <c r="R317" s="683"/>
      <c r="S317" s="683"/>
      <c r="T317" s="684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45</v>
      </c>
      <c r="AB317" s="66" t="s">
        <v>45</v>
      </c>
      <c r="AC317" s="377" t="s">
        <v>518</v>
      </c>
      <c r="AG317" s="75"/>
      <c r="AJ317" s="79" t="s">
        <v>45</v>
      </c>
      <c r="AK317" s="79">
        <v>0</v>
      </c>
      <c r="BB317" s="37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x14ac:dyDescent="0.2">
      <c r="A318" s="675"/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88"/>
      <c r="P318" s="685" t="s">
        <v>40</v>
      </c>
      <c r="Q318" s="686"/>
      <c r="R318" s="686"/>
      <c r="S318" s="686"/>
      <c r="T318" s="686"/>
      <c r="U318" s="686"/>
      <c r="V318" s="687"/>
      <c r="W318" s="40" t="s">
        <v>39</v>
      </c>
      <c r="X318" s="41">
        <f>IFERROR(X316/H316,"0")+IFERROR(X317/H317,"0")</f>
        <v>0</v>
      </c>
      <c r="Y318" s="41">
        <f>IFERROR(Y316/H316,"0")+IFERROR(Y317/H317,"0")</f>
        <v>0</v>
      </c>
      <c r="Z318" s="41">
        <f>IFERROR(IF(Z316="",0,Z316),"0")+IFERROR(IF(Z317="",0,Z317),"0")</f>
        <v>0</v>
      </c>
      <c r="AA318" s="64"/>
      <c r="AB318" s="64"/>
      <c r="AC318" s="64"/>
    </row>
    <row r="319" spans="1:68" x14ac:dyDescent="0.2">
      <c r="A319" s="675"/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88"/>
      <c r="P319" s="685" t="s">
        <v>40</v>
      </c>
      <c r="Q319" s="686"/>
      <c r="R319" s="686"/>
      <c r="S319" s="686"/>
      <c r="T319" s="686"/>
      <c r="U319" s="686"/>
      <c r="V319" s="687"/>
      <c r="W319" s="40" t="s">
        <v>0</v>
      </c>
      <c r="X319" s="41">
        <f>IFERROR(SUM(X316:X317),"0")</f>
        <v>0</v>
      </c>
      <c r="Y319" s="41">
        <f>IFERROR(SUM(Y316:Y317),"0")</f>
        <v>0</v>
      </c>
      <c r="Z319" s="40"/>
      <c r="AA319" s="64"/>
      <c r="AB319" s="64"/>
      <c r="AC319" s="64"/>
    </row>
    <row r="320" spans="1:68" ht="16.5" customHeight="1" x14ac:dyDescent="0.25">
      <c r="A320" s="695" t="s">
        <v>521</v>
      </c>
      <c r="B320" s="695"/>
      <c r="C320" s="695"/>
      <c r="D320" s="695"/>
      <c r="E320" s="695"/>
      <c r="F320" s="695"/>
      <c r="G320" s="695"/>
      <c r="H320" s="695"/>
      <c r="I320" s="695"/>
      <c r="J320" s="695"/>
      <c r="K320" s="695"/>
      <c r="L320" s="695"/>
      <c r="M320" s="695"/>
      <c r="N320" s="695"/>
      <c r="O320" s="695"/>
      <c r="P320" s="695"/>
      <c r="Q320" s="695"/>
      <c r="R320" s="695"/>
      <c r="S320" s="695"/>
      <c r="T320" s="695"/>
      <c r="U320" s="695"/>
      <c r="V320" s="695"/>
      <c r="W320" s="695"/>
      <c r="X320" s="695"/>
      <c r="Y320" s="695"/>
      <c r="Z320" s="695"/>
      <c r="AA320" s="62"/>
      <c r="AB320" s="62"/>
      <c r="AC320" s="62"/>
    </row>
    <row r="321" spans="1:68" ht="14.25" customHeight="1" x14ac:dyDescent="0.25">
      <c r="A321" s="680" t="s">
        <v>109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3"/>
      <c r="AB321" s="63"/>
      <c r="AC321" s="63"/>
    </row>
    <row r="322" spans="1:68" ht="27" customHeight="1" x14ac:dyDescent="0.25">
      <c r="A322" s="60" t="s">
        <v>522</v>
      </c>
      <c r="B322" s="60" t="s">
        <v>523</v>
      </c>
      <c r="C322" s="34">
        <v>4301011662</v>
      </c>
      <c r="D322" s="681">
        <v>4680115883703</v>
      </c>
      <c r="E322" s="681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83"/>
      <c r="R322" s="683"/>
      <c r="S322" s="683"/>
      <c r="T322" s="684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525</v>
      </c>
      <c r="AB322" s="66" t="s">
        <v>45</v>
      </c>
      <c r="AC322" s="379" t="s">
        <v>524</v>
      </c>
      <c r="AG322" s="75"/>
      <c r="AJ322" s="79" t="s">
        <v>45</v>
      </c>
      <c r="AK322" s="79">
        <v>0</v>
      </c>
      <c r="BB322" s="38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x14ac:dyDescent="0.2">
      <c r="A323" s="675"/>
      <c r="B323" s="675"/>
      <c r="C323" s="675"/>
      <c r="D323" s="675"/>
      <c r="E323" s="675"/>
      <c r="F323" s="675"/>
      <c r="G323" s="675"/>
      <c r="H323" s="675"/>
      <c r="I323" s="675"/>
      <c r="J323" s="675"/>
      <c r="K323" s="675"/>
      <c r="L323" s="675"/>
      <c r="M323" s="675"/>
      <c r="N323" s="675"/>
      <c r="O323" s="688"/>
      <c r="P323" s="685" t="s">
        <v>40</v>
      </c>
      <c r="Q323" s="686"/>
      <c r="R323" s="686"/>
      <c r="S323" s="686"/>
      <c r="T323" s="686"/>
      <c r="U323" s="686"/>
      <c r="V323" s="687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x14ac:dyDescent="0.2">
      <c r="A324" s="675"/>
      <c r="B324" s="675"/>
      <c r="C324" s="675"/>
      <c r="D324" s="675"/>
      <c r="E324" s="675"/>
      <c r="F324" s="675"/>
      <c r="G324" s="675"/>
      <c r="H324" s="675"/>
      <c r="I324" s="675"/>
      <c r="J324" s="675"/>
      <c r="K324" s="675"/>
      <c r="L324" s="675"/>
      <c r="M324" s="675"/>
      <c r="N324" s="675"/>
      <c r="O324" s="688"/>
      <c r="P324" s="685" t="s">
        <v>40</v>
      </c>
      <c r="Q324" s="686"/>
      <c r="R324" s="686"/>
      <c r="S324" s="686"/>
      <c r="T324" s="686"/>
      <c r="U324" s="686"/>
      <c r="V324" s="687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6.5" customHeight="1" x14ac:dyDescent="0.25">
      <c r="A325" s="695" t="s">
        <v>526</v>
      </c>
      <c r="B325" s="695"/>
      <c r="C325" s="695"/>
      <c r="D325" s="695"/>
      <c r="E325" s="695"/>
      <c r="F325" s="695"/>
      <c r="G325" s="695"/>
      <c r="H325" s="695"/>
      <c r="I325" s="695"/>
      <c r="J325" s="695"/>
      <c r="K325" s="695"/>
      <c r="L325" s="695"/>
      <c r="M325" s="695"/>
      <c r="N325" s="695"/>
      <c r="O325" s="695"/>
      <c r="P325" s="695"/>
      <c r="Q325" s="695"/>
      <c r="R325" s="695"/>
      <c r="S325" s="695"/>
      <c r="T325" s="695"/>
      <c r="U325" s="695"/>
      <c r="V325" s="695"/>
      <c r="W325" s="695"/>
      <c r="X325" s="695"/>
      <c r="Y325" s="695"/>
      <c r="Z325" s="695"/>
      <c r="AA325" s="62"/>
      <c r="AB325" s="62"/>
      <c r="AC325" s="62"/>
    </row>
    <row r="326" spans="1:68" ht="14.25" customHeight="1" x14ac:dyDescent="0.25">
      <c r="A326" s="680" t="s">
        <v>109</v>
      </c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0"/>
      <c r="P326" s="680"/>
      <c r="Q326" s="680"/>
      <c r="R326" s="680"/>
      <c r="S326" s="680"/>
      <c r="T326" s="680"/>
      <c r="U326" s="680"/>
      <c r="V326" s="680"/>
      <c r="W326" s="680"/>
      <c r="X326" s="680"/>
      <c r="Y326" s="680"/>
      <c r="Z326" s="680"/>
      <c r="AA326" s="63"/>
      <c r="AB326" s="63"/>
      <c r="AC326" s="63"/>
    </row>
    <row r="327" spans="1:68" ht="27" customHeight="1" x14ac:dyDescent="0.25">
      <c r="A327" s="60" t="s">
        <v>527</v>
      </c>
      <c r="B327" s="60" t="s">
        <v>528</v>
      </c>
      <c r="C327" s="34">
        <v>4301012024</v>
      </c>
      <c r="D327" s="681">
        <v>4680115885615</v>
      </c>
      <c r="E327" s="681"/>
      <c r="F327" s="59">
        <v>1.35</v>
      </c>
      <c r="G327" s="35">
        <v>8</v>
      </c>
      <c r="H327" s="59">
        <v>10.8</v>
      </c>
      <c r="I327" s="59">
        <v>11.234999999999999</v>
      </c>
      <c r="J327" s="35">
        <v>64</v>
      </c>
      <c r="K327" s="35" t="s">
        <v>114</v>
      </c>
      <c r="L327" s="35" t="s">
        <v>45</v>
      </c>
      <c r="M327" s="36" t="s">
        <v>117</v>
      </c>
      <c r="N327" s="36"/>
      <c r="O327" s="35">
        <v>55</v>
      </c>
      <c r="P327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83"/>
      <c r="R327" s="683"/>
      <c r="S327" s="683"/>
      <c r="T327" s="684"/>
      <c r="U327" s="37" t="s">
        <v>45</v>
      </c>
      <c r="V327" s="37" t="s">
        <v>45</v>
      </c>
      <c r="W327" s="38" t="s">
        <v>0</v>
      </c>
      <c r="X327" s="56">
        <v>0</v>
      </c>
      <c r="Y327" s="53">
        <f t="shared" ref="Y327:Y332" si="52">IFERROR(IF(X327="",0,CEILING((X327/$H327),1)*$H327),"")</f>
        <v>0</v>
      </c>
      <c r="Z327" s="39" t="str">
        <f>IFERROR(IF(Y327=0,"",ROUNDUP(Y327/H327,0)*0.01898),"")</f>
        <v/>
      </c>
      <c r="AA327" s="65" t="s">
        <v>45</v>
      </c>
      <c r="AB327" s="66" t="s">
        <v>45</v>
      </c>
      <c r="AC327" s="381" t="s">
        <v>529</v>
      </c>
      <c r="AG327" s="75"/>
      <c r="AJ327" s="79" t="s">
        <v>45</v>
      </c>
      <c r="AK327" s="79">
        <v>0</v>
      </c>
      <c r="BB327" s="382" t="s">
        <v>66</v>
      </c>
      <c r="BM327" s="75">
        <f t="shared" ref="BM327:BM332" si="53">IFERROR(X327*I327/H327,"0")</f>
        <v>0</v>
      </c>
      <c r="BN327" s="75">
        <f t="shared" ref="BN327:BN332" si="54">IFERROR(Y327*I327/H327,"0")</f>
        <v>0</v>
      </c>
      <c r="BO327" s="75">
        <f t="shared" ref="BO327:BO332" si="55">IFERROR(1/J327*(X327/H327),"0")</f>
        <v>0</v>
      </c>
      <c r="BP327" s="75">
        <f t="shared" ref="BP327:BP332" si="56">IFERROR(1/J327*(Y327/H327),"0")</f>
        <v>0</v>
      </c>
    </row>
    <row r="328" spans="1:68" ht="27" customHeight="1" x14ac:dyDescent="0.25">
      <c r="A328" s="60" t="s">
        <v>530</v>
      </c>
      <c r="B328" s="60" t="s">
        <v>531</v>
      </c>
      <c r="C328" s="34">
        <v>4301011911</v>
      </c>
      <c r="D328" s="681">
        <v>4680115885554</v>
      </c>
      <c r="E328" s="681"/>
      <c r="F328" s="59">
        <v>1.35</v>
      </c>
      <c r="G328" s="35">
        <v>8</v>
      </c>
      <c r="H328" s="59">
        <v>10.8</v>
      </c>
      <c r="I328" s="59">
        <v>11.28</v>
      </c>
      <c r="J328" s="35">
        <v>48</v>
      </c>
      <c r="K328" s="35" t="s">
        <v>114</v>
      </c>
      <c r="L328" s="35" t="s">
        <v>45</v>
      </c>
      <c r="M328" s="36" t="s">
        <v>407</v>
      </c>
      <c r="N328" s="36"/>
      <c r="O328" s="35">
        <v>55</v>
      </c>
      <c r="P328" s="83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83"/>
      <c r="R328" s="683"/>
      <c r="S328" s="683"/>
      <c r="T328" s="684"/>
      <c r="U328" s="37" t="s">
        <v>45</v>
      </c>
      <c r="V328" s="37" t="s">
        <v>45</v>
      </c>
      <c r="W328" s="38" t="s">
        <v>0</v>
      </c>
      <c r="X328" s="56">
        <v>0</v>
      </c>
      <c r="Y328" s="53">
        <f t="shared" si="52"/>
        <v>0</v>
      </c>
      <c r="Z328" s="39" t="str">
        <f>IFERROR(IF(Y328=0,"",ROUNDUP(Y328/H328,0)*0.02039),"")</f>
        <v/>
      </c>
      <c r="AA328" s="65" t="s">
        <v>45</v>
      </c>
      <c r="AB328" s="66" t="s">
        <v>45</v>
      </c>
      <c r="AC328" s="383" t="s">
        <v>532</v>
      </c>
      <c r="AG328" s="75"/>
      <c r="AJ328" s="79" t="s">
        <v>45</v>
      </c>
      <c r="AK328" s="79">
        <v>0</v>
      </c>
      <c r="BB328" s="384" t="s">
        <v>66</v>
      </c>
      <c r="BM328" s="75">
        <f t="shared" si="53"/>
        <v>0</v>
      </c>
      <c r="BN328" s="75">
        <f t="shared" si="54"/>
        <v>0</v>
      </c>
      <c r="BO328" s="75">
        <f t="shared" si="55"/>
        <v>0</v>
      </c>
      <c r="BP328" s="75">
        <f t="shared" si="56"/>
        <v>0</v>
      </c>
    </row>
    <row r="329" spans="1:68" ht="27" customHeight="1" x14ac:dyDescent="0.25">
      <c r="A329" s="60" t="s">
        <v>530</v>
      </c>
      <c r="B329" s="60" t="s">
        <v>533</v>
      </c>
      <c r="C329" s="34">
        <v>4301012016</v>
      </c>
      <c r="D329" s="681">
        <v>4680115885554</v>
      </c>
      <c r="E329" s="681"/>
      <c r="F329" s="59">
        <v>1.35</v>
      </c>
      <c r="G329" s="35">
        <v>8</v>
      </c>
      <c r="H329" s="59">
        <v>10.8</v>
      </c>
      <c r="I329" s="59">
        <v>11.234999999999999</v>
      </c>
      <c r="J329" s="35">
        <v>64</v>
      </c>
      <c r="K329" s="35" t="s">
        <v>114</v>
      </c>
      <c r="L329" s="35" t="s">
        <v>136</v>
      </c>
      <c r="M329" s="36" t="s">
        <v>117</v>
      </c>
      <c r="N329" s="36"/>
      <c r="O329" s="35">
        <v>55</v>
      </c>
      <c r="P329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83"/>
      <c r="R329" s="683"/>
      <c r="S329" s="683"/>
      <c r="T329" s="684"/>
      <c r="U329" s="37" t="s">
        <v>45</v>
      </c>
      <c r="V329" s="37" t="s">
        <v>45</v>
      </c>
      <c r="W329" s="38" t="s">
        <v>0</v>
      </c>
      <c r="X329" s="56">
        <v>0</v>
      </c>
      <c r="Y329" s="53">
        <f t="shared" si="52"/>
        <v>0</v>
      </c>
      <c r="Z329" s="39" t="str">
        <f>IFERROR(IF(Y329=0,"",ROUNDUP(Y329/H329,0)*0.01898),"")</f>
        <v/>
      </c>
      <c r="AA329" s="65" t="s">
        <v>45</v>
      </c>
      <c r="AB329" s="66" t="s">
        <v>45</v>
      </c>
      <c r="AC329" s="385" t="s">
        <v>534</v>
      </c>
      <c r="AG329" s="75"/>
      <c r="AJ329" s="79" t="s">
        <v>137</v>
      </c>
      <c r="AK329" s="79">
        <v>691.2</v>
      </c>
      <c r="BB329" s="386" t="s">
        <v>66</v>
      </c>
      <c r="BM329" s="75">
        <f t="shared" si="53"/>
        <v>0</v>
      </c>
      <c r="BN329" s="75">
        <f t="shared" si="54"/>
        <v>0</v>
      </c>
      <c r="BO329" s="75">
        <f t="shared" si="55"/>
        <v>0</v>
      </c>
      <c r="BP329" s="75">
        <f t="shared" si="56"/>
        <v>0</v>
      </c>
    </row>
    <row r="330" spans="1:68" ht="37.5" customHeight="1" x14ac:dyDescent="0.25">
      <c r="A330" s="60" t="s">
        <v>535</v>
      </c>
      <c r="B330" s="60" t="s">
        <v>536</v>
      </c>
      <c r="C330" s="34">
        <v>4301011858</v>
      </c>
      <c r="D330" s="681">
        <v>4680115885646</v>
      </c>
      <c r="E330" s="681"/>
      <c r="F330" s="59">
        <v>1.35</v>
      </c>
      <c r="G330" s="35">
        <v>8</v>
      </c>
      <c r="H330" s="59">
        <v>10.8</v>
      </c>
      <c r="I330" s="59">
        <v>11.234999999999999</v>
      </c>
      <c r="J330" s="35">
        <v>64</v>
      </c>
      <c r="K330" s="35" t="s">
        <v>114</v>
      </c>
      <c r="L330" s="35" t="s">
        <v>45</v>
      </c>
      <c r="M330" s="36" t="s">
        <v>113</v>
      </c>
      <c r="N330" s="36"/>
      <c r="O330" s="35">
        <v>55</v>
      </c>
      <c r="P330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83"/>
      <c r="R330" s="683"/>
      <c r="S330" s="683"/>
      <c r="T330" s="684"/>
      <c r="U330" s="37" t="s">
        <v>45</v>
      </c>
      <c r="V330" s="37" t="s">
        <v>45</v>
      </c>
      <c r="W330" s="38" t="s">
        <v>0</v>
      </c>
      <c r="X330" s="56">
        <v>0</v>
      </c>
      <c r="Y330" s="53">
        <f t="shared" si="52"/>
        <v>0</v>
      </c>
      <c r="Z330" s="39" t="str">
        <f>IFERROR(IF(Y330=0,"",ROUNDUP(Y330/H330,0)*0.01898),"")</f>
        <v/>
      </c>
      <c r="AA330" s="65" t="s">
        <v>45</v>
      </c>
      <c r="AB330" s="66" t="s">
        <v>45</v>
      </c>
      <c r="AC330" s="387" t="s">
        <v>537</v>
      </c>
      <c r="AG330" s="75"/>
      <c r="AJ330" s="79" t="s">
        <v>45</v>
      </c>
      <c r="AK330" s="79">
        <v>0</v>
      </c>
      <c r="BB330" s="388" t="s">
        <v>66</v>
      </c>
      <c r="BM330" s="75">
        <f t="shared" si="53"/>
        <v>0</v>
      </c>
      <c r="BN330" s="75">
        <f t="shared" si="54"/>
        <v>0</v>
      </c>
      <c r="BO330" s="75">
        <f t="shared" si="55"/>
        <v>0</v>
      </c>
      <c r="BP330" s="75">
        <f t="shared" si="56"/>
        <v>0</v>
      </c>
    </row>
    <row r="331" spans="1:68" ht="27" customHeight="1" x14ac:dyDescent="0.25">
      <c r="A331" s="60" t="s">
        <v>538</v>
      </c>
      <c r="B331" s="60" t="s">
        <v>539</v>
      </c>
      <c r="C331" s="34">
        <v>4301011857</v>
      </c>
      <c r="D331" s="681">
        <v>4680115885622</v>
      </c>
      <c r="E331" s="681"/>
      <c r="F331" s="59">
        <v>0.4</v>
      </c>
      <c r="G331" s="35">
        <v>10</v>
      </c>
      <c r="H331" s="59">
        <v>4</v>
      </c>
      <c r="I331" s="59">
        <v>4.21</v>
      </c>
      <c r="J331" s="35">
        <v>132</v>
      </c>
      <c r="K331" s="35" t="s">
        <v>118</v>
      </c>
      <c r="L331" s="35" t="s">
        <v>45</v>
      </c>
      <c r="M331" s="36" t="s">
        <v>113</v>
      </c>
      <c r="N331" s="36"/>
      <c r="O331" s="35">
        <v>55</v>
      </c>
      <c r="P331" s="83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83"/>
      <c r="R331" s="683"/>
      <c r="S331" s="683"/>
      <c r="T331" s="684"/>
      <c r="U331" s="37" t="s">
        <v>45</v>
      </c>
      <c r="V331" s="37" t="s">
        <v>45</v>
      </c>
      <c r="W331" s="38" t="s">
        <v>0</v>
      </c>
      <c r="X331" s="56">
        <v>0</v>
      </c>
      <c r="Y331" s="53">
        <f t="shared" si="52"/>
        <v>0</v>
      </c>
      <c r="Z331" s="39" t="str">
        <f>IFERROR(IF(Y331=0,"",ROUNDUP(Y331/H331,0)*0.00902),"")</f>
        <v/>
      </c>
      <c r="AA331" s="65" t="s">
        <v>45</v>
      </c>
      <c r="AB331" s="66" t="s">
        <v>45</v>
      </c>
      <c r="AC331" s="389" t="s">
        <v>540</v>
      </c>
      <c r="AG331" s="75"/>
      <c r="AJ331" s="79" t="s">
        <v>45</v>
      </c>
      <c r="AK331" s="79">
        <v>0</v>
      </c>
      <c r="BB331" s="390" t="s">
        <v>66</v>
      </c>
      <c r="BM331" s="75">
        <f t="shared" si="53"/>
        <v>0</v>
      </c>
      <c r="BN331" s="75">
        <f t="shared" si="54"/>
        <v>0</v>
      </c>
      <c r="BO331" s="75">
        <f t="shared" si="55"/>
        <v>0</v>
      </c>
      <c r="BP331" s="75">
        <f t="shared" si="56"/>
        <v>0</v>
      </c>
    </row>
    <row r="332" spans="1:68" ht="27" customHeight="1" x14ac:dyDescent="0.25">
      <c r="A332" s="60" t="s">
        <v>541</v>
      </c>
      <c r="B332" s="60" t="s">
        <v>542</v>
      </c>
      <c r="C332" s="34">
        <v>4301011859</v>
      </c>
      <c r="D332" s="681">
        <v>4680115885608</v>
      </c>
      <c r="E332" s="681"/>
      <c r="F332" s="59">
        <v>0.4</v>
      </c>
      <c r="G332" s="35">
        <v>10</v>
      </c>
      <c r="H332" s="59">
        <v>4</v>
      </c>
      <c r="I332" s="59">
        <v>4.21</v>
      </c>
      <c r="J332" s="35">
        <v>132</v>
      </c>
      <c r="K332" s="35" t="s">
        <v>118</v>
      </c>
      <c r="L332" s="35" t="s">
        <v>45</v>
      </c>
      <c r="M332" s="36" t="s">
        <v>113</v>
      </c>
      <c r="N332" s="36"/>
      <c r="O332" s="35">
        <v>55</v>
      </c>
      <c r="P332" s="8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83"/>
      <c r="R332" s="683"/>
      <c r="S332" s="683"/>
      <c r="T332" s="684"/>
      <c r="U332" s="37" t="s">
        <v>45</v>
      </c>
      <c r="V332" s="37" t="s">
        <v>45</v>
      </c>
      <c r="W332" s="38" t="s">
        <v>0</v>
      </c>
      <c r="X332" s="56">
        <v>0</v>
      </c>
      <c r="Y332" s="53">
        <f t="shared" si="52"/>
        <v>0</v>
      </c>
      <c r="Z332" s="39" t="str">
        <f>IFERROR(IF(Y332=0,"",ROUNDUP(Y332/H332,0)*0.00902),"")</f>
        <v/>
      </c>
      <c r="AA332" s="65" t="s">
        <v>45</v>
      </c>
      <c r="AB332" s="66" t="s">
        <v>45</v>
      </c>
      <c r="AC332" s="391" t="s">
        <v>534</v>
      </c>
      <c r="AG332" s="75"/>
      <c r="AJ332" s="79" t="s">
        <v>45</v>
      </c>
      <c r="AK332" s="79">
        <v>0</v>
      </c>
      <c r="BB332" s="392" t="s">
        <v>66</v>
      </c>
      <c r="BM332" s="75">
        <f t="shared" si="53"/>
        <v>0</v>
      </c>
      <c r="BN332" s="75">
        <f t="shared" si="54"/>
        <v>0</v>
      </c>
      <c r="BO332" s="75">
        <f t="shared" si="55"/>
        <v>0</v>
      </c>
      <c r="BP332" s="75">
        <f t="shared" si="56"/>
        <v>0</v>
      </c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88"/>
      <c r="P333" s="685" t="s">
        <v>40</v>
      </c>
      <c r="Q333" s="686"/>
      <c r="R333" s="686"/>
      <c r="S333" s="686"/>
      <c r="T333" s="686"/>
      <c r="U333" s="686"/>
      <c r="V333" s="687"/>
      <c r="W333" s="40" t="s">
        <v>39</v>
      </c>
      <c r="X333" s="41">
        <f>IFERROR(X327/H327,"0")+IFERROR(X328/H328,"0")+IFERROR(X329/H329,"0")+IFERROR(X330/H330,"0")+IFERROR(X331/H331,"0")+IFERROR(X332/H332,"0")</f>
        <v>0</v>
      </c>
      <c r="Y333" s="41">
        <f>IFERROR(Y327/H327,"0")+IFERROR(Y328/H328,"0")+IFERROR(Y329/H329,"0")+IFERROR(Y330/H330,"0")+IFERROR(Y331/H331,"0")+IFERROR(Y332/H332,"0")</f>
        <v>0</v>
      </c>
      <c r="Z333" s="41">
        <f>IFERROR(IF(Z327="",0,Z327),"0")+IFERROR(IF(Z328="",0,Z328),"0")+IFERROR(IF(Z329="",0,Z329),"0")+IFERROR(IF(Z330="",0,Z330),"0")+IFERROR(IF(Z331="",0,Z331),"0")+IFERROR(IF(Z332="",0,Z332),"0")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x14ac:dyDescent="0.2">
      <c r="A334" s="675"/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88"/>
      <c r="P334" s="685" t="s">
        <v>40</v>
      </c>
      <c r="Q334" s="686"/>
      <c r="R334" s="686"/>
      <c r="S334" s="686"/>
      <c r="T334" s="686"/>
      <c r="U334" s="686"/>
      <c r="V334" s="687"/>
      <c r="W334" s="40" t="s">
        <v>0</v>
      </c>
      <c r="X334" s="41">
        <f>IFERROR(SUM(X327:X332),"0")</f>
        <v>0</v>
      </c>
      <c r="Y334" s="41">
        <f>IFERROR(SUM(Y327:Y332),"0")</f>
        <v>0</v>
      </c>
      <c r="Z334" s="40"/>
      <c r="AA334" s="64"/>
      <c r="AB334" s="64"/>
      <c r="AC334" s="64"/>
    </row>
    <row r="335" spans="1:68" ht="14.25" customHeight="1" x14ac:dyDescent="0.25">
      <c r="A335" s="680" t="s">
        <v>160</v>
      </c>
      <c r="B335" s="680"/>
      <c r="C335" s="680"/>
      <c r="D335" s="680"/>
      <c r="E335" s="680"/>
      <c r="F335" s="680"/>
      <c r="G335" s="680"/>
      <c r="H335" s="680"/>
      <c r="I335" s="680"/>
      <c r="J335" s="680"/>
      <c r="K335" s="680"/>
      <c r="L335" s="680"/>
      <c r="M335" s="680"/>
      <c r="N335" s="680"/>
      <c r="O335" s="680"/>
      <c r="P335" s="680"/>
      <c r="Q335" s="680"/>
      <c r="R335" s="680"/>
      <c r="S335" s="680"/>
      <c r="T335" s="680"/>
      <c r="U335" s="680"/>
      <c r="V335" s="680"/>
      <c r="W335" s="680"/>
      <c r="X335" s="680"/>
      <c r="Y335" s="680"/>
      <c r="Z335" s="680"/>
      <c r="AA335" s="63"/>
      <c r="AB335" s="63"/>
      <c r="AC335" s="63"/>
    </row>
    <row r="336" spans="1:68" ht="27" customHeight="1" x14ac:dyDescent="0.25">
      <c r="A336" s="60" t="s">
        <v>543</v>
      </c>
      <c r="B336" s="60" t="s">
        <v>544</v>
      </c>
      <c r="C336" s="34">
        <v>4301030878</v>
      </c>
      <c r="D336" s="681">
        <v>4607091387193</v>
      </c>
      <c r="E336" s="681"/>
      <c r="F336" s="59">
        <v>0.7</v>
      </c>
      <c r="G336" s="35">
        <v>6</v>
      </c>
      <c r="H336" s="59">
        <v>4.2</v>
      </c>
      <c r="I336" s="59">
        <v>4.47</v>
      </c>
      <c r="J336" s="35">
        <v>132</v>
      </c>
      <c r="K336" s="35" t="s">
        <v>118</v>
      </c>
      <c r="L336" s="35" t="s">
        <v>45</v>
      </c>
      <c r="M336" s="36" t="s">
        <v>82</v>
      </c>
      <c r="N336" s="36"/>
      <c r="O336" s="35">
        <v>35</v>
      </c>
      <c r="P336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83"/>
      <c r="R336" s="683"/>
      <c r="S336" s="683"/>
      <c r="T336" s="684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45</v>
      </c>
      <c r="AB336" s="66" t="s">
        <v>45</v>
      </c>
      <c r="AC336" s="393" t="s">
        <v>545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546</v>
      </c>
      <c r="B337" s="60" t="s">
        <v>547</v>
      </c>
      <c r="C337" s="34">
        <v>4301031153</v>
      </c>
      <c r="D337" s="681">
        <v>4607091387230</v>
      </c>
      <c r="E337" s="681"/>
      <c r="F337" s="59">
        <v>0.7</v>
      </c>
      <c r="G337" s="35">
        <v>6</v>
      </c>
      <c r="H337" s="59">
        <v>4.2</v>
      </c>
      <c r="I337" s="59">
        <v>4.47</v>
      </c>
      <c r="J337" s="35">
        <v>132</v>
      </c>
      <c r="K337" s="35" t="s">
        <v>118</v>
      </c>
      <c r="L337" s="35" t="s">
        <v>45</v>
      </c>
      <c r="M337" s="36" t="s">
        <v>82</v>
      </c>
      <c r="N337" s="36"/>
      <c r="O337" s="35">
        <v>40</v>
      </c>
      <c r="P337" s="8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83"/>
      <c r="R337" s="683"/>
      <c r="S337" s="683"/>
      <c r="T337" s="684"/>
      <c r="U337" s="37" t="s">
        <v>45</v>
      </c>
      <c r="V337" s="37" t="s">
        <v>45</v>
      </c>
      <c r="W337" s="38" t="s">
        <v>0</v>
      </c>
      <c r="X337" s="56">
        <v>30</v>
      </c>
      <c r="Y337" s="53">
        <f>IFERROR(IF(X337="",0,CEILING((X337/$H337),1)*$H337),"")</f>
        <v>33.6</v>
      </c>
      <c r="Z337" s="39">
        <f>IFERROR(IF(Y337=0,"",ROUNDUP(Y337/H337,0)*0.00902),"")</f>
        <v>7.2160000000000002E-2</v>
      </c>
      <c r="AA337" s="65" t="s">
        <v>45</v>
      </c>
      <c r="AB337" s="66" t="s">
        <v>45</v>
      </c>
      <c r="AC337" s="395" t="s">
        <v>548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31.928571428571427</v>
      </c>
      <c r="BN337" s="75">
        <f>IFERROR(Y337*I337/H337,"0")</f>
        <v>35.76</v>
      </c>
      <c r="BO337" s="75">
        <f>IFERROR(1/J337*(X337/H337),"0")</f>
        <v>5.4112554112554112E-2</v>
      </c>
      <c r="BP337" s="75">
        <f>IFERROR(1/J337*(Y337/H337),"0")</f>
        <v>6.0606060606060608E-2</v>
      </c>
    </row>
    <row r="338" spans="1:68" ht="27" customHeight="1" x14ac:dyDescent="0.25">
      <c r="A338" s="60" t="s">
        <v>549</v>
      </c>
      <c r="B338" s="60" t="s">
        <v>550</v>
      </c>
      <c r="C338" s="34">
        <v>4301031154</v>
      </c>
      <c r="D338" s="681">
        <v>4607091387292</v>
      </c>
      <c r="E338" s="681"/>
      <c r="F338" s="59">
        <v>0.73</v>
      </c>
      <c r="G338" s="35">
        <v>6</v>
      </c>
      <c r="H338" s="59">
        <v>4.38</v>
      </c>
      <c r="I338" s="59">
        <v>4.6500000000000004</v>
      </c>
      <c r="J338" s="35">
        <v>132</v>
      </c>
      <c r="K338" s="35" t="s">
        <v>118</v>
      </c>
      <c r="L338" s="35" t="s">
        <v>45</v>
      </c>
      <c r="M338" s="36" t="s">
        <v>82</v>
      </c>
      <c r="N338" s="36"/>
      <c r="O338" s="35">
        <v>45</v>
      </c>
      <c r="P338" s="8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83"/>
      <c r="R338" s="683"/>
      <c r="S338" s="683"/>
      <c r="T338" s="684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IFERROR(IF(Y338=0,"",ROUNDUP(Y338/H338,0)*0.00902),"")</f>
        <v/>
      </c>
      <c r="AA338" s="65" t="s">
        <v>45</v>
      </c>
      <c r="AB338" s="66" t="s">
        <v>45</v>
      </c>
      <c r="AC338" s="397" t="s">
        <v>551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552</v>
      </c>
      <c r="B339" s="60" t="s">
        <v>553</v>
      </c>
      <c r="C339" s="34">
        <v>4301031152</v>
      </c>
      <c r="D339" s="681">
        <v>4607091387285</v>
      </c>
      <c r="E339" s="681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164</v>
      </c>
      <c r="L339" s="35" t="s">
        <v>45</v>
      </c>
      <c r="M339" s="36" t="s">
        <v>82</v>
      </c>
      <c r="N339" s="36"/>
      <c r="O339" s="35">
        <v>40</v>
      </c>
      <c r="P339" s="8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83"/>
      <c r="R339" s="683"/>
      <c r="S339" s="683"/>
      <c r="T339" s="684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45</v>
      </c>
      <c r="AB339" s="66" t="s">
        <v>45</v>
      </c>
      <c r="AC339" s="399" t="s">
        <v>548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75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88"/>
      <c r="P340" s="685" t="s">
        <v>40</v>
      </c>
      <c r="Q340" s="686"/>
      <c r="R340" s="686"/>
      <c r="S340" s="686"/>
      <c r="T340" s="686"/>
      <c r="U340" s="686"/>
      <c r="V340" s="687"/>
      <c r="W340" s="40" t="s">
        <v>39</v>
      </c>
      <c r="X340" s="41">
        <f>IFERROR(X336/H336,"0")+IFERROR(X337/H337,"0")+IFERROR(X338/H338,"0")+IFERROR(X339/H339,"0")</f>
        <v>7.1428571428571423</v>
      </c>
      <c r="Y340" s="41">
        <f>IFERROR(Y336/H336,"0")+IFERROR(Y337/H337,"0")+IFERROR(Y338/H338,"0")+IFERROR(Y339/H339,"0")</f>
        <v>8</v>
      </c>
      <c r="Z340" s="41">
        <f>IFERROR(IF(Z336="",0,Z336),"0")+IFERROR(IF(Z337="",0,Z337),"0")+IFERROR(IF(Z338="",0,Z338),"0")+IFERROR(IF(Z339="",0,Z339),"0")</f>
        <v>7.2160000000000002E-2</v>
      </c>
      <c r="AA340" s="64"/>
      <c r="AB340" s="64"/>
      <c r="AC340" s="64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88"/>
      <c r="P341" s="685" t="s">
        <v>40</v>
      </c>
      <c r="Q341" s="686"/>
      <c r="R341" s="686"/>
      <c r="S341" s="686"/>
      <c r="T341" s="686"/>
      <c r="U341" s="686"/>
      <c r="V341" s="687"/>
      <c r="W341" s="40" t="s">
        <v>0</v>
      </c>
      <c r="X341" s="41">
        <f>IFERROR(SUM(X336:X339),"0")</f>
        <v>30</v>
      </c>
      <c r="Y341" s="41">
        <f>IFERROR(SUM(Y336:Y339),"0")</f>
        <v>33.6</v>
      </c>
      <c r="Z341" s="40"/>
      <c r="AA341" s="64"/>
      <c r="AB341" s="64"/>
      <c r="AC341" s="64"/>
    </row>
    <row r="342" spans="1:68" ht="14.25" customHeight="1" x14ac:dyDescent="0.25">
      <c r="A342" s="680" t="s">
        <v>78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3"/>
      <c r="AB342" s="63"/>
      <c r="AC342" s="63"/>
    </row>
    <row r="343" spans="1:68" ht="27" customHeight="1" x14ac:dyDescent="0.25">
      <c r="A343" s="60" t="s">
        <v>554</v>
      </c>
      <c r="B343" s="60" t="s">
        <v>555</v>
      </c>
      <c r="C343" s="34">
        <v>4301051100</v>
      </c>
      <c r="D343" s="681">
        <v>4607091387766</v>
      </c>
      <c r="E343" s="681"/>
      <c r="F343" s="59">
        <v>1.3</v>
      </c>
      <c r="G343" s="35">
        <v>6</v>
      </c>
      <c r="H343" s="59">
        <v>7.8</v>
      </c>
      <c r="I343" s="59">
        <v>8.3130000000000006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40</v>
      </c>
      <c r="P343" s="81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83"/>
      <c r="R343" s="683"/>
      <c r="S343" s="683"/>
      <c r="T343" s="684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556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557</v>
      </c>
      <c r="B344" s="60" t="s">
        <v>558</v>
      </c>
      <c r="C344" s="34">
        <v>4301051818</v>
      </c>
      <c r="D344" s="681">
        <v>4607091387957</v>
      </c>
      <c r="E344" s="681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40</v>
      </c>
      <c r="P344" s="82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83"/>
      <c r="R344" s="683"/>
      <c r="S344" s="683"/>
      <c r="T344" s="684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560</v>
      </c>
      <c r="B345" s="60" t="s">
        <v>561</v>
      </c>
      <c r="C345" s="34">
        <v>4301051819</v>
      </c>
      <c r="D345" s="681">
        <v>4607091387964</v>
      </c>
      <c r="E345" s="681"/>
      <c r="F345" s="59">
        <v>1.35</v>
      </c>
      <c r="G345" s="35">
        <v>6</v>
      </c>
      <c r="H345" s="59">
        <v>8.1</v>
      </c>
      <c r="I345" s="59">
        <v>8.6010000000000009</v>
      </c>
      <c r="J345" s="35">
        <v>64</v>
      </c>
      <c r="K345" s="35" t="s">
        <v>114</v>
      </c>
      <c r="L345" s="35" t="s">
        <v>45</v>
      </c>
      <c r="M345" s="36" t="s">
        <v>117</v>
      </c>
      <c r="N345" s="36"/>
      <c r="O345" s="35">
        <v>40</v>
      </c>
      <c r="P34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83"/>
      <c r="R345" s="683"/>
      <c r="S345" s="683"/>
      <c r="T345" s="684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562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563</v>
      </c>
      <c r="B346" s="60" t="s">
        <v>564</v>
      </c>
      <c r="C346" s="34">
        <v>4301051734</v>
      </c>
      <c r="D346" s="681">
        <v>4680115884588</v>
      </c>
      <c r="E346" s="681"/>
      <c r="F346" s="59">
        <v>0.5</v>
      </c>
      <c r="G346" s="35">
        <v>6</v>
      </c>
      <c r="H346" s="59">
        <v>3</v>
      </c>
      <c r="I346" s="59">
        <v>3.246</v>
      </c>
      <c r="J346" s="35">
        <v>182</v>
      </c>
      <c r="K346" s="35" t="s">
        <v>83</v>
      </c>
      <c r="L346" s="35" t="s">
        <v>45</v>
      </c>
      <c r="M346" s="36" t="s">
        <v>117</v>
      </c>
      <c r="N346" s="36"/>
      <c r="O346" s="35">
        <v>40</v>
      </c>
      <c r="P346" s="82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83"/>
      <c r="R346" s="683"/>
      <c r="S346" s="683"/>
      <c r="T346" s="684"/>
      <c r="U346" s="37" t="s">
        <v>45</v>
      </c>
      <c r="V346" s="37" t="s">
        <v>45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45</v>
      </c>
      <c r="AB346" s="66" t="s">
        <v>45</v>
      </c>
      <c r="AC346" s="407" t="s">
        <v>565</v>
      </c>
      <c r="AG346" s="75"/>
      <c r="AJ346" s="79" t="s">
        <v>45</v>
      </c>
      <c r="AK346" s="79">
        <v>0</v>
      </c>
      <c r="BB346" s="40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566</v>
      </c>
      <c r="B347" s="60" t="s">
        <v>567</v>
      </c>
      <c r="C347" s="34">
        <v>4301051578</v>
      </c>
      <c r="D347" s="681">
        <v>4607091387513</v>
      </c>
      <c r="E347" s="681"/>
      <c r="F347" s="59">
        <v>0.45</v>
      </c>
      <c r="G347" s="35">
        <v>6</v>
      </c>
      <c r="H347" s="59">
        <v>2.7</v>
      </c>
      <c r="I347" s="59">
        <v>2.9580000000000002</v>
      </c>
      <c r="J347" s="35">
        <v>182</v>
      </c>
      <c r="K347" s="35" t="s">
        <v>83</v>
      </c>
      <c r="L347" s="35" t="s">
        <v>45</v>
      </c>
      <c r="M347" s="36" t="s">
        <v>146</v>
      </c>
      <c r="N347" s="36"/>
      <c r="O347" s="35">
        <v>40</v>
      </c>
      <c r="P347" s="82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83"/>
      <c r="R347" s="683"/>
      <c r="S347" s="683"/>
      <c r="T347" s="684"/>
      <c r="U347" s="37" t="s">
        <v>45</v>
      </c>
      <c r="V347" s="37" t="s">
        <v>45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45</v>
      </c>
      <c r="AB347" s="66" t="s">
        <v>45</v>
      </c>
      <c r="AC347" s="409" t="s">
        <v>568</v>
      </c>
      <c r="AG347" s="75"/>
      <c r="AJ347" s="79" t="s">
        <v>45</v>
      </c>
      <c r="AK347" s="79">
        <v>0</v>
      </c>
      <c r="BB347" s="41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675"/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88"/>
      <c r="P348" s="685" t="s">
        <v>40</v>
      </c>
      <c r="Q348" s="686"/>
      <c r="R348" s="686"/>
      <c r="S348" s="686"/>
      <c r="T348" s="686"/>
      <c r="U348" s="686"/>
      <c r="V348" s="687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x14ac:dyDescent="0.2">
      <c r="A349" s="675"/>
      <c r="B349" s="675"/>
      <c r="C349" s="675"/>
      <c r="D349" s="675"/>
      <c r="E349" s="675"/>
      <c r="F349" s="675"/>
      <c r="G349" s="675"/>
      <c r="H349" s="675"/>
      <c r="I349" s="675"/>
      <c r="J349" s="675"/>
      <c r="K349" s="675"/>
      <c r="L349" s="675"/>
      <c r="M349" s="675"/>
      <c r="N349" s="675"/>
      <c r="O349" s="688"/>
      <c r="P349" s="685" t="s">
        <v>40</v>
      </c>
      <c r="Q349" s="686"/>
      <c r="R349" s="686"/>
      <c r="S349" s="686"/>
      <c r="T349" s="686"/>
      <c r="U349" s="686"/>
      <c r="V349" s="687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customHeight="1" x14ac:dyDescent="0.25">
      <c r="A350" s="680" t="s">
        <v>186</v>
      </c>
      <c r="B350" s="680"/>
      <c r="C350" s="680"/>
      <c r="D350" s="680"/>
      <c r="E350" s="680"/>
      <c r="F350" s="680"/>
      <c r="G350" s="680"/>
      <c r="H350" s="680"/>
      <c r="I350" s="680"/>
      <c r="J350" s="680"/>
      <c r="K350" s="680"/>
      <c r="L350" s="680"/>
      <c r="M350" s="680"/>
      <c r="N350" s="680"/>
      <c r="O350" s="680"/>
      <c r="P350" s="680"/>
      <c r="Q350" s="680"/>
      <c r="R350" s="680"/>
      <c r="S350" s="680"/>
      <c r="T350" s="680"/>
      <c r="U350" s="680"/>
      <c r="V350" s="680"/>
      <c r="W350" s="680"/>
      <c r="X350" s="680"/>
      <c r="Y350" s="680"/>
      <c r="Z350" s="680"/>
      <c r="AA350" s="63"/>
      <c r="AB350" s="63"/>
      <c r="AC350" s="63"/>
    </row>
    <row r="351" spans="1:68" ht="27" customHeight="1" x14ac:dyDescent="0.25">
      <c r="A351" s="60" t="s">
        <v>569</v>
      </c>
      <c r="B351" s="60" t="s">
        <v>570</v>
      </c>
      <c r="C351" s="34">
        <v>4301060387</v>
      </c>
      <c r="D351" s="681">
        <v>4607091380880</v>
      </c>
      <c r="E351" s="681"/>
      <c r="F351" s="59">
        <v>1.4</v>
      </c>
      <c r="G351" s="35">
        <v>6</v>
      </c>
      <c r="H351" s="59">
        <v>8.4</v>
      </c>
      <c r="I351" s="59">
        <v>8.9190000000000005</v>
      </c>
      <c r="J351" s="35">
        <v>64</v>
      </c>
      <c r="K351" s="35" t="s">
        <v>114</v>
      </c>
      <c r="L351" s="35" t="s">
        <v>45</v>
      </c>
      <c r="M351" s="36" t="s">
        <v>117</v>
      </c>
      <c r="N351" s="36"/>
      <c r="O351" s="35">
        <v>30</v>
      </c>
      <c r="P351" s="8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83"/>
      <c r="R351" s="683"/>
      <c r="S351" s="683"/>
      <c r="T351" s="684"/>
      <c r="U351" s="37" t="s">
        <v>45</v>
      </c>
      <c r="V351" s="37" t="s">
        <v>45</v>
      </c>
      <c r="W351" s="38" t="s">
        <v>0</v>
      </c>
      <c r="X351" s="56">
        <v>50</v>
      </c>
      <c r="Y351" s="53">
        <f>IFERROR(IF(X351="",0,CEILING((X351/$H351),1)*$H351),"")</f>
        <v>50.400000000000006</v>
      </c>
      <c r="Z351" s="39">
        <f>IFERROR(IF(Y351=0,"",ROUNDUP(Y351/H351,0)*0.01898),"")</f>
        <v>0.11388000000000001</v>
      </c>
      <c r="AA351" s="65" t="s">
        <v>45</v>
      </c>
      <c r="AB351" s="66" t="s">
        <v>45</v>
      </c>
      <c r="AC351" s="411" t="s">
        <v>571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53.089285714285715</v>
      </c>
      <c r="BN351" s="75">
        <f>IFERROR(Y351*I351/H351,"0")</f>
        <v>53.514000000000003</v>
      </c>
      <c r="BO351" s="75">
        <f>IFERROR(1/J351*(X351/H351),"0")</f>
        <v>9.3005952380952384E-2</v>
      </c>
      <c r="BP351" s="75">
        <f>IFERROR(1/J351*(Y351/H351),"0")</f>
        <v>9.375E-2</v>
      </c>
    </row>
    <row r="352" spans="1:68" ht="27" customHeight="1" x14ac:dyDescent="0.25">
      <c r="A352" s="60" t="s">
        <v>572</v>
      </c>
      <c r="B352" s="60" t="s">
        <v>573</v>
      </c>
      <c r="C352" s="34">
        <v>4301060406</v>
      </c>
      <c r="D352" s="681">
        <v>4607091384482</v>
      </c>
      <c r="E352" s="681"/>
      <c r="F352" s="59">
        <v>1.3</v>
      </c>
      <c r="G352" s="35">
        <v>6</v>
      </c>
      <c r="H352" s="59">
        <v>7.8</v>
      </c>
      <c r="I352" s="59">
        <v>8.3190000000000008</v>
      </c>
      <c r="J352" s="35">
        <v>64</v>
      </c>
      <c r="K352" s="35" t="s">
        <v>114</v>
      </c>
      <c r="L352" s="35" t="s">
        <v>45</v>
      </c>
      <c r="M352" s="36" t="s">
        <v>117</v>
      </c>
      <c r="N352" s="36"/>
      <c r="O352" s="35">
        <v>30</v>
      </c>
      <c r="P352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83"/>
      <c r="R352" s="683"/>
      <c r="S352" s="683"/>
      <c r="T352" s="684"/>
      <c r="U352" s="37" t="s">
        <v>45</v>
      </c>
      <c r="V352" s="37" t="s">
        <v>45</v>
      </c>
      <c r="W352" s="38" t="s">
        <v>0</v>
      </c>
      <c r="X352" s="56">
        <v>70</v>
      </c>
      <c r="Y352" s="53">
        <f>IFERROR(IF(X352="",0,CEILING((X352/$H352),1)*$H352),"")</f>
        <v>70.2</v>
      </c>
      <c r="Z352" s="39">
        <f>IFERROR(IF(Y352=0,"",ROUNDUP(Y352/H352,0)*0.01898),"")</f>
        <v>0.17082</v>
      </c>
      <c r="AA352" s="65" t="s">
        <v>45</v>
      </c>
      <c r="AB352" s="66" t="s">
        <v>45</v>
      </c>
      <c r="AC352" s="413" t="s">
        <v>574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74.657692307692315</v>
      </c>
      <c r="BN352" s="75">
        <f>IFERROR(Y352*I352/H352,"0")</f>
        <v>74.871000000000009</v>
      </c>
      <c r="BO352" s="75">
        <f>IFERROR(1/J352*(X352/H352),"0")</f>
        <v>0.14022435897435898</v>
      </c>
      <c r="BP352" s="75">
        <f>IFERROR(1/J352*(Y352/H352),"0")</f>
        <v>0.140625</v>
      </c>
    </row>
    <row r="353" spans="1:68" ht="16.5" customHeight="1" x14ac:dyDescent="0.25">
      <c r="A353" s="60" t="s">
        <v>575</v>
      </c>
      <c r="B353" s="60" t="s">
        <v>576</v>
      </c>
      <c r="C353" s="34">
        <v>4301060484</v>
      </c>
      <c r="D353" s="681">
        <v>4607091380897</v>
      </c>
      <c r="E353" s="681"/>
      <c r="F353" s="59">
        <v>1.4</v>
      </c>
      <c r="G353" s="35">
        <v>6</v>
      </c>
      <c r="H353" s="59">
        <v>8.4</v>
      </c>
      <c r="I353" s="59">
        <v>8.9190000000000005</v>
      </c>
      <c r="J353" s="35">
        <v>64</v>
      </c>
      <c r="K353" s="35" t="s">
        <v>114</v>
      </c>
      <c r="L353" s="35" t="s">
        <v>45</v>
      </c>
      <c r="M353" s="36" t="s">
        <v>146</v>
      </c>
      <c r="N353" s="36"/>
      <c r="O353" s="35">
        <v>30</v>
      </c>
      <c r="P353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83"/>
      <c r="R353" s="683"/>
      <c r="S353" s="683"/>
      <c r="T353" s="684"/>
      <c r="U353" s="37" t="s">
        <v>45</v>
      </c>
      <c r="V353" s="37" t="s">
        <v>45</v>
      </c>
      <c r="W353" s="38" t="s">
        <v>0</v>
      </c>
      <c r="X353" s="56">
        <v>160</v>
      </c>
      <c r="Y353" s="53">
        <f>IFERROR(IF(X353="",0,CEILING((X353/$H353),1)*$H353),"")</f>
        <v>168</v>
      </c>
      <c r="Z353" s="39">
        <f>IFERROR(IF(Y353=0,"",ROUNDUP(Y353/H353,0)*0.01898),"")</f>
        <v>0.37959999999999999</v>
      </c>
      <c r="AA353" s="65" t="s">
        <v>45</v>
      </c>
      <c r="AB353" s="66" t="s">
        <v>45</v>
      </c>
      <c r="AC353" s="415" t="s">
        <v>577</v>
      </c>
      <c r="AG353" s="75"/>
      <c r="AJ353" s="79" t="s">
        <v>45</v>
      </c>
      <c r="AK353" s="79">
        <v>0</v>
      </c>
      <c r="BB353" s="416" t="s">
        <v>66</v>
      </c>
      <c r="BM353" s="75">
        <f>IFERROR(X353*I353/H353,"0")</f>
        <v>169.88571428571427</v>
      </c>
      <c r="BN353" s="75">
        <f>IFERROR(Y353*I353/H353,"0")</f>
        <v>178.38</v>
      </c>
      <c r="BO353" s="75">
        <f>IFERROR(1/J353*(X353/H353),"0")</f>
        <v>0.29761904761904762</v>
      </c>
      <c r="BP353" s="75">
        <f>IFERROR(1/J353*(Y353/H353),"0")</f>
        <v>0.3125</v>
      </c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88"/>
      <c r="P354" s="685" t="s">
        <v>40</v>
      </c>
      <c r="Q354" s="686"/>
      <c r="R354" s="686"/>
      <c r="S354" s="686"/>
      <c r="T354" s="686"/>
      <c r="U354" s="686"/>
      <c r="V354" s="687"/>
      <c r="W354" s="40" t="s">
        <v>39</v>
      </c>
      <c r="X354" s="41">
        <f>IFERROR(X351/H351,"0")+IFERROR(X352/H352,"0")+IFERROR(X353/H353,"0")</f>
        <v>33.974358974358978</v>
      </c>
      <c r="Y354" s="41">
        <f>IFERROR(Y351/H351,"0")+IFERROR(Y352/H352,"0")+IFERROR(Y353/H353,"0")</f>
        <v>35</v>
      </c>
      <c r="Z354" s="41">
        <f>IFERROR(IF(Z351="",0,Z351),"0")+IFERROR(IF(Z352="",0,Z352),"0")+IFERROR(IF(Z353="",0,Z353),"0")</f>
        <v>0.6643</v>
      </c>
      <c r="AA354" s="64"/>
      <c r="AB354" s="64"/>
      <c r="AC354" s="64"/>
    </row>
    <row r="355" spans="1:68" x14ac:dyDescent="0.2">
      <c r="A355" s="675"/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88"/>
      <c r="P355" s="685" t="s">
        <v>40</v>
      </c>
      <c r="Q355" s="686"/>
      <c r="R355" s="686"/>
      <c r="S355" s="686"/>
      <c r="T355" s="686"/>
      <c r="U355" s="686"/>
      <c r="V355" s="687"/>
      <c r="W355" s="40" t="s">
        <v>0</v>
      </c>
      <c r="X355" s="41">
        <f>IFERROR(SUM(X351:X353),"0")</f>
        <v>280</v>
      </c>
      <c r="Y355" s="41">
        <f>IFERROR(SUM(Y351:Y353),"0")</f>
        <v>288.60000000000002</v>
      </c>
      <c r="Z355" s="40"/>
      <c r="AA355" s="64"/>
      <c r="AB355" s="64"/>
      <c r="AC355" s="64"/>
    </row>
    <row r="356" spans="1:68" ht="14.25" customHeight="1" x14ac:dyDescent="0.25">
      <c r="A356" s="680" t="s">
        <v>101</v>
      </c>
      <c r="B356" s="680"/>
      <c r="C356" s="680"/>
      <c r="D356" s="680"/>
      <c r="E356" s="680"/>
      <c r="F356" s="680"/>
      <c r="G356" s="680"/>
      <c r="H356" s="680"/>
      <c r="I356" s="680"/>
      <c r="J356" s="680"/>
      <c r="K356" s="680"/>
      <c r="L356" s="680"/>
      <c r="M356" s="680"/>
      <c r="N356" s="680"/>
      <c r="O356" s="680"/>
      <c r="P356" s="680"/>
      <c r="Q356" s="680"/>
      <c r="R356" s="680"/>
      <c r="S356" s="680"/>
      <c r="T356" s="680"/>
      <c r="U356" s="680"/>
      <c r="V356" s="680"/>
      <c r="W356" s="680"/>
      <c r="X356" s="680"/>
      <c r="Y356" s="680"/>
      <c r="Z356" s="680"/>
      <c r="AA356" s="63"/>
      <c r="AB356" s="63"/>
      <c r="AC356" s="63"/>
    </row>
    <row r="357" spans="1:68" ht="27" customHeight="1" x14ac:dyDescent="0.25">
      <c r="A357" s="60" t="s">
        <v>578</v>
      </c>
      <c r="B357" s="60" t="s">
        <v>579</v>
      </c>
      <c r="C357" s="34">
        <v>4301032055</v>
      </c>
      <c r="D357" s="681">
        <v>4680115886476</v>
      </c>
      <c r="E357" s="681"/>
      <c r="F357" s="59">
        <v>0.38</v>
      </c>
      <c r="G357" s="35">
        <v>8</v>
      </c>
      <c r="H357" s="59">
        <v>3.04</v>
      </c>
      <c r="I357" s="59">
        <v>3.32</v>
      </c>
      <c r="J357" s="35">
        <v>156</v>
      </c>
      <c r="K357" s="35" t="s">
        <v>118</v>
      </c>
      <c r="L357" s="35" t="s">
        <v>45</v>
      </c>
      <c r="M357" s="36" t="s">
        <v>106</v>
      </c>
      <c r="N357" s="36"/>
      <c r="O357" s="35">
        <v>180</v>
      </c>
      <c r="P357" s="815" t="s">
        <v>580</v>
      </c>
      <c r="Q357" s="683"/>
      <c r="R357" s="683"/>
      <c r="S357" s="683"/>
      <c r="T357" s="684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IFERROR(IF(Y357=0,"",ROUNDUP(Y357/H357,0)*0.00753),"")</f>
        <v/>
      </c>
      <c r="AA357" s="65" t="s">
        <v>45</v>
      </c>
      <c r="AB357" s="66" t="s">
        <v>45</v>
      </c>
      <c r="AC357" s="417" t="s">
        <v>581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582</v>
      </c>
      <c r="B358" s="60" t="s">
        <v>583</v>
      </c>
      <c r="C358" s="34">
        <v>4301030232</v>
      </c>
      <c r="D358" s="681">
        <v>4607091388374</v>
      </c>
      <c r="E358" s="681"/>
      <c r="F358" s="59">
        <v>0.38</v>
      </c>
      <c r="G358" s="35">
        <v>8</v>
      </c>
      <c r="H358" s="59">
        <v>3.04</v>
      </c>
      <c r="I358" s="59">
        <v>3.29</v>
      </c>
      <c r="J358" s="35">
        <v>132</v>
      </c>
      <c r="K358" s="35" t="s">
        <v>118</v>
      </c>
      <c r="L358" s="35" t="s">
        <v>45</v>
      </c>
      <c r="M358" s="36" t="s">
        <v>106</v>
      </c>
      <c r="N358" s="36"/>
      <c r="O358" s="35">
        <v>180</v>
      </c>
      <c r="P358" s="816" t="s">
        <v>584</v>
      </c>
      <c r="Q358" s="683"/>
      <c r="R358" s="683"/>
      <c r="S358" s="683"/>
      <c r="T358" s="684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45</v>
      </c>
      <c r="AB358" s="66" t="s">
        <v>45</v>
      </c>
      <c r="AC358" s="419" t="s">
        <v>585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586</v>
      </c>
      <c r="B359" s="60" t="s">
        <v>587</v>
      </c>
      <c r="C359" s="34">
        <v>4301032015</v>
      </c>
      <c r="D359" s="681">
        <v>4607091383102</v>
      </c>
      <c r="E359" s="681"/>
      <c r="F359" s="59">
        <v>0.17</v>
      </c>
      <c r="G359" s="35">
        <v>15</v>
      </c>
      <c r="H359" s="59">
        <v>2.5499999999999998</v>
      </c>
      <c r="I359" s="59">
        <v>2.9550000000000001</v>
      </c>
      <c r="J359" s="35">
        <v>182</v>
      </c>
      <c r="K359" s="35" t="s">
        <v>83</v>
      </c>
      <c r="L359" s="35" t="s">
        <v>45</v>
      </c>
      <c r="M359" s="36" t="s">
        <v>106</v>
      </c>
      <c r="N359" s="36"/>
      <c r="O359" s="35">
        <v>180</v>
      </c>
      <c r="P359" s="8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83"/>
      <c r="R359" s="683"/>
      <c r="S359" s="683"/>
      <c r="T359" s="684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45</v>
      </c>
      <c r="AB359" s="66" t="s">
        <v>45</v>
      </c>
      <c r="AC359" s="421" t="s">
        <v>588</v>
      </c>
      <c r="AG359" s="75"/>
      <c r="AJ359" s="79" t="s">
        <v>45</v>
      </c>
      <c r="AK359" s="79">
        <v>0</v>
      </c>
      <c r="BB359" s="422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customHeight="1" x14ac:dyDescent="0.25">
      <c r="A360" s="60" t="s">
        <v>589</v>
      </c>
      <c r="B360" s="60" t="s">
        <v>590</v>
      </c>
      <c r="C360" s="34">
        <v>4301030233</v>
      </c>
      <c r="D360" s="681">
        <v>4607091388404</v>
      </c>
      <c r="E360" s="681"/>
      <c r="F360" s="59">
        <v>0.17</v>
      </c>
      <c r="G360" s="35">
        <v>15</v>
      </c>
      <c r="H360" s="59">
        <v>2.5499999999999998</v>
      </c>
      <c r="I360" s="59">
        <v>2.88</v>
      </c>
      <c r="J360" s="35">
        <v>182</v>
      </c>
      <c r="K360" s="35" t="s">
        <v>83</v>
      </c>
      <c r="L360" s="35" t="s">
        <v>45</v>
      </c>
      <c r="M360" s="36" t="s">
        <v>106</v>
      </c>
      <c r="N360" s="36"/>
      <c r="O360" s="35">
        <v>180</v>
      </c>
      <c r="P360" s="8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83"/>
      <c r="R360" s="683"/>
      <c r="S360" s="683"/>
      <c r="T360" s="684"/>
      <c r="U360" s="37" t="s">
        <v>45</v>
      </c>
      <c r="V360" s="37" t="s">
        <v>45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IFERROR(IF(Y360=0,"",ROUNDUP(Y360/H360,0)*0.00651),"")</f>
        <v/>
      </c>
      <c r="AA360" s="65" t="s">
        <v>45</v>
      </c>
      <c r="AB360" s="66" t="s">
        <v>45</v>
      </c>
      <c r="AC360" s="423" t="s">
        <v>585</v>
      </c>
      <c r="AG360" s="75"/>
      <c r="AJ360" s="79" t="s">
        <v>45</v>
      </c>
      <c r="AK360" s="79">
        <v>0</v>
      </c>
      <c r="BB360" s="424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x14ac:dyDescent="0.2">
      <c r="A361" s="675"/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88"/>
      <c r="P361" s="685" t="s">
        <v>40</v>
      </c>
      <c r="Q361" s="686"/>
      <c r="R361" s="686"/>
      <c r="S361" s="686"/>
      <c r="T361" s="686"/>
      <c r="U361" s="686"/>
      <c r="V361" s="687"/>
      <c r="W361" s="40" t="s">
        <v>39</v>
      </c>
      <c r="X361" s="41">
        <f>IFERROR(X357/H357,"0")+IFERROR(X358/H358,"0")+IFERROR(X359/H359,"0")+IFERROR(X360/H360,"0")</f>
        <v>0</v>
      </c>
      <c r="Y361" s="41">
        <f>IFERROR(Y357/H357,"0")+IFERROR(Y358/H358,"0")+IFERROR(Y359/H359,"0")+IFERROR(Y360/H360,"0")</f>
        <v>0</v>
      </c>
      <c r="Z361" s="41">
        <f>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75"/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88"/>
      <c r="P362" s="685" t="s">
        <v>40</v>
      </c>
      <c r="Q362" s="686"/>
      <c r="R362" s="686"/>
      <c r="S362" s="686"/>
      <c r="T362" s="686"/>
      <c r="U362" s="686"/>
      <c r="V362" s="687"/>
      <c r="W362" s="40" t="s">
        <v>0</v>
      </c>
      <c r="X362" s="41">
        <f>IFERROR(SUM(X357:X360),"0")</f>
        <v>0</v>
      </c>
      <c r="Y362" s="41">
        <f>IFERROR(SUM(Y357:Y360),"0")</f>
        <v>0</v>
      </c>
      <c r="Z362" s="40"/>
      <c r="AA362" s="64"/>
      <c r="AB362" s="64"/>
      <c r="AC362" s="64"/>
    </row>
    <row r="363" spans="1:68" ht="14.25" customHeight="1" x14ac:dyDescent="0.25">
      <c r="A363" s="680" t="s">
        <v>591</v>
      </c>
      <c r="B363" s="680"/>
      <c r="C363" s="680"/>
      <c r="D363" s="680"/>
      <c r="E363" s="680"/>
      <c r="F363" s="680"/>
      <c r="G363" s="680"/>
      <c r="H363" s="680"/>
      <c r="I363" s="680"/>
      <c r="J363" s="680"/>
      <c r="K363" s="680"/>
      <c r="L363" s="680"/>
      <c r="M363" s="680"/>
      <c r="N363" s="680"/>
      <c r="O363" s="680"/>
      <c r="P363" s="680"/>
      <c r="Q363" s="680"/>
      <c r="R363" s="680"/>
      <c r="S363" s="680"/>
      <c r="T363" s="680"/>
      <c r="U363" s="680"/>
      <c r="V363" s="680"/>
      <c r="W363" s="680"/>
      <c r="X363" s="680"/>
      <c r="Y363" s="680"/>
      <c r="Z363" s="680"/>
      <c r="AA363" s="63"/>
      <c r="AB363" s="63"/>
      <c r="AC363" s="63"/>
    </row>
    <row r="364" spans="1:68" ht="16.5" customHeight="1" x14ac:dyDescent="0.25">
      <c r="A364" s="60" t="s">
        <v>592</v>
      </c>
      <c r="B364" s="60" t="s">
        <v>593</v>
      </c>
      <c r="C364" s="34">
        <v>4301180007</v>
      </c>
      <c r="D364" s="681">
        <v>4680115881808</v>
      </c>
      <c r="E364" s="681"/>
      <c r="F364" s="59">
        <v>0.1</v>
      </c>
      <c r="G364" s="35">
        <v>20</v>
      </c>
      <c r="H364" s="59">
        <v>2</v>
      </c>
      <c r="I364" s="59">
        <v>2.2400000000000002</v>
      </c>
      <c r="J364" s="35">
        <v>238</v>
      </c>
      <c r="K364" s="35" t="s">
        <v>83</v>
      </c>
      <c r="L364" s="35" t="s">
        <v>45</v>
      </c>
      <c r="M364" s="36" t="s">
        <v>595</v>
      </c>
      <c r="N364" s="36"/>
      <c r="O364" s="35">
        <v>730</v>
      </c>
      <c r="P364" s="80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83"/>
      <c r="R364" s="683"/>
      <c r="S364" s="683"/>
      <c r="T364" s="684"/>
      <c r="U364" s="37" t="s">
        <v>45</v>
      </c>
      <c r="V364" s="37" t="s">
        <v>45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IFERROR(IF(Y364=0,"",ROUNDUP(Y364/H364,0)*0.00474),"")</f>
        <v/>
      </c>
      <c r="AA364" s="65" t="s">
        <v>45</v>
      </c>
      <c r="AB364" s="66" t="s">
        <v>45</v>
      </c>
      <c r="AC364" s="425" t="s">
        <v>594</v>
      </c>
      <c r="AG364" s="75"/>
      <c r="AJ364" s="79" t="s">
        <v>45</v>
      </c>
      <c r="AK364" s="79">
        <v>0</v>
      </c>
      <c r="BB364" s="426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596</v>
      </c>
      <c r="B365" s="60" t="s">
        <v>597</v>
      </c>
      <c r="C365" s="34">
        <v>4301180006</v>
      </c>
      <c r="D365" s="681">
        <v>4680115881822</v>
      </c>
      <c r="E365" s="681"/>
      <c r="F365" s="59">
        <v>0.1</v>
      </c>
      <c r="G365" s="35">
        <v>20</v>
      </c>
      <c r="H365" s="59">
        <v>2</v>
      </c>
      <c r="I365" s="59">
        <v>2.2400000000000002</v>
      </c>
      <c r="J365" s="35">
        <v>238</v>
      </c>
      <c r="K365" s="35" t="s">
        <v>83</v>
      </c>
      <c r="L365" s="35" t="s">
        <v>45</v>
      </c>
      <c r="M365" s="36" t="s">
        <v>595</v>
      </c>
      <c r="N365" s="36"/>
      <c r="O365" s="35">
        <v>730</v>
      </c>
      <c r="P365" s="8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83"/>
      <c r="R365" s="683"/>
      <c r="S365" s="683"/>
      <c r="T365" s="684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IFERROR(IF(Y365=0,"",ROUNDUP(Y365/H365,0)*0.00474),"")</f>
        <v/>
      </c>
      <c r="AA365" s="65" t="s">
        <v>45</v>
      </c>
      <c r="AB365" s="66" t="s">
        <v>45</v>
      </c>
      <c r="AC365" s="427" t="s">
        <v>594</v>
      </c>
      <c r="AG365" s="75"/>
      <c r="AJ365" s="79" t="s">
        <v>45</v>
      </c>
      <c r="AK365" s="79">
        <v>0</v>
      </c>
      <c r="BB365" s="428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598</v>
      </c>
      <c r="B366" s="60" t="s">
        <v>599</v>
      </c>
      <c r="C366" s="34">
        <v>4301180001</v>
      </c>
      <c r="D366" s="681">
        <v>4680115880016</v>
      </c>
      <c r="E366" s="681"/>
      <c r="F366" s="59">
        <v>0.1</v>
      </c>
      <c r="G366" s="35">
        <v>20</v>
      </c>
      <c r="H366" s="59">
        <v>2</v>
      </c>
      <c r="I366" s="59">
        <v>2.2400000000000002</v>
      </c>
      <c r="J366" s="35">
        <v>238</v>
      </c>
      <c r="K366" s="35" t="s">
        <v>83</v>
      </c>
      <c r="L366" s="35" t="s">
        <v>45</v>
      </c>
      <c r="M366" s="36" t="s">
        <v>595</v>
      </c>
      <c r="N366" s="36"/>
      <c r="O366" s="35">
        <v>730</v>
      </c>
      <c r="P366" s="8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83"/>
      <c r="R366" s="683"/>
      <c r="S366" s="683"/>
      <c r="T366" s="684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IFERROR(IF(Y366=0,"",ROUNDUP(Y366/H366,0)*0.00474),"")</f>
        <v/>
      </c>
      <c r="AA366" s="65" t="s">
        <v>45</v>
      </c>
      <c r="AB366" s="66" t="s">
        <v>45</v>
      </c>
      <c r="AC366" s="429" t="s">
        <v>594</v>
      </c>
      <c r="AG366" s="75"/>
      <c r="AJ366" s="79" t="s">
        <v>45</v>
      </c>
      <c r="AK366" s="79">
        <v>0</v>
      </c>
      <c r="BB366" s="43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75"/>
      <c r="B367" s="675"/>
      <c r="C367" s="675"/>
      <c r="D367" s="675"/>
      <c r="E367" s="675"/>
      <c r="F367" s="675"/>
      <c r="G367" s="675"/>
      <c r="H367" s="675"/>
      <c r="I367" s="675"/>
      <c r="J367" s="675"/>
      <c r="K367" s="675"/>
      <c r="L367" s="675"/>
      <c r="M367" s="675"/>
      <c r="N367" s="675"/>
      <c r="O367" s="688"/>
      <c r="P367" s="685" t="s">
        <v>40</v>
      </c>
      <c r="Q367" s="686"/>
      <c r="R367" s="686"/>
      <c r="S367" s="686"/>
      <c r="T367" s="686"/>
      <c r="U367" s="686"/>
      <c r="V367" s="687"/>
      <c r="W367" s="40" t="s">
        <v>39</v>
      </c>
      <c r="X367" s="41">
        <f>IFERROR(X364/H364,"0")+IFERROR(X365/H365,"0")+IFERROR(X366/H366,"0")</f>
        <v>0</v>
      </c>
      <c r="Y367" s="41">
        <f>IFERROR(Y364/H364,"0")+IFERROR(Y365/H365,"0")+IFERROR(Y366/H366,"0")</f>
        <v>0</v>
      </c>
      <c r="Z367" s="41">
        <f>IFERROR(IF(Z364="",0,Z364),"0")+IFERROR(IF(Z365="",0,Z365),"0")+IFERROR(IF(Z366="",0,Z366),"0")</f>
        <v>0</v>
      </c>
      <c r="AA367" s="64"/>
      <c r="AB367" s="64"/>
      <c r="AC367" s="64"/>
    </row>
    <row r="368" spans="1:68" x14ac:dyDescent="0.2">
      <c r="A368" s="675"/>
      <c r="B368" s="675"/>
      <c r="C368" s="675"/>
      <c r="D368" s="675"/>
      <c r="E368" s="675"/>
      <c r="F368" s="675"/>
      <c r="G368" s="675"/>
      <c r="H368" s="675"/>
      <c r="I368" s="675"/>
      <c r="J368" s="675"/>
      <c r="K368" s="675"/>
      <c r="L368" s="675"/>
      <c r="M368" s="675"/>
      <c r="N368" s="675"/>
      <c r="O368" s="688"/>
      <c r="P368" s="685" t="s">
        <v>40</v>
      </c>
      <c r="Q368" s="686"/>
      <c r="R368" s="686"/>
      <c r="S368" s="686"/>
      <c r="T368" s="686"/>
      <c r="U368" s="686"/>
      <c r="V368" s="687"/>
      <c r="W368" s="40" t="s">
        <v>0</v>
      </c>
      <c r="X368" s="41">
        <f>IFERROR(SUM(X364:X366),"0")</f>
        <v>0</v>
      </c>
      <c r="Y368" s="41">
        <f>IFERROR(SUM(Y364:Y366),"0")</f>
        <v>0</v>
      </c>
      <c r="Z368" s="40"/>
      <c r="AA368" s="64"/>
      <c r="AB368" s="64"/>
      <c r="AC368" s="64"/>
    </row>
    <row r="369" spans="1:68" ht="16.5" customHeight="1" x14ac:dyDescent="0.25">
      <c r="A369" s="695" t="s">
        <v>600</v>
      </c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5"/>
      <c r="P369" s="695"/>
      <c r="Q369" s="695"/>
      <c r="R369" s="695"/>
      <c r="S369" s="695"/>
      <c r="T369" s="695"/>
      <c r="U369" s="695"/>
      <c r="V369" s="695"/>
      <c r="W369" s="695"/>
      <c r="X369" s="695"/>
      <c r="Y369" s="695"/>
      <c r="Z369" s="695"/>
      <c r="AA369" s="62"/>
      <c r="AB369" s="62"/>
      <c r="AC369" s="62"/>
    </row>
    <row r="370" spans="1:68" ht="14.25" customHeight="1" x14ac:dyDescent="0.25">
      <c r="A370" s="680" t="s">
        <v>160</v>
      </c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0"/>
      <c r="P370" s="680"/>
      <c r="Q370" s="680"/>
      <c r="R370" s="680"/>
      <c r="S370" s="680"/>
      <c r="T370" s="680"/>
      <c r="U370" s="680"/>
      <c r="V370" s="680"/>
      <c r="W370" s="680"/>
      <c r="X370" s="680"/>
      <c r="Y370" s="680"/>
      <c r="Z370" s="680"/>
      <c r="AA370" s="63"/>
      <c r="AB370" s="63"/>
      <c r="AC370" s="63"/>
    </row>
    <row r="371" spans="1:68" ht="27" customHeight="1" x14ac:dyDescent="0.25">
      <c r="A371" s="60" t="s">
        <v>601</v>
      </c>
      <c r="B371" s="60" t="s">
        <v>602</v>
      </c>
      <c r="C371" s="34">
        <v>4301031066</v>
      </c>
      <c r="D371" s="681">
        <v>4607091383836</v>
      </c>
      <c r="E371" s="681"/>
      <c r="F371" s="59">
        <v>0.3</v>
      </c>
      <c r="G371" s="35">
        <v>6</v>
      </c>
      <c r="H371" s="59">
        <v>1.8</v>
      </c>
      <c r="I371" s="59">
        <v>2.028</v>
      </c>
      <c r="J371" s="35">
        <v>182</v>
      </c>
      <c r="K371" s="35" t="s">
        <v>83</v>
      </c>
      <c r="L371" s="35" t="s">
        <v>45</v>
      </c>
      <c r="M371" s="36" t="s">
        <v>82</v>
      </c>
      <c r="N371" s="36"/>
      <c r="O371" s="35">
        <v>40</v>
      </c>
      <c r="P371" s="812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83"/>
      <c r="R371" s="683"/>
      <c r="S371" s="683"/>
      <c r="T371" s="684"/>
      <c r="U371" s="37" t="s">
        <v>45</v>
      </c>
      <c r="V371" s="37" t="s">
        <v>45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45</v>
      </c>
      <c r="AB371" s="66" t="s">
        <v>45</v>
      </c>
      <c r="AC371" s="431" t="s">
        <v>603</v>
      </c>
      <c r="AG371" s="75"/>
      <c r="AJ371" s="79" t="s">
        <v>45</v>
      </c>
      <c r="AK371" s="79">
        <v>0</v>
      </c>
      <c r="BB371" s="432" t="s">
        <v>66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x14ac:dyDescent="0.2">
      <c r="A372" s="675"/>
      <c r="B372" s="675"/>
      <c r="C372" s="675"/>
      <c r="D372" s="675"/>
      <c r="E372" s="675"/>
      <c r="F372" s="675"/>
      <c r="G372" s="675"/>
      <c r="H372" s="675"/>
      <c r="I372" s="675"/>
      <c r="J372" s="675"/>
      <c r="K372" s="675"/>
      <c r="L372" s="675"/>
      <c r="M372" s="675"/>
      <c r="N372" s="675"/>
      <c r="O372" s="688"/>
      <c r="P372" s="685" t="s">
        <v>40</v>
      </c>
      <c r="Q372" s="686"/>
      <c r="R372" s="686"/>
      <c r="S372" s="686"/>
      <c r="T372" s="686"/>
      <c r="U372" s="686"/>
      <c r="V372" s="687"/>
      <c r="W372" s="40" t="s">
        <v>39</v>
      </c>
      <c r="X372" s="41">
        <f>IFERROR(X371/H371,"0")</f>
        <v>0</v>
      </c>
      <c r="Y372" s="41">
        <f>IFERROR(Y371/H371,"0")</f>
        <v>0</v>
      </c>
      <c r="Z372" s="41">
        <f>IFERROR(IF(Z371="",0,Z371),"0")</f>
        <v>0</v>
      </c>
      <c r="AA372" s="64"/>
      <c r="AB372" s="64"/>
      <c r="AC372" s="64"/>
    </row>
    <row r="373" spans="1:68" x14ac:dyDescent="0.2">
      <c r="A373" s="675"/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88"/>
      <c r="P373" s="685" t="s">
        <v>40</v>
      </c>
      <c r="Q373" s="686"/>
      <c r="R373" s="686"/>
      <c r="S373" s="686"/>
      <c r="T373" s="686"/>
      <c r="U373" s="686"/>
      <c r="V373" s="687"/>
      <c r="W373" s="40" t="s">
        <v>0</v>
      </c>
      <c r="X373" s="41">
        <f>IFERROR(SUM(X371:X371),"0")</f>
        <v>0</v>
      </c>
      <c r="Y373" s="41">
        <f>IFERROR(SUM(Y371:Y371),"0")</f>
        <v>0</v>
      </c>
      <c r="Z373" s="40"/>
      <c r="AA373" s="64"/>
      <c r="AB373" s="64"/>
      <c r="AC373" s="64"/>
    </row>
    <row r="374" spans="1:68" ht="14.25" customHeight="1" x14ac:dyDescent="0.25">
      <c r="A374" s="680" t="s">
        <v>78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3"/>
      <c r="AB374" s="63"/>
      <c r="AC374" s="63"/>
    </row>
    <row r="375" spans="1:68" ht="27" customHeight="1" x14ac:dyDescent="0.25">
      <c r="A375" s="60" t="s">
        <v>604</v>
      </c>
      <c r="B375" s="60" t="s">
        <v>605</v>
      </c>
      <c r="C375" s="34">
        <v>4301051489</v>
      </c>
      <c r="D375" s="681">
        <v>4607091387919</v>
      </c>
      <c r="E375" s="681"/>
      <c r="F375" s="59">
        <v>1.35</v>
      </c>
      <c r="G375" s="35">
        <v>6</v>
      </c>
      <c r="H375" s="59">
        <v>8.1</v>
      </c>
      <c r="I375" s="59">
        <v>8.6189999999999998</v>
      </c>
      <c r="J375" s="35">
        <v>64</v>
      </c>
      <c r="K375" s="35" t="s">
        <v>114</v>
      </c>
      <c r="L375" s="35" t="s">
        <v>45</v>
      </c>
      <c r="M375" s="36" t="s">
        <v>146</v>
      </c>
      <c r="N375" s="36"/>
      <c r="O375" s="35">
        <v>45</v>
      </c>
      <c r="P375" s="8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83"/>
      <c r="R375" s="683"/>
      <c r="S375" s="683"/>
      <c r="T375" s="684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33" t="s">
        <v>606</v>
      </c>
      <c r="AG375" s="75"/>
      <c r="AJ375" s="79" t="s">
        <v>45</v>
      </c>
      <c r="AK375" s="79">
        <v>0</v>
      </c>
      <c r="BB375" s="434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customHeight="1" x14ac:dyDescent="0.25">
      <c r="A376" s="60" t="s">
        <v>607</v>
      </c>
      <c r="B376" s="60" t="s">
        <v>608</v>
      </c>
      <c r="C376" s="34">
        <v>4301051461</v>
      </c>
      <c r="D376" s="681">
        <v>4680115883604</v>
      </c>
      <c r="E376" s="681"/>
      <c r="F376" s="59">
        <v>0.35</v>
      </c>
      <c r="G376" s="35">
        <v>6</v>
      </c>
      <c r="H376" s="59">
        <v>2.1</v>
      </c>
      <c r="I376" s="59">
        <v>2.3519999999999999</v>
      </c>
      <c r="J376" s="35">
        <v>182</v>
      </c>
      <c r="K376" s="35" t="s">
        <v>83</v>
      </c>
      <c r="L376" s="35" t="s">
        <v>45</v>
      </c>
      <c r="M376" s="36" t="s">
        <v>117</v>
      </c>
      <c r="N376" s="36"/>
      <c r="O376" s="35">
        <v>45</v>
      </c>
      <c r="P37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83"/>
      <c r="R376" s="683"/>
      <c r="S376" s="683"/>
      <c r="T376" s="684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45</v>
      </c>
      <c r="AB376" s="66" t="s">
        <v>45</v>
      </c>
      <c r="AC376" s="435" t="s">
        <v>609</v>
      </c>
      <c r="AG376" s="75"/>
      <c r="AJ376" s="79" t="s">
        <v>45</v>
      </c>
      <c r="AK376" s="79">
        <v>0</v>
      </c>
      <c r="BB376" s="436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customHeight="1" x14ac:dyDescent="0.25">
      <c r="A377" s="60" t="s">
        <v>610</v>
      </c>
      <c r="B377" s="60" t="s">
        <v>611</v>
      </c>
      <c r="C377" s="34">
        <v>4301051864</v>
      </c>
      <c r="D377" s="681">
        <v>4680115883567</v>
      </c>
      <c r="E377" s="681"/>
      <c r="F377" s="59">
        <v>0.35</v>
      </c>
      <c r="G377" s="35">
        <v>6</v>
      </c>
      <c r="H377" s="59">
        <v>2.1</v>
      </c>
      <c r="I377" s="59">
        <v>2.34</v>
      </c>
      <c r="J377" s="35">
        <v>182</v>
      </c>
      <c r="K377" s="35" t="s">
        <v>83</v>
      </c>
      <c r="L377" s="35" t="s">
        <v>45</v>
      </c>
      <c r="M377" s="36" t="s">
        <v>146</v>
      </c>
      <c r="N377" s="36"/>
      <c r="O377" s="35">
        <v>40</v>
      </c>
      <c r="P377" s="80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83"/>
      <c r="R377" s="683"/>
      <c r="S377" s="683"/>
      <c r="T377" s="684"/>
      <c r="U377" s="37" t="s">
        <v>45</v>
      </c>
      <c r="V377" s="37" t="s">
        <v>45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IFERROR(IF(Y377=0,"",ROUNDUP(Y377/H377,0)*0.00651),"")</f>
        <v/>
      </c>
      <c r="AA377" s="65" t="s">
        <v>45</v>
      </c>
      <c r="AB377" s="66" t="s">
        <v>45</v>
      </c>
      <c r="AC377" s="437" t="s">
        <v>612</v>
      </c>
      <c r="AG377" s="75"/>
      <c r="AJ377" s="79" t="s">
        <v>45</v>
      </c>
      <c r="AK377" s="79">
        <v>0</v>
      </c>
      <c r="BB377" s="438" t="s">
        <v>66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x14ac:dyDescent="0.2">
      <c r="A378" s="675"/>
      <c r="B378" s="675"/>
      <c r="C378" s="675"/>
      <c r="D378" s="675"/>
      <c r="E378" s="675"/>
      <c r="F378" s="675"/>
      <c r="G378" s="675"/>
      <c r="H378" s="675"/>
      <c r="I378" s="675"/>
      <c r="J378" s="675"/>
      <c r="K378" s="675"/>
      <c r="L378" s="675"/>
      <c r="M378" s="675"/>
      <c r="N378" s="675"/>
      <c r="O378" s="688"/>
      <c r="P378" s="685" t="s">
        <v>40</v>
      </c>
      <c r="Q378" s="686"/>
      <c r="R378" s="686"/>
      <c r="S378" s="686"/>
      <c r="T378" s="686"/>
      <c r="U378" s="686"/>
      <c r="V378" s="687"/>
      <c r="W378" s="40" t="s">
        <v>39</v>
      </c>
      <c r="X378" s="41">
        <f>IFERROR(X375/H375,"0")+IFERROR(X376/H376,"0")+IFERROR(X377/H377,"0")</f>
        <v>0</v>
      </c>
      <c r="Y378" s="41">
        <f>IFERROR(Y375/H375,"0")+IFERROR(Y376/H376,"0")+IFERROR(Y377/H377,"0")</f>
        <v>0</v>
      </c>
      <c r="Z378" s="41">
        <f>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75"/>
      <c r="B379" s="675"/>
      <c r="C379" s="675"/>
      <c r="D379" s="675"/>
      <c r="E379" s="675"/>
      <c r="F379" s="675"/>
      <c r="G379" s="675"/>
      <c r="H379" s="675"/>
      <c r="I379" s="675"/>
      <c r="J379" s="675"/>
      <c r="K379" s="675"/>
      <c r="L379" s="675"/>
      <c r="M379" s="675"/>
      <c r="N379" s="675"/>
      <c r="O379" s="688"/>
      <c r="P379" s="685" t="s">
        <v>40</v>
      </c>
      <c r="Q379" s="686"/>
      <c r="R379" s="686"/>
      <c r="S379" s="686"/>
      <c r="T379" s="686"/>
      <c r="U379" s="686"/>
      <c r="V379" s="687"/>
      <c r="W379" s="40" t="s">
        <v>0</v>
      </c>
      <c r="X379" s="41">
        <f>IFERROR(SUM(X375:X377),"0")</f>
        <v>0</v>
      </c>
      <c r="Y379" s="41">
        <f>IFERROR(SUM(Y375:Y377),"0")</f>
        <v>0</v>
      </c>
      <c r="Z379" s="40"/>
      <c r="AA379" s="64"/>
      <c r="AB379" s="64"/>
      <c r="AC379" s="64"/>
    </row>
    <row r="380" spans="1:68" ht="27.75" customHeight="1" x14ac:dyDescent="0.2">
      <c r="A380" s="717" t="s">
        <v>613</v>
      </c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7"/>
      <c r="P380" s="717"/>
      <c r="Q380" s="717"/>
      <c r="R380" s="717"/>
      <c r="S380" s="717"/>
      <c r="T380" s="717"/>
      <c r="U380" s="717"/>
      <c r="V380" s="717"/>
      <c r="W380" s="717"/>
      <c r="X380" s="717"/>
      <c r="Y380" s="717"/>
      <c r="Z380" s="717"/>
      <c r="AA380" s="52"/>
      <c r="AB380" s="52"/>
      <c r="AC380" s="52"/>
    </row>
    <row r="381" spans="1:68" ht="16.5" customHeight="1" x14ac:dyDescent="0.25">
      <c r="A381" s="695" t="s">
        <v>614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62"/>
      <c r="AB381" s="62"/>
      <c r="AC381" s="62"/>
    </row>
    <row r="382" spans="1:68" ht="14.25" customHeight="1" x14ac:dyDescent="0.25">
      <c r="A382" s="680" t="s">
        <v>109</v>
      </c>
      <c r="B382" s="680"/>
      <c r="C382" s="680"/>
      <c r="D382" s="680"/>
      <c r="E382" s="680"/>
      <c r="F382" s="680"/>
      <c r="G382" s="680"/>
      <c r="H382" s="680"/>
      <c r="I382" s="680"/>
      <c r="J382" s="680"/>
      <c r="K382" s="680"/>
      <c r="L382" s="680"/>
      <c r="M382" s="680"/>
      <c r="N382" s="680"/>
      <c r="O382" s="680"/>
      <c r="P382" s="680"/>
      <c r="Q382" s="680"/>
      <c r="R382" s="680"/>
      <c r="S382" s="680"/>
      <c r="T382" s="680"/>
      <c r="U382" s="680"/>
      <c r="V382" s="680"/>
      <c r="W382" s="680"/>
      <c r="X382" s="680"/>
      <c r="Y382" s="680"/>
      <c r="Z382" s="680"/>
      <c r="AA382" s="63"/>
      <c r="AB382" s="63"/>
      <c r="AC382" s="63"/>
    </row>
    <row r="383" spans="1:68" ht="27" customHeight="1" x14ac:dyDescent="0.25">
      <c r="A383" s="60" t="s">
        <v>615</v>
      </c>
      <c r="B383" s="60" t="s">
        <v>616</v>
      </c>
      <c r="C383" s="34">
        <v>4301011946</v>
      </c>
      <c r="D383" s="681">
        <v>4680115884847</v>
      </c>
      <c r="E383" s="681"/>
      <c r="F383" s="59">
        <v>2.5</v>
      </c>
      <c r="G383" s="35">
        <v>6</v>
      </c>
      <c r="H383" s="59">
        <v>15</v>
      </c>
      <c r="I383" s="59">
        <v>15.48</v>
      </c>
      <c r="J383" s="35">
        <v>48</v>
      </c>
      <c r="K383" s="35" t="s">
        <v>114</v>
      </c>
      <c r="L383" s="35" t="s">
        <v>45</v>
      </c>
      <c r="M383" s="36" t="s">
        <v>407</v>
      </c>
      <c r="N383" s="36"/>
      <c r="O383" s="35">
        <v>60</v>
      </c>
      <c r="P383" s="80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83"/>
      <c r="R383" s="683"/>
      <c r="S383" s="683"/>
      <c r="T383" s="684"/>
      <c r="U383" s="37" t="s">
        <v>45</v>
      </c>
      <c r="V383" s="37" t="s">
        <v>45</v>
      </c>
      <c r="W383" s="38" t="s">
        <v>0</v>
      </c>
      <c r="X383" s="56">
        <v>2810</v>
      </c>
      <c r="Y383" s="53">
        <f t="shared" ref="Y383:Y392" si="57">IFERROR(IF(X383="",0,CEILING((X383/$H383),1)*$H383),"")</f>
        <v>2820</v>
      </c>
      <c r="Z383" s="39">
        <f>IFERROR(IF(Y383=0,"",ROUNDUP(Y383/H383,0)*0.02039),"")</f>
        <v>3.8333199999999996</v>
      </c>
      <c r="AA383" s="65" t="s">
        <v>45</v>
      </c>
      <c r="AB383" s="66" t="s">
        <v>45</v>
      </c>
      <c r="AC383" s="439" t="s">
        <v>617</v>
      </c>
      <c r="AG383" s="75"/>
      <c r="AJ383" s="79" t="s">
        <v>45</v>
      </c>
      <c r="AK383" s="79">
        <v>0</v>
      </c>
      <c r="BB383" s="440" t="s">
        <v>66</v>
      </c>
      <c r="BM383" s="75">
        <f t="shared" ref="BM383:BM392" si="58">IFERROR(X383*I383/H383,"0")</f>
        <v>2899.92</v>
      </c>
      <c r="BN383" s="75">
        <f t="shared" ref="BN383:BN392" si="59">IFERROR(Y383*I383/H383,"0")</f>
        <v>2910.24</v>
      </c>
      <c r="BO383" s="75">
        <f t="shared" ref="BO383:BO392" si="60">IFERROR(1/J383*(X383/H383),"0")</f>
        <v>3.9027777777777777</v>
      </c>
      <c r="BP383" s="75">
        <f t="shared" ref="BP383:BP392" si="61">IFERROR(1/J383*(Y383/H383),"0")</f>
        <v>3.9166666666666665</v>
      </c>
    </row>
    <row r="384" spans="1:68" ht="37.5" customHeight="1" x14ac:dyDescent="0.25">
      <c r="A384" s="60" t="s">
        <v>615</v>
      </c>
      <c r="B384" s="60" t="s">
        <v>618</v>
      </c>
      <c r="C384" s="34">
        <v>4301011869</v>
      </c>
      <c r="D384" s="681">
        <v>4680115884847</v>
      </c>
      <c r="E384" s="681"/>
      <c r="F384" s="59">
        <v>2.5</v>
      </c>
      <c r="G384" s="35">
        <v>6</v>
      </c>
      <c r="H384" s="59">
        <v>15</v>
      </c>
      <c r="I384" s="59">
        <v>15.48</v>
      </c>
      <c r="J384" s="35">
        <v>48</v>
      </c>
      <c r="K384" s="35" t="s">
        <v>114</v>
      </c>
      <c r="L384" s="35" t="s">
        <v>136</v>
      </c>
      <c r="M384" s="36" t="s">
        <v>82</v>
      </c>
      <c r="N384" s="36"/>
      <c r="O384" s="35">
        <v>60</v>
      </c>
      <c r="P384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83"/>
      <c r="R384" s="683"/>
      <c r="S384" s="683"/>
      <c r="T384" s="684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7"/>
        <v>0</v>
      </c>
      <c r="Z384" s="39" t="str">
        <f>IFERROR(IF(Y384=0,"",ROUNDUP(Y384/H384,0)*0.02175),"")</f>
        <v/>
      </c>
      <c r="AA384" s="65" t="s">
        <v>45</v>
      </c>
      <c r="AB384" s="66" t="s">
        <v>45</v>
      </c>
      <c r="AC384" s="441" t="s">
        <v>619</v>
      </c>
      <c r="AG384" s="75"/>
      <c r="AJ384" s="79" t="s">
        <v>137</v>
      </c>
      <c r="AK384" s="79">
        <v>720</v>
      </c>
      <c r="BB384" s="442" t="s">
        <v>66</v>
      </c>
      <c r="BM384" s="75">
        <f t="shared" si="58"/>
        <v>0</v>
      </c>
      <c r="BN384" s="75">
        <f t="shared" si="59"/>
        <v>0</v>
      </c>
      <c r="BO384" s="75">
        <f t="shared" si="60"/>
        <v>0</v>
      </c>
      <c r="BP384" s="75">
        <f t="shared" si="61"/>
        <v>0</v>
      </c>
    </row>
    <row r="385" spans="1:68" ht="27" customHeight="1" x14ac:dyDescent="0.25">
      <c r="A385" s="60" t="s">
        <v>620</v>
      </c>
      <c r="B385" s="60" t="s">
        <v>621</v>
      </c>
      <c r="C385" s="34">
        <v>4301011947</v>
      </c>
      <c r="D385" s="681">
        <v>4680115884854</v>
      </c>
      <c r="E385" s="681"/>
      <c r="F385" s="59">
        <v>2.5</v>
      </c>
      <c r="G385" s="35">
        <v>6</v>
      </c>
      <c r="H385" s="59">
        <v>15</v>
      </c>
      <c r="I385" s="59">
        <v>15.48</v>
      </c>
      <c r="J385" s="35">
        <v>48</v>
      </c>
      <c r="K385" s="35" t="s">
        <v>114</v>
      </c>
      <c r="L385" s="35" t="s">
        <v>45</v>
      </c>
      <c r="M385" s="36" t="s">
        <v>407</v>
      </c>
      <c r="N385" s="36"/>
      <c r="O385" s="35">
        <v>60</v>
      </c>
      <c r="P385" s="79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83"/>
      <c r="R385" s="683"/>
      <c r="S385" s="683"/>
      <c r="T385" s="684"/>
      <c r="U385" s="37" t="s">
        <v>45</v>
      </c>
      <c r="V385" s="37" t="s">
        <v>45</v>
      </c>
      <c r="W385" s="38" t="s">
        <v>0</v>
      </c>
      <c r="X385" s="56">
        <v>1740</v>
      </c>
      <c r="Y385" s="53">
        <f t="shared" si="57"/>
        <v>1740</v>
      </c>
      <c r="Z385" s="39">
        <f>IFERROR(IF(Y385=0,"",ROUNDUP(Y385/H385,0)*0.02039),"")</f>
        <v>2.36524</v>
      </c>
      <c r="AA385" s="65" t="s">
        <v>45</v>
      </c>
      <c r="AB385" s="66" t="s">
        <v>45</v>
      </c>
      <c r="AC385" s="443" t="s">
        <v>617</v>
      </c>
      <c r="AG385" s="75"/>
      <c r="AJ385" s="79" t="s">
        <v>45</v>
      </c>
      <c r="AK385" s="79">
        <v>0</v>
      </c>
      <c r="BB385" s="444" t="s">
        <v>66</v>
      </c>
      <c r="BM385" s="75">
        <f t="shared" si="58"/>
        <v>1795.68</v>
      </c>
      <c r="BN385" s="75">
        <f t="shared" si="59"/>
        <v>1795.68</v>
      </c>
      <c r="BO385" s="75">
        <f t="shared" si="60"/>
        <v>2.4166666666666665</v>
      </c>
      <c r="BP385" s="75">
        <f t="shared" si="61"/>
        <v>2.4166666666666665</v>
      </c>
    </row>
    <row r="386" spans="1:68" ht="27" customHeight="1" x14ac:dyDescent="0.25">
      <c r="A386" s="60" t="s">
        <v>620</v>
      </c>
      <c r="B386" s="60" t="s">
        <v>622</v>
      </c>
      <c r="C386" s="34">
        <v>4301011870</v>
      </c>
      <c r="D386" s="681">
        <v>4680115884854</v>
      </c>
      <c r="E386" s="681"/>
      <c r="F386" s="59">
        <v>2.5</v>
      </c>
      <c r="G386" s="35">
        <v>6</v>
      </c>
      <c r="H386" s="59">
        <v>15</v>
      </c>
      <c r="I386" s="59">
        <v>15.48</v>
      </c>
      <c r="J386" s="35">
        <v>48</v>
      </c>
      <c r="K386" s="35" t="s">
        <v>114</v>
      </c>
      <c r="L386" s="35" t="s">
        <v>136</v>
      </c>
      <c r="M386" s="36" t="s">
        <v>82</v>
      </c>
      <c r="N386" s="36"/>
      <c r="O386" s="35">
        <v>60</v>
      </c>
      <c r="P386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83"/>
      <c r="R386" s="683"/>
      <c r="S386" s="683"/>
      <c r="T386" s="684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57"/>
        <v>0</v>
      </c>
      <c r="Z386" s="39" t="str">
        <f>IFERROR(IF(Y386=0,"",ROUNDUP(Y386/H386,0)*0.02175),"")</f>
        <v/>
      </c>
      <c r="AA386" s="65" t="s">
        <v>45</v>
      </c>
      <c r="AB386" s="66" t="s">
        <v>45</v>
      </c>
      <c r="AC386" s="445" t="s">
        <v>623</v>
      </c>
      <c r="AG386" s="75"/>
      <c r="AJ386" s="79" t="s">
        <v>137</v>
      </c>
      <c r="AK386" s="79">
        <v>720</v>
      </c>
      <c r="BB386" s="446" t="s">
        <v>66</v>
      </c>
      <c r="BM386" s="75">
        <f t="shared" si="58"/>
        <v>0</v>
      </c>
      <c r="BN386" s="75">
        <f t="shared" si="59"/>
        <v>0</v>
      </c>
      <c r="BO386" s="75">
        <f t="shared" si="60"/>
        <v>0</v>
      </c>
      <c r="BP386" s="75">
        <f t="shared" si="61"/>
        <v>0</v>
      </c>
    </row>
    <row r="387" spans="1:68" ht="27" customHeight="1" x14ac:dyDescent="0.25">
      <c r="A387" s="60" t="s">
        <v>624</v>
      </c>
      <c r="B387" s="60" t="s">
        <v>625</v>
      </c>
      <c r="C387" s="34">
        <v>4301011943</v>
      </c>
      <c r="D387" s="681">
        <v>4680115884830</v>
      </c>
      <c r="E387" s="681"/>
      <c r="F387" s="59">
        <v>2.5</v>
      </c>
      <c r="G387" s="35">
        <v>6</v>
      </c>
      <c r="H387" s="59">
        <v>15</v>
      </c>
      <c r="I387" s="59">
        <v>15.48</v>
      </c>
      <c r="J387" s="35">
        <v>48</v>
      </c>
      <c r="K387" s="35" t="s">
        <v>114</v>
      </c>
      <c r="L387" s="35" t="s">
        <v>45</v>
      </c>
      <c r="M387" s="36" t="s">
        <v>407</v>
      </c>
      <c r="N387" s="36"/>
      <c r="O387" s="35">
        <v>60</v>
      </c>
      <c r="P387" s="79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83"/>
      <c r="R387" s="683"/>
      <c r="S387" s="683"/>
      <c r="T387" s="684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57"/>
        <v>0</v>
      </c>
      <c r="Z387" s="39" t="str">
        <f>IFERROR(IF(Y387=0,"",ROUNDUP(Y387/H387,0)*0.02039),"")</f>
        <v/>
      </c>
      <c r="AA387" s="65" t="s">
        <v>45</v>
      </c>
      <c r="AB387" s="66" t="s">
        <v>45</v>
      </c>
      <c r="AC387" s="447" t="s">
        <v>617</v>
      </c>
      <c r="AG387" s="75"/>
      <c r="AJ387" s="79" t="s">
        <v>45</v>
      </c>
      <c r="AK387" s="79">
        <v>0</v>
      </c>
      <c r="BB387" s="448" t="s">
        <v>66</v>
      </c>
      <c r="BM387" s="75">
        <f t="shared" si="58"/>
        <v>0</v>
      </c>
      <c r="BN387" s="75">
        <f t="shared" si="59"/>
        <v>0</v>
      </c>
      <c r="BO387" s="75">
        <f t="shared" si="60"/>
        <v>0</v>
      </c>
      <c r="BP387" s="75">
        <f t="shared" si="61"/>
        <v>0</v>
      </c>
    </row>
    <row r="388" spans="1:68" ht="27" customHeight="1" x14ac:dyDescent="0.25">
      <c r="A388" s="60" t="s">
        <v>626</v>
      </c>
      <c r="B388" s="60" t="s">
        <v>627</v>
      </c>
      <c r="C388" s="34">
        <v>4301011832</v>
      </c>
      <c r="D388" s="681">
        <v>4607091383997</v>
      </c>
      <c r="E388" s="681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45</v>
      </c>
      <c r="M388" s="36" t="s">
        <v>146</v>
      </c>
      <c r="N388" s="36"/>
      <c r="O388" s="35">
        <v>60</v>
      </c>
      <c r="P388" s="79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83"/>
      <c r="R388" s="683"/>
      <c r="S388" s="683"/>
      <c r="T388" s="684"/>
      <c r="U388" s="37" t="s">
        <v>45</v>
      </c>
      <c r="V388" s="37" t="s">
        <v>45</v>
      </c>
      <c r="W388" s="38" t="s">
        <v>0</v>
      </c>
      <c r="X388" s="56">
        <v>5040</v>
      </c>
      <c r="Y388" s="53">
        <f t="shared" si="57"/>
        <v>5040</v>
      </c>
      <c r="Z388" s="39">
        <f>IFERROR(IF(Y388=0,"",ROUNDUP(Y388/H388,0)*0.02175),"")</f>
        <v>7.3079999999999998</v>
      </c>
      <c r="AA388" s="65" t="s">
        <v>45</v>
      </c>
      <c r="AB388" s="66" t="s">
        <v>45</v>
      </c>
      <c r="AC388" s="449" t="s">
        <v>628</v>
      </c>
      <c r="AG388" s="75"/>
      <c r="AJ388" s="79" t="s">
        <v>45</v>
      </c>
      <c r="AK388" s="79">
        <v>0</v>
      </c>
      <c r="BB388" s="450" t="s">
        <v>66</v>
      </c>
      <c r="BM388" s="75">
        <f t="shared" si="58"/>
        <v>5201.28</v>
      </c>
      <c r="BN388" s="75">
        <f t="shared" si="59"/>
        <v>5201.28</v>
      </c>
      <c r="BO388" s="75">
        <f t="shared" si="60"/>
        <v>7</v>
      </c>
      <c r="BP388" s="75">
        <f t="shared" si="61"/>
        <v>7</v>
      </c>
    </row>
    <row r="389" spans="1:68" ht="37.5" customHeight="1" x14ac:dyDescent="0.25">
      <c r="A389" s="60" t="s">
        <v>624</v>
      </c>
      <c r="B389" s="60" t="s">
        <v>629</v>
      </c>
      <c r="C389" s="34">
        <v>4301011867</v>
      </c>
      <c r="D389" s="681">
        <v>4680115884830</v>
      </c>
      <c r="E389" s="681"/>
      <c r="F389" s="59">
        <v>2.5</v>
      </c>
      <c r="G389" s="35">
        <v>6</v>
      </c>
      <c r="H389" s="59">
        <v>15</v>
      </c>
      <c r="I389" s="59">
        <v>15.48</v>
      </c>
      <c r="J389" s="35">
        <v>48</v>
      </c>
      <c r="K389" s="35" t="s">
        <v>114</v>
      </c>
      <c r="L389" s="35" t="s">
        <v>136</v>
      </c>
      <c r="M389" s="36" t="s">
        <v>82</v>
      </c>
      <c r="N389" s="36"/>
      <c r="O389" s="35">
        <v>60</v>
      </c>
      <c r="P389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83"/>
      <c r="R389" s="683"/>
      <c r="S389" s="683"/>
      <c r="T389" s="684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IFERROR(IF(Y389=0,"",ROUNDUP(Y389/H389,0)*0.02175),"")</f>
        <v/>
      </c>
      <c r="AA389" s="65" t="s">
        <v>45</v>
      </c>
      <c r="AB389" s="66" t="s">
        <v>45</v>
      </c>
      <c r="AC389" s="451" t="s">
        <v>630</v>
      </c>
      <c r="AG389" s="75"/>
      <c r="AJ389" s="79" t="s">
        <v>137</v>
      </c>
      <c r="AK389" s="79">
        <v>720</v>
      </c>
      <c r="BB389" s="452" t="s">
        <v>66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customHeight="1" x14ac:dyDescent="0.25">
      <c r="A390" s="60" t="s">
        <v>631</v>
      </c>
      <c r="B390" s="60" t="s">
        <v>632</v>
      </c>
      <c r="C390" s="34">
        <v>4301011433</v>
      </c>
      <c r="D390" s="681">
        <v>4680115882638</v>
      </c>
      <c r="E390" s="681"/>
      <c r="F390" s="59">
        <v>0.4</v>
      </c>
      <c r="G390" s="35">
        <v>10</v>
      </c>
      <c r="H390" s="59">
        <v>4</v>
      </c>
      <c r="I390" s="59">
        <v>4.21</v>
      </c>
      <c r="J390" s="35">
        <v>132</v>
      </c>
      <c r="K390" s="35" t="s">
        <v>118</v>
      </c>
      <c r="L390" s="35" t="s">
        <v>45</v>
      </c>
      <c r="M390" s="36" t="s">
        <v>113</v>
      </c>
      <c r="N390" s="36"/>
      <c r="O390" s="35">
        <v>90</v>
      </c>
      <c r="P390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83"/>
      <c r="R390" s="683"/>
      <c r="S390" s="683"/>
      <c r="T390" s="684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45</v>
      </c>
      <c r="AB390" s="66" t="s">
        <v>45</v>
      </c>
      <c r="AC390" s="453" t="s">
        <v>633</v>
      </c>
      <c r="AG390" s="75"/>
      <c r="AJ390" s="79" t="s">
        <v>45</v>
      </c>
      <c r="AK390" s="79">
        <v>0</v>
      </c>
      <c r="BB390" s="454" t="s">
        <v>66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27" customHeight="1" x14ac:dyDescent="0.25">
      <c r="A391" s="60" t="s">
        <v>634</v>
      </c>
      <c r="B391" s="60" t="s">
        <v>635</v>
      </c>
      <c r="C391" s="34">
        <v>4301011952</v>
      </c>
      <c r="D391" s="681">
        <v>4680115884922</v>
      </c>
      <c r="E391" s="681"/>
      <c r="F391" s="59">
        <v>0.5</v>
      </c>
      <c r="G391" s="35">
        <v>10</v>
      </c>
      <c r="H391" s="59">
        <v>5</v>
      </c>
      <c r="I391" s="59">
        <v>5.21</v>
      </c>
      <c r="J391" s="35">
        <v>132</v>
      </c>
      <c r="K391" s="35" t="s">
        <v>118</v>
      </c>
      <c r="L391" s="35" t="s">
        <v>45</v>
      </c>
      <c r="M391" s="36" t="s">
        <v>82</v>
      </c>
      <c r="N391" s="36"/>
      <c r="O391" s="35">
        <v>60</v>
      </c>
      <c r="P391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83"/>
      <c r="R391" s="683"/>
      <c r="S391" s="683"/>
      <c r="T391" s="684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45</v>
      </c>
      <c r="AB391" s="66" t="s">
        <v>45</v>
      </c>
      <c r="AC391" s="455" t="s">
        <v>623</v>
      </c>
      <c r="AG391" s="75"/>
      <c r="AJ391" s="79" t="s">
        <v>45</v>
      </c>
      <c r="AK391" s="79">
        <v>0</v>
      </c>
      <c r="BB391" s="456" t="s">
        <v>66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t="37.5" customHeight="1" x14ac:dyDescent="0.25">
      <c r="A392" s="60" t="s">
        <v>636</v>
      </c>
      <c r="B392" s="60" t="s">
        <v>637</v>
      </c>
      <c r="C392" s="34">
        <v>4301011868</v>
      </c>
      <c r="D392" s="681">
        <v>4680115884861</v>
      </c>
      <c r="E392" s="681"/>
      <c r="F392" s="59">
        <v>0.5</v>
      </c>
      <c r="G392" s="35">
        <v>10</v>
      </c>
      <c r="H392" s="59">
        <v>5</v>
      </c>
      <c r="I392" s="59">
        <v>5.21</v>
      </c>
      <c r="J392" s="35">
        <v>132</v>
      </c>
      <c r="K392" s="35" t="s">
        <v>118</v>
      </c>
      <c r="L392" s="35" t="s">
        <v>45</v>
      </c>
      <c r="M392" s="36" t="s">
        <v>82</v>
      </c>
      <c r="N392" s="36"/>
      <c r="O392" s="35">
        <v>60</v>
      </c>
      <c r="P392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83"/>
      <c r="R392" s="683"/>
      <c r="S392" s="683"/>
      <c r="T392" s="684"/>
      <c r="U392" s="37" t="s">
        <v>45</v>
      </c>
      <c r="V392" s="37" t="s">
        <v>45</v>
      </c>
      <c r="W392" s="38" t="s">
        <v>0</v>
      </c>
      <c r="X392" s="56">
        <v>100</v>
      </c>
      <c r="Y392" s="53">
        <f t="shared" si="57"/>
        <v>100</v>
      </c>
      <c r="Z392" s="39">
        <f>IFERROR(IF(Y392=0,"",ROUNDUP(Y392/H392,0)*0.00902),"")</f>
        <v>0.1804</v>
      </c>
      <c r="AA392" s="65" t="s">
        <v>45</v>
      </c>
      <c r="AB392" s="66" t="s">
        <v>45</v>
      </c>
      <c r="AC392" s="457" t="s">
        <v>630</v>
      </c>
      <c r="AG392" s="75"/>
      <c r="AJ392" s="79" t="s">
        <v>45</v>
      </c>
      <c r="AK392" s="79">
        <v>0</v>
      </c>
      <c r="BB392" s="458" t="s">
        <v>66</v>
      </c>
      <c r="BM392" s="75">
        <f t="shared" si="58"/>
        <v>104.2</v>
      </c>
      <c r="BN392" s="75">
        <f t="shared" si="59"/>
        <v>104.2</v>
      </c>
      <c r="BO392" s="75">
        <f t="shared" si="60"/>
        <v>0.15151515151515152</v>
      </c>
      <c r="BP392" s="75">
        <f t="shared" si="61"/>
        <v>0.15151515151515152</v>
      </c>
    </row>
    <row r="393" spans="1:68" x14ac:dyDescent="0.2">
      <c r="A393" s="675"/>
      <c r="B393" s="675"/>
      <c r="C393" s="675"/>
      <c r="D393" s="675"/>
      <c r="E393" s="675"/>
      <c r="F393" s="675"/>
      <c r="G393" s="675"/>
      <c r="H393" s="675"/>
      <c r="I393" s="675"/>
      <c r="J393" s="675"/>
      <c r="K393" s="675"/>
      <c r="L393" s="675"/>
      <c r="M393" s="675"/>
      <c r="N393" s="675"/>
      <c r="O393" s="688"/>
      <c r="P393" s="685" t="s">
        <v>40</v>
      </c>
      <c r="Q393" s="686"/>
      <c r="R393" s="686"/>
      <c r="S393" s="686"/>
      <c r="T393" s="686"/>
      <c r="U393" s="686"/>
      <c r="V393" s="687"/>
      <c r="W393" s="40" t="s">
        <v>39</v>
      </c>
      <c r="X393" s="41">
        <f>IFERROR(X383/H383,"0")+IFERROR(X384/H384,"0")+IFERROR(X385/H385,"0")+IFERROR(X386/H386,"0")+IFERROR(X387/H387,"0")+IFERROR(X388/H388,"0")+IFERROR(X389/H389,"0")+IFERROR(X390/H390,"0")+IFERROR(X391/H391,"0")+IFERROR(X392/H392,"0")</f>
        <v>659.33333333333337</v>
      </c>
      <c r="Y393" s="41">
        <f>IFERROR(Y383/H383,"0")+IFERROR(Y384/H384,"0")+IFERROR(Y385/H385,"0")+IFERROR(Y386/H386,"0")+IFERROR(Y387/H387,"0")+IFERROR(Y388/H388,"0")+IFERROR(Y389/H389,"0")+IFERROR(Y390/H390,"0")+IFERROR(Y391/H391,"0")+IFERROR(Y392/H392,"0")</f>
        <v>660</v>
      </c>
      <c r="Z393" s="41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13.686960000000001</v>
      </c>
      <c r="AA393" s="64"/>
      <c r="AB393" s="64"/>
      <c r="AC393" s="64"/>
    </row>
    <row r="394" spans="1:68" x14ac:dyDescent="0.2">
      <c r="A394" s="675"/>
      <c r="B394" s="675"/>
      <c r="C394" s="675"/>
      <c r="D394" s="675"/>
      <c r="E394" s="675"/>
      <c r="F394" s="675"/>
      <c r="G394" s="675"/>
      <c r="H394" s="675"/>
      <c r="I394" s="675"/>
      <c r="J394" s="675"/>
      <c r="K394" s="675"/>
      <c r="L394" s="675"/>
      <c r="M394" s="675"/>
      <c r="N394" s="675"/>
      <c r="O394" s="688"/>
      <c r="P394" s="685" t="s">
        <v>40</v>
      </c>
      <c r="Q394" s="686"/>
      <c r="R394" s="686"/>
      <c r="S394" s="686"/>
      <c r="T394" s="686"/>
      <c r="U394" s="686"/>
      <c r="V394" s="687"/>
      <c r="W394" s="40" t="s">
        <v>0</v>
      </c>
      <c r="X394" s="41">
        <f>IFERROR(SUM(X383:X392),"0")</f>
        <v>9690</v>
      </c>
      <c r="Y394" s="41">
        <f>IFERROR(SUM(Y383:Y392),"0")</f>
        <v>9700</v>
      </c>
      <c r="Z394" s="40"/>
      <c r="AA394" s="64"/>
      <c r="AB394" s="64"/>
      <c r="AC394" s="64"/>
    </row>
    <row r="395" spans="1:68" ht="14.25" customHeight="1" x14ac:dyDescent="0.25">
      <c r="A395" s="680" t="s">
        <v>149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3"/>
      <c r="AB395" s="63"/>
      <c r="AC395" s="63"/>
    </row>
    <row r="396" spans="1:68" ht="27" customHeight="1" x14ac:dyDescent="0.25">
      <c r="A396" s="60" t="s">
        <v>638</v>
      </c>
      <c r="B396" s="60" t="s">
        <v>639</v>
      </c>
      <c r="C396" s="34">
        <v>4301020178</v>
      </c>
      <c r="D396" s="681">
        <v>4607091383980</v>
      </c>
      <c r="E396" s="681"/>
      <c r="F396" s="59">
        <v>2.5</v>
      </c>
      <c r="G396" s="35">
        <v>6</v>
      </c>
      <c r="H396" s="59">
        <v>15</v>
      </c>
      <c r="I396" s="59">
        <v>15.48</v>
      </c>
      <c r="J396" s="35">
        <v>48</v>
      </c>
      <c r="K396" s="35" t="s">
        <v>114</v>
      </c>
      <c r="L396" s="35" t="s">
        <v>136</v>
      </c>
      <c r="M396" s="36" t="s">
        <v>113</v>
      </c>
      <c r="N396" s="36"/>
      <c r="O396" s="35">
        <v>50</v>
      </c>
      <c r="P396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83"/>
      <c r="R396" s="683"/>
      <c r="S396" s="683"/>
      <c r="T396" s="684"/>
      <c r="U396" s="37" t="s">
        <v>45</v>
      </c>
      <c r="V396" s="37" t="s">
        <v>45</v>
      </c>
      <c r="W396" s="38" t="s">
        <v>0</v>
      </c>
      <c r="X396" s="56">
        <v>1440</v>
      </c>
      <c r="Y396" s="53">
        <f>IFERROR(IF(X396="",0,CEILING((X396/$H396),1)*$H396),"")</f>
        <v>1440</v>
      </c>
      <c r="Z396" s="39">
        <f>IFERROR(IF(Y396=0,"",ROUNDUP(Y396/H396,0)*0.02175),"")</f>
        <v>2.0880000000000001</v>
      </c>
      <c r="AA396" s="65" t="s">
        <v>45</v>
      </c>
      <c r="AB396" s="66" t="s">
        <v>45</v>
      </c>
      <c r="AC396" s="459" t="s">
        <v>640</v>
      </c>
      <c r="AG396" s="75"/>
      <c r="AJ396" s="79" t="s">
        <v>137</v>
      </c>
      <c r="AK396" s="79">
        <v>720</v>
      </c>
      <c r="BB396" s="460" t="s">
        <v>66</v>
      </c>
      <c r="BM396" s="75">
        <f>IFERROR(X396*I396/H396,"0")</f>
        <v>1486.0800000000002</v>
      </c>
      <c r="BN396" s="75">
        <f>IFERROR(Y396*I396/H396,"0")</f>
        <v>1486.0800000000002</v>
      </c>
      <c r="BO396" s="75">
        <f>IFERROR(1/J396*(X396/H396),"0")</f>
        <v>2</v>
      </c>
      <c r="BP396" s="75">
        <f>IFERROR(1/J396*(Y396/H396),"0")</f>
        <v>2</v>
      </c>
    </row>
    <row r="397" spans="1:68" ht="16.5" customHeight="1" x14ac:dyDescent="0.25">
      <c r="A397" s="60" t="s">
        <v>641</v>
      </c>
      <c r="B397" s="60" t="s">
        <v>642</v>
      </c>
      <c r="C397" s="34">
        <v>4301020179</v>
      </c>
      <c r="D397" s="681">
        <v>4607091384178</v>
      </c>
      <c r="E397" s="681"/>
      <c r="F397" s="59">
        <v>0.4</v>
      </c>
      <c r="G397" s="35">
        <v>10</v>
      </c>
      <c r="H397" s="59">
        <v>4</v>
      </c>
      <c r="I397" s="59">
        <v>4.21</v>
      </c>
      <c r="J397" s="35">
        <v>132</v>
      </c>
      <c r="K397" s="35" t="s">
        <v>118</v>
      </c>
      <c r="L397" s="35" t="s">
        <v>45</v>
      </c>
      <c r="M397" s="36" t="s">
        <v>113</v>
      </c>
      <c r="N397" s="36"/>
      <c r="O397" s="35">
        <v>50</v>
      </c>
      <c r="P397" s="79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83"/>
      <c r="R397" s="683"/>
      <c r="S397" s="683"/>
      <c r="T397" s="684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61" t="s">
        <v>640</v>
      </c>
      <c r="AG397" s="75"/>
      <c r="AJ397" s="79" t="s">
        <v>45</v>
      </c>
      <c r="AK397" s="79">
        <v>0</v>
      </c>
      <c r="BB397" s="46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75"/>
      <c r="B398" s="675"/>
      <c r="C398" s="675"/>
      <c r="D398" s="675"/>
      <c r="E398" s="675"/>
      <c r="F398" s="675"/>
      <c r="G398" s="675"/>
      <c r="H398" s="675"/>
      <c r="I398" s="675"/>
      <c r="J398" s="675"/>
      <c r="K398" s="675"/>
      <c r="L398" s="675"/>
      <c r="M398" s="675"/>
      <c r="N398" s="675"/>
      <c r="O398" s="688"/>
      <c r="P398" s="685" t="s">
        <v>40</v>
      </c>
      <c r="Q398" s="686"/>
      <c r="R398" s="686"/>
      <c r="S398" s="686"/>
      <c r="T398" s="686"/>
      <c r="U398" s="686"/>
      <c r="V398" s="687"/>
      <c r="W398" s="40" t="s">
        <v>39</v>
      </c>
      <c r="X398" s="41">
        <f>IFERROR(X396/H396,"0")+IFERROR(X397/H397,"0")</f>
        <v>96</v>
      </c>
      <c r="Y398" s="41">
        <f>IFERROR(Y396/H396,"0")+IFERROR(Y397/H397,"0")</f>
        <v>96</v>
      </c>
      <c r="Z398" s="41">
        <f>IFERROR(IF(Z396="",0,Z396),"0")+IFERROR(IF(Z397="",0,Z397),"0")</f>
        <v>2.0880000000000001</v>
      </c>
      <c r="AA398" s="64"/>
      <c r="AB398" s="64"/>
      <c r="AC398" s="64"/>
    </row>
    <row r="399" spans="1:68" x14ac:dyDescent="0.2">
      <c r="A399" s="675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88"/>
      <c r="P399" s="685" t="s">
        <v>40</v>
      </c>
      <c r="Q399" s="686"/>
      <c r="R399" s="686"/>
      <c r="S399" s="686"/>
      <c r="T399" s="686"/>
      <c r="U399" s="686"/>
      <c r="V399" s="687"/>
      <c r="W399" s="40" t="s">
        <v>0</v>
      </c>
      <c r="X399" s="41">
        <f>IFERROR(SUM(X396:X397),"0")</f>
        <v>1440</v>
      </c>
      <c r="Y399" s="41">
        <f>IFERROR(SUM(Y396:Y397),"0")</f>
        <v>1440</v>
      </c>
      <c r="Z399" s="40"/>
      <c r="AA399" s="64"/>
      <c r="AB399" s="64"/>
      <c r="AC399" s="64"/>
    </row>
    <row r="400" spans="1:68" ht="14.25" customHeight="1" x14ac:dyDescent="0.25">
      <c r="A400" s="680" t="s">
        <v>78</v>
      </c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0"/>
      <c r="P400" s="680"/>
      <c r="Q400" s="680"/>
      <c r="R400" s="680"/>
      <c r="S400" s="680"/>
      <c r="T400" s="680"/>
      <c r="U400" s="680"/>
      <c r="V400" s="680"/>
      <c r="W400" s="680"/>
      <c r="X400" s="680"/>
      <c r="Y400" s="680"/>
      <c r="Z400" s="680"/>
      <c r="AA400" s="63"/>
      <c r="AB400" s="63"/>
      <c r="AC400" s="63"/>
    </row>
    <row r="401" spans="1:68" ht="27" customHeight="1" x14ac:dyDescent="0.25">
      <c r="A401" s="60" t="s">
        <v>643</v>
      </c>
      <c r="B401" s="60" t="s">
        <v>644</v>
      </c>
      <c r="C401" s="34">
        <v>4301051903</v>
      </c>
      <c r="D401" s="681">
        <v>4607091383928</v>
      </c>
      <c r="E401" s="681"/>
      <c r="F401" s="59">
        <v>1.5</v>
      </c>
      <c r="G401" s="35">
        <v>6</v>
      </c>
      <c r="H401" s="59">
        <v>9</v>
      </c>
      <c r="I401" s="59">
        <v>9.5250000000000004</v>
      </c>
      <c r="J401" s="35">
        <v>64</v>
      </c>
      <c r="K401" s="35" t="s">
        <v>114</v>
      </c>
      <c r="L401" s="35" t="s">
        <v>45</v>
      </c>
      <c r="M401" s="36" t="s">
        <v>117</v>
      </c>
      <c r="N401" s="36"/>
      <c r="O401" s="35">
        <v>40</v>
      </c>
      <c r="P401" s="794" t="s">
        <v>645</v>
      </c>
      <c r="Q401" s="683"/>
      <c r="R401" s="683"/>
      <c r="S401" s="683"/>
      <c r="T401" s="684"/>
      <c r="U401" s="37" t="s">
        <v>45</v>
      </c>
      <c r="V401" s="37" t="s">
        <v>45</v>
      </c>
      <c r="W401" s="38" t="s">
        <v>0</v>
      </c>
      <c r="X401" s="56">
        <v>900</v>
      </c>
      <c r="Y401" s="53">
        <f>IFERROR(IF(X401="",0,CEILING((X401/$H401),1)*$H401),"")</f>
        <v>900</v>
      </c>
      <c r="Z401" s="39">
        <f>IFERROR(IF(Y401=0,"",ROUNDUP(Y401/H401,0)*0.01898),"")</f>
        <v>1.8980000000000001</v>
      </c>
      <c r="AA401" s="65" t="s">
        <v>45</v>
      </c>
      <c r="AB401" s="66" t="s">
        <v>45</v>
      </c>
      <c r="AC401" s="463" t="s">
        <v>646</v>
      </c>
      <c r="AG401" s="75"/>
      <c r="AJ401" s="79" t="s">
        <v>45</v>
      </c>
      <c r="AK401" s="79">
        <v>0</v>
      </c>
      <c r="BB401" s="464" t="s">
        <v>66</v>
      </c>
      <c r="BM401" s="75">
        <f>IFERROR(X401*I401/H401,"0")</f>
        <v>952.5</v>
      </c>
      <c r="BN401" s="75">
        <f>IFERROR(Y401*I401/H401,"0")</f>
        <v>952.5</v>
      </c>
      <c r="BO401" s="75">
        <f>IFERROR(1/J401*(X401/H401),"0")</f>
        <v>1.5625</v>
      </c>
      <c r="BP401" s="75">
        <f>IFERROR(1/J401*(Y401/H401),"0")</f>
        <v>1.5625</v>
      </c>
    </row>
    <row r="402" spans="1:68" ht="27" customHeight="1" x14ac:dyDescent="0.25">
      <c r="A402" s="60" t="s">
        <v>647</v>
      </c>
      <c r="B402" s="60" t="s">
        <v>648</v>
      </c>
      <c r="C402" s="34">
        <v>4301051897</v>
      </c>
      <c r="D402" s="681">
        <v>4607091384260</v>
      </c>
      <c r="E402" s="681"/>
      <c r="F402" s="59">
        <v>1.5</v>
      </c>
      <c r="G402" s="35">
        <v>6</v>
      </c>
      <c r="H402" s="59">
        <v>9</v>
      </c>
      <c r="I402" s="59">
        <v>9.5190000000000001</v>
      </c>
      <c r="J402" s="35">
        <v>64</v>
      </c>
      <c r="K402" s="35" t="s">
        <v>114</v>
      </c>
      <c r="L402" s="35" t="s">
        <v>45</v>
      </c>
      <c r="M402" s="36" t="s">
        <v>117</v>
      </c>
      <c r="N402" s="36"/>
      <c r="O402" s="35">
        <v>40</v>
      </c>
      <c r="P402" s="795" t="s">
        <v>649</v>
      </c>
      <c r="Q402" s="683"/>
      <c r="R402" s="683"/>
      <c r="S402" s="683"/>
      <c r="T402" s="684"/>
      <c r="U402" s="37" t="s">
        <v>45</v>
      </c>
      <c r="V402" s="37" t="s">
        <v>45</v>
      </c>
      <c r="W402" s="38" t="s">
        <v>0</v>
      </c>
      <c r="X402" s="56">
        <v>430</v>
      </c>
      <c r="Y402" s="53">
        <f>IFERROR(IF(X402="",0,CEILING((X402/$H402),1)*$H402),"")</f>
        <v>432</v>
      </c>
      <c r="Z402" s="39">
        <f>IFERROR(IF(Y402=0,"",ROUNDUP(Y402/H402,0)*0.01898),"")</f>
        <v>0.91104000000000007</v>
      </c>
      <c r="AA402" s="65" t="s">
        <v>45</v>
      </c>
      <c r="AB402" s="66" t="s">
        <v>45</v>
      </c>
      <c r="AC402" s="465" t="s">
        <v>650</v>
      </c>
      <c r="AG402" s="75"/>
      <c r="AJ402" s="79" t="s">
        <v>45</v>
      </c>
      <c r="AK402" s="79">
        <v>0</v>
      </c>
      <c r="BB402" s="466" t="s">
        <v>66</v>
      </c>
      <c r="BM402" s="75">
        <f>IFERROR(X402*I402/H402,"0")</f>
        <v>454.79666666666668</v>
      </c>
      <c r="BN402" s="75">
        <f>IFERROR(Y402*I402/H402,"0")</f>
        <v>456.91199999999998</v>
      </c>
      <c r="BO402" s="75">
        <f>IFERROR(1/J402*(X402/H402),"0")</f>
        <v>0.74652777777777779</v>
      </c>
      <c r="BP402" s="75">
        <f>IFERROR(1/J402*(Y402/H402),"0")</f>
        <v>0.75</v>
      </c>
    </row>
    <row r="403" spans="1:68" x14ac:dyDescent="0.2">
      <c r="A403" s="675"/>
      <c r="B403" s="675"/>
      <c r="C403" s="675"/>
      <c r="D403" s="675"/>
      <c r="E403" s="675"/>
      <c r="F403" s="675"/>
      <c r="G403" s="675"/>
      <c r="H403" s="675"/>
      <c r="I403" s="675"/>
      <c r="J403" s="675"/>
      <c r="K403" s="675"/>
      <c r="L403" s="675"/>
      <c r="M403" s="675"/>
      <c r="N403" s="675"/>
      <c r="O403" s="688"/>
      <c r="P403" s="685" t="s">
        <v>40</v>
      </c>
      <c r="Q403" s="686"/>
      <c r="R403" s="686"/>
      <c r="S403" s="686"/>
      <c r="T403" s="686"/>
      <c r="U403" s="686"/>
      <c r="V403" s="687"/>
      <c r="W403" s="40" t="s">
        <v>39</v>
      </c>
      <c r="X403" s="41">
        <f>IFERROR(X401/H401,"0")+IFERROR(X402/H402,"0")</f>
        <v>147.77777777777777</v>
      </c>
      <c r="Y403" s="41">
        <f>IFERROR(Y401/H401,"0")+IFERROR(Y402/H402,"0")</f>
        <v>148</v>
      </c>
      <c r="Z403" s="41">
        <f>IFERROR(IF(Z401="",0,Z401),"0")+IFERROR(IF(Z402="",0,Z402),"0")</f>
        <v>2.8090400000000004</v>
      </c>
      <c r="AA403" s="64"/>
      <c r="AB403" s="64"/>
      <c r="AC403" s="64"/>
    </row>
    <row r="404" spans="1:68" x14ac:dyDescent="0.2">
      <c r="A404" s="675"/>
      <c r="B404" s="675"/>
      <c r="C404" s="675"/>
      <c r="D404" s="675"/>
      <c r="E404" s="675"/>
      <c r="F404" s="675"/>
      <c r="G404" s="675"/>
      <c r="H404" s="675"/>
      <c r="I404" s="675"/>
      <c r="J404" s="675"/>
      <c r="K404" s="675"/>
      <c r="L404" s="675"/>
      <c r="M404" s="675"/>
      <c r="N404" s="675"/>
      <c r="O404" s="688"/>
      <c r="P404" s="685" t="s">
        <v>40</v>
      </c>
      <c r="Q404" s="686"/>
      <c r="R404" s="686"/>
      <c r="S404" s="686"/>
      <c r="T404" s="686"/>
      <c r="U404" s="686"/>
      <c r="V404" s="687"/>
      <c r="W404" s="40" t="s">
        <v>0</v>
      </c>
      <c r="X404" s="41">
        <f>IFERROR(SUM(X401:X402),"0")</f>
        <v>1330</v>
      </c>
      <c r="Y404" s="41">
        <f>IFERROR(SUM(Y401:Y402),"0")</f>
        <v>1332</v>
      </c>
      <c r="Z404" s="40"/>
      <c r="AA404" s="64"/>
      <c r="AB404" s="64"/>
      <c r="AC404" s="64"/>
    </row>
    <row r="405" spans="1:68" ht="14.25" customHeight="1" x14ac:dyDescent="0.25">
      <c r="A405" s="680" t="s">
        <v>186</v>
      </c>
      <c r="B405" s="680"/>
      <c r="C405" s="680"/>
      <c r="D405" s="680"/>
      <c r="E405" s="680"/>
      <c r="F405" s="680"/>
      <c r="G405" s="680"/>
      <c r="H405" s="680"/>
      <c r="I405" s="680"/>
      <c r="J405" s="680"/>
      <c r="K405" s="680"/>
      <c r="L405" s="680"/>
      <c r="M405" s="680"/>
      <c r="N405" s="680"/>
      <c r="O405" s="680"/>
      <c r="P405" s="680"/>
      <c r="Q405" s="680"/>
      <c r="R405" s="680"/>
      <c r="S405" s="680"/>
      <c r="T405" s="680"/>
      <c r="U405" s="680"/>
      <c r="V405" s="680"/>
      <c r="W405" s="680"/>
      <c r="X405" s="680"/>
      <c r="Y405" s="680"/>
      <c r="Z405" s="680"/>
      <c r="AA405" s="63"/>
      <c r="AB405" s="63"/>
      <c r="AC405" s="63"/>
    </row>
    <row r="406" spans="1:68" ht="27" customHeight="1" x14ac:dyDescent="0.25">
      <c r="A406" s="60" t="s">
        <v>651</v>
      </c>
      <c r="B406" s="60" t="s">
        <v>652</v>
      </c>
      <c r="C406" s="34">
        <v>4301060439</v>
      </c>
      <c r="D406" s="681">
        <v>4607091384673</v>
      </c>
      <c r="E406" s="681"/>
      <c r="F406" s="59">
        <v>1.5</v>
      </c>
      <c r="G406" s="35">
        <v>6</v>
      </c>
      <c r="H406" s="59">
        <v>9</v>
      </c>
      <c r="I406" s="59">
        <v>9.5190000000000001</v>
      </c>
      <c r="J406" s="35">
        <v>64</v>
      </c>
      <c r="K406" s="35" t="s">
        <v>114</v>
      </c>
      <c r="L406" s="35" t="s">
        <v>45</v>
      </c>
      <c r="M406" s="36" t="s">
        <v>117</v>
      </c>
      <c r="N406" s="36"/>
      <c r="O406" s="35">
        <v>30</v>
      </c>
      <c r="P406" s="786" t="s">
        <v>653</v>
      </c>
      <c r="Q406" s="683"/>
      <c r="R406" s="683"/>
      <c r="S406" s="683"/>
      <c r="T406" s="684"/>
      <c r="U406" s="37" t="s">
        <v>45</v>
      </c>
      <c r="V406" s="37" t="s">
        <v>45</v>
      </c>
      <c r="W406" s="38" t="s">
        <v>0</v>
      </c>
      <c r="X406" s="56">
        <v>560</v>
      </c>
      <c r="Y406" s="53">
        <f>IFERROR(IF(X406="",0,CEILING((X406/$H406),1)*$H406),"")</f>
        <v>567</v>
      </c>
      <c r="Z406" s="39">
        <f>IFERROR(IF(Y406=0,"",ROUNDUP(Y406/H406,0)*0.01898),"")</f>
        <v>1.19574</v>
      </c>
      <c r="AA406" s="65" t="s">
        <v>45</v>
      </c>
      <c r="AB406" s="66" t="s">
        <v>45</v>
      </c>
      <c r="AC406" s="467" t="s">
        <v>654</v>
      </c>
      <c r="AG406" s="75"/>
      <c r="AJ406" s="79" t="s">
        <v>45</v>
      </c>
      <c r="AK406" s="79">
        <v>0</v>
      </c>
      <c r="BB406" s="468" t="s">
        <v>66</v>
      </c>
      <c r="BM406" s="75">
        <f>IFERROR(X406*I406/H406,"0")</f>
        <v>592.29333333333341</v>
      </c>
      <c r="BN406" s="75">
        <f>IFERROR(Y406*I406/H406,"0")</f>
        <v>599.697</v>
      </c>
      <c r="BO406" s="75">
        <f>IFERROR(1/J406*(X406/H406),"0")</f>
        <v>0.97222222222222221</v>
      </c>
      <c r="BP406" s="75">
        <f>IFERROR(1/J406*(Y406/H406),"0")</f>
        <v>0.984375</v>
      </c>
    </row>
    <row r="407" spans="1:68" x14ac:dyDescent="0.2">
      <c r="A407" s="675"/>
      <c r="B407" s="675"/>
      <c r="C407" s="675"/>
      <c r="D407" s="675"/>
      <c r="E407" s="675"/>
      <c r="F407" s="675"/>
      <c r="G407" s="675"/>
      <c r="H407" s="675"/>
      <c r="I407" s="675"/>
      <c r="J407" s="675"/>
      <c r="K407" s="675"/>
      <c r="L407" s="675"/>
      <c r="M407" s="675"/>
      <c r="N407" s="675"/>
      <c r="O407" s="688"/>
      <c r="P407" s="685" t="s">
        <v>40</v>
      </c>
      <c r="Q407" s="686"/>
      <c r="R407" s="686"/>
      <c r="S407" s="686"/>
      <c r="T407" s="686"/>
      <c r="U407" s="686"/>
      <c r="V407" s="687"/>
      <c r="W407" s="40" t="s">
        <v>39</v>
      </c>
      <c r="X407" s="41">
        <f>IFERROR(X406/H406,"0")</f>
        <v>62.222222222222221</v>
      </c>
      <c r="Y407" s="41">
        <f>IFERROR(Y406/H406,"0")</f>
        <v>63</v>
      </c>
      <c r="Z407" s="41">
        <f>IFERROR(IF(Z406="",0,Z406),"0")</f>
        <v>1.19574</v>
      </c>
      <c r="AA407" s="64"/>
      <c r="AB407" s="64"/>
      <c r="AC407" s="64"/>
    </row>
    <row r="408" spans="1:68" x14ac:dyDescent="0.2">
      <c r="A408" s="675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88"/>
      <c r="P408" s="685" t="s">
        <v>40</v>
      </c>
      <c r="Q408" s="686"/>
      <c r="R408" s="686"/>
      <c r="S408" s="686"/>
      <c r="T408" s="686"/>
      <c r="U408" s="686"/>
      <c r="V408" s="687"/>
      <c r="W408" s="40" t="s">
        <v>0</v>
      </c>
      <c r="X408" s="41">
        <f>IFERROR(SUM(X406:X406),"0")</f>
        <v>560</v>
      </c>
      <c r="Y408" s="41">
        <f>IFERROR(SUM(Y406:Y406),"0")</f>
        <v>567</v>
      </c>
      <c r="Z408" s="40"/>
      <c r="AA408" s="64"/>
      <c r="AB408" s="64"/>
      <c r="AC408" s="64"/>
    </row>
    <row r="409" spans="1:68" ht="16.5" customHeight="1" x14ac:dyDescent="0.25">
      <c r="A409" s="695" t="s">
        <v>655</v>
      </c>
      <c r="B409" s="695"/>
      <c r="C409" s="695"/>
      <c r="D409" s="695"/>
      <c r="E409" s="695"/>
      <c r="F409" s="695"/>
      <c r="G409" s="695"/>
      <c r="H409" s="695"/>
      <c r="I409" s="695"/>
      <c r="J409" s="695"/>
      <c r="K409" s="695"/>
      <c r="L409" s="695"/>
      <c r="M409" s="695"/>
      <c r="N409" s="695"/>
      <c r="O409" s="695"/>
      <c r="P409" s="695"/>
      <c r="Q409" s="695"/>
      <c r="R409" s="695"/>
      <c r="S409" s="695"/>
      <c r="T409" s="695"/>
      <c r="U409" s="695"/>
      <c r="V409" s="695"/>
      <c r="W409" s="695"/>
      <c r="X409" s="695"/>
      <c r="Y409" s="695"/>
      <c r="Z409" s="695"/>
      <c r="AA409" s="62"/>
      <c r="AB409" s="62"/>
      <c r="AC409" s="62"/>
    </row>
    <row r="410" spans="1:68" ht="14.25" customHeight="1" x14ac:dyDescent="0.25">
      <c r="A410" s="680" t="s">
        <v>109</v>
      </c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0"/>
      <c r="P410" s="680"/>
      <c r="Q410" s="680"/>
      <c r="R410" s="680"/>
      <c r="S410" s="680"/>
      <c r="T410" s="680"/>
      <c r="U410" s="680"/>
      <c r="V410" s="680"/>
      <c r="W410" s="680"/>
      <c r="X410" s="680"/>
      <c r="Y410" s="680"/>
      <c r="Z410" s="680"/>
      <c r="AA410" s="63"/>
      <c r="AB410" s="63"/>
      <c r="AC410" s="63"/>
    </row>
    <row r="411" spans="1:68" ht="27" customHeight="1" x14ac:dyDescent="0.25">
      <c r="A411" s="60" t="s">
        <v>656</v>
      </c>
      <c r="B411" s="60" t="s">
        <v>657</v>
      </c>
      <c r="C411" s="34">
        <v>4301011483</v>
      </c>
      <c r="D411" s="681">
        <v>4680115881907</v>
      </c>
      <c r="E411" s="681"/>
      <c r="F411" s="59">
        <v>1.8</v>
      </c>
      <c r="G411" s="35">
        <v>6</v>
      </c>
      <c r="H411" s="59">
        <v>10.8</v>
      </c>
      <c r="I411" s="59">
        <v>11.234999999999999</v>
      </c>
      <c r="J411" s="35">
        <v>64</v>
      </c>
      <c r="K411" s="35" t="s">
        <v>114</v>
      </c>
      <c r="L411" s="35" t="s">
        <v>45</v>
      </c>
      <c r="M411" s="36" t="s">
        <v>82</v>
      </c>
      <c r="N411" s="36"/>
      <c r="O411" s="35">
        <v>60</v>
      </c>
      <c r="P411" s="78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83"/>
      <c r="R411" s="683"/>
      <c r="S411" s="683"/>
      <c r="T411" s="684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45</v>
      </c>
      <c r="AB411" s="66" t="s">
        <v>45</v>
      </c>
      <c r="AC411" s="469" t="s">
        <v>658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37.5" customHeight="1" x14ac:dyDescent="0.25">
      <c r="A412" s="60" t="s">
        <v>656</v>
      </c>
      <c r="B412" s="60" t="s">
        <v>659</v>
      </c>
      <c r="C412" s="34">
        <v>4301011873</v>
      </c>
      <c r="D412" s="681">
        <v>4680115881907</v>
      </c>
      <c r="E412" s="681"/>
      <c r="F412" s="59">
        <v>1.8</v>
      </c>
      <c r="G412" s="35">
        <v>6</v>
      </c>
      <c r="H412" s="59">
        <v>10.8</v>
      </c>
      <c r="I412" s="59">
        <v>11.234999999999999</v>
      </c>
      <c r="J412" s="35">
        <v>64</v>
      </c>
      <c r="K412" s="35" t="s">
        <v>114</v>
      </c>
      <c r="L412" s="35" t="s">
        <v>45</v>
      </c>
      <c r="M412" s="36" t="s">
        <v>82</v>
      </c>
      <c r="N412" s="36"/>
      <c r="O412" s="35">
        <v>60</v>
      </c>
      <c r="P412" s="78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83"/>
      <c r="R412" s="683"/>
      <c r="S412" s="683"/>
      <c r="T412" s="684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45</v>
      </c>
      <c r="AB412" s="66" t="s">
        <v>45</v>
      </c>
      <c r="AC412" s="471" t="s">
        <v>660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37.5" customHeight="1" x14ac:dyDescent="0.25">
      <c r="A413" s="60" t="s">
        <v>661</v>
      </c>
      <c r="B413" s="60" t="s">
        <v>662</v>
      </c>
      <c r="C413" s="34">
        <v>4301011874</v>
      </c>
      <c r="D413" s="681">
        <v>4680115884892</v>
      </c>
      <c r="E413" s="681"/>
      <c r="F413" s="59">
        <v>1.8</v>
      </c>
      <c r="G413" s="35">
        <v>6</v>
      </c>
      <c r="H413" s="59">
        <v>10.8</v>
      </c>
      <c r="I413" s="59">
        <v>11.234999999999999</v>
      </c>
      <c r="J413" s="35">
        <v>64</v>
      </c>
      <c r="K413" s="35" t="s">
        <v>114</v>
      </c>
      <c r="L413" s="35" t="s">
        <v>45</v>
      </c>
      <c r="M413" s="36" t="s">
        <v>82</v>
      </c>
      <c r="N413" s="36"/>
      <c r="O413" s="35">
        <v>60</v>
      </c>
      <c r="P413" s="789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83"/>
      <c r="R413" s="683"/>
      <c r="S413" s="683"/>
      <c r="T413" s="684"/>
      <c r="U413" s="37" t="s">
        <v>45</v>
      </c>
      <c r="V413" s="37" t="s">
        <v>45</v>
      </c>
      <c r="W413" s="38" t="s">
        <v>0</v>
      </c>
      <c r="X413" s="56">
        <v>20</v>
      </c>
      <c r="Y413" s="53">
        <f>IFERROR(IF(X413="",0,CEILING((X413/$H413),1)*$H413),"")</f>
        <v>21.6</v>
      </c>
      <c r="Z413" s="39">
        <f>IFERROR(IF(Y413=0,"",ROUNDUP(Y413/H413,0)*0.01898),"")</f>
        <v>3.7960000000000001E-2</v>
      </c>
      <c r="AA413" s="65" t="s">
        <v>45</v>
      </c>
      <c r="AB413" s="66" t="s">
        <v>45</v>
      </c>
      <c r="AC413" s="473" t="s">
        <v>663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20.805555555555554</v>
      </c>
      <c r="BN413" s="75">
        <f>IFERROR(Y413*I413/H413,"0")</f>
        <v>22.47</v>
      </c>
      <c r="BO413" s="75">
        <f>IFERROR(1/J413*(X413/H413),"0")</f>
        <v>2.8935185185185182E-2</v>
      </c>
      <c r="BP413" s="75">
        <f>IFERROR(1/J413*(Y413/H413),"0")</f>
        <v>3.125E-2</v>
      </c>
    </row>
    <row r="414" spans="1:68" ht="37.5" customHeight="1" x14ac:dyDescent="0.25">
      <c r="A414" s="60" t="s">
        <v>664</v>
      </c>
      <c r="B414" s="60" t="s">
        <v>665</v>
      </c>
      <c r="C414" s="34">
        <v>4301011875</v>
      </c>
      <c r="D414" s="681">
        <v>4680115884885</v>
      </c>
      <c r="E414" s="681"/>
      <c r="F414" s="59">
        <v>0.8</v>
      </c>
      <c r="G414" s="35">
        <v>15</v>
      </c>
      <c r="H414" s="59">
        <v>12</v>
      </c>
      <c r="I414" s="59">
        <v>12.435</v>
      </c>
      <c r="J414" s="35">
        <v>64</v>
      </c>
      <c r="K414" s="35" t="s">
        <v>114</v>
      </c>
      <c r="L414" s="35" t="s">
        <v>45</v>
      </c>
      <c r="M414" s="36" t="s">
        <v>82</v>
      </c>
      <c r="N414" s="36"/>
      <c r="O414" s="35">
        <v>60</v>
      </c>
      <c r="P414" s="79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83"/>
      <c r="R414" s="683"/>
      <c r="S414" s="683"/>
      <c r="T414" s="684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45</v>
      </c>
      <c r="AB414" s="66" t="s">
        <v>45</v>
      </c>
      <c r="AC414" s="475" t="s">
        <v>663</v>
      </c>
      <c r="AG414" s="75"/>
      <c r="AJ414" s="79" t="s">
        <v>45</v>
      </c>
      <c r="AK414" s="79">
        <v>0</v>
      </c>
      <c r="BB414" s="47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37.5" customHeight="1" x14ac:dyDescent="0.25">
      <c r="A415" s="60" t="s">
        <v>666</v>
      </c>
      <c r="B415" s="60" t="s">
        <v>667</v>
      </c>
      <c r="C415" s="34">
        <v>4301011871</v>
      </c>
      <c r="D415" s="681">
        <v>4680115884908</v>
      </c>
      <c r="E415" s="681"/>
      <c r="F415" s="59">
        <v>0.4</v>
      </c>
      <c r="G415" s="35">
        <v>10</v>
      </c>
      <c r="H415" s="59">
        <v>4</v>
      </c>
      <c r="I415" s="59">
        <v>4.21</v>
      </c>
      <c r="J415" s="35">
        <v>132</v>
      </c>
      <c r="K415" s="35" t="s">
        <v>118</v>
      </c>
      <c r="L415" s="35" t="s">
        <v>45</v>
      </c>
      <c r="M415" s="36" t="s">
        <v>82</v>
      </c>
      <c r="N415" s="36"/>
      <c r="O415" s="35">
        <v>60</v>
      </c>
      <c r="P415" s="79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83"/>
      <c r="R415" s="683"/>
      <c r="S415" s="683"/>
      <c r="T415" s="684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 t="s">
        <v>45</v>
      </c>
      <c r="AB415" s="66" t="s">
        <v>45</v>
      </c>
      <c r="AC415" s="477" t="s">
        <v>663</v>
      </c>
      <c r="AG415" s="75"/>
      <c r="AJ415" s="79" t="s">
        <v>45</v>
      </c>
      <c r="AK415" s="79">
        <v>0</v>
      </c>
      <c r="BB415" s="47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675"/>
      <c r="B416" s="675"/>
      <c r="C416" s="675"/>
      <c r="D416" s="675"/>
      <c r="E416" s="675"/>
      <c r="F416" s="675"/>
      <c r="G416" s="675"/>
      <c r="H416" s="675"/>
      <c r="I416" s="675"/>
      <c r="J416" s="675"/>
      <c r="K416" s="675"/>
      <c r="L416" s="675"/>
      <c r="M416" s="675"/>
      <c r="N416" s="675"/>
      <c r="O416" s="688"/>
      <c r="P416" s="685" t="s">
        <v>40</v>
      </c>
      <c r="Q416" s="686"/>
      <c r="R416" s="686"/>
      <c r="S416" s="686"/>
      <c r="T416" s="686"/>
      <c r="U416" s="686"/>
      <c r="V416" s="687"/>
      <c r="W416" s="40" t="s">
        <v>39</v>
      </c>
      <c r="X416" s="41">
        <f>IFERROR(X411/H411,"0")+IFERROR(X412/H412,"0")+IFERROR(X413/H413,"0")+IFERROR(X414/H414,"0")+IFERROR(X415/H415,"0")</f>
        <v>1.8518518518518516</v>
      </c>
      <c r="Y416" s="41">
        <f>IFERROR(Y411/H411,"0")+IFERROR(Y412/H412,"0")+IFERROR(Y413/H413,"0")+IFERROR(Y414/H414,"0")+IFERROR(Y415/H415,"0")</f>
        <v>2</v>
      </c>
      <c r="Z416" s="41">
        <f>IFERROR(IF(Z411="",0,Z411),"0")+IFERROR(IF(Z412="",0,Z412),"0")+IFERROR(IF(Z413="",0,Z413),"0")+IFERROR(IF(Z414="",0,Z414),"0")+IFERROR(IF(Z415="",0,Z415),"0")</f>
        <v>3.7960000000000001E-2</v>
      </c>
      <c r="AA416" s="64"/>
      <c r="AB416" s="64"/>
      <c r="AC416" s="64"/>
    </row>
    <row r="417" spans="1:68" x14ac:dyDescent="0.2">
      <c r="A417" s="675"/>
      <c r="B417" s="675"/>
      <c r="C417" s="675"/>
      <c r="D417" s="675"/>
      <c r="E417" s="675"/>
      <c r="F417" s="675"/>
      <c r="G417" s="675"/>
      <c r="H417" s="675"/>
      <c r="I417" s="675"/>
      <c r="J417" s="675"/>
      <c r="K417" s="675"/>
      <c r="L417" s="675"/>
      <c r="M417" s="675"/>
      <c r="N417" s="675"/>
      <c r="O417" s="688"/>
      <c r="P417" s="685" t="s">
        <v>40</v>
      </c>
      <c r="Q417" s="686"/>
      <c r="R417" s="686"/>
      <c r="S417" s="686"/>
      <c r="T417" s="686"/>
      <c r="U417" s="686"/>
      <c r="V417" s="687"/>
      <c r="W417" s="40" t="s">
        <v>0</v>
      </c>
      <c r="X417" s="41">
        <f>IFERROR(SUM(X411:X415),"0")</f>
        <v>20</v>
      </c>
      <c r="Y417" s="41">
        <f>IFERROR(SUM(Y411:Y415),"0")</f>
        <v>21.6</v>
      </c>
      <c r="Z417" s="40"/>
      <c r="AA417" s="64"/>
      <c r="AB417" s="64"/>
      <c r="AC417" s="64"/>
    </row>
    <row r="418" spans="1:68" ht="14.25" customHeight="1" x14ac:dyDescent="0.25">
      <c r="A418" s="680" t="s">
        <v>160</v>
      </c>
      <c r="B418" s="680"/>
      <c r="C418" s="680"/>
      <c r="D418" s="680"/>
      <c r="E418" s="680"/>
      <c r="F418" s="680"/>
      <c r="G418" s="680"/>
      <c r="H418" s="680"/>
      <c r="I418" s="680"/>
      <c r="J418" s="680"/>
      <c r="K418" s="680"/>
      <c r="L418" s="680"/>
      <c r="M418" s="680"/>
      <c r="N418" s="680"/>
      <c r="O418" s="680"/>
      <c r="P418" s="680"/>
      <c r="Q418" s="680"/>
      <c r="R418" s="680"/>
      <c r="S418" s="680"/>
      <c r="T418" s="680"/>
      <c r="U418" s="680"/>
      <c r="V418" s="680"/>
      <c r="W418" s="680"/>
      <c r="X418" s="680"/>
      <c r="Y418" s="680"/>
      <c r="Z418" s="680"/>
      <c r="AA418" s="63"/>
      <c r="AB418" s="63"/>
      <c r="AC418" s="63"/>
    </row>
    <row r="419" spans="1:68" ht="27" customHeight="1" x14ac:dyDescent="0.25">
      <c r="A419" s="60" t="s">
        <v>668</v>
      </c>
      <c r="B419" s="60" t="s">
        <v>669</v>
      </c>
      <c r="C419" s="34">
        <v>4301031303</v>
      </c>
      <c r="D419" s="681">
        <v>4607091384802</v>
      </c>
      <c r="E419" s="681"/>
      <c r="F419" s="59">
        <v>0.73</v>
      </c>
      <c r="G419" s="35">
        <v>6</v>
      </c>
      <c r="H419" s="59">
        <v>4.38</v>
      </c>
      <c r="I419" s="59">
        <v>4.6500000000000004</v>
      </c>
      <c r="J419" s="35">
        <v>132</v>
      </c>
      <c r="K419" s="35" t="s">
        <v>118</v>
      </c>
      <c r="L419" s="35" t="s">
        <v>45</v>
      </c>
      <c r="M419" s="36" t="s">
        <v>82</v>
      </c>
      <c r="N419" s="36"/>
      <c r="O419" s="35">
        <v>35</v>
      </c>
      <c r="P419" s="78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83"/>
      <c r="R419" s="683"/>
      <c r="S419" s="683"/>
      <c r="T419" s="684"/>
      <c r="U419" s="37" t="s">
        <v>45</v>
      </c>
      <c r="V419" s="37" t="s">
        <v>45</v>
      </c>
      <c r="W419" s="38" t="s">
        <v>0</v>
      </c>
      <c r="X419" s="56">
        <v>280</v>
      </c>
      <c r="Y419" s="53">
        <f>IFERROR(IF(X419="",0,CEILING((X419/$H419),1)*$H419),"")</f>
        <v>280.32</v>
      </c>
      <c r="Z419" s="39">
        <f>IFERROR(IF(Y419=0,"",ROUNDUP(Y419/H419,0)*0.00902),"")</f>
        <v>0.57728000000000002</v>
      </c>
      <c r="AA419" s="65" t="s">
        <v>45</v>
      </c>
      <c r="AB419" s="66" t="s">
        <v>45</v>
      </c>
      <c r="AC419" s="479" t="s">
        <v>670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297.26027397260276</v>
      </c>
      <c r="BN419" s="75">
        <f>IFERROR(Y419*I419/H419,"0")</f>
        <v>297.60000000000002</v>
      </c>
      <c r="BO419" s="75">
        <f>IFERROR(1/J419*(X419/H419),"0")</f>
        <v>0.48429500484295007</v>
      </c>
      <c r="BP419" s="75">
        <f>IFERROR(1/J419*(Y419/H419),"0")</f>
        <v>0.48484848484848486</v>
      </c>
    </row>
    <row r="420" spans="1:68" x14ac:dyDescent="0.2">
      <c r="A420" s="675"/>
      <c r="B420" s="675"/>
      <c r="C420" s="675"/>
      <c r="D420" s="675"/>
      <c r="E420" s="675"/>
      <c r="F420" s="675"/>
      <c r="G420" s="675"/>
      <c r="H420" s="675"/>
      <c r="I420" s="675"/>
      <c r="J420" s="675"/>
      <c r="K420" s="675"/>
      <c r="L420" s="675"/>
      <c r="M420" s="675"/>
      <c r="N420" s="675"/>
      <c r="O420" s="688"/>
      <c r="P420" s="685" t="s">
        <v>40</v>
      </c>
      <c r="Q420" s="686"/>
      <c r="R420" s="686"/>
      <c r="S420" s="686"/>
      <c r="T420" s="686"/>
      <c r="U420" s="686"/>
      <c r="V420" s="687"/>
      <c r="W420" s="40" t="s">
        <v>39</v>
      </c>
      <c r="X420" s="41">
        <f>IFERROR(X419/H419,"0")</f>
        <v>63.926940639269411</v>
      </c>
      <c r="Y420" s="41">
        <f>IFERROR(Y419/H419,"0")</f>
        <v>64</v>
      </c>
      <c r="Z420" s="41">
        <f>IFERROR(IF(Z419="",0,Z419),"0")</f>
        <v>0.57728000000000002</v>
      </c>
      <c r="AA420" s="64"/>
      <c r="AB420" s="64"/>
      <c r="AC420" s="64"/>
    </row>
    <row r="421" spans="1:68" x14ac:dyDescent="0.2">
      <c r="A421" s="675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88"/>
      <c r="P421" s="685" t="s">
        <v>40</v>
      </c>
      <c r="Q421" s="686"/>
      <c r="R421" s="686"/>
      <c r="S421" s="686"/>
      <c r="T421" s="686"/>
      <c r="U421" s="686"/>
      <c r="V421" s="687"/>
      <c r="W421" s="40" t="s">
        <v>0</v>
      </c>
      <c r="X421" s="41">
        <f>IFERROR(SUM(X419:X419),"0")</f>
        <v>280</v>
      </c>
      <c r="Y421" s="41">
        <f>IFERROR(SUM(Y419:Y419),"0")</f>
        <v>280.32</v>
      </c>
      <c r="Z421" s="40"/>
      <c r="AA421" s="64"/>
      <c r="AB421" s="64"/>
      <c r="AC421" s="64"/>
    </row>
    <row r="422" spans="1:68" ht="14.25" customHeight="1" x14ac:dyDescent="0.25">
      <c r="A422" s="680" t="s">
        <v>78</v>
      </c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0"/>
      <c r="P422" s="680"/>
      <c r="Q422" s="680"/>
      <c r="R422" s="680"/>
      <c r="S422" s="680"/>
      <c r="T422" s="680"/>
      <c r="U422" s="680"/>
      <c r="V422" s="680"/>
      <c r="W422" s="680"/>
      <c r="X422" s="680"/>
      <c r="Y422" s="680"/>
      <c r="Z422" s="680"/>
      <c r="AA422" s="63"/>
      <c r="AB422" s="63"/>
      <c r="AC422" s="63"/>
    </row>
    <row r="423" spans="1:68" ht="27" customHeight="1" x14ac:dyDescent="0.25">
      <c r="A423" s="60" t="s">
        <v>671</v>
      </c>
      <c r="B423" s="60" t="s">
        <v>672</v>
      </c>
      <c r="C423" s="34">
        <v>4301051899</v>
      </c>
      <c r="D423" s="681">
        <v>4607091384246</v>
      </c>
      <c r="E423" s="681"/>
      <c r="F423" s="59">
        <v>1.5</v>
      </c>
      <c r="G423" s="35">
        <v>6</v>
      </c>
      <c r="H423" s="59">
        <v>9</v>
      </c>
      <c r="I423" s="59">
        <v>9.5190000000000001</v>
      </c>
      <c r="J423" s="35">
        <v>64</v>
      </c>
      <c r="K423" s="35" t="s">
        <v>114</v>
      </c>
      <c r="L423" s="35" t="s">
        <v>45</v>
      </c>
      <c r="M423" s="36" t="s">
        <v>117</v>
      </c>
      <c r="N423" s="36"/>
      <c r="O423" s="35">
        <v>40</v>
      </c>
      <c r="P423" s="7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83"/>
      <c r="R423" s="683"/>
      <c r="S423" s="683"/>
      <c r="T423" s="684"/>
      <c r="U423" s="37" t="s">
        <v>45</v>
      </c>
      <c r="V423" s="37" t="s">
        <v>45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45</v>
      </c>
      <c r="AB423" s="66" t="s">
        <v>45</v>
      </c>
      <c r="AC423" s="481" t="s">
        <v>673</v>
      </c>
      <c r="AG423" s="75"/>
      <c r="AJ423" s="79" t="s">
        <v>45</v>
      </c>
      <c r="AK423" s="79">
        <v>0</v>
      </c>
      <c r="BB423" s="48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customHeight="1" x14ac:dyDescent="0.25">
      <c r="A424" s="60" t="s">
        <v>674</v>
      </c>
      <c r="B424" s="60" t="s">
        <v>675</v>
      </c>
      <c r="C424" s="34">
        <v>4301051297</v>
      </c>
      <c r="D424" s="681">
        <v>4607091384253</v>
      </c>
      <c r="E424" s="681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83</v>
      </c>
      <c r="L424" s="35" t="s">
        <v>45</v>
      </c>
      <c r="M424" s="36" t="s">
        <v>82</v>
      </c>
      <c r="N424" s="36"/>
      <c r="O424" s="35">
        <v>40</v>
      </c>
      <c r="P424" s="78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83"/>
      <c r="R424" s="683"/>
      <c r="S424" s="683"/>
      <c r="T424" s="684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45</v>
      </c>
      <c r="AB424" s="66" t="s">
        <v>45</v>
      </c>
      <c r="AC424" s="483" t="s">
        <v>676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674</v>
      </c>
      <c r="B425" s="60" t="s">
        <v>677</v>
      </c>
      <c r="C425" s="34">
        <v>4301051660</v>
      </c>
      <c r="D425" s="681">
        <v>4607091384253</v>
      </c>
      <c r="E425" s="681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83</v>
      </c>
      <c r="L425" s="35" t="s">
        <v>45</v>
      </c>
      <c r="M425" s="36" t="s">
        <v>117</v>
      </c>
      <c r="N425" s="36"/>
      <c r="O425" s="35">
        <v>40</v>
      </c>
      <c r="P425" s="7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83"/>
      <c r="R425" s="683"/>
      <c r="S425" s="683"/>
      <c r="T425" s="684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45</v>
      </c>
      <c r="AB425" s="66" t="s">
        <v>45</v>
      </c>
      <c r="AC425" s="485" t="s">
        <v>673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customHeight="1" x14ac:dyDescent="0.25">
      <c r="A426" s="60" t="s">
        <v>678</v>
      </c>
      <c r="B426" s="60" t="s">
        <v>679</v>
      </c>
      <c r="C426" s="34">
        <v>4301051444</v>
      </c>
      <c r="D426" s="681">
        <v>4680115881969</v>
      </c>
      <c r="E426" s="681"/>
      <c r="F426" s="59">
        <v>0.4</v>
      </c>
      <c r="G426" s="35">
        <v>6</v>
      </c>
      <c r="H426" s="59">
        <v>2.4</v>
      </c>
      <c r="I426" s="59">
        <v>2.58</v>
      </c>
      <c r="J426" s="35">
        <v>182</v>
      </c>
      <c r="K426" s="35" t="s">
        <v>83</v>
      </c>
      <c r="L426" s="35" t="s">
        <v>45</v>
      </c>
      <c r="M426" s="36" t="s">
        <v>82</v>
      </c>
      <c r="N426" s="36"/>
      <c r="O426" s="35">
        <v>40</v>
      </c>
      <c r="P426" s="78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83"/>
      <c r="R426" s="683"/>
      <c r="S426" s="683"/>
      <c r="T426" s="684"/>
      <c r="U426" s="37" t="s">
        <v>45</v>
      </c>
      <c r="V426" s="37" t="s">
        <v>45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45</v>
      </c>
      <c r="AB426" s="66" t="s">
        <v>45</v>
      </c>
      <c r="AC426" s="487" t="s">
        <v>680</v>
      </c>
      <c r="AG426" s="75"/>
      <c r="AJ426" s="79" t="s">
        <v>45</v>
      </c>
      <c r="AK426" s="79">
        <v>0</v>
      </c>
      <c r="BB426" s="48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675"/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88"/>
      <c r="P427" s="685" t="s">
        <v>40</v>
      </c>
      <c r="Q427" s="686"/>
      <c r="R427" s="686"/>
      <c r="S427" s="686"/>
      <c r="T427" s="686"/>
      <c r="U427" s="686"/>
      <c r="V427" s="687"/>
      <c r="W427" s="40" t="s">
        <v>39</v>
      </c>
      <c r="X427" s="41">
        <f>IFERROR(X423/H423,"0")+IFERROR(X424/H424,"0")+IFERROR(X425/H425,"0")+IFERROR(X426/H426,"0")</f>
        <v>0</v>
      </c>
      <c r="Y427" s="41">
        <f>IFERROR(Y423/H423,"0")+IFERROR(Y424/H424,"0")+IFERROR(Y425/H425,"0")+IFERROR(Y426/H426,"0")</f>
        <v>0</v>
      </c>
      <c r="Z427" s="41">
        <f>IFERROR(IF(Z423="",0,Z423),"0")+IFERROR(IF(Z424="",0,Z424),"0")+IFERROR(IF(Z425="",0,Z425),"0")+IFERROR(IF(Z426="",0,Z426),"0")</f>
        <v>0</v>
      </c>
      <c r="AA427" s="64"/>
      <c r="AB427" s="64"/>
      <c r="AC427" s="64"/>
    </row>
    <row r="428" spans="1:68" x14ac:dyDescent="0.2">
      <c r="A428" s="675"/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88"/>
      <c r="P428" s="685" t="s">
        <v>40</v>
      </c>
      <c r="Q428" s="686"/>
      <c r="R428" s="686"/>
      <c r="S428" s="686"/>
      <c r="T428" s="686"/>
      <c r="U428" s="686"/>
      <c r="V428" s="687"/>
      <c r="W428" s="40" t="s">
        <v>0</v>
      </c>
      <c r="X428" s="41">
        <f>IFERROR(SUM(X423:X426),"0")</f>
        <v>0</v>
      </c>
      <c r="Y428" s="41">
        <f>IFERROR(SUM(Y423:Y426),"0")</f>
        <v>0</v>
      </c>
      <c r="Z428" s="40"/>
      <c r="AA428" s="64"/>
      <c r="AB428" s="64"/>
      <c r="AC428" s="64"/>
    </row>
    <row r="429" spans="1:68" ht="14.25" customHeight="1" x14ac:dyDescent="0.25">
      <c r="A429" s="680" t="s">
        <v>186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3"/>
      <c r="AB429" s="63"/>
      <c r="AC429" s="63"/>
    </row>
    <row r="430" spans="1:68" ht="27" customHeight="1" x14ac:dyDescent="0.25">
      <c r="A430" s="60" t="s">
        <v>681</v>
      </c>
      <c r="B430" s="60" t="s">
        <v>682</v>
      </c>
      <c r="C430" s="34">
        <v>4301060441</v>
      </c>
      <c r="D430" s="681">
        <v>4607091389357</v>
      </c>
      <c r="E430" s="681"/>
      <c r="F430" s="59">
        <v>1.5</v>
      </c>
      <c r="G430" s="35">
        <v>6</v>
      </c>
      <c r="H430" s="59">
        <v>9</v>
      </c>
      <c r="I430" s="59">
        <v>9.4350000000000005</v>
      </c>
      <c r="J430" s="35">
        <v>64</v>
      </c>
      <c r="K430" s="35" t="s">
        <v>114</v>
      </c>
      <c r="L430" s="35" t="s">
        <v>45</v>
      </c>
      <c r="M430" s="36" t="s">
        <v>117</v>
      </c>
      <c r="N430" s="36"/>
      <c r="O430" s="35">
        <v>40</v>
      </c>
      <c r="P430" s="777" t="s">
        <v>683</v>
      </c>
      <c r="Q430" s="683"/>
      <c r="R430" s="683"/>
      <c r="S430" s="683"/>
      <c r="T430" s="684"/>
      <c r="U430" s="37" t="s">
        <v>45</v>
      </c>
      <c r="V430" s="37" t="s">
        <v>45</v>
      </c>
      <c r="W430" s="38" t="s">
        <v>0</v>
      </c>
      <c r="X430" s="56">
        <v>50</v>
      </c>
      <c r="Y430" s="53">
        <f>IFERROR(IF(X430="",0,CEILING((X430/$H430),1)*$H430),"")</f>
        <v>54</v>
      </c>
      <c r="Z430" s="39">
        <f>IFERROR(IF(Y430=0,"",ROUNDUP(Y430/H430,0)*0.01898),"")</f>
        <v>0.11388000000000001</v>
      </c>
      <c r="AA430" s="65" t="s">
        <v>45</v>
      </c>
      <c r="AB430" s="66" t="s">
        <v>45</v>
      </c>
      <c r="AC430" s="489" t="s">
        <v>684</v>
      </c>
      <c r="AG430" s="75"/>
      <c r="AJ430" s="79" t="s">
        <v>45</v>
      </c>
      <c r="AK430" s="79">
        <v>0</v>
      </c>
      <c r="BB430" s="490" t="s">
        <v>66</v>
      </c>
      <c r="BM430" s="75">
        <f>IFERROR(X430*I430/H430,"0")</f>
        <v>52.416666666666664</v>
      </c>
      <c r="BN430" s="75">
        <f>IFERROR(Y430*I430/H430,"0")</f>
        <v>56.61</v>
      </c>
      <c r="BO430" s="75">
        <f>IFERROR(1/J430*(X430/H430),"0")</f>
        <v>8.6805555555555552E-2</v>
      </c>
      <c r="BP430" s="75">
        <f>IFERROR(1/J430*(Y430/H430),"0")</f>
        <v>9.375E-2</v>
      </c>
    </row>
    <row r="431" spans="1:68" x14ac:dyDescent="0.2">
      <c r="A431" s="675"/>
      <c r="B431" s="675"/>
      <c r="C431" s="675"/>
      <c r="D431" s="675"/>
      <c r="E431" s="675"/>
      <c r="F431" s="675"/>
      <c r="G431" s="675"/>
      <c r="H431" s="675"/>
      <c r="I431" s="675"/>
      <c r="J431" s="675"/>
      <c r="K431" s="675"/>
      <c r="L431" s="675"/>
      <c r="M431" s="675"/>
      <c r="N431" s="675"/>
      <c r="O431" s="688"/>
      <c r="P431" s="685" t="s">
        <v>40</v>
      </c>
      <c r="Q431" s="686"/>
      <c r="R431" s="686"/>
      <c r="S431" s="686"/>
      <c r="T431" s="686"/>
      <c r="U431" s="686"/>
      <c r="V431" s="687"/>
      <c r="W431" s="40" t="s">
        <v>39</v>
      </c>
      <c r="X431" s="41">
        <f>IFERROR(X430/H430,"0")</f>
        <v>5.5555555555555554</v>
      </c>
      <c r="Y431" s="41">
        <f>IFERROR(Y430/H430,"0")</f>
        <v>6</v>
      </c>
      <c r="Z431" s="41">
        <f>IFERROR(IF(Z430="",0,Z430),"0")</f>
        <v>0.11388000000000001</v>
      </c>
      <c r="AA431" s="64"/>
      <c r="AB431" s="64"/>
      <c r="AC431" s="64"/>
    </row>
    <row r="432" spans="1:68" x14ac:dyDescent="0.2">
      <c r="A432" s="675"/>
      <c r="B432" s="675"/>
      <c r="C432" s="675"/>
      <c r="D432" s="675"/>
      <c r="E432" s="675"/>
      <c r="F432" s="675"/>
      <c r="G432" s="675"/>
      <c r="H432" s="675"/>
      <c r="I432" s="675"/>
      <c r="J432" s="675"/>
      <c r="K432" s="675"/>
      <c r="L432" s="675"/>
      <c r="M432" s="675"/>
      <c r="N432" s="675"/>
      <c r="O432" s="688"/>
      <c r="P432" s="685" t="s">
        <v>40</v>
      </c>
      <c r="Q432" s="686"/>
      <c r="R432" s="686"/>
      <c r="S432" s="686"/>
      <c r="T432" s="686"/>
      <c r="U432" s="686"/>
      <c r="V432" s="687"/>
      <c r="W432" s="40" t="s">
        <v>0</v>
      </c>
      <c r="X432" s="41">
        <f>IFERROR(SUM(X430:X430),"0")</f>
        <v>50</v>
      </c>
      <c r="Y432" s="41">
        <f>IFERROR(SUM(Y430:Y430),"0")</f>
        <v>54</v>
      </c>
      <c r="Z432" s="40"/>
      <c r="AA432" s="64"/>
      <c r="AB432" s="64"/>
      <c r="AC432" s="64"/>
    </row>
    <row r="433" spans="1:68" ht="27.75" customHeight="1" x14ac:dyDescent="0.2">
      <c r="A433" s="717" t="s">
        <v>685</v>
      </c>
      <c r="B433" s="717"/>
      <c r="C433" s="717"/>
      <c r="D433" s="717"/>
      <c r="E433" s="717"/>
      <c r="F433" s="717"/>
      <c r="G433" s="717"/>
      <c r="H433" s="717"/>
      <c r="I433" s="717"/>
      <c r="J433" s="717"/>
      <c r="K433" s="717"/>
      <c r="L433" s="717"/>
      <c r="M433" s="717"/>
      <c r="N433" s="717"/>
      <c r="O433" s="717"/>
      <c r="P433" s="717"/>
      <c r="Q433" s="717"/>
      <c r="R433" s="717"/>
      <c r="S433" s="717"/>
      <c r="T433" s="717"/>
      <c r="U433" s="717"/>
      <c r="V433" s="717"/>
      <c r="W433" s="717"/>
      <c r="X433" s="717"/>
      <c r="Y433" s="717"/>
      <c r="Z433" s="717"/>
      <c r="AA433" s="52"/>
      <c r="AB433" s="52"/>
      <c r="AC433" s="52"/>
    </row>
    <row r="434" spans="1:68" ht="16.5" customHeight="1" x14ac:dyDescent="0.25">
      <c r="A434" s="695" t="s">
        <v>686</v>
      </c>
      <c r="B434" s="695"/>
      <c r="C434" s="695"/>
      <c r="D434" s="695"/>
      <c r="E434" s="695"/>
      <c r="F434" s="695"/>
      <c r="G434" s="695"/>
      <c r="H434" s="695"/>
      <c r="I434" s="695"/>
      <c r="J434" s="695"/>
      <c r="K434" s="695"/>
      <c r="L434" s="695"/>
      <c r="M434" s="695"/>
      <c r="N434" s="695"/>
      <c r="O434" s="695"/>
      <c r="P434" s="695"/>
      <c r="Q434" s="695"/>
      <c r="R434" s="695"/>
      <c r="S434" s="695"/>
      <c r="T434" s="695"/>
      <c r="U434" s="695"/>
      <c r="V434" s="695"/>
      <c r="W434" s="695"/>
      <c r="X434" s="695"/>
      <c r="Y434" s="695"/>
      <c r="Z434" s="695"/>
      <c r="AA434" s="62"/>
      <c r="AB434" s="62"/>
      <c r="AC434" s="62"/>
    </row>
    <row r="435" spans="1:68" ht="14.25" customHeight="1" x14ac:dyDescent="0.25">
      <c r="A435" s="680" t="s">
        <v>160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3"/>
      <c r="AB435" s="63"/>
      <c r="AC435" s="63"/>
    </row>
    <row r="436" spans="1:68" ht="27" customHeight="1" x14ac:dyDescent="0.25">
      <c r="A436" s="60" t="s">
        <v>687</v>
      </c>
      <c r="B436" s="60" t="s">
        <v>688</v>
      </c>
      <c r="C436" s="34">
        <v>4301031405</v>
      </c>
      <c r="D436" s="681">
        <v>4680115886100</v>
      </c>
      <c r="E436" s="681"/>
      <c r="F436" s="59">
        <v>0.9</v>
      </c>
      <c r="G436" s="35">
        <v>6</v>
      </c>
      <c r="H436" s="59">
        <v>5.4</v>
      </c>
      <c r="I436" s="59">
        <v>5.61</v>
      </c>
      <c r="J436" s="35">
        <v>132</v>
      </c>
      <c r="K436" s="35" t="s">
        <v>118</v>
      </c>
      <c r="L436" s="35" t="s">
        <v>45</v>
      </c>
      <c r="M436" s="36" t="s">
        <v>82</v>
      </c>
      <c r="N436" s="36"/>
      <c r="O436" s="35">
        <v>50</v>
      </c>
      <c r="P436" s="778" t="s">
        <v>689</v>
      </c>
      <c r="Q436" s="683"/>
      <c r="R436" s="683"/>
      <c r="S436" s="683"/>
      <c r="T436" s="684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ref="Y436:Y447" si="62">IFERROR(IF(X436="",0,CEILING((X436/$H436),1)*$H436),"")</f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491" t="s">
        <v>690</v>
      </c>
      <c r="AG436" s="75"/>
      <c r="AJ436" s="79" t="s">
        <v>45</v>
      </c>
      <c r="AK436" s="79">
        <v>0</v>
      </c>
      <c r="BB436" s="492" t="s">
        <v>66</v>
      </c>
      <c r="BM436" s="75">
        <f t="shared" ref="BM436:BM447" si="63">IFERROR(X436*I436/H436,"0")</f>
        <v>0</v>
      </c>
      <c r="BN436" s="75">
        <f t="shared" ref="BN436:BN447" si="64">IFERROR(Y436*I436/H436,"0")</f>
        <v>0</v>
      </c>
      <c r="BO436" s="75">
        <f t="shared" ref="BO436:BO447" si="65">IFERROR(1/J436*(X436/H436),"0")</f>
        <v>0</v>
      </c>
      <c r="BP436" s="75">
        <f t="shared" ref="BP436:BP447" si="66">IFERROR(1/J436*(Y436/H436),"0")</f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4301031382</v>
      </c>
      <c r="D437" s="681">
        <v>4680115886117</v>
      </c>
      <c r="E437" s="681"/>
      <c r="F437" s="59">
        <v>0.9</v>
      </c>
      <c r="G437" s="35">
        <v>6</v>
      </c>
      <c r="H437" s="59">
        <v>5.4</v>
      </c>
      <c r="I437" s="59">
        <v>5.61</v>
      </c>
      <c r="J437" s="35">
        <v>132</v>
      </c>
      <c r="K437" s="35" t="s">
        <v>118</v>
      </c>
      <c r="L437" s="35" t="s">
        <v>45</v>
      </c>
      <c r="M437" s="36" t="s">
        <v>82</v>
      </c>
      <c r="N437" s="36"/>
      <c r="O437" s="35">
        <v>50</v>
      </c>
      <c r="P437" s="779" t="s">
        <v>693</v>
      </c>
      <c r="Q437" s="683"/>
      <c r="R437" s="683"/>
      <c r="S437" s="683"/>
      <c r="T437" s="684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3" t="s">
        <v>694</v>
      </c>
      <c r="AG437" s="75"/>
      <c r="AJ437" s="79" t="s">
        <v>45</v>
      </c>
      <c r="AK437" s="79">
        <v>0</v>
      </c>
      <c r="BB437" s="494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customHeight="1" x14ac:dyDescent="0.25">
      <c r="A438" s="60" t="s">
        <v>691</v>
      </c>
      <c r="B438" s="60" t="s">
        <v>695</v>
      </c>
      <c r="C438" s="34">
        <v>4301031406</v>
      </c>
      <c r="D438" s="681">
        <v>4680115886117</v>
      </c>
      <c r="E438" s="681"/>
      <c r="F438" s="59">
        <v>0.9</v>
      </c>
      <c r="G438" s="35">
        <v>6</v>
      </c>
      <c r="H438" s="59">
        <v>5.4</v>
      </c>
      <c r="I438" s="59">
        <v>5.61</v>
      </c>
      <c r="J438" s="35">
        <v>132</v>
      </c>
      <c r="K438" s="35" t="s">
        <v>118</v>
      </c>
      <c r="L438" s="35" t="s">
        <v>45</v>
      </c>
      <c r="M438" s="36" t="s">
        <v>82</v>
      </c>
      <c r="N438" s="36"/>
      <c r="O438" s="35">
        <v>50</v>
      </c>
      <c r="P438" s="780" t="s">
        <v>693</v>
      </c>
      <c r="Q438" s="683"/>
      <c r="R438" s="683"/>
      <c r="S438" s="683"/>
      <c r="T438" s="684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495" t="s">
        <v>694</v>
      </c>
      <c r="AG438" s="75"/>
      <c r="AJ438" s="79" t="s">
        <v>45</v>
      </c>
      <c r="AK438" s="79">
        <v>0</v>
      </c>
      <c r="BB438" s="496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customHeight="1" x14ac:dyDescent="0.25">
      <c r="A439" s="60" t="s">
        <v>696</v>
      </c>
      <c r="B439" s="60" t="s">
        <v>697</v>
      </c>
      <c r="C439" s="34">
        <v>4301031402</v>
      </c>
      <c r="D439" s="681">
        <v>4680115886124</v>
      </c>
      <c r="E439" s="681"/>
      <c r="F439" s="59">
        <v>0.9</v>
      </c>
      <c r="G439" s="35">
        <v>6</v>
      </c>
      <c r="H439" s="59">
        <v>5.4</v>
      </c>
      <c r="I439" s="59">
        <v>5.61</v>
      </c>
      <c r="J439" s="35">
        <v>132</v>
      </c>
      <c r="K439" s="35" t="s">
        <v>118</v>
      </c>
      <c r="L439" s="35" t="s">
        <v>45</v>
      </c>
      <c r="M439" s="36" t="s">
        <v>82</v>
      </c>
      <c r="N439" s="36"/>
      <c r="O439" s="35">
        <v>50</v>
      </c>
      <c r="P439" s="768" t="s">
        <v>698</v>
      </c>
      <c r="Q439" s="683"/>
      <c r="R439" s="683"/>
      <c r="S439" s="683"/>
      <c r="T439" s="684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IFERROR(IF(Y439=0,"",ROUNDUP(Y439/H439,0)*0.00902),"")</f>
        <v/>
      </c>
      <c r="AA439" s="65" t="s">
        <v>45</v>
      </c>
      <c r="AB439" s="66" t="s">
        <v>45</v>
      </c>
      <c r="AC439" s="497" t="s">
        <v>699</v>
      </c>
      <c r="AG439" s="75"/>
      <c r="AJ439" s="79" t="s">
        <v>45</v>
      </c>
      <c r="AK439" s="79">
        <v>0</v>
      </c>
      <c r="BB439" s="498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customHeight="1" x14ac:dyDescent="0.25">
      <c r="A440" s="60" t="s">
        <v>700</v>
      </c>
      <c r="B440" s="60" t="s">
        <v>701</v>
      </c>
      <c r="C440" s="34">
        <v>4301031335</v>
      </c>
      <c r="D440" s="681">
        <v>4680115883147</v>
      </c>
      <c r="E440" s="681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83"/>
      <c r="R440" s="683"/>
      <c r="S440" s="683"/>
      <c r="T440" s="684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ref="Z440:Z447" si="67">IFERROR(IF(Y440=0,"",ROUNDUP(Y440/H440,0)*0.00502),"")</f>
        <v/>
      </c>
      <c r="AA440" s="65" t="s">
        <v>45</v>
      </c>
      <c r="AB440" s="66" t="s">
        <v>45</v>
      </c>
      <c r="AC440" s="499" t="s">
        <v>690</v>
      </c>
      <c r="AG440" s="75"/>
      <c r="AJ440" s="79" t="s">
        <v>45</v>
      </c>
      <c r="AK440" s="79">
        <v>0</v>
      </c>
      <c r="BB440" s="500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customHeight="1" x14ac:dyDescent="0.25">
      <c r="A441" s="60" t="s">
        <v>700</v>
      </c>
      <c r="B441" s="60" t="s">
        <v>702</v>
      </c>
      <c r="C441" s="34">
        <v>4301031366</v>
      </c>
      <c r="D441" s="681">
        <v>4680115883147</v>
      </c>
      <c r="E441" s="681"/>
      <c r="F441" s="59">
        <v>0.28000000000000003</v>
      </c>
      <c r="G441" s="35">
        <v>6</v>
      </c>
      <c r="H441" s="59">
        <v>1.68</v>
      </c>
      <c r="I441" s="59">
        <v>1.81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70" t="s">
        <v>703</v>
      </c>
      <c r="Q441" s="683"/>
      <c r="R441" s="683"/>
      <c r="S441" s="683"/>
      <c r="T441" s="684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1" t="s">
        <v>690</v>
      </c>
      <c r="AG441" s="75"/>
      <c r="AJ441" s="79" t="s">
        <v>45</v>
      </c>
      <c r="AK441" s="79">
        <v>0</v>
      </c>
      <c r="BB441" s="502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27" customHeight="1" x14ac:dyDescent="0.25">
      <c r="A442" s="60" t="s">
        <v>704</v>
      </c>
      <c r="B442" s="60" t="s">
        <v>705</v>
      </c>
      <c r="C442" s="34">
        <v>4301031362</v>
      </c>
      <c r="D442" s="681">
        <v>4607091384338</v>
      </c>
      <c r="E442" s="681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164</v>
      </c>
      <c r="L442" s="35" t="s">
        <v>45</v>
      </c>
      <c r="M442" s="36" t="s">
        <v>82</v>
      </c>
      <c r="N442" s="36"/>
      <c r="O442" s="35">
        <v>50</v>
      </c>
      <c r="P442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83"/>
      <c r="R442" s="683"/>
      <c r="S442" s="683"/>
      <c r="T442" s="684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3" t="s">
        <v>690</v>
      </c>
      <c r="AG442" s="75"/>
      <c r="AJ442" s="79" t="s">
        <v>45</v>
      </c>
      <c r="AK442" s="79">
        <v>0</v>
      </c>
      <c r="BB442" s="504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ht="37.5" customHeight="1" x14ac:dyDescent="0.25">
      <c r="A443" s="60" t="s">
        <v>706</v>
      </c>
      <c r="B443" s="60" t="s">
        <v>707</v>
      </c>
      <c r="C443" s="34">
        <v>4301031361</v>
      </c>
      <c r="D443" s="681">
        <v>4607091389524</v>
      </c>
      <c r="E443" s="681"/>
      <c r="F443" s="59">
        <v>0.35</v>
      </c>
      <c r="G443" s="35">
        <v>6</v>
      </c>
      <c r="H443" s="59">
        <v>2.1</v>
      </c>
      <c r="I443" s="59">
        <v>2.23</v>
      </c>
      <c r="J443" s="35">
        <v>234</v>
      </c>
      <c r="K443" s="35" t="s">
        <v>164</v>
      </c>
      <c r="L443" s="35" t="s">
        <v>45</v>
      </c>
      <c r="M443" s="36" t="s">
        <v>82</v>
      </c>
      <c r="N443" s="36"/>
      <c r="O443" s="35">
        <v>50</v>
      </c>
      <c r="P443" s="7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83"/>
      <c r="R443" s="683"/>
      <c r="S443" s="683"/>
      <c r="T443" s="684"/>
      <c r="U443" s="37" t="s">
        <v>45</v>
      </c>
      <c r="V443" s="37" t="s">
        <v>45</v>
      </c>
      <c r="W443" s="38" t="s">
        <v>0</v>
      </c>
      <c r="X443" s="56">
        <v>0</v>
      </c>
      <c r="Y443" s="53">
        <f t="shared" si="62"/>
        <v>0</v>
      </c>
      <c r="Z443" s="39" t="str">
        <f t="shared" si="67"/>
        <v/>
      </c>
      <c r="AA443" s="65" t="s">
        <v>45</v>
      </c>
      <c r="AB443" s="66" t="s">
        <v>45</v>
      </c>
      <c r="AC443" s="505" t="s">
        <v>708</v>
      </c>
      <c r="AG443" s="75"/>
      <c r="AJ443" s="79" t="s">
        <v>45</v>
      </c>
      <c r="AK443" s="79">
        <v>0</v>
      </c>
      <c r="BB443" s="506" t="s">
        <v>66</v>
      </c>
      <c r="BM443" s="75">
        <f t="shared" si="63"/>
        <v>0</v>
      </c>
      <c r="BN443" s="75">
        <f t="shared" si="64"/>
        <v>0</v>
      </c>
      <c r="BO443" s="75">
        <f t="shared" si="65"/>
        <v>0</v>
      </c>
      <c r="BP443" s="75">
        <f t="shared" si="66"/>
        <v>0</v>
      </c>
    </row>
    <row r="444" spans="1:68" ht="27" customHeight="1" x14ac:dyDescent="0.25">
      <c r="A444" s="60" t="s">
        <v>709</v>
      </c>
      <c r="B444" s="60" t="s">
        <v>710</v>
      </c>
      <c r="C444" s="34">
        <v>4301031337</v>
      </c>
      <c r="D444" s="681">
        <v>4680115883161</v>
      </c>
      <c r="E444" s="681"/>
      <c r="F444" s="59">
        <v>0.28000000000000003</v>
      </c>
      <c r="G444" s="35">
        <v>6</v>
      </c>
      <c r="H444" s="59">
        <v>1.68</v>
      </c>
      <c r="I444" s="59">
        <v>1.81</v>
      </c>
      <c r="J444" s="35">
        <v>234</v>
      </c>
      <c r="K444" s="35" t="s">
        <v>164</v>
      </c>
      <c r="L444" s="35" t="s">
        <v>45</v>
      </c>
      <c r="M444" s="36" t="s">
        <v>82</v>
      </c>
      <c r="N444" s="36"/>
      <c r="O444" s="35">
        <v>50</v>
      </c>
      <c r="P444" s="77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83"/>
      <c r="R444" s="683"/>
      <c r="S444" s="683"/>
      <c r="T444" s="684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62"/>
        <v>0</v>
      </c>
      <c r="Z444" s="39" t="str">
        <f t="shared" si="67"/>
        <v/>
      </c>
      <c r="AA444" s="65" t="s">
        <v>45</v>
      </c>
      <c r="AB444" s="66" t="s">
        <v>45</v>
      </c>
      <c r="AC444" s="507" t="s">
        <v>711</v>
      </c>
      <c r="AG444" s="75"/>
      <c r="AJ444" s="79" t="s">
        <v>45</v>
      </c>
      <c r="AK444" s="79">
        <v>0</v>
      </c>
      <c r="BB444" s="508" t="s">
        <v>66</v>
      </c>
      <c r="BM444" s="75">
        <f t="shared" si="63"/>
        <v>0</v>
      </c>
      <c r="BN444" s="75">
        <f t="shared" si="64"/>
        <v>0</v>
      </c>
      <c r="BO444" s="75">
        <f t="shared" si="65"/>
        <v>0</v>
      </c>
      <c r="BP444" s="75">
        <f t="shared" si="66"/>
        <v>0</v>
      </c>
    </row>
    <row r="445" spans="1:68" ht="27" customHeight="1" x14ac:dyDescent="0.25">
      <c r="A445" s="60" t="s">
        <v>709</v>
      </c>
      <c r="B445" s="60" t="s">
        <v>712</v>
      </c>
      <c r="C445" s="34">
        <v>4301031364</v>
      </c>
      <c r="D445" s="681">
        <v>4680115883161</v>
      </c>
      <c r="E445" s="681"/>
      <c r="F445" s="59">
        <v>0.28000000000000003</v>
      </c>
      <c r="G445" s="35">
        <v>6</v>
      </c>
      <c r="H445" s="59">
        <v>1.68</v>
      </c>
      <c r="I445" s="59">
        <v>1.81</v>
      </c>
      <c r="J445" s="35">
        <v>234</v>
      </c>
      <c r="K445" s="35" t="s">
        <v>164</v>
      </c>
      <c r="L445" s="35" t="s">
        <v>45</v>
      </c>
      <c r="M445" s="36" t="s">
        <v>82</v>
      </c>
      <c r="N445" s="36"/>
      <c r="O445" s="35">
        <v>50</v>
      </c>
      <c r="P445" s="774" t="s">
        <v>713</v>
      </c>
      <c r="Q445" s="683"/>
      <c r="R445" s="683"/>
      <c r="S445" s="683"/>
      <c r="T445" s="684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62"/>
        <v>0</v>
      </c>
      <c r="Z445" s="39" t="str">
        <f t="shared" si="67"/>
        <v/>
      </c>
      <c r="AA445" s="65" t="s">
        <v>45</v>
      </c>
      <c r="AB445" s="66" t="s">
        <v>45</v>
      </c>
      <c r="AC445" s="509" t="s">
        <v>711</v>
      </c>
      <c r="AG445" s="75"/>
      <c r="AJ445" s="79" t="s">
        <v>45</v>
      </c>
      <c r="AK445" s="79">
        <v>0</v>
      </c>
      <c r="BB445" s="510" t="s">
        <v>66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714</v>
      </c>
      <c r="B446" s="60" t="s">
        <v>715</v>
      </c>
      <c r="C446" s="34">
        <v>4301031358</v>
      </c>
      <c r="D446" s="681">
        <v>4607091389531</v>
      </c>
      <c r="E446" s="681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164</v>
      </c>
      <c r="L446" s="35" t="s">
        <v>45</v>
      </c>
      <c r="M446" s="36" t="s">
        <v>82</v>
      </c>
      <c r="N446" s="36"/>
      <c r="O446" s="35">
        <v>50</v>
      </c>
      <c r="P446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83"/>
      <c r="R446" s="683"/>
      <c r="S446" s="683"/>
      <c r="T446" s="684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62"/>
        <v>0</v>
      </c>
      <c r="Z446" s="39" t="str">
        <f t="shared" si="67"/>
        <v/>
      </c>
      <c r="AA446" s="65" t="s">
        <v>45</v>
      </c>
      <c r="AB446" s="66" t="s">
        <v>45</v>
      </c>
      <c r="AC446" s="511" t="s">
        <v>716</v>
      </c>
      <c r="AG446" s="75"/>
      <c r="AJ446" s="79" t="s">
        <v>45</v>
      </c>
      <c r="AK446" s="79">
        <v>0</v>
      </c>
      <c r="BB446" s="512" t="s">
        <v>66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37.5" customHeight="1" x14ac:dyDescent="0.25">
      <c r="A447" s="60" t="s">
        <v>717</v>
      </c>
      <c r="B447" s="60" t="s">
        <v>718</v>
      </c>
      <c r="C447" s="34">
        <v>4301031360</v>
      </c>
      <c r="D447" s="681">
        <v>4607091384345</v>
      </c>
      <c r="E447" s="681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164</v>
      </c>
      <c r="L447" s="35" t="s">
        <v>45</v>
      </c>
      <c r="M447" s="36" t="s">
        <v>82</v>
      </c>
      <c r="N447" s="36"/>
      <c r="O447" s="35">
        <v>50</v>
      </c>
      <c r="P447" s="7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83"/>
      <c r="R447" s="683"/>
      <c r="S447" s="683"/>
      <c r="T447" s="684"/>
      <c r="U447" s="37" t="s">
        <v>45</v>
      </c>
      <c r="V447" s="37" t="s">
        <v>45</v>
      </c>
      <c r="W447" s="38" t="s">
        <v>0</v>
      </c>
      <c r="X447" s="56">
        <v>0</v>
      </c>
      <c r="Y447" s="53">
        <f t="shared" si="62"/>
        <v>0</v>
      </c>
      <c r="Z447" s="39" t="str">
        <f t="shared" si="67"/>
        <v/>
      </c>
      <c r="AA447" s="65" t="s">
        <v>45</v>
      </c>
      <c r="AB447" s="66" t="s">
        <v>45</v>
      </c>
      <c r="AC447" s="513" t="s">
        <v>711</v>
      </c>
      <c r="AG447" s="75"/>
      <c r="AJ447" s="79" t="s">
        <v>45</v>
      </c>
      <c r="AK447" s="79">
        <v>0</v>
      </c>
      <c r="BB447" s="514" t="s">
        <v>66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88"/>
      <c r="P448" s="685" t="s">
        <v>40</v>
      </c>
      <c r="Q448" s="686"/>
      <c r="R448" s="686"/>
      <c r="S448" s="686"/>
      <c r="T448" s="686"/>
      <c r="U448" s="686"/>
      <c r="V448" s="687"/>
      <c r="W448" s="40" t="s">
        <v>39</v>
      </c>
      <c r="X448" s="41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41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41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4"/>
      <c r="AB448" s="64"/>
      <c r="AC448" s="64"/>
    </row>
    <row r="449" spans="1:68" x14ac:dyDescent="0.2">
      <c r="A449" s="675"/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88"/>
      <c r="P449" s="685" t="s">
        <v>40</v>
      </c>
      <c r="Q449" s="686"/>
      <c r="R449" s="686"/>
      <c r="S449" s="686"/>
      <c r="T449" s="686"/>
      <c r="U449" s="686"/>
      <c r="V449" s="687"/>
      <c r="W449" s="40" t="s">
        <v>0</v>
      </c>
      <c r="X449" s="41">
        <f>IFERROR(SUM(X436:X447),"0")</f>
        <v>0</v>
      </c>
      <c r="Y449" s="41">
        <f>IFERROR(SUM(Y436:Y447),"0")</f>
        <v>0</v>
      </c>
      <c r="Z449" s="40"/>
      <c r="AA449" s="64"/>
      <c r="AB449" s="64"/>
      <c r="AC449" s="64"/>
    </row>
    <row r="450" spans="1:68" ht="14.25" customHeight="1" x14ac:dyDescent="0.25">
      <c r="A450" s="680" t="s">
        <v>78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3"/>
      <c r="AB450" s="63"/>
      <c r="AC450" s="63"/>
    </row>
    <row r="451" spans="1:68" ht="27" customHeight="1" x14ac:dyDescent="0.25">
      <c r="A451" s="60" t="s">
        <v>719</v>
      </c>
      <c r="B451" s="60" t="s">
        <v>720</v>
      </c>
      <c r="C451" s="34">
        <v>4301051284</v>
      </c>
      <c r="D451" s="681">
        <v>4607091384352</v>
      </c>
      <c r="E451" s="681"/>
      <c r="F451" s="59">
        <v>0.6</v>
      </c>
      <c r="G451" s="35">
        <v>4</v>
      </c>
      <c r="H451" s="59">
        <v>2.4</v>
      </c>
      <c r="I451" s="59">
        <v>2.6459999999999999</v>
      </c>
      <c r="J451" s="35">
        <v>132</v>
      </c>
      <c r="K451" s="35" t="s">
        <v>118</v>
      </c>
      <c r="L451" s="35" t="s">
        <v>45</v>
      </c>
      <c r="M451" s="36" t="s">
        <v>117</v>
      </c>
      <c r="N451" s="36"/>
      <c r="O451" s="35">
        <v>45</v>
      </c>
      <c r="P451" s="7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83"/>
      <c r="R451" s="683"/>
      <c r="S451" s="683"/>
      <c r="T451" s="684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15" t="s">
        <v>721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722</v>
      </c>
      <c r="B452" s="60" t="s">
        <v>723</v>
      </c>
      <c r="C452" s="34">
        <v>4301051431</v>
      </c>
      <c r="D452" s="681">
        <v>4607091389654</v>
      </c>
      <c r="E452" s="681"/>
      <c r="F452" s="59">
        <v>0.33</v>
      </c>
      <c r="G452" s="35">
        <v>6</v>
      </c>
      <c r="H452" s="59">
        <v>1.98</v>
      </c>
      <c r="I452" s="59">
        <v>2.238</v>
      </c>
      <c r="J452" s="35">
        <v>182</v>
      </c>
      <c r="K452" s="35" t="s">
        <v>83</v>
      </c>
      <c r="L452" s="35" t="s">
        <v>45</v>
      </c>
      <c r="M452" s="36" t="s">
        <v>117</v>
      </c>
      <c r="N452" s="36"/>
      <c r="O452" s="35">
        <v>45</v>
      </c>
      <c r="P452" s="7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83"/>
      <c r="R452" s="683"/>
      <c r="S452" s="683"/>
      <c r="T452" s="684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724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75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88"/>
      <c r="P453" s="685" t="s">
        <v>40</v>
      </c>
      <c r="Q453" s="686"/>
      <c r="R453" s="686"/>
      <c r="S453" s="686"/>
      <c r="T453" s="686"/>
      <c r="U453" s="686"/>
      <c r="V453" s="68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88"/>
      <c r="P454" s="685" t="s">
        <v>40</v>
      </c>
      <c r="Q454" s="686"/>
      <c r="R454" s="686"/>
      <c r="S454" s="686"/>
      <c r="T454" s="686"/>
      <c r="U454" s="686"/>
      <c r="V454" s="68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6.5" customHeight="1" x14ac:dyDescent="0.25">
      <c r="A455" s="695" t="s">
        <v>725</v>
      </c>
      <c r="B455" s="695"/>
      <c r="C455" s="695"/>
      <c r="D455" s="695"/>
      <c r="E455" s="695"/>
      <c r="F455" s="695"/>
      <c r="G455" s="695"/>
      <c r="H455" s="695"/>
      <c r="I455" s="695"/>
      <c r="J455" s="695"/>
      <c r="K455" s="695"/>
      <c r="L455" s="695"/>
      <c r="M455" s="695"/>
      <c r="N455" s="695"/>
      <c r="O455" s="695"/>
      <c r="P455" s="695"/>
      <c r="Q455" s="695"/>
      <c r="R455" s="695"/>
      <c r="S455" s="695"/>
      <c r="T455" s="695"/>
      <c r="U455" s="695"/>
      <c r="V455" s="695"/>
      <c r="W455" s="695"/>
      <c r="X455" s="695"/>
      <c r="Y455" s="695"/>
      <c r="Z455" s="695"/>
      <c r="AA455" s="62"/>
      <c r="AB455" s="62"/>
      <c r="AC455" s="62"/>
    </row>
    <row r="456" spans="1:68" ht="14.25" customHeight="1" x14ac:dyDescent="0.25">
      <c r="A456" s="680" t="s">
        <v>149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3"/>
      <c r="AB456" s="63"/>
      <c r="AC456" s="63"/>
    </row>
    <row r="457" spans="1:68" ht="27" customHeight="1" x14ac:dyDescent="0.25">
      <c r="A457" s="60" t="s">
        <v>726</v>
      </c>
      <c r="B457" s="60" t="s">
        <v>727</v>
      </c>
      <c r="C457" s="34">
        <v>4301020319</v>
      </c>
      <c r="D457" s="681">
        <v>4680115885240</v>
      </c>
      <c r="E457" s="681"/>
      <c r="F457" s="59">
        <v>0.35</v>
      </c>
      <c r="G457" s="35">
        <v>6</v>
      </c>
      <c r="H457" s="59">
        <v>2.1</v>
      </c>
      <c r="I457" s="59">
        <v>2.31</v>
      </c>
      <c r="J457" s="35">
        <v>182</v>
      </c>
      <c r="K457" s="35" t="s">
        <v>83</v>
      </c>
      <c r="L457" s="35" t="s">
        <v>45</v>
      </c>
      <c r="M457" s="36" t="s">
        <v>82</v>
      </c>
      <c r="N457" s="36"/>
      <c r="O457" s="35">
        <v>40</v>
      </c>
      <c r="P457" s="7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83"/>
      <c r="R457" s="683"/>
      <c r="S457" s="683"/>
      <c r="T457" s="684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45</v>
      </c>
      <c r="AB457" s="66" t="s">
        <v>45</v>
      </c>
      <c r="AC457" s="519" t="s">
        <v>728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729</v>
      </c>
      <c r="B458" s="60" t="s">
        <v>730</v>
      </c>
      <c r="C458" s="34">
        <v>4301020315</v>
      </c>
      <c r="D458" s="681">
        <v>4607091389364</v>
      </c>
      <c r="E458" s="681"/>
      <c r="F458" s="59">
        <v>0.42</v>
      </c>
      <c r="G458" s="35">
        <v>6</v>
      </c>
      <c r="H458" s="59">
        <v>2.52</v>
      </c>
      <c r="I458" s="59">
        <v>2.73</v>
      </c>
      <c r="J458" s="35">
        <v>182</v>
      </c>
      <c r="K458" s="35" t="s">
        <v>83</v>
      </c>
      <c r="L458" s="35" t="s">
        <v>45</v>
      </c>
      <c r="M458" s="36" t="s">
        <v>82</v>
      </c>
      <c r="N458" s="36"/>
      <c r="O458" s="35">
        <v>40</v>
      </c>
      <c r="P458" s="76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83"/>
      <c r="R458" s="683"/>
      <c r="S458" s="683"/>
      <c r="T458" s="684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45</v>
      </c>
      <c r="AB458" s="66" t="s">
        <v>45</v>
      </c>
      <c r="AC458" s="521" t="s">
        <v>731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75"/>
      <c r="B459" s="675"/>
      <c r="C459" s="675"/>
      <c r="D459" s="675"/>
      <c r="E459" s="675"/>
      <c r="F459" s="675"/>
      <c r="G459" s="675"/>
      <c r="H459" s="675"/>
      <c r="I459" s="675"/>
      <c r="J459" s="675"/>
      <c r="K459" s="675"/>
      <c r="L459" s="675"/>
      <c r="M459" s="675"/>
      <c r="N459" s="675"/>
      <c r="O459" s="688"/>
      <c r="P459" s="685" t="s">
        <v>40</v>
      </c>
      <c r="Q459" s="686"/>
      <c r="R459" s="686"/>
      <c r="S459" s="686"/>
      <c r="T459" s="686"/>
      <c r="U459" s="686"/>
      <c r="V459" s="687"/>
      <c r="W459" s="40" t="s">
        <v>39</v>
      </c>
      <c r="X459" s="41">
        <f>IFERROR(X457/H457,"0")+IFERROR(X458/H458,"0")</f>
        <v>0</v>
      </c>
      <c r="Y459" s="41">
        <f>IFERROR(Y457/H457,"0")+IFERROR(Y458/H458,"0")</f>
        <v>0</v>
      </c>
      <c r="Z459" s="41">
        <f>IFERROR(IF(Z457="",0,Z457),"0")+IFERROR(IF(Z458="",0,Z458),"0")</f>
        <v>0</v>
      </c>
      <c r="AA459" s="64"/>
      <c r="AB459" s="64"/>
      <c r="AC459" s="64"/>
    </row>
    <row r="460" spans="1:68" x14ac:dyDescent="0.2">
      <c r="A460" s="675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88"/>
      <c r="P460" s="685" t="s">
        <v>40</v>
      </c>
      <c r="Q460" s="686"/>
      <c r="R460" s="686"/>
      <c r="S460" s="686"/>
      <c r="T460" s="686"/>
      <c r="U460" s="686"/>
      <c r="V460" s="687"/>
      <c r="W460" s="40" t="s">
        <v>0</v>
      </c>
      <c r="X460" s="41">
        <f>IFERROR(SUM(X457:X458),"0")</f>
        <v>0</v>
      </c>
      <c r="Y460" s="41">
        <f>IFERROR(SUM(Y457:Y458),"0")</f>
        <v>0</v>
      </c>
      <c r="Z460" s="40"/>
      <c r="AA460" s="64"/>
      <c r="AB460" s="64"/>
      <c r="AC460" s="64"/>
    </row>
    <row r="461" spans="1:68" ht="14.25" customHeight="1" x14ac:dyDescent="0.25">
      <c r="A461" s="680" t="s">
        <v>160</v>
      </c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0"/>
      <c r="P461" s="680"/>
      <c r="Q461" s="680"/>
      <c r="R461" s="680"/>
      <c r="S461" s="680"/>
      <c r="T461" s="680"/>
      <c r="U461" s="680"/>
      <c r="V461" s="680"/>
      <c r="W461" s="680"/>
      <c r="X461" s="680"/>
      <c r="Y461" s="680"/>
      <c r="Z461" s="680"/>
      <c r="AA461" s="63"/>
      <c r="AB461" s="63"/>
      <c r="AC461" s="63"/>
    </row>
    <row r="462" spans="1:68" ht="27" customHeight="1" x14ac:dyDescent="0.25">
      <c r="A462" s="60" t="s">
        <v>732</v>
      </c>
      <c r="B462" s="60" t="s">
        <v>733</v>
      </c>
      <c r="C462" s="34">
        <v>4301031403</v>
      </c>
      <c r="D462" s="681">
        <v>4680115886094</v>
      </c>
      <c r="E462" s="681"/>
      <c r="F462" s="59">
        <v>0.9</v>
      </c>
      <c r="G462" s="35">
        <v>6</v>
      </c>
      <c r="H462" s="59">
        <v>5.4</v>
      </c>
      <c r="I462" s="59">
        <v>5.61</v>
      </c>
      <c r="J462" s="35">
        <v>132</v>
      </c>
      <c r="K462" s="35" t="s">
        <v>118</v>
      </c>
      <c r="L462" s="35" t="s">
        <v>45</v>
      </c>
      <c r="M462" s="36" t="s">
        <v>113</v>
      </c>
      <c r="N462" s="36"/>
      <c r="O462" s="35">
        <v>50</v>
      </c>
      <c r="P462" s="760" t="s">
        <v>734</v>
      </c>
      <c r="Q462" s="683"/>
      <c r="R462" s="683"/>
      <c r="S462" s="683"/>
      <c r="T462" s="684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45</v>
      </c>
      <c r="AB462" s="66" t="s">
        <v>45</v>
      </c>
      <c r="AC462" s="523" t="s">
        <v>735</v>
      </c>
      <c r="AG462" s="75"/>
      <c r="AJ462" s="79" t="s">
        <v>45</v>
      </c>
      <c r="AK462" s="79">
        <v>0</v>
      </c>
      <c r="BB462" s="52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736</v>
      </c>
      <c r="B463" s="60" t="s">
        <v>737</v>
      </c>
      <c r="C463" s="34">
        <v>4301031363</v>
      </c>
      <c r="D463" s="681">
        <v>4607091389425</v>
      </c>
      <c r="E463" s="681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164</v>
      </c>
      <c r="L463" s="35" t="s">
        <v>45</v>
      </c>
      <c r="M463" s="36" t="s">
        <v>82</v>
      </c>
      <c r="N463" s="36"/>
      <c r="O463" s="35">
        <v>50</v>
      </c>
      <c r="P463" s="76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83"/>
      <c r="R463" s="683"/>
      <c r="S463" s="683"/>
      <c r="T463" s="684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45</v>
      </c>
      <c r="AB463" s="66" t="s">
        <v>45</v>
      </c>
      <c r="AC463" s="525" t="s">
        <v>738</v>
      </c>
      <c r="AG463" s="75"/>
      <c r="AJ463" s="79" t="s">
        <v>45</v>
      </c>
      <c r="AK463" s="79">
        <v>0</v>
      </c>
      <c r="BB463" s="52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739</v>
      </c>
      <c r="B464" s="60" t="s">
        <v>740</v>
      </c>
      <c r="C464" s="34">
        <v>4301031373</v>
      </c>
      <c r="D464" s="681">
        <v>4680115880771</v>
      </c>
      <c r="E464" s="681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50</v>
      </c>
      <c r="P464" s="762" t="s">
        <v>741</v>
      </c>
      <c r="Q464" s="683"/>
      <c r="R464" s="683"/>
      <c r="S464" s="683"/>
      <c r="T464" s="684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7" t="s">
        <v>742</v>
      </c>
      <c r="AG464" s="75"/>
      <c r="AJ464" s="79" t="s">
        <v>45</v>
      </c>
      <c r="AK464" s="79">
        <v>0</v>
      </c>
      <c r="BB464" s="528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743</v>
      </c>
      <c r="B465" s="60" t="s">
        <v>744</v>
      </c>
      <c r="C465" s="34">
        <v>4301031359</v>
      </c>
      <c r="D465" s="681">
        <v>4607091389500</v>
      </c>
      <c r="E465" s="681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164</v>
      </c>
      <c r="L465" s="35" t="s">
        <v>45</v>
      </c>
      <c r="M465" s="36" t="s">
        <v>82</v>
      </c>
      <c r="N465" s="36"/>
      <c r="O465" s="35">
        <v>50</v>
      </c>
      <c r="P465" s="7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83"/>
      <c r="R465" s="683"/>
      <c r="S465" s="683"/>
      <c r="T465" s="684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9" t="s">
        <v>742</v>
      </c>
      <c r="AG465" s="75"/>
      <c r="AJ465" s="79" t="s">
        <v>45</v>
      </c>
      <c r="AK465" s="79">
        <v>0</v>
      </c>
      <c r="BB465" s="530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75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88"/>
      <c r="P466" s="685" t="s">
        <v>40</v>
      </c>
      <c r="Q466" s="686"/>
      <c r="R466" s="686"/>
      <c r="S466" s="686"/>
      <c r="T466" s="686"/>
      <c r="U466" s="686"/>
      <c r="V466" s="687"/>
      <c r="W466" s="40" t="s">
        <v>39</v>
      </c>
      <c r="X466" s="41">
        <f>IFERROR(X462/H462,"0")+IFERROR(X463/H463,"0")+IFERROR(X464/H464,"0")+IFERROR(X465/H465,"0")</f>
        <v>0</v>
      </c>
      <c r="Y466" s="41">
        <f>IFERROR(Y462/H462,"0")+IFERROR(Y463/H463,"0")+IFERROR(Y464/H464,"0")+IFERROR(Y465/H465,"0")</f>
        <v>0</v>
      </c>
      <c r="Z466" s="41">
        <f>IFERROR(IF(Z462="",0,Z462),"0")+IFERROR(IF(Z463="",0,Z463),"0")+IFERROR(IF(Z464="",0,Z464),"0")+IFERROR(IF(Z465="",0,Z465),"0")</f>
        <v>0</v>
      </c>
      <c r="AA466" s="64"/>
      <c r="AB466" s="64"/>
      <c r="AC466" s="64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88"/>
      <c r="P467" s="685" t="s">
        <v>40</v>
      </c>
      <c r="Q467" s="686"/>
      <c r="R467" s="686"/>
      <c r="S467" s="686"/>
      <c r="T467" s="686"/>
      <c r="U467" s="686"/>
      <c r="V467" s="687"/>
      <c r="W467" s="40" t="s">
        <v>0</v>
      </c>
      <c r="X467" s="41">
        <f>IFERROR(SUM(X462:X465),"0")</f>
        <v>0</v>
      </c>
      <c r="Y467" s="41">
        <f>IFERROR(SUM(Y462:Y465),"0")</f>
        <v>0</v>
      </c>
      <c r="Z467" s="40"/>
      <c r="AA467" s="64"/>
      <c r="AB467" s="64"/>
      <c r="AC467" s="64"/>
    </row>
    <row r="468" spans="1:68" ht="16.5" customHeight="1" x14ac:dyDescent="0.25">
      <c r="A468" s="695" t="s">
        <v>745</v>
      </c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5"/>
      <c r="P468" s="695"/>
      <c r="Q468" s="695"/>
      <c r="R468" s="695"/>
      <c r="S468" s="695"/>
      <c r="T468" s="695"/>
      <c r="U468" s="695"/>
      <c r="V468" s="695"/>
      <c r="W468" s="695"/>
      <c r="X468" s="695"/>
      <c r="Y468" s="695"/>
      <c r="Z468" s="695"/>
      <c r="AA468" s="62"/>
      <c r="AB468" s="62"/>
      <c r="AC468" s="62"/>
    </row>
    <row r="469" spans="1:68" ht="14.25" customHeight="1" x14ac:dyDescent="0.25">
      <c r="A469" s="680" t="s">
        <v>160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3"/>
      <c r="AB469" s="63"/>
      <c r="AC469" s="63"/>
    </row>
    <row r="470" spans="1:68" ht="27" customHeight="1" x14ac:dyDescent="0.25">
      <c r="A470" s="60" t="s">
        <v>746</v>
      </c>
      <c r="B470" s="60" t="s">
        <v>747</v>
      </c>
      <c r="C470" s="34">
        <v>4301031294</v>
      </c>
      <c r="D470" s="681">
        <v>4680115885189</v>
      </c>
      <c r="E470" s="681"/>
      <c r="F470" s="59">
        <v>0.2</v>
      </c>
      <c r="G470" s="35">
        <v>6</v>
      </c>
      <c r="H470" s="59">
        <v>1.2</v>
      </c>
      <c r="I470" s="59">
        <v>1.3720000000000001</v>
      </c>
      <c r="J470" s="35">
        <v>234</v>
      </c>
      <c r="K470" s="35" t="s">
        <v>164</v>
      </c>
      <c r="L470" s="35" t="s">
        <v>45</v>
      </c>
      <c r="M470" s="36" t="s">
        <v>82</v>
      </c>
      <c r="N470" s="36"/>
      <c r="O470" s="35">
        <v>40</v>
      </c>
      <c r="P470" s="756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83"/>
      <c r="R470" s="683"/>
      <c r="S470" s="683"/>
      <c r="T470" s="684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IFERROR(IF(Y470=0,"",ROUNDUP(Y470/H470,0)*0.00502),"")</f>
        <v/>
      </c>
      <c r="AA470" s="65" t="s">
        <v>45</v>
      </c>
      <c r="AB470" s="66" t="s">
        <v>45</v>
      </c>
      <c r="AC470" s="531" t="s">
        <v>748</v>
      </c>
      <c r="AG470" s="75"/>
      <c r="AJ470" s="79" t="s">
        <v>45</v>
      </c>
      <c r="AK470" s="79">
        <v>0</v>
      </c>
      <c r="BB470" s="532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customHeight="1" x14ac:dyDescent="0.25">
      <c r="A471" s="60" t="s">
        <v>749</v>
      </c>
      <c r="B471" s="60" t="s">
        <v>750</v>
      </c>
      <c r="C471" s="34">
        <v>4301031347</v>
      </c>
      <c r="D471" s="681">
        <v>4680115885110</v>
      </c>
      <c r="E471" s="681"/>
      <c r="F471" s="59">
        <v>0.2</v>
      </c>
      <c r="G471" s="35">
        <v>6</v>
      </c>
      <c r="H471" s="59">
        <v>1.2</v>
      </c>
      <c r="I471" s="59">
        <v>2.1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50</v>
      </c>
      <c r="P471" s="757" t="s">
        <v>751</v>
      </c>
      <c r="Q471" s="683"/>
      <c r="R471" s="683"/>
      <c r="S471" s="683"/>
      <c r="T471" s="684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3" t="s">
        <v>752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88"/>
      <c r="P472" s="685" t="s">
        <v>40</v>
      </c>
      <c r="Q472" s="686"/>
      <c r="R472" s="686"/>
      <c r="S472" s="686"/>
      <c r="T472" s="686"/>
      <c r="U472" s="686"/>
      <c r="V472" s="687"/>
      <c r="W472" s="40" t="s">
        <v>39</v>
      </c>
      <c r="X472" s="41">
        <f>IFERROR(X470/H470,"0")+IFERROR(X471/H471,"0")</f>
        <v>0</v>
      </c>
      <c r="Y472" s="41">
        <f>IFERROR(Y470/H470,"0")+IFERROR(Y471/H471,"0")</f>
        <v>0</v>
      </c>
      <c r="Z472" s="41">
        <f>IFERROR(IF(Z470="",0,Z470),"0")+IFERROR(IF(Z471="",0,Z471),"0")</f>
        <v>0</v>
      </c>
      <c r="AA472" s="64"/>
      <c r="AB472" s="64"/>
      <c r="AC472" s="64"/>
    </row>
    <row r="473" spans="1:68" x14ac:dyDescent="0.2">
      <c r="A473" s="675"/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88"/>
      <c r="P473" s="685" t="s">
        <v>40</v>
      </c>
      <c r="Q473" s="686"/>
      <c r="R473" s="686"/>
      <c r="S473" s="686"/>
      <c r="T473" s="686"/>
      <c r="U473" s="686"/>
      <c r="V473" s="687"/>
      <c r="W473" s="40" t="s">
        <v>0</v>
      </c>
      <c r="X473" s="41">
        <f>IFERROR(SUM(X470:X471),"0")</f>
        <v>0</v>
      </c>
      <c r="Y473" s="41">
        <f>IFERROR(SUM(Y470:Y471),"0")</f>
        <v>0</v>
      </c>
      <c r="Z473" s="40"/>
      <c r="AA473" s="64"/>
      <c r="AB473" s="64"/>
      <c r="AC473" s="64"/>
    </row>
    <row r="474" spans="1:68" ht="16.5" customHeight="1" x14ac:dyDescent="0.25">
      <c r="A474" s="695" t="s">
        <v>753</v>
      </c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5"/>
      <c r="P474" s="695"/>
      <c r="Q474" s="695"/>
      <c r="R474" s="695"/>
      <c r="S474" s="695"/>
      <c r="T474" s="695"/>
      <c r="U474" s="695"/>
      <c r="V474" s="695"/>
      <c r="W474" s="695"/>
      <c r="X474" s="695"/>
      <c r="Y474" s="695"/>
      <c r="Z474" s="695"/>
      <c r="AA474" s="62"/>
      <c r="AB474" s="62"/>
      <c r="AC474" s="62"/>
    </row>
    <row r="475" spans="1:68" ht="14.25" customHeight="1" x14ac:dyDescent="0.25">
      <c r="A475" s="680" t="s">
        <v>160</v>
      </c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0"/>
      <c r="P475" s="680"/>
      <c r="Q475" s="680"/>
      <c r="R475" s="680"/>
      <c r="S475" s="680"/>
      <c r="T475" s="680"/>
      <c r="U475" s="680"/>
      <c r="V475" s="680"/>
      <c r="W475" s="680"/>
      <c r="X475" s="680"/>
      <c r="Y475" s="680"/>
      <c r="Z475" s="680"/>
      <c r="AA475" s="63"/>
      <c r="AB475" s="63"/>
      <c r="AC475" s="63"/>
    </row>
    <row r="476" spans="1:68" ht="27" customHeight="1" x14ac:dyDescent="0.25">
      <c r="A476" s="60" t="s">
        <v>754</v>
      </c>
      <c r="B476" s="60" t="s">
        <v>755</v>
      </c>
      <c r="C476" s="34">
        <v>4301031261</v>
      </c>
      <c r="D476" s="681">
        <v>4680115885103</v>
      </c>
      <c r="E476" s="681"/>
      <c r="F476" s="59">
        <v>0.27</v>
      </c>
      <c r="G476" s="35">
        <v>6</v>
      </c>
      <c r="H476" s="59">
        <v>1.62</v>
      </c>
      <c r="I476" s="59">
        <v>1.8</v>
      </c>
      <c r="J476" s="35">
        <v>182</v>
      </c>
      <c r="K476" s="35" t="s">
        <v>83</v>
      </c>
      <c r="L476" s="35" t="s">
        <v>45</v>
      </c>
      <c r="M476" s="36" t="s">
        <v>82</v>
      </c>
      <c r="N476" s="36"/>
      <c r="O476" s="35">
        <v>40</v>
      </c>
      <c r="P476" s="75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83"/>
      <c r="R476" s="683"/>
      <c r="S476" s="683"/>
      <c r="T476" s="684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45</v>
      </c>
      <c r="AB476" s="66" t="s">
        <v>45</v>
      </c>
      <c r="AC476" s="535" t="s">
        <v>756</v>
      </c>
      <c r="AG476" s="75"/>
      <c r="AJ476" s="79" t="s">
        <v>45</v>
      </c>
      <c r="AK476" s="79">
        <v>0</v>
      </c>
      <c r="BB476" s="536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675"/>
      <c r="B477" s="675"/>
      <c r="C477" s="675"/>
      <c r="D477" s="675"/>
      <c r="E477" s="675"/>
      <c r="F477" s="675"/>
      <c r="G477" s="675"/>
      <c r="H477" s="675"/>
      <c r="I477" s="675"/>
      <c r="J477" s="675"/>
      <c r="K477" s="675"/>
      <c r="L477" s="675"/>
      <c r="M477" s="675"/>
      <c r="N477" s="675"/>
      <c r="O477" s="688"/>
      <c r="P477" s="685" t="s">
        <v>40</v>
      </c>
      <c r="Q477" s="686"/>
      <c r="R477" s="686"/>
      <c r="S477" s="686"/>
      <c r="T477" s="686"/>
      <c r="U477" s="686"/>
      <c r="V477" s="687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675"/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88"/>
      <c r="P478" s="685" t="s">
        <v>40</v>
      </c>
      <c r="Q478" s="686"/>
      <c r="R478" s="686"/>
      <c r="S478" s="686"/>
      <c r="T478" s="686"/>
      <c r="U478" s="686"/>
      <c r="V478" s="687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680" t="s">
        <v>186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3"/>
      <c r="AB479" s="63"/>
      <c r="AC479" s="63"/>
    </row>
    <row r="480" spans="1:68" ht="27" customHeight="1" x14ac:dyDescent="0.25">
      <c r="A480" s="60" t="s">
        <v>757</v>
      </c>
      <c r="B480" s="60" t="s">
        <v>758</v>
      </c>
      <c r="C480" s="34">
        <v>4301060412</v>
      </c>
      <c r="D480" s="681">
        <v>4680115885509</v>
      </c>
      <c r="E480" s="681"/>
      <c r="F480" s="59">
        <v>0.27</v>
      </c>
      <c r="G480" s="35">
        <v>6</v>
      </c>
      <c r="H480" s="59">
        <v>1.62</v>
      </c>
      <c r="I480" s="59">
        <v>1.8660000000000001</v>
      </c>
      <c r="J480" s="35">
        <v>182</v>
      </c>
      <c r="K480" s="35" t="s">
        <v>83</v>
      </c>
      <c r="L480" s="35" t="s">
        <v>45</v>
      </c>
      <c r="M480" s="36" t="s">
        <v>82</v>
      </c>
      <c r="N480" s="36"/>
      <c r="O480" s="35">
        <v>35</v>
      </c>
      <c r="P480" s="75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83"/>
      <c r="R480" s="683"/>
      <c r="S480" s="683"/>
      <c r="T480" s="684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45</v>
      </c>
      <c r="AB480" s="66" t="s">
        <v>45</v>
      </c>
      <c r="AC480" s="537" t="s">
        <v>759</v>
      </c>
      <c r="AG480" s="75"/>
      <c r="AJ480" s="79" t="s">
        <v>45</v>
      </c>
      <c r="AK480" s="79">
        <v>0</v>
      </c>
      <c r="BB480" s="538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75"/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88"/>
      <c r="P481" s="685" t="s">
        <v>40</v>
      </c>
      <c r="Q481" s="686"/>
      <c r="R481" s="686"/>
      <c r="S481" s="686"/>
      <c r="T481" s="686"/>
      <c r="U481" s="686"/>
      <c r="V481" s="68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x14ac:dyDescent="0.2">
      <c r="A482" s="675"/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88"/>
      <c r="P482" s="685" t="s">
        <v>40</v>
      </c>
      <c r="Q482" s="686"/>
      <c r="R482" s="686"/>
      <c r="S482" s="686"/>
      <c r="T482" s="686"/>
      <c r="U482" s="686"/>
      <c r="V482" s="68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27.75" customHeight="1" x14ac:dyDescent="0.2">
      <c r="A483" s="717" t="s">
        <v>760</v>
      </c>
      <c r="B483" s="717"/>
      <c r="C483" s="717"/>
      <c r="D483" s="717"/>
      <c r="E483" s="717"/>
      <c r="F483" s="717"/>
      <c r="G483" s="717"/>
      <c r="H483" s="717"/>
      <c r="I483" s="717"/>
      <c r="J483" s="717"/>
      <c r="K483" s="717"/>
      <c r="L483" s="717"/>
      <c r="M483" s="717"/>
      <c r="N483" s="717"/>
      <c r="O483" s="717"/>
      <c r="P483" s="717"/>
      <c r="Q483" s="717"/>
      <c r="R483" s="717"/>
      <c r="S483" s="717"/>
      <c r="T483" s="717"/>
      <c r="U483" s="717"/>
      <c r="V483" s="717"/>
      <c r="W483" s="717"/>
      <c r="X483" s="717"/>
      <c r="Y483" s="717"/>
      <c r="Z483" s="717"/>
      <c r="AA483" s="52"/>
      <c r="AB483" s="52"/>
      <c r="AC483" s="52"/>
    </row>
    <row r="484" spans="1:68" ht="16.5" customHeight="1" x14ac:dyDescent="0.25">
      <c r="A484" s="695" t="s">
        <v>760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2"/>
      <c r="AB484" s="62"/>
      <c r="AC484" s="62"/>
    </row>
    <row r="485" spans="1:68" ht="14.25" customHeight="1" x14ac:dyDescent="0.25">
      <c r="A485" s="680" t="s">
        <v>109</v>
      </c>
      <c r="B485" s="680"/>
      <c r="C485" s="680"/>
      <c r="D485" s="680"/>
      <c r="E485" s="680"/>
      <c r="F485" s="680"/>
      <c r="G485" s="680"/>
      <c r="H485" s="680"/>
      <c r="I485" s="680"/>
      <c r="J485" s="680"/>
      <c r="K485" s="680"/>
      <c r="L485" s="680"/>
      <c r="M485" s="680"/>
      <c r="N485" s="680"/>
      <c r="O485" s="680"/>
      <c r="P485" s="680"/>
      <c r="Q485" s="680"/>
      <c r="R485" s="680"/>
      <c r="S485" s="680"/>
      <c r="T485" s="680"/>
      <c r="U485" s="680"/>
      <c r="V485" s="680"/>
      <c r="W485" s="680"/>
      <c r="X485" s="680"/>
      <c r="Y485" s="680"/>
      <c r="Z485" s="680"/>
      <c r="AA485" s="63"/>
      <c r="AB485" s="63"/>
      <c r="AC485" s="63"/>
    </row>
    <row r="486" spans="1:68" ht="27" customHeight="1" x14ac:dyDescent="0.25">
      <c r="A486" s="60" t="s">
        <v>761</v>
      </c>
      <c r="B486" s="60" t="s">
        <v>762</v>
      </c>
      <c r="C486" s="34">
        <v>4301011795</v>
      </c>
      <c r="D486" s="681">
        <v>4607091389067</v>
      </c>
      <c r="E486" s="681"/>
      <c r="F486" s="59">
        <v>0.88</v>
      </c>
      <c r="G486" s="35">
        <v>6</v>
      </c>
      <c r="H486" s="59">
        <v>5.28</v>
      </c>
      <c r="I486" s="59">
        <v>5.64</v>
      </c>
      <c r="J486" s="35">
        <v>104</v>
      </c>
      <c r="K486" s="35" t="s">
        <v>114</v>
      </c>
      <c r="L486" s="35" t="s">
        <v>45</v>
      </c>
      <c r="M486" s="36" t="s">
        <v>113</v>
      </c>
      <c r="N486" s="36"/>
      <c r="O486" s="35">
        <v>60</v>
      </c>
      <c r="P486" s="7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83"/>
      <c r="R486" s="683"/>
      <c r="S486" s="683"/>
      <c r="T486" s="684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ref="Y486:Y501" si="68">IFERROR(IF(X486="",0,CEILING((X486/$H486),1)*$H486),"")</f>
        <v>0</v>
      </c>
      <c r="Z486" s="39" t="str">
        <f t="shared" ref="Z486:Z491" si="69">IFERROR(IF(Y486=0,"",ROUNDUP(Y486/H486,0)*0.01196),"")</f>
        <v/>
      </c>
      <c r="AA486" s="65" t="s">
        <v>45</v>
      </c>
      <c r="AB486" s="66" t="s">
        <v>45</v>
      </c>
      <c r="AC486" s="539" t="s">
        <v>763</v>
      </c>
      <c r="AG486" s="75"/>
      <c r="AJ486" s="79" t="s">
        <v>45</v>
      </c>
      <c r="AK486" s="79">
        <v>0</v>
      </c>
      <c r="BB486" s="540" t="s">
        <v>66</v>
      </c>
      <c r="BM486" s="75">
        <f t="shared" ref="BM486:BM501" si="70">IFERROR(X486*I486/H486,"0")</f>
        <v>0</v>
      </c>
      <c r="BN486" s="75">
        <f t="shared" ref="BN486:BN501" si="71">IFERROR(Y486*I486/H486,"0")</f>
        <v>0</v>
      </c>
      <c r="BO486" s="75">
        <f t="shared" ref="BO486:BO501" si="72">IFERROR(1/J486*(X486/H486),"0")</f>
        <v>0</v>
      </c>
      <c r="BP486" s="75">
        <f t="shared" ref="BP486:BP501" si="73">IFERROR(1/J486*(Y486/H486),"0")</f>
        <v>0</v>
      </c>
    </row>
    <row r="487" spans="1:68" ht="27" customHeight="1" x14ac:dyDescent="0.25">
      <c r="A487" s="60" t="s">
        <v>764</v>
      </c>
      <c r="B487" s="60" t="s">
        <v>765</v>
      </c>
      <c r="C487" s="34">
        <v>4301011961</v>
      </c>
      <c r="D487" s="681">
        <v>4680115885271</v>
      </c>
      <c r="E487" s="681"/>
      <c r="F487" s="59">
        <v>0.88</v>
      </c>
      <c r="G487" s="35">
        <v>6</v>
      </c>
      <c r="H487" s="59">
        <v>5.28</v>
      </c>
      <c r="I487" s="59">
        <v>5.64</v>
      </c>
      <c r="J487" s="35">
        <v>104</v>
      </c>
      <c r="K487" s="35" t="s">
        <v>114</v>
      </c>
      <c r="L487" s="35" t="s">
        <v>45</v>
      </c>
      <c r="M487" s="36" t="s">
        <v>113</v>
      </c>
      <c r="N487" s="36"/>
      <c r="O487" s="35">
        <v>60</v>
      </c>
      <c r="P487" s="7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83"/>
      <c r="R487" s="683"/>
      <c r="S487" s="683"/>
      <c r="T487" s="684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 t="shared" si="69"/>
        <v/>
      </c>
      <c r="AA487" s="65" t="s">
        <v>45</v>
      </c>
      <c r="AB487" s="66" t="s">
        <v>45</v>
      </c>
      <c r="AC487" s="541" t="s">
        <v>766</v>
      </c>
      <c r="AG487" s="75"/>
      <c r="AJ487" s="79" t="s">
        <v>45</v>
      </c>
      <c r="AK487" s="79">
        <v>0</v>
      </c>
      <c r="BB487" s="542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767</v>
      </c>
      <c r="B488" s="60" t="s">
        <v>768</v>
      </c>
      <c r="C488" s="34">
        <v>4301011376</v>
      </c>
      <c r="D488" s="681">
        <v>4680115885226</v>
      </c>
      <c r="E488" s="681"/>
      <c r="F488" s="59">
        <v>0.88</v>
      </c>
      <c r="G488" s="35">
        <v>6</v>
      </c>
      <c r="H488" s="59">
        <v>5.28</v>
      </c>
      <c r="I488" s="59">
        <v>5.64</v>
      </c>
      <c r="J488" s="35">
        <v>104</v>
      </c>
      <c r="K488" s="35" t="s">
        <v>114</v>
      </c>
      <c r="L488" s="35" t="s">
        <v>45</v>
      </c>
      <c r="M488" s="36" t="s">
        <v>117</v>
      </c>
      <c r="N488" s="36"/>
      <c r="O488" s="35">
        <v>60</v>
      </c>
      <c r="P488" s="7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83"/>
      <c r="R488" s="683"/>
      <c r="S488" s="683"/>
      <c r="T488" s="684"/>
      <c r="U488" s="37" t="s">
        <v>45</v>
      </c>
      <c r="V488" s="37" t="s">
        <v>45</v>
      </c>
      <c r="W488" s="38" t="s">
        <v>0</v>
      </c>
      <c r="X488" s="56">
        <v>550</v>
      </c>
      <c r="Y488" s="53">
        <f t="shared" si="68"/>
        <v>554.4</v>
      </c>
      <c r="Z488" s="39">
        <f t="shared" si="69"/>
        <v>1.2558</v>
      </c>
      <c r="AA488" s="65" t="s">
        <v>45</v>
      </c>
      <c r="AB488" s="66" t="s">
        <v>45</v>
      </c>
      <c r="AC488" s="543" t="s">
        <v>769</v>
      </c>
      <c r="AG488" s="75"/>
      <c r="AJ488" s="79" t="s">
        <v>45</v>
      </c>
      <c r="AK488" s="79">
        <v>0</v>
      </c>
      <c r="BB488" s="544" t="s">
        <v>66</v>
      </c>
      <c r="BM488" s="75">
        <f t="shared" si="70"/>
        <v>587.5</v>
      </c>
      <c r="BN488" s="75">
        <f t="shared" si="71"/>
        <v>592.19999999999993</v>
      </c>
      <c r="BO488" s="75">
        <f t="shared" si="72"/>
        <v>1.0016025641025641</v>
      </c>
      <c r="BP488" s="75">
        <f t="shared" si="73"/>
        <v>1.0096153846153846</v>
      </c>
    </row>
    <row r="489" spans="1:68" ht="16.5" customHeight="1" x14ac:dyDescent="0.25">
      <c r="A489" s="60" t="s">
        <v>770</v>
      </c>
      <c r="B489" s="60" t="s">
        <v>771</v>
      </c>
      <c r="C489" s="34">
        <v>4301011774</v>
      </c>
      <c r="D489" s="681">
        <v>4680115884502</v>
      </c>
      <c r="E489" s="681"/>
      <c r="F489" s="59">
        <v>0.88</v>
      </c>
      <c r="G489" s="35">
        <v>6</v>
      </c>
      <c r="H489" s="59">
        <v>5.28</v>
      </c>
      <c r="I489" s="59">
        <v>5.64</v>
      </c>
      <c r="J489" s="35">
        <v>104</v>
      </c>
      <c r="K489" s="35" t="s">
        <v>114</v>
      </c>
      <c r="L489" s="35" t="s">
        <v>45</v>
      </c>
      <c r="M489" s="36" t="s">
        <v>113</v>
      </c>
      <c r="N489" s="36"/>
      <c r="O489" s="35">
        <v>60</v>
      </c>
      <c r="P489" s="7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83"/>
      <c r="R489" s="683"/>
      <c r="S489" s="683"/>
      <c r="T489" s="684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 t="shared" si="69"/>
        <v/>
      </c>
      <c r="AA489" s="65" t="s">
        <v>45</v>
      </c>
      <c r="AB489" s="66" t="s">
        <v>45</v>
      </c>
      <c r="AC489" s="545" t="s">
        <v>772</v>
      </c>
      <c r="AG489" s="75"/>
      <c r="AJ489" s="79" t="s">
        <v>45</v>
      </c>
      <c r="AK489" s="79">
        <v>0</v>
      </c>
      <c r="BB489" s="546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773</v>
      </c>
      <c r="B490" s="60" t="s">
        <v>774</v>
      </c>
      <c r="C490" s="34">
        <v>4301011771</v>
      </c>
      <c r="D490" s="681">
        <v>4607091389104</v>
      </c>
      <c r="E490" s="681"/>
      <c r="F490" s="59">
        <v>0.88</v>
      </c>
      <c r="G490" s="35">
        <v>6</v>
      </c>
      <c r="H490" s="59">
        <v>5.28</v>
      </c>
      <c r="I490" s="59">
        <v>5.64</v>
      </c>
      <c r="J490" s="35">
        <v>104</v>
      </c>
      <c r="K490" s="35" t="s">
        <v>114</v>
      </c>
      <c r="L490" s="35" t="s">
        <v>45</v>
      </c>
      <c r="M490" s="36" t="s">
        <v>113</v>
      </c>
      <c r="N490" s="36"/>
      <c r="O490" s="35">
        <v>60</v>
      </c>
      <c r="P490" s="7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83"/>
      <c r="R490" s="683"/>
      <c r="S490" s="683"/>
      <c r="T490" s="684"/>
      <c r="U490" s="37" t="s">
        <v>45</v>
      </c>
      <c r="V490" s="37" t="s">
        <v>45</v>
      </c>
      <c r="W490" s="38" t="s">
        <v>0</v>
      </c>
      <c r="X490" s="56">
        <v>130</v>
      </c>
      <c r="Y490" s="53">
        <f t="shared" si="68"/>
        <v>132</v>
      </c>
      <c r="Z490" s="39">
        <f t="shared" si="69"/>
        <v>0.29899999999999999</v>
      </c>
      <c r="AA490" s="65" t="s">
        <v>45</v>
      </c>
      <c r="AB490" s="66" t="s">
        <v>45</v>
      </c>
      <c r="AC490" s="547" t="s">
        <v>775</v>
      </c>
      <c r="AG490" s="75"/>
      <c r="AJ490" s="79" t="s">
        <v>45</v>
      </c>
      <c r="AK490" s="79">
        <v>0</v>
      </c>
      <c r="BB490" s="548" t="s">
        <v>66</v>
      </c>
      <c r="BM490" s="75">
        <f t="shared" si="70"/>
        <v>138.86363636363635</v>
      </c>
      <c r="BN490" s="75">
        <f t="shared" si="71"/>
        <v>140.99999999999997</v>
      </c>
      <c r="BO490" s="75">
        <f t="shared" si="72"/>
        <v>0.23674242424242425</v>
      </c>
      <c r="BP490" s="75">
        <f t="shared" si="73"/>
        <v>0.24038461538461539</v>
      </c>
    </row>
    <row r="491" spans="1:68" ht="16.5" customHeight="1" x14ac:dyDescent="0.25">
      <c r="A491" s="60" t="s">
        <v>776</v>
      </c>
      <c r="B491" s="60" t="s">
        <v>777</v>
      </c>
      <c r="C491" s="34">
        <v>4301011799</v>
      </c>
      <c r="D491" s="681">
        <v>4680115884519</v>
      </c>
      <c r="E491" s="681"/>
      <c r="F491" s="59">
        <v>0.88</v>
      </c>
      <c r="G491" s="35">
        <v>6</v>
      </c>
      <c r="H491" s="59">
        <v>5.28</v>
      </c>
      <c r="I491" s="59">
        <v>5.64</v>
      </c>
      <c r="J491" s="35">
        <v>104</v>
      </c>
      <c r="K491" s="35" t="s">
        <v>114</v>
      </c>
      <c r="L491" s="35" t="s">
        <v>45</v>
      </c>
      <c r="M491" s="36" t="s">
        <v>117</v>
      </c>
      <c r="N491" s="36"/>
      <c r="O491" s="35">
        <v>60</v>
      </c>
      <c r="P491" s="75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83"/>
      <c r="R491" s="683"/>
      <c r="S491" s="683"/>
      <c r="T491" s="684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 t="shared" si="69"/>
        <v/>
      </c>
      <c r="AA491" s="65" t="s">
        <v>45</v>
      </c>
      <c r="AB491" s="66" t="s">
        <v>45</v>
      </c>
      <c r="AC491" s="549" t="s">
        <v>778</v>
      </c>
      <c r="AG491" s="75"/>
      <c r="AJ491" s="79" t="s">
        <v>45</v>
      </c>
      <c r="AK491" s="79">
        <v>0</v>
      </c>
      <c r="BB491" s="550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779</v>
      </c>
      <c r="B492" s="60" t="s">
        <v>780</v>
      </c>
      <c r="C492" s="34">
        <v>4301012125</v>
      </c>
      <c r="D492" s="681">
        <v>4680115886391</v>
      </c>
      <c r="E492" s="681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117</v>
      </c>
      <c r="N492" s="36"/>
      <c r="O492" s="35">
        <v>60</v>
      </c>
      <c r="P492" s="741" t="s">
        <v>781</v>
      </c>
      <c r="Q492" s="683"/>
      <c r="R492" s="683"/>
      <c r="S492" s="683"/>
      <c r="T492" s="684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1" t="s">
        <v>763</v>
      </c>
      <c r="AG492" s="75"/>
      <c r="AJ492" s="79" t="s">
        <v>45</v>
      </c>
      <c r="AK492" s="79">
        <v>0</v>
      </c>
      <c r="BB492" s="552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782</v>
      </c>
      <c r="B493" s="60" t="s">
        <v>783</v>
      </c>
      <c r="C493" s="34">
        <v>4301012035</v>
      </c>
      <c r="D493" s="681">
        <v>4680115880603</v>
      </c>
      <c r="E493" s="681"/>
      <c r="F493" s="59">
        <v>0.6</v>
      </c>
      <c r="G493" s="35">
        <v>8</v>
      </c>
      <c r="H493" s="59">
        <v>4.8</v>
      </c>
      <c r="I493" s="59">
        <v>6.93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83"/>
      <c r="R493" s="683"/>
      <c r="S493" s="683"/>
      <c r="T493" s="684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3" t="s">
        <v>763</v>
      </c>
      <c r="AG493" s="75"/>
      <c r="AJ493" s="79" t="s">
        <v>45</v>
      </c>
      <c r="AK493" s="79">
        <v>0</v>
      </c>
      <c r="BB493" s="554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782</v>
      </c>
      <c r="B494" s="60" t="s">
        <v>784</v>
      </c>
      <c r="C494" s="34">
        <v>4301011778</v>
      </c>
      <c r="D494" s="681">
        <v>4680115880603</v>
      </c>
      <c r="E494" s="681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4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83"/>
      <c r="R494" s="683"/>
      <c r="S494" s="683"/>
      <c r="T494" s="684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55" t="s">
        <v>763</v>
      </c>
      <c r="AG494" s="75"/>
      <c r="AJ494" s="79" t="s">
        <v>45</v>
      </c>
      <c r="AK494" s="79">
        <v>0</v>
      </c>
      <c r="BB494" s="556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ht="27" customHeight="1" x14ac:dyDescent="0.25">
      <c r="A495" s="60" t="s">
        <v>785</v>
      </c>
      <c r="B495" s="60" t="s">
        <v>786</v>
      </c>
      <c r="C495" s="34">
        <v>4301012036</v>
      </c>
      <c r="D495" s="681">
        <v>4680115882782</v>
      </c>
      <c r="E495" s="681"/>
      <c r="F495" s="59">
        <v>0.6</v>
      </c>
      <c r="G495" s="35">
        <v>8</v>
      </c>
      <c r="H495" s="59">
        <v>4.8</v>
      </c>
      <c r="I495" s="59">
        <v>6.96</v>
      </c>
      <c r="J495" s="35">
        <v>120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7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83"/>
      <c r="R495" s="683"/>
      <c r="S495" s="683"/>
      <c r="T495" s="684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IFERROR(IF(Y495=0,"",ROUNDUP(Y495/H495,0)*0.00937),"")</f>
        <v/>
      </c>
      <c r="AA495" s="65" t="s">
        <v>45</v>
      </c>
      <c r="AB495" s="66" t="s">
        <v>45</v>
      </c>
      <c r="AC495" s="557" t="s">
        <v>766</v>
      </c>
      <c r="AG495" s="75"/>
      <c r="AJ495" s="79" t="s">
        <v>45</v>
      </c>
      <c r="AK495" s="79">
        <v>0</v>
      </c>
      <c r="BB495" s="558" t="s">
        <v>66</v>
      </c>
      <c r="BM495" s="75">
        <f t="shared" si="70"/>
        <v>0</v>
      </c>
      <c r="BN495" s="75">
        <f t="shared" si="71"/>
        <v>0</v>
      </c>
      <c r="BO495" s="75">
        <f t="shared" si="72"/>
        <v>0</v>
      </c>
      <c r="BP495" s="75">
        <f t="shared" si="73"/>
        <v>0</v>
      </c>
    </row>
    <row r="496" spans="1:68" ht="27" customHeight="1" x14ac:dyDescent="0.25">
      <c r="A496" s="60" t="s">
        <v>787</v>
      </c>
      <c r="B496" s="60" t="s">
        <v>788</v>
      </c>
      <c r="C496" s="34">
        <v>4301012055</v>
      </c>
      <c r="D496" s="681">
        <v>4680115886469</v>
      </c>
      <c r="E496" s="681"/>
      <c r="F496" s="59">
        <v>0.55000000000000004</v>
      </c>
      <c r="G496" s="35">
        <v>8</v>
      </c>
      <c r="H496" s="59">
        <v>4.4000000000000004</v>
      </c>
      <c r="I496" s="59">
        <v>4.6100000000000003</v>
      </c>
      <c r="J496" s="35">
        <v>132</v>
      </c>
      <c r="K496" s="35" t="s">
        <v>118</v>
      </c>
      <c r="L496" s="35" t="s">
        <v>45</v>
      </c>
      <c r="M496" s="36" t="s">
        <v>113</v>
      </c>
      <c r="N496" s="36"/>
      <c r="O496" s="35">
        <v>60</v>
      </c>
      <c r="P496" s="745" t="s">
        <v>789</v>
      </c>
      <c r="Q496" s="683"/>
      <c r="R496" s="683"/>
      <c r="S496" s="683"/>
      <c r="T496" s="684"/>
      <c r="U496" s="37" t="s">
        <v>45</v>
      </c>
      <c r="V496" s="37" t="s">
        <v>45</v>
      </c>
      <c r="W496" s="38" t="s">
        <v>0</v>
      </c>
      <c r="X496" s="56">
        <v>0</v>
      </c>
      <c r="Y496" s="53">
        <f t="shared" si="68"/>
        <v>0</v>
      </c>
      <c r="Z496" s="39" t="str">
        <f>IFERROR(IF(Y496=0,"",ROUNDUP(Y496/H496,0)*0.00902),"")</f>
        <v/>
      </c>
      <c r="AA496" s="65" t="s">
        <v>45</v>
      </c>
      <c r="AB496" s="66" t="s">
        <v>45</v>
      </c>
      <c r="AC496" s="559" t="s">
        <v>769</v>
      </c>
      <c r="AG496" s="75"/>
      <c r="AJ496" s="79" t="s">
        <v>45</v>
      </c>
      <c r="AK496" s="79">
        <v>0</v>
      </c>
      <c r="BB496" s="560" t="s">
        <v>66</v>
      </c>
      <c r="BM496" s="75">
        <f t="shared" si="70"/>
        <v>0</v>
      </c>
      <c r="BN496" s="75">
        <f t="shared" si="71"/>
        <v>0</v>
      </c>
      <c r="BO496" s="75">
        <f t="shared" si="72"/>
        <v>0</v>
      </c>
      <c r="BP496" s="75">
        <f t="shared" si="73"/>
        <v>0</v>
      </c>
    </row>
    <row r="497" spans="1:68" ht="27" customHeight="1" x14ac:dyDescent="0.25">
      <c r="A497" s="60" t="s">
        <v>790</v>
      </c>
      <c r="B497" s="60" t="s">
        <v>791</v>
      </c>
      <c r="C497" s="34">
        <v>4301012057</v>
      </c>
      <c r="D497" s="681">
        <v>4680115886483</v>
      </c>
      <c r="E497" s="681"/>
      <c r="F497" s="59">
        <v>0.55000000000000004</v>
      </c>
      <c r="G497" s="35">
        <v>8</v>
      </c>
      <c r="H497" s="59">
        <v>4.4000000000000004</v>
      </c>
      <c r="I497" s="59">
        <v>4.6100000000000003</v>
      </c>
      <c r="J497" s="35">
        <v>132</v>
      </c>
      <c r="K497" s="35" t="s">
        <v>118</v>
      </c>
      <c r="L497" s="35" t="s">
        <v>45</v>
      </c>
      <c r="M497" s="36" t="s">
        <v>113</v>
      </c>
      <c r="N497" s="36"/>
      <c r="O497" s="35">
        <v>60</v>
      </c>
      <c r="P497" s="746" t="s">
        <v>792</v>
      </c>
      <c r="Q497" s="683"/>
      <c r="R497" s="683"/>
      <c r="S497" s="683"/>
      <c r="T497" s="684"/>
      <c r="U497" s="37" t="s">
        <v>45</v>
      </c>
      <c r="V497" s="37" t="s">
        <v>45</v>
      </c>
      <c r="W497" s="38" t="s">
        <v>0</v>
      </c>
      <c r="X497" s="56">
        <v>0</v>
      </c>
      <c r="Y497" s="53">
        <f t="shared" si="68"/>
        <v>0</v>
      </c>
      <c r="Z497" s="39" t="str">
        <f>IFERROR(IF(Y497=0,"",ROUNDUP(Y497/H497,0)*0.00902),"")</f>
        <v/>
      </c>
      <c r="AA497" s="65" t="s">
        <v>45</v>
      </c>
      <c r="AB497" s="66" t="s">
        <v>45</v>
      </c>
      <c r="AC497" s="561" t="s">
        <v>772</v>
      </c>
      <c r="AG497" s="75"/>
      <c r="AJ497" s="79" t="s">
        <v>45</v>
      </c>
      <c r="AK497" s="79">
        <v>0</v>
      </c>
      <c r="BB497" s="562" t="s">
        <v>66</v>
      </c>
      <c r="BM497" s="75">
        <f t="shared" si="70"/>
        <v>0</v>
      </c>
      <c r="BN497" s="75">
        <f t="shared" si="71"/>
        <v>0</v>
      </c>
      <c r="BO497" s="75">
        <f t="shared" si="72"/>
        <v>0</v>
      </c>
      <c r="BP497" s="75">
        <f t="shared" si="73"/>
        <v>0</v>
      </c>
    </row>
    <row r="498" spans="1:68" ht="27" customHeight="1" x14ac:dyDescent="0.25">
      <c r="A498" s="60" t="s">
        <v>793</v>
      </c>
      <c r="B498" s="60" t="s">
        <v>794</v>
      </c>
      <c r="C498" s="34">
        <v>4301012050</v>
      </c>
      <c r="D498" s="681">
        <v>4680115885479</v>
      </c>
      <c r="E498" s="681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83</v>
      </c>
      <c r="L498" s="35" t="s">
        <v>45</v>
      </c>
      <c r="M498" s="36" t="s">
        <v>113</v>
      </c>
      <c r="N498" s="36"/>
      <c r="O498" s="35">
        <v>60</v>
      </c>
      <c r="P498" s="747" t="s">
        <v>795</v>
      </c>
      <c r="Q498" s="683"/>
      <c r="R498" s="683"/>
      <c r="S498" s="683"/>
      <c r="T498" s="684"/>
      <c r="U498" s="37" t="s">
        <v>45</v>
      </c>
      <c r="V498" s="37" t="s">
        <v>45</v>
      </c>
      <c r="W498" s="38" t="s">
        <v>0</v>
      </c>
      <c r="X498" s="56">
        <v>0</v>
      </c>
      <c r="Y498" s="53">
        <f t="shared" si="68"/>
        <v>0</v>
      </c>
      <c r="Z498" s="39" t="str">
        <f>IFERROR(IF(Y498=0,"",ROUNDUP(Y498/H498,0)*0.00651),"")</f>
        <v/>
      </c>
      <c r="AA498" s="65" t="s">
        <v>45</v>
      </c>
      <c r="AB498" s="66" t="s">
        <v>45</v>
      </c>
      <c r="AC498" s="563" t="s">
        <v>775</v>
      </c>
      <c r="AG498" s="75"/>
      <c r="AJ498" s="79" t="s">
        <v>45</v>
      </c>
      <c r="AK498" s="79">
        <v>0</v>
      </c>
      <c r="BB498" s="564" t="s">
        <v>66</v>
      </c>
      <c r="BM498" s="75">
        <f t="shared" si="70"/>
        <v>0</v>
      </c>
      <c r="BN498" s="75">
        <f t="shared" si="71"/>
        <v>0</v>
      </c>
      <c r="BO498" s="75">
        <f t="shared" si="72"/>
        <v>0</v>
      </c>
      <c r="BP498" s="75">
        <f t="shared" si="73"/>
        <v>0</v>
      </c>
    </row>
    <row r="499" spans="1:68" ht="27" customHeight="1" x14ac:dyDescent="0.25">
      <c r="A499" s="60" t="s">
        <v>796</v>
      </c>
      <c r="B499" s="60" t="s">
        <v>797</v>
      </c>
      <c r="C499" s="34">
        <v>4301012034</v>
      </c>
      <c r="D499" s="681">
        <v>4607091389982</v>
      </c>
      <c r="E499" s="681"/>
      <c r="F499" s="59">
        <v>0.6</v>
      </c>
      <c r="G499" s="35">
        <v>8</v>
      </c>
      <c r="H499" s="59">
        <v>4.8</v>
      </c>
      <c r="I499" s="59">
        <v>6.96</v>
      </c>
      <c r="J499" s="35">
        <v>120</v>
      </c>
      <c r="K499" s="35" t="s">
        <v>118</v>
      </c>
      <c r="L499" s="35" t="s">
        <v>45</v>
      </c>
      <c r="M499" s="36" t="s">
        <v>113</v>
      </c>
      <c r="N499" s="36"/>
      <c r="O499" s="35">
        <v>60</v>
      </c>
      <c r="P499" s="7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83"/>
      <c r="R499" s="683"/>
      <c r="S499" s="683"/>
      <c r="T499" s="684"/>
      <c r="U499" s="37" t="s">
        <v>45</v>
      </c>
      <c r="V499" s="37" t="s">
        <v>45</v>
      </c>
      <c r="W499" s="38" t="s">
        <v>0</v>
      </c>
      <c r="X499" s="56">
        <v>0</v>
      </c>
      <c r="Y499" s="53">
        <f t="shared" si="68"/>
        <v>0</v>
      </c>
      <c r="Z499" s="39" t="str">
        <f>IFERROR(IF(Y499=0,"",ROUNDUP(Y499/H499,0)*0.00937),"")</f>
        <v/>
      </c>
      <c r="AA499" s="65" t="s">
        <v>45</v>
      </c>
      <c r="AB499" s="66" t="s">
        <v>45</v>
      </c>
      <c r="AC499" s="565" t="s">
        <v>775</v>
      </c>
      <c r="AG499" s="75"/>
      <c r="AJ499" s="79" t="s">
        <v>45</v>
      </c>
      <c r="AK499" s="79">
        <v>0</v>
      </c>
      <c r="BB499" s="566" t="s">
        <v>66</v>
      </c>
      <c r="BM499" s="75">
        <f t="shared" si="70"/>
        <v>0</v>
      </c>
      <c r="BN499" s="75">
        <f t="shared" si="71"/>
        <v>0</v>
      </c>
      <c r="BO499" s="75">
        <f t="shared" si="72"/>
        <v>0</v>
      </c>
      <c r="BP499" s="75">
        <f t="shared" si="73"/>
        <v>0</v>
      </c>
    </row>
    <row r="500" spans="1:68" ht="27" customHeight="1" x14ac:dyDescent="0.25">
      <c r="A500" s="60" t="s">
        <v>796</v>
      </c>
      <c r="B500" s="60" t="s">
        <v>798</v>
      </c>
      <c r="C500" s="34">
        <v>4301011784</v>
      </c>
      <c r="D500" s="681">
        <v>4607091389982</v>
      </c>
      <c r="E500" s="681"/>
      <c r="F500" s="59">
        <v>0.6</v>
      </c>
      <c r="G500" s="35">
        <v>6</v>
      </c>
      <c r="H500" s="59">
        <v>3.6</v>
      </c>
      <c r="I500" s="59">
        <v>3.81</v>
      </c>
      <c r="J500" s="35">
        <v>132</v>
      </c>
      <c r="K500" s="35" t="s">
        <v>118</v>
      </c>
      <c r="L500" s="35" t="s">
        <v>45</v>
      </c>
      <c r="M500" s="36" t="s">
        <v>113</v>
      </c>
      <c r="N500" s="36"/>
      <c r="O500" s="35">
        <v>60</v>
      </c>
      <c r="P500" s="7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83"/>
      <c r="R500" s="683"/>
      <c r="S500" s="683"/>
      <c r="T500" s="684"/>
      <c r="U500" s="37" t="s">
        <v>45</v>
      </c>
      <c r="V500" s="37" t="s">
        <v>45</v>
      </c>
      <c r="W500" s="38" t="s">
        <v>0</v>
      </c>
      <c r="X500" s="56">
        <v>0</v>
      </c>
      <c r="Y500" s="53">
        <f t="shared" si="68"/>
        <v>0</v>
      </c>
      <c r="Z500" s="39" t="str">
        <f>IFERROR(IF(Y500=0,"",ROUNDUP(Y500/H500,0)*0.00902),"")</f>
        <v/>
      </c>
      <c r="AA500" s="65" t="s">
        <v>45</v>
      </c>
      <c r="AB500" s="66" t="s">
        <v>45</v>
      </c>
      <c r="AC500" s="567" t="s">
        <v>775</v>
      </c>
      <c r="AG500" s="75"/>
      <c r="AJ500" s="79" t="s">
        <v>45</v>
      </c>
      <c r="AK500" s="79">
        <v>0</v>
      </c>
      <c r="BB500" s="568" t="s">
        <v>66</v>
      </c>
      <c r="BM500" s="75">
        <f t="shared" si="70"/>
        <v>0</v>
      </c>
      <c r="BN500" s="75">
        <f t="shared" si="71"/>
        <v>0</v>
      </c>
      <c r="BO500" s="75">
        <f t="shared" si="72"/>
        <v>0</v>
      </c>
      <c r="BP500" s="75">
        <f t="shared" si="73"/>
        <v>0</v>
      </c>
    </row>
    <row r="501" spans="1:68" ht="27" customHeight="1" x14ac:dyDescent="0.25">
      <c r="A501" s="60" t="s">
        <v>799</v>
      </c>
      <c r="B501" s="60" t="s">
        <v>800</v>
      </c>
      <c r="C501" s="34">
        <v>4301012058</v>
      </c>
      <c r="D501" s="681">
        <v>4680115886490</v>
      </c>
      <c r="E501" s="681"/>
      <c r="F501" s="59">
        <v>0.55000000000000004</v>
      </c>
      <c r="G501" s="35">
        <v>8</v>
      </c>
      <c r="H501" s="59">
        <v>4.4000000000000004</v>
      </c>
      <c r="I501" s="59">
        <v>4.6100000000000003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60</v>
      </c>
      <c r="P501" s="7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83"/>
      <c r="R501" s="683"/>
      <c r="S501" s="683"/>
      <c r="T501" s="684"/>
      <c r="U501" s="37" t="s">
        <v>45</v>
      </c>
      <c r="V501" s="37" t="s">
        <v>45</v>
      </c>
      <c r="W501" s="38" t="s">
        <v>0</v>
      </c>
      <c r="X501" s="56">
        <v>0</v>
      </c>
      <c r="Y501" s="53">
        <f t="shared" si="68"/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778</v>
      </c>
      <c r="AG501" s="75"/>
      <c r="AJ501" s="79" t="s">
        <v>45</v>
      </c>
      <c r="AK501" s="79">
        <v>0</v>
      </c>
      <c r="BB501" s="570" t="s">
        <v>66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x14ac:dyDescent="0.2">
      <c r="A502" s="675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88"/>
      <c r="P502" s="685" t="s">
        <v>40</v>
      </c>
      <c r="Q502" s="686"/>
      <c r="R502" s="686"/>
      <c r="S502" s="686"/>
      <c r="T502" s="686"/>
      <c r="U502" s="686"/>
      <c r="V502" s="687"/>
      <c r="W502" s="40" t="s">
        <v>39</v>
      </c>
      <c r="X502" s="41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128.78787878787878</v>
      </c>
      <c r="Y502" s="41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130</v>
      </c>
      <c r="Z502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1.5548</v>
      </c>
      <c r="AA502" s="64"/>
      <c r="AB502" s="64"/>
      <c r="AC502" s="64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88"/>
      <c r="P503" s="685" t="s">
        <v>40</v>
      </c>
      <c r="Q503" s="686"/>
      <c r="R503" s="686"/>
      <c r="S503" s="686"/>
      <c r="T503" s="686"/>
      <c r="U503" s="686"/>
      <c r="V503" s="687"/>
      <c r="W503" s="40" t="s">
        <v>0</v>
      </c>
      <c r="X503" s="41">
        <f>IFERROR(SUM(X486:X501),"0")</f>
        <v>680</v>
      </c>
      <c r="Y503" s="41">
        <f>IFERROR(SUM(Y486:Y501),"0")</f>
        <v>686.4</v>
      </c>
      <c r="Z503" s="40"/>
      <c r="AA503" s="64"/>
      <c r="AB503" s="64"/>
      <c r="AC503" s="64"/>
    </row>
    <row r="504" spans="1:68" ht="14.25" customHeight="1" x14ac:dyDescent="0.25">
      <c r="A504" s="680" t="s">
        <v>149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3"/>
      <c r="AB504" s="63"/>
      <c r="AC504" s="63"/>
    </row>
    <row r="505" spans="1:68" ht="16.5" customHeight="1" x14ac:dyDescent="0.25">
      <c r="A505" s="60" t="s">
        <v>801</v>
      </c>
      <c r="B505" s="60" t="s">
        <v>802</v>
      </c>
      <c r="C505" s="34">
        <v>4301020334</v>
      </c>
      <c r="D505" s="681">
        <v>4607091388930</v>
      </c>
      <c r="E505" s="681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117</v>
      </c>
      <c r="N505" s="36"/>
      <c r="O505" s="35">
        <v>70</v>
      </c>
      <c r="P505" s="737" t="s">
        <v>803</v>
      </c>
      <c r="Q505" s="683"/>
      <c r="R505" s="683"/>
      <c r="S505" s="683"/>
      <c r="T505" s="684"/>
      <c r="U505" s="37" t="s">
        <v>45</v>
      </c>
      <c r="V505" s="37" t="s">
        <v>45</v>
      </c>
      <c r="W505" s="38" t="s">
        <v>0</v>
      </c>
      <c r="X505" s="56">
        <v>40</v>
      </c>
      <c r="Y505" s="53">
        <f>IFERROR(IF(X505="",0,CEILING((X505/$H505),1)*$H505),"")</f>
        <v>42.24</v>
      </c>
      <c r="Z505" s="39">
        <f>IFERROR(IF(Y505=0,"",ROUNDUP(Y505/H505,0)*0.01196),"")</f>
        <v>9.5680000000000001E-2</v>
      </c>
      <c r="AA505" s="65" t="s">
        <v>45</v>
      </c>
      <c r="AB505" s="66" t="s">
        <v>45</v>
      </c>
      <c r="AC505" s="571" t="s">
        <v>804</v>
      </c>
      <c r="AG505" s="75"/>
      <c r="AJ505" s="79" t="s">
        <v>45</v>
      </c>
      <c r="AK505" s="79">
        <v>0</v>
      </c>
      <c r="BB505" s="572" t="s">
        <v>66</v>
      </c>
      <c r="BM505" s="75">
        <f>IFERROR(X505*I505/H505,"0")</f>
        <v>42.727272727272727</v>
      </c>
      <c r="BN505" s="75">
        <f>IFERROR(Y505*I505/H505,"0")</f>
        <v>45.12</v>
      </c>
      <c r="BO505" s="75">
        <f>IFERROR(1/J505*(X505/H505),"0")</f>
        <v>7.2843822843822847E-2</v>
      </c>
      <c r="BP505" s="75">
        <f>IFERROR(1/J505*(Y505/H505),"0")</f>
        <v>7.6923076923076927E-2</v>
      </c>
    </row>
    <row r="506" spans="1:68" ht="16.5" customHeight="1" x14ac:dyDescent="0.25">
      <c r="A506" s="60" t="s">
        <v>801</v>
      </c>
      <c r="B506" s="60" t="s">
        <v>805</v>
      </c>
      <c r="C506" s="34">
        <v>4301020222</v>
      </c>
      <c r="D506" s="681">
        <v>4607091388930</v>
      </c>
      <c r="E506" s="681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55</v>
      </c>
      <c r="P506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83"/>
      <c r="R506" s="683"/>
      <c r="S506" s="683"/>
      <c r="T506" s="684"/>
      <c r="U506" s="37" t="s">
        <v>45</v>
      </c>
      <c r="V506" s="37" t="s">
        <v>45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806</v>
      </c>
      <c r="AG506" s="75"/>
      <c r="AJ506" s="79" t="s">
        <v>45</v>
      </c>
      <c r="AK506" s="79">
        <v>0</v>
      </c>
      <c r="BB506" s="574" t="s">
        <v>66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t="16.5" customHeight="1" x14ac:dyDescent="0.25">
      <c r="A507" s="60" t="s">
        <v>807</v>
      </c>
      <c r="B507" s="60" t="s">
        <v>808</v>
      </c>
      <c r="C507" s="34">
        <v>4301020384</v>
      </c>
      <c r="D507" s="681">
        <v>4680115886407</v>
      </c>
      <c r="E507" s="681"/>
      <c r="F507" s="59">
        <v>0.4</v>
      </c>
      <c r="G507" s="35">
        <v>6</v>
      </c>
      <c r="H507" s="59">
        <v>2.4</v>
      </c>
      <c r="I507" s="59">
        <v>2.58</v>
      </c>
      <c r="J507" s="35">
        <v>182</v>
      </c>
      <c r="K507" s="35" t="s">
        <v>83</v>
      </c>
      <c r="L507" s="35" t="s">
        <v>45</v>
      </c>
      <c r="M507" s="36" t="s">
        <v>117</v>
      </c>
      <c r="N507" s="36"/>
      <c r="O507" s="35">
        <v>70</v>
      </c>
      <c r="P507" s="739" t="s">
        <v>809</v>
      </c>
      <c r="Q507" s="683"/>
      <c r="R507" s="683"/>
      <c r="S507" s="683"/>
      <c r="T507" s="684"/>
      <c r="U507" s="37" t="s">
        <v>45</v>
      </c>
      <c r="V507" s="37" t="s">
        <v>45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IFERROR(IF(Y507=0,"",ROUNDUP(Y507/H507,0)*0.00651),"")</f>
        <v/>
      </c>
      <c r="AA507" s="65" t="s">
        <v>45</v>
      </c>
      <c r="AB507" s="66" t="s">
        <v>45</v>
      </c>
      <c r="AC507" s="575" t="s">
        <v>804</v>
      </c>
      <c r="AG507" s="75"/>
      <c r="AJ507" s="79" t="s">
        <v>45</v>
      </c>
      <c r="AK507" s="79">
        <v>0</v>
      </c>
      <c r="BB507" s="576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810</v>
      </c>
      <c r="B508" s="60" t="s">
        <v>811</v>
      </c>
      <c r="C508" s="34">
        <v>4301020385</v>
      </c>
      <c r="D508" s="681">
        <v>4680115880054</v>
      </c>
      <c r="E508" s="681"/>
      <c r="F508" s="59">
        <v>0.6</v>
      </c>
      <c r="G508" s="35">
        <v>8</v>
      </c>
      <c r="H508" s="59">
        <v>4.8</v>
      </c>
      <c r="I508" s="59">
        <v>6.93</v>
      </c>
      <c r="J508" s="35">
        <v>132</v>
      </c>
      <c r="K508" s="35" t="s">
        <v>118</v>
      </c>
      <c r="L508" s="35" t="s">
        <v>45</v>
      </c>
      <c r="M508" s="36" t="s">
        <v>113</v>
      </c>
      <c r="N508" s="36"/>
      <c r="O508" s="35">
        <v>70</v>
      </c>
      <c r="P508" s="740" t="s">
        <v>812</v>
      </c>
      <c r="Q508" s="683"/>
      <c r="R508" s="683"/>
      <c r="S508" s="683"/>
      <c r="T508" s="684"/>
      <c r="U508" s="37" t="s">
        <v>45</v>
      </c>
      <c r="V508" s="37" t="s">
        <v>45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45</v>
      </c>
      <c r="AB508" s="66" t="s">
        <v>45</v>
      </c>
      <c r="AC508" s="577" t="s">
        <v>804</v>
      </c>
      <c r="AG508" s="75"/>
      <c r="AJ508" s="79" t="s">
        <v>45</v>
      </c>
      <c r="AK508" s="79">
        <v>0</v>
      </c>
      <c r="BB508" s="578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x14ac:dyDescent="0.2">
      <c r="A509" s="675"/>
      <c r="B509" s="675"/>
      <c r="C509" s="675"/>
      <c r="D509" s="675"/>
      <c r="E509" s="675"/>
      <c r="F509" s="675"/>
      <c r="G509" s="675"/>
      <c r="H509" s="675"/>
      <c r="I509" s="675"/>
      <c r="J509" s="675"/>
      <c r="K509" s="675"/>
      <c r="L509" s="675"/>
      <c r="M509" s="675"/>
      <c r="N509" s="675"/>
      <c r="O509" s="688"/>
      <c r="P509" s="685" t="s">
        <v>40</v>
      </c>
      <c r="Q509" s="686"/>
      <c r="R509" s="686"/>
      <c r="S509" s="686"/>
      <c r="T509" s="686"/>
      <c r="U509" s="686"/>
      <c r="V509" s="687"/>
      <c r="W509" s="40" t="s">
        <v>39</v>
      </c>
      <c r="X509" s="41">
        <f>IFERROR(X505/H505,"0")+IFERROR(X506/H506,"0")+IFERROR(X507/H507,"0")+IFERROR(X508/H508,"0")</f>
        <v>7.5757575757575752</v>
      </c>
      <c r="Y509" s="41">
        <f>IFERROR(Y505/H505,"0")+IFERROR(Y506/H506,"0")+IFERROR(Y507/H507,"0")+IFERROR(Y508/H508,"0")</f>
        <v>8</v>
      </c>
      <c r="Z509" s="41">
        <f>IFERROR(IF(Z505="",0,Z505),"0")+IFERROR(IF(Z506="",0,Z506),"0")+IFERROR(IF(Z507="",0,Z507),"0")+IFERROR(IF(Z508="",0,Z508),"0")</f>
        <v>9.5680000000000001E-2</v>
      </c>
      <c r="AA509" s="64"/>
      <c r="AB509" s="64"/>
      <c r="AC509" s="64"/>
    </row>
    <row r="510" spans="1:68" x14ac:dyDescent="0.2">
      <c r="A510" s="675"/>
      <c r="B510" s="675"/>
      <c r="C510" s="675"/>
      <c r="D510" s="675"/>
      <c r="E510" s="675"/>
      <c r="F510" s="675"/>
      <c r="G510" s="675"/>
      <c r="H510" s="675"/>
      <c r="I510" s="675"/>
      <c r="J510" s="675"/>
      <c r="K510" s="675"/>
      <c r="L510" s="675"/>
      <c r="M510" s="675"/>
      <c r="N510" s="675"/>
      <c r="O510" s="688"/>
      <c r="P510" s="685" t="s">
        <v>40</v>
      </c>
      <c r="Q510" s="686"/>
      <c r="R510" s="686"/>
      <c r="S510" s="686"/>
      <c r="T510" s="686"/>
      <c r="U510" s="686"/>
      <c r="V510" s="687"/>
      <c r="W510" s="40" t="s">
        <v>0</v>
      </c>
      <c r="X510" s="41">
        <f>IFERROR(SUM(X505:X508),"0")</f>
        <v>40</v>
      </c>
      <c r="Y510" s="41">
        <f>IFERROR(SUM(Y505:Y508),"0")</f>
        <v>42.24</v>
      </c>
      <c r="Z510" s="40"/>
      <c r="AA510" s="64"/>
      <c r="AB510" s="64"/>
      <c r="AC510" s="64"/>
    </row>
    <row r="511" spans="1:68" ht="14.25" customHeight="1" x14ac:dyDescent="0.25">
      <c r="A511" s="680" t="s">
        <v>160</v>
      </c>
      <c r="B511" s="680"/>
      <c r="C511" s="680"/>
      <c r="D511" s="680"/>
      <c r="E511" s="680"/>
      <c r="F511" s="680"/>
      <c r="G511" s="680"/>
      <c r="H511" s="680"/>
      <c r="I511" s="680"/>
      <c r="J511" s="680"/>
      <c r="K511" s="680"/>
      <c r="L511" s="680"/>
      <c r="M511" s="680"/>
      <c r="N511" s="680"/>
      <c r="O511" s="680"/>
      <c r="P511" s="680"/>
      <c r="Q511" s="680"/>
      <c r="R511" s="680"/>
      <c r="S511" s="680"/>
      <c r="T511" s="680"/>
      <c r="U511" s="680"/>
      <c r="V511" s="680"/>
      <c r="W511" s="680"/>
      <c r="X511" s="680"/>
      <c r="Y511" s="680"/>
      <c r="Z511" s="680"/>
      <c r="AA511" s="63"/>
      <c r="AB511" s="63"/>
      <c r="AC511" s="63"/>
    </row>
    <row r="512" spans="1:68" ht="27" customHeight="1" x14ac:dyDescent="0.25">
      <c r="A512" s="60" t="s">
        <v>813</v>
      </c>
      <c r="B512" s="60" t="s">
        <v>814</v>
      </c>
      <c r="C512" s="34">
        <v>4301031349</v>
      </c>
      <c r="D512" s="681">
        <v>4680115883116</v>
      </c>
      <c r="E512" s="681"/>
      <c r="F512" s="59">
        <v>0.88</v>
      </c>
      <c r="G512" s="35">
        <v>6</v>
      </c>
      <c r="H512" s="59">
        <v>5.28</v>
      </c>
      <c r="I512" s="59">
        <v>5.64</v>
      </c>
      <c r="J512" s="35">
        <v>104</v>
      </c>
      <c r="K512" s="35" t="s">
        <v>114</v>
      </c>
      <c r="L512" s="35" t="s">
        <v>45</v>
      </c>
      <c r="M512" s="36" t="s">
        <v>113</v>
      </c>
      <c r="N512" s="36"/>
      <c r="O512" s="35">
        <v>70</v>
      </c>
      <c r="P512" s="728" t="s">
        <v>815</v>
      </c>
      <c r="Q512" s="683"/>
      <c r="R512" s="683"/>
      <c r="S512" s="683"/>
      <c r="T512" s="684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ref="Y512:Y522" si="74">IFERROR(IF(X512="",0,CEILING((X512/$H512),1)*$H512),"")</f>
        <v>0</v>
      </c>
      <c r="Z512" s="39" t="str">
        <f>IFERROR(IF(Y512=0,"",ROUNDUP(Y512/H512,0)*0.01196),"")</f>
        <v/>
      </c>
      <c r="AA512" s="65" t="s">
        <v>45</v>
      </c>
      <c r="AB512" s="66" t="s">
        <v>45</v>
      </c>
      <c r="AC512" s="579" t="s">
        <v>816</v>
      </c>
      <c r="AG512" s="75"/>
      <c r="AJ512" s="79" t="s">
        <v>45</v>
      </c>
      <c r="AK512" s="79">
        <v>0</v>
      </c>
      <c r="BB512" s="580" t="s">
        <v>66</v>
      </c>
      <c r="BM512" s="75">
        <f t="shared" ref="BM512:BM522" si="75">IFERROR(X512*I512/H512,"0")</f>
        <v>0</v>
      </c>
      <c r="BN512" s="75">
        <f t="shared" ref="BN512:BN522" si="76">IFERROR(Y512*I512/H512,"0")</f>
        <v>0</v>
      </c>
      <c r="BO512" s="75">
        <f t="shared" ref="BO512:BO522" si="77">IFERROR(1/J512*(X512/H512),"0")</f>
        <v>0</v>
      </c>
      <c r="BP512" s="75">
        <f t="shared" ref="BP512:BP522" si="78">IFERROR(1/J512*(Y512/H512),"0")</f>
        <v>0</v>
      </c>
    </row>
    <row r="513" spans="1:68" ht="27" customHeight="1" x14ac:dyDescent="0.25">
      <c r="A513" s="60" t="s">
        <v>817</v>
      </c>
      <c r="B513" s="60" t="s">
        <v>818</v>
      </c>
      <c r="C513" s="34">
        <v>4301031350</v>
      </c>
      <c r="D513" s="681">
        <v>4680115883093</v>
      </c>
      <c r="E513" s="681"/>
      <c r="F513" s="59">
        <v>0.88</v>
      </c>
      <c r="G513" s="35">
        <v>6</v>
      </c>
      <c r="H513" s="59">
        <v>5.28</v>
      </c>
      <c r="I513" s="59">
        <v>5.64</v>
      </c>
      <c r="J513" s="35">
        <v>104</v>
      </c>
      <c r="K513" s="35" t="s">
        <v>114</v>
      </c>
      <c r="L513" s="35" t="s">
        <v>45</v>
      </c>
      <c r="M513" s="36" t="s">
        <v>82</v>
      </c>
      <c r="N513" s="36"/>
      <c r="O513" s="35">
        <v>70</v>
      </c>
      <c r="P513" s="729" t="s">
        <v>819</v>
      </c>
      <c r="Q513" s="683"/>
      <c r="R513" s="683"/>
      <c r="S513" s="683"/>
      <c r="T513" s="684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IFERROR(IF(Y513=0,"",ROUNDUP(Y513/H513,0)*0.01196),"")</f>
        <v/>
      </c>
      <c r="AA513" s="65" t="s">
        <v>45</v>
      </c>
      <c r="AB513" s="66" t="s">
        <v>45</v>
      </c>
      <c r="AC513" s="581" t="s">
        <v>820</v>
      </c>
      <c r="AG513" s="75"/>
      <c r="AJ513" s="79" t="s">
        <v>45</v>
      </c>
      <c r="AK513" s="79">
        <v>0</v>
      </c>
      <c r="BB513" s="582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4301031353</v>
      </c>
      <c r="D514" s="681">
        <v>4680115883109</v>
      </c>
      <c r="E514" s="681"/>
      <c r="F514" s="59">
        <v>0.88</v>
      </c>
      <c r="G514" s="35">
        <v>6</v>
      </c>
      <c r="H514" s="59">
        <v>5.28</v>
      </c>
      <c r="I514" s="59">
        <v>5.64</v>
      </c>
      <c r="J514" s="35">
        <v>104</v>
      </c>
      <c r="K514" s="35" t="s">
        <v>114</v>
      </c>
      <c r="L514" s="35" t="s">
        <v>45</v>
      </c>
      <c r="M514" s="36" t="s">
        <v>82</v>
      </c>
      <c r="N514" s="36"/>
      <c r="O514" s="35">
        <v>70</v>
      </c>
      <c r="P514" s="730" t="s">
        <v>823</v>
      </c>
      <c r="Q514" s="683"/>
      <c r="R514" s="683"/>
      <c r="S514" s="683"/>
      <c r="T514" s="684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IFERROR(IF(Y514=0,"",ROUNDUP(Y514/H514,0)*0.01196),"")</f>
        <v/>
      </c>
      <c r="AA514" s="65" t="s">
        <v>45</v>
      </c>
      <c r="AB514" s="66" t="s">
        <v>45</v>
      </c>
      <c r="AC514" s="583" t="s">
        <v>824</v>
      </c>
      <c r="AG514" s="75"/>
      <c r="AJ514" s="79" t="s">
        <v>45</v>
      </c>
      <c r="AK514" s="79">
        <v>0</v>
      </c>
      <c r="BB514" s="584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customHeight="1" x14ac:dyDescent="0.25">
      <c r="A515" s="60" t="s">
        <v>825</v>
      </c>
      <c r="B515" s="60" t="s">
        <v>826</v>
      </c>
      <c r="C515" s="34">
        <v>4301031409</v>
      </c>
      <c r="D515" s="681">
        <v>4680115886438</v>
      </c>
      <c r="E515" s="681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83</v>
      </c>
      <c r="L515" s="35" t="s">
        <v>45</v>
      </c>
      <c r="M515" s="36" t="s">
        <v>113</v>
      </c>
      <c r="N515" s="36"/>
      <c r="O515" s="35">
        <v>70</v>
      </c>
      <c r="P515" s="731" t="s">
        <v>827</v>
      </c>
      <c r="Q515" s="683"/>
      <c r="R515" s="683"/>
      <c r="S515" s="683"/>
      <c r="T515" s="684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IFERROR(IF(Y515=0,"",ROUNDUP(Y515/H515,0)*0.00651),"")</f>
        <v/>
      </c>
      <c r="AA515" s="65" t="s">
        <v>45</v>
      </c>
      <c r="AB515" s="66" t="s">
        <v>45</v>
      </c>
      <c r="AC515" s="585" t="s">
        <v>816</v>
      </c>
      <c r="AG515" s="75"/>
      <c r="AJ515" s="79" t="s">
        <v>45</v>
      </c>
      <c r="AK515" s="79">
        <v>0</v>
      </c>
      <c r="BB515" s="586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828</v>
      </c>
      <c r="B516" s="60" t="s">
        <v>829</v>
      </c>
      <c r="C516" s="34">
        <v>4301031351</v>
      </c>
      <c r="D516" s="681">
        <v>4680115882072</v>
      </c>
      <c r="E516" s="681"/>
      <c r="F516" s="59">
        <v>0.6</v>
      </c>
      <c r="G516" s="35">
        <v>6</v>
      </c>
      <c r="H516" s="59">
        <v>3.6</v>
      </c>
      <c r="I516" s="59">
        <v>3.81</v>
      </c>
      <c r="J516" s="35">
        <v>132</v>
      </c>
      <c r="K516" s="35" t="s">
        <v>118</v>
      </c>
      <c r="L516" s="35" t="s">
        <v>45</v>
      </c>
      <c r="M516" s="36" t="s">
        <v>113</v>
      </c>
      <c r="N516" s="36"/>
      <c r="O516" s="35">
        <v>70</v>
      </c>
      <c r="P516" s="732" t="s">
        <v>830</v>
      </c>
      <c r="Q516" s="683"/>
      <c r="R516" s="683"/>
      <c r="S516" s="683"/>
      <c r="T516" s="684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87" t="s">
        <v>816</v>
      </c>
      <c r="AG516" s="75"/>
      <c r="AJ516" s="79" t="s">
        <v>45</v>
      </c>
      <c r="AK516" s="79">
        <v>0</v>
      </c>
      <c r="BB516" s="588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ht="27" customHeight="1" x14ac:dyDescent="0.25">
      <c r="A517" s="60" t="s">
        <v>828</v>
      </c>
      <c r="B517" s="60" t="s">
        <v>831</v>
      </c>
      <c r="C517" s="34">
        <v>4301031383</v>
      </c>
      <c r="D517" s="681">
        <v>4680115882072</v>
      </c>
      <c r="E517" s="681"/>
      <c r="F517" s="59">
        <v>0.6</v>
      </c>
      <c r="G517" s="35">
        <v>8</v>
      </c>
      <c r="H517" s="59">
        <v>4.8</v>
      </c>
      <c r="I517" s="59">
        <v>6.96</v>
      </c>
      <c r="J517" s="35">
        <v>120</v>
      </c>
      <c r="K517" s="35" t="s">
        <v>118</v>
      </c>
      <c r="L517" s="35" t="s">
        <v>45</v>
      </c>
      <c r="M517" s="36" t="s">
        <v>113</v>
      </c>
      <c r="N517" s="36"/>
      <c r="O517" s="35">
        <v>60</v>
      </c>
      <c r="P517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83"/>
      <c r="R517" s="683"/>
      <c r="S517" s="683"/>
      <c r="T517" s="684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4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89" t="s">
        <v>832</v>
      </c>
      <c r="AG517" s="75"/>
      <c r="AJ517" s="79" t="s">
        <v>45</v>
      </c>
      <c r="AK517" s="79">
        <v>0</v>
      </c>
      <c r="BB517" s="590" t="s">
        <v>66</v>
      </c>
      <c r="BM517" s="75">
        <f t="shared" si="75"/>
        <v>0</v>
      </c>
      <c r="BN517" s="75">
        <f t="shared" si="76"/>
        <v>0</v>
      </c>
      <c r="BO517" s="75">
        <f t="shared" si="77"/>
        <v>0</v>
      </c>
      <c r="BP517" s="75">
        <f t="shared" si="78"/>
        <v>0</v>
      </c>
    </row>
    <row r="518" spans="1:68" ht="27" customHeight="1" x14ac:dyDescent="0.25">
      <c r="A518" s="60" t="s">
        <v>828</v>
      </c>
      <c r="B518" s="60" t="s">
        <v>833</v>
      </c>
      <c r="C518" s="34">
        <v>4301031419</v>
      </c>
      <c r="D518" s="681">
        <v>4680115882072</v>
      </c>
      <c r="E518" s="681"/>
      <c r="F518" s="59">
        <v>0.6</v>
      </c>
      <c r="G518" s="35">
        <v>8</v>
      </c>
      <c r="H518" s="59">
        <v>4.8</v>
      </c>
      <c r="I518" s="59">
        <v>6.93</v>
      </c>
      <c r="J518" s="35">
        <v>132</v>
      </c>
      <c r="K518" s="35" t="s">
        <v>118</v>
      </c>
      <c r="L518" s="35" t="s">
        <v>45</v>
      </c>
      <c r="M518" s="36" t="s">
        <v>113</v>
      </c>
      <c r="N518" s="36"/>
      <c r="O518" s="35">
        <v>70</v>
      </c>
      <c r="P518" s="734" t="s">
        <v>834</v>
      </c>
      <c r="Q518" s="683"/>
      <c r="R518" s="683"/>
      <c r="S518" s="683"/>
      <c r="T518" s="684"/>
      <c r="U518" s="37" t="s">
        <v>45</v>
      </c>
      <c r="V518" s="37" t="s">
        <v>45</v>
      </c>
      <c r="W518" s="38" t="s">
        <v>0</v>
      </c>
      <c r="X518" s="56">
        <v>0</v>
      </c>
      <c r="Y518" s="53">
        <f t="shared" si="74"/>
        <v>0</v>
      </c>
      <c r="Z518" s="39" t="str">
        <f>IFERROR(IF(Y518=0,"",ROUNDUP(Y518/H518,0)*0.00902),"")</f>
        <v/>
      </c>
      <c r="AA518" s="65" t="s">
        <v>45</v>
      </c>
      <c r="AB518" s="66" t="s">
        <v>45</v>
      </c>
      <c r="AC518" s="591" t="s">
        <v>816</v>
      </c>
      <c r="AG518" s="75"/>
      <c r="AJ518" s="79" t="s">
        <v>45</v>
      </c>
      <c r="AK518" s="79">
        <v>0</v>
      </c>
      <c r="BB518" s="592" t="s">
        <v>66</v>
      </c>
      <c r="BM518" s="75">
        <f t="shared" si="75"/>
        <v>0</v>
      </c>
      <c r="BN518" s="75">
        <f t="shared" si="76"/>
        <v>0</v>
      </c>
      <c r="BO518" s="75">
        <f t="shared" si="77"/>
        <v>0</v>
      </c>
      <c r="BP518" s="75">
        <f t="shared" si="78"/>
        <v>0</v>
      </c>
    </row>
    <row r="519" spans="1:68" ht="27" customHeight="1" x14ac:dyDescent="0.25">
      <c r="A519" s="60" t="s">
        <v>835</v>
      </c>
      <c r="B519" s="60" t="s">
        <v>836</v>
      </c>
      <c r="C519" s="34">
        <v>4301031418</v>
      </c>
      <c r="D519" s="681">
        <v>4680115882102</v>
      </c>
      <c r="E519" s="681"/>
      <c r="F519" s="59">
        <v>0.6</v>
      </c>
      <c r="G519" s="35">
        <v>8</v>
      </c>
      <c r="H519" s="59">
        <v>4.8</v>
      </c>
      <c r="I519" s="59">
        <v>6.69</v>
      </c>
      <c r="J519" s="35">
        <v>132</v>
      </c>
      <c r="K519" s="35" t="s">
        <v>118</v>
      </c>
      <c r="L519" s="35" t="s">
        <v>45</v>
      </c>
      <c r="M519" s="36" t="s">
        <v>82</v>
      </c>
      <c r="N519" s="36"/>
      <c r="O519" s="35">
        <v>70</v>
      </c>
      <c r="P519" s="735" t="s">
        <v>837</v>
      </c>
      <c r="Q519" s="683"/>
      <c r="R519" s="683"/>
      <c r="S519" s="683"/>
      <c r="T519" s="684"/>
      <c r="U519" s="37" t="s">
        <v>45</v>
      </c>
      <c r="V519" s="37" t="s">
        <v>45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IFERROR(IF(Y519=0,"",ROUNDUP(Y519/H519,0)*0.00902),"")</f>
        <v/>
      </c>
      <c r="AA519" s="65" t="s">
        <v>45</v>
      </c>
      <c r="AB519" s="66" t="s">
        <v>45</v>
      </c>
      <c r="AC519" s="593" t="s">
        <v>820</v>
      </c>
      <c r="AG519" s="75"/>
      <c r="AJ519" s="79" t="s">
        <v>45</v>
      </c>
      <c r="AK519" s="79">
        <v>0</v>
      </c>
      <c r="BB519" s="594" t="s">
        <v>66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customHeight="1" x14ac:dyDescent="0.25">
      <c r="A520" s="60" t="s">
        <v>838</v>
      </c>
      <c r="B520" s="60" t="s">
        <v>839</v>
      </c>
      <c r="C520" s="34">
        <v>4301031384</v>
      </c>
      <c r="D520" s="681">
        <v>4680115882096</v>
      </c>
      <c r="E520" s="681"/>
      <c r="F520" s="59">
        <v>0.6</v>
      </c>
      <c r="G520" s="35">
        <v>8</v>
      </c>
      <c r="H520" s="59">
        <v>4.8</v>
      </c>
      <c r="I520" s="59">
        <v>6.69</v>
      </c>
      <c r="J520" s="35">
        <v>120</v>
      </c>
      <c r="K520" s="35" t="s">
        <v>118</v>
      </c>
      <c r="L520" s="35" t="s">
        <v>45</v>
      </c>
      <c r="M520" s="36" t="s">
        <v>82</v>
      </c>
      <c r="N520" s="36"/>
      <c r="O520" s="35">
        <v>60</v>
      </c>
      <c r="P520" s="72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83"/>
      <c r="R520" s="683"/>
      <c r="S520" s="683"/>
      <c r="T520" s="684"/>
      <c r="U520" s="37" t="s">
        <v>45</v>
      </c>
      <c r="V520" s="37" t="s">
        <v>45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IFERROR(IF(Y520=0,"",ROUNDUP(Y520/H520,0)*0.00937),"")</f>
        <v/>
      </c>
      <c r="AA520" s="65" t="s">
        <v>45</v>
      </c>
      <c r="AB520" s="66" t="s">
        <v>45</v>
      </c>
      <c r="AC520" s="595" t="s">
        <v>824</v>
      </c>
      <c r="AG520" s="75"/>
      <c r="AJ520" s="79" t="s">
        <v>45</v>
      </c>
      <c r="AK520" s="79">
        <v>0</v>
      </c>
      <c r="BB520" s="596" t="s">
        <v>66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customHeight="1" x14ac:dyDescent="0.25">
      <c r="A521" s="60" t="s">
        <v>838</v>
      </c>
      <c r="B521" s="60" t="s">
        <v>840</v>
      </c>
      <c r="C521" s="34">
        <v>4301031253</v>
      </c>
      <c r="D521" s="681">
        <v>4680115882096</v>
      </c>
      <c r="E521" s="681"/>
      <c r="F521" s="59">
        <v>0.6</v>
      </c>
      <c r="G521" s="35">
        <v>6</v>
      </c>
      <c r="H521" s="59">
        <v>3.6</v>
      </c>
      <c r="I521" s="59">
        <v>3.81</v>
      </c>
      <c r="J521" s="35">
        <v>132</v>
      </c>
      <c r="K521" s="35" t="s">
        <v>118</v>
      </c>
      <c r="L521" s="35" t="s">
        <v>45</v>
      </c>
      <c r="M521" s="36" t="s">
        <v>82</v>
      </c>
      <c r="N521" s="36"/>
      <c r="O521" s="35">
        <v>60</v>
      </c>
      <c r="P521" s="72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83"/>
      <c r="R521" s="683"/>
      <c r="S521" s="683"/>
      <c r="T521" s="684"/>
      <c r="U521" s="37" t="s">
        <v>45</v>
      </c>
      <c r="V521" s="37" t="s">
        <v>45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45</v>
      </c>
      <c r="AB521" s="66" t="s">
        <v>45</v>
      </c>
      <c r="AC521" s="597" t="s">
        <v>841</v>
      </c>
      <c r="AG521" s="75"/>
      <c r="AJ521" s="79" t="s">
        <v>45</v>
      </c>
      <c r="AK521" s="79">
        <v>0</v>
      </c>
      <c r="BB521" s="598" t="s">
        <v>66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customHeight="1" x14ac:dyDescent="0.25">
      <c r="A522" s="60" t="s">
        <v>838</v>
      </c>
      <c r="B522" s="60" t="s">
        <v>842</v>
      </c>
      <c r="C522" s="34">
        <v>4301031417</v>
      </c>
      <c r="D522" s="681">
        <v>4680115882096</v>
      </c>
      <c r="E522" s="681"/>
      <c r="F522" s="59">
        <v>0.6</v>
      </c>
      <c r="G522" s="35">
        <v>8</v>
      </c>
      <c r="H522" s="59">
        <v>4.8</v>
      </c>
      <c r="I522" s="59">
        <v>6.69</v>
      </c>
      <c r="J522" s="35">
        <v>132</v>
      </c>
      <c r="K522" s="35" t="s">
        <v>118</v>
      </c>
      <c r="L522" s="35" t="s">
        <v>45</v>
      </c>
      <c r="M522" s="36" t="s">
        <v>82</v>
      </c>
      <c r="N522" s="36"/>
      <c r="O522" s="35">
        <v>70</v>
      </c>
      <c r="P522" s="724" t="s">
        <v>843</v>
      </c>
      <c r="Q522" s="683"/>
      <c r="R522" s="683"/>
      <c r="S522" s="683"/>
      <c r="T522" s="684"/>
      <c r="U522" s="37" t="s">
        <v>45</v>
      </c>
      <c r="V522" s="37" t="s">
        <v>45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45</v>
      </c>
      <c r="AB522" s="66" t="s">
        <v>45</v>
      </c>
      <c r="AC522" s="599" t="s">
        <v>824</v>
      </c>
      <c r="AG522" s="75"/>
      <c r="AJ522" s="79" t="s">
        <v>45</v>
      </c>
      <c r="AK522" s="79">
        <v>0</v>
      </c>
      <c r="BB522" s="600" t="s">
        <v>66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x14ac:dyDescent="0.2">
      <c r="A523" s="675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88"/>
      <c r="P523" s="685" t="s">
        <v>40</v>
      </c>
      <c r="Q523" s="686"/>
      <c r="R523" s="686"/>
      <c r="S523" s="686"/>
      <c r="T523" s="686"/>
      <c r="U523" s="686"/>
      <c r="V523" s="687"/>
      <c r="W523" s="40" t="s">
        <v>39</v>
      </c>
      <c r="X523" s="41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41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41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4"/>
      <c r="AB523" s="64"/>
      <c r="AC523" s="64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88"/>
      <c r="P524" s="685" t="s">
        <v>40</v>
      </c>
      <c r="Q524" s="686"/>
      <c r="R524" s="686"/>
      <c r="S524" s="686"/>
      <c r="T524" s="686"/>
      <c r="U524" s="686"/>
      <c r="V524" s="687"/>
      <c r="W524" s="40" t="s">
        <v>0</v>
      </c>
      <c r="X524" s="41">
        <f>IFERROR(SUM(X512:X522),"0")</f>
        <v>0</v>
      </c>
      <c r="Y524" s="41">
        <f>IFERROR(SUM(Y512:Y522),"0")</f>
        <v>0</v>
      </c>
      <c r="Z524" s="40"/>
      <c r="AA524" s="64"/>
      <c r="AB524" s="64"/>
      <c r="AC524" s="64"/>
    </row>
    <row r="525" spans="1:68" ht="14.25" customHeight="1" x14ac:dyDescent="0.25">
      <c r="A525" s="680" t="s">
        <v>78</v>
      </c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0"/>
      <c r="P525" s="680"/>
      <c r="Q525" s="680"/>
      <c r="R525" s="680"/>
      <c r="S525" s="680"/>
      <c r="T525" s="680"/>
      <c r="U525" s="680"/>
      <c r="V525" s="680"/>
      <c r="W525" s="680"/>
      <c r="X525" s="680"/>
      <c r="Y525" s="680"/>
      <c r="Z525" s="680"/>
      <c r="AA525" s="63"/>
      <c r="AB525" s="63"/>
      <c r="AC525" s="63"/>
    </row>
    <row r="526" spans="1:68" ht="16.5" customHeight="1" x14ac:dyDescent="0.25">
      <c r="A526" s="60" t="s">
        <v>844</v>
      </c>
      <c r="B526" s="60" t="s">
        <v>845</v>
      </c>
      <c r="C526" s="34">
        <v>4301051232</v>
      </c>
      <c r="D526" s="681">
        <v>4607091383409</v>
      </c>
      <c r="E526" s="681"/>
      <c r="F526" s="59">
        <v>1.3</v>
      </c>
      <c r="G526" s="35">
        <v>6</v>
      </c>
      <c r="H526" s="59">
        <v>7.8</v>
      </c>
      <c r="I526" s="59">
        <v>8.3010000000000002</v>
      </c>
      <c r="J526" s="35">
        <v>64</v>
      </c>
      <c r="K526" s="35" t="s">
        <v>114</v>
      </c>
      <c r="L526" s="35" t="s">
        <v>45</v>
      </c>
      <c r="M526" s="36" t="s">
        <v>117</v>
      </c>
      <c r="N526" s="36"/>
      <c r="O526" s="35">
        <v>45</v>
      </c>
      <c r="P526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83"/>
      <c r="R526" s="683"/>
      <c r="S526" s="683"/>
      <c r="T526" s="684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45</v>
      </c>
      <c r="AB526" s="66" t="s">
        <v>45</v>
      </c>
      <c r="AC526" s="601" t="s">
        <v>846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27" customHeight="1" x14ac:dyDescent="0.25">
      <c r="A527" s="60" t="s">
        <v>847</v>
      </c>
      <c r="B527" s="60" t="s">
        <v>848</v>
      </c>
      <c r="C527" s="34">
        <v>4301051231</v>
      </c>
      <c r="D527" s="681">
        <v>4607091383416</v>
      </c>
      <c r="E527" s="681"/>
      <c r="F527" s="59">
        <v>1.3</v>
      </c>
      <c r="G527" s="35">
        <v>6</v>
      </c>
      <c r="H527" s="59">
        <v>7.8</v>
      </c>
      <c r="I527" s="59">
        <v>8.3010000000000002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45</v>
      </c>
      <c r="P527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83"/>
      <c r="R527" s="683"/>
      <c r="S527" s="683"/>
      <c r="T527" s="684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849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27" customHeight="1" x14ac:dyDescent="0.25">
      <c r="A528" s="60" t="s">
        <v>850</v>
      </c>
      <c r="B528" s="60" t="s">
        <v>851</v>
      </c>
      <c r="C528" s="34">
        <v>4301051064</v>
      </c>
      <c r="D528" s="681">
        <v>4680115883536</v>
      </c>
      <c r="E528" s="681"/>
      <c r="F528" s="59">
        <v>0.3</v>
      </c>
      <c r="G528" s="35">
        <v>6</v>
      </c>
      <c r="H528" s="59">
        <v>1.8</v>
      </c>
      <c r="I528" s="59">
        <v>2.0459999999999998</v>
      </c>
      <c r="J528" s="35">
        <v>182</v>
      </c>
      <c r="K528" s="35" t="s">
        <v>83</v>
      </c>
      <c r="L528" s="35" t="s">
        <v>45</v>
      </c>
      <c r="M528" s="36" t="s">
        <v>117</v>
      </c>
      <c r="N528" s="36"/>
      <c r="O528" s="35">
        <v>45</v>
      </c>
      <c r="P528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83"/>
      <c r="R528" s="683"/>
      <c r="S528" s="683"/>
      <c r="T528" s="684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IFERROR(IF(Y528=0,"",ROUNDUP(Y528/H528,0)*0.00651),"")</f>
        <v/>
      </c>
      <c r="AA528" s="65" t="s">
        <v>45</v>
      </c>
      <c r="AB528" s="66" t="s">
        <v>45</v>
      </c>
      <c r="AC528" s="605" t="s">
        <v>852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88"/>
      <c r="P529" s="685" t="s">
        <v>40</v>
      </c>
      <c r="Q529" s="686"/>
      <c r="R529" s="686"/>
      <c r="S529" s="686"/>
      <c r="T529" s="686"/>
      <c r="U529" s="686"/>
      <c r="V529" s="687"/>
      <c r="W529" s="40" t="s">
        <v>39</v>
      </c>
      <c r="X529" s="41">
        <f>IFERROR(X526/H526,"0")+IFERROR(X527/H527,"0")+IFERROR(X528/H528,"0")</f>
        <v>0</v>
      </c>
      <c r="Y529" s="41">
        <f>IFERROR(Y526/H526,"0")+IFERROR(Y527/H527,"0")+IFERROR(Y528/H528,"0")</f>
        <v>0</v>
      </c>
      <c r="Z529" s="41">
        <f>IFERROR(IF(Z526="",0,Z526),"0")+IFERROR(IF(Z527="",0,Z527),"0")+IFERROR(IF(Z528="",0,Z528),"0")</f>
        <v>0</v>
      </c>
      <c r="AA529" s="64"/>
      <c r="AB529" s="64"/>
      <c r="AC529" s="64"/>
    </row>
    <row r="530" spans="1:68" x14ac:dyDescent="0.2">
      <c r="A530" s="675"/>
      <c r="B530" s="675"/>
      <c r="C530" s="675"/>
      <c r="D530" s="675"/>
      <c r="E530" s="675"/>
      <c r="F530" s="675"/>
      <c r="G530" s="675"/>
      <c r="H530" s="675"/>
      <c r="I530" s="675"/>
      <c r="J530" s="675"/>
      <c r="K530" s="675"/>
      <c r="L530" s="675"/>
      <c r="M530" s="675"/>
      <c r="N530" s="675"/>
      <c r="O530" s="688"/>
      <c r="P530" s="685" t="s">
        <v>40</v>
      </c>
      <c r="Q530" s="686"/>
      <c r="R530" s="686"/>
      <c r="S530" s="686"/>
      <c r="T530" s="686"/>
      <c r="U530" s="686"/>
      <c r="V530" s="687"/>
      <c r="W530" s="40" t="s">
        <v>0</v>
      </c>
      <c r="X530" s="41">
        <f>IFERROR(SUM(X526:X528),"0")</f>
        <v>0</v>
      </c>
      <c r="Y530" s="41">
        <f>IFERROR(SUM(Y526:Y528),"0")</f>
        <v>0</v>
      </c>
      <c r="Z530" s="40"/>
      <c r="AA530" s="64"/>
      <c r="AB530" s="64"/>
      <c r="AC530" s="64"/>
    </row>
    <row r="531" spans="1:68" ht="14.25" customHeight="1" x14ac:dyDescent="0.25">
      <c r="A531" s="680" t="s">
        <v>186</v>
      </c>
      <c r="B531" s="680"/>
      <c r="C531" s="680"/>
      <c r="D531" s="680"/>
      <c r="E531" s="680"/>
      <c r="F531" s="680"/>
      <c r="G531" s="680"/>
      <c r="H531" s="680"/>
      <c r="I531" s="680"/>
      <c r="J531" s="680"/>
      <c r="K531" s="680"/>
      <c r="L531" s="680"/>
      <c r="M531" s="680"/>
      <c r="N531" s="680"/>
      <c r="O531" s="680"/>
      <c r="P531" s="680"/>
      <c r="Q531" s="680"/>
      <c r="R531" s="680"/>
      <c r="S531" s="680"/>
      <c r="T531" s="680"/>
      <c r="U531" s="680"/>
      <c r="V531" s="680"/>
      <c r="W531" s="680"/>
      <c r="X531" s="680"/>
      <c r="Y531" s="680"/>
      <c r="Z531" s="680"/>
      <c r="AA531" s="63"/>
      <c r="AB531" s="63"/>
      <c r="AC531" s="63"/>
    </row>
    <row r="532" spans="1:68" ht="37.5" customHeight="1" x14ac:dyDescent="0.25">
      <c r="A532" s="60" t="s">
        <v>853</v>
      </c>
      <c r="B532" s="60" t="s">
        <v>854</v>
      </c>
      <c r="C532" s="34">
        <v>4301060436</v>
      </c>
      <c r="D532" s="681">
        <v>4680115885936</v>
      </c>
      <c r="E532" s="681"/>
      <c r="F532" s="59">
        <v>1.3</v>
      </c>
      <c r="G532" s="35">
        <v>6</v>
      </c>
      <c r="H532" s="59">
        <v>7.8</v>
      </c>
      <c r="I532" s="59">
        <v>8.2349999999999994</v>
      </c>
      <c r="J532" s="35">
        <v>64</v>
      </c>
      <c r="K532" s="35" t="s">
        <v>114</v>
      </c>
      <c r="L532" s="35" t="s">
        <v>45</v>
      </c>
      <c r="M532" s="36" t="s">
        <v>82</v>
      </c>
      <c r="N532" s="36"/>
      <c r="O532" s="35">
        <v>35</v>
      </c>
      <c r="P532" s="716" t="s">
        <v>855</v>
      </c>
      <c r="Q532" s="683"/>
      <c r="R532" s="683"/>
      <c r="S532" s="683"/>
      <c r="T532" s="684"/>
      <c r="U532" s="37" t="s">
        <v>45</v>
      </c>
      <c r="V532" s="37" t="s">
        <v>45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45</v>
      </c>
      <c r="AB532" s="66" t="s">
        <v>45</v>
      </c>
      <c r="AC532" s="607" t="s">
        <v>856</v>
      </c>
      <c r="AG532" s="75"/>
      <c r="AJ532" s="79" t="s">
        <v>45</v>
      </c>
      <c r="AK532" s="79">
        <v>0</v>
      </c>
      <c r="BB532" s="608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x14ac:dyDescent="0.2">
      <c r="A533" s="675"/>
      <c r="B533" s="675"/>
      <c r="C533" s="675"/>
      <c r="D533" s="675"/>
      <c r="E533" s="675"/>
      <c r="F533" s="675"/>
      <c r="G533" s="675"/>
      <c r="H533" s="675"/>
      <c r="I533" s="675"/>
      <c r="J533" s="675"/>
      <c r="K533" s="675"/>
      <c r="L533" s="675"/>
      <c r="M533" s="675"/>
      <c r="N533" s="675"/>
      <c r="O533" s="688"/>
      <c r="P533" s="685" t="s">
        <v>40</v>
      </c>
      <c r="Q533" s="686"/>
      <c r="R533" s="686"/>
      <c r="S533" s="686"/>
      <c r="T533" s="686"/>
      <c r="U533" s="686"/>
      <c r="V533" s="687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x14ac:dyDescent="0.2">
      <c r="A534" s="675"/>
      <c r="B534" s="675"/>
      <c r="C534" s="675"/>
      <c r="D534" s="675"/>
      <c r="E534" s="675"/>
      <c r="F534" s="675"/>
      <c r="G534" s="675"/>
      <c r="H534" s="675"/>
      <c r="I534" s="675"/>
      <c r="J534" s="675"/>
      <c r="K534" s="675"/>
      <c r="L534" s="675"/>
      <c r="M534" s="675"/>
      <c r="N534" s="675"/>
      <c r="O534" s="688"/>
      <c r="P534" s="685" t="s">
        <v>40</v>
      </c>
      <c r="Q534" s="686"/>
      <c r="R534" s="686"/>
      <c r="S534" s="686"/>
      <c r="T534" s="686"/>
      <c r="U534" s="686"/>
      <c r="V534" s="687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27.75" customHeight="1" x14ac:dyDescent="0.2">
      <c r="A535" s="717" t="s">
        <v>857</v>
      </c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7"/>
      <c r="P535" s="717"/>
      <c r="Q535" s="717"/>
      <c r="R535" s="717"/>
      <c r="S535" s="717"/>
      <c r="T535" s="717"/>
      <c r="U535" s="717"/>
      <c r="V535" s="717"/>
      <c r="W535" s="717"/>
      <c r="X535" s="717"/>
      <c r="Y535" s="717"/>
      <c r="Z535" s="717"/>
      <c r="AA535" s="52"/>
      <c r="AB535" s="52"/>
      <c r="AC535" s="52"/>
    </row>
    <row r="536" spans="1:68" ht="16.5" customHeight="1" x14ac:dyDescent="0.25">
      <c r="A536" s="695" t="s">
        <v>857</v>
      </c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695"/>
      <c r="P536" s="695"/>
      <c r="Q536" s="695"/>
      <c r="R536" s="695"/>
      <c r="S536" s="695"/>
      <c r="T536" s="695"/>
      <c r="U536" s="695"/>
      <c r="V536" s="695"/>
      <c r="W536" s="695"/>
      <c r="X536" s="695"/>
      <c r="Y536" s="695"/>
      <c r="Z536" s="695"/>
      <c r="AA536" s="62"/>
      <c r="AB536" s="62"/>
      <c r="AC536" s="62"/>
    </row>
    <row r="537" spans="1:68" ht="14.25" customHeight="1" x14ac:dyDescent="0.25">
      <c r="A537" s="680" t="s">
        <v>109</v>
      </c>
      <c r="B537" s="680"/>
      <c r="C537" s="680"/>
      <c r="D537" s="680"/>
      <c r="E537" s="680"/>
      <c r="F537" s="680"/>
      <c r="G537" s="680"/>
      <c r="H537" s="680"/>
      <c r="I537" s="680"/>
      <c r="J537" s="680"/>
      <c r="K537" s="680"/>
      <c r="L537" s="680"/>
      <c r="M537" s="680"/>
      <c r="N537" s="680"/>
      <c r="O537" s="680"/>
      <c r="P537" s="680"/>
      <c r="Q537" s="680"/>
      <c r="R537" s="680"/>
      <c r="S537" s="680"/>
      <c r="T537" s="680"/>
      <c r="U537" s="680"/>
      <c r="V537" s="680"/>
      <c r="W537" s="680"/>
      <c r="X537" s="680"/>
      <c r="Y537" s="680"/>
      <c r="Z537" s="680"/>
      <c r="AA537" s="63"/>
      <c r="AB537" s="63"/>
      <c r="AC537" s="63"/>
    </row>
    <row r="538" spans="1:68" ht="27" customHeight="1" x14ac:dyDescent="0.25">
      <c r="A538" s="60" t="s">
        <v>858</v>
      </c>
      <c r="B538" s="60" t="s">
        <v>859</v>
      </c>
      <c r="C538" s="34">
        <v>4301011763</v>
      </c>
      <c r="D538" s="681">
        <v>4640242181011</v>
      </c>
      <c r="E538" s="681"/>
      <c r="F538" s="59">
        <v>1.35</v>
      </c>
      <c r="G538" s="35">
        <v>8</v>
      </c>
      <c r="H538" s="59">
        <v>10.8</v>
      </c>
      <c r="I538" s="59">
        <v>11.234999999999999</v>
      </c>
      <c r="J538" s="35">
        <v>64</v>
      </c>
      <c r="K538" s="35" t="s">
        <v>114</v>
      </c>
      <c r="L538" s="35" t="s">
        <v>45</v>
      </c>
      <c r="M538" s="36" t="s">
        <v>117</v>
      </c>
      <c r="N538" s="36"/>
      <c r="O538" s="35">
        <v>55</v>
      </c>
      <c r="P538" s="718" t="s">
        <v>860</v>
      </c>
      <c r="Q538" s="683"/>
      <c r="R538" s="683"/>
      <c r="S538" s="683"/>
      <c r="T538" s="684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ref="Y538:Y543" si="79">IFERROR(IF(X538="",0,CEILING((X538/$H538),1)*$H538),"")</f>
        <v>0</v>
      </c>
      <c r="Z538" s="39" t="str">
        <f>IFERROR(IF(Y538=0,"",ROUNDUP(Y538/H538,0)*0.01898),"")</f>
        <v/>
      </c>
      <c r="AA538" s="65" t="s">
        <v>45</v>
      </c>
      <c r="AB538" s="66" t="s">
        <v>45</v>
      </c>
      <c r="AC538" s="609" t="s">
        <v>861</v>
      </c>
      <c r="AG538" s="75"/>
      <c r="AJ538" s="79" t="s">
        <v>45</v>
      </c>
      <c r="AK538" s="79">
        <v>0</v>
      </c>
      <c r="BB538" s="610" t="s">
        <v>66</v>
      </c>
      <c r="BM538" s="75">
        <f t="shared" ref="BM538:BM543" si="80">IFERROR(X538*I538/H538,"0")</f>
        <v>0</v>
      </c>
      <c r="BN538" s="75">
        <f t="shared" ref="BN538:BN543" si="81">IFERROR(Y538*I538/H538,"0")</f>
        <v>0</v>
      </c>
      <c r="BO538" s="75">
        <f t="shared" ref="BO538:BO543" si="82">IFERROR(1/J538*(X538/H538),"0")</f>
        <v>0</v>
      </c>
      <c r="BP538" s="75">
        <f t="shared" ref="BP538:BP543" si="83">IFERROR(1/J538*(Y538/H538),"0")</f>
        <v>0</v>
      </c>
    </row>
    <row r="539" spans="1:68" ht="27" customHeight="1" x14ac:dyDescent="0.25">
      <c r="A539" s="60" t="s">
        <v>862</v>
      </c>
      <c r="B539" s="60" t="s">
        <v>863</v>
      </c>
      <c r="C539" s="34">
        <v>4301011585</v>
      </c>
      <c r="D539" s="681">
        <v>4640242180441</v>
      </c>
      <c r="E539" s="681"/>
      <c r="F539" s="59">
        <v>1.5</v>
      </c>
      <c r="G539" s="35">
        <v>8</v>
      </c>
      <c r="H539" s="59">
        <v>12</v>
      </c>
      <c r="I539" s="59">
        <v>12.435</v>
      </c>
      <c r="J539" s="35">
        <v>64</v>
      </c>
      <c r="K539" s="35" t="s">
        <v>114</v>
      </c>
      <c r="L539" s="35" t="s">
        <v>45</v>
      </c>
      <c r="M539" s="36" t="s">
        <v>113</v>
      </c>
      <c r="N539" s="36"/>
      <c r="O539" s="35">
        <v>50</v>
      </c>
      <c r="P539" s="719" t="s">
        <v>864</v>
      </c>
      <c r="Q539" s="683"/>
      <c r="R539" s="683"/>
      <c r="S539" s="683"/>
      <c r="T539" s="684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9"/>
        <v>0</v>
      </c>
      <c r="Z539" s="39" t="str">
        <f>IFERROR(IF(Y539=0,"",ROUNDUP(Y539/H539,0)*0.01898),"")</f>
        <v/>
      </c>
      <c r="AA539" s="65" t="s">
        <v>45</v>
      </c>
      <c r="AB539" s="66" t="s">
        <v>45</v>
      </c>
      <c r="AC539" s="611" t="s">
        <v>865</v>
      </c>
      <c r="AG539" s="75"/>
      <c r="AJ539" s="79" t="s">
        <v>45</v>
      </c>
      <c r="AK539" s="79">
        <v>0</v>
      </c>
      <c r="BB539" s="612" t="s">
        <v>66</v>
      </c>
      <c r="BM539" s="75">
        <f t="shared" si="80"/>
        <v>0</v>
      </c>
      <c r="BN539" s="75">
        <f t="shared" si="81"/>
        <v>0</v>
      </c>
      <c r="BO539" s="75">
        <f t="shared" si="82"/>
        <v>0</v>
      </c>
      <c r="BP539" s="75">
        <f t="shared" si="83"/>
        <v>0</v>
      </c>
    </row>
    <row r="540" spans="1:68" ht="27" customHeight="1" x14ac:dyDescent="0.25">
      <c r="A540" s="60" t="s">
        <v>866</v>
      </c>
      <c r="B540" s="60" t="s">
        <v>867</v>
      </c>
      <c r="C540" s="34">
        <v>4301011584</v>
      </c>
      <c r="D540" s="681">
        <v>4640242180564</v>
      </c>
      <c r="E540" s="681"/>
      <c r="F540" s="59">
        <v>1.5</v>
      </c>
      <c r="G540" s="35">
        <v>8</v>
      </c>
      <c r="H540" s="59">
        <v>12</v>
      </c>
      <c r="I540" s="59">
        <v>12.435</v>
      </c>
      <c r="J540" s="35">
        <v>64</v>
      </c>
      <c r="K540" s="35" t="s">
        <v>114</v>
      </c>
      <c r="L540" s="35" t="s">
        <v>45</v>
      </c>
      <c r="M540" s="36" t="s">
        <v>113</v>
      </c>
      <c r="N540" s="36"/>
      <c r="O540" s="35">
        <v>50</v>
      </c>
      <c r="P540" s="720" t="s">
        <v>868</v>
      </c>
      <c r="Q540" s="683"/>
      <c r="R540" s="683"/>
      <c r="S540" s="683"/>
      <c r="T540" s="684"/>
      <c r="U540" s="37" t="s">
        <v>45</v>
      </c>
      <c r="V540" s="37" t="s">
        <v>45</v>
      </c>
      <c r="W540" s="38" t="s">
        <v>0</v>
      </c>
      <c r="X540" s="56">
        <v>80</v>
      </c>
      <c r="Y540" s="53">
        <f t="shared" si="79"/>
        <v>84</v>
      </c>
      <c r="Z540" s="39">
        <f>IFERROR(IF(Y540=0,"",ROUNDUP(Y540/H540,0)*0.01898),"")</f>
        <v>0.13286000000000001</v>
      </c>
      <c r="AA540" s="65" t="s">
        <v>45</v>
      </c>
      <c r="AB540" s="66" t="s">
        <v>45</v>
      </c>
      <c r="AC540" s="613" t="s">
        <v>869</v>
      </c>
      <c r="AG540" s="75"/>
      <c r="AJ540" s="79" t="s">
        <v>45</v>
      </c>
      <c r="AK540" s="79">
        <v>0</v>
      </c>
      <c r="BB540" s="614" t="s">
        <v>66</v>
      </c>
      <c r="BM540" s="75">
        <f t="shared" si="80"/>
        <v>82.9</v>
      </c>
      <c r="BN540" s="75">
        <f t="shared" si="81"/>
        <v>87.045000000000002</v>
      </c>
      <c r="BO540" s="75">
        <f t="shared" si="82"/>
        <v>0.10416666666666667</v>
      </c>
      <c r="BP540" s="75">
        <f t="shared" si="83"/>
        <v>0.109375</v>
      </c>
    </row>
    <row r="541" spans="1:68" ht="27" customHeight="1" x14ac:dyDescent="0.25">
      <c r="A541" s="60" t="s">
        <v>870</v>
      </c>
      <c r="B541" s="60" t="s">
        <v>871</v>
      </c>
      <c r="C541" s="34">
        <v>4301011762</v>
      </c>
      <c r="D541" s="681">
        <v>4640242180922</v>
      </c>
      <c r="E541" s="681"/>
      <c r="F541" s="59">
        <v>1.35</v>
      </c>
      <c r="G541" s="35">
        <v>8</v>
      </c>
      <c r="H541" s="59">
        <v>10.8</v>
      </c>
      <c r="I541" s="59">
        <v>11.234999999999999</v>
      </c>
      <c r="J541" s="35">
        <v>64</v>
      </c>
      <c r="K541" s="35" t="s">
        <v>114</v>
      </c>
      <c r="L541" s="35" t="s">
        <v>45</v>
      </c>
      <c r="M541" s="36" t="s">
        <v>113</v>
      </c>
      <c r="N541" s="36"/>
      <c r="O541" s="35">
        <v>55</v>
      </c>
      <c r="P541" s="721" t="s">
        <v>872</v>
      </c>
      <c r="Q541" s="683"/>
      <c r="R541" s="683"/>
      <c r="S541" s="683"/>
      <c r="T541" s="684"/>
      <c r="U541" s="37" t="s">
        <v>45</v>
      </c>
      <c r="V541" s="37" t="s">
        <v>45</v>
      </c>
      <c r="W541" s="38" t="s">
        <v>0</v>
      </c>
      <c r="X541" s="56">
        <v>0</v>
      </c>
      <c r="Y541" s="53">
        <f t="shared" si="79"/>
        <v>0</v>
      </c>
      <c r="Z541" s="39" t="str">
        <f>IFERROR(IF(Y541=0,"",ROUNDUP(Y541/H541,0)*0.01898),"")</f>
        <v/>
      </c>
      <c r="AA541" s="65" t="s">
        <v>45</v>
      </c>
      <c r="AB541" s="66" t="s">
        <v>45</v>
      </c>
      <c r="AC541" s="615" t="s">
        <v>873</v>
      </c>
      <c r="AG541" s="75"/>
      <c r="AJ541" s="79" t="s">
        <v>45</v>
      </c>
      <c r="AK541" s="79">
        <v>0</v>
      </c>
      <c r="BB541" s="616" t="s">
        <v>66</v>
      </c>
      <c r="BM541" s="75">
        <f t="shared" si="80"/>
        <v>0</v>
      </c>
      <c r="BN541" s="75">
        <f t="shared" si="81"/>
        <v>0</v>
      </c>
      <c r="BO541" s="75">
        <f t="shared" si="82"/>
        <v>0</v>
      </c>
      <c r="BP541" s="75">
        <f t="shared" si="83"/>
        <v>0</v>
      </c>
    </row>
    <row r="542" spans="1:68" ht="27" customHeight="1" x14ac:dyDescent="0.25">
      <c r="A542" s="60" t="s">
        <v>874</v>
      </c>
      <c r="B542" s="60" t="s">
        <v>875</v>
      </c>
      <c r="C542" s="34">
        <v>4301011551</v>
      </c>
      <c r="D542" s="681">
        <v>4640242180038</v>
      </c>
      <c r="E542" s="681"/>
      <c r="F542" s="59">
        <v>0.4</v>
      </c>
      <c r="G542" s="35">
        <v>10</v>
      </c>
      <c r="H542" s="59">
        <v>4</v>
      </c>
      <c r="I542" s="59">
        <v>4.21</v>
      </c>
      <c r="J542" s="35">
        <v>132</v>
      </c>
      <c r="K542" s="35" t="s">
        <v>118</v>
      </c>
      <c r="L542" s="35" t="s">
        <v>45</v>
      </c>
      <c r="M542" s="36" t="s">
        <v>113</v>
      </c>
      <c r="N542" s="36"/>
      <c r="O542" s="35">
        <v>50</v>
      </c>
      <c r="P542" s="709" t="s">
        <v>876</v>
      </c>
      <c r="Q542" s="683"/>
      <c r="R542" s="683"/>
      <c r="S542" s="683"/>
      <c r="T542" s="684"/>
      <c r="U542" s="37" t="s">
        <v>45</v>
      </c>
      <c r="V542" s="37" t="s">
        <v>45</v>
      </c>
      <c r="W542" s="38" t="s">
        <v>0</v>
      </c>
      <c r="X542" s="56">
        <v>0</v>
      </c>
      <c r="Y542" s="53">
        <f t="shared" si="79"/>
        <v>0</v>
      </c>
      <c r="Z542" s="39" t="str">
        <f>IFERROR(IF(Y542=0,"",ROUNDUP(Y542/H542,0)*0.00902),"")</f>
        <v/>
      </c>
      <c r="AA542" s="65" t="s">
        <v>45</v>
      </c>
      <c r="AB542" s="66" t="s">
        <v>45</v>
      </c>
      <c r="AC542" s="617" t="s">
        <v>869</v>
      </c>
      <c r="AG542" s="75"/>
      <c r="AJ542" s="79" t="s">
        <v>45</v>
      </c>
      <c r="AK542" s="79">
        <v>0</v>
      </c>
      <c r="BB542" s="618" t="s">
        <v>66</v>
      </c>
      <c r="BM542" s="75">
        <f t="shared" si="80"/>
        <v>0</v>
      </c>
      <c r="BN542" s="75">
        <f t="shared" si="81"/>
        <v>0</v>
      </c>
      <c r="BO542" s="75">
        <f t="shared" si="82"/>
        <v>0</v>
      </c>
      <c r="BP542" s="75">
        <f t="shared" si="83"/>
        <v>0</v>
      </c>
    </row>
    <row r="543" spans="1:68" ht="27" customHeight="1" x14ac:dyDescent="0.25">
      <c r="A543" s="60" t="s">
        <v>877</v>
      </c>
      <c r="B543" s="60" t="s">
        <v>878</v>
      </c>
      <c r="C543" s="34">
        <v>4301011765</v>
      </c>
      <c r="D543" s="681">
        <v>4640242181172</v>
      </c>
      <c r="E543" s="681"/>
      <c r="F543" s="59">
        <v>0.4</v>
      </c>
      <c r="G543" s="35">
        <v>10</v>
      </c>
      <c r="H543" s="59">
        <v>4</v>
      </c>
      <c r="I543" s="59">
        <v>4.21</v>
      </c>
      <c r="J543" s="35">
        <v>132</v>
      </c>
      <c r="K543" s="35" t="s">
        <v>118</v>
      </c>
      <c r="L543" s="35" t="s">
        <v>45</v>
      </c>
      <c r="M543" s="36" t="s">
        <v>113</v>
      </c>
      <c r="N543" s="36"/>
      <c r="O543" s="35">
        <v>55</v>
      </c>
      <c r="P543" s="710" t="s">
        <v>879</v>
      </c>
      <c r="Q543" s="683"/>
      <c r="R543" s="683"/>
      <c r="S543" s="683"/>
      <c r="T543" s="684"/>
      <c r="U543" s="37" t="s">
        <v>45</v>
      </c>
      <c r="V543" s="37" t="s">
        <v>45</v>
      </c>
      <c r="W543" s="38" t="s">
        <v>0</v>
      </c>
      <c r="X543" s="56">
        <v>0</v>
      </c>
      <c r="Y543" s="53">
        <f t="shared" si="79"/>
        <v>0</v>
      </c>
      <c r="Z543" s="39" t="str">
        <f>IFERROR(IF(Y543=0,"",ROUNDUP(Y543/H543,0)*0.00902),"")</f>
        <v/>
      </c>
      <c r="AA543" s="65" t="s">
        <v>45</v>
      </c>
      <c r="AB543" s="66" t="s">
        <v>45</v>
      </c>
      <c r="AC543" s="619" t="s">
        <v>873</v>
      </c>
      <c r="AG543" s="75"/>
      <c r="AJ543" s="79" t="s">
        <v>45</v>
      </c>
      <c r="AK543" s="79">
        <v>0</v>
      </c>
      <c r="BB543" s="620" t="s">
        <v>66</v>
      </c>
      <c r="BM543" s="75">
        <f t="shared" si="80"/>
        <v>0</v>
      </c>
      <c r="BN543" s="75">
        <f t="shared" si="81"/>
        <v>0</v>
      </c>
      <c r="BO543" s="75">
        <f t="shared" si="82"/>
        <v>0</v>
      </c>
      <c r="BP543" s="75">
        <f t="shared" si="83"/>
        <v>0</v>
      </c>
    </row>
    <row r="544" spans="1:68" x14ac:dyDescent="0.2">
      <c r="A544" s="675"/>
      <c r="B544" s="675"/>
      <c r="C544" s="675"/>
      <c r="D544" s="675"/>
      <c r="E544" s="675"/>
      <c r="F544" s="675"/>
      <c r="G544" s="675"/>
      <c r="H544" s="675"/>
      <c r="I544" s="675"/>
      <c r="J544" s="675"/>
      <c r="K544" s="675"/>
      <c r="L544" s="675"/>
      <c r="M544" s="675"/>
      <c r="N544" s="675"/>
      <c r="O544" s="688"/>
      <c r="P544" s="685" t="s">
        <v>40</v>
      </c>
      <c r="Q544" s="686"/>
      <c r="R544" s="686"/>
      <c r="S544" s="686"/>
      <c r="T544" s="686"/>
      <c r="U544" s="686"/>
      <c r="V544" s="687"/>
      <c r="W544" s="40" t="s">
        <v>39</v>
      </c>
      <c r="X544" s="41">
        <f>IFERROR(X538/H538,"0")+IFERROR(X539/H539,"0")+IFERROR(X540/H540,"0")+IFERROR(X541/H541,"0")+IFERROR(X542/H542,"0")+IFERROR(X543/H543,"0")</f>
        <v>6.666666666666667</v>
      </c>
      <c r="Y544" s="41">
        <f>IFERROR(Y538/H538,"0")+IFERROR(Y539/H539,"0")+IFERROR(Y540/H540,"0")+IFERROR(Y541/H541,"0")+IFERROR(Y542/H542,"0")+IFERROR(Y543/H543,"0")</f>
        <v>7</v>
      </c>
      <c r="Z544" s="41">
        <f>IFERROR(IF(Z538="",0,Z538),"0")+IFERROR(IF(Z539="",0,Z539),"0")+IFERROR(IF(Z540="",0,Z540),"0")+IFERROR(IF(Z541="",0,Z541),"0")+IFERROR(IF(Z542="",0,Z542),"0")+IFERROR(IF(Z543="",0,Z543),"0")</f>
        <v>0.13286000000000001</v>
      </c>
      <c r="AA544" s="64"/>
      <c r="AB544" s="64"/>
      <c r="AC544" s="64"/>
    </row>
    <row r="545" spans="1:68" x14ac:dyDescent="0.2">
      <c r="A545" s="675"/>
      <c r="B545" s="675"/>
      <c r="C545" s="675"/>
      <c r="D545" s="675"/>
      <c r="E545" s="675"/>
      <c r="F545" s="675"/>
      <c r="G545" s="675"/>
      <c r="H545" s="675"/>
      <c r="I545" s="675"/>
      <c r="J545" s="675"/>
      <c r="K545" s="675"/>
      <c r="L545" s="675"/>
      <c r="M545" s="675"/>
      <c r="N545" s="675"/>
      <c r="O545" s="688"/>
      <c r="P545" s="685" t="s">
        <v>40</v>
      </c>
      <c r="Q545" s="686"/>
      <c r="R545" s="686"/>
      <c r="S545" s="686"/>
      <c r="T545" s="686"/>
      <c r="U545" s="686"/>
      <c r="V545" s="687"/>
      <c r="W545" s="40" t="s">
        <v>0</v>
      </c>
      <c r="X545" s="41">
        <f>IFERROR(SUM(X538:X543),"0")</f>
        <v>80</v>
      </c>
      <c r="Y545" s="41">
        <f>IFERROR(SUM(Y538:Y543),"0")</f>
        <v>84</v>
      </c>
      <c r="Z545" s="40"/>
      <c r="AA545" s="64"/>
      <c r="AB545" s="64"/>
      <c r="AC545" s="64"/>
    </row>
    <row r="546" spans="1:68" ht="14.25" customHeight="1" x14ac:dyDescent="0.25">
      <c r="A546" s="680" t="s">
        <v>149</v>
      </c>
      <c r="B546" s="680"/>
      <c r="C546" s="680"/>
      <c r="D546" s="680"/>
      <c r="E546" s="680"/>
      <c r="F546" s="680"/>
      <c r="G546" s="680"/>
      <c r="H546" s="680"/>
      <c r="I546" s="680"/>
      <c r="J546" s="680"/>
      <c r="K546" s="680"/>
      <c r="L546" s="680"/>
      <c r="M546" s="680"/>
      <c r="N546" s="680"/>
      <c r="O546" s="680"/>
      <c r="P546" s="680"/>
      <c r="Q546" s="680"/>
      <c r="R546" s="680"/>
      <c r="S546" s="680"/>
      <c r="T546" s="680"/>
      <c r="U546" s="680"/>
      <c r="V546" s="680"/>
      <c r="W546" s="680"/>
      <c r="X546" s="680"/>
      <c r="Y546" s="680"/>
      <c r="Z546" s="680"/>
      <c r="AA546" s="63"/>
      <c r="AB546" s="63"/>
      <c r="AC546" s="63"/>
    </row>
    <row r="547" spans="1:68" ht="27" customHeight="1" x14ac:dyDescent="0.25">
      <c r="A547" s="60" t="s">
        <v>880</v>
      </c>
      <c r="B547" s="60" t="s">
        <v>881</v>
      </c>
      <c r="C547" s="34">
        <v>4301020269</v>
      </c>
      <c r="D547" s="681">
        <v>4640242180519</v>
      </c>
      <c r="E547" s="681"/>
      <c r="F547" s="59">
        <v>1.35</v>
      </c>
      <c r="G547" s="35">
        <v>8</v>
      </c>
      <c r="H547" s="59">
        <v>10.8</v>
      </c>
      <c r="I547" s="59">
        <v>11.234999999999999</v>
      </c>
      <c r="J547" s="35">
        <v>64</v>
      </c>
      <c r="K547" s="35" t="s">
        <v>114</v>
      </c>
      <c r="L547" s="35" t="s">
        <v>45</v>
      </c>
      <c r="M547" s="36" t="s">
        <v>117</v>
      </c>
      <c r="N547" s="36"/>
      <c r="O547" s="35">
        <v>50</v>
      </c>
      <c r="P547" s="711" t="s">
        <v>882</v>
      </c>
      <c r="Q547" s="683"/>
      <c r="R547" s="683"/>
      <c r="S547" s="683"/>
      <c r="T547" s="684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45</v>
      </c>
      <c r="AB547" s="66" t="s">
        <v>45</v>
      </c>
      <c r="AC547" s="621" t="s">
        <v>883</v>
      </c>
      <c r="AG547" s="75"/>
      <c r="AJ547" s="79" t="s">
        <v>45</v>
      </c>
      <c r="AK547" s="79">
        <v>0</v>
      </c>
      <c r="BB547" s="62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customHeight="1" x14ac:dyDescent="0.25">
      <c r="A548" s="60" t="s">
        <v>880</v>
      </c>
      <c r="B548" s="60" t="s">
        <v>884</v>
      </c>
      <c r="C548" s="34">
        <v>4301020400</v>
      </c>
      <c r="D548" s="681">
        <v>4640242180519</v>
      </c>
      <c r="E548" s="681"/>
      <c r="F548" s="59">
        <v>1.5</v>
      </c>
      <c r="G548" s="35">
        <v>8</v>
      </c>
      <c r="H548" s="59">
        <v>12</v>
      </c>
      <c r="I548" s="59">
        <v>12.435</v>
      </c>
      <c r="J548" s="35">
        <v>64</v>
      </c>
      <c r="K548" s="35" t="s">
        <v>114</v>
      </c>
      <c r="L548" s="35" t="s">
        <v>45</v>
      </c>
      <c r="M548" s="36" t="s">
        <v>113</v>
      </c>
      <c r="N548" s="36"/>
      <c r="O548" s="35">
        <v>50</v>
      </c>
      <c r="P548" s="712" t="s">
        <v>885</v>
      </c>
      <c r="Q548" s="683"/>
      <c r="R548" s="683"/>
      <c r="S548" s="683"/>
      <c r="T548" s="684"/>
      <c r="U548" s="37" t="s">
        <v>45</v>
      </c>
      <c r="V548" s="37" t="s">
        <v>45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45</v>
      </c>
      <c r="AB548" s="66" t="s">
        <v>45</v>
      </c>
      <c r="AC548" s="623" t="s">
        <v>886</v>
      </c>
      <c r="AG548" s="75"/>
      <c r="AJ548" s="79" t="s">
        <v>45</v>
      </c>
      <c r="AK548" s="79">
        <v>0</v>
      </c>
      <c r="BB548" s="624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customHeight="1" x14ac:dyDescent="0.25">
      <c r="A549" s="60" t="s">
        <v>887</v>
      </c>
      <c r="B549" s="60" t="s">
        <v>888</v>
      </c>
      <c r="C549" s="34">
        <v>4301020260</v>
      </c>
      <c r="D549" s="681">
        <v>4640242180526</v>
      </c>
      <c r="E549" s="681"/>
      <c r="F549" s="59">
        <v>1.8</v>
      </c>
      <c r="G549" s="35">
        <v>6</v>
      </c>
      <c r="H549" s="59">
        <v>10.8</v>
      </c>
      <c r="I549" s="59">
        <v>11.234999999999999</v>
      </c>
      <c r="J549" s="35">
        <v>64</v>
      </c>
      <c r="K549" s="35" t="s">
        <v>114</v>
      </c>
      <c r="L549" s="35" t="s">
        <v>45</v>
      </c>
      <c r="M549" s="36" t="s">
        <v>113</v>
      </c>
      <c r="N549" s="36"/>
      <c r="O549" s="35">
        <v>50</v>
      </c>
      <c r="P549" s="713" t="s">
        <v>889</v>
      </c>
      <c r="Q549" s="683"/>
      <c r="R549" s="683"/>
      <c r="S549" s="683"/>
      <c r="T549" s="684"/>
      <c r="U549" s="37" t="s">
        <v>45</v>
      </c>
      <c r="V549" s="37" t="s">
        <v>45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45</v>
      </c>
      <c r="AB549" s="66" t="s">
        <v>45</v>
      </c>
      <c r="AC549" s="625" t="s">
        <v>883</v>
      </c>
      <c r="AG549" s="75"/>
      <c r="AJ549" s="79" t="s">
        <v>45</v>
      </c>
      <c r="AK549" s="79">
        <v>0</v>
      </c>
      <c r="BB549" s="626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t="27" customHeight="1" x14ac:dyDescent="0.25">
      <c r="A550" s="60" t="s">
        <v>890</v>
      </c>
      <c r="B550" s="60" t="s">
        <v>891</v>
      </c>
      <c r="C550" s="34">
        <v>4301020309</v>
      </c>
      <c r="D550" s="681">
        <v>4640242180090</v>
      </c>
      <c r="E550" s="681"/>
      <c r="F550" s="59">
        <v>1.35</v>
      </c>
      <c r="G550" s="35">
        <v>8</v>
      </c>
      <c r="H550" s="59">
        <v>10.8</v>
      </c>
      <c r="I550" s="59">
        <v>11.234999999999999</v>
      </c>
      <c r="J550" s="35">
        <v>64</v>
      </c>
      <c r="K550" s="35" t="s">
        <v>114</v>
      </c>
      <c r="L550" s="35" t="s">
        <v>45</v>
      </c>
      <c r="M550" s="36" t="s">
        <v>113</v>
      </c>
      <c r="N550" s="36"/>
      <c r="O550" s="35">
        <v>50</v>
      </c>
      <c r="P550" s="714" t="s">
        <v>892</v>
      </c>
      <c r="Q550" s="683"/>
      <c r="R550" s="683"/>
      <c r="S550" s="683"/>
      <c r="T550" s="684"/>
      <c r="U550" s="37" t="s">
        <v>45</v>
      </c>
      <c r="V550" s="37" t="s">
        <v>45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45</v>
      </c>
      <c r="AB550" s="66" t="s">
        <v>45</v>
      </c>
      <c r="AC550" s="627" t="s">
        <v>893</v>
      </c>
      <c r="AG550" s="75"/>
      <c r="AJ550" s="79" t="s">
        <v>45</v>
      </c>
      <c r="AK550" s="79">
        <v>0</v>
      </c>
      <c r="BB550" s="628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customHeight="1" x14ac:dyDescent="0.25">
      <c r="A551" s="60" t="s">
        <v>894</v>
      </c>
      <c r="B551" s="60" t="s">
        <v>895</v>
      </c>
      <c r="C551" s="34">
        <v>4301020295</v>
      </c>
      <c r="D551" s="681">
        <v>4640242181363</v>
      </c>
      <c r="E551" s="681"/>
      <c r="F551" s="59">
        <v>0.4</v>
      </c>
      <c r="G551" s="35">
        <v>10</v>
      </c>
      <c r="H551" s="59">
        <v>4</v>
      </c>
      <c r="I551" s="59">
        <v>4.21</v>
      </c>
      <c r="J551" s="35">
        <v>132</v>
      </c>
      <c r="K551" s="35" t="s">
        <v>118</v>
      </c>
      <c r="L551" s="35" t="s">
        <v>45</v>
      </c>
      <c r="M551" s="36" t="s">
        <v>113</v>
      </c>
      <c r="N551" s="36"/>
      <c r="O551" s="35">
        <v>50</v>
      </c>
      <c r="P551" s="715" t="s">
        <v>896</v>
      </c>
      <c r="Q551" s="683"/>
      <c r="R551" s="683"/>
      <c r="S551" s="683"/>
      <c r="T551" s="684"/>
      <c r="U551" s="37" t="s">
        <v>45</v>
      </c>
      <c r="V551" s="37" t="s">
        <v>45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893</v>
      </c>
      <c r="AG551" s="75"/>
      <c r="AJ551" s="79" t="s">
        <v>45</v>
      </c>
      <c r="AK551" s="79">
        <v>0</v>
      </c>
      <c r="BB551" s="630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x14ac:dyDescent="0.2">
      <c r="A552" s="675"/>
      <c r="B552" s="675"/>
      <c r="C552" s="675"/>
      <c r="D552" s="675"/>
      <c r="E552" s="675"/>
      <c r="F552" s="675"/>
      <c r="G552" s="675"/>
      <c r="H552" s="675"/>
      <c r="I552" s="675"/>
      <c r="J552" s="675"/>
      <c r="K552" s="675"/>
      <c r="L552" s="675"/>
      <c r="M552" s="675"/>
      <c r="N552" s="675"/>
      <c r="O552" s="688"/>
      <c r="P552" s="685" t="s">
        <v>40</v>
      </c>
      <c r="Q552" s="686"/>
      <c r="R552" s="686"/>
      <c r="S552" s="686"/>
      <c r="T552" s="686"/>
      <c r="U552" s="686"/>
      <c r="V552" s="687"/>
      <c r="W552" s="40" t="s">
        <v>39</v>
      </c>
      <c r="X552" s="41">
        <f>IFERROR(X547/H547,"0")+IFERROR(X548/H548,"0")+IFERROR(X549/H549,"0")+IFERROR(X550/H550,"0")+IFERROR(X551/H551,"0")</f>
        <v>0</v>
      </c>
      <c r="Y552" s="41">
        <f>IFERROR(Y547/H547,"0")+IFERROR(Y548/H548,"0")+IFERROR(Y549/H549,"0")+IFERROR(Y550/H550,"0")+IFERROR(Y551/H551,"0")</f>
        <v>0</v>
      </c>
      <c r="Z552" s="41">
        <f>IFERROR(IF(Z547="",0,Z547),"0")+IFERROR(IF(Z548="",0,Z548),"0")+IFERROR(IF(Z549="",0,Z549),"0")+IFERROR(IF(Z550="",0,Z550),"0")+IFERROR(IF(Z551="",0,Z551),"0")</f>
        <v>0</v>
      </c>
      <c r="AA552" s="64"/>
      <c r="AB552" s="64"/>
      <c r="AC552" s="64"/>
    </row>
    <row r="553" spans="1:68" x14ac:dyDescent="0.2">
      <c r="A553" s="675"/>
      <c r="B553" s="675"/>
      <c r="C553" s="675"/>
      <c r="D553" s="675"/>
      <c r="E553" s="675"/>
      <c r="F553" s="675"/>
      <c r="G553" s="675"/>
      <c r="H553" s="675"/>
      <c r="I553" s="675"/>
      <c r="J553" s="675"/>
      <c r="K553" s="675"/>
      <c r="L553" s="675"/>
      <c r="M553" s="675"/>
      <c r="N553" s="675"/>
      <c r="O553" s="688"/>
      <c r="P553" s="685" t="s">
        <v>40</v>
      </c>
      <c r="Q553" s="686"/>
      <c r="R553" s="686"/>
      <c r="S553" s="686"/>
      <c r="T553" s="686"/>
      <c r="U553" s="686"/>
      <c r="V553" s="687"/>
      <c r="W553" s="40" t="s">
        <v>0</v>
      </c>
      <c r="X553" s="41">
        <f>IFERROR(SUM(X547:X551),"0")</f>
        <v>0</v>
      </c>
      <c r="Y553" s="41">
        <f>IFERROR(SUM(Y547:Y551),"0")</f>
        <v>0</v>
      </c>
      <c r="Z553" s="40"/>
      <c r="AA553" s="64"/>
      <c r="AB553" s="64"/>
      <c r="AC553" s="64"/>
    </row>
    <row r="554" spans="1:68" ht="14.25" customHeight="1" x14ac:dyDescent="0.25">
      <c r="A554" s="680" t="s">
        <v>160</v>
      </c>
      <c r="B554" s="680"/>
      <c r="C554" s="680"/>
      <c r="D554" s="680"/>
      <c r="E554" s="680"/>
      <c r="F554" s="680"/>
      <c r="G554" s="680"/>
      <c r="H554" s="680"/>
      <c r="I554" s="680"/>
      <c r="J554" s="680"/>
      <c r="K554" s="680"/>
      <c r="L554" s="680"/>
      <c r="M554" s="680"/>
      <c r="N554" s="680"/>
      <c r="O554" s="680"/>
      <c r="P554" s="680"/>
      <c r="Q554" s="680"/>
      <c r="R554" s="680"/>
      <c r="S554" s="680"/>
      <c r="T554" s="680"/>
      <c r="U554" s="680"/>
      <c r="V554" s="680"/>
      <c r="W554" s="680"/>
      <c r="X554" s="680"/>
      <c r="Y554" s="680"/>
      <c r="Z554" s="680"/>
      <c r="AA554" s="63"/>
      <c r="AB554" s="63"/>
      <c r="AC554" s="63"/>
    </row>
    <row r="555" spans="1:68" ht="27" customHeight="1" x14ac:dyDescent="0.25">
      <c r="A555" s="60" t="s">
        <v>897</v>
      </c>
      <c r="B555" s="60" t="s">
        <v>898</v>
      </c>
      <c r="C555" s="34">
        <v>4301031280</v>
      </c>
      <c r="D555" s="681">
        <v>4640242180816</v>
      </c>
      <c r="E555" s="681"/>
      <c r="F555" s="59">
        <v>0.7</v>
      </c>
      <c r="G555" s="35">
        <v>6</v>
      </c>
      <c r="H555" s="59">
        <v>4.2</v>
      </c>
      <c r="I555" s="59">
        <v>4.47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40</v>
      </c>
      <c r="P555" s="702" t="s">
        <v>899</v>
      </c>
      <c r="Q555" s="683"/>
      <c r="R555" s="683"/>
      <c r="S555" s="683"/>
      <c r="T555" s="684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ref="Y555:Y561" si="84">IFERROR(IF(X555="",0,CEILING((X555/$H555),1)*$H555),"")</f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1" t="s">
        <v>900</v>
      </c>
      <c r="AG555" s="75"/>
      <c r="AJ555" s="79" t="s">
        <v>45</v>
      </c>
      <c r="AK555" s="79">
        <v>0</v>
      </c>
      <c r="BB555" s="632" t="s">
        <v>66</v>
      </c>
      <c r="BM555" s="75">
        <f t="shared" ref="BM555:BM561" si="85">IFERROR(X555*I555/H555,"0")</f>
        <v>0</v>
      </c>
      <c r="BN555" s="75">
        <f t="shared" ref="BN555:BN561" si="86">IFERROR(Y555*I555/H555,"0")</f>
        <v>0</v>
      </c>
      <c r="BO555" s="75">
        <f t="shared" ref="BO555:BO561" si="87">IFERROR(1/J555*(X555/H555),"0")</f>
        <v>0</v>
      </c>
      <c r="BP555" s="75">
        <f t="shared" ref="BP555:BP561" si="88">IFERROR(1/J555*(Y555/H555),"0")</f>
        <v>0</v>
      </c>
    </row>
    <row r="556" spans="1:68" ht="27" customHeight="1" x14ac:dyDescent="0.25">
      <c r="A556" s="60" t="s">
        <v>901</v>
      </c>
      <c r="B556" s="60" t="s">
        <v>902</v>
      </c>
      <c r="C556" s="34">
        <v>4301031244</v>
      </c>
      <c r="D556" s="681">
        <v>4640242180595</v>
      </c>
      <c r="E556" s="681"/>
      <c r="F556" s="59">
        <v>0.7</v>
      </c>
      <c r="G556" s="35">
        <v>6</v>
      </c>
      <c r="H556" s="59">
        <v>4.2</v>
      </c>
      <c r="I556" s="59">
        <v>4.47</v>
      </c>
      <c r="J556" s="35">
        <v>132</v>
      </c>
      <c r="K556" s="35" t="s">
        <v>118</v>
      </c>
      <c r="L556" s="35" t="s">
        <v>45</v>
      </c>
      <c r="M556" s="36" t="s">
        <v>82</v>
      </c>
      <c r="N556" s="36"/>
      <c r="O556" s="35">
        <v>40</v>
      </c>
      <c r="P556" s="703" t="s">
        <v>903</v>
      </c>
      <c r="Q556" s="683"/>
      <c r="R556" s="683"/>
      <c r="S556" s="683"/>
      <c r="T556" s="684"/>
      <c r="U556" s="37" t="s">
        <v>45</v>
      </c>
      <c r="V556" s="37" t="s">
        <v>45</v>
      </c>
      <c r="W556" s="38" t="s">
        <v>0</v>
      </c>
      <c r="X556" s="56">
        <v>600</v>
      </c>
      <c r="Y556" s="53">
        <f t="shared" si="84"/>
        <v>600.6</v>
      </c>
      <c r="Z556" s="39">
        <f>IFERROR(IF(Y556=0,"",ROUNDUP(Y556/H556,0)*0.00902),"")</f>
        <v>1.28986</v>
      </c>
      <c r="AA556" s="65" t="s">
        <v>45</v>
      </c>
      <c r="AB556" s="66" t="s">
        <v>45</v>
      </c>
      <c r="AC556" s="633" t="s">
        <v>904</v>
      </c>
      <c r="AG556" s="75"/>
      <c r="AJ556" s="79" t="s">
        <v>45</v>
      </c>
      <c r="AK556" s="79">
        <v>0</v>
      </c>
      <c r="BB556" s="634" t="s">
        <v>66</v>
      </c>
      <c r="BM556" s="75">
        <f t="shared" si="85"/>
        <v>638.57142857142856</v>
      </c>
      <c r="BN556" s="75">
        <f t="shared" si="86"/>
        <v>639.20999999999992</v>
      </c>
      <c r="BO556" s="75">
        <f t="shared" si="87"/>
        <v>1.0822510822510822</v>
      </c>
      <c r="BP556" s="75">
        <f t="shared" si="88"/>
        <v>1.0833333333333333</v>
      </c>
    </row>
    <row r="557" spans="1:68" ht="27" customHeight="1" x14ac:dyDescent="0.25">
      <c r="A557" s="60" t="s">
        <v>905</v>
      </c>
      <c r="B557" s="60" t="s">
        <v>906</v>
      </c>
      <c r="C557" s="34">
        <v>4301031289</v>
      </c>
      <c r="D557" s="681">
        <v>4640242181615</v>
      </c>
      <c r="E557" s="681"/>
      <c r="F557" s="59">
        <v>0.7</v>
      </c>
      <c r="G557" s="35">
        <v>6</v>
      </c>
      <c r="H557" s="59">
        <v>4.2</v>
      </c>
      <c r="I557" s="59">
        <v>4.41</v>
      </c>
      <c r="J557" s="35">
        <v>132</v>
      </c>
      <c r="K557" s="35" t="s">
        <v>118</v>
      </c>
      <c r="L557" s="35" t="s">
        <v>45</v>
      </c>
      <c r="M557" s="36" t="s">
        <v>82</v>
      </c>
      <c r="N557" s="36"/>
      <c r="O557" s="35">
        <v>45</v>
      </c>
      <c r="P557" s="704" t="s">
        <v>907</v>
      </c>
      <c r="Q557" s="683"/>
      <c r="R557" s="683"/>
      <c r="S557" s="683"/>
      <c r="T557" s="684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4"/>
        <v>0</v>
      </c>
      <c r="Z557" s="39" t="str">
        <f>IFERROR(IF(Y557=0,"",ROUNDUP(Y557/H557,0)*0.00902),"")</f>
        <v/>
      </c>
      <c r="AA557" s="65" t="s">
        <v>45</v>
      </c>
      <c r="AB557" s="66" t="s">
        <v>45</v>
      </c>
      <c r="AC557" s="635" t="s">
        <v>908</v>
      </c>
      <c r="AG557" s="75"/>
      <c r="AJ557" s="79" t="s">
        <v>45</v>
      </c>
      <c r="AK557" s="79">
        <v>0</v>
      </c>
      <c r="BB557" s="636" t="s">
        <v>66</v>
      </c>
      <c r="BM557" s="75">
        <f t="shared" si="85"/>
        <v>0</v>
      </c>
      <c r="BN557" s="75">
        <f t="shared" si="86"/>
        <v>0</v>
      </c>
      <c r="BO557" s="75">
        <f t="shared" si="87"/>
        <v>0</v>
      </c>
      <c r="BP557" s="75">
        <f t="shared" si="88"/>
        <v>0</v>
      </c>
    </row>
    <row r="558" spans="1:68" ht="27" customHeight="1" x14ac:dyDescent="0.25">
      <c r="A558" s="60" t="s">
        <v>909</v>
      </c>
      <c r="B558" s="60" t="s">
        <v>910</v>
      </c>
      <c r="C558" s="34">
        <v>4301031285</v>
      </c>
      <c r="D558" s="681">
        <v>4640242181639</v>
      </c>
      <c r="E558" s="681"/>
      <c r="F558" s="59">
        <v>0.7</v>
      </c>
      <c r="G558" s="35">
        <v>6</v>
      </c>
      <c r="H558" s="59">
        <v>4.2</v>
      </c>
      <c r="I558" s="59">
        <v>4.41</v>
      </c>
      <c r="J558" s="35">
        <v>132</v>
      </c>
      <c r="K558" s="35" t="s">
        <v>118</v>
      </c>
      <c r="L558" s="35" t="s">
        <v>45</v>
      </c>
      <c r="M558" s="36" t="s">
        <v>82</v>
      </c>
      <c r="N558" s="36"/>
      <c r="O558" s="35">
        <v>45</v>
      </c>
      <c r="P558" s="705" t="s">
        <v>911</v>
      </c>
      <c r="Q558" s="683"/>
      <c r="R558" s="683"/>
      <c r="S558" s="683"/>
      <c r="T558" s="684"/>
      <c r="U558" s="37" t="s">
        <v>45</v>
      </c>
      <c r="V558" s="37" t="s">
        <v>45</v>
      </c>
      <c r="W558" s="38" t="s">
        <v>0</v>
      </c>
      <c r="X558" s="56">
        <v>0</v>
      </c>
      <c r="Y558" s="53">
        <f t="shared" si="84"/>
        <v>0</v>
      </c>
      <c r="Z558" s="39" t="str">
        <f>IFERROR(IF(Y558=0,"",ROUNDUP(Y558/H558,0)*0.00902),"")</f>
        <v/>
      </c>
      <c r="AA558" s="65" t="s">
        <v>45</v>
      </c>
      <c r="AB558" s="66" t="s">
        <v>45</v>
      </c>
      <c r="AC558" s="637" t="s">
        <v>912</v>
      </c>
      <c r="AG558" s="75"/>
      <c r="AJ558" s="79" t="s">
        <v>45</v>
      </c>
      <c r="AK558" s="79">
        <v>0</v>
      </c>
      <c r="BB558" s="638" t="s">
        <v>66</v>
      </c>
      <c r="BM558" s="75">
        <f t="shared" si="85"/>
        <v>0</v>
      </c>
      <c r="BN558" s="75">
        <f t="shared" si="86"/>
        <v>0</v>
      </c>
      <c r="BO558" s="75">
        <f t="shared" si="87"/>
        <v>0</v>
      </c>
      <c r="BP558" s="75">
        <f t="shared" si="88"/>
        <v>0</v>
      </c>
    </row>
    <row r="559" spans="1:68" ht="27" customHeight="1" x14ac:dyDescent="0.25">
      <c r="A559" s="60" t="s">
        <v>913</v>
      </c>
      <c r="B559" s="60" t="s">
        <v>914</v>
      </c>
      <c r="C559" s="34">
        <v>4301031287</v>
      </c>
      <c r="D559" s="681">
        <v>4640242181622</v>
      </c>
      <c r="E559" s="681"/>
      <c r="F559" s="59">
        <v>0.7</v>
      </c>
      <c r="G559" s="35">
        <v>6</v>
      </c>
      <c r="H559" s="59">
        <v>4.2</v>
      </c>
      <c r="I559" s="59">
        <v>4.41</v>
      </c>
      <c r="J559" s="35">
        <v>132</v>
      </c>
      <c r="K559" s="35" t="s">
        <v>118</v>
      </c>
      <c r="L559" s="35" t="s">
        <v>45</v>
      </c>
      <c r="M559" s="36" t="s">
        <v>82</v>
      </c>
      <c r="N559" s="36"/>
      <c r="O559" s="35">
        <v>45</v>
      </c>
      <c r="P559" s="706" t="s">
        <v>915</v>
      </c>
      <c r="Q559" s="683"/>
      <c r="R559" s="683"/>
      <c r="S559" s="683"/>
      <c r="T559" s="684"/>
      <c r="U559" s="37" t="s">
        <v>45</v>
      </c>
      <c r="V559" s="37" t="s">
        <v>45</v>
      </c>
      <c r="W559" s="38" t="s">
        <v>0</v>
      </c>
      <c r="X559" s="56">
        <v>0</v>
      </c>
      <c r="Y559" s="53">
        <f t="shared" si="84"/>
        <v>0</v>
      </c>
      <c r="Z559" s="39" t="str">
        <f>IFERROR(IF(Y559=0,"",ROUNDUP(Y559/H559,0)*0.00902),"")</f>
        <v/>
      </c>
      <c r="AA559" s="65" t="s">
        <v>45</v>
      </c>
      <c r="AB559" s="66" t="s">
        <v>45</v>
      </c>
      <c r="AC559" s="639" t="s">
        <v>916</v>
      </c>
      <c r="AG559" s="75"/>
      <c r="AJ559" s="79" t="s">
        <v>45</v>
      </c>
      <c r="AK559" s="79">
        <v>0</v>
      </c>
      <c r="BB559" s="640" t="s">
        <v>66</v>
      </c>
      <c r="BM559" s="75">
        <f t="shared" si="85"/>
        <v>0</v>
      </c>
      <c r="BN559" s="75">
        <f t="shared" si="86"/>
        <v>0</v>
      </c>
      <c r="BO559" s="75">
        <f t="shared" si="87"/>
        <v>0</v>
      </c>
      <c r="BP559" s="75">
        <f t="shared" si="88"/>
        <v>0</v>
      </c>
    </row>
    <row r="560" spans="1:68" ht="27" customHeight="1" x14ac:dyDescent="0.25">
      <c r="A560" s="60" t="s">
        <v>917</v>
      </c>
      <c r="B560" s="60" t="s">
        <v>918</v>
      </c>
      <c r="C560" s="34">
        <v>4301031203</v>
      </c>
      <c r="D560" s="681">
        <v>4640242180908</v>
      </c>
      <c r="E560" s="681"/>
      <c r="F560" s="59">
        <v>0.28000000000000003</v>
      </c>
      <c r="G560" s="35">
        <v>6</v>
      </c>
      <c r="H560" s="59">
        <v>1.68</v>
      </c>
      <c r="I560" s="59">
        <v>1.81</v>
      </c>
      <c r="J560" s="35">
        <v>234</v>
      </c>
      <c r="K560" s="35" t="s">
        <v>164</v>
      </c>
      <c r="L560" s="35" t="s">
        <v>45</v>
      </c>
      <c r="M560" s="36" t="s">
        <v>82</v>
      </c>
      <c r="N560" s="36"/>
      <c r="O560" s="35">
        <v>40</v>
      </c>
      <c r="P560" s="707" t="s">
        <v>919</v>
      </c>
      <c r="Q560" s="683"/>
      <c r="R560" s="683"/>
      <c r="S560" s="683"/>
      <c r="T560" s="684"/>
      <c r="U560" s="37" t="s">
        <v>45</v>
      </c>
      <c r="V560" s="37" t="s">
        <v>45</v>
      </c>
      <c r="W560" s="38" t="s">
        <v>0</v>
      </c>
      <c r="X560" s="56">
        <v>0</v>
      </c>
      <c r="Y560" s="53">
        <f t="shared" si="84"/>
        <v>0</v>
      </c>
      <c r="Z560" s="39" t="str">
        <f>IFERROR(IF(Y560=0,"",ROUNDUP(Y560/H560,0)*0.00502),"")</f>
        <v/>
      </c>
      <c r="AA560" s="65" t="s">
        <v>45</v>
      </c>
      <c r="AB560" s="66" t="s">
        <v>45</v>
      </c>
      <c r="AC560" s="641" t="s">
        <v>900</v>
      </c>
      <c r="AG560" s="75"/>
      <c r="AJ560" s="79" t="s">
        <v>45</v>
      </c>
      <c r="AK560" s="79">
        <v>0</v>
      </c>
      <c r="BB560" s="642" t="s">
        <v>66</v>
      </c>
      <c r="BM560" s="75">
        <f t="shared" si="85"/>
        <v>0</v>
      </c>
      <c r="BN560" s="75">
        <f t="shared" si="86"/>
        <v>0</v>
      </c>
      <c r="BO560" s="75">
        <f t="shared" si="87"/>
        <v>0</v>
      </c>
      <c r="BP560" s="75">
        <f t="shared" si="88"/>
        <v>0</v>
      </c>
    </row>
    <row r="561" spans="1:68" ht="27" customHeight="1" x14ac:dyDescent="0.25">
      <c r="A561" s="60" t="s">
        <v>920</v>
      </c>
      <c r="B561" s="60" t="s">
        <v>921</v>
      </c>
      <c r="C561" s="34">
        <v>4301031200</v>
      </c>
      <c r="D561" s="681">
        <v>4640242180489</v>
      </c>
      <c r="E561" s="681"/>
      <c r="F561" s="59">
        <v>0.28000000000000003</v>
      </c>
      <c r="G561" s="35">
        <v>6</v>
      </c>
      <c r="H561" s="59">
        <v>1.68</v>
      </c>
      <c r="I561" s="59">
        <v>1.84</v>
      </c>
      <c r="J561" s="35">
        <v>234</v>
      </c>
      <c r="K561" s="35" t="s">
        <v>164</v>
      </c>
      <c r="L561" s="35" t="s">
        <v>45</v>
      </c>
      <c r="M561" s="36" t="s">
        <v>82</v>
      </c>
      <c r="N561" s="36"/>
      <c r="O561" s="35">
        <v>40</v>
      </c>
      <c r="P561" s="708" t="s">
        <v>922</v>
      </c>
      <c r="Q561" s="683"/>
      <c r="R561" s="683"/>
      <c r="S561" s="683"/>
      <c r="T561" s="684"/>
      <c r="U561" s="37" t="s">
        <v>45</v>
      </c>
      <c r="V561" s="37" t="s">
        <v>45</v>
      </c>
      <c r="W561" s="38" t="s">
        <v>0</v>
      </c>
      <c r="X561" s="56">
        <v>0</v>
      </c>
      <c r="Y561" s="53">
        <f t="shared" si="84"/>
        <v>0</v>
      </c>
      <c r="Z561" s="39" t="str">
        <f>IFERROR(IF(Y561=0,"",ROUNDUP(Y561/H561,0)*0.00502),"")</f>
        <v/>
      </c>
      <c r="AA561" s="65" t="s">
        <v>45</v>
      </c>
      <c r="AB561" s="66" t="s">
        <v>45</v>
      </c>
      <c r="AC561" s="643" t="s">
        <v>904</v>
      </c>
      <c r="AG561" s="75"/>
      <c r="AJ561" s="79" t="s">
        <v>45</v>
      </c>
      <c r="AK561" s="79">
        <v>0</v>
      </c>
      <c r="BB561" s="644" t="s">
        <v>66</v>
      </c>
      <c r="BM561" s="75">
        <f t="shared" si="85"/>
        <v>0</v>
      </c>
      <c r="BN561" s="75">
        <f t="shared" si="86"/>
        <v>0</v>
      </c>
      <c r="BO561" s="75">
        <f t="shared" si="87"/>
        <v>0</v>
      </c>
      <c r="BP561" s="75">
        <f t="shared" si="88"/>
        <v>0</v>
      </c>
    </row>
    <row r="562" spans="1:68" x14ac:dyDescent="0.2">
      <c r="A562" s="675"/>
      <c r="B562" s="675"/>
      <c r="C562" s="675"/>
      <c r="D562" s="675"/>
      <c r="E562" s="675"/>
      <c r="F562" s="675"/>
      <c r="G562" s="675"/>
      <c r="H562" s="675"/>
      <c r="I562" s="675"/>
      <c r="J562" s="675"/>
      <c r="K562" s="675"/>
      <c r="L562" s="675"/>
      <c r="M562" s="675"/>
      <c r="N562" s="675"/>
      <c r="O562" s="688"/>
      <c r="P562" s="685" t="s">
        <v>40</v>
      </c>
      <c r="Q562" s="686"/>
      <c r="R562" s="686"/>
      <c r="S562" s="686"/>
      <c r="T562" s="686"/>
      <c r="U562" s="686"/>
      <c r="V562" s="687"/>
      <c r="W562" s="40" t="s">
        <v>39</v>
      </c>
      <c r="X562" s="41">
        <f>IFERROR(X555/H555,"0")+IFERROR(X556/H556,"0")+IFERROR(X557/H557,"0")+IFERROR(X558/H558,"0")+IFERROR(X559/H559,"0")+IFERROR(X560/H560,"0")+IFERROR(X561/H561,"0")</f>
        <v>142.85714285714286</v>
      </c>
      <c r="Y562" s="41">
        <f>IFERROR(Y555/H555,"0")+IFERROR(Y556/H556,"0")+IFERROR(Y557/H557,"0")+IFERROR(Y558/H558,"0")+IFERROR(Y559/H559,"0")+IFERROR(Y560/H560,"0")+IFERROR(Y561/H561,"0")</f>
        <v>143</v>
      </c>
      <c r="Z562" s="41">
        <f>IFERROR(IF(Z555="",0,Z555),"0")+IFERROR(IF(Z556="",0,Z556),"0")+IFERROR(IF(Z557="",0,Z557),"0")+IFERROR(IF(Z558="",0,Z558),"0")+IFERROR(IF(Z559="",0,Z559),"0")+IFERROR(IF(Z560="",0,Z560),"0")+IFERROR(IF(Z561="",0,Z561),"0")</f>
        <v>1.28986</v>
      </c>
      <c r="AA562" s="64"/>
      <c r="AB562" s="64"/>
      <c r="AC562" s="64"/>
    </row>
    <row r="563" spans="1:68" x14ac:dyDescent="0.2">
      <c r="A563" s="675"/>
      <c r="B563" s="675"/>
      <c r="C563" s="675"/>
      <c r="D563" s="675"/>
      <c r="E563" s="675"/>
      <c r="F563" s="675"/>
      <c r="G563" s="675"/>
      <c r="H563" s="675"/>
      <c r="I563" s="675"/>
      <c r="J563" s="675"/>
      <c r="K563" s="675"/>
      <c r="L563" s="675"/>
      <c r="M563" s="675"/>
      <c r="N563" s="675"/>
      <c r="O563" s="688"/>
      <c r="P563" s="685" t="s">
        <v>40</v>
      </c>
      <c r="Q563" s="686"/>
      <c r="R563" s="686"/>
      <c r="S563" s="686"/>
      <c r="T563" s="686"/>
      <c r="U563" s="686"/>
      <c r="V563" s="687"/>
      <c r="W563" s="40" t="s">
        <v>0</v>
      </c>
      <c r="X563" s="41">
        <f>IFERROR(SUM(X555:X561),"0")</f>
        <v>600</v>
      </c>
      <c r="Y563" s="41">
        <f>IFERROR(SUM(Y555:Y561),"0")</f>
        <v>600.6</v>
      </c>
      <c r="Z563" s="40"/>
      <c r="AA563" s="64"/>
      <c r="AB563" s="64"/>
      <c r="AC563" s="64"/>
    </row>
    <row r="564" spans="1:68" ht="14.25" customHeight="1" x14ac:dyDescent="0.25">
      <c r="A564" s="680" t="s">
        <v>78</v>
      </c>
      <c r="B564" s="680"/>
      <c r="C564" s="680"/>
      <c r="D564" s="680"/>
      <c r="E564" s="680"/>
      <c r="F564" s="680"/>
      <c r="G564" s="680"/>
      <c r="H564" s="680"/>
      <c r="I564" s="680"/>
      <c r="J564" s="680"/>
      <c r="K564" s="680"/>
      <c r="L564" s="680"/>
      <c r="M564" s="680"/>
      <c r="N564" s="680"/>
      <c r="O564" s="680"/>
      <c r="P564" s="680"/>
      <c r="Q564" s="680"/>
      <c r="R564" s="680"/>
      <c r="S564" s="680"/>
      <c r="T564" s="680"/>
      <c r="U564" s="680"/>
      <c r="V564" s="680"/>
      <c r="W564" s="680"/>
      <c r="X564" s="680"/>
      <c r="Y564" s="680"/>
      <c r="Z564" s="680"/>
      <c r="AA564" s="63"/>
      <c r="AB564" s="63"/>
      <c r="AC564" s="63"/>
    </row>
    <row r="565" spans="1:68" ht="27" customHeight="1" x14ac:dyDescent="0.25">
      <c r="A565" s="60" t="s">
        <v>923</v>
      </c>
      <c r="B565" s="60" t="s">
        <v>924</v>
      </c>
      <c r="C565" s="34">
        <v>4301051887</v>
      </c>
      <c r="D565" s="681">
        <v>4640242180533</v>
      </c>
      <c r="E565" s="681"/>
      <c r="F565" s="59">
        <v>1.3</v>
      </c>
      <c r="G565" s="35">
        <v>6</v>
      </c>
      <c r="H565" s="59">
        <v>7.8</v>
      </c>
      <c r="I565" s="59">
        <v>8.3190000000000008</v>
      </c>
      <c r="J565" s="35">
        <v>64</v>
      </c>
      <c r="K565" s="35" t="s">
        <v>114</v>
      </c>
      <c r="L565" s="35" t="s">
        <v>45</v>
      </c>
      <c r="M565" s="36" t="s">
        <v>117</v>
      </c>
      <c r="N565" s="36"/>
      <c r="O565" s="35">
        <v>45</v>
      </c>
      <c r="P565" s="697" t="s">
        <v>925</v>
      </c>
      <c r="Q565" s="683"/>
      <c r="R565" s="683"/>
      <c r="S565" s="683"/>
      <c r="T565" s="684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IFERROR(IF(Y565=0,"",ROUNDUP(Y565/H565,0)*0.01898),"")</f>
        <v/>
      </c>
      <c r="AA565" s="65" t="s">
        <v>45</v>
      </c>
      <c r="AB565" s="66" t="s">
        <v>45</v>
      </c>
      <c r="AC565" s="645" t="s">
        <v>926</v>
      </c>
      <c r="AG565" s="75"/>
      <c r="AJ565" s="79" t="s">
        <v>45</v>
      </c>
      <c r="AK565" s="79">
        <v>0</v>
      </c>
      <c r="BB565" s="646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t="27" customHeight="1" x14ac:dyDescent="0.25">
      <c r="A566" s="60" t="s">
        <v>923</v>
      </c>
      <c r="B566" s="60" t="s">
        <v>927</v>
      </c>
      <c r="C566" s="34">
        <v>4301052046</v>
      </c>
      <c r="D566" s="681">
        <v>4640242180533</v>
      </c>
      <c r="E566" s="681"/>
      <c r="F566" s="59">
        <v>1.5</v>
      </c>
      <c r="G566" s="35">
        <v>6</v>
      </c>
      <c r="H566" s="59">
        <v>9</v>
      </c>
      <c r="I566" s="59">
        <v>9.5190000000000001</v>
      </c>
      <c r="J566" s="35">
        <v>64</v>
      </c>
      <c r="K566" s="35" t="s">
        <v>114</v>
      </c>
      <c r="L566" s="35" t="s">
        <v>45</v>
      </c>
      <c r="M566" s="36" t="s">
        <v>146</v>
      </c>
      <c r="N566" s="36"/>
      <c r="O566" s="35">
        <v>45</v>
      </c>
      <c r="P566" s="698" t="s">
        <v>925</v>
      </c>
      <c r="Q566" s="683"/>
      <c r="R566" s="683"/>
      <c r="S566" s="683"/>
      <c r="T566" s="684"/>
      <c r="U566" s="37" t="s">
        <v>45</v>
      </c>
      <c r="V566" s="37" t="s">
        <v>45</v>
      </c>
      <c r="W566" s="38" t="s">
        <v>0</v>
      </c>
      <c r="X566" s="56">
        <v>0</v>
      </c>
      <c r="Y566" s="53">
        <f>IFERROR(IF(X566="",0,CEILING((X566/$H566),1)*$H566),"")</f>
        <v>0</v>
      </c>
      <c r="Z566" s="39" t="str">
        <f>IFERROR(IF(Y566=0,"",ROUNDUP(Y566/H566,0)*0.01898),"")</f>
        <v/>
      </c>
      <c r="AA566" s="65" t="s">
        <v>45</v>
      </c>
      <c r="AB566" s="66" t="s">
        <v>45</v>
      </c>
      <c r="AC566" s="647" t="s">
        <v>926</v>
      </c>
      <c r="AG566" s="75"/>
      <c r="AJ566" s="79" t="s">
        <v>45</v>
      </c>
      <c r="AK566" s="79">
        <v>0</v>
      </c>
      <c r="BB566" s="648" t="s">
        <v>66</v>
      </c>
      <c r="BM566" s="75">
        <f>IFERROR(X566*I566/H566,"0")</f>
        <v>0</v>
      </c>
      <c r="BN566" s="75">
        <f>IFERROR(Y566*I566/H566,"0")</f>
        <v>0</v>
      </c>
      <c r="BO566" s="75">
        <f>IFERROR(1/J566*(X566/H566),"0")</f>
        <v>0</v>
      </c>
      <c r="BP566" s="75">
        <f>IFERROR(1/J566*(Y566/H566),"0")</f>
        <v>0</v>
      </c>
    </row>
    <row r="567" spans="1:68" ht="27" customHeight="1" x14ac:dyDescent="0.25">
      <c r="A567" s="60" t="s">
        <v>928</v>
      </c>
      <c r="B567" s="60" t="s">
        <v>929</v>
      </c>
      <c r="C567" s="34">
        <v>4301051933</v>
      </c>
      <c r="D567" s="681">
        <v>4640242180540</v>
      </c>
      <c r="E567" s="681"/>
      <c r="F567" s="59">
        <v>1.3</v>
      </c>
      <c r="G567" s="35">
        <v>6</v>
      </c>
      <c r="H567" s="59">
        <v>7.8</v>
      </c>
      <c r="I567" s="59">
        <v>8.3190000000000008</v>
      </c>
      <c r="J567" s="35">
        <v>64</v>
      </c>
      <c r="K567" s="35" t="s">
        <v>114</v>
      </c>
      <c r="L567" s="35" t="s">
        <v>45</v>
      </c>
      <c r="M567" s="36" t="s">
        <v>117</v>
      </c>
      <c r="N567" s="36"/>
      <c r="O567" s="35">
        <v>45</v>
      </c>
      <c r="P567" s="699" t="s">
        <v>930</v>
      </c>
      <c r="Q567" s="683"/>
      <c r="R567" s="683"/>
      <c r="S567" s="683"/>
      <c r="T567" s="684"/>
      <c r="U567" s="37" t="s">
        <v>45</v>
      </c>
      <c r="V567" s="37" t="s">
        <v>45</v>
      </c>
      <c r="W567" s="38" t="s">
        <v>0</v>
      </c>
      <c r="X567" s="56">
        <v>0</v>
      </c>
      <c r="Y567" s="53">
        <f>IFERROR(IF(X567="",0,CEILING((X567/$H567),1)*$H567),"")</f>
        <v>0</v>
      </c>
      <c r="Z567" s="39" t="str">
        <f>IFERROR(IF(Y567=0,"",ROUNDUP(Y567/H567,0)*0.01898),"")</f>
        <v/>
      </c>
      <c r="AA567" s="65" t="s">
        <v>45</v>
      </c>
      <c r="AB567" s="66" t="s">
        <v>45</v>
      </c>
      <c r="AC567" s="649" t="s">
        <v>931</v>
      </c>
      <c r="AG567" s="75"/>
      <c r="AJ567" s="79" t="s">
        <v>45</v>
      </c>
      <c r="AK567" s="79">
        <v>0</v>
      </c>
      <c r="BB567" s="650" t="s">
        <v>66</v>
      </c>
      <c r="BM567" s="75">
        <f>IFERROR(X567*I567/H567,"0")</f>
        <v>0</v>
      </c>
      <c r="BN567" s="75">
        <f>IFERROR(Y567*I567/H567,"0")</f>
        <v>0</v>
      </c>
      <c r="BO567" s="75">
        <f>IFERROR(1/J567*(X567/H567),"0")</f>
        <v>0</v>
      </c>
      <c r="BP567" s="75">
        <f>IFERROR(1/J567*(Y567/H567),"0")</f>
        <v>0</v>
      </c>
    </row>
    <row r="568" spans="1:68" ht="27" customHeight="1" x14ac:dyDescent="0.25">
      <c r="A568" s="60" t="s">
        <v>932</v>
      </c>
      <c r="B568" s="60" t="s">
        <v>933</v>
      </c>
      <c r="C568" s="34">
        <v>4301051920</v>
      </c>
      <c r="D568" s="681">
        <v>4640242181233</v>
      </c>
      <c r="E568" s="681"/>
      <c r="F568" s="59">
        <v>0.3</v>
      </c>
      <c r="G568" s="35">
        <v>6</v>
      </c>
      <c r="H568" s="59">
        <v>1.8</v>
      </c>
      <c r="I568" s="59">
        <v>2.0640000000000001</v>
      </c>
      <c r="J568" s="35">
        <v>182</v>
      </c>
      <c r="K568" s="35" t="s">
        <v>83</v>
      </c>
      <c r="L568" s="35" t="s">
        <v>45</v>
      </c>
      <c r="M568" s="36" t="s">
        <v>146</v>
      </c>
      <c r="N568" s="36"/>
      <c r="O568" s="35">
        <v>45</v>
      </c>
      <c r="P568" s="700" t="s">
        <v>934</v>
      </c>
      <c r="Q568" s="683"/>
      <c r="R568" s="683"/>
      <c r="S568" s="683"/>
      <c r="T568" s="684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IFERROR(IF(Y568=0,"",ROUNDUP(Y568/H568,0)*0.00651),"")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935</v>
      </c>
      <c r="B569" s="60" t="s">
        <v>936</v>
      </c>
      <c r="C569" s="34">
        <v>4301051921</v>
      </c>
      <c r="D569" s="681">
        <v>4640242181226</v>
      </c>
      <c r="E569" s="681"/>
      <c r="F569" s="59">
        <v>0.3</v>
      </c>
      <c r="G569" s="35">
        <v>6</v>
      </c>
      <c r="H569" s="59">
        <v>1.8</v>
      </c>
      <c r="I569" s="59">
        <v>2.052</v>
      </c>
      <c r="J569" s="35">
        <v>182</v>
      </c>
      <c r="K569" s="35" t="s">
        <v>83</v>
      </c>
      <c r="L569" s="35" t="s">
        <v>45</v>
      </c>
      <c r="M569" s="36" t="s">
        <v>146</v>
      </c>
      <c r="N569" s="36"/>
      <c r="O569" s="35">
        <v>45</v>
      </c>
      <c r="P569" s="701" t="s">
        <v>937</v>
      </c>
      <c r="Q569" s="683"/>
      <c r="R569" s="683"/>
      <c r="S569" s="683"/>
      <c r="T569" s="684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IFERROR(IF(Y569=0,"",ROUNDUP(Y569/H569,0)*0.00651),"")</f>
        <v/>
      </c>
      <c r="AA569" s="65" t="s">
        <v>45</v>
      </c>
      <c r="AB569" s="66" t="s">
        <v>45</v>
      </c>
      <c r="AC569" s="653" t="s">
        <v>931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x14ac:dyDescent="0.2">
      <c r="A570" s="675"/>
      <c r="B570" s="675"/>
      <c r="C570" s="675"/>
      <c r="D570" s="675"/>
      <c r="E570" s="675"/>
      <c r="F570" s="675"/>
      <c r="G570" s="675"/>
      <c r="H570" s="675"/>
      <c r="I570" s="675"/>
      <c r="J570" s="675"/>
      <c r="K570" s="675"/>
      <c r="L570" s="675"/>
      <c r="M570" s="675"/>
      <c r="N570" s="675"/>
      <c r="O570" s="688"/>
      <c r="P570" s="685" t="s">
        <v>40</v>
      </c>
      <c r="Q570" s="686"/>
      <c r="R570" s="686"/>
      <c r="S570" s="686"/>
      <c r="T570" s="686"/>
      <c r="U570" s="686"/>
      <c r="V570" s="687"/>
      <c r="W570" s="40" t="s">
        <v>39</v>
      </c>
      <c r="X570" s="41">
        <f>IFERROR(X565/H565,"0")+IFERROR(X566/H566,"0")+IFERROR(X567/H567,"0")+IFERROR(X568/H568,"0")+IFERROR(X569/H569,"0")</f>
        <v>0</v>
      </c>
      <c r="Y570" s="41">
        <f>IFERROR(Y565/H565,"0")+IFERROR(Y566/H566,"0")+IFERROR(Y567/H567,"0")+IFERROR(Y568/H568,"0")+IFERROR(Y569/H569,"0")</f>
        <v>0</v>
      </c>
      <c r="Z570" s="41">
        <f>IFERROR(IF(Z565="",0,Z565),"0")+IFERROR(IF(Z566="",0,Z566),"0")+IFERROR(IF(Z567="",0,Z567),"0")+IFERROR(IF(Z568="",0,Z568),"0")+IFERROR(IF(Z569="",0,Z569),"0")</f>
        <v>0</v>
      </c>
      <c r="AA570" s="64"/>
      <c r="AB570" s="64"/>
      <c r="AC570" s="64"/>
    </row>
    <row r="571" spans="1:68" x14ac:dyDescent="0.2">
      <c r="A571" s="675"/>
      <c r="B571" s="675"/>
      <c r="C571" s="675"/>
      <c r="D571" s="675"/>
      <c r="E571" s="675"/>
      <c r="F571" s="675"/>
      <c r="G571" s="675"/>
      <c r="H571" s="675"/>
      <c r="I571" s="675"/>
      <c r="J571" s="675"/>
      <c r="K571" s="675"/>
      <c r="L571" s="675"/>
      <c r="M571" s="675"/>
      <c r="N571" s="675"/>
      <c r="O571" s="688"/>
      <c r="P571" s="685" t="s">
        <v>40</v>
      </c>
      <c r="Q571" s="686"/>
      <c r="R571" s="686"/>
      <c r="S571" s="686"/>
      <c r="T571" s="686"/>
      <c r="U571" s="686"/>
      <c r="V571" s="687"/>
      <c r="W571" s="40" t="s">
        <v>0</v>
      </c>
      <c r="X571" s="41">
        <f>IFERROR(SUM(X565:X569),"0")</f>
        <v>0</v>
      </c>
      <c r="Y571" s="41">
        <f>IFERROR(SUM(Y565:Y569),"0")</f>
        <v>0</v>
      </c>
      <c r="Z571" s="40"/>
      <c r="AA571" s="64"/>
      <c r="AB571" s="64"/>
      <c r="AC571" s="64"/>
    </row>
    <row r="572" spans="1:68" ht="14.25" customHeight="1" x14ac:dyDescent="0.25">
      <c r="A572" s="680" t="s">
        <v>186</v>
      </c>
      <c r="B572" s="680"/>
      <c r="C572" s="680"/>
      <c r="D572" s="680"/>
      <c r="E572" s="680"/>
      <c r="F572" s="680"/>
      <c r="G572" s="680"/>
      <c r="H572" s="680"/>
      <c r="I572" s="680"/>
      <c r="J572" s="680"/>
      <c r="K572" s="680"/>
      <c r="L572" s="680"/>
      <c r="M572" s="680"/>
      <c r="N572" s="680"/>
      <c r="O572" s="680"/>
      <c r="P572" s="680"/>
      <c r="Q572" s="680"/>
      <c r="R572" s="680"/>
      <c r="S572" s="680"/>
      <c r="T572" s="680"/>
      <c r="U572" s="680"/>
      <c r="V572" s="680"/>
      <c r="W572" s="680"/>
      <c r="X572" s="680"/>
      <c r="Y572" s="680"/>
      <c r="Z572" s="680"/>
      <c r="AA572" s="63"/>
      <c r="AB572" s="63"/>
      <c r="AC572" s="63"/>
    </row>
    <row r="573" spans="1:68" ht="27" customHeight="1" x14ac:dyDescent="0.25">
      <c r="A573" s="60" t="s">
        <v>938</v>
      </c>
      <c r="B573" s="60" t="s">
        <v>939</v>
      </c>
      <c r="C573" s="34">
        <v>4301060485</v>
      </c>
      <c r="D573" s="681">
        <v>4640242180120</v>
      </c>
      <c r="E573" s="681"/>
      <c r="F573" s="59">
        <v>1.3</v>
      </c>
      <c r="G573" s="35">
        <v>6</v>
      </c>
      <c r="H573" s="59">
        <v>7.8</v>
      </c>
      <c r="I573" s="59">
        <v>8.2349999999999994</v>
      </c>
      <c r="J573" s="35">
        <v>64</v>
      </c>
      <c r="K573" s="35" t="s">
        <v>114</v>
      </c>
      <c r="L573" s="35" t="s">
        <v>45</v>
      </c>
      <c r="M573" s="36" t="s">
        <v>117</v>
      </c>
      <c r="N573" s="36"/>
      <c r="O573" s="35">
        <v>40</v>
      </c>
      <c r="P573" s="691" t="s">
        <v>940</v>
      </c>
      <c r="Q573" s="683"/>
      <c r="R573" s="683"/>
      <c r="S573" s="683"/>
      <c r="T573" s="684"/>
      <c r="U573" s="37" t="s">
        <v>45</v>
      </c>
      <c r="V573" s="37" t="s">
        <v>45</v>
      </c>
      <c r="W573" s="38" t="s">
        <v>0</v>
      </c>
      <c r="X573" s="56">
        <v>0</v>
      </c>
      <c r="Y573" s="53">
        <f>IFERROR(IF(X573="",0,CEILING((X573/$H573),1)*$H573),"")</f>
        <v>0</v>
      </c>
      <c r="Z573" s="39" t="str">
        <f>IFERROR(IF(Y573=0,"",ROUNDUP(Y573/H573,0)*0.01898),"")</f>
        <v/>
      </c>
      <c r="AA573" s="65" t="s">
        <v>45</v>
      </c>
      <c r="AB573" s="66" t="s">
        <v>45</v>
      </c>
      <c r="AC573" s="655" t="s">
        <v>941</v>
      </c>
      <c r="AG573" s="75"/>
      <c r="AJ573" s="79" t="s">
        <v>45</v>
      </c>
      <c r="AK573" s="79">
        <v>0</v>
      </c>
      <c r="BB573" s="656" t="s">
        <v>66</v>
      </c>
      <c r="BM573" s="75">
        <f>IFERROR(X573*I573/H573,"0")</f>
        <v>0</v>
      </c>
      <c r="BN573" s="75">
        <f>IFERROR(Y573*I573/H573,"0")</f>
        <v>0</v>
      </c>
      <c r="BO573" s="75">
        <f>IFERROR(1/J573*(X573/H573),"0")</f>
        <v>0</v>
      </c>
      <c r="BP573" s="75">
        <f>IFERROR(1/J573*(Y573/H573),"0")</f>
        <v>0</v>
      </c>
    </row>
    <row r="574" spans="1:68" ht="27" customHeight="1" x14ac:dyDescent="0.25">
      <c r="A574" s="60" t="s">
        <v>938</v>
      </c>
      <c r="B574" s="60" t="s">
        <v>942</v>
      </c>
      <c r="C574" s="34">
        <v>4301060496</v>
      </c>
      <c r="D574" s="681">
        <v>4640242180120</v>
      </c>
      <c r="E574" s="681"/>
      <c r="F574" s="59">
        <v>1.5</v>
      </c>
      <c r="G574" s="35">
        <v>6</v>
      </c>
      <c r="H574" s="59">
        <v>9</v>
      </c>
      <c r="I574" s="59">
        <v>9.4350000000000005</v>
      </c>
      <c r="J574" s="35">
        <v>64</v>
      </c>
      <c r="K574" s="35" t="s">
        <v>114</v>
      </c>
      <c r="L574" s="35" t="s">
        <v>45</v>
      </c>
      <c r="M574" s="36" t="s">
        <v>146</v>
      </c>
      <c r="N574" s="36"/>
      <c r="O574" s="35">
        <v>40</v>
      </c>
      <c r="P574" s="692" t="s">
        <v>943</v>
      </c>
      <c r="Q574" s="683"/>
      <c r="R574" s="683"/>
      <c r="S574" s="683"/>
      <c r="T574" s="684"/>
      <c r="U574" s="37" t="s">
        <v>45</v>
      </c>
      <c r="V574" s="37" t="s">
        <v>45</v>
      </c>
      <c r="W574" s="38" t="s">
        <v>0</v>
      </c>
      <c r="X574" s="56">
        <v>0</v>
      </c>
      <c r="Y574" s="53">
        <f>IFERROR(IF(X574="",0,CEILING((X574/$H574),1)*$H574),"")</f>
        <v>0</v>
      </c>
      <c r="Z574" s="39" t="str">
        <f>IFERROR(IF(Y574=0,"",ROUNDUP(Y574/H574,0)*0.01898),"")</f>
        <v/>
      </c>
      <c r="AA574" s="65" t="s">
        <v>45</v>
      </c>
      <c r="AB574" s="66" t="s">
        <v>45</v>
      </c>
      <c r="AC574" s="657" t="s">
        <v>941</v>
      </c>
      <c r="AG574" s="75"/>
      <c r="AJ574" s="79" t="s">
        <v>45</v>
      </c>
      <c r="AK574" s="79">
        <v>0</v>
      </c>
      <c r="BB574" s="658" t="s">
        <v>66</v>
      </c>
      <c r="BM574" s="75">
        <f>IFERROR(X574*I574/H574,"0")</f>
        <v>0</v>
      </c>
      <c r="BN574" s="75">
        <f>IFERROR(Y574*I574/H574,"0")</f>
        <v>0</v>
      </c>
      <c r="BO574" s="75">
        <f>IFERROR(1/J574*(X574/H574),"0")</f>
        <v>0</v>
      </c>
      <c r="BP574" s="75">
        <f>IFERROR(1/J574*(Y574/H574),"0")</f>
        <v>0</v>
      </c>
    </row>
    <row r="575" spans="1:68" ht="27" customHeight="1" x14ac:dyDescent="0.25">
      <c r="A575" s="60" t="s">
        <v>944</v>
      </c>
      <c r="B575" s="60" t="s">
        <v>945</v>
      </c>
      <c r="C575" s="34">
        <v>4301060486</v>
      </c>
      <c r="D575" s="681">
        <v>4640242180137</v>
      </c>
      <c r="E575" s="681"/>
      <c r="F575" s="59">
        <v>1.3</v>
      </c>
      <c r="G575" s="35">
        <v>6</v>
      </c>
      <c r="H575" s="59">
        <v>7.8</v>
      </c>
      <c r="I575" s="59">
        <v>8.2349999999999994</v>
      </c>
      <c r="J575" s="35">
        <v>64</v>
      </c>
      <c r="K575" s="35" t="s">
        <v>114</v>
      </c>
      <c r="L575" s="35" t="s">
        <v>45</v>
      </c>
      <c r="M575" s="36" t="s">
        <v>117</v>
      </c>
      <c r="N575" s="36"/>
      <c r="O575" s="35">
        <v>40</v>
      </c>
      <c r="P575" s="693" t="s">
        <v>946</v>
      </c>
      <c r="Q575" s="683"/>
      <c r="R575" s="683"/>
      <c r="S575" s="683"/>
      <c r="T575" s="684"/>
      <c r="U575" s="37" t="s">
        <v>45</v>
      </c>
      <c r="V575" s="37" t="s">
        <v>45</v>
      </c>
      <c r="W575" s="38" t="s">
        <v>0</v>
      </c>
      <c r="X575" s="56">
        <v>0</v>
      </c>
      <c r="Y575" s="53">
        <f>IFERROR(IF(X575="",0,CEILING((X575/$H575),1)*$H575),"")</f>
        <v>0</v>
      </c>
      <c r="Z575" s="39" t="str">
        <f>IFERROR(IF(Y575=0,"",ROUNDUP(Y575/H575,0)*0.01898),"")</f>
        <v/>
      </c>
      <c r="AA575" s="65" t="s">
        <v>45</v>
      </c>
      <c r="AB575" s="66" t="s">
        <v>45</v>
      </c>
      <c r="AC575" s="659" t="s">
        <v>947</v>
      </c>
      <c r="AG575" s="75"/>
      <c r="AJ575" s="79" t="s">
        <v>45</v>
      </c>
      <c r="AK575" s="79">
        <v>0</v>
      </c>
      <c r="BB575" s="660" t="s">
        <v>66</v>
      </c>
      <c r="BM575" s="75">
        <f>IFERROR(X575*I575/H575,"0")</f>
        <v>0</v>
      </c>
      <c r="BN575" s="75">
        <f>IFERROR(Y575*I575/H575,"0")</f>
        <v>0</v>
      </c>
      <c r="BO575" s="75">
        <f>IFERROR(1/J575*(X575/H575),"0")</f>
        <v>0</v>
      </c>
      <c r="BP575" s="75">
        <f>IFERROR(1/J575*(Y575/H575),"0")</f>
        <v>0</v>
      </c>
    </row>
    <row r="576" spans="1:68" ht="27" customHeight="1" x14ac:dyDescent="0.25">
      <c r="A576" s="60" t="s">
        <v>944</v>
      </c>
      <c r="B576" s="60" t="s">
        <v>948</v>
      </c>
      <c r="C576" s="34">
        <v>4301060498</v>
      </c>
      <c r="D576" s="681">
        <v>4640242180137</v>
      </c>
      <c r="E576" s="681"/>
      <c r="F576" s="59">
        <v>1.5</v>
      </c>
      <c r="G576" s="35">
        <v>6</v>
      </c>
      <c r="H576" s="59">
        <v>9</v>
      </c>
      <c r="I576" s="59">
        <v>9.4350000000000005</v>
      </c>
      <c r="J576" s="35">
        <v>64</v>
      </c>
      <c r="K576" s="35" t="s">
        <v>114</v>
      </c>
      <c r="L576" s="35" t="s">
        <v>45</v>
      </c>
      <c r="M576" s="36" t="s">
        <v>146</v>
      </c>
      <c r="N576" s="36"/>
      <c r="O576" s="35">
        <v>40</v>
      </c>
      <c r="P576" s="694" t="s">
        <v>949</v>
      </c>
      <c r="Q576" s="683"/>
      <c r="R576" s="683"/>
      <c r="S576" s="683"/>
      <c r="T576" s="684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61" t="s">
        <v>947</v>
      </c>
      <c r="AG576" s="75"/>
      <c r="AJ576" s="79" t="s">
        <v>45</v>
      </c>
      <c r="AK576" s="79">
        <v>0</v>
      </c>
      <c r="BB576" s="662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675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88"/>
      <c r="P577" s="685" t="s">
        <v>40</v>
      </c>
      <c r="Q577" s="686"/>
      <c r="R577" s="686"/>
      <c r="S577" s="686"/>
      <c r="T577" s="686"/>
      <c r="U577" s="686"/>
      <c r="V577" s="687"/>
      <c r="W577" s="40" t="s">
        <v>39</v>
      </c>
      <c r="X577" s="41">
        <f>IFERROR(X573/H573,"0")+IFERROR(X574/H574,"0")+IFERROR(X575/H575,"0")+IFERROR(X576/H576,"0")</f>
        <v>0</v>
      </c>
      <c r="Y577" s="41">
        <f>IFERROR(Y573/H573,"0")+IFERROR(Y574/H574,"0")+IFERROR(Y575/H575,"0")+IFERROR(Y576/H576,"0")</f>
        <v>0</v>
      </c>
      <c r="Z577" s="41">
        <f>IFERROR(IF(Z573="",0,Z573),"0")+IFERROR(IF(Z574="",0,Z574),"0")+IFERROR(IF(Z575="",0,Z575),"0")+IFERROR(IF(Z576="",0,Z576),"0")</f>
        <v>0</v>
      </c>
      <c r="AA577" s="64"/>
      <c r="AB577" s="64"/>
      <c r="AC577" s="64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88"/>
      <c r="P578" s="685" t="s">
        <v>40</v>
      </c>
      <c r="Q578" s="686"/>
      <c r="R578" s="686"/>
      <c r="S578" s="686"/>
      <c r="T578" s="686"/>
      <c r="U578" s="686"/>
      <c r="V578" s="687"/>
      <c r="W578" s="40" t="s">
        <v>0</v>
      </c>
      <c r="X578" s="41">
        <f>IFERROR(SUM(X573:X576),"0")</f>
        <v>0</v>
      </c>
      <c r="Y578" s="41">
        <f>IFERROR(SUM(Y573:Y576),"0")</f>
        <v>0</v>
      </c>
      <c r="Z578" s="40"/>
      <c r="AA578" s="64"/>
      <c r="AB578" s="64"/>
      <c r="AC578" s="64"/>
    </row>
    <row r="579" spans="1:68" ht="16.5" customHeight="1" x14ac:dyDescent="0.25">
      <c r="A579" s="695" t="s">
        <v>950</v>
      </c>
      <c r="B579" s="695"/>
      <c r="C579" s="695"/>
      <c r="D579" s="695"/>
      <c r="E579" s="695"/>
      <c r="F579" s="695"/>
      <c r="G579" s="695"/>
      <c r="H579" s="695"/>
      <c r="I579" s="695"/>
      <c r="J579" s="695"/>
      <c r="K579" s="695"/>
      <c r="L579" s="695"/>
      <c r="M579" s="695"/>
      <c r="N579" s="695"/>
      <c r="O579" s="695"/>
      <c r="P579" s="695"/>
      <c r="Q579" s="695"/>
      <c r="R579" s="695"/>
      <c r="S579" s="695"/>
      <c r="T579" s="695"/>
      <c r="U579" s="695"/>
      <c r="V579" s="695"/>
      <c r="W579" s="695"/>
      <c r="X579" s="695"/>
      <c r="Y579" s="695"/>
      <c r="Z579" s="695"/>
      <c r="AA579" s="62"/>
      <c r="AB579" s="62"/>
      <c r="AC579" s="62"/>
    </row>
    <row r="580" spans="1:68" ht="14.25" customHeight="1" x14ac:dyDescent="0.25">
      <c r="A580" s="680" t="s">
        <v>109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3"/>
      <c r="AB580" s="63"/>
      <c r="AC580" s="63"/>
    </row>
    <row r="581" spans="1:68" ht="27" customHeight="1" x14ac:dyDescent="0.25">
      <c r="A581" s="60" t="s">
        <v>951</v>
      </c>
      <c r="B581" s="60" t="s">
        <v>952</v>
      </c>
      <c r="C581" s="34">
        <v>4301011951</v>
      </c>
      <c r="D581" s="681">
        <v>4640242180045</v>
      </c>
      <c r="E581" s="681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55</v>
      </c>
      <c r="P581" s="696" t="s">
        <v>953</v>
      </c>
      <c r="Q581" s="683"/>
      <c r="R581" s="683"/>
      <c r="S581" s="683"/>
      <c r="T581" s="684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954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88"/>
      <c r="P582" s="685" t="s">
        <v>40</v>
      </c>
      <c r="Q582" s="686"/>
      <c r="R582" s="686"/>
      <c r="S582" s="686"/>
      <c r="T582" s="686"/>
      <c r="U582" s="686"/>
      <c r="V582" s="687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675"/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88"/>
      <c r="P583" s="685" t="s">
        <v>40</v>
      </c>
      <c r="Q583" s="686"/>
      <c r="R583" s="686"/>
      <c r="S583" s="686"/>
      <c r="T583" s="686"/>
      <c r="U583" s="686"/>
      <c r="V583" s="687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680" t="s">
        <v>149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3"/>
      <c r="AB584" s="63"/>
      <c r="AC584" s="63"/>
    </row>
    <row r="585" spans="1:68" ht="27" customHeight="1" x14ac:dyDescent="0.25">
      <c r="A585" s="60" t="s">
        <v>955</v>
      </c>
      <c r="B585" s="60" t="s">
        <v>956</v>
      </c>
      <c r="C585" s="34">
        <v>4301020314</v>
      </c>
      <c r="D585" s="681">
        <v>4640242180090</v>
      </c>
      <c r="E585" s="681"/>
      <c r="F585" s="59">
        <v>1.5</v>
      </c>
      <c r="G585" s="35">
        <v>8</v>
      </c>
      <c r="H585" s="59">
        <v>12</v>
      </c>
      <c r="I585" s="59">
        <v>12.435</v>
      </c>
      <c r="J585" s="35">
        <v>64</v>
      </c>
      <c r="K585" s="35" t="s">
        <v>114</v>
      </c>
      <c r="L585" s="35" t="s">
        <v>45</v>
      </c>
      <c r="M585" s="36" t="s">
        <v>113</v>
      </c>
      <c r="N585" s="36"/>
      <c r="O585" s="35">
        <v>50</v>
      </c>
      <c r="P585" s="682" t="s">
        <v>957</v>
      </c>
      <c r="Q585" s="683"/>
      <c r="R585" s="683"/>
      <c r="S585" s="683"/>
      <c r="T585" s="684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IFERROR(IF(Y585=0,"",ROUNDUP(Y585/H585,0)*0.01898),"")</f>
        <v/>
      </c>
      <c r="AA585" s="65" t="s">
        <v>45</v>
      </c>
      <c r="AB585" s="66" t="s">
        <v>45</v>
      </c>
      <c r="AC585" s="665" t="s">
        <v>958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88"/>
      <c r="P586" s="685" t="s">
        <v>40</v>
      </c>
      <c r="Q586" s="686"/>
      <c r="R586" s="686"/>
      <c r="S586" s="686"/>
      <c r="T586" s="686"/>
      <c r="U586" s="686"/>
      <c r="V586" s="687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675"/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88"/>
      <c r="P587" s="685" t="s">
        <v>40</v>
      </c>
      <c r="Q587" s="686"/>
      <c r="R587" s="686"/>
      <c r="S587" s="686"/>
      <c r="T587" s="686"/>
      <c r="U587" s="686"/>
      <c r="V587" s="687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680" t="s">
        <v>160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3"/>
      <c r="AB588" s="63"/>
      <c r="AC588" s="63"/>
    </row>
    <row r="589" spans="1:68" ht="27" customHeight="1" x14ac:dyDescent="0.25">
      <c r="A589" s="60" t="s">
        <v>959</v>
      </c>
      <c r="B589" s="60" t="s">
        <v>960</v>
      </c>
      <c r="C589" s="34">
        <v>4301031321</v>
      </c>
      <c r="D589" s="681">
        <v>4640242180076</v>
      </c>
      <c r="E589" s="681"/>
      <c r="F589" s="59">
        <v>0.7</v>
      </c>
      <c r="G589" s="35">
        <v>6</v>
      </c>
      <c r="H589" s="59">
        <v>4.2</v>
      </c>
      <c r="I589" s="59">
        <v>4.41</v>
      </c>
      <c r="J589" s="35">
        <v>132</v>
      </c>
      <c r="K589" s="35" t="s">
        <v>118</v>
      </c>
      <c r="L589" s="35" t="s">
        <v>45</v>
      </c>
      <c r="M589" s="36" t="s">
        <v>82</v>
      </c>
      <c r="N589" s="36"/>
      <c r="O589" s="35">
        <v>40</v>
      </c>
      <c r="P589" s="689" t="s">
        <v>961</v>
      </c>
      <c r="Q589" s="683"/>
      <c r="R589" s="683"/>
      <c r="S589" s="683"/>
      <c r="T589" s="684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IFERROR(IF(Y589=0,"",ROUNDUP(Y589/H589,0)*0.00902),"")</f>
        <v/>
      </c>
      <c r="AA589" s="65" t="s">
        <v>45</v>
      </c>
      <c r="AB589" s="66" t="s">
        <v>45</v>
      </c>
      <c r="AC589" s="667" t="s">
        <v>962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88"/>
      <c r="P590" s="685" t="s">
        <v>40</v>
      </c>
      <c r="Q590" s="686"/>
      <c r="R590" s="686"/>
      <c r="S590" s="686"/>
      <c r="T590" s="686"/>
      <c r="U590" s="686"/>
      <c r="V590" s="687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675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688"/>
      <c r="P591" s="685" t="s">
        <v>40</v>
      </c>
      <c r="Q591" s="686"/>
      <c r="R591" s="686"/>
      <c r="S591" s="686"/>
      <c r="T591" s="686"/>
      <c r="U591" s="686"/>
      <c r="V591" s="687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4.25" customHeight="1" x14ac:dyDescent="0.25">
      <c r="A592" s="680" t="s">
        <v>78</v>
      </c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0"/>
      <c r="P592" s="680"/>
      <c r="Q592" s="680"/>
      <c r="R592" s="680"/>
      <c r="S592" s="680"/>
      <c r="T592" s="680"/>
      <c r="U592" s="680"/>
      <c r="V592" s="680"/>
      <c r="W592" s="680"/>
      <c r="X592" s="680"/>
      <c r="Y592" s="680"/>
      <c r="Z592" s="680"/>
      <c r="AA592" s="63"/>
      <c r="AB592" s="63"/>
      <c r="AC592" s="63"/>
    </row>
    <row r="593" spans="1:68" ht="27" customHeight="1" x14ac:dyDescent="0.25">
      <c r="A593" s="60" t="s">
        <v>963</v>
      </c>
      <c r="B593" s="60" t="s">
        <v>964</v>
      </c>
      <c r="C593" s="34">
        <v>4301051914</v>
      </c>
      <c r="D593" s="681">
        <v>4640242180113</v>
      </c>
      <c r="E593" s="681"/>
      <c r="F593" s="59">
        <v>1.5</v>
      </c>
      <c r="G593" s="35">
        <v>6</v>
      </c>
      <c r="H593" s="59">
        <v>9</v>
      </c>
      <c r="I593" s="59">
        <v>9.4350000000000005</v>
      </c>
      <c r="J593" s="35">
        <v>64</v>
      </c>
      <c r="K593" s="35" t="s">
        <v>114</v>
      </c>
      <c r="L593" s="35" t="s">
        <v>45</v>
      </c>
      <c r="M593" s="36" t="s">
        <v>146</v>
      </c>
      <c r="N593" s="36"/>
      <c r="O593" s="35">
        <v>45</v>
      </c>
      <c r="P593" s="690" t="s">
        <v>965</v>
      </c>
      <c r="Q593" s="683"/>
      <c r="R593" s="683"/>
      <c r="S593" s="683"/>
      <c r="T593" s="684"/>
      <c r="U593" s="37" t="s">
        <v>45</v>
      </c>
      <c r="V593" s="37" t="s">
        <v>45</v>
      </c>
      <c r="W593" s="38" t="s">
        <v>0</v>
      </c>
      <c r="X593" s="56">
        <v>0</v>
      </c>
      <c r="Y593" s="53">
        <f>IFERROR(IF(X593="",0,CEILING((X593/$H593),1)*$H593),"")</f>
        <v>0</v>
      </c>
      <c r="Z593" s="39" t="str">
        <f>IFERROR(IF(Y593=0,"",ROUNDUP(Y593/H593,0)*0.01898),"")</f>
        <v/>
      </c>
      <c r="AA593" s="65" t="s">
        <v>45</v>
      </c>
      <c r="AB593" s="66" t="s">
        <v>45</v>
      </c>
      <c r="AC593" s="669" t="s">
        <v>966</v>
      </c>
      <c r="AG593" s="75"/>
      <c r="AJ593" s="79" t="s">
        <v>45</v>
      </c>
      <c r="AK593" s="79">
        <v>0</v>
      </c>
      <c r="BB593" s="670" t="s">
        <v>66</v>
      </c>
      <c r="BM593" s="75">
        <f>IFERROR(X593*I593/H593,"0")</f>
        <v>0</v>
      </c>
      <c r="BN593" s="75">
        <f>IFERROR(Y593*I593/H593,"0")</f>
        <v>0</v>
      </c>
      <c r="BO593" s="75">
        <f>IFERROR(1/J593*(X593/H593),"0")</f>
        <v>0</v>
      </c>
      <c r="BP593" s="75">
        <f>IFERROR(1/J593*(Y593/H593),"0")</f>
        <v>0</v>
      </c>
    </row>
    <row r="594" spans="1:68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688"/>
      <c r="P594" s="685" t="s">
        <v>40</v>
      </c>
      <c r="Q594" s="686"/>
      <c r="R594" s="686"/>
      <c r="S594" s="686"/>
      <c r="T594" s="686"/>
      <c r="U594" s="686"/>
      <c r="V594" s="687"/>
      <c r="W594" s="40" t="s">
        <v>39</v>
      </c>
      <c r="X594" s="41">
        <f>IFERROR(X593/H593,"0")</f>
        <v>0</v>
      </c>
      <c r="Y594" s="41">
        <f>IFERROR(Y593/H593,"0")</f>
        <v>0</v>
      </c>
      <c r="Z594" s="41">
        <f>IFERROR(IF(Z593="",0,Z593),"0")</f>
        <v>0</v>
      </c>
      <c r="AA594" s="64"/>
      <c r="AB594" s="64"/>
      <c r="AC594" s="64"/>
    </row>
    <row r="595" spans="1:68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688"/>
      <c r="P595" s="685" t="s">
        <v>40</v>
      </c>
      <c r="Q595" s="686"/>
      <c r="R595" s="686"/>
      <c r="S595" s="686"/>
      <c r="T595" s="686"/>
      <c r="U595" s="686"/>
      <c r="V595" s="687"/>
      <c r="W595" s="40" t="s">
        <v>0</v>
      </c>
      <c r="X595" s="41">
        <f>IFERROR(SUM(X593:X593),"0")</f>
        <v>0</v>
      </c>
      <c r="Y595" s="41">
        <f>IFERROR(SUM(Y593:Y593),"0")</f>
        <v>0</v>
      </c>
      <c r="Z595" s="40"/>
      <c r="AA595" s="64"/>
      <c r="AB595" s="64"/>
      <c r="AC595" s="64"/>
    </row>
    <row r="596" spans="1:68" ht="1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676"/>
      <c r="P596" s="672" t="s">
        <v>33</v>
      </c>
      <c r="Q596" s="673"/>
      <c r="R596" s="673"/>
      <c r="S596" s="673"/>
      <c r="T596" s="673"/>
      <c r="U596" s="673"/>
      <c r="V596" s="674"/>
      <c r="W596" s="40" t="s">
        <v>0</v>
      </c>
      <c r="X596" s="41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18079</v>
      </c>
      <c r="Y596" s="41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18162.66</v>
      </c>
      <c r="Z596" s="40"/>
      <c r="AA596" s="64"/>
      <c r="AB596" s="64"/>
      <c r="AC596" s="64"/>
    </row>
    <row r="597" spans="1:68" x14ac:dyDescent="0.2">
      <c r="A597" s="675"/>
      <c r="B597" s="675"/>
      <c r="C597" s="675"/>
      <c r="D597" s="675"/>
      <c r="E597" s="675"/>
      <c r="F597" s="675"/>
      <c r="G597" s="675"/>
      <c r="H597" s="675"/>
      <c r="I597" s="675"/>
      <c r="J597" s="675"/>
      <c r="K597" s="675"/>
      <c r="L597" s="675"/>
      <c r="M597" s="675"/>
      <c r="N597" s="675"/>
      <c r="O597" s="676"/>
      <c r="P597" s="672" t="s">
        <v>34</v>
      </c>
      <c r="Q597" s="673"/>
      <c r="R597" s="673"/>
      <c r="S597" s="673"/>
      <c r="T597" s="673"/>
      <c r="U597" s="673"/>
      <c r="V597" s="674"/>
      <c r="W597" s="40" t="s">
        <v>0</v>
      </c>
      <c r="X597" s="41">
        <f>IFERROR(SUM(BM22:BM593),"0")</f>
        <v>18832.050361484071</v>
      </c>
      <c r="Y597" s="41">
        <f>IFERROR(SUM(BN22:BN593),"0")</f>
        <v>18920.035999999996</v>
      </c>
      <c r="Z597" s="40"/>
      <c r="AA597" s="64"/>
      <c r="AB597" s="64"/>
      <c r="AC597" s="64"/>
    </row>
    <row r="598" spans="1:68" x14ac:dyDescent="0.2">
      <c r="A598" s="675"/>
      <c r="B598" s="675"/>
      <c r="C598" s="675"/>
      <c r="D598" s="675"/>
      <c r="E598" s="675"/>
      <c r="F598" s="675"/>
      <c r="G598" s="675"/>
      <c r="H598" s="675"/>
      <c r="I598" s="675"/>
      <c r="J598" s="675"/>
      <c r="K598" s="675"/>
      <c r="L598" s="675"/>
      <c r="M598" s="675"/>
      <c r="N598" s="675"/>
      <c r="O598" s="676"/>
      <c r="P598" s="672" t="s">
        <v>35</v>
      </c>
      <c r="Q598" s="673"/>
      <c r="R598" s="673"/>
      <c r="S598" s="673"/>
      <c r="T598" s="673"/>
      <c r="U598" s="673"/>
      <c r="V598" s="674"/>
      <c r="W598" s="40" t="s">
        <v>20</v>
      </c>
      <c r="X598" s="42">
        <f>ROUNDUP(SUM(BO22:BO593),0)</f>
        <v>28</v>
      </c>
      <c r="Y598" s="42">
        <f>ROUNDUP(SUM(BP22:BP593),0)</f>
        <v>28</v>
      </c>
      <c r="Z598" s="40"/>
      <c r="AA598" s="64"/>
      <c r="AB598" s="64"/>
      <c r="AC598" s="64"/>
    </row>
    <row r="599" spans="1:68" x14ac:dyDescent="0.2">
      <c r="A599" s="675"/>
      <c r="B599" s="675"/>
      <c r="C599" s="675"/>
      <c r="D599" s="675"/>
      <c r="E599" s="675"/>
      <c r="F599" s="675"/>
      <c r="G599" s="675"/>
      <c r="H599" s="675"/>
      <c r="I599" s="675"/>
      <c r="J599" s="675"/>
      <c r="K599" s="675"/>
      <c r="L599" s="675"/>
      <c r="M599" s="675"/>
      <c r="N599" s="675"/>
      <c r="O599" s="676"/>
      <c r="P599" s="672" t="s">
        <v>36</v>
      </c>
      <c r="Q599" s="673"/>
      <c r="R599" s="673"/>
      <c r="S599" s="673"/>
      <c r="T599" s="673"/>
      <c r="U599" s="673"/>
      <c r="V599" s="674"/>
      <c r="W599" s="40" t="s">
        <v>0</v>
      </c>
      <c r="X599" s="41">
        <f>GrossWeightTotal+PalletQtyTotal*25</f>
        <v>19532.050361484071</v>
      </c>
      <c r="Y599" s="41">
        <f>GrossWeightTotalR+PalletQtyTotalR*25</f>
        <v>19620.035999999996</v>
      </c>
      <c r="Z599" s="40"/>
      <c r="AA599" s="64"/>
      <c r="AB599" s="64"/>
      <c r="AC599" s="64"/>
    </row>
    <row r="600" spans="1:68" x14ac:dyDescent="0.2">
      <c r="A600" s="675"/>
      <c r="B600" s="675"/>
      <c r="C600" s="675"/>
      <c r="D600" s="675"/>
      <c r="E600" s="675"/>
      <c r="F600" s="675"/>
      <c r="G600" s="675"/>
      <c r="H600" s="675"/>
      <c r="I600" s="675"/>
      <c r="J600" s="675"/>
      <c r="K600" s="675"/>
      <c r="L600" s="675"/>
      <c r="M600" s="675"/>
      <c r="N600" s="675"/>
      <c r="O600" s="676"/>
      <c r="P600" s="672" t="s">
        <v>37</v>
      </c>
      <c r="Q600" s="673"/>
      <c r="R600" s="673"/>
      <c r="S600" s="673"/>
      <c r="T600" s="673"/>
      <c r="U600" s="673"/>
      <c r="V600" s="674"/>
      <c r="W600" s="40" t="s">
        <v>20</v>
      </c>
      <c r="X600" s="41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1962.3351599210521</v>
      </c>
      <c r="Y600" s="41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1974</v>
      </c>
      <c r="Z600" s="40"/>
      <c r="AA600" s="64"/>
      <c r="AB600" s="64"/>
      <c r="AC600" s="64"/>
    </row>
    <row r="601" spans="1:68" ht="14.25" x14ac:dyDescent="0.2">
      <c r="A601" s="675"/>
      <c r="B601" s="675"/>
      <c r="C601" s="675"/>
      <c r="D601" s="675"/>
      <c r="E601" s="675"/>
      <c r="F601" s="675"/>
      <c r="G601" s="675"/>
      <c r="H601" s="675"/>
      <c r="I601" s="675"/>
      <c r="J601" s="675"/>
      <c r="K601" s="675"/>
      <c r="L601" s="675"/>
      <c r="M601" s="675"/>
      <c r="N601" s="675"/>
      <c r="O601" s="676"/>
      <c r="P601" s="672" t="s">
        <v>38</v>
      </c>
      <c r="Q601" s="673"/>
      <c r="R601" s="673"/>
      <c r="S601" s="673"/>
      <c r="T601" s="673"/>
      <c r="U601" s="673"/>
      <c r="V601" s="674"/>
      <c r="W601" s="43" t="s">
        <v>51</v>
      </c>
      <c r="X601" s="40"/>
      <c r="Y601" s="40"/>
      <c r="Z601" s="40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30.231520000000007</v>
      </c>
      <c r="AA601" s="64"/>
      <c r="AB601" s="64"/>
      <c r="AC601" s="64"/>
    </row>
    <row r="602" spans="1:68" ht="13.5" thickBot="1" x14ac:dyDescent="0.25"/>
    <row r="603" spans="1:68" ht="27" thickTop="1" thickBot="1" x14ac:dyDescent="0.25">
      <c r="A603" s="44" t="s">
        <v>9</v>
      </c>
      <c r="B603" s="80" t="s">
        <v>77</v>
      </c>
      <c r="C603" s="671" t="s">
        <v>107</v>
      </c>
      <c r="D603" s="671" t="s">
        <v>107</v>
      </c>
      <c r="E603" s="671" t="s">
        <v>107</v>
      </c>
      <c r="F603" s="671" t="s">
        <v>107</v>
      </c>
      <c r="G603" s="671" t="s">
        <v>107</v>
      </c>
      <c r="H603" s="671" t="s">
        <v>107</v>
      </c>
      <c r="I603" s="671" t="s">
        <v>295</v>
      </c>
      <c r="J603" s="671" t="s">
        <v>295</v>
      </c>
      <c r="K603" s="671" t="s">
        <v>295</v>
      </c>
      <c r="L603" s="671" t="s">
        <v>295</v>
      </c>
      <c r="M603" s="671" t="s">
        <v>295</v>
      </c>
      <c r="N603" s="677"/>
      <c r="O603" s="671" t="s">
        <v>295</v>
      </c>
      <c r="P603" s="671" t="s">
        <v>295</v>
      </c>
      <c r="Q603" s="671" t="s">
        <v>295</v>
      </c>
      <c r="R603" s="671" t="s">
        <v>295</v>
      </c>
      <c r="S603" s="671" t="s">
        <v>295</v>
      </c>
      <c r="T603" s="671" t="s">
        <v>295</v>
      </c>
      <c r="U603" s="671" t="s">
        <v>295</v>
      </c>
      <c r="V603" s="671" t="s">
        <v>295</v>
      </c>
      <c r="W603" s="671" t="s">
        <v>613</v>
      </c>
      <c r="X603" s="671" t="s">
        <v>613</v>
      </c>
      <c r="Y603" s="671" t="s">
        <v>685</v>
      </c>
      <c r="Z603" s="671" t="s">
        <v>685</v>
      </c>
      <c r="AA603" s="671" t="s">
        <v>685</v>
      </c>
      <c r="AB603" s="671" t="s">
        <v>685</v>
      </c>
      <c r="AC603" s="80" t="s">
        <v>760</v>
      </c>
      <c r="AD603" s="671" t="s">
        <v>857</v>
      </c>
      <c r="AE603" s="671" t="s">
        <v>857</v>
      </c>
      <c r="AF603" s="1"/>
    </row>
    <row r="604" spans="1:68" ht="14.25" customHeight="1" thickTop="1" x14ac:dyDescent="0.2">
      <c r="A604" s="678" t="s">
        <v>10</v>
      </c>
      <c r="B604" s="671" t="s">
        <v>77</v>
      </c>
      <c r="C604" s="671" t="s">
        <v>108</v>
      </c>
      <c r="D604" s="671" t="s">
        <v>129</v>
      </c>
      <c r="E604" s="671" t="s">
        <v>194</v>
      </c>
      <c r="F604" s="671" t="s">
        <v>225</v>
      </c>
      <c r="G604" s="671" t="s">
        <v>268</v>
      </c>
      <c r="H604" s="671" t="s">
        <v>107</v>
      </c>
      <c r="I604" s="671" t="s">
        <v>296</v>
      </c>
      <c r="J604" s="671" t="s">
        <v>342</v>
      </c>
      <c r="K604" s="671" t="s">
        <v>403</v>
      </c>
      <c r="L604" s="671" t="s">
        <v>450</v>
      </c>
      <c r="M604" s="671" t="s">
        <v>468</v>
      </c>
      <c r="N604" s="1"/>
      <c r="O604" s="671" t="s">
        <v>472</v>
      </c>
      <c r="P604" s="671" t="s">
        <v>485</v>
      </c>
      <c r="Q604" s="671" t="s">
        <v>499</v>
      </c>
      <c r="R604" s="671" t="s">
        <v>509</v>
      </c>
      <c r="S604" s="671" t="s">
        <v>513</v>
      </c>
      <c r="T604" s="671" t="s">
        <v>521</v>
      </c>
      <c r="U604" s="671" t="s">
        <v>526</v>
      </c>
      <c r="V604" s="671" t="s">
        <v>600</v>
      </c>
      <c r="W604" s="671" t="s">
        <v>614</v>
      </c>
      <c r="X604" s="671" t="s">
        <v>655</v>
      </c>
      <c r="Y604" s="671" t="s">
        <v>686</v>
      </c>
      <c r="Z604" s="671" t="s">
        <v>725</v>
      </c>
      <c r="AA604" s="671" t="s">
        <v>745</v>
      </c>
      <c r="AB604" s="671" t="s">
        <v>753</v>
      </c>
      <c r="AC604" s="671" t="s">
        <v>760</v>
      </c>
      <c r="AD604" s="671" t="s">
        <v>857</v>
      </c>
      <c r="AE604" s="671" t="s">
        <v>950</v>
      </c>
      <c r="AF604" s="1"/>
    </row>
    <row r="605" spans="1:68" ht="13.5" thickBot="1" x14ac:dyDescent="0.25">
      <c r="A605" s="679"/>
      <c r="B605" s="671"/>
      <c r="C605" s="671"/>
      <c r="D605" s="671"/>
      <c r="E605" s="671"/>
      <c r="F605" s="671"/>
      <c r="G605" s="671"/>
      <c r="H605" s="671"/>
      <c r="I605" s="671"/>
      <c r="J605" s="671"/>
      <c r="K605" s="671"/>
      <c r="L605" s="671"/>
      <c r="M605" s="671"/>
      <c r="N605" s="1"/>
      <c r="O605" s="671"/>
      <c r="P605" s="671"/>
      <c r="Q605" s="671"/>
      <c r="R605" s="671"/>
      <c r="S605" s="671"/>
      <c r="T605" s="671"/>
      <c r="U605" s="671"/>
      <c r="V605" s="671"/>
      <c r="W605" s="671"/>
      <c r="X605" s="671"/>
      <c r="Y605" s="671"/>
      <c r="Z605" s="671"/>
      <c r="AA605" s="671"/>
      <c r="AB605" s="671"/>
      <c r="AC605" s="671"/>
      <c r="AD605" s="671"/>
      <c r="AE605" s="671"/>
      <c r="AF605" s="1"/>
    </row>
    <row r="606" spans="1:68" ht="18" thickTop="1" thickBot="1" x14ac:dyDescent="0.25">
      <c r="A606" s="44" t="s">
        <v>13</v>
      </c>
      <c r="B606" s="50">
        <f>IFERROR(Y22*1,"0")+IFERROR(Y23*1,"0")+IFERROR(Y24*1,"0")+IFERROR(Y25*1,"0")+IFERROR(Y26*1,"0")+IFERROR(Y27*1,"0")+IFERROR(Y31*1,"0")</f>
        <v>0</v>
      </c>
      <c r="C606" s="50">
        <f>IFERROR(Y37*1,"0")+IFERROR(Y38*1,"0")+IFERROR(Y39*1,"0")+IFERROR(Y40*1,"0")+IFERROR(Y44*1,"0")</f>
        <v>0</v>
      </c>
      <c r="D606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101.39999999999999</v>
      </c>
      <c r="E606" s="50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113.4</v>
      </c>
      <c r="G606" s="50">
        <f>IFERROR(Y135*1,"0")+IFERROR(Y136*1,"0")+IFERROR(Y140*1,"0")+IFERROR(Y141*1,"0")+IFERROR(Y145*1,"0")+IFERROR(Y146*1,"0")</f>
        <v>242</v>
      </c>
      <c r="H606" s="50">
        <f>IFERROR(Y151*1,"0")+IFERROR(Y155*1,"0")+IFERROR(Y156*1,"0")+IFERROR(Y157*1,"0")+IFERROR(Y161*1,"0")</f>
        <v>0</v>
      </c>
      <c r="I606" s="50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243.6</v>
      </c>
      <c r="J606" s="50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2331.9</v>
      </c>
      <c r="K606" s="50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50">
        <f>IFERROR(Y262*1,"0")+IFERROR(Y263*1,"0")+IFERROR(Y264*1,"0")+IFERROR(Y265*1,"0")+IFERROR(Y266*1,"0")+IFERROR(Y267*1,"0")</f>
        <v>0</v>
      </c>
      <c r="M606" s="50">
        <f>IFERROR(Y272*1,"0")</f>
        <v>0</v>
      </c>
      <c r="N606" s="1"/>
      <c r="O606" s="50">
        <f>IFERROR(Y277*1,"0")+IFERROR(Y278*1,"0")+IFERROR(Y279*1,"0")+IFERROR(Y280*1,"0")</f>
        <v>0</v>
      </c>
      <c r="P606" s="50">
        <f>IFERROR(Y285*1,"0")+IFERROR(Y286*1,"0")+IFERROR(Y287*1,"0")+IFERROR(Y288*1,"0")+IFERROR(Y289*1,"0")</f>
        <v>0</v>
      </c>
      <c r="Q606" s="50">
        <f>IFERROR(Y294*1,"0")+IFERROR(Y298*1,"0")+IFERROR(Y302*1,"0")</f>
        <v>0</v>
      </c>
      <c r="R606" s="50">
        <f>IFERROR(Y307*1,"0")</f>
        <v>0</v>
      </c>
      <c r="S606" s="50">
        <f>IFERROR(Y312*1,"0")+IFERROR(Y316*1,"0")+IFERROR(Y317*1,"0")</f>
        <v>0</v>
      </c>
      <c r="T606" s="50">
        <f>IFERROR(Y322*1,"0")</f>
        <v>0</v>
      </c>
      <c r="U606" s="50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322.2</v>
      </c>
      <c r="V606" s="50">
        <f>IFERROR(Y371*1,"0")+IFERROR(Y375*1,"0")+IFERROR(Y376*1,"0")+IFERROR(Y377*1,"0")</f>
        <v>0</v>
      </c>
      <c r="W606" s="50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13039</v>
      </c>
      <c r="X606" s="50">
        <f>IFERROR(Y411*1,"0")+IFERROR(Y412*1,"0")+IFERROR(Y413*1,"0")+IFERROR(Y414*1,"0")+IFERROR(Y415*1,"0")+IFERROR(Y419*1,"0")+IFERROR(Y423*1,"0")+IFERROR(Y424*1,"0")+IFERROR(Y425*1,"0")+IFERROR(Y426*1,"0")+IFERROR(Y430*1,"0")</f>
        <v>355.92</v>
      </c>
      <c r="Y606" s="50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50">
        <f>IFERROR(Y457*1,"0")+IFERROR(Y458*1,"0")+IFERROR(Y462*1,"0")+IFERROR(Y463*1,"0")+IFERROR(Y464*1,"0")+IFERROR(Y465*1,"0")</f>
        <v>0</v>
      </c>
      <c r="AA606" s="50">
        <f>IFERROR(Y470*1,"0")+IFERROR(Y471*1,"0")</f>
        <v>0</v>
      </c>
      <c r="AB606" s="50">
        <f>IFERROR(Y476*1,"0")+IFERROR(Y480*1,"0")</f>
        <v>0</v>
      </c>
      <c r="AC606" s="50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728.64</v>
      </c>
      <c r="AD606" s="50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684.6</v>
      </c>
      <c r="AE606" s="50">
        <f>IFERROR(Y581*1,"0")+IFERROR(Y585*1,"0")+IFERROR(Y589*1,"0")+IFERROR(Y593*1,"0")</f>
        <v>0</v>
      </c>
      <c r="AF606" s="1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6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A284:Z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A293:Z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A306:Z306"/>
    <mergeCell ref="D307:E307"/>
    <mergeCell ref="P307:T307"/>
    <mergeCell ref="P308:V308"/>
    <mergeCell ref="A308:O309"/>
    <mergeCell ref="P309:V309"/>
    <mergeCell ref="A310:Z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A381:Z381"/>
    <mergeCell ref="A382:Z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D539:E539"/>
    <mergeCell ref="P539:T539"/>
    <mergeCell ref="D540:E540"/>
    <mergeCell ref="P540:T540"/>
    <mergeCell ref="D541:E541"/>
    <mergeCell ref="P541:T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D549:E549"/>
    <mergeCell ref="P549:T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57:E557"/>
    <mergeCell ref="P557:T557"/>
    <mergeCell ref="D558:E558"/>
    <mergeCell ref="P558:T558"/>
    <mergeCell ref="D559:E559"/>
    <mergeCell ref="P559:T559"/>
    <mergeCell ref="D560:E560"/>
    <mergeCell ref="P560:T560"/>
    <mergeCell ref="D561:E561"/>
    <mergeCell ref="P561:T561"/>
    <mergeCell ref="P562:V562"/>
    <mergeCell ref="A562:O563"/>
    <mergeCell ref="P563:V563"/>
    <mergeCell ref="A564:Z564"/>
    <mergeCell ref="D565:E565"/>
    <mergeCell ref="P565:T565"/>
    <mergeCell ref="D566:E566"/>
    <mergeCell ref="P566:T566"/>
    <mergeCell ref="D567:E567"/>
    <mergeCell ref="P567:T567"/>
    <mergeCell ref="D568:E568"/>
    <mergeCell ref="P568:T568"/>
    <mergeCell ref="D569:E569"/>
    <mergeCell ref="P569:T569"/>
    <mergeCell ref="P570:V570"/>
    <mergeCell ref="A570:O571"/>
    <mergeCell ref="P571:V571"/>
    <mergeCell ref="A572:Z572"/>
    <mergeCell ref="D573:E573"/>
    <mergeCell ref="P573:T573"/>
    <mergeCell ref="D574:E574"/>
    <mergeCell ref="P574:T574"/>
    <mergeCell ref="D575:E575"/>
    <mergeCell ref="P575:T575"/>
    <mergeCell ref="D576:E576"/>
    <mergeCell ref="P576:T576"/>
    <mergeCell ref="P577:V577"/>
    <mergeCell ref="A577:O578"/>
    <mergeCell ref="P578:V578"/>
    <mergeCell ref="A579:Z579"/>
    <mergeCell ref="A580:Z580"/>
    <mergeCell ref="D581:E581"/>
    <mergeCell ref="P581:T581"/>
    <mergeCell ref="P582:V582"/>
    <mergeCell ref="A582:O583"/>
    <mergeCell ref="P583:V583"/>
    <mergeCell ref="P604:P605"/>
    <mergeCell ref="Q604:Q605"/>
    <mergeCell ref="R604:R605"/>
    <mergeCell ref="S604:S605"/>
    <mergeCell ref="T604:T605"/>
    <mergeCell ref="U604:U605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A592:Z592"/>
    <mergeCell ref="D593:E593"/>
    <mergeCell ref="P593:T593"/>
    <mergeCell ref="P594:V594"/>
    <mergeCell ref="A594:O595"/>
    <mergeCell ref="P595:V595"/>
    <mergeCell ref="V604:V605"/>
    <mergeCell ref="W604:W605"/>
    <mergeCell ref="X604:X605"/>
    <mergeCell ref="Y604:Y605"/>
    <mergeCell ref="Z604:Z605"/>
    <mergeCell ref="AA604:AA605"/>
    <mergeCell ref="AB604:AB605"/>
    <mergeCell ref="AC604:AC605"/>
    <mergeCell ref="AD604:AD605"/>
    <mergeCell ref="AE604:AE605"/>
    <mergeCell ref="P596:V596"/>
    <mergeCell ref="A596:O601"/>
    <mergeCell ref="P597:V597"/>
    <mergeCell ref="P598:V598"/>
    <mergeCell ref="P599:V599"/>
    <mergeCell ref="P600:V600"/>
    <mergeCell ref="P601:V601"/>
    <mergeCell ref="C603:H603"/>
    <mergeCell ref="I603:V603"/>
    <mergeCell ref="W603:X603"/>
    <mergeCell ref="Y603:AB603"/>
    <mergeCell ref="AD603:AE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O604:O605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8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96 X389 X386 X384 X329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9"/>
    </row>
    <row r="3" spans="2:8" x14ac:dyDescent="0.2">
      <c r="B3" s="51" t="s">
        <v>968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969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970</v>
      </c>
      <c r="D6" s="51" t="s">
        <v>971</v>
      </c>
      <c r="E6" s="51" t="s">
        <v>45</v>
      </c>
    </row>
    <row r="8" spans="2:8" x14ac:dyDescent="0.2">
      <c r="B8" s="51" t="s">
        <v>76</v>
      </c>
      <c r="C8" s="51" t="s">
        <v>970</v>
      </c>
      <c r="D8" s="51" t="s">
        <v>45</v>
      </c>
      <c r="E8" s="51" t="s">
        <v>45</v>
      </c>
    </row>
    <row r="10" spans="2:8" x14ac:dyDescent="0.2">
      <c r="B10" s="51" t="s">
        <v>972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973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974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975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976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977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978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979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980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981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982</v>
      </c>
      <c r="C20" s="51" t="s">
        <v>45</v>
      </c>
      <c r="D20" s="51" t="s">
        <v>45</v>
      </c>
      <c r="E20" s="51" t="s">
        <v>45</v>
      </c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1222</vt:i4>
      </vt:variant>
    </vt:vector>
  </HeadingPairs>
  <TitlesOfParts>
    <vt:vector size="12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2025-04-29T06:30:27Z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