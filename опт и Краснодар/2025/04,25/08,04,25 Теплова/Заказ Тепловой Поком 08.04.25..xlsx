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58467FD3-791F-466A-9056-6A7B834B73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Лист2!$A$1:$I$24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H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 l="1"/>
  <c r="H3" i="2"/>
  <c r="H4" i="2" l="1"/>
  <c r="H5" i="2"/>
  <c r="H6" i="2"/>
  <c r="H7" i="2"/>
  <c r="H8" i="2" l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G24" i="2" l="1"/>
  <c r="H24" i="2" l="1"/>
</calcChain>
</file>

<file path=xl/sharedStrings.xml><?xml version="1.0" encoding="utf-8"?>
<sst xmlns="http://schemas.openxmlformats.org/spreadsheetml/2006/main" count="201" uniqueCount="201">
  <si>
    <t>Наименование</t>
  </si>
  <si>
    <t>Код УТ</t>
  </si>
  <si>
    <t>005</t>
  </si>
  <si>
    <t>032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</si>
  <si>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</si>
  <si>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</si>
  <si>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</si>
  <si>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Ветчина Нежная ТМ Особый рецепт, (2,5кг), ПОКОМ, кг</t>
  </si>
  <si>
    <t>Вес, кг</t>
  </si>
  <si>
    <t>ИТОГО:</t>
  </si>
  <si>
    <t>ЗАКАЗ</t>
  </si>
  <si>
    <t>Сардельки Левантские ТМ Особый Рецепт, ВЕС. ПОКОМ</t>
  </si>
  <si>
    <t>305</t>
  </si>
  <si>
    <t>Колбаса Сервелат Мясорубский с мелкорубленным окороком в/у  ТМ Стародворье ВЕС   ПОКОМ</t>
  </si>
  <si>
    <t>327</t>
  </si>
  <si>
    <t>Сосиски Сочинки с сыром ТМ Стародворье, ВЕС ПОКОМ</t>
  </si>
  <si>
    <t>Колбаса вареная Молокуша 0,45кг ТМ Вязанка  ПОКОМ</t>
  </si>
  <si>
    <t>322</t>
  </si>
  <si>
    <t>код 
завода</t>
  </si>
  <si>
    <t>341</t>
  </si>
  <si>
    <t>363</t>
  </si>
  <si>
    <t>Колбаса Сочинка по-европейски с сочной грудинкой ТМ Стародворье, ВЕС ПОКОМ</t>
  </si>
  <si>
    <t>344</t>
  </si>
  <si>
    <t>Колбаса Сочинка по-фински с сочным окроком ТМ Стародворье ВЕС ПОКОМ</t>
  </si>
  <si>
    <t>345</t>
  </si>
  <si>
    <t>Колбаса Сочинка зернистая с сочной грудинкой ТМ Стародворье.ВЕС ПОКОМ</t>
  </si>
  <si>
    <t>346</t>
  </si>
  <si>
    <t>Колбаса Сочинка рубленая с сочным окороком ТМ Стародворье ВЕС ПОКОМ</t>
  </si>
  <si>
    <t>347</t>
  </si>
  <si>
    <t xml:space="preserve"> Сосиски Сочинки Сливочные ТМ Стародворье ВЕС ПОКОМ</t>
  </si>
  <si>
    <t>394</t>
  </si>
  <si>
    <t xml:space="preserve"> Сосиски Восточные Халяль ТМ Вязанка 0,33 кг АК. ПОКОМ</t>
  </si>
  <si>
    <t>388</t>
  </si>
  <si>
    <t>412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</si>
  <si>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</si>
  <si>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</si>
  <si>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</si>
  <si>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</si>
  <si>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</si>
  <si>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</si>
  <si>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</si>
  <si>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</si>
  <si>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</si>
  <si>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</si>
  <si>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</si>
  <si>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</si>
  <si>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</si>
  <si>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</si>
  <si>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</si>
  <si>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</si>
  <si>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</si>
  <si>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</si>
  <si>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</si>
  <si>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</si>
  <si>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</si>
  <si>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</si>
  <si>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</si>
  <si>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</si>
  <si>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</si>
  <si>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</si>
  <si>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</si>
  <si>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</si>
  <si>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</si>
  <si>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</si>
  <si>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</si>
  <si>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</si>
  <si>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</si>
  <si>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</si>
  <si>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</si>
  <si>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</si>
  <si>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</si>
  <si>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</si>
  <si>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</si>
  <si>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</si>
  <si>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</si>
  <si>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</si>
  <si>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</si>
  <si>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</si>
  <si>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</si>
  <si>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</si>
  <si>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</si>
  <si>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</si>
  <si>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</si>
  <si>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</si>
  <si>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</si>
  <si>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</si>
  <si>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</si>
  <si>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</si>
  <si>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</si>
  <si>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</si>
  <si>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</si>
  <si>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</si>
  <si>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</si>
  <si>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</si>
  <si>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</si>
  <si>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</si>
  <si>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</si>
  <si>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</si>
  <si>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</si>
  <si>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</si>
  <si>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</si>
  <si>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</si>
  <si>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</si>
  <si>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</si>
  <si>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</si>
  <si>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</si>
  <si>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</si>
  <si>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</si>
  <si>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</si>
  <si>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</si>
  <si>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</si>
  <si>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</si>
  <si>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</si>
  <si>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</si>
  <si>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</si>
  <si>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</si>
  <si>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</si>
  <si>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</si>
  <si>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</si>
  <si>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</si>
  <si>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</si>
  <si>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</si>
  <si>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</si>
  <si>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</si>
  <si>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</si>
  <si>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</si>
  <si>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</si>
  <si>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</si>
  <si>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</si>
  <si>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</si>
  <si>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</si>
  <si>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</si>
  <si>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</si>
  <si>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</si>
  <si>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</si>
  <si>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</si>
  <si>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</si>
  <si>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</si>
  <si>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</si>
  <si>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</si>
  <si>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</si>
  <si>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</si>
  <si>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</si>
  <si>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</si>
  <si>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</si>
  <si>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</si>
  <si>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</si>
  <si>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</si>
  <si>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</si>
  <si>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</si>
  <si>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</si>
  <si>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</si>
  <si>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</si>
  <si>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</si>
  <si>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</si>
  <si>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</si>
  <si>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</si>
  <si>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</si>
  <si>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</si>
  <si>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</si>
  <si>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</si>
  <si>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</si>
  <si>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</si>
  <si>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</si>
  <si>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</si>
  <si>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</si>
  <si>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</si>
  <si>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</si>
  <si>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</si>
  <si>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</si>
  <si>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</si>
  <si>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</si>
  <si>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</si>
  <si>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</si>
  <si>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</si>
  <si>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</si>
  <si>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</si>
  <si>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</si>
  <si>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</si>
  <si>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</si>
  <si>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</si>
  <si>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</si>
  <si>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</si>
  <si>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</si>
  <si>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449</t>
  </si>
  <si>
    <t>452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</si>
  <si>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</si>
  <si>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</si>
  <si>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</si>
  <si>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456</t>
  </si>
  <si>
    <t>469</t>
  </si>
  <si>
    <t>Колбаса Филедворская по-стародворски ТМ Стародворье в оболочке полиамид. ПОКОМ</t>
  </si>
  <si>
    <t>457</t>
  </si>
  <si>
    <t>Теплова</t>
  </si>
  <si>
    <t>2816
3584</t>
  </si>
  <si>
    <t>Сумма, руб Теплова</t>
  </si>
  <si>
    <t>Колбаса Молочная ТМ Особый рецепт ВЕС большой батон  ПОКОМ</t>
  </si>
  <si>
    <t>Сосиски Баварские ТМ Стародворье 0,35 кг ПОКОМ</t>
  </si>
  <si>
    <t>509</t>
  </si>
  <si>
    <t>Колбаса Пряная Халяль ВЕС ТМ Сафияль  ПОКОМ</t>
  </si>
  <si>
    <t>Колбаса полукопченая Аль-Ислами халяль ТМ Вязанка оболочка фиброуз в в/у 0,35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</si>
</sst>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5">
    <xf numFmtId="0" fontId="0" fillId="0" borderId="0" xfId="0"/>
    <xf numFmtId="167" fontId="0" fillId="0" borderId="0" xfId="0" applyNumberFormat="1"/>
    <xf numFmtId="0" fontId="0" fillId="0" borderId="0" xfId="0" applyAlignment="1"/>
    <xf numFmtId="0" fontId="0" fillId="24" borderId="0" xfId="0" applyNumberFormat="1" applyFill="1"/>
    <xf numFmtId="0" fontId="36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6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4" fillId="29" borderId="23" xfId="0" applyNumberFormat="1" applyFont="1" applyFill="1" applyBorder="1" applyAlignment="1">
      <alignment horizontal="right" vertical="top"/>
    </xf>
    <xf numFmtId="2" fontId="44" fillId="27" borderId="23" xfId="0" applyNumberFormat="1" applyFont="1" applyFill="1" applyBorder="1" applyAlignment="1">
      <alignment horizontal="right" vertical="top"/>
    </xf>
    <xf numFmtId="2" fontId="45" fillId="24" borderId="0" xfId="0" applyNumberFormat="1" applyFont="1" applyFill="1"/>
    <xf numFmtId="2" fontId="45" fillId="0" borderId="0" xfId="0" applyNumberFormat="1" applyFont="1"/>
    <xf numFmtId="0" fontId="0" fillId="0" borderId="0" xfId="0" applyFill="1"/>
    <xf numFmtId="0" fontId="33" fillId="31" borderId="14" xfId="1953" applyNumberFormat="1" applyFont="1" applyFill="1" applyBorder="1" applyAlignment="1">
      <alignment horizontal="center" vertical="center" wrapText="1"/>
    </xf>
    <xf numFmtId="0" fontId="33" fillId="31" borderId="14" xfId="1953" applyFont="1" applyFill="1" applyBorder="1" applyAlignment="1">
      <alignment horizontal="center" vertical="center" wrapText="1"/>
    </xf>
    <xf numFmtId="168" fontId="41" fillId="26" borderId="11" xfId="0" applyNumberFormat="1" applyFont="1" applyFill="1" applyBorder="1" applyAlignment="1">
      <alignment horizontal="center" vertical="center"/>
    </xf>
    <xf numFmtId="168" fontId="35" fillId="25" borderId="22" xfId="0" applyNumberFormat="1" applyFont="1" applyFill="1" applyBorder="1" applyAlignment="1">
      <alignment horizontal="center" vertical="center"/>
    </xf>
    <xf numFmtId="0" fontId="33" fillId="31" borderId="21" xfId="1953" applyNumberFormat="1" applyFont="1" applyFill="1" applyBorder="1" applyAlignment="1">
      <alignment horizontal="center" vertical="center" wrapText="1"/>
    </xf>
    <xf numFmtId="167" fontId="39" fillId="32" borderId="20" xfId="0" applyNumberFormat="1" applyFont="1" applyFill="1" applyBorder="1" applyAlignment="1">
      <alignment horizontal="center" vertical="center"/>
    </xf>
    <xf numFmtId="49" fontId="49" fillId="28" borderId="10" xfId="0" applyNumberFormat="1" applyFont="1" applyFill="1" applyBorder="1" applyAlignment="1">
      <alignment horizontal="center" vertical="center" wrapText="1"/>
    </xf>
    <xf numFmtId="0" fontId="49" fillId="28" borderId="12" xfId="0" applyFont="1" applyFill="1" applyBorder="1" applyAlignment="1">
      <alignment horizontal="center" vertical="center" wrapText="1"/>
    </xf>
    <xf numFmtId="0" fontId="49" fillId="28" borderId="10" xfId="0" applyFont="1" applyFill="1" applyBorder="1" applyAlignment="1">
      <alignment horizontal="center" vertical="center" wrapText="1"/>
    </xf>
    <xf numFmtId="0" fontId="49" fillId="28" borderId="10" xfId="0" applyNumberFormat="1" applyFont="1" applyFill="1" applyBorder="1" applyAlignment="1">
      <alignment horizontal="center" vertical="center" wrapText="1"/>
    </xf>
    <xf numFmtId="2" fontId="49" fillId="28" borderId="24" xfId="0" applyNumberFormat="1" applyFont="1" applyFill="1" applyBorder="1" applyAlignment="1">
      <alignment horizontal="center" vertical="center" wrapText="1"/>
    </xf>
    <xf numFmtId="167" fontId="49" fillId="28" borderId="10" xfId="0" applyNumberFormat="1" applyFont="1" applyFill="1" applyBorder="1" applyAlignment="1">
      <alignment horizontal="center" vertical="center" wrapText="1"/>
    </xf>
    <xf numFmtId="0" fontId="43" fillId="28" borderId="25" xfId="0" applyFont="1" applyFill="1" applyBorder="1" applyAlignment="1">
      <alignment horizontal="center" vertical="center" wrapText="1"/>
    </xf>
    <xf numFmtId="0" fontId="46" fillId="0" borderId="28" xfId="1952" applyFont="1" applyFill="1" applyBorder="1" applyAlignment="1">
      <alignment horizontal="left" vertical="top" wrapText="1"/>
    </xf>
    <xf numFmtId="0" fontId="46" fillId="0" borderId="16" xfId="1952" applyFont="1" applyFill="1" applyBorder="1" applyAlignment="1">
      <alignment horizontal="left" vertical="top" wrapText="1"/>
    </xf>
    <xf numFmtId="0" fontId="46" fillId="0" borderId="16" xfId="1952" applyNumberFormat="1" applyFont="1" applyFill="1" applyBorder="1" applyAlignment="1">
      <alignment horizontal="left" vertical="top" wrapText="1"/>
    </xf>
    <xf numFmtId="0" fontId="46" fillId="0" borderId="19" xfId="0" applyFont="1" applyFill="1" applyBorder="1" applyAlignment="1">
      <alignment vertical="top" wrapText="1"/>
    </xf>
    <xf numFmtId="49" fontId="32" fillId="30" borderId="17" xfId="0" applyNumberFormat="1" applyFont="1" applyFill="1" applyBorder="1" applyAlignment="1">
      <alignment horizontal="center" vertical="center"/>
    </xf>
    <xf numFmtId="49" fontId="32" fillId="30" borderId="29" xfId="0" applyNumberFormat="1" applyFont="1" applyFill="1" applyBorder="1" applyAlignment="1">
      <alignment horizontal="center" vertical="center"/>
    </xf>
    <xf numFmtId="49" fontId="32" fillId="30" borderId="30" xfId="0" applyNumberFormat="1" applyFont="1" applyFill="1" applyBorder="1" applyAlignment="1">
      <alignment horizontal="center" vertical="center"/>
    </xf>
    <xf numFmtId="0" fontId="37" fillId="28" borderId="25" xfId="0" applyFont="1" applyFill="1" applyBorder="1" applyAlignment="1">
      <alignment horizontal="center" vertical="center"/>
    </xf>
    <xf numFmtId="4" fontId="47" fillId="0" borderId="11" xfId="1952" applyNumberFormat="1" applyFont="1" applyFill="1" applyBorder="1" applyAlignment="1">
      <alignment horizontal="center" vertical="center"/>
    </xf>
    <xf numFmtId="4" fontId="47" fillId="0" borderId="26" xfId="1952" applyNumberFormat="1" applyFont="1" applyFill="1" applyBorder="1" applyAlignment="1">
      <alignment horizontal="center" vertical="center"/>
    </xf>
    <xf numFmtId="4" fontId="48" fillId="0" borderId="26" xfId="1952" applyNumberFormat="1" applyFont="1" applyFill="1" applyBorder="1" applyAlignment="1">
      <alignment horizontal="center" vertical="center"/>
    </xf>
    <xf numFmtId="4" fontId="47" fillId="0" borderId="27" xfId="1952" applyNumberFormat="1" applyFont="1" applyFill="1" applyBorder="1" applyAlignment="1">
      <alignment horizontal="center" vertical="center"/>
    </xf>
    <xf numFmtId="4" fontId="33" fillId="32" borderId="15" xfId="1953" applyNumberFormat="1" applyFont="1" applyFill="1" applyBorder="1" applyAlignment="1">
      <alignment horizontal="center" vertical="center" wrapText="1"/>
    </xf>
    <xf numFmtId="0" fontId="34" fillId="28" borderId="12" xfId="1953" applyNumberFormat="1" applyFont="1" applyFill="1" applyBorder="1" applyAlignment="1">
      <alignment horizontal="right" vertical="center" wrapText="1"/>
    </xf>
    <xf numFmtId="168" fontId="38" fillId="28" borderId="18" xfId="0" applyNumberFormat="1" applyFont="1" applyFill="1" applyBorder="1" applyAlignment="1">
      <alignment horizontal="center" vertical="center"/>
    </xf>
    <xf numFmtId="168" fontId="42" fillId="28" borderId="10" xfId="0" applyNumberFormat="1" applyFont="1" applyFill="1" applyBorder="1" applyAlignment="1">
      <alignment horizontal="center" vertical="center"/>
    </xf>
    <xf numFmtId="167" fontId="38" fillId="28" borderId="13" xfId="0" applyNumberFormat="1" applyFont="1" applyFill="1" applyBorder="1" applyAlignment="1">
      <alignment horizontal="center" vertical="center"/>
    </xf>
    <xf numFmtId="0" fontId="34" fillId="28" borderId="18" xfId="1953" applyNumberFormat="1" applyFont="1" applyFill="1" applyBorder="1" applyAlignment="1">
      <alignment horizontal="right" vertical="center" wrapText="1"/>
    </xf>
    <xf numFmtId="0" fontId="34" fillId="28" borderId="31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D0FCD1"/>
      <color rgb="FFFFCCFF"/>
      <color rgb="FFA9DEF1"/>
      <color rgb="FFFFE575"/>
      <color rgb="FFF2CFA0"/>
      <color rgb="FFFFE5FF"/>
      <color rgb="FFDBF1F9"/>
      <color rgb="FFCDCDFF"/>
      <color rgb="FFFF3300"/>
      <color rgb="FFB8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4"/>
  <sheetViews>
    <sheetView tabSelected="1" zoomScale="68" zoomScaleNormal="68" workbookViewId="0">
      <pane ySplit="1" topLeftCell="A2" activePane="bottomLeft" state="frozen"/>
      <selection pane="bottomLeft" activeCell="O20" sqref="O20"/>
    </sheetView>
  </sheetViews>
  <sheetFormatPr defaultRowHeight="18.75" x14ac:dyDescent="0.25"/>
  <cols>
    <col min="1" max="1" width="17.7109375" customWidth="1"/>
    <col min="2" max="2" width="97.42578125" style="6" customWidth="1"/>
    <col min="3" max="3" width="10.42578125" style="4" hidden="1" customWidth="1"/>
    <col min="4" max="4" width="15.140625" style="7" customWidth="1"/>
    <col min="5" max="5" width="13" style="12" customWidth="1"/>
    <col min="6" max="6" width="15.140625" style="12" hidden="1" customWidth="1"/>
    <col min="7" max="7" width="21.5703125" style="3" customWidth="1"/>
    <col min="8" max="8" width="21.5703125" style="5" customWidth="1"/>
    <col min="9" max="9" width="21.42578125" style="1" hidden="1" customWidth="1"/>
  </cols>
  <sheetData>
    <row r="1" spans="2:9" ht="69.75" customHeight="1" thickBot="1" x14ac:dyDescent="0.3">
      <c r="B1" s="25" t="s">
        <v>0</v>
      </c>
      <c r="C1" s="33"/>
      <c r="D1" s="19" t="s">
        <v>1</v>
      </c>
      <c r="E1" s="20" t="s">
        <v>18</v>
      </c>
      <c r="F1" s="21" t="s">
        <v>193</v>
      </c>
      <c r="G1" s="22" t="s">
        <v>10</v>
      </c>
      <c r="H1" s="23" t="s">
        <v>8</v>
      </c>
      <c r="I1" s="24" t="s">
        <v>195</v>
      </c>
    </row>
    <row r="2" spans="2:9" ht="27" customHeight="1" thickBot="1" x14ac:dyDescent="0.3">
      <c r="B2" s="26" t="s">
        <v>199</v>
      </c>
      <c r="C2" s="34">
        <v>1</v>
      </c>
      <c r="D2" s="30" t="s">
        <v>198</v>
      </c>
      <c r="E2" s="17">
        <v>3403</v>
      </c>
      <c r="F2" s="38">
        <v>291.67</v>
      </c>
      <c r="G2" s="16">
        <v>30</v>
      </c>
      <c r="H2" s="15">
        <f t="shared" ref="H2" si="0">G2*C2</f>
        <v>30</v>
      </c>
      <c r="I2" s="18">
        <f t="shared" ref="I2" si="1">G2*F2</f>
        <v>8750.1</v>
      </c>
    </row>
    <row r="3" spans="2:9" ht="27" customHeight="1" thickBot="1" x14ac:dyDescent="0.3">
      <c r="B3" s="27" t="s">
        <v>191</v>
      </c>
      <c r="C3" s="35">
        <v>1</v>
      </c>
      <c r="D3" s="30" t="s">
        <v>190</v>
      </c>
      <c r="E3" s="17">
        <v>3387</v>
      </c>
      <c r="F3" s="38">
        <v>212.50960000000001</v>
      </c>
      <c r="G3" s="16">
        <v>20</v>
      </c>
      <c r="H3" s="15">
        <f t="shared" ref="H3:H23" si="2">G3*C3</f>
        <v>20</v>
      </c>
      <c r="I3" s="18">
        <f t="shared" ref="I3:I23" si="3">G3*F3</f>
        <v>4250.192</v>
      </c>
    </row>
    <row r="4" spans="2:9" ht="27" customHeight="1" thickBot="1" x14ac:dyDescent="0.3">
      <c r="B4" s="27" t="s">
        <v>188</v>
      </c>
      <c r="C4" s="35">
        <v>1</v>
      </c>
      <c r="D4" s="30" t="s">
        <v>189</v>
      </c>
      <c r="E4" s="17">
        <v>3420</v>
      </c>
      <c r="F4" s="38">
        <v>170.28</v>
      </c>
      <c r="G4" s="16">
        <v>565</v>
      </c>
      <c r="H4" s="15">
        <f t="shared" si="2"/>
        <v>565</v>
      </c>
      <c r="I4" s="18">
        <f t="shared" si="3"/>
        <v>96208.2</v>
      </c>
    </row>
    <row r="5" spans="2:9" ht="27" customHeight="1" thickBot="1" x14ac:dyDescent="0.3">
      <c r="B5" s="27" t="s">
        <v>196</v>
      </c>
      <c r="C5" s="35">
        <v>1</v>
      </c>
      <c r="D5" s="30" t="s">
        <v>192</v>
      </c>
      <c r="E5" s="17">
        <v>3422</v>
      </c>
      <c r="F5" s="38">
        <v>170.4</v>
      </c>
      <c r="G5" s="16">
        <v>475</v>
      </c>
      <c r="H5" s="15">
        <f t="shared" si="2"/>
        <v>475</v>
      </c>
      <c r="I5" s="18">
        <f t="shared" si="3"/>
        <v>80940</v>
      </c>
    </row>
    <row r="6" spans="2:9" ht="27.75" customHeight="1" thickBot="1" x14ac:dyDescent="0.3">
      <c r="B6" s="27" t="s">
        <v>186</v>
      </c>
      <c r="C6" s="35">
        <v>1</v>
      </c>
      <c r="D6" s="30" t="s">
        <v>185</v>
      </c>
      <c r="E6" s="17">
        <v>3423</v>
      </c>
      <c r="F6" s="38">
        <v>170</v>
      </c>
      <c r="G6" s="16">
        <v>335</v>
      </c>
      <c r="H6" s="15">
        <f t="shared" si="2"/>
        <v>335</v>
      </c>
      <c r="I6" s="18">
        <f t="shared" si="3"/>
        <v>56950</v>
      </c>
    </row>
    <row r="7" spans="2:9" ht="27" customHeight="1" thickBot="1" x14ac:dyDescent="0.3">
      <c r="B7" s="27" t="s">
        <v>187</v>
      </c>
      <c r="C7" s="35">
        <v>1</v>
      </c>
      <c r="D7" s="30" t="s">
        <v>184</v>
      </c>
      <c r="E7" s="17">
        <v>2634</v>
      </c>
      <c r="F7" s="38">
        <v>227.0326</v>
      </c>
      <c r="G7" s="16">
        <v>50</v>
      </c>
      <c r="H7" s="15">
        <f t="shared" si="2"/>
        <v>50</v>
      </c>
      <c r="I7" s="18">
        <f t="shared" si="3"/>
        <v>11351.630000000001</v>
      </c>
    </row>
    <row r="8" spans="2:9" ht="27" customHeight="1" thickBot="1" x14ac:dyDescent="0.3">
      <c r="B8" s="27" t="s">
        <v>6</v>
      </c>
      <c r="C8" s="35">
        <v>1</v>
      </c>
      <c r="D8" s="31" t="s">
        <v>2</v>
      </c>
      <c r="E8" s="13">
        <v>722</v>
      </c>
      <c r="F8" s="38">
        <v>324.8929</v>
      </c>
      <c r="G8" s="16">
        <v>10</v>
      </c>
      <c r="H8" s="15">
        <f t="shared" si="2"/>
        <v>10</v>
      </c>
      <c r="I8" s="18">
        <f t="shared" si="3"/>
        <v>3248.9290000000001</v>
      </c>
    </row>
    <row r="9" spans="2:9" ht="26.25" customHeight="1" thickBot="1" x14ac:dyDescent="0.3">
      <c r="B9" s="27" t="s">
        <v>21</v>
      </c>
      <c r="C9" s="36">
        <v>1</v>
      </c>
      <c r="D9" s="31" t="s">
        <v>22</v>
      </c>
      <c r="E9" s="14">
        <v>2941</v>
      </c>
      <c r="F9" s="38">
        <v>258.1592</v>
      </c>
      <c r="G9" s="16">
        <v>30</v>
      </c>
      <c r="H9" s="15">
        <f t="shared" si="2"/>
        <v>30</v>
      </c>
      <c r="I9" s="18">
        <f t="shared" si="3"/>
        <v>7744.7759999999998</v>
      </c>
    </row>
    <row r="10" spans="2:9" ht="27" customHeight="1" thickBot="1" x14ac:dyDescent="0.3">
      <c r="B10" s="27" t="s">
        <v>23</v>
      </c>
      <c r="C10" s="36">
        <v>1</v>
      </c>
      <c r="D10" s="31" t="s">
        <v>24</v>
      </c>
      <c r="E10" s="14">
        <v>2943</v>
      </c>
      <c r="F10" s="38">
        <v>265.24559999999997</v>
      </c>
      <c r="G10" s="16">
        <v>25</v>
      </c>
      <c r="H10" s="15">
        <f t="shared" si="2"/>
        <v>25</v>
      </c>
      <c r="I10" s="18">
        <f t="shared" si="3"/>
        <v>6631.1399999999994</v>
      </c>
    </row>
    <row r="11" spans="2:9" ht="27" customHeight="1" thickBot="1" x14ac:dyDescent="0.3">
      <c r="B11" s="27" t="s">
        <v>25</v>
      </c>
      <c r="C11" s="36">
        <v>1</v>
      </c>
      <c r="D11" s="31" t="s">
        <v>26</v>
      </c>
      <c r="E11" s="14">
        <v>2945</v>
      </c>
      <c r="F11" s="38">
        <v>246.12880000000001</v>
      </c>
      <c r="G11" s="16">
        <v>50</v>
      </c>
      <c r="H11" s="15">
        <f t="shared" si="2"/>
        <v>50</v>
      </c>
      <c r="I11" s="18">
        <f t="shared" si="3"/>
        <v>12306.44</v>
      </c>
    </row>
    <row r="12" spans="2:9" ht="27" customHeight="1" thickBot="1" x14ac:dyDescent="0.3">
      <c r="B12" s="27" t="s">
        <v>27</v>
      </c>
      <c r="C12" s="36">
        <v>1</v>
      </c>
      <c r="D12" s="31" t="s">
        <v>28</v>
      </c>
      <c r="E12" s="14">
        <v>2947</v>
      </c>
      <c r="F12" s="38">
        <v>251.68049999999999</v>
      </c>
      <c r="G12" s="16">
        <v>35</v>
      </c>
      <c r="H12" s="15">
        <f t="shared" si="2"/>
        <v>35</v>
      </c>
      <c r="I12" s="18">
        <f t="shared" si="3"/>
        <v>8808.8174999999992</v>
      </c>
    </row>
    <row r="13" spans="2:9" ht="27" customHeight="1" thickBot="1" x14ac:dyDescent="0.3">
      <c r="B13" s="27" t="s">
        <v>5</v>
      </c>
      <c r="C13" s="35">
        <v>1</v>
      </c>
      <c r="D13" s="31">
        <v>248</v>
      </c>
      <c r="E13" s="13">
        <v>2287</v>
      </c>
      <c r="F13" s="38">
        <v>205.23779999999999</v>
      </c>
      <c r="G13" s="16">
        <v>8</v>
      </c>
      <c r="H13" s="15">
        <f t="shared" si="2"/>
        <v>8</v>
      </c>
      <c r="I13" s="18">
        <f t="shared" si="3"/>
        <v>1641.9023999999999</v>
      </c>
    </row>
    <row r="14" spans="2:9" ht="26.25" customHeight="1" thickBot="1" x14ac:dyDescent="0.3">
      <c r="B14" s="27" t="s">
        <v>7</v>
      </c>
      <c r="C14" s="35">
        <v>1</v>
      </c>
      <c r="D14" s="31">
        <v>201</v>
      </c>
      <c r="E14" s="13">
        <v>126</v>
      </c>
      <c r="F14" s="38">
        <v>233.94</v>
      </c>
      <c r="G14" s="16">
        <v>1500</v>
      </c>
      <c r="H14" s="15">
        <f t="shared" si="2"/>
        <v>1500</v>
      </c>
      <c r="I14" s="18">
        <f t="shared" si="3"/>
        <v>350910</v>
      </c>
    </row>
    <row r="15" spans="2:9" ht="26.25" customHeight="1" thickBot="1" x14ac:dyDescent="0.3">
      <c r="B15" s="27" t="s">
        <v>16</v>
      </c>
      <c r="C15" s="35">
        <v>0.45</v>
      </c>
      <c r="D15" s="31" t="s">
        <v>17</v>
      </c>
      <c r="E15" s="13" t="s">
        <v>194</v>
      </c>
      <c r="F15" s="38">
        <v>140.66049151999999</v>
      </c>
      <c r="G15" s="16">
        <v>9</v>
      </c>
      <c r="H15" s="15">
        <f t="shared" si="2"/>
        <v>4.05</v>
      </c>
      <c r="I15" s="18">
        <f t="shared" si="3"/>
        <v>1265.94442368</v>
      </c>
    </row>
    <row r="16" spans="2:9" ht="26.25" customHeight="1" thickBot="1" x14ac:dyDescent="0.3">
      <c r="B16" s="28" t="s">
        <v>200</v>
      </c>
      <c r="C16" s="35">
        <v>0.35</v>
      </c>
      <c r="D16" s="31" t="s">
        <v>30</v>
      </c>
      <c r="E16" s="13">
        <v>2985</v>
      </c>
      <c r="F16" s="38">
        <v>137.35050000000001</v>
      </c>
      <c r="G16" s="16">
        <v>30</v>
      </c>
      <c r="H16" s="15">
        <f t="shared" si="2"/>
        <v>10.5</v>
      </c>
      <c r="I16" s="18">
        <f t="shared" si="3"/>
        <v>4120.5150000000003</v>
      </c>
    </row>
    <row r="17" spans="2:9" ht="26.25" customHeight="1" thickBot="1" x14ac:dyDescent="0.3">
      <c r="B17" s="27" t="s">
        <v>13</v>
      </c>
      <c r="C17" s="36">
        <v>1</v>
      </c>
      <c r="D17" s="31" t="s">
        <v>12</v>
      </c>
      <c r="E17" s="13">
        <v>2847</v>
      </c>
      <c r="F17" s="38">
        <v>280.39690000000002</v>
      </c>
      <c r="G17" s="16">
        <v>60</v>
      </c>
      <c r="H17" s="15">
        <f t="shared" si="2"/>
        <v>60</v>
      </c>
      <c r="I17" s="18">
        <f t="shared" si="3"/>
        <v>16823.814000000002</v>
      </c>
    </row>
    <row r="18" spans="2:9" ht="26.25" customHeight="1" thickBot="1" x14ac:dyDescent="0.3">
      <c r="B18" s="28" t="s">
        <v>11</v>
      </c>
      <c r="C18" s="35">
        <v>1</v>
      </c>
      <c r="D18" s="31" t="s">
        <v>20</v>
      </c>
      <c r="E18" s="13">
        <v>2472</v>
      </c>
      <c r="F18" s="38">
        <v>241.52470000000002</v>
      </c>
      <c r="G18" s="16">
        <v>8</v>
      </c>
      <c r="H18" s="15">
        <f t="shared" si="2"/>
        <v>8</v>
      </c>
      <c r="I18" s="18">
        <f t="shared" si="3"/>
        <v>1932.1976000000002</v>
      </c>
    </row>
    <row r="19" spans="2:9" s="2" customFormat="1" ht="26.25" customHeight="1" thickBot="1" x14ac:dyDescent="0.3">
      <c r="B19" s="27" t="s">
        <v>4</v>
      </c>
      <c r="C19" s="35">
        <v>0.45</v>
      </c>
      <c r="D19" s="31" t="s">
        <v>3</v>
      </c>
      <c r="E19" s="13">
        <v>1720</v>
      </c>
      <c r="F19" s="38">
        <v>142.9291139</v>
      </c>
      <c r="G19" s="16">
        <v>10.8</v>
      </c>
      <c r="H19" s="15">
        <f t="shared" si="2"/>
        <v>4.8600000000000003</v>
      </c>
      <c r="I19" s="18">
        <f t="shared" si="3"/>
        <v>1543.6344301200002</v>
      </c>
    </row>
    <row r="20" spans="2:9" ht="26.25" customHeight="1" thickBot="1" x14ac:dyDescent="0.3">
      <c r="B20" s="28" t="s">
        <v>29</v>
      </c>
      <c r="C20" s="35">
        <v>1</v>
      </c>
      <c r="D20" s="31" t="s">
        <v>19</v>
      </c>
      <c r="E20" s="13">
        <v>2845</v>
      </c>
      <c r="F20" s="38">
        <v>224.22069999999999</v>
      </c>
      <c r="G20" s="16">
        <v>24</v>
      </c>
      <c r="H20" s="15">
        <f t="shared" si="2"/>
        <v>24</v>
      </c>
      <c r="I20" s="18">
        <f t="shared" si="3"/>
        <v>5381.2968000000001</v>
      </c>
    </row>
    <row r="21" spans="2:9" s="2" customFormat="1" ht="26.25" customHeight="1" thickBot="1" x14ac:dyDescent="0.3">
      <c r="B21" s="27" t="s">
        <v>15</v>
      </c>
      <c r="C21" s="36">
        <v>1</v>
      </c>
      <c r="D21" s="31" t="s">
        <v>14</v>
      </c>
      <c r="E21" s="13">
        <v>2795</v>
      </c>
      <c r="F21" s="38">
        <v>235.54040000000001</v>
      </c>
      <c r="G21" s="16">
        <v>40</v>
      </c>
      <c r="H21" s="15">
        <f t="shared" si="2"/>
        <v>40</v>
      </c>
      <c r="I21" s="18">
        <f t="shared" si="3"/>
        <v>9421.616</v>
      </c>
    </row>
    <row r="22" spans="2:9" s="2" customFormat="1" ht="27" customHeight="1" thickBot="1" x14ac:dyDescent="0.3">
      <c r="B22" s="28" t="s">
        <v>31</v>
      </c>
      <c r="C22" s="35">
        <v>0.33</v>
      </c>
      <c r="D22" s="32" t="s">
        <v>32</v>
      </c>
      <c r="E22" s="13">
        <v>2984</v>
      </c>
      <c r="F22" s="38">
        <v>92.298299999999998</v>
      </c>
      <c r="G22" s="16">
        <v>20</v>
      </c>
      <c r="H22" s="15">
        <f t="shared" si="2"/>
        <v>6.6000000000000005</v>
      </c>
      <c r="I22" s="18">
        <f t="shared" si="3"/>
        <v>1845.9659999999999</v>
      </c>
    </row>
    <row r="23" spans="2:9" s="2" customFormat="1" ht="27" customHeight="1" thickBot="1" x14ac:dyDescent="0.3">
      <c r="B23" s="29" t="s">
        <v>197</v>
      </c>
      <c r="C23" s="37">
        <v>0.35</v>
      </c>
      <c r="D23" s="32" t="s">
        <v>33</v>
      </c>
      <c r="E23" s="13">
        <v>3167</v>
      </c>
      <c r="F23" s="38">
        <v>88.497600000000006</v>
      </c>
      <c r="G23" s="16">
        <v>10.5</v>
      </c>
      <c r="H23" s="15">
        <f t="shared" si="2"/>
        <v>3.6749999999999998</v>
      </c>
      <c r="I23" s="18">
        <f t="shared" si="3"/>
        <v>929.22480000000007</v>
      </c>
    </row>
    <row r="24" spans="2:9" ht="24.75" customHeight="1" thickBot="1" x14ac:dyDescent="0.3">
      <c r="B24" s="43" t="s">
        <v>9</v>
      </c>
      <c r="C24" s="44"/>
      <c r="D24" s="39"/>
      <c r="E24" s="39"/>
      <c r="F24" s="39"/>
      <c r="G24" s="40">
        <f>SUM(G2:G23)</f>
        <v>3345.3</v>
      </c>
      <c r="H24" s="41">
        <f>SUM(H2:H23)</f>
        <v>3294.6850000000004</v>
      </c>
      <c r="I24" s="42">
        <f>SUM(I2:I23)</f>
        <v>693006.33595380001</v>
      </c>
    </row>
  </sheetData>
  <sortState xmlns:xlrd2="http://schemas.microsoft.com/office/spreadsheetml/2017/richdata2" ref="B14:H21">
    <sortCondition ref="B114:B127"/>
  </sortState>
  <mergeCells count="1">
    <mergeCell ref="B24:C24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45</v>
      </c>
      <c r="C1" s="10" t="s">
        <v>183</v>
      </c>
    </row>
    <row r="2" spans="2:3" x14ac:dyDescent="0.25">
      <c r="B2" s="8"/>
      <c r="C2" s="11">
        <v>29.74</v>
      </c>
    </row>
    <row r="3" spans="2:3" x14ac:dyDescent="0.25">
      <c r="B3" s="8" t="s">
        <v>34</v>
      </c>
      <c r="C3" s="11">
        <v>39.15</v>
      </c>
    </row>
    <row r="4" spans="2:3" x14ac:dyDescent="0.25">
      <c r="B4" s="8" t="s">
        <v>46</v>
      </c>
      <c r="C4" s="11">
        <v>37.840000000000003</v>
      </c>
    </row>
    <row r="5" spans="2:3" x14ac:dyDescent="0.25">
      <c r="B5" s="8" t="s">
        <v>47</v>
      </c>
      <c r="C5" s="11">
        <v>37.840000000000003</v>
      </c>
    </row>
    <row r="6" spans="2:3" x14ac:dyDescent="0.25">
      <c r="B6" s="8" t="s">
        <v>48</v>
      </c>
      <c r="C6" s="11">
        <v>64.59</v>
      </c>
    </row>
    <row r="7" spans="2:3" x14ac:dyDescent="0.25">
      <c r="B7" s="8" t="s">
        <v>49</v>
      </c>
      <c r="C7" s="11">
        <v>64.59</v>
      </c>
    </row>
    <row r="8" spans="2:3" x14ac:dyDescent="0.25">
      <c r="B8" s="8" t="s">
        <v>50</v>
      </c>
      <c r="C8" s="11">
        <v>88.926327000000001</v>
      </c>
    </row>
    <row r="9" spans="2:3" x14ac:dyDescent="0.25">
      <c r="B9" s="8" t="s">
        <v>51</v>
      </c>
      <c r="C9" s="11">
        <v>86.952600000000004</v>
      </c>
    </row>
    <row r="10" spans="2:3" x14ac:dyDescent="0.25">
      <c r="B10" s="8" t="s">
        <v>52</v>
      </c>
      <c r="C10" s="10">
        <v>96.315538000000004</v>
      </c>
    </row>
    <row r="11" spans="2:3" x14ac:dyDescent="0.25">
      <c r="B11" s="8" t="s">
        <v>53</v>
      </c>
      <c r="C11" s="11">
        <v>94.258780000000002</v>
      </c>
    </row>
    <row r="12" spans="2:3" x14ac:dyDescent="0.25">
      <c r="B12" s="8" t="s">
        <v>54</v>
      </c>
      <c r="C12" s="11">
        <v>94.258780000000002</v>
      </c>
    </row>
    <row r="13" spans="2:3" x14ac:dyDescent="0.25">
      <c r="B13" s="8" t="s">
        <v>55</v>
      </c>
      <c r="C13" s="11">
        <v>91.247700000000009</v>
      </c>
    </row>
    <row r="14" spans="2:3" x14ac:dyDescent="0.25">
      <c r="B14" s="8" t="s">
        <v>56</v>
      </c>
      <c r="C14" s="11">
        <v>100.83150000000001</v>
      </c>
    </row>
    <row r="15" spans="2:3" x14ac:dyDescent="0.25">
      <c r="B15" s="8" t="s">
        <v>57</v>
      </c>
      <c r="C15" s="11">
        <v>95.813640000000007</v>
      </c>
    </row>
    <row r="16" spans="2:3" x14ac:dyDescent="0.25">
      <c r="B16" s="8" t="s">
        <v>58</v>
      </c>
      <c r="C16" s="11">
        <v>99.239184000000009</v>
      </c>
    </row>
    <row r="17" spans="2:3" x14ac:dyDescent="0.25">
      <c r="B17" s="8" t="s">
        <v>59</v>
      </c>
      <c r="C17" s="11">
        <v>97.996499999999997</v>
      </c>
    </row>
    <row r="18" spans="2:3" x14ac:dyDescent="0.25">
      <c r="B18" s="8" t="s">
        <v>60</v>
      </c>
      <c r="C18" s="11">
        <v>97.996499999999997</v>
      </c>
    </row>
    <row r="19" spans="2:3" x14ac:dyDescent="0.25">
      <c r="B19" s="8" t="s">
        <v>61</v>
      </c>
      <c r="C19" s="11">
        <v>107.03700000000001</v>
      </c>
    </row>
    <row r="20" spans="2:3" x14ac:dyDescent="0.25">
      <c r="B20" s="8" t="s">
        <v>37</v>
      </c>
      <c r="C20" s="11">
        <v>100.905</v>
      </c>
    </row>
    <row r="21" spans="2:3" x14ac:dyDescent="0.25">
      <c r="B21" s="8" t="s">
        <v>62</v>
      </c>
      <c r="C21" s="11">
        <v>102.312</v>
      </c>
    </row>
    <row r="22" spans="2:3" x14ac:dyDescent="0.25">
      <c r="B22" s="8" t="s">
        <v>63</v>
      </c>
      <c r="C22" s="11">
        <v>102.83770500000001</v>
      </c>
    </row>
    <row r="23" spans="2:3" x14ac:dyDescent="0.25">
      <c r="B23" s="8" t="s">
        <v>64</v>
      </c>
      <c r="C23" s="10">
        <v>90.76</v>
      </c>
    </row>
    <row r="24" spans="2:3" x14ac:dyDescent="0.25">
      <c r="B24" s="8" t="s">
        <v>65</v>
      </c>
      <c r="C24" s="11">
        <v>106.44383400000001</v>
      </c>
    </row>
    <row r="25" spans="2:3" x14ac:dyDescent="0.25">
      <c r="B25" s="8" t="s">
        <v>66</v>
      </c>
      <c r="C25" s="11">
        <v>110.0085</v>
      </c>
    </row>
    <row r="26" spans="2:3" x14ac:dyDescent="0.25">
      <c r="B26" s="8" t="s">
        <v>67</v>
      </c>
      <c r="C26" s="11">
        <v>111.91</v>
      </c>
    </row>
    <row r="27" spans="2:3" x14ac:dyDescent="0.25">
      <c r="B27" s="8" t="s">
        <v>68</v>
      </c>
      <c r="C27" s="11">
        <v>113.9632</v>
      </c>
    </row>
    <row r="28" spans="2:3" x14ac:dyDescent="0.25">
      <c r="B28" s="8" t="s">
        <v>69</v>
      </c>
      <c r="C28" s="11">
        <v>115.8338</v>
      </c>
    </row>
    <row r="29" spans="2:3" x14ac:dyDescent="0.25">
      <c r="B29" s="8" t="s">
        <v>70</v>
      </c>
      <c r="C29" s="11">
        <v>124.46700000000001</v>
      </c>
    </row>
    <row r="30" spans="2:3" x14ac:dyDescent="0.25">
      <c r="B30" s="8" t="s">
        <v>71</v>
      </c>
      <c r="C30" s="11">
        <v>119.61040000000001</v>
      </c>
    </row>
    <row r="31" spans="2:3" x14ac:dyDescent="0.25">
      <c r="B31" s="8" t="s">
        <v>72</v>
      </c>
      <c r="C31" s="11">
        <v>121.64880000000001</v>
      </c>
    </row>
    <row r="32" spans="2:3" x14ac:dyDescent="0.25">
      <c r="B32" s="8" t="s">
        <v>73</v>
      </c>
      <c r="C32" s="11">
        <v>117.61</v>
      </c>
    </row>
    <row r="33" spans="2:3" x14ac:dyDescent="0.25">
      <c r="B33" s="8" t="s">
        <v>74</v>
      </c>
      <c r="C33" s="10">
        <v>108.42</v>
      </c>
    </row>
    <row r="34" spans="2:3" x14ac:dyDescent="0.25">
      <c r="B34" s="8" t="s">
        <v>75</v>
      </c>
      <c r="C34" s="11">
        <v>133.93800000000002</v>
      </c>
    </row>
    <row r="35" spans="2:3" x14ac:dyDescent="0.25">
      <c r="B35" s="8" t="s">
        <v>76</v>
      </c>
      <c r="C35" s="11">
        <v>129.20959999999999</v>
      </c>
    </row>
    <row r="36" spans="2:3" x14ac:dyDescent="0.25">
      <c r="B36" s="8" t="s">
        <v>77</v>
      </c>
      <c r="C36" s="11">
        <v>129.62559999999999</v>
      </c>
    </row>
    <row r="37" spans="2:3" x14ac:dyDescent="0.25">
      <c r="B37" s="8" t="s">
        <v>78</v>
      </c>
      <c r="C37" s="11">
        <v>132.767</v>
      </c>
    </row>
    <row r="38" spans="2:3" x14ac:dyDescent="0.25">
      <c r="B38" s="8" t="s">
        <v>79</v>
      </c>
      <c r="C38" s="11">
        <v>134.8776</v>
      </c>
    </row>
    <row r="39" spans="2:3" x14ac:dyDescent="0.25">
      <c r="B39" s="8" t="s">
        <v>80</v>
      </c>
      <c r="C39" s="11">
        <v>135.26240000000001</v>
      </c>
    </row>
    <row r="40" spans="2:3" x14ac:dyDescent="0.25">
      <c r="B40" s="8" t="s">
        <v>81</v>
      </c>
      <c r="C40" s="11">
        <v>138.29817</v>
      </c>
    </row>
    <row r="41" spans="2:3" x14ac:dyDescent="0.25">
      <c r="B41" s="8" t="s">
        <v>40</v>
      </c>
      <c r="C41" s="11">
        <v>140.00700000000001</v>
      </c>
    </row>
    <row r="42" spans="2:3" x14ac:dyDescent="0.25">
      <c r="B42" s="8" t="s">
        <v>43</v>
      </c>
      <c r="C42" s="11">
        <v>140.00700000000001</v>
      </c>
    </row>
    <row r="43" spans="2:3" x14ac:dyDescent="0.25">
      <c r="B43" s="8" t="s">
        <v>82</v>
      </c>
      <c r="C43" s="11">
        <v>150.41249999999999</v>
      </c>
    </row>
    <row r="44" spans="2:3" x14ac:dyDescent="0.25">
      <c r="B44" s="8" t="s">
        <v>83</v>
      </c>
      <c r="C44" s="11">
        <v>136.16999999999999</v>
      </c>
    </row>
    <row r="45" spans="2:3" x14ac:dyDescent="0.25">
      <c r="B45" s="9" t="s">
        <v>84</v>
      </c>
      <c r="C45" s="11">
        <v>136.63999999999999</v>
      </c>
    </row>
    <row r="46" spans="2:3" x14ac:dyDescent="0.25">
      <c r="B46" s="8" t="s">
        <v>85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86</v>
      </c>
      <c r="C48" s="11">
        <v>138.66999999999999</v>
      </c>
    </row>
    <row r="49" spans="2:3" x14ac:dyDescent="0.25">
      <c r="B49" s="8" t="s">
        <v>87</v>
      </c>
      <c r="C49" s="11">
        <v>150.8312</v>
      </c>
    </row>
    <row r="50" spans="2:3" x14ac:dyDescent="0.25">
      <c r="B50" s="8" t="s">
        <v>88</v>
      </c>
      <c r="C50" s="11">
        <v>151.5488</v>
      </c>
    </row>
    <row r="51" spans="2:3" x14ac:dyDescent="0.25">
      <c r="B51" s="8" t="s">
        <v>44</v>
      </c>
      <c r="C51" s="11">
        <v>152.34960000000001</v>
      </c>
    </row>
    <row r="52" spans="2:3" x14ac:dyDescent="0.25">
      <c r="B52" s="8" t="s">
        <v>89</v>
      </c>
      <c r="C52" s="11">
        <v>156.53505000000001</v>
      </c>
    </row>
    <row r="53" spans="2:3" x14ac:dyDescent="0.25">
      <c r="B53" s="8" t="s">
        <v>90</v>
      </c>
      <c r="C53" s="11">
        <v>150.88</v>
      </c>
    </row>
    <row r="54" spans="2:3" x14ac:dyDescent="0.25">
      <c r="B54" s="8" t="s">
        <v>91</v>
      </c>
      <c r="C54" s="11">
        <v>170.77776299999999</v>
      </c>
    </row>
    <row r="55" spans="2:3" x14ac:dyDescent="0.25">
      <c r="B55" s="8" t="s">
        <v>92</v>
      </c>
      <c r="C55" s="11">
        <v>170.77776299999999</v>
      </c>
    </row>
    <row r="56" spans="2:3" x14ac:dyDescent="0.25">
      <c r="B56" s="8" t="s">
        <v>93</v>
      </c>
      <c r="C56" s="11">
        <v>161.70000000000002</v>
      </c>
    </row>
    <row r="57" spans="2:3" x14ac:dyDescent="0.25">
      <c r="B57" s="8" t="s">
        <v>94</v>
      </c>
      <c r="C57" s="11">
        <v>161.70000000000002</v>
      </c>
    </row>
    <row r="58" spans="2:3" x14ac:dyDescent="0.25">
      <c r="B58" s="8" t="s">
        <v>95</v>
      </c>
      <c r="C58" s="11">
        <v>162.10480000000001</v>
      </c>
    </row>
    <row r="59" spans="2:3" x14ac:dyDescent="0.25">
      <c r="B59" s="8" t="s">
        <v>96</v>
      </c>
      <c r="C59" s="11">
        <v>162.11519999999999</v>
      </c>
    </row>
    <row r="60" spans="2:3" x14ac:dyDescent="0.25">
      <c r="B60" s="8" t="s">
        <v>97</v>
      </c>
      <c r="C60" s="11">
        <v>162.11519999999999</v>
      </c>
    </row>
    <row r="61" spans="2:3" x14ac:dyDescent="0.25">
      <c r="B61" s="8" t="s">
        <v>98</v>
      </c>
      <c r="C61" s="11">
        <v>156.21</v>
      </c>
    </row>
    <row r="62" spans="2:3" x14ac:dyDescent="0.25">
      <c r="B62" s="8" t="s">
        <v>99</v>
      </c>
      <c r="C62" s="11">
        <v>162.708</v>
      </c>
    </row>
    <row r="63" spans="2:3" x14ac:dyDescent="0.25">
      <c r="B63" s="8" t="s">
        <v>100</v>
      </c>
      <c r="C63" s="11">
        <v>165.22480000000002</v>
      </c>
    </row>
    <row r="64" spans="2:3" x14ac:dyDescent="0.25">
      <c r="B64" s="8" t="s">
        <v>101</v>
      </c>
      <c r="C64" s="11">
        <v>166.90960000000001</v>
      </c>
    </row>
    <row r="65" spans="2:3" x14ac:dyDescent="0.25">
      <c r="B65" s="8" t="s">
        <v>102</v>
      </c>
      <c r="C65" s="11">
        <v>166.90960000000001</v>
      </c>
    </row>
    <row r="66" spans="2:3" x14ac:dyDescent="0.25">
      <c r="B66" s="8" t="s">
        <v>103</v>
      </c>
      <c r="C66" s="11">
        <v>166.98240000000001</v>
      </c>
    </row>
    <row r="67" spans="2:3" x14ac:dyDescent="0.25">
      <c r="B67" s="8" t="s">
        <v>104</v>
      </c>
      <c r="C67" s="11">
        <v>167.81440000000001</v>
      </c>
    </row>
    <row r="68" spans="2:3" x14ac:dyDescent="0.25">
      <c r="B68" s="8" t="s">
        <v>105</v>
      </c>
      <c r="C68" s="11">
        <v>172.02</v>
      </c>
    </row>
    <row r="69" spans="2:3" x14ac:dyDescent="0.25">
      <c r="B69" s="8" t="s">
        <v>106</v>
      </c>
      <c r="C69" s="11">
        <v>165.35</v>
      </c>
    </row>
    <row r="70" spans="2:3" x14ac:dyDescent="0.25">
      <c r="B70" s="8" t="s">
        <v>107</v>
      </c>
      <c r="C70" s="11">
        <v>185.95200000000003</v>
      </c>
    </row>
    <row r="71" spans="2:3" x14ac:dyDescent="0.25">
      <c r="B71" s="9" t="s">
        <v>108</v>
      </c>
      <c r="C71" s="11">
        <v>179.34000000000003</v>
      </c>
    </row>
    <row r="72" spans="2:3" x14ac:dyDescent="0.25">
      <c r="B72" s="8" t="s">
        <v>109</v>
      </c>
      <c r="C72" s="11">
        <v>180.68400000000003</v>
      </c>
    </row>
    <row r="73" spans="2:3" x14ac:dyDescent="0.25">
      <c r="B73" s="8" t="s">
        <v>110</v>
      </c>
      <c r="C73" s="11">
        <v>174.94</v>
      </c>
    </row>
    <row r="74" spans="2:3" x14ac:dyDescent="0.25">
      <c r="B74" s="8" t="s">
        <v>42</v>
      </c>
      <c r="C74" s="11">
        <v>186.21200000000002</v>
      </c>
    </row>
    <row r="75" spans="2:3" x14ac:dyDescent="0.25">
      <c r="B75" s="8" t="s">
        <v>111</v>
      </c>
      <c r="C75" s="11">
        <v>189.11360000000002</v>
      </c>
    </row>
    <row r="76" spans="2:3" x14ac:dyDescent="0.25">
      <c r="B76" s="8" t="s">
        <v>112</v>
      </c>
      <c r="C76" s="11">
        <v>192.22</v>
      </c>
    </row>
    <row r="77" spans="2:3" x14ac:dyDescent="0.25">
      <c r="B77" s="8" t="s">
        <v>35</v>
      </c>
      <c r="C77" s="11">
        <v>200.35600000000002</v>
      </c>
    </row>
    <row r="78" spans="2:3" x14ac:dyDescent="0.25">
      <c r="B78" s="8" t="s">
        <v>113</v>
      </c>
      <c r="C78" s="11">
        <v>200.7824</v>
      </c>
    </row>
    <row r="79" spans="2:3" x14ac:dyDescent="0.25">
      <c r="B79" s="8" t="s">
        <v>114</v>
      </c>
      <c r="C79" s="11">
        <v>200.83440000000002</v>
      </c>
    </row>
    <row r="80" spans="2:3" x14ac:dyDescent="0.25">
      <c r="B80" s="8" t="s">
        <v>115</v>
      </c>
      <c r="C80" s="11">
        <v>201.82240000000002</v>
      </c>
    </row>
    <row r="81" spans="2:3" x14ac:dyDescent="0.25">
      <c r="B81" s="8" t="s">
        <v>116</v>
      </c>
      <c r="C81" s="11">
        <v>202.16559999999998</v>
      </c>
    </row>
    <row r="82" spans="2:3" x14ac:dyDescent="0.25">
      <c r="B82" s="8" t="s">
        <v>117</v>
      </c>
      <c r="C82" s="11">
        <v>204.45360000000002</v>
      </c>
    </row>
    <row r="83" spans="2:3" x14ac:dyDescent="0.25">
      <c r="B83" s="8" t="s">
        <v>118</v>
      </c>
      <c r="C83" s="11">
        <v>210.22980000000001</v>
      </c>
    </row>
    <row r="84" spans="2:3" x14ac:dyDescent="0.25">
      <c r="B84" s="8" t="s">
        <v>119</v>
      </c>
      <c r="C84" s="11">
        <v>208</v>
      </c>
    </row>
    <row r="85" spans="2:3" x14ac:dyDescent="0.25">
      <c r="B85" s="8" t="s">
        <v>120</v>
      </c>
      <c r="C85" s="11">
        <v>226.89450000000002</v>
      </c>
    </row>
    <row r="86" spans="2:3" x14ac:dyDescent="0.25">
      <c r="B86" s="8" t="s">
        <v>121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122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123</v>
      </c>
      <c r="C90" s="11">
        <v>229.37200000000001</v>
      </c>
    </row>
    <row r="91" spans="2:3" x14ac:dyDescent="0.25">
      <c r="B91" s="8" t="s">
        <v>124</v>
      </c>
      <c r="C91" s="11">
        <v>229.37200000000001</v>
      </c>
    </row>
    <row r="92" spans="2:3" x14ac:dyDescent="0.25">
      <c r="B92" s="8" t="s">
        <v>125</v>
      </c>
      <c r="C92" s="11">
        <v>219.27360000000002</v>
      </c>
    </row>
    <row r="93" spans="2:3" x14ac:dyDescent="0.25">
      <c r="B93" s="8" t="s">
        <v>126</v>
      </c>
      <c r="C93" s="11">
        <v>222.1695</v>
      </c>
    </row>
    <row r="94" spans="2:3" x14ac:dyDescent="0.25">
      <c r="B94" s="8" t="s">
        <v>127</v>
      </c>
      <c r="C94" s="11">
        <v>221.55120000000002</v>
      </c>
    </row>
    <row r="95" spans="2:3" x14ac:dyDescent="0.25">
      <c r="B95" s="8" t="s">
        <v>128</v>
      </c>
      <c r="C95" s="11">
        <v>221.9152</v>
      </c>
    </row>
    <row r="96" spans="2:3" x14ac:dyDescent="0.25">
      <c r="B96" s="8" t="s">
        <v>129</v>
      </c>
      <c r="C96" s="11">
        <v>226.32750000000001</v>
      </c>
    </row>
    <row r="97" spans="2:3" x14ac:dyDescent="0.25">
      <c r="B97" s="8" t="s">
        <v>130</v>
      </c>
      <c r="C97" s="11">
        <v>226.92600000000002</v>
      </c>
    </row>
    <row r="98" spans="2:3" x14ac:dyDescent="0.25">
      <c r="B98" s="8" t="s">
        <v>131</v>
      </c>
      <c r="C98" s="10">
        <v>202.61</v>
      </c>
    </row>
    <row r="99" spans="2:3" x14ac:dyDescent="0.25">
      <c r="B99" s="8" t="s">
        <v>132</v>
      </c>
      <c r="C99" s="11">
        <v>227.1568</v>
      </c>
    </row>
    <row r="100" spans="2:3" x14ac:dyDescent="0.25">
      <c r="B100" s="8" t="s">
        <v>133</v>
      </c>
      <c r="C100" s="11">
        <v>229.79338300000003</v>
      </c>
    </row>
    <row r="101" spans="2:3" x14ac:dyDescent="0.25">
      <c r="B101" s="8" t="s">
        <v>134</v>
      </c>
      <c r="C101" s="11">
        <v>229.43440000000001</v>
      </c>
    </row>
    <row r="102" spans="2:3" x14ac:dyDescent="0.25">
      <c r="B102" s="8" t="s">
        <v>135</v>
      </c>
      <c r="C102" s="11">
        <v>229.43440000000001</v>
      </c>
    </row>
    <row r="103" spans="2:3" x14ac:dyDescent="0.25">
      <c r="B103" s="8" t="s">
        <v>136</v>
      </c>
      <c r="C103" s="11">
        <v>227.26950000000002</v>
      </c>
    </row>
    <row r="104" spans="2:3" x14ac:dyDescent="0.25">
      <c r="B104" s="8" t="s">
        <v>137</v>
      </c>
      <c r="C104" s="11">
        <v>231.4624</v>
      </c>
    </row>
    <row r="105" spans="2:3" x14ac:dyDescent="0.25">
      <c r="B105" s="8" t="s">
        <v>138</v>
      </c>
      <c r="C105" s="11">
        <v>233.3552</v>
      </c>
    </row>
    <row r="106" spans="2:3" x14ac:dyDescent="0.25">
      <c r="B106" s="8" t="s">
        <v>139</v>
      </c>
      <c r="C106" s="11">
        <v>240.09729999999999</v>
      </c>
    </row>
    <row r="107" spans="2:3" x14ac:dyDescent="0.25">
      <c r="B107" s="8" t="s">
        <v>140</v>
      </c>
      <c r="C107" s="11">
        <v>235.58080000000001</v>
      </c>
    </row>
    <row r="108" spans="2:3" x14ac:dyDescent="0.25">
      <c r="B108" s="8" t="s">
        <v>141</v>
      </c>
      <c r="C108" s="10">
        <v>218.26</v>
      </c>
    </row>
    <row r="109" spans="2:3" x14ac:dyDescent="0.25">
      <c r="B109" s="8" t="s">
        <v>142</v>
      </c>
      <c r="C109" s="11">
        <v>239.30620800000003</v>
      </c>
    </row>
    <row r="110" spans="2:3" x14ac:dyDescent="0.25">
      <c r="B110" s="8" t="s">
        <v>143</v>
      </c>
      <c r="C110" s="11">
        <v>245.48248800000002</v>
      </c>
    </row>
    <row r="111" spans="2:3" x14ac:dyDescent="0.25">
      <c r="B111" s="8" t="s">
        <v>144</v>
      </c>
      <c r="C111" s="10">
        <v>222.1</v>
      </c>
    </row>
    <row r="112" spans="2:3" x14ac:dyDescent="0.25">
      <c r="B112" s="8" t="s">
        <v>145</v>
      </c>
      <c r="C112" s="11">
        <v>251.787948</v>
      </c>
    </row>
    <row r="113" spans="2:3" x14ac:dyDescent="0.25">
      <c r="B113" s="8" t="s">
        <v>146</v>
      </c>
      <c r="C113" s="11">
        <v>247.59139999999999</v>
      </c>
    </row>
    <row r="114" spans="2:3" x14ac:dyDescent="0.25">
      <c r="B114" s="8" t="s">
        <v>147</v>
      </c>
      <c r="C114" s="11">
        <v>258.64608599999997</v>
      </c>
    </row>
    <row r="115" spans="2:3" x14ac:dyDescent="0.25">
      <c r="B115" s="8" t="s">
        <v>41</v>
      </c>
      <c r="C115" s="11">
        <v>263.38440000000003</v>
      </c>
    </row>
    <row r="116" spans="2:3" x14ac:dyDescent="0.25">
      <c r="B116" s="8" t="s">
        <v>148</v>
      </c>
      <c r="C116" s="11">
        <v>274.33350000000002</v>
      </c>
    </row>
    <row r="117" spans="2:3" x14ac:dyDescent="0.25">
      <c r="B117" s="8" t="s">
        <v>149</v>
      </c>
      <c r="C117" s="11">
        <v>258.7312</v>
      </c>
    </row>
    <row r="118" spans="2:3" x14ac:dyDescent="0.25">
      <c r="B118" s="8" t="s">
        <v>38</v>
      </c>
      <c r="C118" s="11">
        <v>258.97039999999998</v>
      </c>
    </row>
    <row r="119" spans="2:3" x14ac:dyDescent="0.25">
      <c r="B119" s="8" t="s">
        <v>39</v>
      </c>
      <c r="C119" s="11">
        <v>279.25</v>
      </c>
    </row>
    <row r="120" spans="2:3" x14ac:dyDescent="0.25">
      <c r="B120" s="8" t="s">
        <v>150</v>
      </c>
      <c r="C120" s="11">
        <v>303.39999999999998</v>
      </c>
    </row>
    <row r="121" spans="2:3" x14ac:dyDescent="0.25">
      <c r="B121" s="8" t="s">
        <v>151</v>
      </c>
      <c r="C121" s="11">
        <v>262.5376</v>
      </c>
    </row>
    <row r="122" spans="2:3" x14ac:dyDescent="0.25">
      <c r="B122" s="8" t="s">
        <v>152</v>
      </c>
      <c r="C122" s="11">
        <v>265.76550000000003</v>
      </c>
    </row>
    <row r="123" spans="2:3" x14ac:dyDescent="0.25">
      <c r="B123" s="8" t="s">
        <v>153</v>
      </c>
      <c r="C123" s="11">
        <v>273.377994</v>
      </c>
    </row>
    <row r="124" spans="2:3" x14ac:dyDescent="0.25">
      <c r="B124" s="8" t="s">
        <v>154</v>
      </c>
      <c r="C124" s="11">
        <v>273.377994</v>
      </c>
    </row>
    <row r="125" spans="2:3" x14ac:dyDescent="0.25">
      <c r="B125" s="8" t="s">
        <v>155</v>
      </c>
      <c r="C125" s="11">
        <v>269.048</v>
      </c>
    </row>
    <row r="126" spans="2:3" x14ac:dyDescent="0.25">
      <c r="B126" s="8" t="s">
        <v>156</v>
      </c>
      <c r="C126" s="11">
        <v>270.63920000000002</v>
      </c>
    </row>
    <row r="127" spans="2:3" x14ac:dyDescent="0.25">
      <c r="B127" s="8" t="s">
        <v>157</v>
      </c>
      <c r="C127" s="11">
        <v>277.04788300000001</v>
      </c>
    </row>
    <row r="128" spans="2:3" x14ac:dyDescent="0.25">
      <c r="B128" s="8" t="s">
        <v>158</v>
      </c>
      <c r="C128" s="11">
        <v>283.02628800000002</v>
      </c>
    </row>
    <row r="129" spans="2:3" x14ac:dyDescent="0.25">
      <c r="B129" s="8" t="s">
        <v>159</v>
      </c>
      <c r="C129" s="11">
        <v>273.20749999999998</v>
      </c>
    </row>
    <row r="130" spans="2:3" x14ac:dyDescent="0.25">
      <c r="B130" s="8" t="s">
        <v>160</v>
      </c>
      <c r="C130" s="11">
        <v>279.77249999999998</v>
      </c>
    </row>
    <row r="131" spans="2:3" x14ac:dyDescent="0.25">
      <c r="B131" s="8" t="s">
        <v>161</v>
      </c>
      <c r="C131" s="11">
        <v>266.61</v>
      </c>
    </row>
    <row r="132" spans="2:3" x14ac:dyDescent="0.25">
      <c r="B132" s="8" t="s">
        <v>162</v>
      </c>
      <c r="C132" s="11">
        <v>284.41958500000004</v>
      </c>
    </row>
    <row r="133" spans="2:3" x14ac:dyDescent="0.25">
      <c r="B133" s="8" t="s">
        <v>163</v>
      </c>
      <c r="C133" s="11">
        <v>271.89999999999998</v>
      </c>
    </row>
    <row r="134" spans="2:3" x14ac:dyDescent="0.25">
      <c r="B134" s="8" t="s">
        <v>164</v>
      </c>
      <c r="C134" s="11">
        <v>275.79059999999998</v>
      </c>
    </row>
    <row r="135" spans="2:3" x14ac:dyDescent="0.25">
      <c r="B135" s="8" t="s">
        <v>165</v>
      </c>
      <c r="C135" s="11">
        <v>278.44690000000003</v>
      </c>
    </row>
    <row r="136" spans="2:3" x14ac:dyDescent="0.25">
      <c r="B136" s="8" t="s">
        <v>166</v>
      </c>
      <c r="C136" s="11">
        <v>285.17610000000002</v>
      </c>
    </row>
    <row r="137" spans="2:3" x14ac:dyDescent="0.25">
      <c r="B137" s="8" t="s">
        <v>167</v>
      </c>
      <c r="C137" s="11">
        <v>293.49599999999998</v>
      </c>
    </row>
    <row r="138" spans="2:3" x14ac:dyDescent="0.25">
      <c r="B138" s="8" t="s">
        <v>168</v>
      </c>
      <c r="C138" s="11">
        <v>288.89440000000002</v>
      </c>
    </row>
    <row r="139" spans="2:3" x14ac:dyDescent="0.25">
      <c r="B139" s="8" t="s">
        <v>169</v>
      </c>
      <c r="C139" s="10">
        <v>260.47000000000003</v>
      </c>
    </row>
    <row r="140" spans="2:3" x14ac:dyDescent="0.25">
      <c r="B140" s="8" t="s">
        <v>170</v>
      </c>
      <c r="C140" s="11">
        <v>285.49</v>
      </c>
    </row>
    <row r="141" spans="2:3" x14ac:dyDescent="0.25">
      <c r="B141" s="8" t="s">
        <v>171</v>
      </c>
      <c r="C141" s="11">
        <v>285.58</v>
      </c>
    </row>
    <row r="142" spans="2:3" x14ac:dyDescent="0.25">
      <c r="B142" s="8" t="s">
        <v>172</v>
      </c>
      <c r="C142" s="11">
        <v>307.209</v>
      </c>
    </row>
    <row r="143" spans="2:3" x14ac:dyDescent="0.25">
      <c r="B143" s="8" t="s">
        <v>173</v>
      </c>
      <c r="C143" s="11">
        <v>316.54480000000001</v>
      </c>
    </row>
    <row r="144" spans="2:3" x14ac:dyDescent="0.25">
      <c r="B144" s="8" t="s">
        <v>174</v>
      </c>
      <c r="C144" s="11">
        <v>310.32249999999999</v>
      </c>
    </row>
    <row r="145" spans="2:3" x14ac:dyDescent="0.25">
      <c r="B145" s="8" t="s">
        <v>175</v>
      </c>
      <c r="C145" s="11">
        <v>314.09989999999999</v>
      </c>
    </row>
    <row r="146" spans="2:3" x14ac:dyDescent="0.25">
      <c r="B146" s="8" t="s">
        <v>176</v>
      </c>
      <c r="C146" s="11">
        <v>317.87730000000005</v>
      </c>
    </row>
    <row r="147" spans="2:3" x14ac:dyDescent="0.25">
      <c r="B147" s="8" t="s">
        <v>36</v>
      </c>
      <c r="C147" s="11">
        <v>320.8467</v>
      </c>
    </row>
    <row r="148" spans="2:3" x14ac:dyDescent="0.25">
      <c r="B148" s="8" t="s">
        <v>177</v>
      </c>
      <c r="C148" s="11">
        <v>328.54</v>
      </c>
    </row>
    <row r="149" spans="2:3" x14ac:dyDescent="0.25">
      <c r="B149" s="8" t="s">
        <v>178</v>
      </c>
      <c r="C149" s="11">
        <v>356.83</v>
      </c>
    </row>
    <row r="150" spans="2:3" x14ac:dyDescent="0.25">
      <c r="B150" s="8" t="s">
        <v>179</v>
      </c>
      <c r="C150" s="11">
        <v>390.37</v>
      </c>
    </row>
    <row r="151" spans="2:3" x14ac:dyDescent="0.25">
      <c r="B151" s="8" t="s">
        <v>180</v>
      </c>
      <c r="C151" s="11">
        <v>409.37</v>
      </c>
    </row>
    <row r="152" spans="2:3" x14ac:dyDescent="0.25">
      <c r="B152" s="8" t="s">
        <v>181</v>
      </c>
      <c r="C152" s="11">
        <v>437.35019999999997</v>
      </c>
    </row>
    <row r="153" spans="2:3" x14ac:dyDescent="0.25">
      <c r="B153" s="8" t="s">
        <v>182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2025-04-08T08:18:44Z</dcterms:modified>
</cp:coreProperties>
</file>