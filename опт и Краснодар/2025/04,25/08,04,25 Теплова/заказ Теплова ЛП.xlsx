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8,04,25 Теплова\"/>
    </mc:Choice>
  </mc:AlternateContent>
  <xr:revisionPtr revIDLastSave="0" documentId="13_ncr:1_{7276BBC7-4065-4370-A2C5-D1E7B8A012B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O458" i="1"/>
  <c r="BM458" i="1"/>
  <c r="Y458" i="1"/>
  <c r="P458" i="1"/>
  <c r="BP457" i="1"/>
  <c r="BO457" i="1"/>
  <c r="BN457" i="1"/>
  <c r="BM457" i="1"/>
  <c r="Z457" i="1"/>
  <c r="Y457" i="1"/>
  <c r="Y462" i="1" s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Y454" i="1" s="1"/>
  <c r="P452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P417" i="1"/>
  <c r="X415" i="1"/>
  <c r="Y414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N309" i="1"/>
  <c r="BM309" i="1"/>
  <c r="Z309" i="1"/>
  <c r="Y309" i="1"/>
  <c r="BP309" i="1" s="1"/>
  <c r="P309" i="1"/>
  <c r="BO308" i="1"/>
  <c r="BM308" i="1"/>
  <c r="Y308" i="1"/>
  <c r="Y310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Y300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Y243" i="1"/>
  <c r="X243" i="1"/>
  <c r="BP242" i="1"/>
  <c r="BO242" i="1"/>
  <c r="BN242" i="1"/>
  <c r="BM242" i="1"/>
  <c r="Z242" i="1"/>
  <c r="Y242" i="1"/>
  <c r="BP241" i="1"/>
  <c r="BO241" i="1"/>
  <c r="BN241" i="1"/>
  <c r="BM241" i="1"/>
  <c r="Z241" i="1"/>
  <c r="Z243" i="1" s="1"/>
  <c r="Y241" i="1"/>
  <c r="Y244" i="1" s="1"/>
  <c r="P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2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2" i="1" s="1"/>
  <c r="P191" i="1"/>
  <c r="X188" i="1"/>
  <c r="X187" i="1"/>
  <c r="BO186" i="1"/>
  <c r="BM186" i="1"/>
  <c r="Y186" i="1"/>
  <c r="Y187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4" i="1" s="1"/>
  <c r="P174" i="1"/>
  <c r="X172" i="1"/>
  <c r="X171" i="1"/>
  <c r="BO170" i="1"/>
  <c r="BM170" i="1"/>
  <c r="Y170" i="1"/>
  <c r="I602" i="1" s="1"/>
  <c r="P170" i="1"/>
  <c r="X166" i="1"/>
  <c r="X165" i="1"/>
  <c r="BO164" i="1"/>
  <c r="BM164" i="1"/>
  <c r="Y164" i="1"/>
  <c r="BP164" i="1" s="1"/>
  <c r="P164" i="1"/>
  <c r="BP163" i="1"/>
  <c r="BO163" i="1"/>
  <c r="BN163" i="1"/>
  <c r="BM163" i="1"/>
  <c r="Z163" i="1"/>
  <c r="Y163" i="1"/>
  <c r="Y165" i="1" s="1"/>
  <c r="P163" i="1"/>
  <c r="X161" i="1"/>
  <c r="X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Y161" i="1" s="1"/>
  <c r="P156" i="1"/>
  <c r="X154" i="1"/>
  <c r="X153" i="1"/>
  <c r="BO152" i="1"/>
  <c r="BM152" i="1"/>
  <c r="Y152" i="1"/>
  <c r="H602" i="1" s="1"/>
  <c r="P152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BP118" i="1"/>
  <c r="BO118" i="1"/>
  <c r="BN118" i="1"/>
  <c r="BM118" i="1"/>
  <c r="Z118" i="1"/>
  <c r="Y118" i="1"/>
  <c r="Y127" i="1" s="1"/>
  <c r="P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F602" i="1" s="1"/>
  <c r="P105" i="1"/>
  <c r="X102" i="1"/>
  <c r="X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BO92" i="1"/>
  <c r="BM92" i="1"/>
  <c r="Y92" i="1"/>
  <c r="Y101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602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6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Y62" i="1" s="1"/>
  <c r="P57" i="1"/>
  <c r="X55" i="1"/>
  <c r="X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602" i="1" s="1"/>
  <c r="P47" i="1"/>
  <c r="X44" i="1"/>
  <c r="X43" i="1"/>
  <c r="BO42" i="1"/>
  <c r="BM42" i="1"/>
  <c r="Y42" i="1"/>
  <c r="Y43" i="1" s="1"/>
  <c r="P42" i="1"/>
  <c r="X40" i="1"/>
  <c r="X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BP36" i="1" s="1"/>
  <c r="P36" i="1"/>
  <c r="BP35" i="1"/>
  <c r="BO35" i="1"/>
  <c r="BN35" i="1"/>
  <c r="BM35" i="1"/>
  <c r="Z35" i="1"/>
  <c r="Y35" i="1"/>
  <c r="P35" i="1"/>
  <c r="X31" i="1"/>
  <c r="Y30" i="1"/>
  <c r="X30" i="1"/>
  <c r="BP29" i="1"/>
  <c r="BO29" i="1"/>
  <c r="BN29" i="1"/>
  <c r="BM29" i="1"/>
  <c r="Z29" i="1"/>
  <c r="Z30" i="1" s="1"/>
  <c r="Y29" i="1"/>
  <c r="Y31" i="1" s="1"/>
  <c r="P29" i="1"/>
  <c r="X27" i="1"/>
  <c r="X592" i="1" s="1"/>
  <c r="X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F10" i="1" s="1"/>
  <c r="D7" i="1"/>
  <c r="Q6" i="1"/>
  <c r="P2" i="1"/>
  <c r="Y26" i="1" l="1"/>
  <c r="Y40" i="1"/>
  <c r="Y44" i="1"/>
  <c r="Y55" i="1"/>
  <c r="Y61" i="1"/>
  <c r="Y67" i="1"/>
  <c r="Y77" i="1"/>
  <c r="Y83" i="1"/>
  <c r="Y90" i="1"/>
  <c r="Y102" i="1"/>
  <c r="Y109" i="1"/>
  <c r="Y115" i="1"/>
  <c r="Y128" i="1"/>
  <c r="Y132" i="1"/>
  <c r="Y139" i="1"/>
  <c r="Y143" i="1"/>
  <c r="Y149" i="1"/>
  <c r="Y154" i="1"/>
  <c r="Y160" i="1"/>
  <c r="Y166" i="1"/>
  <c r="Y172" i="1"/>
  <c r="Y183" i="1"/>
  <c r="Y188" i="1"/>
  <c r="Y193" i="1"/>
  <c r="Y199" i="1"/>
  <c r="Y209" i="1"/>
  <c r="Y221" i="1"/>
  <c r="Y227" i="1"/>
  <c r="Y238" i="1"/>
  <c r="Y248" i="1"/>
  <c r="Y262" i="1"/>
  <c r="Y267" i="1"/>
  <c r="Y274" i="1"/>
  <c r="Y283" i="1"/>
  <c r="Y288" i="1"/>
  <c r="Y292" i="1"/>
  <c r="Y296" i="1"/>
  <c r="Y301" i="1"/>
  <c r="Y306" i="1"/>
  <c r="BP321" i="1"/>
  <c r="BN321" i="1"/>
  <c r="Z321" i="1"/>
  <c r="Y325" i="1"/>
  <c r="BP329" i="1"/>
  <c r="BN329" i="1"/>
  <c r="Z329" i="1"/>
  <c r="Z332" i="1" s="1"/>
  <c r="BP337" i="1"/>
  <c r="BN337" i="1"/>
  <c r="Z337" i="1"/>
  <c r="BP345" i="1"/>
  <c r="BN345" i="1"/>
  <c r="Z345" i="1"/>
  <c r="Y347" i="1"/>
  <c r="BP351" i="1"/>
  <c r="BN351" i="1"/>
  <c r="Z351" i="1"/>
  <c r="Z353" i="1" s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BP419" i="1"/>
  <c r="BN419" i="1"/>
  <c r="Z419" i="1"/>
  <c r="Z422" i="1" s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4" i="1"/>
  <c r="Y449" i="1"/>
  <c r="BP446" i="1"/>
  <c r="BN446" i="1"/>
  <c r="Z446" i="1"/>
  <c r="Z448" i="1" s="1"/>
  <c r="BP459" i="1"/>
  <c r="BN459" i="1"/>
  <c r="Z459" i="1"/>
  <c r="R602" i="1"/>
  <c r="H9" i="1"/>
  <c r="A10" i="1"/>
  <c r="F9" i="1"/>
  <c r="J9" i="1"/>
  <c r="Z22" i="1"/>
  <c r="BN22" i="1"/>
  <c r="BP22" i="1"/>
  <c r="Z24" i="1"/>
  <c r="BN24" i="1"/>
  <c r="X596" i="1"/>
  <c r="Y27" i="1"/>
  <c r="C602" i="1"/>
  <c r="Z36" i="1"/>
  <c r="Z39" i="1" s="1"/>
  <c r="BN36" i="1"/>
  <c r="Z38" i="1"/>
  <c r="BN38" i="1"/>
  <c r="Y39" i="1"/>
  <c r="Z42" i="1"/>
  <c r="Z43" i="1" s="1"/>
  <c r="BN42" i="1"/>
  <c r="BP42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Z65" i="1"/>
  <c r="Z67" i="1" s="1"/>
  <c r="BN65" i="1"/>
  <c r="Z71" i="1"/>
  <c r="Z76" i="1" s="1"/>
  <c r="BN71" i="1"/>
  <c r="Z73" i="1"/>
  <c r="BN73" i="1"/>
  <c r="Z75" i="1"/>
  <c r="BN75" i="1"/>
  <c r="Z79" i="1"/>
  <c r="Z82" i="1" s="1"/>
  <c r="BN79" i="1"/>
  <c r="BP79" i="1"/>
  <c r="Z81" i="1"/>
  <c r="BN81" i="1"/>
  <c r="Z86" i="1"/>
  <c r="BN86" i="1"/>
  <c r="BP86" i="1"/>
  <c r="Z88" i="1"/>
  <c r="BN88" i="1"/>
  <c r="Y89" i="1"/>
  <c r="Z92" i="1"/>
  <c r="BN92" i="1"/>
  <c r="BP92" i="1"/>
  <c r="Z98" i="1"/>
  <c r="BN98" i="1"/>
  <c r="Z100" i="1"/>
  <c r="BN100" i="1"/>
  <c r="Z105" i="1"/>
  <c r="Z109" i="1" s="1"/>
  <c r="BN105" i="1"/>
  <c r="BP105" i="1"/>
  <c r="Z107" i="1"/>
  <c r="BN107" i="1"/>
  <c r="Y110" i="1"/>
  <c r="Z113" i="1"/>
  <c r="Z115" i="1" s="1"/>
  <c r="BN113" i="1"/>
  <c r="Z120" i="1"/>
  <c r="Z127" i="1" s="1"/>
  <c r="BN120" i="1"/>
  <c r="Z123" i="1"/>
  <c r="BN123" i="1"/>
  <c r="Z124" i="1"/>
  <c r="BN124" i="1"/>
  <c r="Z126" i="1"/>
  <c r="BN126" i="1"/>
  <c r="Z130" i="1"/>
  <c r="Z132" i="1" s="1"/>
  <c r="BN130" i="1"/>
  <c r="BP130" i="1"/>
  <c r="G602" i="1"/>
  <c r="Z137" i="1"/>
  <c r="Z138" i="1" s="1"/>
  <c r="BN137" i="1"/>
  <c r="Y138" i="1"/>
  <c r="Z141" i="1"/>
  <c r="Z143" i="1" s="1"/>
  <c r="BN141" i="1"/>
  <c r="BP141" i="1"/>
  <c r="Z147" i="1"/>
  <c r="Z148" i="1" s="1"/>
  <c r="BN147" i="1"/>
  <c r="Z152" i="1"/>
  <c r="Z153" i="1" s="1"/>
  <c r="BN152" i="1"/>
  <c r="BP152" i="1"/>
  <c r="Y153" i="1"/>
  <c r="Z156" i="1"/>
  <c r="Z160" i="1" s="1"/>
  <c r="BN156" i="1"/>
  <c r="BP156" i="1"/>
  <c r="Z158" i="1"/>
  <c r="BN158" i="1"/>
  <c r="Z164" i="1"/>
  <c r="Z165" i="1" s="1"/>
  <c r="BN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Z238" i="1" s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L602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Z304" i="1"/>
  <c r="Z305" i="1" s="1"/>
  <c r="BN304" i="1"/>
  <c r="BP304" i="1"/>
  <c r="Y305" i="1"/>
  <c r="Z308" i="1"/>
  <c r="Z310" i="1" s="1"/>
  <c r="BN308" i="1"/>
  <c r="BP308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Z325" i="1" s="1"/>
  <c r="BP323" i="1"/>
  <c r="BN323" i="1"/>
  <c r="Z323" i="1"/>
  <c r="Y332" i="1"/>
  <c r="BP331" i="1"/>
  <c r="BN331" i="1"/>
  <c r="Z331" i="1"/>
  <c r="Y333" i="1"/>
  <c r="Y340" i="1"/>
  <c r="BP335" i="1"/>
  <c r="BN335" i="1"/>
  <c r="Z335" i="1"/>
  <c r="Z340" i="1" s="1"/>
  <c r="BP339" i="1"/>
  <c r="BN339" i="1"/>
  <c r="Z339" i="1"/>
  <c r="Y341" i="1"/>
  <c r="Y346" i="1"/>
  <c r="BP343" i="1"/>
  <c r="BN343" i="1"/>
  <c r="Z343" i="1"/>
  <c r="Z346" i="1" s="1"/>
  <c r="Y354" i="1"/>
  <c r="Y353" i="1"/>
  <c r="BP357" i="1"/>
  <c r="BN357" i="1"/>
  <c r="Z357" i="1"/>
  <c r="Z359" i="1" s="1"/>
  <c r="V602" i="1"/>
  <c r="Y371" i="1"/>
  <c r="Y370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Z409" i="1" s="1"/>
  <c r="BP408" i="1"/>
  <c r="BN408" i="1"/>
  <c r="Z408" i="1"/>
  <c r="Y410" i="1"/>
  <c r="Y415" i="1"/>
  <c r="BP412" i="1"/>
  <c r="BN412" i="1"/>
  <c r="Z412" i="1"/>
  <c r="Z414" i="1" s="1"/>
  <c r="Y422" i="1"/>
  <c r="BP421" i="1"/>
  <c r="BN421" i="1"/>
  <c r="Z421" i="1"/>
  <c r="Y423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Y448" i="1"/>
  <c r="BP453" i="1"/>
  <c r="BN453" i="1"/>
  <c r="Z453" i="1"/>
  <c r="Z454" i="1" s="1"/>
  <c r="Y455" i="1"/>
  <c r="BP458" i="1"/>
  <c r="BN458" i="1"/>
  <c r="Z458" i="1"/>
  <c r="Z461" i="1" s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Y365" i="1"/>
  <c r="W602" i="1"/>
  <c r="Y385" i="1"/>
  <c r="X602" i="1"/>
  <c r="Y409" i="1"/>
  <c r="Y468" i="1"/>
  <c r="AB602" i="1"/>
  <c r="Y473" i="1"/>
  <c r="BP484" i="1"/>
  <c r="BN484" i="1"/>
  <c r="Z484" i="1"/>
  <c r="Z496" i="1" s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48" i="1" l="1"/>
  <c r="Z566" i="1"/>
  <c r="Z524" i="1"/>
  <c r="Z529" i="1"/>
  <c r="Z282" i="1"/>
  <c r="Z273" i="1"/>
  <c r="Z209" i="1"/>
  <c r="Z183" i="1"/>
  <c r="Z101" i="1"/>
  <c r="Z89" i="1"/>
  <c r="Z61" i="1"/>
  <c r="Z54" i="1"/>
  <c r="Y592" i="1"/>
  <c r="Y594" i="1"/>
  <c r="Z26" i="1"/>
  <c r="Z395" i="1"/>
  <c r="Y596" i="1"/>
  <c r="Z518" i="1"/>
  <c r="Z443" i="1"/>
  <c r="Y593" i="1"/>
  <c r="Y595" i="1" s="1"/>
  <c r="Z597" i="1" l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<sst xmlns="http://schemas.openxmlformats.org/spreadsheetml/2006/main" count="2737" uniqueCount="969">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</sst>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9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45757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0.41666666666666669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10</v>
      </c>
      <c r="Y35" s="666">
        <f>IFERROR(IF(X35="",0,CEILING((X35/$H35),1)*$H35),"")</f>
        <v>10.8</v>
      </c>
      <c r="Z35" s="36">
        <f>IFERROR(IF(Y35=0,"",ROUNDUP(Y35/H35,0)*0.01898),"")</f>
        <v>1.898E-2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10.402777777777777</v>
      </c>
      <c r="BN35" s="64">
        <f>IFERROR(Y35*I35/H35,"0")</f>
        <v>11.234999999999999</v>
      </c>
      <c r="BO35" s="64">
        <f>IFERROR(1/J35*(X35/H35),"0")</f>
        <v>1.4467592592592591E-2</v>
      </c>
      <c r="BP35" s="64">
        <f>IFERROR(1/J35*(Y35/H35),"0")</f>
        <v>1.5625E-2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0.92592592592592582</v>
      </c>
      <c r="Y39" s="667">
        <f>IFERROR(Y35/H35,"0")+IFERROR(Y36/H36,"0")+IFERROR(Y37/H37,"0")+IFERROR(Y38/H38,"0")</f>
        <v>1</v>
      </c>
      <c r="Z39" s="667">
        <f>IFERROR(IF(Z35="",0,Z35),"0")+IFERROR(IF(Z36="",0,Z36),"0")+IFERROR(IF(Z37="",0,Z37),"0")+IFERROR(IF(Z38="",0,Z38),"0")</f>
        <v>1.898E-2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10</v>
      </c>
      <c r="Y40" s="667">
        <f>IFERROR(SUM(Y35:Y38),"0")</f>
        <v>10.8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0</v>
      </c>
      <c r="Y54" s="667">
        <f>IFERROR(Y47/H47,"0")+IFERROR(Y48/H48,"0")+IFERROR(Y49/H49,"0")+IFERROR(Y50/H50,"0")+IFERROR(Y51/H51,"0")+IFERROR(Y52/H52,"0")+IFERROR(Y53/H53,"0")</f>
        <v>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0</v>
      </c>
      <c r="Y55" s="667">
        <f>IFERROR(SUM(Y47:Y53),"0")</f>
        <v>0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0</v>
      </c>
      <c r="Y61" s="667">
        <f>IFERROR(Y57/H57,"0")+IFERROR(Y58/H58,"0")+IFERROR(Y59/H59,"0")+IFERROR(Y60/H60,"0")</f>
        <v>0</v>
      </c>
      <c r="Z61" s="667">
        <f>IFERROR(IF(Z57="",0,Z57),"0")+IFERROR(IF(Z58="",0,Z58),"0")+IFERROR(IF(Z59="",0,Z59),"0")+IFERROR(IF(Z60="",0,Z60),"0")</f>
        <v>0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0</v>
      </c>
      <c r="Y62" s="667">
        <f>IFERROR(SUM(Y57:Y60),"0")</f>
        <v>0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4.05</v>
      </c>
      <c r="Y88" s="666">
        <f>IFERROR(IF(X88="",0,CEILING((X88/$H88),1)*$H88),"")</f>
        <v>4.5</v>
      </c>
      <c r="Z88" s="36">
        <f>IFERROR(IF(Y88=0,"",ROUNDUP(Y88/H88,0)*0.00902),"")</f>
        <v>9.0200000000000002E-3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4.2389999999999999</v>
      </c>
      <c r="BN88" s="64">
        <f>IFERROR(Y88*I88/H88,"0")</f>
        <v>4.71</v>
      </c>
      <c r="BO88" s="64">
        <f>IFERROR(1/J88*(X88/H88),"0")</f>
        <v>6.8181818181818179E-3</v>
      </c>
      <c r="BP88" s="64">
        <f>IFERROR(1/J88*(Y88/H88),"0")</f>
        <v>7.575757575757576E-3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0.89999999999999991</v>
      </c>
      <c r="Y89" s="667">
        <f>IFERROR(Y86/H86,"0")+IFERROR(Y87/H87,"0")+IFERROR(Y88/H88,"0")</f>
        <v>1</v>
      </c>
      <c r="Z89" s="667">
        <f>IFERROR(IF(Z86="",0,Z86),"0")+IFERROR(IF(Z87="",0,Z87),"0")+IFERROR(IF(Z88="",0,Z88),"0")</f>
        <v>9.0200000000000002E-3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4.05</v>
      </c>
      <c r="Y90" s="667">
        <f>IFERROR(SUM(Y86:Y88),"0")</f>
        <v>4.5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1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customHeight="1" x14ac:dyDescent="0.25">
      <c r="A103" s="716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18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6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4.8600000000000003</v>
      </c>
      <c r="Y123" s="666">
        <f t="shared" si="15"/>
        <v>5.4</v>
      </c>
      <c r="Z123" s="36">
        <f t="shared" si="20"/>
        <v>1.302E-2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5.3136000000000001</v>
      </c>
      <c r="BN123" s="64">
        <f t="shared" si="17"/>
        <v>5.9039999999999999</v>
      </c>
      <c r="BO123" s="64">
        <f t="shared" si="18"/>
        <v>9.8901098901098914E-3</v>
      </c>
      <c r="BP123" s="64">
        <f t="shared" si="19"/>
        <v>1.098901098901099E-2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0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1.8</v>
      </c>
      <c r="Y127" s="667">
        <f>IFERROR(Y118/H118,"0")+IFERROR(Y119/H119,"0")+IFERROR(Y120/H120,"0")+IFERROR(Y121/H121,"0")+IFERROR(Y122/H122,"0")+IFERROR(Y123/H123,"0")+IFERROR(Y124/H124,"0")+IFERROR(Y125/H125,"0")+IFERROR(Y126/H126,"0")</f>
        <v>2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1.302E-2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4.8600000000000003</v>
      </c>
      <c r="Y128" s="667">
        <f>IFERROR(SUM(Y118:Y126),"0")</f>
        <v>5.4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10.5</v>
      </c>
      <c r="Y141" s="666">
        <f>IFERROR(IF(X141="",0,CEILING((X141/$H141),1)*$H141),"")</f>
        <v>11.2</v>
      </c>
      <c r="Z141" s="36">
        <f>IFERROR(IF(Y141=0,"",ROUNDUP(Y141/H141,0)*0.00651),"")</f>
        <v>2.6040000000000001E-2</v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11.505000000000001</v>
      </c>
      <c r="BN141" s="64">
        <f>IFERROR(Y141*I141/H141,"0")</f>
        <v>12.271999999999998</v>
      </c>
      <c r="BO141" s="64">
        <f>IFERROR(1/J141*(X141/H141),"0")</f>
        <v>2.0604395604395608E-2</v>
      </c>
      <c r="BP141" s="64">
        <f>IFERROR(1/J141*(Y141/H141),"0")</f>
        <v>2.197802197802198E-2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3.7500000000000004</v>
      </c>
      <c r="Y143" s="667">
        <f>IFERROR(Y141/H141,"0")+IFERROR(Y142/H142,"0")</f>
        <v>4</v>
      </c>
      <c r="Z143" s="667">
        <f>IFERROR(IF(Z141="",0,Z141),"0")+IFERROR(IF(Z142="",0,Z142),"0")</f>
        <v>2.6040000000000001E-2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10.5</v>
      </c>
      <c r="Y144" s="667">
        <f>IFERROR(SUM(Y141:Y142),"0")</f>
        <v>11.2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6.6000000000000014</v>
      </c>
      <c r="Y147" s="666">
        <f>IFERROR(IF(X147="",0,CEILING((X147/$H147),1)*$H147),"")</f>
        <v>7.92</v>
      </c>
      <c r="Z147" s="36">
        <f>IFERROR(IF(Y147=0,"",ROUNDUP(Y147/H147,0)*0.00651),"")</f>
        <v>1.9529999999999999E-2</v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7.2700000000000005</v>
      </c>
      <c r="BN147" s="64">
        <f>IFERROR(Y147*I147/H147,"0")</f>
        <v>8.7240000000000002</v>
      </c>
      <c r="BO147" s="64">
        <f>IFERROR(1/J147*(X147/H147),"0")</f>
        <v>1.373626373626374E-2</v>
      </c>
      <c r="BP147" s="64">
        <f>IFERROR(1/J147*(Y147/H147),"0")</f>
        <v>1.6483516483516484E-2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2.5000000000000004</v>
      </c>
      <c r="Y148" s="667">
        <f>IFERROR(Y146/H146,"0")+IFERROR(Y147/H147,"0")</f>
        <v>3</v>
      </c>
      <c r="Z148" s="667">
        <f>IFERROR(IF(Z146="",0,Z146),"0")+IFERROR(IF(Z147="",0,Z147),"0")</f>
        <v>1.9529999999999999E-2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6.6000000000000014</v>
      </c>
      <c r="Y149" s="667">
        <f>IFERROR(SUM(Y146:Y147),"0")</f>
        <v>7.92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286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60</v>
      </c>
      <c r="Y176" s="666">
        <f t="shared" si="21"/>
        <v>63</v>
      </c>
      <c r="Z176" s="36">
        <f>IFERROR(IF(Y176=0,"",ROUNDUP(Y176/H176,0)*0.00902),"")</f>
        <v>0.1353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63</v>
      </c>
      <c r="BN176" s="64">
        <f t="shared" si="23"/>
        <v>66.149999999999991</v>
      </c>
      <c r="BO176" s="64">
        <f t="shared" si="24"/>
        <v>0.10822510822510822</v>
      </c>
      <c r="BP176" s="64">
        <f t="shared" si="25"/>
        <v>0.11363636363636365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2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14.285714285714285</v>
      </c>
      <c r="Y183" s="667">
        <f>IFERROR(Y174/H174,"0")+IFERROR(Y175/H175,"0")+IFERROR(Y176/H176,"0")+IFERROR(Y177/H177,"0")+IFERROR(Y178/H178,"0")+IFERROR(Y179/H179,"0")+IFERROR(Y180/H180,"0")+IFERROR(Y181/H181,"0")+IFERROR(Y182/H182,"0")</f>
        <v>15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0.1353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60</v>
      </c>
      <c r="Y184" s="667">
        <f>IFERROR(SUM(Y174:Y182),"0")</f>
        <v>63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30</v>
      </c>
      <c r="Y201" s="666">
        <f t="shared" ref="Y201:Y208" si="26">IFERROR(IF(X201="",0,CEILING((X201/$H201),1)*$H201),"")</f>
        <v>32.400000000000006</v>
      </c>
      <c r="Z201" s="36">
        <f>IFERROR(IF(Y201=0,"",ROUNDUP(Y201/H201,0)*0.00902),"")</f>
        <v>5.4120000000000001E-2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31.166666666666668</v>
      </c>
      <c r="BN201" s="64">
        <f t="shared" ref="BN201:BN208" si="28">IFERROR(Y201*I201/H201,"0")</f>
        <v>33.660000000000004</v>
      </c>
      <c r="BO201" s="64">
        <f t="shared" ref="BO201:BO208" si="29">IFERROR(1/J201*(X201/H201),"0")</f>
        <v>4.208754208754209E-2</v>
      </c>
      <c r="BP201" s="64">
        <f t="shared" ref="BP201:BP208" si="30">IFERROR(1/J201*(Y201/H201),"0")</f>
        <v>4.5454545454545463E-2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25</v>
      </c>
      <c r="Y202" s="666">
        <f t="shared" si="26"/>
        <v>27</v>
      </c>
      <c r="Z202" s="36">
        <f>IFERROR(IF(Y202=0,"",ROUNDUP(Y202/H202,0)*0.00902),"")</f>
        <v>4.5100000000000001E-2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25.972222222222221</v>
      </c>
      <c r="BN202" s="64">
        <f t="shared" si="28"/>
        <v>28.049999999999997</v>
      </c>
      <c r="BO202" s="64">
        <f t="shared" si="29"/>
        <v>3.5072951739618406E-2</v>
      </c>
      <c r="BP202" s="64">
        <f t="shared" si="30"/>
        <v>3.787878787878788E-2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50</v>
      </c>
      <c r="Y203" s="666">
        <f t="shared" si="26"/>
        <v>54</v>
      </c>
      <c r="Z203" s="36">
        <f>IFERROR(IF(Y203=0,"",ROUNDUP(Y203/H203,0)*0.00902),"")</f>
        <v>9.0200000000000002E-2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51.944444444444443</v>
      </c>
      <c r="BN203" s="64">
        <f t="shared" si="28"/>
        <v>56.099999999999994</v>
      </c>
      <c r="BO203" s="64">
        <f t="shared" si="29"/>
        <v>7.0145903479236812E-2</v>
      </c>
      <c r="BP203" s="64">
        <f t="shared" si="30"/>
        <v>7.575757575757576E-2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35</v>
      </c>
      <c r="Y204" s="666">
        <f t="shared" si="26"/>
        <v>37.800000000000004</v>
      </c>
      <c r="Z204" s="36">
        <f>IFERROR(IF(Y204=0,"",ROUNDUP(Y204/H204,0)*0.00902),"")</f>
        <v>6.3140000000000002E-2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36.361111111111114</v>
      </c>
      <c r="BN204" s="64">
        <f t="shared" si="28"/>
        <v>39.270000000000003</v>
      </c>
      <c r="BO204" s="64">
        <f t="shared" si="29"/>
        <v>4.9102132435465767E-2</v>
      </c>
      <c r="BP204" s="64">
        <f t="shared" si="30"/>
        <v>5.3030303030303032E-2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25.925925925925924</v>
      </c>
      <c r="Y209" s="667">
        <f>IFERROR(Y201/H201,"0")+IFERROR(Y202/H202,"0")+IFERROR(Y203/H203,"0")+IFERROR(Y204/H204,"0")+IFERROR(Y205/H205,"0")+IFERROR(Y206/H206,"0")+IFERROR(Y207/H207,"0")+IFERROR(Y208/H208,"0")</f>
        <v>28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0.25256000000000001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140</v>
      </c>
      <c r="Y210" s="667">
        <f>IFERROR(SUM(Y201:Y208),"0")</f>
        <v>151.20000000000002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24</v>
      </c>
      <c r="Y213" s="666">
        <f t="shared" si="31"/>
        <v>24.299999999999997</v>
      </c>
      <c r="Z213" s="36">
        <f>IFERROR(IF(Y213=0,"",ROUNDUP(Y213/H213,0)*0.01898),"")</f>
        <v>5.6940000000000004E-2</v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25.484444444444449</v>
      </c>
      <c r="BN213" s="64">
        <f t="shared" si="33"/>
        <v>25.803000000000001</v>
      </c>
      <c r="BO213" s="64">
        <f t="shared" si="34"/>
        <v>4.6296296296296301E-2</v>
      </c>
      <c r="BP213" s="64">
        <f t="shared" si="35"/>
        <v>4.6875E-2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2.9629629629629632</v>
      </c>
      <c r="Y221" s="667">
        <f>IFERROR(Y212/H212,"0")+IFERROR(Y213/H213,"0")+IFERROR(Y214/H214,"0")+IFERROR(Y215/H215,"0")+IFERROR(Y216/H216,"0")+IFERROR(Y217/H217,"0")+IFERROR(Y218/H218,"0")+IFERROR(Y219/H219,"0")+IFERROR(Y220/H220,"0")</f>
        <v>3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5.6940000000000004E-2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24</v>
      </c>
      <c r="Y222" s="667">
        <f>IFERROR(SUM(Y212:Y220),"0")</f>
        <v>24.299999999999997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9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2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20</v>
      </c>
      <c r="Y257" s="666">
        <f t="shared" si="42"/>
        <v>21.6</v>
      </c>
      <c r="Z257" s="36">
        <f>IFERROR(IF(Y257=0,"",ROUNDUP(Y257/H257,0)*0.01898),"")</f>
        <v>3.7960000000000001E-2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20.805555555555554</v>
      </c>
      <c r="BN257" s="64">
        <f t="shared" si="44"/>
        <v>22.47</v>
      </c>
      <c r="BO257" s="64">
        <f t="shared" si="45"/>
        <v>2.8935185185185182E-2</v>
      </c>
      <c r="BP257" s="64">
        <f t="shared" si="46"/>
        <v>3.125E-2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1.8518518518518516</v>
      </c>
      <c r="Y261" s="667">
        <f>IFERROR(Y255/H255,"0")+IFERROR(Y256/H256,"0")+IFERROR(Y257/H257,"0")+IFERROR(Y258/H258,"0")+IFERROR(Y259/H259,"0")+IFERROR(Y260/H260,"0")</f>
        <v>2</v>
      </c>
      <c r="Z261" s="667">
        <f>IFERROR(IF(Z255="",0,Z255),"0")+IFERROR(IF(Z256="",0,Z256),"0")+IFERROR(IF(Z257="",0,Z257),"0")+IFERROR(IF(Z258="",0,Z258),"0")+IFERROR(IF(Z259="",0,Z259),"0")+IFERROR(IF(Z260="",0,Z260),"0")</f>
        <v>3.7960000000000001E-2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20</v>
      </c>
      <c r="Y262" s="667">
        <f>IFERROR(SUM(Y255:Y260),"0")</f>
        <v>21.6</v>
      </c>
      <c r="Z262" s="37"/>
      <c r="AA262" s="668"/>
      <c r="AB262" s="668"/>
      <c r="AC262" s="668"/>
    </row>
    <row r="263" spans="1:68" ht="16.5" customHeight="1" x14ac:dyDescent="0.25">
      <c r="A263" s="716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6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IFERROR(IF(Y321=0,"",ROUNDUP(Y321/H321,0)*0.01898),"")</f>
        <v/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3.6749999999999998</v>
      </c>
      <c r="Y368" s="666">
        <f>IFERROR(IF(X368="",0,CEILING((X368/$H368),1)*$H368),"")</f>
        <v>4.2</v>
      </c>
      <c r="Z368" s="36">
        <f>IFERROR(IF(Y368=0,"",ROUNDUP(Y368/H368,0)*0.00651),"")</f>
        <v>1.302E-2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4.1159999999999997</v>
      </c>
      <c r="BN368" s="64">
        <f>IFERROR(Y368*I368/H368,"0")</f>
        <v>4.7039999999999997</v>
      </c>
      <c r="BO368" s="64">
        <f>IFERROR(1/J368*(X368/H368),"0")</f>
        <v>9.6153846153846142E-3</v>
      </c>
      <c r="BP368" s="64">
        <f>IFERROR(1/J368*(Y368/H368),"0")</f>
        <v>1.098901098901099E-2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1.7499999999999998</v>
      </c>
      <c r="Y370" s="667">
        <f>IFERROR(Y367/H367,"0")+IFERROR(Y368/H368,"0")+IFERROR(Y369/H369,"0")</f>
        <v>2</v>
      </c>
      <c r="Z370" s="667">
        <f>IFERROR(IF(Z367="",0,Z367),"0")+IFERROR(IF(Z368="",0,Z368),"0")+IFERROR(IF(Z369="",0,Z369),"0")</f>
        <v>1.302E-2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3.6749999999999998</v>
      </c>
      <c r="Y371" s="667">
        <f>IFERROR(SUM(Y367:Y369),"0")</f>
        <v>4.2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475</v>
      </c>
      <c r="Y376" s="666">
        <f t="shared" si="52"/>
        <v>480</v>
      </c>
      <c r="Z376" s="36">
        <f>IFERROR(IF(Y376=0,"",ROUNDUP(Y376/H376,0)*0.02175),"")</f>
        <v>0.69599999999999995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490.2</v>
      </c>
      <c r="BN376" s="64">
        <f t="shared" si="54"/>
        <v>495.36</v>
      </c>
      <c r="BO376" s="64">
        <f t="shared" si="55"/>
        <v>0.65972222222222221</v>
      </c>
      <c r="BP376" s="64">
        <f t="shared" si="56"/>
        <v>0.66666666666666663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335</v>
      </c>
      <c r="Y378" s="666">
        <f t="shared" si="52"/>
        <v>345</v>
      </c>
      <c r="Z378" s="36">
        <f>IFERROR(IF(Y378=0,"",ROUNDUP(Y378/H378,0)*0.02175),"")</f>
        <v>0.50024999999999997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345.72</v>
      </c>
      <c r="BN378" s="64">
        <f t="shared" si="54"/>
        <v>356.04</v>
      </c>
      <c r="BO378" s="64">
        <f t="shared" si="55"/>
        <v>0.46527777777777773</v>
      </c>
      <c r="BP378" s="64">
        <f t="shared" si="56"/>
        <v>0.47916666666666663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545</v>
      </c>
      <c r="Y381" s="666">
        <f t="shared" si="52"/>
        <v>555</v>
      </c>
      <c r="Z381" s="36">
        <f>IFERROR(IF(Y381=0,"",ROUNDUP(Y381/H381,0)*0.02175),"")</f>
        <v>0.80474999999999997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562.44000000000005</v>
      </c>
      <c r="BN381" s="64">
        <f t="shared" si="54"/>
        <v>572.76</v>
      </c>
      <c r="BO381" s="64">
        <f t="shared" si="55"/>
        <v>0.75694444444444442</v>
      </c>
      <c r="BP381" s="64">
        <f t="shared" si="56"/>
        <v>0.77083333333333326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90.333333333333343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92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2.0009999999999999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1355</v>
      </c>
      <c r="Y386" s="667">
        <f>IFERROR(SUM(Y375:Y384),"0")</f>
        <v>1380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1450</v>
      </c>
      <c r="Y388" s="666">
        <f>IFERROR(IF(X388="",0,CEILING((X388/$H388),1)*$H388),"")</f>
        <v>1455</v>
      </c>
      <c r="Z388" s="36">
        <f>IFERROR(IF(Y388=0,"",ROUNDUP(Y388/H388,0)*0.02175),"")</f>
        <v>2.10975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1496.4</v>
      </c>
      <c r="BN388" s="64">
        <f>IFERROR(Y388*I388/H388,"0")</f>
        <v>1501.5600000000002</v>
      </c>
      <c r="BO388" s="64">
        <f>IFERROR(1/J388*(X388/H388),"0")</f>
        <v>2.0138888888888888</v>
      </c>
      <c r="BP388" s="64">
        <f>IFERROR(1/J388*(Y388/H388),"0")</f>
        <v>2.020833333333333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96.666666666666671</v>
      </c>
      <c r="Y390" s="667">
        <f>IFERROR(Y388/H388,"0")+IFERROR(Y389/H389,"0")</f>
        <v>97</v>
      </c>
      <c r="Z390" s="667">
        <f>IFERROR(IF(Z388="",0,Z388),"0")+IFERROR(IF(Z389="",0,Z389),"0")</f>
        <v>2.10975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1450</v>
      </c>
      <c r="Y391" s="667">
        <f>IFERROR(SUM(Y388:Y389),"0")</f>
        <v>1455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8</v>
      </c>
      <c r="Y398" s="666">
        <f>IFERROR(IF(X398="",0,CEILING((X398/$H398),1)*$H398),"")</f>
        <v>9</v>
      </c>
      <c r="Z398" s="36">
        <f>IFERROR(IF(Y398=0,"",ROUNDUP(Y398/H398,0)*0.01898),"")</f>
        <v>1.898E-2</v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8.461333333333334</v>
      </c>
      <c r="BN398" s="64">
        <f>IFERROR(Y398*I398/H398,"0")</f>
        <v>9.5190000000000001</v>
      </c>
      <c r="BO398" s="64">
        <f>IFERROR(1/J398*(X398/H398),"0")</f>
        <v>1.3888888888888888E-2</v>
      </c>
      <c r="BP398" s="64">
        <f>IFERROR(1/J398*(Y398/H398),"0")</f>
        <v>1.5625E-2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0.88888888888888884</v>
      </c>
      <c r="Y399" s="667">
        <f>IFERROR(Y398/H398,"0")</f>
        <v>1</v>
      </c>
      <c r="Z399" s="667">
        <f>IFERROR(IF(Z398="",0,Z398),"0")</f>
        <v>1.898E-2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8</v>
      </c>
      <c r="Y400" s="667">
        <f>IFERROR(SUM(Y398:Y398),"0")</f>
        <v>9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8</v>
      </c>
      <c r="Y425" s="666">
        <f>IFERROR(IF(X425="",0,CEILING((X425/$H425),1)*$H425),"")</f>
        <v>9</v>
      </c>
      <c r="Z425" s="36">
        <f>IFERROR(IF(Y425=0,"",ROUNDUP(Y425/H425,0)*0.01898),"")</f>
        <v>1.898E-2</v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8.3866666666666667</v>
      </c>
      <c r="BN425" s="64">
        <f>IFERROR(Y425*I425/H425,"0")</f>
        <v>9.4350000000000005</v>
      </c>
      <c r="BO425" s="64">
        <f>IFERROR(1/J425*(X425/H425),"0")</f>
        <v>1.3888888888888888E-2</v>
      </c>
      <c r="BP425" s="64">
        <f>IFERROR(1/J425*(Y425/H425),"0")</f>
        <v>1.5625E-2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0.88888888888888884</v>
      </c>
      <c r="Y426" s="667">
        <f>IFERROR(Y425/H425,"0")</f>
        <v>1</v>
      </c>
      <c r="Z426" s="667">
        <f>IFERROR(IF(Z425="",0,Z425),"0")</f>
        <v>1.898E-2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8</v>
      </c>
      <c r="Y427" s="667">
        <f>IFERROR(SUM(Y425:Y425),"0")</f>
        <v>9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50</v>
      </c>
      <c r="Y483" s="666">
        <f t="shared" si="68"/>
        <v>52.800000000000004</v>
      </c>
      <c r="Z483" s="36">
        <f>IFERROR(IF(Y483=0,"",ROUNDUP(Y483/H483,0)*0.01196),"")</f>
        <v>0.1196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53.409090909090907</v>
      </c>
      <c r="BN483" s="64">
        <f t="shared" si="70"/>
        <v>56.400000000000006</v>
      </c>
      <c r="BO483" s="64">
        <f t="shared" si="71"/>
        <v>9.1054778554778545E-2</v>
      </c>
      <c r="BP483" s="64">
        <f t="shared" si="72"/>
        <v>9.6153846153846159E-2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8"/>
        <v>0</v>
      </c>
      <c r="Z484" s="36" t="str">
        <f>IFERROR(IF(Y484=0,"",ROUNDUP(Y484/H484,0)*0.01196),"")</f>
        <v/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0</v>
      </c>
      <c r="BN484" s="64">
        <f t="shared" si="70"/>
        <v>0</v>
      </c>
      <c r="BO484" s="64">
        <f t="shared" si="71"/>
        <v>0</v>
      </c>
      <c r="BP484" s="64">
        <f t="shared" si="72"/>
        <v>0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9.4696969696969688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0.1196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50</v>
      </c>
      <c r="Y497" s="667">
        <f>IFERROR(SUM(Y481:Y495),"0")</f>
        <v>52.800000000000004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3154.6849999999999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3209.92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3262.5979131313134</v>
      </c>
      <c r="Y593" s="667">
        <f>IFERROR(SUM(BN22:BN589),"0")</f>
        <v>3320.1259999999997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5</v>
      </c>
      <c r="Y594" s="38">
        <f>ROUNDUP(SUM(BP22:BP589),0)</f>
        <v>5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3387.5979131313134</v>
      </c>
      <c r="Y595" s="667">
        <f>GrossWeightTotalR+PalletQtyTotalR*25</f>
        <v>3445.1259999999997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254.89985569985569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262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4.8506800000000005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10.8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0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4.5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5.4</v>
      </c>
      <c r="G602" s="46">
        <f>IFERROR(Y136*1,"0")+IFERROR(Y137*1,"0")+IFERROR(Y141*1,"0")+IFERROR(Y142*1,"0")+IFERROR(Y146*1,"0")+IFERROR(Y147*1,"0")</f>
        <v>19.119999999999997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63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175.5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21.6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4.2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2844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9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52.800000000000004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2025-04-08T09:48:20Z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