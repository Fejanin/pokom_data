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Пушкарный\"/>
    </mc:Choice>
  </mc:AlternateContent>
  <xr:revisionPtr revIDLastSave="0" documentId="13_ncr:1_{FDF45073-5EBE-4F38-954F-5A32099DD4E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X587" i="2"/>
  <c r="X586" i="2"/>
  <c r="BO585" i="2"/>
  <c r="BM585" i="2"/>
  <c r="Y585" i="2"/>
  <c r="Y586" i="2" s="1"/>
  <c r="X583" i="2"/>
  <c r="X582" i="2"/>
  <c r="BO581" i="2"/>
  <c r="BM581" i="2"/>
  <c r="Y581" i="2"/>
  <c r="BP581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BO570" i="2"/>
  <c r="BM570" i="2"/>
  <c r="Y570" i="2"/>
  <c r="BO569" i="2"/>
  <c r="BM569" i="2"/>
  <c r="Y569" i="2"/>
  <c r="BN569" i="2" s="1"/>
  <c r="X567" i="2"/>
  <c r="X566" i="2"/>
  <c r="BO565" i="2"/>
  <c r="BM565" i="2"/>
  <c r="Y565" i="2"/>
  <c r="BP565" i="2" s="1"/>
  <c r="BO564" i="2"/>
  <c r="BM564" i="2"/>
  <c r="Y564" i="2"/>
  <c r="BN564" i="2" s="1"/>
  <c r="BO563" i="2"/>
  <c r="BM563" i="2"/>
  <c r="Y563" i="2"/>
  <c r="BO562" i="2"/>
  <c r="BM562" i="2"/>
  <c r="Y562" i="2"/>
  <c r="BO561" i="2"/>
  <c r="BM561" i="2"/>
  <c r="Y561" i="2"/>
  <c r="X559" i="2"/>
  <c r="X558" i="2"/>
  <c r="BO557" i="2"/>
  <c r="BM557" i="2"/>
  <c r="Y557" i="2"/>
  <c r="BO556" i="2"/>
  <c r="BM556" i="2"/>
  <c r="Y556" i="2"/>
  <c r="BO555" i="2"/>
  <c r="BM555" i="2"/>
  <c r="Y555" i="2"/>
  <c r="BP555" i="2" s="1"/>
  <c r="BO554" i="2"/>
  <c r="BM554" i="2"/>
  <c r="Y554" i="2"/>
  <c r="BN554" i="2" s="1"/>
  <c r="BO553" i="2"/>
  <c r="BM553" i="2"/>
  <c r="Y553" i="2"/>
  <c r="BO552" i="2"/>
  <c r="BM552" i="2"/>
  <c r="Y552" i="2"/>
  <c r="BP552" i="2" s="1"/>
  <c r="BO551" i="2"/>
  <c r="BM551" i="2"/>
  <c r="Y551" i="2"/>
  <c r="X549" i="2"/>
  <c r="X548" i="2"/>
  <c r="BO547" i="2"/>
  <c r="BM547" i="2"/>
  <c r="Y547" i="2"/>
  <c r="BO546" i="2"/>
  <c r="BM546" i="2"/>
  <c r="Y546" i="2"/>
  <c r="BO545" i="2"/>
  <c r="BM545" i="2"/>
  <c r="Y545" i="2"/>
  <c r="BP545" i="2" s="1"/>
  <c r="BO544" i="2"/>
  <c r="BM544" i="2"/>
  <c r="Y544" i="2"/>
  <c r="BP544" i="2" s="1"/>
  <c r="BO543" i="2"/>
  <c r="BM543" i="2"/>
  <c r="Y543" i="2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N537" i="2" s="1"/>
  <c r="BO536" i="2"/>
  <c r="BM536" i="2"/>
  <c r="Y536" i="2"/>
  <c r="BP536" i="2" s="1"/>
  <c r="BO535" i="2"/>
  <c r="BM535" i="2"/>
  <c r="Y535" i="2"/>
  <c r="BP535" i="2" s="1"/>
  <c r="BO534" i="2"/>
  <c r="BM534" i="2"/>
  <c r="Y534" i="2"/>
  <c r="X530" i="2"/>
  <c r="X529" i="2"/>
  <c r="BO528" i="2"/>
  <c r="BM528" i="2"/>
  <c r="Y528" i="2"/>
  <c r="Z528" i="2" s="1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Z522" i="2" s="1"/>
  <c r="P522" i="2"/>
  <c r="BO521" i="2"/>
  <c r="BM521" i="2"/>
  <c r="Y521" i="2"/>
  <c r="Z521" i="2" s="1"/>
  <c r="P521" i="2"/>
  <c r="X519" i="2"/>
  <c r="X518" i="2"/>
  <c r="BO517" i="2"/>
  <c r="BM517" i="2"/>
  <c r="Y517" i="2"/>
  <c r="BO516" i="2"/>
  <c r="BM516" i="2"/>
  <c r="Y516" i="2"/>
  <c r="P516" i="2"/>
  <c r="BO515" i="2"/>
  <c r="BM515" i="2"/>
  <c r="Y515" i="2"/>
  <c r="BN515" i="2" s="1"/>
  <c r="P515" i="2"/>
  <c r="BO514" i="2"/>
  <c r="BM514" i="2"/>
  <c r="Y514" i="2"/>
  <c r="BN514" i="2" s="1"/>
  <c r="BO513" i="2"/>
  <c r="BM513" i="2"/>
  <c r="Y513" i="2"/>
  <c r="P513" i="2"/>
  <c r="BO512" i="2"/>
  <c r="BM512" i="2"/>
  <c r="Y512" i="2"/>
  <c r="BP512" i="2" s="1"/>
  <c r="BO511" i="2"/>
  <c r="BM511" i="2"/>
  <c r="Y511" i="2"/>
  <c r="P511" i="2"/>
  <c r="BO510" i="2"/>
  <c r="BM510" i="2"/>
  <c r="Y510" i="2"/>
  <c r="Z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Z507" i="2" s="1"/>
  <c r="BO506" i="2"/>
  <c r="BM506" i="2"/>
  <c r="Y506" i="2"/>
  <c r="X504" i="2"/>
  <c r="X503" i="2"/>
  <c r="BO502" i="2"/>
  <c r="BM502" i="2"/>
  <c r="Y502" i="2"/>
  <c r="BP502" i="2" s="1"/>
  <c r="BO501" i="2"/>
  <c r="BM501" i="2"/>
  <c r="Y501" i="2"/>
  <c r="Z501" i="2" s="1"/>
  <c r="BO500" i="2"/>
  <c r="BM500" i="2"/>
  <c r="Y500" i="2"/>
  <c r="BN500" i="2" s="1"/>
  <c r="BO499" i="2"/>
  <c r="BM499" i="2"/>
  <c r="Y499" i="2"/>
  <c r="BP499" i="2" s="1"/>
  <c r="P499" i="2"/>
  <c r="X497" i="2"/>
  <c r="X496" i="2"/>
  <c r="BP495" i="2"/>
  <c r="BO495" i="2"/>
  <c r="BN495" i="2"/>
  <c r="BM495" i="2"/>
  <c r="Z495" i="2"/>
  <c r="Y495" i="2"/>
  <c r="P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BP492" i="2" s="1"/>
  <c r="BO491" i="2"/>
  <c r="BM491" i="2"/>
  <c r="Y491" i="2"/>
  <c r="BO490" i="2"/>
  <c r="BM490" i="2"/>
  <c r="Y490" i="2"/>
  <c r="BO489" i="2"/>
  <c r="BM489" i="2"/>
  <c r="Y489" i="2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8" i="2"/>
  <c r="X467" i="2"/>
  <c r="BO466" i="2"/>
  <c r="BM466" i="2"/>
  <c r="Y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O458" i="2"/>
  <c r="BM458" i="2"/>
  <c r="Y458" i="2"/>
  <c r="BP458" i="2" s="1"/>
  <c r="P458" i="2"/>
  <c r="BO457" i="2"/>
  <c r="BM457" i="2"/>
  <c r="Y457" i="2"/>
  <c r="X455" i="2"/>
  <c r="X454" i="2"/>
  <c r="BO453" i="2"/>
  <c r="BM453" i="2"/>
  <c r="Y453" i="2"/>
  <c r="P453" i="2"/>
  <c r="BO452" i="2"/>
  <c r="BM452" i="2"/>
  <c r="Y452" i="2"/>
  <c r="BP452" i="2" s="1"/>
  <c r="P452" i="2"/>
  <c r="X449" i="2"/>
  <c r="X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N441" i="2" s="1"/>
  <c r="P441" i="2"/>
  <c r="BO440" i="2"/>
  <c r="BM440" i="2"/>
  <c r="Y440" i="2"/>
  <c r="BN440" i="2" s="1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O435" i="2"/>
  <c r="BM435" i="2"/>
  <c r="Y435" i="2"/>
  <c r="BP435" i="2" s="1"/>
  <c r="P435" i="2"/>
  <c r="BO434" i="2"/>
  <c r="BM434" i="2"/>
  <c r="Y434" i="2"/>
  <c r="Z434" i="2" s="1"/>
  <c r="BO433" i="2"/>
  <c r="BM433" i="2"/>
  <c r="Y433" i="2"/>
  <c r="Z433" i="2" s="1"/>
  <c r="BO432" i="2"/>
  <c r="BM432" i="2"/>
  <c r="Y432" i="2"/>
  <c r="Z432" i="2" s="1"/>
  <c r="BO431" i="2"/>
  <c r="BM431" i="2"/>
  <c r="Y431" i="2"/>
  <c r="Z431" i="2" s="1"/>
  <c r="X427" i="2"/>
  <c r="X426" i="2"/>
  <c r="BO425" i="2"/>
  <c r="BM425" i="2"/>
  <c r="Y425" i="2"/>
  <c r="Y426" i="2" s="1"/>
  <c r="X423" i="2"/>
  <c r="X422" i="2"/>
  <c r="BO421" i="2"/>
  <c r="BM421" i="2"/>
  <c r="Y421" i="2"/>
  <c r="Z421" i="2" s="1"/>
  <c r="P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O417" i="2"/>
  <c r="BM417" i="2"/>
  <c r="Y417" i="2"/>
  <c r="P417" i="2"/>
  <c r="X415" i="2"/>
  <c r="X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X400" i="2"/>
  <c r="X399" i="2"/>
  <c r="BO398" i="2"/>
  <c r="BM398" i="2"/>
  <c r="Y398" i="2"/>
  <c r="BP398" i="2" s="1"/>
  <c r="X396" i="2"/>
  <c r="X395" i="2"/>
  <c r="BO394" i="2"/>
  <c r="BM394" i="2"/>
  <c r="Y394" i="2"/>
  <c r="BO393" i="2"/>
  <c r="BM393" i="2"/>
  <c r="Y393" i="2"/>
  <c r="Z393" i="2" s="1"/>
  <c r="X391" i="2"/>
  <c r="X390" i="2"/>
  <c r="BO389" i="2"/>
  <c r="BM389" i="2"/>
  <c r="Y389" i="2"/>
  <c r="P389" i="2"/>
  <c r="BO388" i="2"/>
  <c r="BM388" i="2"/>
  <c r="Y388" i="2"/>
  <c r="Z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P375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5" i="2"/>
  <c r="X364" i="2"/>
  <c r="BO363" i="2"/>
  <c r="BM363" i="2"/>
  <c r="Y363" i="2"/>
  <c r="Y365" i="2" s="1"/>
  <c r="P363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Y360" i="2" s="1"/>
  <c r="P356" i="2"/>
  <c r="X354" i="2"/>
  <c r="X353" i="2"/>
  <c r="BO352" i="2"/>
  <c r="BM352" i="2"/>
  <c r="Y352" i="2"/>
  <c r="BN352" i="2" s="1"/>
  <c r="P352" i="2"/>
  <c r="BO351" i="2"/>
  <c r="BM351" i="2"/>
  <c r="Y351" i="2"/>
  <c r="P351" i="2"/>
  <c r="BO350" i="2"/>
  <c r="BM350" i="2"/>
  <c r="Y350" i="2"/>
  <c r="BO349" i="2"/>
  <c r="BM349" i="2"/>
  <c r="Y349" i="2"/>
  <c r="Z349" i="2" s="1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Z319" i="2" s="1"/>
  <c r="P319" i="2"/>
  <c r="X316" i="2"/>
  <c r="X315" i="2"/>
  <c r="BO314" i="2"/>
  <c r="BM314" i="2"/>
  <c r="Y314" i="2"/>
  <c r="Y316" i="2" s="1"/>
  <c r="P314" i="2"/>
  <c r="X311" i="2"/>
  <c r="X310" i="2"/>
  <c r="BO309" i="2"/>
  <c r="BM309" i="2"/>
  <c r="Y309" i="2"/>
  <c r="BP309" i="2" s="1"/>
  <c r="P309" i="2"/>
  <c r="BO308" i="2"/>
  <c r="BM308" i="2"/>
  <c r="Y308" i="2"/>
  <c r="Y311" i="2" s="1"/>
  <c r="P308" i="2"/>
  <c r="X306" i="2"/>
  <c r="X305" i="2"/>
  <c r="BO304" i="2"/>
  <c r="BM304" i="2"/>
  <c r="Y304" i="2"/>
  <c r="P304" i="2"/>
  <c r="X301" i="2"/>
  <c r="X300" i="2"/>
  <c r="BO299" i="2"/>
  <c r="BM299" i="2"/>
  <c r="Y299" i="2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Y292" i="2" s="1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P270" i="2"/>
  <c r="X267" i="2"/>
  <c r="X266" i="2"/>
  <c r="BO265" i="2"/>
  <c r="BM265" i="2"/>
  <c r="Y265" i="2"/>
  <c r="P265" i="2"/>
  <c r="X262" i="2"/>
  <c r="X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X248" i="2"/>
  <c r="X247" i="2"/>
  <c r="BO246" i="2"/>
  <c r="BM246" i="2"/>
  <c r="Y246" i="2"/>
  <c r="Y248" i="2" s="1"/>
  <c r="X244" i="2"/>
  <c r="X243" i="2"/>
  <c r="BO242" i="2"/>
  <c r="BM242" i="2"/>
  <c r="Y242" i="2"/>
  <c r="Z242" i="2" s="1"/>
  <c r="BO241" i="2"/>
  <c r="BM241" i="2"/>
  <c r="Y241" i="2"/>
  <c r="BP241" i="2" s="1"/>
  <c r="P241" i="2"/>
  <c r="X239" i="2"/>
  <c r="X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Y226" i="2" s="1"/>
  <c r="P224" i="2"/>
  <c r="X222" i="2"/>
  <c r="X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Y194" i="2" s="1"/>
  <c r="P191" i="2"/>
  <c r="X188" i="2"/>
  <c r="X187" i="2"/>
  <c r="BO186" i="2"/>
  <c r="BM186" i="2"/>
  <c r="Y186" i="2"/>
  <c r="X184" i="2"/>
  <c r="X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X172" i="2"/>
  <c r="X171" i="2"/>
  <c r="BO170" i="2"/>
  <c r="BM170" i="2"/>
  <c r="Y170" i="2"/>
  <c r="Z170" i="2" s="1"/>
  <c r="Z171" i="2" s="1"/>
  <c r="P170" i="2"/>
  <c r="X166" i="2"/>
  <c r="X165" i="2"/>
  <c r="BO164" i="2"/>
  <c r="BM164" i="2"/>
  <c r="Y164" i="2"/>
  <c r="P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P156" i="2"/>
  <c r="X154" i="2"/>
  <c r="X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P123" i="2"/>
  <c r="BO122" i="2"/>
  <c r="BM122" i="2"/>
  <c r="Y122" i="2"/>
  <c r="BN122" i="2" s="1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BP119" i="2" s="1"/>
  <c r="BO118" i="2"/>
  <c r="BM118" i="2"/>
  <c r="Y118" i="2"/>
  <c r="BN118" i="2" s="1"/>
  <c r="P118" i="2"/>
  <c r="X116" i="2"/>
  <c r="X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X102" i="2"/>
  <c r="X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BO96" i="2"/>
  <c r="BM96" i="2"/>
  <c r="Y96" i="2"/>
  <c r="Z96" i="2" s="1"/>
  <c r="BO95" i="2"/>
  <c r="BM95" i="2"/>
  <c r="Y95" i="2"/>
  <c r="BP95" i="2" s="1"/>
  <c r="BO94" i="2"/>
  <c r="BM94" i="2"/>
  <c r="Y94" i="2"/>
  <c r="Z94" i="2" s="1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Y68" i="2" s="1"/>
  <c r="P64" i="2"/>
  <c r="X62" i="2"/>
  <c r="X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X55" i="2"/>
  <c r="X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4" i="2"/>
  <c r="X43" i="2"/>
  <c r="BO42" i="2"/>
  <c r="BM42" i="2"/>
  <c r="Y42" i="2"/>
  <c r="Z42" i="2" s="1"/>
  <c r="Z43" i="2" s="1"/>
  <c r="P42" i="2"/>
  <c r="X40" i="2"/>
  <c r="X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BO35" i="2"/>
  <c r="BM35" i="2"/>
  <c r="Y35" i="2"/>
  <c r="Z35" i="2" s="1"/>
  <c r="P35" i="2"/>
  <c r="X31" i="2"/>
  <c r="X30" i="2"/>
  <c r="BO29" i="2"/>
  <c r="BM29" i="2"/>
  <c r="Y29" i="2"/>
  <c r="Y30" i="2" s="1"/>
  <c r="P29" i="2"/>
  <c r="X27" i="2"/>
  <c r="X26" i="2"/>
  <c r="BO25" i="2"/>
  <c r="BM25" i="2"/>
  <c r="Y25" i="2"/>
  <c r="Z25" i="2" s="1"/>
  <c r="P25" i="2"/>
  <c r="BO24" i="2"/>
  <c r="BM24" i="2"/>
  <c r="Y24" i="2"/>
  <c r="BN24" i="2" s="1"/>
  <c r="P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71" i="2" l="1"/>
  <c r="BN71" i="2"/>
  <c r="Z309" i="2"/>
  <c r="BN309" i="2"/>
  <c r="Y310" i="2"/>
  <c r="Z241" i="2"/>
  <c r="BN241" i="2"/>
  <c r="Z246" i="2"/>
  <c r="Z247" i="2" s="1"/>
  <c r="BN246" i="2"/>
  <c r="BP246" i="2"/>
  <c r="Y247" i="2"/>
  <c r="Z338" i="2"/>
  <c r="BN338" i="2"/>
  <c r="BP81" i="2"/>
  <c r="BP179" i="2"/>
  <c r="BN220" i="2"/>
  <c r="BP271" i="2"/>
  <c r="A10" i="2"/>
  <c r="Z81" i="2"/>
  <c r="Z113" i="2"/>
  <c r="BN113" i="2"/>
  <c r="Z126" i="2"/>
  <c r="BN126" i="2"/>
  <c r="Z146" i="2"/>
  <c r="Y149" i="2"/>
  <c r="Z179" i="2"/>
  <c r="Z182" i="2"/>
  <c r="BN182" i="2"/>
  <c r="Z192" i="2"/>
  <c r="BN215" i="2"/>
  <c r="Z271" i="2"/>
  <c r="Z281" i="2"/>
  <c r="BN281" i="2"/>
  <c r="Z328" i="2"/>
  <c r="BN328" i="2"/>
  <c r="Z376" i="2"/>
  <c r="BN376" i="2"/>
  <c r="Z382" i="2"/>
  <c r="Z407" i="2"/>
  <c r="BN407" i="2"/>
  <c r="Z437" i="2"/>
  <c r="BN437" i="2"/>
  <c r="Z452" i="2"/>
  <c r="BN452" i="2"/>
  <c r="Z458" i="2"/>
  <c r="BN458" i="2"/>
  <c r="BP465" i="2"/>
  <c r="Z174" i="2"/>
  <c r="BP174" i="2"/>
  <c r="Y346" i="2"/>
  <c r="BP24" i="2"/>
  <c r="Z215" i="2"/>
  <c r="Z220" i="2"/>
  <c r="Z243" i="2"/>
  <c r="H9" i="2"/>
  <c r="X596" i="2"/>
  <c r="BN49" i="2"/>
  <c r="BN66" i="2"/>
  <c r="Z92" i="2"/>
  <c r="BN99" i="2"/>
  <c r="Z100" i="2"/>
  <c r="BP100" i="2"/>
  <c r="Z118" i="2"/>
  <c r="BP118" i="2"/>
  <c r="BN119" i="2"/>
  <c r="Z121" i="2"/>
  <c r="BP121" i="2"/>
  <c r="BN130" i="2"/>
  <c r="BN178" i="2"/>
  <c r="BN205" i="2"/>
  <c r="BN236" i="2"/>
  <c r="BN257" i="2"/>
  <c r="BN290" i="2"/>
  <c r="Y291" i="2"/>
  <c r="Z294" i="2"/>
  <c r="Z295" i="2" s="1"/>
  <c r="BP294" i="2"/>
  <c r="Y296" i="2"/>
  <c r="Y325" i="2"/>
  <c r="BN331" i="2"/>
  <c r="Z345" i="2"/>
  <c r="BN363" i="2"/>
  <c r="Y364" i="2"/>
  <c r="BN412" i="2"/>
  <c r="Z439" i="2"/>
  <c r="Z440" i="2"/>
  <c r="BP440" i="2"/>
  <c r="BN482" i="2"/>
  <c r="Z487" i="2"/>
  <c r="BP487" i="2"/>
  <c r="Z492" i="2"/>
  <c r="BN499" i="2"/>
  <c r="Z500" i="2"/>
  <c r="BP500" i="2"/>
  <c r="BN502" i="2"/>
  <c r="Z514" i="2"/>
  <c r="BP514" i="2"/>
  <c r="BN545" i="2"/>
  <c r="Z564" i="2"/>
  <c r="BP564" i="2"/>
  <c r="Z569" i="2"/>
  <c r="BP569" i="2"/>
  <c r="Z585" i="2"/>
  <c r="Z586" i="2" s="1"/>
  <c r="Y587" i="2"/>
  <c r="Z49" i="2"/>
  <c r="Z66" i="2"/>
  <c r="Z99" i="2"/>
  <c r="Z119" i="2"/>
  <c r="Z130" i="2"/>
  <c r="BP130" i="2"/>
  <c r="Y138" i="2"/>
  <c r="Z178" i="2"/>
  <c r="Z205" i="2"/>
  <c r="Z236" i="2"/>
  <c r="Y244" i="2"/>
  <c r="Z257" i="2"/>
  <c r="Z280" i="2"/>
  <c r="Z290" i="2"/>
  <c r="Z291" i="2" s="1"/>
  <c r="BP290" i="2"/>
  <c r="BN294" i="2"/>
  <c r="Z331" i="2"/>
  <c r="Z363" i="2"/>
  <c r="Z364" i="2" s="1"/>
  <c r="BP363" i="2"/>
  <c r="Z412" i="2"/>
  <c r="Y455" i="2"/>
  <c r="Z482" i="2"/>
  <c r="Z499" i="2"/>
  <c r="Z502" i="2"/>
  <c r="Z544" i="2"/>
  <c r="Z545" i="2"/>
  <c r="Z565" i="2"/>
  <c r="BN25" i="2"/>
  <c r="BP25" i="2"/>
  <c r="BN50" i="2"/>
  <c r="BP50" i="2"/>
  <c r="BP57" i="2"/>
  <c r="BN60" i="2"/>
  <c r="BP60" i="2"/>
  <c r="BN94" i="2"/>
  <c r="BP94" i="2"/>
  <c r="BN97" i="2"/>
  <c r="BP97" i="2"/>
  <c r="BN98" i="2"/>
  <c r="Y115" i="2"/>
  <c r="Y127" i="2"/>
  <c r="BN157" i="2"/>
  <c r="BP157" i="2"/>
  <c r="Y198" i="2"/>
  <c r="BN212" i="2"/>
  <c r="BP212" i="2"/>
  <c r="BN237" i="2"/>
  <c r="Z237" i="2"/>
  <c r="BN259" i="2"/>
  <c r="BP259" i="2"/>
  <c r="Y266" i="2"/>
  <c r="BP265" i="2"/>
  <c r="BN265" i="2"/>
  <c r="Z265" i="2"/>
  <c r="Z266" i="2" s="1"/>
  <c r="Y267" i="2"/>
  <c r="BP270" i="2"/>
  <c r="BN270" i="2"/>
  <c r="Z270" i="2"/>
  <c r="BP335" i="2"/>
  <c r="Z335" i="2"/>
  <c r="BP369" i="2"/>
  <c r="BN369" i="2"/>
  <c r="Z369" i="2"/>
  <c r="BP381" i="2"/>
  <c r="BN381" i="2"/>
  <c r="Z381" i="2"/>
  <c r="Y399" i="2"/>
  <c r="Y400" i="2"/>
  <c r="BN408" i="2"/>
  <c r="BP408" i="2"/>
  <c r="BN419" i="2"/>
  <c r="BP419" i="2"/>
  <c r="BP420" i="2"/>
  <c r="Z420" i="2"/>
  <c r="BN438" i="2"/>
  <c r="Z438" i="2"/>
  <c r="J9" i="2"/>
  <c r="F10" i="2"/>
  <c r="X594" i="2"/>
  <c r="Y31" i="2"/>
  <c r="BN35" i="2"/>
  <c r="BP35" i="2"/>
  <c r="Y39" i="2"/>
  <c r="BN37" i="2"/>
  <c r="Z38" i="2"/>
  <c r="BN38" i="2"/>
  <c r="Y43" i="2"/>
  <c r="Y44" i="2"/>
  <c r="Z51" i="2"/>
  <c r="BN51" i="2"/>
  <c r="Z65" i="2"/>
  <c r="BN65" i="2"/>
  <c r="BP72" i="2"/>
  <c r="Z75" i="2"/>
  <c r="BN75" i="2"/>
  <c r="Z87" i="2"/>
  <c r="BN87" i="2"/>
  <c r="BN93" i="2"/>
  <c r="BP93" i="2"/>
  <c r="BN95" i="2"/>
  <c r="BN96" i="2"/>
  <c r="BP96" i="2"/>
  <c r="Z106" i="2"/>
  <c r="BN106" i="2"/>
  <c r="BN108" i="2"/>
  <c r="BP108" i="2"/>
  <c r="Y116" i="2"/>
  <c r="BN112" i="2"/>
  <c r="BP112" i="2"/>
  <c r="Z124" i="2"/>
  <c r="BN124" i="2"/>
  <c r="BN125" i="2"/>
  <c r="BP125" i="2"/>
  <c r="Z131" i="2"/>
  <c r="BN131" i="2"/>
  <c r="Y132" i="2"/>
  <c r="Z137" i="2"/>
  <c r="Z138" i="2" s="1"/>
  <c r="BN137" i="2"/>
  <c r="Z142" i="2"/>
  <c r="BN142" i="2"/>
  <c r="Y143" i="2"/>
  <c r="Z163" i="2"/>
  <c r="BP175" i="2"/>
  <c r="Z180" i="2"/>
  <c r="BN202" i="2"/>
  <c r="BP202" i="2"/>
  <c r="BP216" i="2"/>
  <c r="BP219" i="2"/>
  <c r="BN219" i="2"/>
  <c r="BP225" i="2"/>
  <c r="BN225" i="2"/>
  <c r="Z225" i="2"/>
  <c r="BP231" i="2"/>
  <c r="BN231" i="2"/>
  <c r="Z231" i="2"/>
  <c r="BN233" i="2"/>
  <c r="BP233" i="2"/>
  <c r="BP234" i="2"/>
  <c r="BN234" i="2"/>
  <c r="Z234" i="2"/>
  <c r="Y282" i="2"/>
  <c r="BP277" i="2"/>
  <c r="BN277" i="2"/>
  <c r="Z277" i="2"/>
  <c r="S602" i="2"/>
  <c r="Y305" i="2"/>
  <c r="BP304" i="2"/>
  <c r="BN304" i="2"/>
  <c r="Z304" i="2"/>
  <c r="Z305" i="2" s="1"/>
  <c r="Y306" i="2"/>
  <c r="BP308" i="2"/>
  <c r="BN308" i="2"/>
  <c r="Z308" i="2"/>
  <c r="Z310" i="2" s="1"/>
  <c r="BP321" i="2"/>
  <c r="BN321" i="2"/>
  <c r="Z321" i="2"/>
  <c r="BN323" i="2"/>
  <c r="BP323" i="2"/>
  <c r="BP329" i="2"/>
  <c r="Z329" i="2"/>
  <c r="BP343" i="2"/>
  <c r="BN343" i="2"/>
  <c r="Z343" i="2"/>
  <c r="BP351" i="2"/>
  <c r="BN351" i="2"/>
  <c r="Z351" i="2"/>
  <c r="BN357" i="2"/>
  <c r="BP357" i="2"/>
  <c r="BP358" i="2"/>
  <c r="BN358" i="2"/>
  <c r="Z358" i="2"/>
  <c r="BN378" i="2"/>
  <c r="BP378" i="2"/>
  <c r="BP379" i="2"/>
  <c r="Z379" i="2"/>
  <c r="BN388" i="2"/>
  <c r="BP388" i="2"/>
  <c r="Y396" i="2"/>
  <c r="BP394" i="2"/>
  <c r="BN394" i="2"/>
  <c r="Z394" i="2"/>
  <c r="Z395" i="2" s="1"/>
  <c r="Z446" i="2"/>
  <c r="Y449" i="2"/>
  <c r="Y448" i="2"/>
  <c r="BN446" i="2"/>
  <c r="BP446" i="2"/>
  <c r="BP447" i="2"/>
  <c r="BN447" i="2"/>
  <c r="Z447" i="2"/>
  <c r="BP457" i="2"/>
  <c r="BN457" i="2"/>
  <c r="Z457" i="2"/>
  <c r="BP489" i="2"/>
  <c r="Z489" i="2"/>
  <c r="BP493" i="2"/>
  <c r="Z493" i="2"/>
  <c r="BP516" i="2"/>
  <c r="Z516" i="2"/>
  <c r="BN522" i="2"/>
  <c r="BP522" i="2"/>
  <c r="BN523" i="2"/>
  <c r="BP523" i="2"/>
  <c r="BP547" i="2"/>
  <c r="Z547" i="2"/>
  <c r="BP556" i="2"/>
  <c r="BN556" i="2"/>
  <c r="Z556" i="2"/>
  <c r="BP561" i="2"/>
  <c r="BN561" i="2"/>
  <c r="Z561" i="2"/>
  <c r="BP571" i="2"/>
  <c r="BN571" i="2"/>
  <c r="Z571" i="2"/>
  <c r="AE602" i="2"/>
  <c r="Y579" i="2"/>
  <c r="BN577" i="2"/>
  <c r="BP577" i="2"/>
  <c r="M602" i="2"/>
  <c r="BP280" i="2"/>
  <c r="Y340" i="2"/>
  <c r="BN337" i="2"/>
  <c r="BP337" i="2"/>
  <c r="BN393" i="2"/>
  <c r="BP393" i="2"/>
  <c r="Z404" i="2"/>
  <c r="BP404" i="2"/>
  <c r="BN404" i="2"/>
  <c r="Y423" i="2"/>
  <c r="BP417" i="2"/>
  <c r="BN433" i="2"/>
  <c r="BP433" i="2"/>
  <c r="BP436" i="2"/>
  <c r="BN436" i="2"/>
  <c r="Z436" i="2"/>
  <c r="Z454" i="2"/>
  <c r="BP453" i="2"/>
  <c r="BN453" i="2"/>
  <c r="Z453" i="2"/>
  <c r="Y477" i="2"/>
  <c r="Y476" i="2"/>
  <c r="BP475" i="2"/>
  <c r="BN475" i="2"/>
  <c r="Z475" i="2"/>
  <c r="Z476" i="2" s="1"/>
  <c r="BN483" i="2"/>
  <c r="BP486" i="2"/>
  <c r="BN486" i="2"/>
  <c r="Z486" i="2"/>
  <c r="BP490" i="2"/>
  <c r="BN490" i="2"/>
  <c r="Z490" i="2"/>
  <c r="Y496" i="2"/>
  <c r="BN507" i="2"/>
  <c r="BP507" i="2"/>
  <c r="BN509" i="2"/>
  <c r="BN510" i="2"/>
  <c r="BP510" i="2"/>
  <c r="BP511" i="2"/>
  <c r="BN511" i="2"/>
  <c r="Z511" i="2"/>
  <c r="BP517" i="2"/>
  <c r="BN517" i="2"/>
  <c r="Z517" i="2"/>
  <c r="BP553" i="2"/>
  <c r="BN553" i="2"/>
  <c r="Z553" i="2"/>
  <c r="BN557" i="2"/>
  <c r="BP557" i="2"/>
  <c r="Y567" i="2"/>
  <c r="Z562" i="2"/>
  <c r="BP572" i="2"/>
  <c r="BN572" i="2"/>
  <c r="Z572" i="2"/>
  <c r="Y583" i="2"/>
  <c r="Z581" i="2"/>
  <c r="Z582" i="2" s="1"/>
  <c r="Y415" i="2"/>
  <c r="BN431" i="2"/>
  <c r="BP431" i="2"/>
  <c r="BN434" i="2"/>
  <c r="BP434" i="2"/>
  <c r="BN442" i="2"/>
  <c r="BP442" i="2"/>
  <c r="Y443" i="2"/>
  <c r="Y454" i="2"/>
  <c r="Y462" i="2"/>
  <c r="BN484" i="2"/>
  <c r="BP484" i="2"/>
  <c r="BN494" i="2"/>
  <c r="BP494" i="2"/>
  <c r="Y519" i="2"/>
  <c r="BN508" i="2"/>
  <c r="BP508" i="2"/>
  <c r="Y525" i="2"/>
  <c r="BN528" i="2"/>
  <c r="BP528" i="2"/>
  <c r="BN535" i="2"/>
  <c r="BN538" i="2"/>
  <c r="Y77" i="2"/>
  <c r="BP88" i="2"/>
  <c r="Z88" i="2"/>
  <c r="BP191" i="2"/>
  <c r="BP232" i="2"/>
  <c r="Z232" i="2"/>
  <c r="Y354" i="2"/>
  <c r="Y353" i="2"/>
  <c r="BN349" i="2"/>
  <c r="Y503" i="2"/>
  <c r="BP501" i="2"/>
  <c r="BP543" i="2"/>
  <c r="BN543" i="2"/>
  <c r="Z543" i="2"/>
  <c r="Y549" i="2"/>
  <c r="Y574" i="2"/>
  <c r="BP570" i="2"/>
  <c r="Y573" i="2"/>
  <c r="Z570" i="2"/>
  <c r="BP152" i="2"/>
  <c r="BN152" i="2"/>
  <c r="H602" i="2"/>
  <c r="Z152" i="2"/>
  <c r="Z153" i="2" s="1"/>
  <c r="BP330" i="2"/>
  <c r="BN330" i="2"/>
  <c r="Z330" i="2"/>
  <c r="BP380" i="2"/>
  <c r="BN380" i="2"/>
  <c r="BP421" i="2"/>
  <c r="BN421" i="2"/>
  <c r="Y83" i="2"/>
  <c r="BP79" i="2"/>
  <c r="BP256" i="2"/>
  <c r="BN256" i="2"/>
  <c r="Z256" i="2"/>
  <c r="BP377" i="2"/>
  <c r="Z377" i="2"/>
  <c r="BP418" i="2"/>
  <c r="Z418" i="2"/>
  <c r="BP460" i="2"/>
  <c r="BN460" i="2"/>
  <c r="Z460" i="2"/>
  <c r="Z537" i="2"/>
  <c r="BN570" i="2"/>
  <c r="BP107" i="2"/>
  <c r="Z107" i="2"/>
  <c r="Z177" i="2"/>
  <c r="Y183" i="2"/>
  <c r="Z203" i="2"/>
  <c r="Z206" i="2"/>
  <c r="Z218" i="2"/>
  <c r="BN278" i="2"/>
  <c r="P602" i="2"/>
  <c r="BP322" i="2"/>
  <c r="Z322" i="2"/>
  <c r="Y391" i="2"/>
  <c r="BP389" i="2"/>
  <c r="BP441" i="2"/>
  <c r="Z441" i="2"/>
  <c r="BN493" i="2"/>
  <c r="BN501" i="2"/>
  <c r="Y548" i="2"/>
  <c r="Z554" i="2"/>
  <c r="Y82" i="2"/>
  <c r="BN52" i="2"/>
  <c r="Z74" i="2"/>
  <c r="Z158" i="2"/>
  <c r="Z278" i="2"/>
  <c r="Y326" i="2"/>
  <c r="U602" i="2"/>
  <c r="BP319" i="2"/>
  <c r="Z336" i="2"/>
  <c r="Z344" i="2"/>
  <c r="BP349" i="2"/>
  <c r="BN377" i="2"/>
  <c r="Z389" i="2"/>
  <c r="Z390" i="2" s="1"/>
  <c r="BN418" i="2"/>
  <c r="Y602" i="2"/>
  <c r="Z435" i="2"/>
  <c r="Z443" i="2" s="1"/>
  <c r="Y153" i="2"/>
  <c r="BP164" i="2"/>
  <c r="BN164" i="2"/>
  <c r="Z164" i="2"/>
  <c r="Z165" i="2" s="1"/>
  <c r="BN177" i="2"/>
  <c r="Y184" i="2"/>
  <c r="BN203" i="2"/>
  <c r="BN218" i="2"/>
  <c r="Y221" i="2"/>
  <c r="BP350" i="2"/>
  <c r="BN350" i="2"/>
  <c r="Z350" i="2"/>
  <c r="V602" i="2"/>
  <c r="Y371" i="2"/>
  <c r="BP367" i="2"/>
  <c r="Y370" i="2"/>
  <c r="AB602" i="2"/>
  <c r="Y473" i="2"/>
  <c r="Y472" i="2"/>
  <c r="BN471" i="2"/>
  <c r="BP537" i="2"/>
  <c r="Z22" i="2"/>
  <c r="BP58" i="2"/>
  <c r="BN58" i="2"/>
  <c r="Z58" i="2"/>
  <c r="Y62" i="2"/>
  <c r="BN74" i="2"/>
  <c r="Z98" i="2"/>
  <c r="Y101" i="2"/>
  <c r="BN158" i="2"/>
  <c r="Y187" i="2"/>
  <c r="BP186" i="2"/>
  <c r="BN186" i="2"/>
  <c r="Z186" i="2"/>
  <c r="Z187" i="2" s="1"/>
  <c r="BP206" i="2"/>
  <c r="Y251" i="2"/>
  <c r="BP250" i="2"/>
  <c r="BN250" i="2"/>
  <c r="Y273" i="2"/>
  <c r="BN272" i="2"/>
  <c r="O602" i="2"/>
  <c r="BN336" i="2"/>
  <c r="Z339" i="2"/>
  <c r="Z356" i="2"/>
  <c r="Z359" i="2" s="1"/>
  <c r="Z367" i="2"/>
  <c r="Z384" i="2"/>
  <c r="BN389" i="2"/>
  <c r="BN435" i="2"/>
  <c r="Z471" i="2"/>
  <c r="Z472" i="2" s="1"/>
  <c r="AC602" i="2"/>
  <c r="BP481" i="2"/>
  <c r="BN481" i="2"/>
  <c r="Z481" i="2"/>
  <c r="Y497" i="2"/>
  <c r="AD602" i="2"/>
  <c r="Y559" i="2"/>
  <c r="Y558" i="2"/>
  <c r="BN551" i="2"/>
  <c r="BP554" i="2"/>
  <c r="Y591" i="2"/>
  <c r="Y590" i="2"/>
  <c r="BP589" i="2"/>
  <c r="BN589" i="2"/>
  <c r="Z52" i="2"/>
  <c r="BN79" i="2"/>
  <c r="BN107" i="2"/>
  <c r="Y128" i="2"/>
  <c r="D602" i="2"/>
  <c r="BN47" i="2"/>
  <c r="BP23" i="2"/>
  <c r="BN23" i="2"/>
  <c r="X592" i="2"/>
  <c r="Z47" i="2"/>
  <c r="BP53" i="2"/>
  <c r="BN53" i="2"/>
  <c r="Y90" i="2"/>
  <c r="BP86" i="2"/>
  <c r="Y89" i="2"/>
  <c r="BN86" i="2"/>
  <c r="E602" i="2"/>
  <c r="Z86" i="2"/>
  <c r="Y102" i="2"/>
  <c r="Z95" i="2"/>
  <c r="BP141" i="2"/>
  <c r="BN141" i="2"/>
  <c r="Z141" i="2"/>
  <c r="BN180" i="2"/>
  <c r="Y193" i="2"/>
  <c r="Y199" i="2"/>
  <c r="K602" i="2"/>
  <c r="Y239" i="2"/>
  <c r="BP230" i="2"/>
  <c r="Y238" i="2"/>
  <c r="BN230" i="2"/>
  <c r="Z230" i="2"/>
  <c r="Y243" i="2"/>
  <c r="BN242" i="2"/>
  <c r="Z250" i="2"/>
  <c r="Z251" i="2" s="1"/>
  <c r="Z260" i="2"/>
  <c r="Z272" i="2"/>
  <c r="BP278" i="2"/>
  <c r="BN319" i="2"/>
  <c r="BP344" i="2"/>
  <c r="Y359" i="2"/>
  <c r="BP413" i="2"/>
  <c r="Z413" i="2"/>
  <c r="Z414" i="2" s="1"/>
  <c r="BN432" i="2"/>
  <c r="Z503" i="2"/>
  <c r="Z534" i="2"/>
  <c r="Z551" i="2"/>
  <c r="Z589" i="2"/>
  <c r="Z590" i="2" s="1"/>
  <c r="X593" i="2"/>
  <c r="X595" i="2" s="1"/>
  <c r="BP136" i="2"/>
  <c r="G602" i="2"/>
  <c r="Y139" i="2"/>
  <c r="Y154" i="2"/>
  <c r="BP204" i="2"/>
  <c r="BN204" i="2"/>
  <c r="BP336" i="2"/>
  <c r="BN339" i="2"/>
  <c r="BN356" i="2"/>
  <c r="BN367" i="2"/>
  <c r="BN384" i="2"/>
  <c r="Y427" i="2"/>
  <c r="BP425" i="2"/>
  <c r="BP438" i="2"/>
  <c r="Z602" i="2"/>
  <c r="Y210" i="2"/>
  <c r="BP201" i="2"/>
  <c r="Y209" i="2"/>
  <c r="Z201" i="2"/>
  <c r="Z204" i="2"/>
  <c r="BN224" i="2"/>
  <c r="BP224" i="2"/>
  <c r="Y227" i="2"/>
  <c r="BN260" i="2"/>
  <c r="Y301" i="2"/>
  <c r="BP299" i="2"/>
  <c r="R602" i="2"/>
  <c r="BP375" i="2"/>
  <c r="BN375" i="2"/>
  <c r="Y386" i="2"/>
  <c r="Z375" i="2"/>
  <c r="W602" i="2"/>
  <c r="Y385" i="2"/>
  <c r="Y390" i="2"/>
  <c r="BN413" i="2"/>
  <c r="Z425" i="2"/>
  <c r="Z426" i="2" s="1"/>
  <c r="BP432" i="2"/>
  <c r="BP471" i="2"/>
  <c r="BN491" i="2"/>
  <c r="Z491" i="2"/>
  <c r="Z515" i="2"/>
  <c r="BN534" i="2"/>
  <c r="BP105" i="2"/>
  <c r="F602" i="2"/>
  <c r="BN105" i="2"/>
  <c r="Z105" i="2"/>
  <c r="Z122" i="2"/>
  <c r="Z147" i="2"/>
  <c r="Z148" i="2" s="1"/>
  <c r="Y160" i="2"/>
  <c r="BP156" i="2"/>
  <c r="Z156" i="2"/>
  <c r="BP181" i="2"/>
  <c r="BN181" i="2"/>
  <c r="Z181" i="2"/>
  <c r="Y222" i="2"/>
  <c r="BP213" i="2"/>
  <c r="Z224" i="2"/>
  <c r="Z226" i="2" s="1"/>
  <c r="Y274" i="2"/>
  <c r="BP272" i="2"/>
  <c r="Y283" i="2"/>
  <c r="Z299" i="2"/>
  <c r="Z300" i="2" s="1"/>
  <c r="BP320" i="2"/>
  <c r="BN320" i="2"/>
  <c r="Z320" i="2"/>
  <c r="BP356" i="2"/>
  <c r="Y467" i="2"/>
  <c r="AA602" i="2"/>
  <c r="BN465" i="2"/>
  <c r="BP551" i="2"/>
  <c r="Y26" i="2"/>
  <c r="B602" i="2"/>
  <c r="BN22" i="2"/>
  <c r="Z29" i="2"/>
  <c r="Z30" i="2" s="1"/>
  <c r="Z59" i="2"/>
  <c r="Z61" i="2" s="1"/>
  <c r="BN64" i="2"/>
  <c r="Y67" i="2"/>
  <c r="Z72" i="2"/>
  <c r="BN80" i="2"/>
  <c r="BN136" i="2"/>
  <c r="Y166" i="2"/>
  <c r="Z175" i="2"/>
  <c r="BN201" i="2"/>
  <c r="Z213" i="2"/>
  <c r="Z216" i="2"/>
  <c r="BP242" i="2"/>
  <c r="BP368" i="2"/>
  <c r="BN368" i="2"/>
  <c r="Z405" i="2"/>
  <c r="Z408" i="2"/>
  <c r="BN425" i="2"/>
  <c r="Z465" i="2"/>
  <c r="Z485" i="2"/>
  <c r="Z512" i="2"/>
  <c r="Z524" i="2"/>
  <c r="BP534" i="2"/>
  <c r="BP159" i="2"/>
  <c r="BN159" i="2"/>
  <c r="BP92" i="2"/>
  <c r="BN147" i="2"/>
  <c r="BN156" i="2"/>
  <c r="Y188" i="2"/>
  <c r="Y252" i="2"/>
  <c r="Y261" i="2"/>
  <c r="Y288" i="2"/>
  <c r="BP286" i="2"/>
  <c r="Q602" i="2"/>
  <c r="BN299" i="2"/>
  <c r="Y332" i="2"/>
  <c r="Z368" i="2"/>
  <c r="Z488" i="2"/>
  <c r="BP491" i="2"/>
  <c r="Z509" i="2"/>
  <c r="BP515" i="2"/>
  <c r="Y530" i="2"/>
  <c r="Y529" i="2"/>
  <c r="BP527" i="2"/>
  <c r="C602" i="2"/>
  <c r="BP36" i="2"/>
  <c r="Z36" i="2"/>
  <c r="BP47" i="2"/>
  <c r="BN36" i="2"/>
  <c r="BP48" i="2"/>
  <c r="BN48" i="2"/>
  <c r="Y54" i="2"/>
  <c r="Z24" i="2"/>
  <c r="BN29" i="2"/>
  <c r="Z48" i="2"/>
  <c r="BN59" i="2"/>
  <c r="BP64" i="2"/>
  <c r="BP122" i="2"/>
  <c r="I602" i="2"/>
  <c r="Y172" i="2"/>
  <c r="Y171" i="2"/>
  <c r="BN170" i="2"/>
  <c r="Z196" i="2"/>
  <c r="Z208" i="2"/>
  <c r="BN213" i="2"/>
  <c r="BP258" i="2"/>
  <c r="Z258" i="2"/>
  <c r="Z286" i="2"/>
  <c r="Z287" i="2" s="1"/>
  <c r="BN405" i="2"/>
  <c r="BN485" i="2"/>
  <c r="Y504" i="2"/>
  <c r="BN512" i="2"/>
  <c r="Z527" i="2"/>
  <c r="Z529" i="2" s="1"/>
  <c r="BP546" i="2"/>
  <c r="BN546" i="2"/>
  <c r="Z546" i="2"/>
  <c r="Y27" i="2"/>
  <c r="BP147" i="2"/>
  <c r="Y315" i="2"/>
  <c r="BN314" i="2"/>
  <c r="BP314" i="2"/>
  <c r="T602" i="2"/>
  <c r="Y333" i="2"/>
  <c r="Y422" i="2"/>
  <c r="Y461" i="2"/>
  <c r="BP459" i="2"/>
  <c r="Y518" i="2"/>
  <c r="BP506" i="2"/>
  <c r="Y540" i="2"/>
  <c r="Z79" i="2"/>
  <c r="J602" i="2"/>
  <c r="BN191" i="2"/>
  <c r="Y55" i="2"/>
  <c r="Y76" i="2"/>
  <c r="BP70" i="2"/>
  <c r="Z114" i="2"/>
  <c r="BP123" i="2"/>
  <c r="BN123" i="2"/>
  <c r="Z123" i="2"/>
  <c r="Y161" i="2"/>
  <c r="Z191" i="2"/>
  <c r="Z193" i="2" s="1"/>
  <c r="BN208" i="2"/>
  <c r="BP237" i="2"/>
  <c r="BN258" i="2"/>
  <c r="BN286" i="2"/>
  <c r="Y300" i="2"/>
  <c r="Z314" i="2"/>
  <c r="Z315" i="2" s="1"/>
  <c r="Z324" i="2"/>
  <c r="Z417" i="2"/>
  <c r="Z459" i="2"/>
  <c r="BP466" i="2"/>
  <c r="BN466" i="2"/>
  <c r="Z466" i="2"/>
  <c r="BP488" i="2"/>
  <c r="Z506" i="2"/>
  <c r="BN527" i="2"/>
  <c r="BN563" i="2"/>
  <c r="BP563" i="2"/>
  <c r="Z563" i="2"/>
  <c r="L602" i="2"/>
  <c r="Y262" i="2"/>
  <c r="BP255" i="2"/>
  <c r="BP29" i="2"/>
  <c r="Z37" i="2"/>
  <c r="Z70" i="2"/>
  <c r="BN73" i="2"/>
  <c r="Z73" i="2"/>
  <c r="BP196" i="2"/>
  <c r="BP214" i="2"/>
  <c r="BN214" i="2"/>
  <c r="BN329" i="2"/>
  <c r="BP352" i="2"/>
  <c r="Z352" i="2"/>
  <c r="BN379" i="2"/>
  <c r="BP406" i="2"/>
  <c r="BN406" i="2"/>
  <c r="BN420" i="2"/>
  <c r="BN513" i="2"/>
  <c r="BP513" i="2"/>
  <c r="Z513" i="2"/>
  <c r="Z64" i="2"/>
  <c r="Z80" i="2"/>
  <c r="BP42" i="2"/>
  <c r="BN42" i="2"/>
  <c r="Y109" i="2"/>
  <c r="Y61" i="2"/>
  <c r="BN57" i="2"/>
  <c r="Y110" i="2"/>
  <c r="BN114" i="2"/>
  <c r="BP120" i="2"/>
  <c r="BN120" i="2"/>
  <c r="Z120" i="2"/>
  <c r="Y165" i="2"/>
  <c r="BP163" i="2"/>
  <c r="BP170" i="2"/>
  <c r="BP235" i="2"/>
  <c r="BN235" i="2"/>
  <c r="BN255" i="2"/>
  <c r="BN324" i="2"/>
  <c r="Y347" i="2"/>
  <c r="BP382" i="2"/>
  <c r="Y410" i="2"/>
  <c r="Y409" i="2"/>
  <c r="X602" i="2"/>
  <c r="BP403" i="2"/>
  <c r="Z403" i="2"/>
  <c r="Z406" i="2"/>
  <c r="BN417" i="2"/>
  <c r="Y444" i="2"/>
  <c r="BN459" i="2"/>
  <c r="BN506" i="2"/>
  <c r="Y541" i="2"/>
  <c r="Z557" i="2"/>
  <c r="BN581" i="2"/>
  <c r="Y148" i="2"/>
  <c r="Z483" i="2"/>
  <c r="Z535" i="2"/>
  <c r="Z538" i="2"/>
  <c r="Y582" i="2"/>
  <c r="BN562" i="2"/>
  <c r="BN565" i="2"/>
  <c r="Y40" i="2"/>
  <c r="Z112" i="2"/>
  <c r="Y395" i="2"/>
  <c r="BP562" i="2"/>
  <c r="Z577" i="2"/>
  <c r="Z578" i="2" s="1"/>
  <c r="Y566" i="2"/>
  <c r="Z552" i="2"/>
  <c r="Z555" i="2"/>
  <c r="Z176" i="2"/>
  <c r="Z197" i="2"/>
  <c r="Z207" i="2"/>
  <c r="Z217" i="2"/>
  <c r="Z279" i="2"/>
  <c r="Y341" i="2"/>
  <c r="Z383" i="2"/>
  <c r="Z398" i="2"/>
  <c r="Z399" i="2" s="1"/>
  <c r="Y414" i="2"/>
  <c r="Z536" i="2"/>
  <c r="Z539" i="2"/>
  <c r="BN552" i="2"/>
  <c r="BN555" i="2"/>
  <c r="BN146" i="2"/>
  <c r="BN192" i="2"/>
  <c r="BN335" i="2"/>
  <c r="BN345" i="2"/>
  <c r="BN439" i="2"/>
  <c r="BN489" i="2"/>
  <c r="BN492" i="2"/>
  <c r="BN516" i="2"/>
  <c r="BN521" i="2"/>
  <c r="Y524" i="2"/>
  <c r="BN544" i="2"/>
  <c r="BN547" i="2"/>
  <c r="Y578" i="2"/>
  <c r="BN585" i="2"/>
  <c r="BN176" i="2"/>
  <c r="BN197" i="2"/>
  <c r="BN207" i="2"/>
  <c r="BN217" i="2"/>
  <c r="BN279" i="2"/>
  <c r="BN383" i="2"/>
  <c r="BN398" i="2"/>
  <c r="BN536" i="2"/>
  <c r="BN539" i="2"/>
  <c r="BP521" i="2"/>
  <c r="BP585" i="2"/>
  <c r="Z132" i="2" l="1"/>
  <c r="Z115" i="2"/>
  <c r="Z273" i="2"/>
  <c r="Z325" i="2"/>
  <c r="Z353" i="2"/>
  <c r="Z332" i="2"/>
  <c r="Z340" i="2"/>
  <c r="Z461" i="2"/>
  <c r="Z261" i="2"/>
  <c r="Z109" i="2"/>
  <c r="Z143" i="2"/>
  <c r="Z346" i="2"/>
  <c r="Z67" i="2"/>
  <c r="Z422" i="2"/>
  <c r="Z238" i="2"/>
  <c r="Z409" i="2"/>
  <c r="Z566" i="2"/>
  <c r="Z89" i="2"/>
  <c r="Z467" i="2"/>
  <c r="Y594" i="2"/>
  <c r="Z127" i="2"/>
  <c r="Z198" i="2"/>
  <c r="Z39" i="2"/>
  <c r="Z221" i="2"/>
  <c r="Z183" i="2"/>
  <c r="Z385" i="2"/>
  <c r="Z101" i="2"/>
  <c r="Z496" i="2"/>
  <c r="Z282" i="2"/>
  <c r="Z573" i="2"/>
  <c r="Z448" i="2"/>
  <c r="Z518" i="2"/>
  <c r="Y592" i="2"/>
  <c r="Z370" i="2"/>
  <c r="Z76" i="2"/>
  <c r="Z82" i="2"/>
  <c r="Z209" i="2"/>
  <c r="Z26" i="2"/>
  <c r="Z548" i="2"/>
  <c r="Y596" i="2"/>
  <c r="Z558" i="2"/>
  <c r="Y593" i="2"/>
  <c r="Z160" i="2"/>
  <c r="Z540" i="2"/>
  <c r="Z54" i="2"/>
  <c r="Y595" i="2" l="1"/>
  <c r="Z597" i="2"/>
</calcChain>
</file>

<file path=xl/sharedStrings.xml><?xml version="1.0" encoding="utf-8"?>
<sst xmlns="http://schemas.openxmlformats.org/spreadsheetml/2006/main" count="4537" uniqueCount="970">
  <si>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</si>
  <si>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</si>
  <si>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</si>
  <si>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</si>
  <si>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</si>
  <si>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</si>
  <si>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</si>
  <si>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</si>
  <si>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</si>
  <si>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</si>
  <si>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</si>
  <si>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</si>
  <si>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</si>
  <si>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</si>
  <si>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</si>
  <si>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</si>
  <si>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</si>
  <si>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</si>
  <si>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</si>
  <si>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</si>
  <si>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</si>
  <si>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</si>
  <si>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</si>
  <si>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</si>
  <si>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</si>
  <si>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</si>
  <si>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</si>
  <si>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</si>
  <si>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</si>
  <si>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</si>
  <si>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</si>
  <si>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</si>
  <si>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</si>
  <si>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</si>
  <si>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</si>
  <si>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</si>
  <si>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</si>
  <si>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</si>
  <si>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</si>
  <si>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</si>
  <si>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</si>
  <si>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</si>
  <si>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</si>
  <si>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</si>
  <si>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</si>
  <si>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</si>
  <si>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</si>
  <si>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</si>
  <si>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</si>
  <si>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</si>
  <si>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</si>
  <si>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</si>
  <si>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</si>
  <si>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</si>
  <si>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</si>
  <si>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</si>
  <si>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</si>
  <si>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</si>
  <si>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</si>
  <si>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</si>
  <si>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</si>
  <si>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</si>
  <si>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</si>
  <si>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</si>
  <si>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Квант заказа</t>
  </si>
  <si>
    <t>Декларация/Сертификат</t>
  </si>
  <si>
    <t>КИ</t>
  </si>
  <si>
    <t>07.04.2025</t>
  </si>
  <si>
    <t>02.04.2025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</si>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</sst>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6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/>
      <c r="I5" s="1026"/>
      <c r="J5" s="1026"/>
      <c r="K5" s="1026"/>
      <c r="L5" s="1026"/>
      <c r="M5" s="1026"/>
      <c r="N5" s="69"/>
      <c r="P5" s="26" t="s">
        <v>4</v>
      </c>
      <c r="Q5" s="1028">
        <v>45757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62</v>
      </c>
      <c r="L17" s="979" t="s">
        <v>64</v>
      </c>
      <c r="M17" s="979" t="s">
        <v>2</v>
      </c>
      <c r="N17" s="979" t="s">
        <v>63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65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4301051861</v>
      </c>
      <c r="D24" s="673">
        <v>4680115885905</v>
      </c>
      <c r="E24" s="673"/>
      <c r="F24" s="59">
        <v>0.3</v>
      </c>
      <c r="G24" s="35">
        <v>6</v>
      </c>
      <c r="H24" s="59">
        <v>1.8</v>
      </c>
      <c r="I24" s="59">
        <v>3.18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IFERROR(IF(Y24=0,"",ROUNDUP(Y24/H24,0)*0.00651),"")</f>
        <v/>
      </c>
      <c r="AA24" s="65" t="s">
        <v>45</v>
      </c>
      <c r="AB24" s="66" t="s">
        <v>45</v>
      </c>
      <c r="AC24" s="85" t="s">
        <v>89</v>
      </c>
      <c r="AG24" s="75"/>
      <c r="AJ24" s="79" t="s">
        <v>45</v>
      </c>
      <c r="AK24" s="79">
        <v>0</v>
      </c>
      <c r="BB24" s="86" t="s">
        <v>66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t="37.5" customHeight="1" x14ac:dyDescent="0.25">
      <c r="A25" s="60" t="s">
        <v>90</v>
      </c>
      <c r="B25" s="60" t="s">
        <v>91</v>
      </c>
      <c r="C25" s="34">
        <v>4301051592</v>
      </c>
      <c r="D25" s="673">
        <v>4607091388244</v>
      </c>
      <c r="E25" s="673"/>
      <c r="F25" s="59">
        <v>0.42</v>
      </c>
      <c r="G25" s="35">
        <v>6</v>
      </c>
      <c r="H25" s="59">
        <v>2.52</v>
      </c>
      <c r="I25" s="59">
        <v>2.766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>IFERROR(IF(X25="",0,CEILING((X25/$H25),1)*$H25),"")</f>
        <v>0</v>
      </c>
      <c r="Z25" s="39" t="str">
        <f>IFERROR(IF(Y25=0,"",ROUNDUP(Y25/H25,0)*0.00651),"")</f>
        <v/>
      </c>
      <c r="AA25" s="65" t="s">
        <v>45</v>
      </c>
      <c r="AB25" s="66" t="s">
        <v>45</v>
      </c>
      <c r="AC25" s="87" t="s">
        <v>92</v>
      </c>
      <c r="AG25" s="75"/>
      <c r="AJ25" s="79" t="s">
        <v>45</v>
      </c>
      <c r="AK25" s="79">
        <v>0</v>
      </c>
      <c r="BB25" s="88" t="s">
        <v>66</v>
      </c>
      <c r="BM25" s="75">
        <f>IFERROR(X25*I25/H25,"0")</f>
        <v>0</v>
      </c>
      <c r="BN25" s="75">
        <f>IFERROR(Y25*I25/H25,"0")</f>
        <v>0</v>
      </c>
      <c r="BO25" s="75">
        <f>IFERROR(1/J25*(X25/H25),"0")</f>
        <v>0</v>
      </c>
      <c r="BP25" s="75">
        <f>IFERROR(1/J25*(Y25/H25),"0")</f>
        <v>0</v>
      </c>
    </row>
    <row r="26" spans="1:68" x14ac:dyDescent="0.2">
      <c r="A26" s="680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77" t="s">
        <v>40</v>
      </c>
      <c r="Q26" s="678"/>
      <c r="R26" s="678"/>
      <c r="S26" s="678"/>
      <c r="T26" s="678"/>
      <c r="U26" s="678"/>
      <c r="V26" s="679"/>
      <c r="W26" s="40" t="s">
        <v>39</v>
      </c>
      <c r="X26" s="41">
        <f>IFERROR(X22/H22,"0")+IFERROR(X23/H23,"0")+IFERROR(X24/H24,"0")+IFERROR(X25/H25,"0")</f>
        <v>0</v>
      </c>
      <c r="Y26" s="41">
        <f>IFERROR(Y22/H22,"0")+IFERROR(Y23/H23,"0")+IFERROR(Y24/H24,"0")+IFERROR(Y25/H25,"0")</f>
        <v>0</v>
      </c>
      <c r="Z26" s="41">
        <f>IFERROR(IF(Z22="",0,Z22),"0")+IFERROR(IF(Z23="",0,Z23),"0")+IFERROR(IF(Z24="",0,Z24),"0")+IFERROR(IF(Z25="",0,Z25),"0")</f>
        <v>0</v>
      </c>
      <c r="AA26" s="64"/>
      <c r="AB26" s="64"/>
      <c r="AC26" s="64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77" t="s">
        <v>40</v>
      </c>
      <c r="Q27" s="678"/>
      <c r="R27" s="678"/>
      <c r="S27" s="678"/>
      <c r="T27" s="678"/>
      <c r="U27" s="678"/>
      <c r="V27" s="679"/>
      <c r="W27" s="40" t="s">
        <v>0</v>
      </c>
      <c r="X27" s="41">
        <f>IFERROR(SUM(X22:X25),"0")</f>
        <v>0</v>
      </c>
      <c r="Y27" s="41">
        <f>IFERROR(SUM(Y22:Y25),"0")</f>
        <v>0</v>
      </c>
      <c r="Z27" s="40"/>
      <c r="AA27" s="64"/>
      <c r="AB27" s="64"/>
      <c r="AC27" s="64"/>
    </row>
    <row r="28" spans="1:68" ht="14.25" customHeight="1" x14ac:dyDescent="0.25">
      <c r="A28" s="672" t="s">
        <v>93</v>
      </c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72"/>
      <c r="P28" s="672"/>
      <c r="Q28" s="672"/>
      <c r="R28" s="672"/>
      <c r="S28" s="672"/>
      <c r="T28" s="672"/>
      <c r="U28" s="672"/>
      <c r="V28" s="672"/>
      <c r="W28" s="672"/>
      <c r="X28" s="672"/>
      <c r="Y28" s="672"/>
      <c r="Z28" s="672"/>
      <c r="AA28" s="63"/>
      <c r="AB28" s="63"/>
      <c r="AC28" s="63"/>
    </row>
    <row r="29" spans="1:68" ht="27" customHeight="1" x14ac:dyDescent="0.25">
      <c r="A29" s="60" t="s">
        <v>94</v>
      </c>
      <c r="B29" s="60" t="s">
        <v>95</v>
      </c>
      <c r="C29" s="34">
        <v>4301032013</v>
      </c>
      <c r="D29" s="673">
        <v>4607091388503</v>
      </c>
      <c r="E29" s="673"/>
      <c r="F29" s="59">
        <v>0.05</v>
      </c>
      <c r="G29" s="35">
        <v>12</v>
      </c>
      <c r="H29" s="59">
        <v>0.6</v>
      </c>
      <c r="I29" s="59">
        <v>0.82199999999999995</v>
      </c>
      <c r="J29" s="35">
        <v>182</v>
      </c>
      <c r="K29" s="35" t="s">
        <v>83</v>
      </c>
      <c r="L29" s="35" t="s">
        <v>45</v>
      </c>
      <c r="M29" s="36" t="s">
        <v>98</v>
      </c>
      <c r="N29" s="36"/>
      <c r="O29" s="35">
        <v>120</v>
      </c>
      <c r="P29" s="97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5"/>
      <c r="R29" s="675"/>
      <c r="S29" s="675"/>
      <c r="T29" s="676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96</v>
      </c>
      <c r="AG29" s="75"/>
      <c r="AJ29" s="79" t="s">
        <v>45</v>
      </c>
      <c r="AK29" s="79">
        <v>0</v>
      </c>
      <c r="BB29" s="90" t="s">
        <v>97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x14ac:dyDescent="0.2">
      <c r="A30" s="680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77" t="s">
        <v>40</v>
      </c>
      <c r="Q30" s="678"/>
      <c r="R30" s="678"/>
      <c r="S30" s="678"/>
      <c r="T30" s="678"/>
      <c r="U30" s="678"/>
      <c r="V30" s="679"/>
      <c r="W30" s="40" t="s">
        <v>39</v>
      </c>
      <c r="X30" s="41">
        <f>IFERROR(X29/H29,"0")</f>
        <v>0</v>
      </c>
      <c r="Y30" s="41">
        <f>IFERROR(Y29/H29,"0")</f>
        <v>0</v>
      </c>
      <c r="Z30" s="41">
        <f>IFERROR(IF(Z29="",0,Z29),"0")</f>
        <v>0</v>
      </c>
      <c r="AA30" s="64"/>
      <c r="AB30" s="64"/>
      <c r="AC30" s="64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77" t="s">
        <v>40</v>
      </c>
      <c r="Q31" s="678"/>
      <c r="R31" s="678"/>
      <c r="S31" s="678"/>
      <c r="T31" s="678"/>
      <c r="U31" s="678"/>
      <c r="V31" s="679"/>
      <c r="W31" s="40" t="s">
        <v>0</v>
      </c>
      <c r="X31" s="41">
        <f>IFERROR(SUM(X29:X29),"0")</f>
        <v>0</v>
      </c>
      <c r="Y31" s="41">
        <f>IFERROR(SUM(Y29:Y29),"0")</f>
        <v>0</v>
      </c>
      <c r="Z31" s="40"/>
      <c r="AA31" s="64"/>
      <c r="AB31" s="64"/>
      <c r="AC31" s="64"/>
    </row>
    <row r="32" spans="1:68" ht="27.75" customHeight="1" x14ac:dyDescent="0.2">
      <c r="A32" s="718" t="s">
        <v>99</v>
      </c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8"/>
      <c r="P32" s="718"/>
      <c r="Q32" s="718"/>
      <c r="R32" s="718"/>
      <c r="S32" s="718"/>
      <c r="T32" s="718"/>
      <c r="U32" s="718"/>
      <c r="V32" s="718"/>
      <c r="W32" s="718"/>
      <c r="X32" s="718"/>
      <c r="Y32" s="718"/>
      <c r="Z32" s="718"/>
      <c r="AA32" s="52"/>
      <c r="AB32" s="52"/>
      <c r="AC32" s="52"/>
    </row>
    <row r="33" spans="1:68" ht="16.5" customHeight="1" x14ac:dyDescent="0.25">
      <c r="A33" s="694" t="s">
        <v>100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62"/>
      <c r="AB33" s="62"/>
      <c r="AC33" s="62"/>
    </row>
    <row r="34" spans="1:68" ht="14.25" customHeight="1" x14ac:dyDescent="0.25">
      <c r="A34" s="672" t="s">
        <v>101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63"/>
      <c r="AB34" s="63"/>
      <c r="AC34" s="63"/>
    </row>
    <row r="35" spans="1:68" ht="16.5" customHeight="1" x14ac:dyDescent="0.25">
      <c r="A35" s="60" t="s">
        <v>102</v>
      </c>
      <c r="B35" s="60" t="s">
        <v>103</v>
      </c>
      <c r="C35" s="34">
        <v>4301011380</v>
      </c>
      <c r="D35" s="673">
        <v>4607091385670</v>
      </c>
      <c r="E35" s="673"/>
      <c r="F35" s="59">
        <v>1.35</v>
      </c>
      <c r="G35" s="35">
        <v>8</v>
      </c>
      <c r="H35" s="59">
        <v>10.8</v>
      </c>
      <c r="I35" s="59">
        <v>11.234999999999999</v>
      </c>
      <c r="J35" s="35">
        <v>64</v>
      </c>
      <c r="K35" s="35" t="s">
        <v>106</v>
      </c>
      <c r="L35" s="35" t="s">
        <v>45</v>
      </c>
      <c r="M35" s="36" t="s">
        <v>105</v>
      </c>
      <c r="N35" s="36"/>
      <c r="O35" s="35">
        <v>50</v>
      </c>
      <c r="P35" s="9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5"/>
      <c r="R35" s="675"/>
      <c r="S35" s="675"/>
      <c r="T35" s="676"/>
      <c r="U35" s="37" t="s">
        <v>45</v>
      </c>
      <c r="V35" s="37" t="s">
        <v>45</v>
      </c>
      <c r="W35" s="38" t="s">
        <v>0</v>
      </c>
      <c r="X35" s="56">
        <v>200</v>
      </c>
      <c r="Y35" s="53">
        <f>IFERROR(IF(X35="",0,CEILING((X35/$H35),1)*$H35),"")</f>
        <v>205.20000000000002</v>
      </c>
      <c r="Z35" s="39">
        <f>IFERROR(IF(Y35=0,"",ROUNDUP(Y35/H35,0)*0.01898),"")</f>
        <v>0.36062</v>
      </c>
      <c r="AA35" s="65" t="s">
        <v>45</v>
      </c>
      <c r="AB35" s="66" t="s">
        <v>45</v>
      </c>
      <c r="AC35" s="91" t="s">
        <v>104</v>
      </c>
      <c r="AG35" s="75"/>
      <c r="AJ35" s="79" t="s">
        <v>45</v>
      </c>
      <c r="AK35" s="79">
        <v>0</v>
      </c>
      <c r="BB35" s="92" t="s">
        <v>66</v>
      </c>
      <c r="BM35" s="75">
        <f>IFERROR(X35*I35/H35,"0")</f>
        <v>208.05555555555554</v>
      </c>
      <c r="BN35" s="75">
        <f>IFERROR(Y35*I35/H35,"0")</f>
        <v>213.46499999999997</v>
      </c>
      <c r="BO35" s="75">
        <f>IFERROR(1/J35*(X35/H35),"0")</f>
        <v>0.28935185185185186</v>
      </c>
      <c r="BP35" s="75">
        <f>IFERROR(1/J35*(Y35/H35),"0")</f>
        <v>0.296875</v>
      </c>
    </row>
    <row r="36" spans="1:68" ht="27" customHeight="1" x14ac:dyDescent="0.25">
      <c r="A36" s="60" t="s">
        <v>107</v>
      </c>
      <c r="B36" s="60" t="s">
        <v>108</v>
      </c>
      <c r="C36" s="34">
        <v>4301011382</v>
      </c>
      <c r="D36" s="673">
        <v>4607091385687</v>
      </c>
      <c r="E36" s="673"/>
      <c r="F36" s="59">
        <v>0.4</v>
      </c>
      <c r="G36" s="35">
        <v>10</v>
      </c>
      <c r="H36" s="59">
        <v>4</v>
      </c>
      <c r="I36" s="59">
        <v>4.21</v>
      </c>
      <c r="J36" s="35">
        <v>132</v>
      </c>
      <c r="K36" s="35" t="s">
        <v>110</v>
      </c>
      <c r="L36" s="35" t="s">
        <v>111</v>
      </c>
      <c r="M36" s="36" t="s">
        <v>109</v>
      </c>
      <c r="N36" s="36"/>
      <c r="O36" s="35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5"/>
      <c r="R36" s="675"/>
      <c r="S36" s="675"/>
      <c r="T36" s="676"/>
      <c r="U36" s="37" t="s">
        <v>45</v>
      </c>
      <c r="V36" s="37" t="s">
        <v>45</v>
      </c>
      <c r="W36" s="38" t="s">
        <v>0</v>
      </c>
      <c r="X36" s="56">
        <v>144</v>
      </c>
      <c r="Y36" s="53">
        <f>IFERROR(IF(X36="",0,CEILING((X36/$H36),1)*$H36),"")</f>
        <v>144</v>
      </c>
      <c r="Z36" s="39">
        <f>IFERROR(IF(Y36=0,"",ROUNDUP(Y36/H36,0)*0.00902),"")</f>
        <v>0.32472000000000001</v>
      </c>
      <c r="AA36" s="65" t="s">
        <v>45</v>
      </c>
      <c r="AB36" s="66" t="s">
        <v>45</v>
      </c>
      <c r="AC36" s="93" t="s">
        <v>104</v>
      </c>
      <c r="AG36" s="75"/>
      <c r="AJ36" s="79" t="s">
        <v>112</v>
      </c>
      <c r="AK36" s="79">
        <v>48</v>
      </c>
      <c r="BB36" s="94" t="s">
        <v>66</v>
      </c>
      <c r="BM36" s="75">
        <f>IFERROR(X36*I36/H36,"0")</f>
        <v>151.56</v>
      </c>
      <c r="BN36" s="75">
        <f>IFERROR(Y36*I36/H36,"0")</f>
        <v>151.56</v>
      </c>
      <c r="BO36" s="75">
        <f>IFERROR(1/J36*(X36/H36),"0")</f>
        <v>0.27272727272727271</v>
      </c>
      <c r="BP36" s="75">
        <f>IFERROR(1/J36*(Y36/H36),"0")</f>
        <v>0.27272727272727271</v>
      </c>
    </row>
    <row r="37" spans="1:68" ht="27" customHeight="1" x14ac:dyDescent="0.25">
      <c r="A37" s="60" t="s">
        <v>113</v>
      </c>
      <c r="B37" s="60" t="s">
        <v>114</v>
      </c>
      <c r="C37" s="34">
        <v>4301011565</v>
      </c>
      <c r="D37" s="673">
        <v>4680115882539</v>
      </c>
      <c r="E37" s="673"/>
      <c r="F37" s="59">
        <v>0.37</v>
      </c>
      <c r="G37" s="35">
        <v>10</v>
      </c>
      <c r="H37" s="59">
        <v>3.7</v>
      </c>
      <c r="I37" s="59">
        <v>3.91</v>
      </c>
      <c r="J37" s="35">
        <v>132</v>
      </c>
      <c r="K37" s="35" t="s">
        <v>110</v>
      </c>
      <c r="L37" s="35" t="s">
        <v>45</v>
      </c>
      <c r="M37" s="36" t="s">
        <v>109</v>
      </c>
      <c r="N37" s="36"/>
      <c r="O37" s="35">
        <v>50</v>
      </c>
      <c r="P37" s="9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IFERROR(IF(Y37=0,"",ROUNDUP(Y37/H37,0)*0.00902),"")</f>
        <v/>
      </c>
      <c r="AA37" s="65" t="s">
        <v>45</v>
      </c>
      <c r="AB37" s="66" t="s">
        <v>45</v>
      </c>
      <c r="AC37" s="95" t="s">
        <v>104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4301011624</v>
      </c>
      <c r="D38" s="673">
        <v>4680115883949</v>
      </c>
      <c r="E38" s="673"/>
      <c r="F38" s="59">
        <v>0.37</v>
      </c>
      <c r="G38" s="35">
        <v>10</v>
      </c>
      <c r="H38" s="59">
        <v>3.7</v>
      </c>
      <c r="I38" s="59">
        <v>3.91</v>
      </c>
      <c r="J38" s="35">
        <v>132</v>
      </c>
      <c r="K38" s="35" t="s">
        <v>110</v>
      </c>
      <c r="L38" s="35" t="s">
        <v>45</v>
      </c>
      <c r="M38" s="36" t="s">
        <v>105</v>
      </c>
      <c r="N38" s="36"/>
      <c r="O38" s="35">
        <v>50</v>
      </c>
      <c r="P38" s="97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117</v>
      </c>
      <c r="AG38" s="75"/>
      <c r="AJ38" s="79" t="s">
        <v>45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x14ac:dyDescent="0.2">
      <c r="A39" s="680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77" t="s">
        <v>40</v>
      </c>
      <c r="Q39" s="678"/>
      <c r="R39" s="678"/>
      <c r="S39" s="678"/>
      <c r="T39" s="678"/>
      <c r="U39" s="678"/>
      <c r="V39" s="679"/>
      <c r="W39" s="40" t="s">
        <v>39</v>
      </c>
      <c r="X39" s="41">
        <f>IFERROR(X35/H35,"0")+IFERROR(X36/H36,"0")+IFERROR(X37/H37,"0")+IFERROR(X38/H38,"0")</f>
        <v>54.518518518518519</v>
      </c>
      <c r="Y39" s="41">
        <f>IFERROR(Y35/H35,"0")+IFERROR(Y36/H36,"0")+IFERROR(Y37/H37,"0")+IFERROR(Y38/H38,"0")</f>
        <v>55</v>
      </c>
      <c r="Z39" s="41">
        <f>IFERROR(IF(Z35="",0,Z35),"0")+IFERROR(IF(Z36="",0,Z36),"0")+IFERROR(IF(Z37="",0,Z37),"0")+IFERROR(IF(Z38="",0,Z38),"0")</f>
        <v>0.68534000000000006</v>
      </c>
      <c r="AA39" s="64"/>
      <c r="AB39" s="64"/>
      <c r="AC39" s="64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77" t="s">
        <v>40</v>
      </c>
      <c r="Q40" s="678"/>
      <c r="R40" s="678"/>
      <c r="S40" s="678"/>
      <c r="T40" s="678"/>
      <c r="U40" s="678"/>
      <c r="V40" s="679"/>
      <c r="W40" s="40" t="s">
        <v>0</v>
      </c>
      <c r="X40" s="41">
        <f>IFERROR(SUM(X35:X38),"0")</f>
        <v>344</v>
      </c>
      <c r="Y40" s="41">
        <f>IFERROR(SUM(Y35:Y38),"0")</f>
        <v>349.20000000000005</v>
      </c>
      <c r="Z40" s="40"/>
      <c r="AA40" s="64"/>
      <c r="AB40" s="64"/>
      <c r="AC40" s="64"/>
    </row>
    <row r="41" spans="1:68" ht="14.25" customHeight="1" x14ac:dyDescent="0.25">
      <c r="A41" s="672" t="s">
        <v>78</v>
      </c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Y41" s="672"/>
      <c r="Z41" s="672"/>
      <c r="AA41" s="63"/>
      <c r="AB41" s="63"/>
      <c r="AC41" s="63"/>
    </row>
    <row r="42" spans="1:68" ht="16.5" customHeight="1" x14ac:dyDescent="0.25">
      <c r="A42" s="60" t="s">
        <v>118</v>
      </c>
      <c r="B42" s="60" t="s">
        <v>119</v>
      </c>
      <c r="C42" s="34">
        <v>4301051820</v>
      </c>
      <c r="D42" s="673">
        <v>4680115884915</v>
      </c>
      <c r="E42" s="673"/>
      <c r="F42" s="59">
        <v>0.3</v>
      </c>
      <c r="G42" s="35">
        <v>6</v>
      </c>
      <c r="H42" s="59">
        <v>1.8</v>
      </c>
      <c r="I42" s="59">
        <v>1.98</v>
      </c>
      <c r="J42" s="35">
        <v>182</v>
      </c>
      <c r="K42" s="35" t="s">
        <v>83</v>
      </c>
      <c r="L42" s="35" t="s">
        <v>45</v>
      </c>
      <c r="M42" s="36" t="s">
        <v>109</v>
      </c>
      <c r="N42" s="36"/>
      <c r="O42" s="35">
        <v>40</v>
      </c>
      <c r="P42" s="97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5"/>
      <c r="R42" s="675"/>
      <c r="S42" s="675"/>
      <c r="T42" s="676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45</v>
      </c>
      <c r="AB42" s="66" t="s">
        <v>45</v>
      </c>
      <c r="AC42" s="99" t="s">
        <v>120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80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77" t="s">
        <v>40</v>
      </c>
      <c r="Q43" s="678"/>
      <c r="R43" s="678"/>
      <c r="S43" s="678"/>
      <c r="T43" s="678"/>
      <c r="U43" s="678"/>
      <c r="V43" s="679"/>
      <c r="W43" s="40" t="s">
        <v>39</v>
      </c>
      <c r="X43" s="41">
        <f>IFERROR(X42/H42,"0")</f>
        <v>0</v>
      </c>
      <c r="Y43" s="41">
        <f>IFERROR(Y42/H42,"0")</f>
        <v>0</v>
      </c>
      <c r="Z43" s="41">
        <f>IFERROR(IF(Z42="",0,Z42),"0")</f>
        <v>0</v>
      </c>
      <c r="AA43" s="64"/>
      <c r="AB43" s="64"/>
      <c r="AC43" s="64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77" t="s">
        <v>40</v>
      </c>
      <c r="Q44" s="678"/>
      <c r="R44" s="678"/>
      <c r="S44" s="678"/>
      <c r="T44" s="678"/>
      <c r="U44" s="678"/>
      <c r="V44" s="679"/>
      <c r="W44" s="40" t="s">
        <v>0</v>
      </c>
      <c r="X44" s="41">
        <f>IFERROR(SUM(X42:X42),"0")</f>
        <v>0</v>
      </c>
      <c r="Y44" s="41">
        <f>IFERROR(SUM(Y42:Y42),"0")</f>
        <v>0</v>
      </c>
      <c r="Z44" s="40"/>
      <c r="AA44" s="64"/>
      <c r="AB44" s="64"/>
      <c r="AC44" s="64"/>
    </row>
    <row r="45" spans="1:68" ht="16.5" customHeight="1" x14ac:dyDescent="0.25">
      <c r="A45" s="694" t="s">
        <v>121</v>
      </c>
      <c r="B45" s="694"/>
      <c r="C45" s="694"/>
      <c r="D45" s="694"/>
      <c r="E45" s="694"/>
      <c r="F45" s="694"/>
      <c r="G45" s="694"/>
      <c r="H45" s="694"/>
      <c r="I45" s="694"/>
      <c r="J45" s="694"/>
      <c r="K45" s="694"/>
      <c r="L45" s="694"/>
      <c r="M45" s="694"/>
      <c r="N45" s="694"/>
      <c r="O45" s="694"/>
      <c r="P45" s="694"/>
      <c r="Q45" s="694"/>
      <c r="R45" s="694"/>
      <c r="S45" s="694"/>
      <c r="T45" s="694"/>
      <c r="U45" s="694"/>
      <c r="V45" s="694"/>
      <c r="W45" s="694"/>
      <c r="X45" s="694"/>
      <c r="Y45" s="694"/>
      <c r="Z45" s="694"/>
      <c r="AA45" s="62"/>
      <c r="AB45" s="62"/>
      <c r="AC45" s="62"/>
    </row>
    <row r="46" spans="1:68" ht="14.25" customHeight="1" x14ac:dyDescent="0.25">
      <c r="A46" s="672" t="s">
        <v>101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4301012030</v>
      </c>
      <c r="D47" s="673">
        <v>4680115885882</v>
      </c>
      <c r="E47" s="673"/>
      <c r="F47" s="59">
        <v>1.4</v>
      </c>
      <c r="G47" s="35">
        <v>8</v>
      </c>
      <c r="H47" s="59">
        <v>11.2</v>
      </c>
      <c r="I47" s="59">
        <v>11.635</v>
      </c>
      <c r="J47" s="35">
        <v>64</v>
      </c>
      <c r="K47" s="35" t="s">
        <v>106</v>
      </c>
      <c r="L47" s="35" t="s">
        <v>45</v>
      </c>
      <c r="M47" s="36" t="s">
        <v>109</v>
      </c>
      <c r="N47" s="36"/>
      <c r="O47" s="35">
        <v>50</v>
      </c>
      <c r="P47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5"/>
      <c r="R47" s="675"/>
      <c r="S47" s="675"/>
      <c r="T47" s="676"/>
      <c r="U47" s="37" t="s">
        <v>45</v>
      </c>
      <c r="V47" s="37" t="s">
        <v>45</v>
      </c>
      <c r="W47" s="38" t="s">
        <v>0</v>
      </c>
      <c r="X47" s="56">
        <v>100</v>
      </c>
      <c r="Y47" s="53">
        <f t="shared" ref="Y47:Y53" si="0">IFERROR(IF(X47="",0,CEILING((X47/$H47),1)*$H47),"")</f>
        <v>100.8</v>
      </c>
      <c r="Z47" s="39">
        <f>IFERROR(IF(Y47=0,"",ROUNDUP(Y47/H47,0)*0.01898),"")</f>
        <v>0.17082</v>
      </c>
      <c r="AA47" s="65" t="s">
        <v>45</v>
      </c>
      <c r="AB47" s="66" t="s">
        <v>45</v>
      </c>
      <c r="AC47" s="101" t="s">
        <v>124</v>
      </c>
      <c r="AG47" s="75"/>
      <c r="AJ47" s="79" t="s">
        <v>45</v>
      </c>
      <c r="AK47" s="79">
        <v>0</v>
      </c>
      <c r="BB47" s="102" t="s">
        <v>66</v>
      </c>
      <c r="BM47" s="75">
        <f t="shared" ref="BM47:BM53" si="1">IFERROR(X47*I47/H47,"0")</f>
        <v>103.88392857142858</v>
      </c>
      <c r="BN47" s="75">
        <f t="shared" ref="BN47:BN53" si="2">IFERROR(Y47*I47/H47,"0")</f>
        <v>104.715</v>
      </c>
      <c r="BO47" s="75">
        <f t="shared" ref="BO47:BO53" si="3">IFERROR(1/J47*(X47/H47),"0")</f>
        <v>0.13950892857142858</v>
      </c>
      <c r="BP47" s="75">
        <f t="shared" ref="BP47:BP53" si="4">IFERROR(1/J47*(Y47/H47),"0")</f>
        <v>0.140625</v>
      </c>
    </row>
    <row r="48" spans="1:68" ht="27" customHeight="1" x14ac:dyDescent="0.25">
      <c r="A48" s="60" t="s">
        <v>125</v>
      </c>
      <c r="B48" s="60" t="s">
        <v>126</v>
      </c>
      <c r="C48" s="34">
        <v>4301011816</v>
      </c>
      <c r="D48" s="673">
        <v>4680115881426</v>
      </c>
      <c r="E48" s="673"/>
      <c r="F48" s="59">
        <v>1.35</v>
      </c>
      <c r="G48" s="35">
        <v>8</v>
      </c>
      <c r="H48" s="59">
        <v>10.8</v>
      </c>
      <c r="I48" s="59">
        <v>11.234999999999999</v>
      </c>
      <c r="J48" s="35">
        <v>64</v>
      </c>
      <c r="K48" s="35" t="s">
        <v>106</v>
      </c>
      <c r="L48" s="35" t="s">
        <v>128</v>
      </c>
      <c r="M48" s="36" t="s">
        <v>105</v>
      </c>
      <c r="N48" s="36"/>
      <c r="O48" s="35">
        <v>50</v>
      </c>
      <c r="P48" s="9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5"/>
      <c r="R48" s="675"/>
      <c r="S48" s="675"/>
      <c r="T48" s="676"/>
      <c r="U48" s="37" t="s">
        <v>45</v>
      </c>
      <c r="V48" s="37" t="s">
        <v>45</v>
      </c>
      <c r="W48" s="38" t="s">
        <v>0</v>
      </c>
      <c r="X48" s="56">
        <v>691.2</v>
      </c>
      <c r="Y48" s="53">
        <f t="shared" si="0"/>
        <v>691.2</v>
      </c>
      <c r="Z48" s="39">
        <f>IFERROR(IF(Y48=0,"",ROUNDUP(Y48/H48,0)*0.01898),"")</f>
        <v>1.21472</v>
      </c>
      <c r="AA48" s="65" t="s">
        <v>45</v>
      </c>
      <c r="AB48" s="66" t="s">
        <v>45</v>
      </c>
      <c r="AC48" s="103" t="s">
        <v>127</v>
      </c>
      <c r="AG48" s="75"/>
      <c r="AJ48" s="79" t="s">
        <v>129</v>
      </c>
      <c r="AK48" s="79">
        <v>691.2</v>
      </c>
      <c r="BB48" s="104" t="s">
        <v>66</v>
      </c>
      <c r="BM48" s="75">
        <f t="shared" si="1"/>
        <v>719.04</v>
      </c>
      <c r="BN48" s="75">
        <f t="shared" si="2"/>
        <v>719.04</v>
      </c>
      <c r="BO48" s="75">
        <f t="shared" si="3"/>
        <v>1</v>
      </c>
      <c r="BP48" s="75">
        <f t="shared" si="4"/>
        <v>1</v>
      </c>
    </row>
    <row r="49" spans="1:68" ht="27" customHeight="1" x14ac:dyDescent="0.25">
      <c r="A49" s="60" t="s">
        <v>130</v>
      </c>
      <c r="B49" s="60" t="s">
        <v>131</v>
      </c>
      <c r="C49" s="34">
        <v>4301011386</v>
      </c>
      <c r="D49" s="673">
        <v>4680115880283</v>
      </c>
      <c r="E49" s="673"/>
      <c r="F49" s="59">
        <v>0.6</v>
      </c>
      <c r="G49" s="35">
        <v>8</v>
      </c>
      <c r="H49" s="59">
        <v>4.8</v>
      </c>
      <c r="I49" s="59">
        <v>5.01</v>
      </c>
      <c r="J49" s="35">
        <v>132</v>
      </c>
      <c r="K49" s="35" t="s">
        <v>110</v>
      </c>
      <c r="L49" s="35" t="s">
        <v>45</v>
      </c>
      <c r="M49" s="36" t="s">
        <v>105</v>
      </c>
      <c r="N49" s="36"/>
      <c r="O49" s="35">
        <v>45</v>
      </c>
      <c r="P49" s="96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si="0"/>
        <v>0</v>
      </c>
      <c r="Z49" s="39" t="str">
        <f>IFERROR(IF(Y49=0,"",ROUNDUP(Y49/H49,0)*0.00902),"")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si="1"/>
        <v>0</v>
      </c>
      <c r="BN49" s="75">
        <f t="shared" si="2"/>
        <v>0</v>
      </c>
      <c r="BO49" s="75">
        <f t="shared" si="3"/>
        <v>0</v>
      </c>
      <c r="BP49" s="75">
        <f t="shared" si="4"/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4301011432</v>
      </c>
      <c r="D50" s="673">
        <v>4680115882720</v>
      </c>
      <c r="E50" s="673"/>
      <c r="F50" s="59">
        <v>0.45</v>
      </c>
      <c r="G50" s="35">
        <v>10</v>
      </c>
      <c r="H50" s="59">
        <v>4.5</v>
      </c>
      <c r="I50" s="59">
        <v>4.71</v>
      </c>
      <c r="J50" s="35">
        <v>132</v>
      </c>
      <c r="K50" s="35" t="s">
        <v>110</v>
      </c>
      <c r="L50" s="35" t="s">
        <v>45</v>
      </c>
      <c r="M50" s="36" t="s">
        <v>105</v>
      </c>
      <c r="N50" s="36"/>
      <c r="O50" s="35">
        <v>90</v>
      </c>
      <c r="P50" s="966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0"/>
        <v>0</v>
      </c>
      <c r="Z50" s="39" t="str">
        <f>IFERROR(IF(Y50=0,"",ROUNDUP(Y50/H50,0)*0.00902),"")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45</v>
      </c>
      <c r="AK50" s="79">
        <v>0</v>
      </c>
      <c r="BB50" s="108" t="s">
        <v>66</v>
      </c>
      <c r="BM50" s="75">
        <f t="shared" si="1"/>
        <v>0</v>
      </c>
      <c r="BN50" s="75">
        <f t="shared" si="2"/>
        <v>0</v>
      </c>
      <c r="BO50" s="75">
        <f t="shared" si="3"/>
        <v>0</v>
      </c>
      <c r="BP50" s="75">
        <f t="shared" si="4"/>
        <v>0</v>
      </c>
    </row>
    <row r="51" spans="1:68" ht="16.5" customHeight="1" x14ac:dyDescent="0.25">
      <c r="A51" s="60" t="s">
        <v>136</v>
      </c>
      <c r="B51" s="60" t="s">
        <v>137</v>
      </c>
      <c r="C51" s="34">
        <v>4301011806</v>
      </c>
      <c r="D51" s="673">
        <v>4680115881525</v>
      </c>
      <c r="E51" s="673"/>
      <c r="F51" s="59">
        <v>0.4</v>
      </c>
      <c r="G51" s="35">
        <v>10</v>
      </c>
      <c r="H51" s="59">
        <v>4</v>
      </c>
      <c r="I51" s="59">
        <v>4.21</v>
      </c>
      <c r="J51" s="35">
        <v>132</v>
      </c>
      <c r="K51" s="35" t="s">
        <v>110</v>
      </c>
      <c r="L51" s="35" t="s">
        <v>45</v>
      </c>
      <c r="M51" s="36" t="s">
        <v>105</v>
      </c>
      <c r="N51" s="36"/>
      <c r="O51" s="35">
        <v>50</v>
      </c>
      <c r="P51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0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127</v>
      </c>
      <c r="AG51" s="75"/>
      <c r="AJ51" s="79" t="s">
        <v>45</v>
      </c>
      <c r="AK51" s="79">
        <v>0</v>
      </c>
      <c r="BB51" s="110" t="s">
        <v>66</v>
      </c>
      <c r="BM51" s="75">
        <f t="shared" si="1"/>
        <v>0</v>
      </c>
      <c r="BN51" s="75">
        <f t="shared" si="2"/>
        <v>0</v>
      </c>
      <c r="BO51" s="75">
        <f t="shared" si="3"/>
        <v>0</v>
      </c>
      <c r="BP51" s="75">
        <f t="shared" si="4"/>
        <v>0</v>
      </c>
    </row>
    <row r="52" spans="1:68" ht="27" customHeight="1" x14ac:dyDescent="0.25">
      <c r="A52" s="60" t="s">
        <v>138</v>
      </c>
      <c r="B52" s="60" t="s">
        <v>139</v>
      </c>
      <c r="C52" s="34">
        <v>4301011589</v>
      </c>
      <c r="D52" s="673">
        <v>4680115885899</v>
      </c>
      <c r="E52" s="673"/>
      <c r="F52" s="59">
        <v>0.35</v>
      </c>
      <c r="G52" s="35">
        <v>6</v>
      </c>
      <c r="H52" s="59">
        <v>2.1</v>
      </c>
      <c r="I52" s="59">
        <v>2.2799999999999998</v>
      </c>
      <c r="J52" s="35">
        <v>182</v>
      </c>
      <c r="K52" s="35" t="s">
        <v>83</v>
      </c>
      <c r="L52" s="35" t="s">
        <v>45</v>
      </c>
      <c r="M52" s="36" t="s">
        <v>141</v>
      </c>
      <c r="N52" s="36"/>
      <c r="O52" s="35">
        <v>50</v>
      </c>
      <c r="P52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0"/>
        <v>0</v>
      </c>
      <c r="Z52" s="39" t="str">
        <f>IFERROR(IF(Y52=0,"",ROUNDUP(Y52/H52,0)*0.00651),"")</f>
        <v/>
      </c>
      <c r="AA52" s="65" t="s">
        <v>45</v>
      </c>
      <c r="AB52" s="66" t="s">
        <v>45</v>
      </c>
      <c r="AC52" s="111" t="s">
        <v>140</v>
      </c>
      <c r="AG52" s="75"/>
      <c r="AJ52" s="79" t="s">
        <v>45</v>
      </c>
      <c r="AK52" s="79">
        <v>0</v>
      </c>
      <c r="BB52" s="112" t="s">
        <v>66</v>
      </c>
      <c r="BM52" s="75">
        <f t="shared" si="1"/>
        <v>0</v>
      </c>
      <c r="BN52" s="75">
        <f t="shared" si="2"/>
        <v>0</v>
      </c>
      <c r="BO52" s="75">
        <f t="shared" si="3"/>
        <v>0</v>
      </c>
      <c r="BP52" s="75">
        <f t="shared" si="4"/>
        <v>0</v>
      </c>
    </row>
    <row r="53" spans="1:68" ht="27" customHeight="1" x14ac:dyDescent="0.25">
      <c r="A53" s="60" t="s">
        <v>142</v>
      </c>
      <c r="B53" s="60" t="s">
        <v>143</v>
      </c>
      <c r="C53" s="34">
        <v>4301011801</v>
      </c>
      <c r="D53" s="673">
        <v>4680115881419</v>
      </c>
      <c r="E53" s="673"/>
      <c r="F53" s="59">
        <v>0.45</v>
      </c>
      <c r="G53" s="35">
        <v>10</v>
      </c>
      <c r="H53" s="59">
        <v>4.5</v>
      </c>
      <c r="I53" s="59">
        <v>4.71</v>
      </c>
      <c r="J53" s="35">
        <v>132</v>
      </c>
      <c r="K53" s="35" t="s">
        <v>110</v>
      </c>
      <c r="L53" s="35" t="s">
        <v>128</v>
      </c>
      <c r="M53" s="36" t="s">
        <v>105</v>
      </c>
      <c r="N53" s="36"/>
      <c r="O53" s="35">
        <v>50</v>
      </c>
      <c r="P53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1782</v>
      </c>
      <c r="Y53" s="53">
        <f t="shared" si="0"/>
        <v>1782</v>
      </c>
      <c r="Z53" s="39">
        <f>IFERROR(IF(Y53=0,"",ROUNDUP(Y53/H53,0)*0.00902),"")</f>
        <v>3.57192</v>
      </c>
      <c r="AA53" s="65" t="s">
        <v>45</v>
      </c>
      <c r="AB53" s="66" t="s">
        <v>45</v>
      </c>
      <c r="AC53" s="113" t="s">
        <v>127</v>
      </c>
      <c r="AG53" s="75"/>
      <c r="AJ53" s="79" t="s">
        <v>129</v>
      </c>
      <c r="AK53" s="79">
        <v>594</v>
      </c>
      <c r="BB53" s="114" t="s">
        <v>66</v>
      </c>
      <c r="BM53" s="75">
        <f t="shared" si="1"/>
        <v>1865.1599999999999</v>
      </c>
      <c r="BN53" s="75">
        <f t="shared" si="2"/>
        <v>1865.1599999999999</v>
      </c>
      <c r="BO53" s="75">
        <f t="shared" si="3"/>
        <v>3</v>
      </c>
      <c r="BP53" s="75">
        <f t="shared" si="4"/>
        <v>3</v>
      </c>
    </row>
    <row r="54" spans="1:68" x14ac:dyDescent="0.2">
      <c r="A54" s="680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77" t="s">
        <v>40</v>
      </c>
      <c r="Q54" s="678"/>
      <c r="R54" s="678"/>
      <c r="S54" s="678"/>
      <c r="T54" s="678"/>
      <c r="U54" s="678"/>
      <c r="V54" s="679"/>
      <c r="W54" s="40" t="s">
        <v>39</v>
      </c>
      <c r="X54" s="41">
        <f>IFERROR(X47/H47,"0")+IFERROR(X48/H48,"0")+IFERROR(X49/H49,"0")+IFERROR(X50/H50,"0")+IFERROR(X51/H51,"0")+IFERROR(X52/H52,"0")+IFERROR(X53/H53,"0")</f>
        <v>468.92857142857144</v>
      </c>
      <c r="Y54" s="41">
        <f>IFERROR(Y47/H47,"0")+IFERROR(Y48/H48,"0")+IFERROR(Y49/H49,"0")+IFERROR(Y50/H50,"0")+IFERROR(Y51/H51,"0")+IFERROR(Y52/H52,"0")+IFERROR(Y53/H53,"0")</f>
        <v>469</v>
      </c>
      <c r="Z54" s="41">
        <f>IFERROR(IF(Z47="",0,Z47),"0")+IFERROR(IF(Z48="",0,Z48),"0")+IFERROR(IF(Z49="",0,Z49),"0")+IFERROR(IF(Z50="",0,Z50),"0")+IFERROR(IF(Z51="",0,Z51),"0")+IFERROR(IF(Z52="",0,Z52),"0")+IFERROR(IF(Z53="",0,Z53),"0")</f>
        <v>4.9574600000000002</v>
      </c>
      <c r="AA54" s="64"/>
      <c r="AB54" s="64"/>
      <c r="AC54" s="64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0</v>
      </c>
      <c r="X55" s="41">
        <f>IFERROR(SUM(X47:X53),"0")</f>
        <v>2573.1999999999998</v>
      </c>
      <c r="Y55" s="41">
        <f>IFERROR(SUM(Y47:Y53),"0")</f>
        <v>2574</v>
      </c>
      <c r="Z55" s="40"/>
      <c r="AA55" s="64"/>
      <c r="AB55" s="64"/>
      <c r="AC55" s="64"/>
    </row>
    <row r="56" spans="1:68" ht="14.25" customHeight="1" x14ac:dyDescent="0.25">
      <c r="A56" s="672" t="s">
        <v>144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Y56" s="672"/>
      <c r="Z56" s="672"/>
      <c r="AA56" s="63"/>
      <c r="AB56" s="63"/>
      <c r="AC56" s="63"/>
    </row>
    <row r="57" spans="1:68" ht="16.5" customHeight="1" x14ac:dyDescent="0.25">
      <c r="A57" s="60" t="s">
        <v>145</v>
      </c>
      <c r="B57" s="60" t="s">
        <v>146</v>
      </c>
      <c r="C57" s="34">
        <v>4301020298</v>
      </c>
      <c r="D57" s="673">
        <v>4680115881440</v>
      </c>
      <c r="E57" s="673"/>
      <c r="F57" s="59">
        <v>1.35</v>
      </c>
      <c r="G57" s="35">
        <v>8</v>
      </c>
      <c r="H57" s="59">
        <v>10.8</v>
      </c>
      <c r="I57" s="59">
        <v>11.234999999999999</v>
      </c>
      <c r="J57" s="35">
        <v>64</v>
      </c>
      <c r="K57" s="35" t="s">
        <v>106</v>
      </c>
      <c r="L57" s="35" t="s">
        <v>45</v>
      </c>
      <c r="M57" s="36" t="s">
        <v>105</v>
      </c>
      <c r="N57" s="36"/>
      <c r="O57" s="35">
        <v>50</v>
      </c>
      <c r="P57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5"/>
      <c r="R57" s="675"/>
      <c r="S57" s="675"/>
      <c r="T57" s="676"/>
      <c r="U57" s="37" t="s">
        <v>45</v>
      </c>
      <c r="V57" s="37" t="s">
        <v>45</v>
      </c>
      <c r="W57" s="38" t="s">
        <v>0</v>
      </c>
      <c r="X57" s="56">
        <v>600</v>
      </c>
      <c r="Y57" s="53">
        <f>IFERROR(IF(X57="",0,CEILING((X57/$H57),1)*$H57),"")</f>
        <v>604.80000000000007</v>
      </c>
      <c r="Z57" s="39">
        <f>IFERROR(IF(Y57=0,"",ROUNDUP(Y57/H57,0)*0.01898),"")</f>
        <v>1.06288</v>
      </c>
      <c r="AA57" s="65" t="s">
        <v>45</v>
      </c>
      <c r="AB57" s="66" t="s">
        <v>45</v>
      </c>
      <c r="AC57" s="115" t="s">
        <v>147</v>
      </c>
      <c r="AG57" s="75"/>
      <c r="AJ57" s="79" t="s">
        <v>45</v>
      </c>
      <c r="AK57" s="79">
        <v>0</v>
      </c>
      <c r="BB57" s="116" t="s">
        <v>66</v>
      </c>
      <c r="BM57" s="75">
        <f>IFERROR(X57*I57/H57,"0")</f>
        <v>624.16666666666663</v>
      </c>
      <c r="BN57" s="75">
        <f>IFERROR(Y57*I57/H57,"0")</f>
        <v>629.16000000000008</v>
      </c>
      <c r="BO57" s="75">
        <f>IFERROR(1/J57*(X57/H57),"0")</f>
        <v>0.86805555555555547</v>
      </c>
      <c r="BP57" s="75">
        <f>IFERROR(1/J57*(Y57/H57),"0")</f>
        <v>0.875</v>
      </c>
    </row>
    <row r="58" spans="1:68" ht="27" customHeight="1" x14ac:dyDescent="0.25">
      <c r="A58" s="60" t="s">
        <v>148</v>
      </c>
      <c r="B58" s="60" t="s">
        <v>149</v>
      </c>
      <c r="C58" s="34">
        <v>4301020228</v>
      </c>
      <c r="D58" s="673">
        <v>4680115882751</v>
      </c>
      <c r="E58" s="673"/>
      <c r="F58" s="59">
        <v>0.45</v>
      </c>
      <c r="G58" s="35">
        <v>10</v>
      </c>
      <c r="H58" s="59">
        <v>4.5</v>
      </c>
      <c r="I58" s="59">
        <v>4.71</v>
      </c>
      <c r="J58" s="35">
        <v>132</v>
      </c>
      <c r="K58" s="35" t="s">
        <v>110</v>
      </c>
      <c r="L58" s="35" t="s">
        <v>45</v>
      </c>
      <c r="M58" s="36" t="s">
        <v>105</v>
      </c>
      <c r="N58" s="36"/>
      <c r="O58" s="35">
        <v>90</v>
      </c>
      <c r="P58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150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16.5" customHeight="1" x14ac:dyDescent="0.25">
      <c r="A59" s="60" t="s">
        <v>151</v>
      </c>
      <c r="B59" s="60" t="s">
        <v>152</v>
      </c>
      <c r="C59" s="34">
        <v>4301020358</v>
      </c>
      <c r="D59" s="673">
        <v>4680115885950</v>
      </c>
      <c r="E59" s="673"/>
      <c r="F59" s="59">
        <v>0.37</v>
      </c>
      <c r="G59" s="35">
        <v>6</v>
      </c>
      <c r="H59" s="59">
        <v>2.2200000000000002</v>
      </c>
      <c r="I59" s="59">
        <v>2.4</v>
      </c>
      <c r="J59" s="35">
        <v>182</v>
      </c>
      <c r="K59" s="35" t="s">
        <v>83</v>
      </c>
      <c r="L59" s="35" t="s">
        <v>45</v>
      </c>
      <c r="M59" s="36" t="s">
        <v>109</v>
      </c>
      <c r="N59" s="36"/>
      <c r="O59" s="35">
        <v>50</v>
      </c>
      <c r="P59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IFERROR(IF(Y59=0,"",ROUNDUP(Y59/H59,0)*0.00651),"")</f>
        <v/>
      </c>
      <c r="AA59" s="65" t="s">
        <v>45</v>
      </c>
      <c r="AB59" s="66" t="s">
        <v>45</v>
      </c>
      <c r="AC59" s="119" t="s">
        <v>147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27" customHeight="1" x14ac:dyDescent="0.25">
      <c r="A60" s="60" t="s">
        <v>153</v>
      </c>
      <c r="B60" s="60" t="s">
        <v>154</v>
      </c>
      <c r="C60" s="34">
        <v>4301020296</v>
      </c>
      <c r="D60" s="673">
        <v>4680115881433</v>
      </c>
      <c r="E60" s="673"/>
      <c r="F60" s="59">
        <v>0.45</v>
      </c>
      <c r="G60" s="35">
        <v>6</v>
      </c>
      <c r="H60" s="59">
        <v>2.7</v>
      </c>
      <c r="I60" s="59">
        <v>2.88</v>
      </c>
      <c r="J60" s="35">
        <v>182</v>
      </c>
      <c r="K60" s="35" t="s">
        <v>83</v>
      </c>
      <c r="L60" s="35" t="s">
        <v>128</v>
      </c>
      <c r="M60" s="36" t="s">
        <v>105</v>
      </c>
      <c r="N60" s="36"/>
      <c r="O60" s="35">
        <v>50</v>
      </c>
      <c r="P60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491.4</v>
      </c>
      <c r="Y60" s="53">
        <f>IFERROR(IF(X60="",0,CEILING((X60/$H60),1)*$H60),"")</f>
        <v>491.40000000000003</v>
      </c>
      <c r="Z60" s="39">
        <f>IFERROR(IF(Y60=0,"",ROUNDUP(Y60/H60,0)*0.00651),"")</f>
        <v>1.18482</v>
      </c>
      <c r="AA60" s="65" t="s">
        <v>45</v>
      </c>
      <c r="AB60" s="66" t="s">
        <v>45</v>
      </c>
      <c r="AC60" s="121" t="s">
        <v>147</v>
      </c>
      <c r="AG60" s="75"/>
      <c r="AJ60" s="79" t="s">
        <v>129</v>
      </c>
      <c r="AK60" s="79">
        <v>491.4</v>
      </c>
      <c r="BB60" s="122" t="s">
        <v>66</v>
      </c>
      <c r="BM60" s="75">
        <f>IFERROR(X60*I60/H60,"0")</f>
        <v>524.16</v>
      </c>
      <c r="BN60" s="75">
        <f>IFERROR(Y60*I60/H60,"0")</f>
        <v>524.16</v>
      </c>
      <c r="BO60" s="75">
        <f>IFERROR(1/J60*(X60/H60),"0")</f>
        <v>0.99999999999999989</v>
      </c>
      <c r="BP60" s="75">
        <f>IFERROR(1/J60*(Y60/H60),"0")</f>
        <v>1</v>
      </c>
    </row>
    <row r="61" spans="1:68" x14ac:dyDescent="0.2">
      <c r="A61" s="680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77" t="s">
        <v>40</v>
      </c>
      <c r="Q61" s="678"/>
      <c r="R61" s="678"/>
      <c r="S61" s="678"/>
      <c r="T61" s="678"/>
      <c r="U61" s="678"/>
      <c r="V61" s="679"/>
      <c r="W61" s="40" t="s">
        <v>39</v>
      </c>
      <c r="X61" s="41">
        <f>IFERROR(X57/H57,"0")+IFERROR(X58/H58,"0")+IFERROR(X59/H59,"0")+IFERROR(X60/H60,"0")</f>
        <v>237.55555555555551</v>
      </c>
      <c r="Y61" s="41">
        <f>IFERROR(Y57/H57,"0")+IFERROR(Y58/H58,"0")+IFERROR(Y59/H59,"0")+IFERROR(Y60/H60,"0")</f>
        <v>238</v>
      </c>
      <c r="Z61" s="41">
        <f>IFERROR(IF(Z57="",0,Z57),"0")+IFERROR(IF(Z58="",0,Z58),"0")+IFERROR(IF(Z59="",0,Z59),"0")+IFERROR(IF(Z60="",0,Z60),"0")</f>
        <v>2.2477</v>
      </c>
      <c r="AA61" s="64"/>
      <c r="AB61" s="64"/>
      <c r="AC61" s="64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0</v>
      </c>
      <c r="X62" s="41">
        <f>IFERROR(SUM(X57:X60),"0")</f>
        <v>1091.4000000000001</v>
      </c>
      <c r="Y62" s="41">
        <f>IFERROR(SUM(Y57:Y60),"0")</f>
        <v>1096.2</v>
      </c>
      <c r="Z62" s="40"/>
      <c r="AA62" s="64"/>
      <c r="AB62" s="64"/>
      <c r="AC62" s="64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3"/>
      <c r="AB63" s="63"/>
      <c r="AC63" s="63"/>
    </row>
    <row r="64" spans="1:68" ht="27" customHeight="1" x14ac:dyDescent="0.25">
      <c r="A64" s="60" t="s">
        <v>156</v>
      </c>
      <c r="B64" s="60" t="s">
        <v>157</v>
      </c>
      <c r="C64" s="34">
        <v>4301031243</v>
      </c>
      <c r="D64" s="673">
        <v>4680115885073</v>
      </c>
      <c r="E64" s="673"/>
      <c r="F64" s="59">
        <v>0.3</v>
      </c>
      <c r="G64" s="35">
        <v>6</v>
      </c>
      <c r="H64" s="59">
        <v>1.8</v>
      </c>
      <c r="I64" s="59">
        <v>1.9</v>
      </c>
      <c r="J64" s="35">
        <v>234</v>
      </c>
      <c r="K64" s="35" t="s">
        <v>159</v>
      </c>
      <c r="L64" s="35" t="s">
        <v>45</v>
      </c>
      <c r="M64" s="36" t="s">
        <v>82</v>
      </c>
      <c r="N64" s="36"/>
      <c r="O64" s="35">
        <v>40</v>
      </c>
      <c r="P64" s="96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5"/>
      <c r="R64" s="675"/>
      <c r="S64" s="675"/>
      <c r="T64" s="676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IFERROR(IF(Y64=0,"",ROUNDUP(Y64/H64,0)*0.00502),"")</f>
        <v/>
      </c>
      <c r="AA64" s="65" t="s">
        <v>45</v>
      </c>
      <c r="AB64" s="66" t="s">
        <v>45</v>
      </c>
      <c r="AC64" s="123" t="s">
        <v>158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160</v>
      </c>
      <c r="B65" s="60" t="s">
        <v>161</v>
      </c>
      <c r="C65" s="34">
        <v>4301031241</v>
      </c>
      <c r="D65" s="673">
        <v>4680115885059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159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162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4301031316</v>
      </c>
      <c r="D66" s="673">
        <v>4680115885097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159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165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x14ac:dyDescent="0.2">
      <c r="A67" s="680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77" t="s">
        <v>40</v>
      </c>
      <c r="Q67" s="678"/>
      <c r="R67" s="678"/>
      <c r="S67" s="678"/>
      <c r="T67" s="678"/>
      <c r="U67" s="678"/>
      <c r="V67" s="679"/>
      <c r="W67" s="40" t="s">
        <v>39</v>
      </c>
      <c r="X67" s="41">
        <f>IFERROR(X64/H64,"0")+IFERROR(X65/H65,"0")+IFERROR(X66/H66,"0")</f>
        <v>0</v>
      </c>
      <c r="Y67" s="41">
        <f>IFERROR(Y64/H64,"0")+IFERROR(Y65/H65,"0")+IFERROR(Y66/H66,"0")</f>
        <v>0</v>
      </c>
      <c r="Z67" s="41">
        <f>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0</v>
      </c>
      <c r="X68" s="41">
        <f>IFERROR(SUM(X64:X66),"0")</f>
        <v>0</v>
      </c>
      <c r="Y68" s="41">
        <f>IFERROR(SUM(Y64:Y66),"0")</f>
        <v>0</v>
      </c>
      <c r="Z68" s="40"/>
      <c r="AA68" s="64"/>
      <c r="AB68" s="64"/>
      <c r="AC68" s="64"/>
    </row>
    <row r="69" spans="1:68" ht="14.25" customHeight="1" x14ac:dyDescent="0.25">
      <c r="A69" s="672" t="s">
        <v>78</v>
      </c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72"/>
      <c r="P69" s="672"/>
      <c r="Q69" s="672"/>
      <c r="R69" s="672"/>
      <c r="S69" s="672"/>
      <c r="T69" s="672"/>
      <c r="U69" s="672"/>
      <c r="V69" s="672"/>
      <c r="W69" s="672"/>
      <c r="X69" s="672"/>
      <c r="Y69" s="672"/>
      <c r="Z69" s="672"/>
      <c r="AA69" s="63"/>
      <c r="AB69" s="63"/>
      <c r="AC69" s="63"/>
    </row>
    <row r="70" spans="1:68" ht="16.5" customHeight="1" x14ac:dyDescent="0.25">
      <c r="A70" s="60" t="s">
        <v>166</v>
      </c>
      <c r="B70" s="60" t="s">
        <v>167</v>
      </c>
      <c r="C70" s="34">
        <v>4301051838</v>
      </c>
      <c r="D70" s="673">
        <v>4680115881891</v>
      </c>
      <c r="E70" s="673"/>
      <c r="F70" s="59">
        <v>1.4</v>
      </c>
      <c r="G70" s="35">
        <v>6</v>
      </c>
      <c r="H70" s="59">
        <v>8.4</v>
      </c>
      <c r="I70" s="59">
        <v>8.9190000000000005</v>
      </c>
      <c r="J70" s="35">
        <v>64</v>
      </c>
      <c r="K70" s="35" t="s">
        <v>106</v>
      </c>
      <c r="L70" s="35" t="s">
        <v>45</v>
      </c>
      <c r="M70" s="36" t="s">
        <v>109</v>
      </c>
      <c r="N70" s="36"/>
      <c r="O70" s="35">
        <v>40</v>
      </c>
      <c r="P70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5"/>
      <c r="R70" s="675"/>
      <c r="S70" s="675"/>
      <c r="T70" s="676"/>
      <c r="U70" s="37" t="s">
        <v>45</v>
      </c>
      <c r="V70" s="37" t="s">
        <v>45</v>
      </c>
      <c r="W70" s="38" t="s">
        <v>0</v>
      </c>
      <c r="X70" s="56">
        <v>0</v>
      </c>
      <c r="Y70" s="53">
        <f t="shared" ref="Y70:Y75" si="5">IFERROR(IF(X70="",0,CEILING((X70/$H70),1)*$H70),"")</f>
        <v>0</v>
      </c>
      <c r="Z70" s="39" t="str">
        <f>IFERROR(IF(Y70=0,"",ROUNDUP(Y70/H70,0)*0.01898),"")</f>
        <v/>
      </c>
      <c r="AA70" s="65" t="s">
        <v>45</v>
      </c>
      <c r="AB70" s="66" t="s">
        <v>45</v>
      </c>
      <c r="AC70" s="129" t="s">
        <v>168</v>
      </c>
      <c r="AG70" s="75"/>
      <c r="AJ70" s="79" t="s">
        <v>45</v>
      </c>
      <c r="AK70" s="79">
        <v>0</v>
      </c>
      <c r="BB70" s="130" t="s">
        <v>66</v>
      </c>
      <c r="BM70" s="75">
        <f t="shared" ref="BM70:BM75" si="6">IFERROR(X70*I70/H70,"0")</f>
        <v>0</v>
      </c>
      <c r="BN70" s="75">
        <f t="shared" ref="BN70:BN75" si="7">IFERROR(Y70*I70/H70,"0")</f>
        <v>0</v>
      </c>
      <c r="BO70" s="75">
        <f t="shared" ref="BO70:BO75" si="8">IFERROR(1/J70*(X70/H70),"0")</f>
        <v>0</v>
      </c>
      <c r="BP70" s="75">
        <f t="shared" ref="BP70:BP75" si="9">IFERROR(1/J70*(Y70/H70),"0")</f>
        <v>0</v>
      </c>
    </row>
    <row r="71" spans="1:68" ht="27" customHeight="1" x14ac:dyDescent="0.25">
      <c r="A71" s="60" t="s">
        <v>169</v>
      </c>
      <c r="B71" s="60" t="s">
        <v>170</v>
      </c>
      <c r="C71" s="34">
        <v>4301051846</v>
      </c>
      <c r="D71" s="673">
        <v>4680115885769</v>
      </c>
      <c r="E71" s="673"/>
      <c r="F71" s="59">
        <v>1.4</v>
      </c>
      <c r="G71" s="35">
        <v>6</v>
      </c>
      <c r="H71" s="59">
        <v>8.4</v>
      </c>
      <c r="I71" s="59">
        <v>8.8350000000000009</v>
      </c>
      <c r="J71" s="35">
        <v>64</v>
      </c>
      <c r="K71" s="35" t="s">
        <v>106</v>
      </c>
      <c r="L71" s="35" t="s">
        <v>45</v>
      </c>
      <c r="M71" s="36" t="s">
        <v>109</v>
      </c>
      <c r="N71" s="36"/>
      <c r="O71" s="35">
        <v>45</v>
      </c>
      <c r="P71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171</v>
      </c>
      <c r="AG71" s="75"/>
      <c r="AJ71" s="79" t="s">
        <v>45</v>
      </c>
      <c r="AK71" s="79">
        <v>0</v>
      </c>
      <c r="BB71" s="132" t="s">
        <v>66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37.5" customHeight="1" x14ac:dyDescent="0.25">
      <c r="A72" s="60" t="s">
        <v>172</v>
      </c>
      <c r="B72" s="60" t="s">
        <v>173</v>
      </c>
      <c r="C72" s="34">
        <v>4301051822</v>
      </c>
      <c r="D72" s="673">
        <v>4680115884410</v>
      </c>
      <c r="E72" s="673"/>
      <c r="F72" s="59">
        <v>1.4</v>
      </c>
      <c r="G72" s="35">
        <v>6</v>
      </c>
      <c r="H72" s="59">
        <v>8.4</v>
      </c>
      <c r="I72" s="59">
        <v>8.907</v>
      </c>
      <c r="J72" s="35">
        <v>64</v>
      </c>
      <c r="K72" s="35" t="s">
        <v>106</v>
      </c>
      <c r="L72" s="35" t="s">
        <v>45</v>
      </c>
      <c r="M72" s="36" t="s">
        <v>82</v>
      </c>
      <c r="N72" s="36"/>
      <c r="O72" s="35">
        <v>40</v>
      </c>
      <c r="P72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174</v>
      </c>
      <c r="AG72" s="75"/>
      <c r="AJ72" s="79" t="s">
        <v>45</v>
      </c>
      <c r="AK72" s="79">
        <v>0</v>
      </c>
      <c r="BB72" s="134" t="s">
        <v>66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ht="16.5" customHeight="1" x14ac:dyDescent="0.25">
      <c r="A73" s="60" t="s">
        <v>175</v>
      </c>
      <c r="B73" s="60" t="s">
        <v>176</v>
      </c>
      <c r="C73" s="34">
        <v>4301051837</v>
      </c>
      <c r="D73" s="673">
        <v>4680115884311</v>
      </c>
      <c r="E73" s="673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83</v>
      </c>
      <c r="L73" s="35" t="s">
        <v>45</v>
      </c>
      <c r="M73" s="36" t="s">
        <v>109</v>
      </c>
      <c r="N73" s="36"/>
      <c r="O73" s="35">
        <v>40</v>
      </c>
      <c r="P73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5"/>
        <v>0</v>
      </c>
      <c r="Z73" s="39" t="str">
        <f>IFERROR(IF(Y73=0,"",ROUNDUP(Y73/H73,0)*0.00651),"")</f>
        <v/>
      </c>
      <c r="AA73" s="65" t="s">
        <v>45</v>
      </c>
      <c r="AB73" s="66" t="s">
        <v>45</v>
      </c>
      <c r="AC73" s="135" t="s">
        <v>168</v>
      </c>
      <c r="AG73" s="75"/>
      <c r="AJ73" s="79" t="s">
        <v>45</v>
      </c>
      <c r="AK73" s="79">
        <v>0</v>
      </c>
      <c r="BB73" s="136" t="s">
        <v>66</v>
      </c>
      <c r="BM73" s="75">
        <f t="shared" si="6"/>
        <v>0</v>
      </c>
      <c r="BN73" s="75">
        <f t="shared" si="7"/>
        <v>0</v>
      </c>
      <c r="BO73" s="75">
        <f t="shared" si="8"/>
        <v>0</v>
      </c>
      <c r="BP73" s="75">
        <f t="shared" si="9"/>
        <v>0</v>
      </c>
    </row>
    <row r="74" spans="1:68" ht="27" customHeight="1" x14ac:dyDescent="0.25">
      <c r="A74" s="60" t="s">
        <v>177</v>
      </c>
      <c r="B74" s="60" t="s">
        <v>178</v>
      </c>
      <c r="C74" s="34">
        <v>4301051844</v>
      </c>
      <c r="D74" s="673">
        <v>4680115885929</v>
      </c>
      <c r="E74" s="673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83</v>
      </c>
      <c r="L74" s="35" t="s">
        <v>45</v>
      </c>
      <c r="M74" s="36" t="s">
        <v>109</v>
      </c>
      <c r="N74" s="36"/>
      <c r="O74" s="35">
        <v>45</v>
      </c>
      <c r="P74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5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171</v>
      </c>
      <c r="AG74" s="75"/>
      <c r="AJ74" s="79" t="s">
        <v>45</v>
      </c>
      <c r="AK74" s="79">
        <v>0</v>
      </c>
      <c r="BB74" s="138" t="s">
        <v>66</v>
      </c>
      <c r="BM74" s="75">
        <f t="shared" si="6"/>
        <v>0</v>
      </c>
      <c r="BN74" s="75">
        <f t="shared" si="7"/>
        <v>0</v>
      </c>
      <c r="BO74" s="75">
        <f t="shared" si="8"/>
        <v>0</v>
      </c>
      <c r="BP74" s="75">
        <f t="shared" si="9"/>
        <v>0</v>
      </c>
    </row>
    <row r="75" spans="1:68" ht="37.5" customHeight="1" x14ac:dyDescent="0.25">
      <c r="A75" s="60" t="s">
        <v>179</v>
      </c>
      <c r="B75" s="60" t="s">
        <v>180</v>
      </c>
      <c r="C75" s="34">
        <v>4301051827</v>
      </c>
      <c r="D75" s="673">
        <v>4680115884403</v>
      </c>
      <c r="E75" s="673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83</v>
      </c>
      <c r="L75" s="35" t="s">
        <v>45</v>
      </c>
      <c r="M75" s="36" t="s">
        <v>82</v>
      </c>
      <c r="N75" s="36"/>
      <c r="O75" s="35">
        <v>40</v>
      </c>
      <c r="P75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5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174</v>
      </c>
      <c r="AG75" s="75"/>
      <c r="AJ75" s="79" t="s">
        <v>45</v>
      </c>
      <c r="AK75" s="79">
        <v>0</v>
      </c>
      <c r="BB75" s="140" t="s">
        <v>66</v>
      </c>
      <c r="BM75" s="75">
        <f t="shared" si="6"/>
        <v>0</v>
      </c>
      <c r="BN75" s="75">
        <f t="shared" si="7"/>
        <v>0</v>
      </c>
      <c r="BO75" s="75">
        <f t="shared" si="8"/>
        <v>0</v>
      </c>
      <c r="BP75" s="75">
        <f t="shared" si="9"/>
        <v>0</v>
      </c>
    </row>
    <row r="76" spans="1:68" x14ac:dyDescent="0.2">
      <c r="A76" s="680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77" t="s">
        <v>40</v>
      </c>
      <c r="Q76" s="678"/>
      <c r="R76" s="678"/>
      <c r="S76" s="678"/>
      <c r="T76" s="678"/>
      <c r="U76" s="678"/>
      <c r="V76" s="679"/>
      <c r="W76" s="40" t="s">
        <v>39</v>
      </c>
      <c r="X76" s="41">
        <f>IFERROR(X70/H70,"0")+IFERROR(X71/H71,"0")+IFERROR(X72/H72,"0")+IFERROR(X73/H73,"0")+IFERROR(X74/H74,"0")+IFERROR(X75/H75,"0")</f>
        <v>0</v>
      </c>
      <c r="Y76" s="41">
        <f>IFERROR(Y70/H70,"0")+IFERROR(Y71/H71,"0")+IFERROR(Y72/H72,"0")+IFERROR(Y73/H73,"0")+IFERROR(Y74/H74,"0")+IFERROR(Y75/H75,"0")</f>
        <v>0</v>
      </c>
      <c r="Z76" s="41">
        <f>IFERROR(IF(Z70="",0,Z70),"0")+IFERROR(IF(Z71="",0,Z71),"0")+IFERROR(IF(Z72="",0,Z72),"0")+IFERROR(IF(Z73="",0,Z73),"0")+IFERROR(IF(Z74="",0,Z74),"0")+IFERROR(IF(Z75="",0,Z75),"0")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0</v>
      </c>
      <c r="X77" s="41">
        <f>IFERROR(SUM(X70:X75),"0")</f>
        <v>0</v>
      </c>
      <c r="Y77" s="41">
        <f>IFERROR(SUM(Y70:Y75),"0")</f>
        <v>0</v>
      </c>
      <c r="Z77" s="40"/>
      <c r="AA77" s="64"/>
      <c r="AB77" s="64"/>
      <c r="AC77" s="64"/>
    </row>
    <row r="78" spans="1:68" ht="14.25" customHeight="1" x14ac:dyDescent="0.25">
      <c r="A78" s="672" t="s">
        <v>181</v>
      </c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72"/>
      <c r="P78" s="672"/>
      <c r="Q78" s="672"/>
      <c r="R78" s="672"/>
      <c r="S78" s="672"/>
      <c r="T78" s="672"/>
      <c r="U78" s="672"/>
      <c r="V78" s="672"/>
      <c r="W78" s="672"/>
      <c r="X78" s="672"/>
      <c r="Y78" s="672"/>
      <c r="Z78" s="672"/>
      <c r="AA78" s="63"/>
      <c r="AB78" s="63"/>
      <c r="AC78" s="63"/>
    </row>
    <row r="79" spans="1:68" ht="37.5" customHeight="1" x14ac:dyDescent="0.25">
      <c r="A79" s="60" t="s">
        <v>182</v>
      </c>
      <c r="B79" s="60" t="s">
        <v>183</v>
      </c>
      <c r="C79" s="34">
        <v>4301060366</v>
      </c>
      <c r="D79" s="673">
        <v>4680115881532</v>
      </c>
      <c r="E79" s="673"/>
      <c r="F79" s="59">
        <v>1.3</v>
      </c>
      <c r="G79" s="35">
        <v>6</v>
      </c>
      <c r="H79" s="59">
        <v>7.8</v>
      </c>
      <c r="I79" s="59">
        <v>8.2349999999999994</v>
      </c>
      <c r="J79" s="35">
        <v>64</v>
      </c>
      <c r="K79" s="35" t="s">
        <v>106</v>
      </c>
      <c r="L79" s="35" t="s">
        <v>45</v>
      </c>
      <c r="M79" s="36" t="s">
        <v>82</v>
      </c>
      <c r="N79" s="36"/>
      <c r="O79" s="35">
        <v>30</v>
      </c>
      <c r="P79" s="9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5"/>
      <c r="R79" s="675"/>
      <c r="S79" s="675"/>
      <c r="T79" s="676"/>
      <c r="U79" s="37" t="s">
        <v>45</v>
      </c>
      <c r="V79" s="37" t="s">
        <v>45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45</v>
      </c>
      <c r="AB79" s="66" t="s">
        <v>45</v>
      </c>
      <c r="AC79" s="141" t="s">
        <v>184</v>
      </c>
      <c r="AG79" s="75"/>
      <c r="AJ79" s="79" t="s">
        <v>45</v>
      </c>
      <c r="AK79" s="79">
        <v>0</v>
      </c>
      <c r="BB79" s="142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37.5" customHeight="1" x14ac:dyDescent="0.25">
      <c r="A80" s="60" t="s">
        <v>182</v>
      </c>
      <c r="B80" s="60" t="s">
        <v>185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106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184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186</v>
      </c>
      <c r="B81" s="60" t="s">
        <v>187</v>
      </c>
      <c r="C81" s="34">
        <v>4301060351</v>
      </c>
      <c r="D81" s="673">
        <v>4680115881464</v>
      </c>
      <c r="E81" s="673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110</v>
      </c>
      <c r="L81" s="35" t="s">
        <v>45</v>
      </c>
      <c r="M81" s="36" t="s">
        <v>109</v>
      </c>
      <c r="N81" s="36"/>
      <c r="O81" s="35">
        <v>30</v>
      </c>
      <c r="P81" s="9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45" t="s">
        <v>188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80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77" t="s">
        <v>40</v>
      </c>
      <c r="Q82" s="678"/>
      <c r="R82" s="678"/>
      <c r="S82" s="678"/>
      <c r="T82" s="678"/>
      <c r="U82" s="678"/>
      <c r="V82" s="679"/>
      <c r="W82" s="40" t="s">
        <v>39</v>
      </c>
      <c r="X82" s="41">
        <f>IFERROR(X79/H79,"0")+IFERROR(X80/H80,"0")+IFERROR(X81/H81,"0")</f>
        <v>0</v>
      </c>
      <c r="Y82" s="41">
        <f>IFERROR(Y79/H79,"0")+IFERROR(Y80/H80,"0")+IFERROR(Y81/H81,"0")</f>
        <v>0</v>
      </c>
      <c r="Z82" s="41">
        <f>IFERROR(IF(Z79="",0,Z79),"0")+IFERROR(IF(Z80="",0,Z80),"0")+IFERROR(IF(Z81="",0,Z81),"0")</f>
        <v>0</v>
      </c>
      <c r="AA82" s="64"/>
      <c r="AB82" s="64"/>
      <c r="AC82" s="64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0</v>
      </c>
      <c r="X83" s="41">
        <f>IFERROR(SUM(X79:X81),"0")</f>
        <v>0</v>
      </c>
      <c r="Y83" s="41">
        <f>IFERROR(SUM(Y79:Y81),"0")</f>
        <v>0</v>
      </c>
      <c r="Z83" s="40"/>
      <c r="AA83" s="64"/>
      <c r="AB83" s="64"/>
      <c r="AC83" s="64"/>
    </row>
    <row r="84" spans="1:68" ht="16.5" customHeight="1" x14ac:dyDescent="0.25">
      <c r="A84" s="694" t="s">
        <v>189</v>
      </c>
      <c r="B84" s="694"/>
      <c r="C84" s="694"/>
      <c r="D84" s="694"/>
      <c r="E84" s="694"/>
      <c r="F84" s="694"/>
      <c r="G84" s="694"/>
      <c r="H84" s="694"/>
      <c r="I84" s="694"/>
      <c r="J84" s="694"/>
      <c r="K84" s="694"/>
      <c r="L84" s="694"/>
      <c r="M84" s="694"/>
      <c r="N84" s="694"/>
      <c r="O84" s="694"/>
      <c r="P84" s="694"/>
      <c r="Q84" s="694"/>
      <c r="R84" s="694"/>
      <c r="S84" s="694"/>
      <c r="T84" s="694"/>
      <c r="U84" s="694"/>
      <c r="V84" s="694"/>
      <c r="W84" s="694"/>
      <c r="X84" s="694"/>
      <c r="Y84" s="694"/>
      <c r="Z84" s="694"/>
      <c r="AA84" s="62"/>
      <c r="AB84" s="62"/>
      <c r="AC84" s="62"/>
    </row>
    <row r="85" spans="1:68" ht="14.25" customHeight="1" x14ac:dyDescent="0.25">
      <c r="A85" s="672" t="s">
        <v>101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3"/>
      <c r="AB85" s="63"/>
      <c r="AC85" s="63"/>
    </row>
    <row r="86" spans="1:68" ht="27" customHeight="1" x14ac:dyDescent="0.25">
      <c r="A86" s="60" t="s">
        <v>190</v>
      </c>
      <c r="B86" s="60" t="s">
        <v>191</v>
      </c>
      <c r="C86" s="34">
        <v>4301011468</v>
      </c>
      <c r="D86" s="673">
        <v>4680115881327</v>
      </c>
      <c r="E86" s="673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106</v>
      </c>
      <c r="L86" s="35" t="s">
        <v>45</v>
      </c>
      <c r="M86" s="36" t="s">
        <v>141</v>
      </c>
      <c r="N86" s="36"/>
      <c r="O86" s="35">
        <v>50</v>
      </c>
      <c r="P86" s="94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5"/>
      <c r="R86" s="675"/>
      <c r="S86" s="675"/>
      <c r="T86" s="676"/>
      <c r="U86" s="37" t="s">
        <v>45</v>
      </c>
      <c r="V86" s="37" t="s">
        <v>45</v>
      </c>
      <c r="W86" s="38" t="s">
        <v>0</v>
      </c>
      <c r="X86" s="56">
        <v>200</v>
      </c>
      <c r="Y86" s="53">
        <f>IFERROR(IF(X86="",0,CEILING((X86/$H86),1)*$H86),"")</f>
        <v>205.20000000000002</v>
      </c>
      <c r="Z86" s="39">
        <f>IFERROR(IF(Y86=0,"",ROUNDUP(Y86/H86,0)*0.01898),"")</f>
        <v>0.36062</v>
      </c>
      <c r="AA86" s="65" t="s">
        <v>45</v>
      </c>
      <c r="AB86" s="66" t="s">
        <v>45</v>
      </c>
      <c r="AC86" s="147" t="s">
        <v>192</v>
      </c>
      <c r="AG86" s="75"/>
      <c r="AJ86" s="79" t="s">
        <v>45</v>
      </c>
      <c r="AK86" s="79">
        <v>0</v>
      </c>
      <c r="BB86" s="148" t="s">
        <v>66</v>
      </c>
      <c r="BM86" s="75">
        <f>IFERROR(X86*I86/H86,"0")</f>
        <v>208.05555555555554</v>
      </c>
      <c r="BN86" s="75">
        <f>IFERROR(Y86*I86/H86,"0")</f>
        <v>213.46499999999997</v>
      </c>
      <c r="BO86" s="75">
        <f>IFERROR(1/J86*(X86/H86),"0")</f>
        <v>0.28935185185185186</v>
      </c>
      <c r="BP86" s="75">
        <f>IFERROR(1/J86*(Y86/H86),"0")</f>
        <v>0.296875</v>
      </c>
    </row>
    <row r="87" spans="1:68" ht="16.5" customHeight="1" x14ac:dyDescent="0.25">
      <c r="A87" s="60" t="s">
        <v>193</v>
      </c>
      <c r="B87" s="60" t="s">
        <v>194</v>
      </c>
      <c r="C87" s="34">
        <v>4301011476</v>
      </c>
      <c r="D87" s="673">
        <v>4680115881518</v>
      </c>
      <c r="E87" s="673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110</v>
      </c>
      <c r="L87" s="35" t="s">
        <v>45</v>
      </c>
      <c r="M87" s="36" t="s">
        <v>109</v>
      </c>
      <c r="N87" s="36"/>
      <c r="O87" s="35">
        <v>50</v>
      </c>
      <c r="P87" s="9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9" t="s">
        <v>192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195</v>
      </c>
      <c r="B88" s="60" t="s">
        <v>196</v>
      </c>
      <c r="C88" s="34">
        <v>4301011443</v>
      </c>
      <c r="D88" s="673">
        <v>4680115881303</v>
      </c>
      <c r="E88" s="673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110</v>
      </c>
      <c r="L88" s="35" t="s">
        <v>111</v>
      </c>
      <c r="M88" s="36" t="s">
        <v>141</v>
      </c>
      <c r="N88" s="36"/>
      <c r="O88" s="35">
        <v>50</v>
      </c>
      <c r="P88" s="9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112</v>
      </c>
      <c r="AK88" s="79">
        <v>54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80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77" t="s">
        <v>40</v>
      </c>
      <c r="Q89" s="678"/>
      <c r="R89" s="678"/>
      <c r="S89" s="678"/>
      <c r="T89" s="678"/>
      <c r="U89" s="678"/>
      <c r="V89" s="679"/>
      <c r="W89" s="40" t="s">
        <v>39</v>
      </c>
      <c r="X89" s="41">
        <f>IFERROR(X86/H86,"0")+IFERROR(X87/H87,"0")+IFERROR(X88/H88,"0")</f>
        <v>18.518518518518519</v>
      </c>
      <c r="Y89" s="41">
        <f>IFERROR(Y86/H86,"0")+IFERROR(Y87/H87,"0")+IFERROR(Y88/H88,"0")</f>
        <v>19</v>
      </c>
      <c r="Z89" s="41">
        <f>IFERROR(IF(Z86="",0,Z86),"0")+IFERROR(IF(Z87="",0,Z87),"0")+IFERROR(IF(Z88="",0,Z88),"0")</f>
        <v>0.36062</v>
      </c>
      <c r="AA89" s="64"/>
      <c r="AB89" s="64"/>
      <c r="AC89" s="64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0</v>
      </c>
      <c r="X90" s="41">
        <f>IFERROR(SUM(X86:X88),"0")</f>
        <v>200</v>
      </c>
      <c r="Y90" s="41">
        <f>IFERROR(SUM(Y86:Y88),"0")</f>
        <v>205.20000000000002</v>
      </c>
      <c r="Z90" s="40"/>
      <c r="AA90" s="64"/>
      <c r="AB90" s="64"/>
      <c r="AC90" s="64"/>
    </row>
    <row r="91" spans="1:68" ht="14.25" customHeight="1" x14ac:dyDescent="0.25">
      <c r="A91" s="672" t="s">
        <v>78</v>
      </c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72"/>
      <c r="P91" s="672"/>
      <c r="Q91" s="672"/>
      <c r="R91" s="672"/>
      <c r="S91" s="672"/>
      <c r="T91" s="672"/>
      <c r="U91" s="672"/>
      <c r="V91" s="672"/>
      <c r="W91" s="672"/>
      <c r="X91" s="672"/>
      <c r="Y91" s="672"/>
      <c r="Z91" s="672"/>
      <c r="AA91" s="63"/>
      <c r="AB91" s="63"/>
      <c r="AC91" s="63"/>
    </row>
    <row r="92" spans="1:68" ht="27" customHeight="1" x14ac:dyDescent="0.25">
      <c r="A92" s="60" t="s">
        <v>198</v>
      </c>
      <c r="B92" s="60" t="s">
        <v>199</v>
      </c>
      <c r="C92" s="34">
        <v>4301051437</v>
      </c>
      <c r="D92" s="673">
        <v>4607091386967</v>
      </c>
      <c r="E92" s="673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106</v>
      </c>
      <c r="L92" s="35" t="s">
        <v>45</v>
      </c>
      <c r="M92" s="36" t="s">
        <v>109</v>
      </c>
      <c r="N92" s="36"/>
      <c r="O92" s="35">
        <v>45</v>
      </c>
      <c r="P92" s="93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5"/>
      <c r="R92" s="675"/>
      <c r="S92" s="675"/>
      <c r="T92" s="676"/>
      <c r="U92" s="37" t="s">
        <v>45</v>
      </c>
      <c r="V92" s="37" t="s">
        <v>45</v>
      </c>
      <c r="W92" s="38" t="s">
        <v>0</v>
      </c>
      <c r="X92" s="56">
        <v>0</v>
      </c>
      <c r="Y92" s="53">
        <f t="shared" ref="Y92:Y100" si="10">IFERROR(IF(X92="",0,CEILING((X92/$H92),1)*$H92),"")</f>
        <v>0</v>
      </c>
      <c r="Z92" s="39" t="str">
        <f>IFERROR(IF(Y92=0,"",ROUNDUP(Y92/H92,0)*0.01898),"")</f>
        <v/>
      </c>
      <c r="AA92" s="65" t="s">
        <v>45</v>
      </c>
      <c r="AB92" s="66" t="s">
        <v>45</v>
      </c>
      <c r="AC92" s="153" t="s">
        <v>200</v>
      </c>
      <c r="AG92" s="75"/>
      <c r="AJ92" s="79" t="s">
        <v>45</v>
      </c>
      <c r="AK92" s="79">
        <v>0</v>
      </c>
      <c r="BB92" s="154" t="s">
        <v>66</v>
      </c>
      <c r="BM92" s="75">
        <f t="shared" ref="BM92:BM100" si="11">IFERROR(X92*I92/H92,"0")</f>
        <v>0</v>
      </c>
      <c r="BN92" s="75">
        <f t="shared" ref="BN92:BN100" si="12">IFERROR(Y92*I92/H92,"0")</f>
        <v>0</v>
      </c>
      <c r="BO92" s="75">
        <f t="shared" ref="BO92:BO100" si="13">IFERROR(1/J92*(X92/H92),"0")</f>
        <v>0</v>
      </c>
      <c r="BP92" s="75">
        <f t="shared" ref="BP92:BP100" si="14">IFERROR(1/J92*(Y92/H92),"0")</f>
        <v>0</v>
      </c>
    </row>
    <row r="93" spans="1:68" ht="27" customHeight="1" x14ac:dyDescent="0.25">
      <c r="A93" s="60" t="s">
        <v>198</v>
      </c>
      <c r="B93" s="60" t="s">
        <v>201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106</v>
      </c>
      <c r="L93" s="35" t="s">
        <v>45</v>
      </c>
      <c r="M93" s="36" t="s">
        <v>109</v>
      </c>
      <c r="N93" s="36"/>
      <c r="O93" s="35">
        <v>45</v>
      </c>
      <c r="P93" s="94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si="10"/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200</v>
      </c>
      <c r="AG93" s="75"/>
      <c r="AJ93" s="79" t="s">
        <v>45</v>
      </c>
      <c r="AK93" s="79">
        <v>0</v>
      </c>
      <c r="BB93" s="156" t="s">
        <v>66</v>
      </c>
      <c r="BM93" s="75">
        <f t="shared" si="11"/>
        <v>0</v>
      </c>
      <c r="BN93" s="75">
        <f t="shared" si="12"/>
        <v>0</v>
      </c>
      <c r="BO93" s="75">
        <f t="shared" si="13"/>
        <v>0</v>
      </c>
      <c r="BP93" s="75">
        <f t="shared" si="14"/>
        <v>0</v>
      </c>
    </row>
    <row r="94" spans="1:68" ht="16.5" customHeight="1" x14ac:dyDescent="0.25">
      <c r="A94" s="60" t="s">
        <v>198</v>
      </c>
      <c r="B94" s="60" t="s">
        <v>202</v>
      </c>
      <c r="C94" s="34">
        <v>4301051712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106</v>
      </c>
      <c r="L94" s="35" t="s">
        <v>45</v>
      </c>
      <c r="M94" s="36" t="s">
        <v>141</v>
      </c>
      <c r="N94" s="36"/>
      <c r="O94" s="35">
        <v>45</v>
      </c>
      <c r="P94" s="941" t="s">
        <v>203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0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204</v>
      </c>
      <c r="AG94" s="75"/>
      <c r="AJ94" s="79" t="s">
        <v>45</v>
      </c>
      <c r="AK94" s="79">
        <v>0</v>
      </c>
      <c r="BB94" s="158" t="s">
        <v>66</v>
      </c>
      <c r="BM94" s="75">
        <f t="shared" si="11"/>
        <v>0</v>
      </c>
      <c r="BN94" s="75">
        <f t="shared" si="12"/>
        <v>0</v>
      </c>
      <c r="BO94" s="75">
        <f t="shared" si="13"/>
        <v>0</v>
      </c>
      <c r="BP94" s="75">
        <f t="shared" si="14"/>
        <v>0</v>
      </c>
    </row>
    <row r="95" spans="1:68" ht="27" customHeight="1" x14ac:dyDescent="0.25">
      <c r="A95" s="60" t="s">
        <v>205</v>
      </c>
      <c r="B95" s="60" t="s">
        <v>206</v>
      </c>
      <c r="C95" s="34">
        <v>4301051788</v>
      </c>
      <c r="D95" s="673">
        <v>4680115884953</v>
      </c>
      <c r="E95" s="673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83</v>
      </c>
      <c r="L95" s="35" t="s">
        <v>45</v>
      </c>
      <c r="M95" s="36" t="s">
        <v>109</v>
      </c>
      <c r="N95" s="36"/>
      <c r="O95" s="35">
        <v>45</v>
      </c>
      <c r="P95" s="942" t="s">
        <v>207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0"/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9" t="s">
        <v>208</v>
      </c>
      <c r="AG95" s="75"/>
      <c r="AJ95" s="79" t="s">
        <v>45</v>
      </c>
      <c r="AK95" s="79">
        <v>0</v>
      </c>
      <c r="BB95" s="160" t="s">
        <v>66</v>
      </c>
      <c r="BM95" s="75">
        <f t="shared" si="11"/>
        <v>0</v>
      </c>
      <c r="BN95" s="75">
        <f t="shared" si="12"/>
        <v>0</v>
      </c>
      <c r="BO95" s="75">
        <f t="shared" si="13"/>
        <v>0</v>
      </c>
      <c r="BP95" s="75">
        <f t="shared" si="14"/>
        <v>0</v>
      </c>
    </row>
    <row r="96" spans="1:68" ht="16.5" customHeight="1" x14ac:dyDescent="0.25">
      <c r="A96" s="60" t="s">
        <v>209</v>
      </c>
      <c r="B96" s="60" t="s">
        <v>210</v>
      </c>
      <c r="C96" s="34">
        <v>4301051718</v>
      </c>
      <c r="D96" s="673">
        <v>4607091385731</v>
      </c>
      <c r="E96" s="673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83</v>
      </c>
      <c r="L96" s="35" t="s">
        <v>45</v>
      </c>
      <c r="M96" s="36" t="s">
        <v>141</v>
      </c>
      <c r="N96" s="36"/>
      <c r="O96" s="35">
        <v>45</v>
      </c>
      <c r="P96" s="943" t="s">
        <v>211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0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204</v>
      </c>
      <c r="AG96" s="75"/>
      <c r="AJ96" s="79" t="s">
        <v>45</v>
      </c>
      <c r="AK96" s="79">
        <v>0</v>
      </c>
      <c r="BB96" s="162" t="s">
        <v>66</v>
      </c>
      <c r="BM96" s="75">
        <f t="shared" si="11"/>
        <v>0</v>
      </c>
      <c r="BN96" s="75">
        <f t="shared" si="12"/>
        <v>0</v>
      </c>
      <c r="BO96" s="75">
        <f t="shared" si="13"/>
        <v>0</v>
      </c>
      <c r="BP96" s="75">
        <f t="shared" si="14"/>
        <v>0</v>
      </c>
    </row>
    <row r="97" spans="1:68" ht="27" customHeight="1" x14ac:dyDescent="0.25">
      <c r="A97" s="60" t="s">
        <v>209</v>
      </c>
      <c r="B97" s="60" t="s">
        <v>212</v>
      </c>
      <c r="C97" s="34">
        <v>4301052039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109</v>
      </c>
      <c r="N97" s="36"/>
      <c r="O97" s="35">
        <v>45</v>
      </c>
      <c r="P97" s="944" t="s">
        <v>213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0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200</v>
      </c>
      <c r="AG97" s="75"/>
      <c r="AJ97" s="79" t="s">
        <v>45</v>
      </c>
      <c r="AK97" s="79">
        <v>0</v>
      </c>
      <c r="BB97" s="164" t="s">
        <v>66</v>
      </c>
      <c r="BM97" s="75">
        <f t="shared" si="11"/>
        <v>0</v>
      </c>
      <c r="BN97" s="75">
        <f t="shared" si="12"/>
        <v>0</v>
      </c>
      <c r="BO97" s="75">
        <f t="shared" si="13"/>
        <v>0</v>
      </c>
      <c r="BP97" s="75">
        <f t="shared" si="14"/>
        <v>0</v>
      </c>
    </row>
    <row r="98" spans="1:68" ht="16.5" customHeight="1" x14ac:dyDescent="0.25">
      <c r="A98" s="60" t="s">
        <v>214</v>
      </c>
      <c r="B98" s="60" t="s">
        <v>215</v>
      </c>
      <c r="C98" s="34">
        <v>4301051438</v>
      </c>
      <c r="D98" s="673">
        <v>4680115880894</v>
      </c>
      <c r="E98" s="673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83</v>
      </c>
      <c r="L98" s="35" t="s">
        <v>45</v>
      </c>
      <c r="M98" s="36" t="s">
        <v>109</v>
      </c>
      <c r="N98" s="36"/>
      <c r="O98" s="35">
        <v>45</v>
      </c>
      <c r="P98" s="94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0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216</v>
      </c>
      <c r="AG98" s="75"/>
      <c r="AJ98" s="79" t="s">
        <v>45</v>
      </c>
      <c r="AK98" s="79">
        <v>0</v>
      </c>
      <c r="BB98" s="166" t="s">
        <v>66</v>
      </c>
      <c r="BM98" s="75">
        <f t="shared" si="11"/>
        <v>0</v>
      </c>
      <c r="BN98" s="75">
        <f t="shared" si="12"/>
        <v>0</v>
      </c>
      <c r="BO98" s="75">
        <f t="shared" si="13"/>
        <v>0</v>
      </c>
      <c r="BP98" s="75">
        <f t="shared" si="14"/>
        <v>0</v>
      </c>
    </row>
    <row r="99" spans="1:68" ht="27" customHeight="1" x14ac:dyDescent="0.25">
      <c r="A99" s="60" t="s">
        <v>217</v>
      </c>
      <c r="B99" s="60" t="s">
        <v>218</v>
      </c>
      <c r="C99" s="34">
        <v>4301051439</v>
      </c>
      <c r="D99" s="673">
        <v>4680115880214</v>
      </c>
      <c r="E99" s="673"/>
      <c r="F99" s="59">
        <v>0.45</v>
      </c>
      <c r="G99" s="35">
        <v>6</v>
      </c>
      <c r="H99" s="59">
        <v>2.7</v>
      </c>
      <c r="I99" s="59">
        <v>2.988</v>
      </c>
      <c r="J99" s="35">
        <v>132</v>
      </c>
      <c r="K99" s="35" t="s">
        <v>110</v>
      </c>
      <c r="L99" s="35" t="s">
        <v>45</v>
      </c>
      <c r="M99" s="36" t="s">
        <v>109</v>
      </c>
      <c r="N99" s="36"/>
      <c r="O99" s="35">
        <v>45</v>
      </c>
      <c r="P99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0"/>
        <v>0</v>
      </c>
      <c r="Z99" s="39" t="str">
        <f>IFERROR(IF(Y99=0,"",ROUNDUP(Y99/H99,0)*0.00902),"")</f>
        <v/>
      </c>
      <c r="AA99" s="65" t="s">
        <v>45</v>
      </c>
      <c r="AB99" s="66" t="s">
        <v>45</v>
      </c>
      <c r="AC99" s="167" t="s">
        <v>216</v>
      </c>
      <c r="AG99" s="75"/>
      <c r="AJ99" s="79" t="s">
        <v>45</v>
      </c>
      <c r="AK99" s="79">
        <v>0</v>
      </c>
      <c r="BB99" s="168" t="s">
        <v>66</v>
      </c>
      <c r="BM99" s="75">
        <f t="shared" si="11"/>
        <v>0</v>
      </c>
      <c r="BN99" s="75">
        <f t="shared" si="12"/>
        <v>0</v>
      </c>
      <c r="BO99" s="75">
        <f t="shared" si="13"/>
        <v>0</v>
      </c>
      <c r="BP99" s="75">
        <f t="shared" si="14"/>
        <v>0</v>
      </c>
    </row>
    <row r="100" spans="1:68" ht="27" customHeight="1" x14ac:dyDescent="0.25">
      <c r="A100" s="60" t="s">
        <v>217</v>
      </c>
      <c r="B100" s="60" t="s">
        <v>219</v>
      </c>
      <c r="C100" s="34">
        <v>4301051687</v>
      </c>
      <c r="D100" s="673">
        <v>4680115880214</v>
      </c>
      <c r="E100" s="673"/>
      <c r="F100" s="59">
        <v>0.45</v>
      </c>
      <c r="G100" s="35">
        <v>4</v>
      </c>
      <c r="H100" s="59">
        <v>1.8</v>
      </c>
      <c r="I100" s="59">
        <v>2.032</v>
      </c>
      <c r="J100" s="35">
        <v>182</v>
      </c>
      <c r="K100" s="35" t="s">
        <v>83</v>
      </c>
      <c r="L100" s="35" t="s">
        <v>45</v>
      </c>
      <c r="M100" s="36" t="s">
        <v>109</v>
      </c>
      <c r="N100" s="36"/>
      <c r="O100" s="35">
        <v>45</v>
      </c>
      <c r="P100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0"/>
        <v>0</v>
      </c>
      <c r="Z100" s="39" t="str">
        <f>IFERROR(IF(Y100=0,"",ROUNDUP(Y100/H100,0)*0.00651),"")</f>
        <v/>
      </c>
      <c r="AA100" s="65" t="s">
        <v>45</v>
      </c>
      <c r="AB100" s="66" t="s">
        <v>45</v>
      </c>
      <c r="AC100" s="169" t="s">
        <v>216</v>
      </c>
      <c r="AG100" s="75"/>
      <c r="AJ100" s="79" t="s">
        <v>45</v>
      </c>
      <c r="AK100" s="79">
        <v>0</v>
      </c>
      <c r="BB100" s="170" t="s">
        <v>66</v>
      </c>
      <c r="BM100" s="75">
        <f t="shared" si="11"/>
        <v>0</v>
      </c>
      <c r="BN100" s="75">
        <f t="shared" si="12"/>
        <v>0</v>
      </c>
      <c r="BO100" s="75">
        <f t="shared" si="13"/>
        <v>0</v>
      </c>
      <c r="BP100" s="75">
        <f t="shared" si="14"/>
        <v>0</v>
      </c>
    </row>
    <row r="101" spans="1:68" x14ac:dyDescent="0.2">
      <c r="A101" s="680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77" t="s">
        <v>40</v>
      </c>
      <c r="Q101" s="678"/>
      <c r="R101" s="678"/>
      <c r="S101" s="678"/>
      <c r="T101" s="678"/>
      <c r="U101" s="678"/>
      <c r="V101" s="679"/>
      <c r="W101" s="40" t="s">
        <v>39</v>
      </c>
      <c r="X101" s="41">
        <f>IFERROR(X92/H92,"0")+IFERROR(X93/H93,"0")+IFERROR(X94/H94,"0")+IFERROR(X95/H95,"0")+IFERROR(X96/H96,"0")+IFERROR(X97/H97,"0")+IFERROR(X98/H98,"0")+IFERROR(X99/H99,"0")+IFERROR(X100/H100,"0")</f>
        <v>0</v>
      </c>
      <c r="Y101" s="41">
        <f>IFERROR(Y92/H92,"0")+IFERROR(Y93/H93,"0")+IFERROR(Y94/H94,"0")+IFERROR(Y95/H95,"0")+IFERROR(Y96/H96,"0")+IFERROR(Y97/H97,"0")+IFERROR(Y98/H98,"0")+IFERROR(Y99/H99,"0")+IFERROR(Y100/H100,"0")</f>
        <v>0</v>
      </c>
      <c r="Z101" s="41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4"/>
      <c r="AB101" s="64"/>
      <c r="AC101" s="64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0</v>
      </c>
      <c r="X102" s="41">
        <f>IFERROR(SUM(X92:X100),"0")</f>
        <v>0</v>
      </c>
      <c r="Y102" s="41">
        <f>IFERROR(SUM(Y92:Y100),"0")</f>
        <v>0</v>
      </c>
      <c r="Z102" s="40"/>
      <c r="AA102" s="64"/>
      <c r="AB102" s="64"/>
      <c r="AC102" s="64"/>
    </row>
    <row r="103" spans="1:68" ht="16.5" customHeight="1" x14ac:dyDescent="0.25">
      <c r="A103" s="694" t="s">
        <v>220</v>
      </c>
      <c r="B103" s="694"/>
      <c r="C103" s="694"/>
      <c r="D103" s="694"/>
      <c r="E103" s="694"/>
      <c r="F103" s="694"/>
      <c r="G103" s="694"/>
      <c r="H103" s="694"/>
      <c r="I103" s="694"/>
      <c r="J103" s="694"/>
      <c r="K103" s="694"/>
      <c r="L103" s="694"/>
      <c r="M103" s="694"/>
      <c r="N103" s="694"/>
      <c r="O103" s="694"/>
      <c r="P103" s="694"/>
      <c r="Q103" s="694"/>
      <c r="R103" s="694"/>
      <c r="S103" s="694"/>
      <c r="T103" s="694"/>
      <c r="U103" s="694"/>
      <c r="V103" s="694"/>
      <c r="W103" s="694"/>
      <c r="X103" s="694"/>
      <c r="Y103" s="694"/>
      <c r="Z103" s="694"/>
      <c r="AA103" s="62"/>
      <c r="AB103" s="62"/>
      <c r="AC103" s="62"/>
    </row>
    <row r="104" spans="1:68" ht="14.25" customHeight="1" x14ac:dyDescent="0.25">
      <c r="A104" s="672" t="s">
        <v>101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3"/>
      <c r="AB104" s="63"/>
      <c r="AC104" s="63"/>
    </row>
    <row r="105" spans="1:68" ht="16.5" customHeight="1" x14ac:dyDescent="0.25">
      <c r="A105" s="60" t="s">
        <v>221</v>
      </c>
      <c r="B105" s="60" t="s">
        <v>222</v>
      </c>
      <c r="C105" s="34">
        <v>4301011514</v>
      </c>
      <c r="D105" s="673">
        <v>4680115882133</v>
      </c>
      <c r="E105" s="673"/>
      <c r="F105" s="59">
        <v>1.35</v>
      </c>
      <c r="G105" s="35">
        <v>8</v>
      </c>
      <c r="H105" s="59">
        <v>10.8</v>
      </c>
      <c r="I105" s="59">
        <v>11.234999999999999</v>
      </c>
      <c r="J105" s="35">
        <v>64</v>
      </c>
      <c r="K105" s="35" t="s">
        <v>106</v>
      </c>
      <c r="L105" s="35" t="s">
        <v>45</v>
      </c>
      <c r="M105" s="36" t="s">
        <v>105</v>
      </c>
      <c r="N105" s="36"/>
      <c r="O105" s="35">
        <v>50</v>
      </c>
      <c r="P105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5"/>
      <c r="R105" s="675"/>
      <c r="S105" s="675"/>
      <c r="T105" s="676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IFERROR(IF(Y105=0,"",ROUNDUP(Y105/H105,0)*0.01898),"")</f>
        <v/>
      </c>
      <c r="AA105" s="65" t="s">
        <v>45</v>
      </c>
      <c r="AB105" s="66" t="s">
        <v>45</v>
      </c>
      <c r="AC105" s="171" t="s">
        <v>223</v>
      </c>
      <c r="AG105" s="75"/>
      <c r="AJ105" s="79" t="s">
        <v>45</v>
      </c>
      <c r="AK105" s="79">
        <v>0</v>
      </c>
      <c r="BB105" s="172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ht="16.5" customHeight="1" x14ac:dyDescent="0.25">
      <c r="A106" s="60" t="s">
        <v>224</v>
      </c>
      <c r="B106" s="60" t="s">
        <v>225</v>
      </c>
      <c r="C106" s="34">
        <v>4301011417</v>
      </c>
      <c r="D106" s="673">
        <v>4680115880269</v>
      </c>
      <c r="E106" s="673"/>
      <c r="F106" s="59">
        <v>0.375</v>
      </c>
      <c r="G106" s="35">
        <v>10</v>
      </c>
      <c r="H106" s="59">
        <v>3.75</v>
      </c>
      <c r="I106" s="59">
        <v>3.96</v>
      </c>
      <c r="J106" s="35">
        <v>132</v>
      </c>
      <c r="K106" s="35" t="s">
        <v>110</v>
      </c>
      <c r="L106" s="35" t="s">
        <v>111</v>
      </c>
      <c r="M106" s="36" t="s">
        <v>109</v>
      </c>
      <c r="N106" s="36"/>
      <c r="O106" s="35">
        <v>50</v>
      </c>
      <c r="P106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IFERROR(IF(Y106=0,"",ROUNDUP(Y106/H106,0)*0.00902),"")</f>
        <v/>
      </c>
      <c r="AA106" s="65" t="s">
        <v>45</v>
      </c>
      <c r="AB106" s="66" t="s">
        <v>45</v>
      </c>
      <c r="AC106" s="173" t="s">
        <v>223</v>
      </c>
      <c r="AG106" s="75"/>
      <c r="AJ106" s="79" t="s">
        <v>112</v>
      </c>
      <c r="AK106" s="79">
        <v>45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226</v>
      </c>
      <c r="B107" s="60" t="s">
        <v>227</v>
      </c>
      <c r="C107" s="34">
        <v>4301011415</v>
      </c>
      <c r="D107" s="673">
        <v>4680115880429</v>
      </c>
      <c r="E107" s="673"/>
      <c r="F107" s="59">
        <v>0.45</v>
      </c>
      <c r="G107" s="35">
        <v>10</v>
      </c>
      <c r="H107" s="59">
        <v>4.5</v>
      </c>
      <c r="I107" s="59">
        <v>4.71</v>
      </c>
      <c r="J107" s="35">
        <v>132</v>
      </c>
      <c r="K107" s="35" t="s">
        <v>110</v>
      </c>
      <c r="L107" s="35" t="s">
        <v>45</v>
      </c>
      <c r="M107" s="36" t="s">
        <v>109</v>
      </c>
      <c r="N107" s="36"/>
      <c r="O107" s="35">
        <v>50</v>
      </c>
      <c r="P107" s="93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223</v>
      </c>
      <c r="AG107" s="75"/>
      <c r="AJ107" s="79" t="s">
        <v>45</v>
      </c>
      <c r="AK107" s="79">
        <v>0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228</v>
      </c>
      <c r="B108" s="60" t="s">
        <v>229</v>
      </c>
      <c r="C108" s="34">
        <v>4301011462</v>
      </c>
      <c r="D108" s="673">
        <v>4680115881457</v>
      </c>
      <c r="E108" s="673"/>
      <c r="F108" s="59">
        <v>0.75</v>
      </c>
      <c r="G108" s="35">
        <v>6</v>
      </c>
      <c r="H108" s="59">
        <v>4.5</v>
      </c>
      <c r="I108" s="59">
        <v>4.71</v>
      </c>
      <c r="J108" s="35">
        <v>132</v>
      </c>
      <c r="K108" s="35" t="s">
        <v>110</v>
      </c>
      <c r="L108" s="35" t="s">
        <v>45</v>
      </c>
      <c r="M108" s="36" t="s">
        <v>109</v>
      </c>
      <c r="N108" s="36"/>
      <c r="O108" s="35">
        <v>50</v>
      </c>
      <c r="P108" s="9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223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x14ac:dyDescent="0.2">
      <c r="A109" s="680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77" t="s">
        <v>40</v>
      </c>
      <c r="Q109" s="678"/>
      <c r="R109" s="678"/>
      <c r="S109" s="678"/>
      <c r="T109" s="678"/>
      <c r="U109" s="678"/>
      <c r="V109" s="679"/>
      <c r="W109" s="40" t="s">
        <v>39</v>
      </c>
      <c r="X109" s="41">
        <f>IFERROR(X105/H105,"0")+IFERROR(X106/H106,"0")+IFERROR(X107/H107,"0")+IFERROR(X108/H108,"0")</f>
        <v>0</v>
      </c>
      <c r="Y109" s="41">
        <f>IFERROR(Y105/H105,"0")+IFERROR(Y106/H106,"0")+IFERROR(Y107/H107,"0")+IFERROR(Y108/H108,"0")</f>
        <v>0</v>
      </c>
      <c r="Z109" s="41">
        <f>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0</v>
      </c>
      <c r="X110" s="41">
        <f>IFERROR(SUM(X105:X108),"0")</f>
        <v>0</v>
      </c>
      <c r="Y110" s="41">
        <f>IFERROR(SUM(Y105:Y108),"0")</f>
        <v>0</v>
      </c>
      <c r="Z110" s="40"/>
      <c r="AA110" s="64"/>
      <c r="AB110" s="64"/>
      <c r="AC110" s="64"/>
    </row>
    <row r="111" spans="1:68" ht="14.25" customHeight="1" x14ac:dyDescent="0.25">
      <c r="A111" s="672" t="s">
        <v>144</v>
      </c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72"/>
      <c r="P111" s="672"/>
      <c r="Q111" s="672"/>
      <c r="R111" s="672"/>
      <c r="S111" s="672"/>
      <c r="T111" s="672"/>
      <c r="U111" s="672"/>
      <c r="V111" s="672"/>
      <c r="W111" s="672"/>
      <c r="X111" s="672"/>
      <c r="Y111" s="672"/>
      <c r="Z111" s="672"/>
      <c r="AA111" s="63"/>
      <c r="AB111" s="63"/>
      <c r="AC111" s="63"/>
    </row>
    <row r="112" spans="1:68" ht="16.5" customHeight="1" x14ac:dyDescent="0.25">
      <c r="A112" s="60" t="s">
        <v>230</v>
      </c>
      <c r="B112" s="60" t="s">
        <v>231</v>
      </c>
      <c r="C112" s="34">
        <v>4301020345</v>
      </c>
      <c r="D112" s="673">
        <v>4680115881488</v>
      </c>
      <c r="E112" s="673"/>
      <c r="F112" s="59">
        <v>1.35</v>
      </c>
      <c r="G112" s="35">
        <v>8</v>
      </c>
      <c r="H112" s="59">
        <v>10.8</v>
      </c>
      <c r="I112" s="59">
        <v>11.234999999999999</v>
      </c>
      <c r="J112" s="35">
        <v>64</v>
      </c>
      <c r="K112" s="35" t="s">
        <v>106</v>
      </c>
      <c r="L112" s="35" t="s">
        <v>45</v>
      </c>
      <c r="M112" s="36" t="s">
        <v>105</v>
      </c>
      <c r="N112" s="36"/>
      <c r="O112" s="35">
        <v>55</v>
      </c>
      <c r="P112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5"/>
      <c r="R112" s="675"/>
      <c r="S112" s="675"/>
      <c r="T112" s="676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45</v>
      </c>
      <c r="AB112" s="66" t="s">
        <v>45</v>
      </c>
      <c r="AC112" s="179" t="s">
        <v>232</v>
      </c>
      <c r="AG112" s="75"/>
      <c r="AJ112" s="79" t="s">
        <v>45</v>
      </c>
      <c r="AK112" s="79">
        <v>0</v>
      </c>
      <c r="BB112" s="180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customHeight="1" x14ac:dyDescent="0.25">
      <c r="A113" s="60" t="s">
        <v>233</v>
      </c>
      <c r="B113" s="60" t="s">
        <v>234</v>
      </c>
      <c r="C113" s="34">
        <v>4301020346</v>
      </c>
      <c r="D113" s="673">
        <v>4680115882775</v>
      </c>
      <c r="E113" s="673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159</v>
      </c>
      <c r="L113" s="35" t="s">
        <v>45</v>
      </c>
      <c r="M113" s="36" t="s">
        <v>105</v>
      </c>
      <c r="N113" s="36"/>
      <c r="O113" s="35">
        <v>55</v>
      </c>
      <c r="P113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45</v>
      </c>
      <c r="AB113" s="66" t="s">
        <v>45</v>
      </c>
      <c r="AC113" s="181" t="s">
        <v>232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235</v>
      </c>
      <c r="B114" s="60" t="s">
        <v>236</v>
      </c>
      <c r="C114" s="34">
        <v>4301020344</v>
      </c>
      <c r="D114" s="673">
        <v>4680115880658</v>
      </c>
      <c r="E114" s="673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83</v>
      </c>
      <c r="L114" s="35" t="s">
        <v>45</v>
      </c>
      <c r="M114" s="36" t="s">
        <v>105</v>
      </c>
      <c r="N114" s="36"/>
      <c r="O114" s="35">
        <v>55</v>
      </c>
      <c r="P114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83" t="s">
        <v>232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x14ac:dyDescent="0.2">
      <c r="A115" s="680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77" t="s">
        <v>40</v>
      </c>
      <c r="Q115" s="678"/>
      <c r="R115" s="678"/>
      <c r="S115" s="678"/>
      <c r="T115" s="678"/>
      <c r="U115" s="678"/>
      <c r="V115" s="679"/>
      <c r="W115" s="40" t="s">
        <v>39</v>
      </c>
      <c r="X115" s="41">
        <f>IFERROR(X112/H112,"0")+IFERROR(X113/H113,"0")+IFERROR(X114/H114,"0")</f>
        <v>0</v>
      </c>
      <c r="Y115" s="41">
        <f>IFERROR(Y112/H112,"0")+IFERROR(Y113/H113,"0")+IFERROR(Y114/H114,"0")</f>
        <v>0</v>
      </c>
      <c r="Z115" s="41">
        <f>IFERROR(IF(Z112="",0,Z112),"0")+IFERROR(IF(Z113="",0,Z113),"0")+IFERROR(IF(Z114="",0,Z114),"0")</f>
        <v>0</v>
      </c>
      <c r="AA115" s="64"/>
      <c r="AB115" s="64"/>
      <c r="AC115" s="64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0</v>
      </c>
      <c r="X116" s="41">
        <f>IFERROR(SUM(X112:X114),"0")</f>
        <v>0</v>
      </c>
      <c r="Y116" s="41">
        <f>IFERROR(SUM(Y112:Y114),"0")</f>
        <v>0</v>
      </c>
      <c r="Z116" s="40"/>
      <c r="AA116" s="64"/>
      <c r="AB116" s="64"/>
      <c r="AC116" s="64"/>
    </row>
    <row r="117" spans="1:68" ht="14.25" customHeight="1" x14ac:dyDescent="0.25">
      <c r="A117" s="672" t="s">
        <v>78</v>
      </c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72"/>
      <c r="P117" s="672"/>
      <c r="Q117" s="672"/>
      <c r="R117" s="672"/>
      <c r="S117" s="672"/>
      <c r="T117" s="672"/>
      <c r="U117" s="672"/>
      <c r="V117" s="672"/>
      <c r="W117" s="672"/>
      <c r="X117" s="672"/>
      <c r="Y117" s="672"/>
      <c r="Z117" s="672"/>
      <c r="AA117" s="63"/>
      <c r="AB117" s="63"/>
      <c r="AC117" s="63"/>
    </row>
    <row r="118" spans="1:68" ht="37.5" customHeight="1" x14ac:dyDescent="0.25">
      <c r="A118" s="60" t="s">
        <v>237</v>
      </c>
      <c r="B118" s="60" t="s">
        <v>238</v>
      </c>
      <c r="C118" s="34">
        <v>4301051360</v>
      </c>
      <c r="D118" s="673">
        <v>4607091385168</v>
      </c>
      <c r="E118" s="673"/>
      <c r="F118" s="59">
        <v>1.35</v>
      </c>
      <c r="G118" s="35">
        <v>6</v>
      </c>
      <c r="H118" s="59">
        <v>8.1</v>
      </c>
      <c r="I118" s="59">
        <v>8.6129999999999995</v>
      </c>
      <c r="J118" s="35">
        <v>64</v>
      </c>
      <c r="K118" s="35" t="s">
        <v>106</v>
      </c>
      <c r="L118" s="35" t="s">
        <v>45</v>
      </c>
      <c r="M118" s="36" t="s">
        <v>109</v>
      </c>
      <c r="N118" s="36"/>
      <c r="O118" s="35">
        <v>45</v>
      </c>
      <c r="P118" s="93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5"/>
      <c r="R118" s="675"/>
      <c r="S118" s="675"/>
      <c r="T118" s="676"/>
      <c r="U118" s="37" t="s">
        <v>45</v>
      </c>
      <c r="V118" s="37" t="s">
        <v>45</v>
      </c>
      <c r="W118" s="38" t="s">
        <v>0</v>
      </c>
      <c r="X118" s="56">
        <v>0</v>
      </c>
      <c r="Y118" s="53">
        <f t="shared" ref="Y118:Y126" si="15">IFERROR(IF(X118="",0,CEILING((X118/$H118),1)*$H118),"")</f>
        <v>0</v>
      </c>
      <c r="Z118" s="39" t="str">
        <f>IFERROR(IF(Y118=0,"",ROUNDUP(Y118/H118,0)*0.01898),"")</f>
        <v/>
      </c>
      <c r="AA118" s="65" t="s">
        <v>45</v>
      </c>
      <c r="AB118" s="66" t="s">
        <v>45</v>
      </c>
      <c r="AC118" s="185" t="s">
        <v>239</v>
      </c>
      <c r="AG118" s="75"/>
      <c r="AJ118" s="79" t="s">
        <v>45</v>
      </c>
      <c r="AK118" s="79">
        <v>0</v>
      </c>
      <c r="BB118" s="186" t="s">
        <v>66</v>
      </c>
      <c r="BM118" s="75">
        <f t="shared" ref="BM118:BM126" si="16">IFERROR(X118*I118/H118,"0")</f>
        <v>0</v>
      </c>
      <c r="BN118" s="75">
        <f t="shared" ref="BN118:BN126" si="17">IFERROR(Y118*I118/H118,"0")</f>
        <v>0</v>
      </c>
      <c r="BO118" s="75">
        <f t="shared" ref="BO118:BO126" si="18">IFERROR(1/J118*(X118/H118),"0")</f>
        <v>0</v>
      </c>
      <c r="BP118" s="75">
        <f t="shared" ref="BP118:BP126" si="19">IFERROR(1/J118*(Y118/H118),"0")</f>
        <v>0</v>
      </c>
    </row>
    <row r="119" spans="1:68" ht="16.5" customHeight="1" x14ac:dyDescent="0.25">
      <c r="A119" s="60" t="s">
        <v>237</v>
      </c>
      <c r="B119" s="60" t="s">
        <v>240</v>
      </c>
      <c r="C119" s="34">
        <v>4301051724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106</v>
      </c>
      <c r="L119" s="35" t="s">
        <v>45</v>
      </c>
      <c r="M119" s="36" t="s">
        <v>141</v>
      </c>
      <c r="N119" s="36"/>
      <c r="O119" s="35">
        <v>45</v>
      </c>
      <c r="P119" s="932" t="s">
        <v>241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si="15"/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242</v>
      </c>
      <c r="AG119" s="75"/>
      <c r="AJ119" s="79" t="s">
        <v>45</v>
      </c>
      <c r="AK119" s="79">
        <v>0</v>
      </c>
      <c r="BB119" s="188" t="s">
        <v>66</v>
      </c>
      <c r="BM119" s="75">
        <f t="shared" si="16"/>
        <v>0</v>
      </c>
      <c r="BN119" s="75">
        <f t="shared" si="17"/>
        <v>0</v>
      </c>
      <c r="BO119" s="75">
        <f t="shared" si="18"/>
        <v>0</v>
      </c>
      <c r="BP119" s="75">
        <f t="shared" si="19"/>
        <v>0</v>
      </c>
    </row>
    <row r="120" spans="1:68" ht="27" customHeight="1" x14ac:dyDescent="0.25">
      <c r="A120" s="60" t="s">
        <v>237</v>
      </c>
      <c r="B120" s="60" t="s">
        <v>243</v>
      </c>
      <c r="C120" s="34">
        <v>4301051625</v>
      </c>
      <c r="D120" s="673">
        <v>4607091385168</v>
      </c>
      <c r="E120" s="673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106</v>
      </c>
      <c r="L120" s="35" t="s">
        <v>45</v>
      </c>
      <c r="M120" s="36" t="s">
        <v>109</v>
      </c>
      <c r="N120" s="36"/>
      <c r="O120" s="35">
        <v>45</v>
      </c>
      <c r="P120" s="92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15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244</v>
      </c>
      <c r="AG120" s="75"/>
      <c r="AJ120" s="79" t="s">
        <v>45</v>
      </c>
      <c r="AK120" s="79">
        <v>0</v>
      </c>
      <c r="BB120" s="190" t="s">
        <v>66</v>
      </c>
      <c r="BM120" s="75">
        <f t="shared" si="16"/>
        <v>0</v>
      </c>
      <c r="BN120" s="75">
        <f t="shared" si="17"/>
        <v>0</v>
      </c>
      <c r="BO120" s="75">
        <f t="shared" si="18"/>
        <v>0</v>
      </c>
      <c r="BP120" s="75">
        <f t="shared" si="19"/>
        <v>0</v>
      </c>
    </row>
    <row r="121" spans="1:68" ht="37.5" customHeight="1" x14ac:dyDescent="0.25">
      <c r="A121" s="60" t="s">
        <v>245</v>
      </c>
      <c r="B121" s="60" t="s">
        <v>246</v>
      </c>
      <c r="C121" s="34">
        <v>4301051362</v>
      </c>
      <c r="D121" s="673">
        <v>4607091383256</v>
      </c>
      <c r="E121" s="673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83</v>
      </c>
      <c r="L121" s="35" t="s">
        <v>45</v>
      </c>
      <c r="M121" s="36" t="s">
        <v>109</v>
      </c>
      <c r="N121" s="36"/>
      <c r="O121" s="35">
        <v>45</v>
      </c>
      <c r="P121" s="92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15"/>
        <v>0</v>
      </c>
      <c r="Z121" s="39" t="str">
        <f t="shared" ref="Z121:Z126" si="20">IFERROR(IF(Y121=0,"",ROUNDUP(Y121/H121,0)*0.00651),"")</f>
        <v/>
      </c>
      <c r="AA121" s="65" t="s">
        <v>45</v>
      </c>
      <c r="AB121" s="66" t="s">
        <v>45</v>
      </c>
      <c r="AC121" s="191" t="s">
        <v>239</v>
      </c>
      <c r="AG121" s="75"/>
      <c r="AJ121" s="79" t="s">
        <v>45</v>
      </c>
      <c r="AK121" s="79">
        <v>0</v>
      </c>
      <c r="BB121" s="192" t="s">
        <v>66</v>
      </c>
      <c r="BM121" s="75">
        <f t="shared" si="16"/>
        <v>0</v>
      </c>
      <c r="BN121" s="75">
        <f t="shared" si="17"/>
        <v>0</v>
      </c>
      <c r="BO121" s="75">
        <f t="shared" si="18"/>
        <v>0</v>
      </c>
      <c r="BP121" s="75">
        <f t="shared" si="19"/>
        <v>0</v>
      </c>
    </row>
    <row r="122" spans="1:68" ht="27" customHeight="1" x14ac:dyDescent="0.25">
      <c r="A122" s="60" t="s">
        <v>245</v>
      </c>
      <c r="B122" s="60" t="s">
        <v>247</v>
      </c>
      <c r="C122" s="34">
        <v>4301051730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141</v>
      </c>
      <c r="N122" s="36"/>
      <c r="O122" s="35">
        <v>45</v>
      </c>
      <c r="P122" s="923" t="s">
        <v>248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15"/>
        <v>0</v>
      </c>
      <c r="Z122" s="39" t="str">
        <f t="shared" si="20"/>
        <v/>
      </c>
      <c r="AA122" s="65" t="s">
        <v>45</v>
      </c>
      <c r="AB122" s="66" t="s">
        <v>45</v>
      </c>
      <c r="AC122" s="193" t="s">
        <v>242</v>
      </c>
      <c r="AG122" s="75"/>
      <c r="AJ122" s="79" t="s">
        <v>45</v>
      </c>
      <c r="AK122" s="79">
        <v>0</v>
      </c>
      <c r="BB122" s="194" t="s">
        <v>66</v>
      </c>
      <c r="BM122" s="75">
        <f t="shared" si="16"/>
        <v>0</v>
      </c>
      <c r="BN122" s="75">
        <f t="shared" si="17"/>
        <v>0</v>
      </c>
      <c r="BO122" s="75">
        <f t="shared" si="18"/>
        <v>0</v>
      </c>
      <c r="BP122" s="75">
        <f t="shared" si="19"/>
        <v>0</v>
      </c>
    </row>
    <row r="123" spans="1:68" ht="37.5" customHeight="1" x14ac:dyDescent="0.25">
      <c r="A123" s="60" t="s">
        <v>249</v>
      </c>
      <c r="B123" s="60" t="s">
        <v>250</v>
      </c>
      <c r="C123" s="34">
        <v>4301051358</v>
      </c>
      <c r="D123" s="673">
        <v>4607091385748</v>
      </c>
      <c r="E123" s="673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128</v>
      </c>
      <c r="M123" s="36" t="s">
        <v>109</v>
      </c>
      <c r="N123" s="36"/>
      <c r="O123" s="35">
        <v>45</v>
      </c>
      <c r="P123" s="924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15"/>
        <v>0</v>
      </c>
      <c r="Z123" s="39" t="str">
        <f t="shared" si="20"/>
        <v/>
      </c>
      <c r="AA123" s="65" t="s">
        <v>45</v>
      </c>
      <c r="AB123" s="66" t="s">
        <v>45</v>
      </c>
      <c r="AC123" s="195" t="s">
        <v>239</v>
      </c>
      <c r="AG123" s="75"/>
      <c r="AJ123" s="79" t="s">
        <v>129</v>
      </c>
      <c r="AK123" s="79">
        <v>491.4</v>
      </c>
      <c r="BB123" s="196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customHeight="1" x14ac:dyDescent="0.25">
      <c r="A124" s="60" t="s">
        <v>249</v>
      </c>
      <c r="B124" s="60" t="s">
        <v>251</v>
      </c>
      <c r="C124" s="34">
        <v>4301051721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45</v>
      </c>
      <c r="M124" s="36" t="s">
        <v>141</v>
      </c>
      <c r="N124" s="36"/>
      <c r="O124" s="35">
        <v>45</v>
      </c>
      <c r="P124" s="925" t="s">
        <v>252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15"/>
        <v>0</v>
      </c>
      <c r="Z124" s="39" t="str">
        <f t="shared" si="20"/>
        <v/>
      </c>
      <c r="AA124" s="65" t="s">
        <v>45</v>
      </c>
      <c r="AB124" s="66" t="s">
        <v>45</v>
      </c>
      <c r="AC124" s="197" t="s">
        <v>242</v>
      </c>
      <c r="AG124" s="75"/>
      <c r="AJ124" s="79" t="s">
        <v>45</v>
      </c>
      <c r="AK124" s="79">
        <v>0</v>
      </c>
      <c r="BB124" s="198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253</v>
      </c>
      <c r="B125" s="60" t="s">
        <v>254</v>
      </c>
      <c r="C125" s="34">
        <v>4301051740</v>
      </c>
      <c r="D125" s="673">
        <v>4680115884533</v>
      </c>
      <c r="E125" s="673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83</v>
      </c>
      <c r="L125" s="35" t="s">
        <v>45</v>
      </c>
      <c r="M125" s="36" t="s">
        <v>109</v>
      </c>
      <c r="N125" s="36"/>
      <c r="O125" s="35">
        <v>45</v>
      </c>
      <c r="P125" s="9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15"/>
        <v>0</v>
      </c>
      <c r="Z125" s="39" t="str">
        <f t="shared" si="20"/>
        <v/>
      </c>
      <c r="AA125" s="65" t="s">
        <v>45</v>
      </c>
      <c r="AB125" s="66" t="s">
        <v>45</v>
      </c>
      <c r="AC125" s="199" t="s">
        <v>255</v>
      </c>
      <c r="AG125" s="75"/>
      <c r="AJ125" s="79" t="s">
        <v>45</v>
      </c>
      <c r="AK125" s="79">
        <v>0</v>
      </c>
      <c r="BB125" s="200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37.5" customHeight="1" x14ac:dyDescent="0.25">
      <c r="A126" s="60" t="s">
        <v>256</v>
      </c>
      <c r="B126" s="60" t="s">
        <v>257</v>
      </c>
      <c r="C126" s="34">
        <v>4301051480</v>
      </c>
      <c r="D126" s="673">
        <v>4680115882645</v>
      </c>
      <c r="E126" s="673"/>
      <c r="F126" s="59">
        <v>0.3</v>
      </c>
      <c r="G126" s="35">
        <v>6</v>
      </c>
      <c r="H126" s="59">
        <v>1.8</v>
      </c>
      <c r="I126" s="59">
        <v>2.64</v>
      </c>
      <c r="J126" s="35">
        <v>182</v>
      </c>
      <c r="K126" s="35" t="s">
        <v>83</v>
      </c>
      <c r="L126" s="35" t="s">
        <v>45</v>
      </c>
      <c r="M126" s="36" t="s">
        <v>82</v>
      </c>
      <c r="N126" s="36"/>
      <c r="O126" s="35">
        <v>40</v>
      </c>
      <c r="P126" s="92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45</v>
      </c>
      <c r="AB126" s="66" t="s">
        <v>45</v>
      </c>
      <c r="AC126" s="201" t="s">
        <v>258</v>
      </c>
      <c r="AG126" s="75"/>
      <c r="AJ126" s="79" t="s">
        <v>45</v>
      </c>
      <c r="AK126" s="79">
        <v>0</v>
      </c>
      <c r="BB126" s="202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x14ac:dyDescent="0.2">
      <c r="A127" s="680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77" t="s">
        <v>40</v>
      </c>
      <c r="Q127" s="678"/>
      <c r="R127" s="678"/>
      <c r="S127" s="678"/>
      <c r="T127" s="678"/>
      <c r="U127" s="678"/>
      <c r="V127" s="679"/>
      <c r="W127" s="40" t="s">
        <v>39</v>
      </c>
      <c r="X127" s="41">
        <f>IFERROR(X118/H118,"0")+IFERROR(X119/H119,"0")+IFERROR(X120/H120,"0")+IFERROR(X121/H121,"0")+IFERROR(X122/H122,"0")+IFERROR(X123/H123,"0")+IFERROR(X124/H124,"0")+IFERROR(X125/H125,"0")+IFERROR(X126/H126,"0")</f>
        <v>0</v>
      </c>
      <c r="Y127" s="41">
        <f>IFERROR(Y118/H118,"0")+IFERROR(Y119/H119,"0")+IFERROR(Y120/H120,"0")+IFERROR(Y121/H121,"0")+IFERROR(Y122/H122,"0")+IFERROR(Y123/H123,"0")+IFERROR(Y124/H124,"0")+IFERROR(Y125/H125,"0")+IFERROR(Y126/H126,"0")</f>
        <v>0</v>
      </c>
      <c r="Z127" s="41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4"/>
      <c r="AB127" s="64"/>
      <c r="AC127" s="64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0</v>
      </c>
      <c r="X128" s="41">
        <f>IFERROR(SUM(X118:X126),"0")</f>
        <v>0</v>
      </c>
      <c r="Y128" s="41">
        <f>IFERROR(SUM(Y118:Y126),"0")</f>
        <v>0</v>
      </c>
      <c r="Z128" s="40"/>
      <c r="AA128" s="64"/>
      <c r="AB128" s="64"/>
      <c r="AC128" s="64"/>
    </row>
    <row r="129" spans="1:68" ht="14.25" customHeight="1" x14ac:dyDescent="0.25">
      <c r="A129" s="672" t="s">
        <v>181</v>
      </c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72"/>
      <c r="P129" s="672"/>
      <c r="Q129" s="672"/>
      <c r="R129" s="672"/>
      <c r="S129" s="672"/>
      <c r="T129" s="672"/>
      <c r="U129" s="672"/>
      <c r="V129" s="672"/>
      <c r="W129" s="672"/>
      <c r="X129" s="672"/>
      <c r="Y129" s="672"/>
      <c r="Z129" s="672"/>
      <c r="AA129" s="63"/>
      <c r="AB129" s="63"/>
      <c r="AC129" s="63"/>
    </row>
    <row r="130" spans="1:68" ht="37.5" customHeight="1" x14ac:dyDescent="0.25">
      <c r="A130" s="60" t="s">
        <v>259</v>
      </c>
      <c r="B130" s="60" t="s">
        <v>260</v>
      </c>
      <c r="C130" s="34">
        <v>4301060356</v>
      </c>
      <c r="D130" s="673">
        <v>4680115882652</v>
      </c>
      <c r="E130" s="673"/>
      <c r="F130" s="59">
        <v>0.33</v>
      </c>
      <c r="G130" s="35">
        <v>6</v>
      </c>
      <c r="H130" s="59">
        <v>1.98</v>
      </c>
      <c r="I130" s="59">
        <v>2.82</v>
      </c>
      <c r="J130" s="35">
        <v>182</v>
      </c>
      <c r="K130" s="35" t="s">
        <v>83</v>
      </c>
      <c r="L130" s="35" t="s">
        <v>45</v>
      </c>
      <c r="M130" s="36" t="s">
        <v>82</v>
      </c>
      <c r="N130" s="36"/>
      <c r="O130" s="35">
        <v>40</v>
      </c>
      <c r="P130" s="91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5"/>
      <c r="R130" s="675"/>
      <c r="S130" s="675"/>
      <c r="T130" s="676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261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262</v>
      </c>
      <c r="B131" s="60" t="s">
        <v>263</v>
      </c>
      <c r="C131" s="34">
        <v>4301060317</v>
      </c>
      <c r="D131" s="673">
        <v>4680115880238</v>
      </c>
      <c r="E131" s="673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83</v>
      </c>
      <c r="L131" s="35" t="s">
        <v>45</v>
      </c>
      <c r="M131" s="36" t="s">
        <v>109</v>
      </c>
      <c r="N131" s="36"/>
      <c r="O131" s="35">
        <v>40</v>
      </c>
      <c r="P131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264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80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77" t="s">
        <v>40</v>
      </c>
      <c r="Q132" s="678"/>
      <c r="R132" s="678"/>
      <c r="S132" s="678"/>
      <c r="T132" s="678"/>
      <c r="U132" s="678"/>
      <c r="V132" s="679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6.5" customHeight="1" x14ac:dyDescent="0.25">
      <c r="A134" s="694" t="s">
        <v>265</v>
      </c>
      <c r="B134" s="694"/>
      <c r="C134" s="694"/>
      <c r="D134" s="694"/>
      <c r="E134" s="694"/>
      <c r="F134" s="694"/>
      <c r="G134" s="694"/>
      <c r="H134" s="694"/>
      <c r="I134" s="694"/>
      <c r="J134" s="694"/>
      <c r="K134" s="694"/>
      <c r="L134" s="694"/>
      <c r="M134" s="694"/>
      <c r="N134" s="694"/>
      <c r="O134" s="694"/>
      <c r="P134" s="694"/>
      <c r="Q134" s="694"/>
      <c r="R134" s="694"/>
      <c r="S134" s="694"/>
      <c r="T134" s="694"/>
      <c r="U134" s="694"/>
      <c r="V134" s="694"/>
      <c r="W134" s="694"/>
      <c r="X134" s="694"/>
      <c r="Y134" s="694"/>
      <c r="Z134" s="694"/>
      <c r="AA134" s="62"/>
      <c r="AB134" s="62"/>
      <c r="AC134" s="62"/>
    </row>
    <row r="135" spans="1:68" ht="14.25" customHeight="1" x14ac:dyDescent="0.25">
      <c r="A135" s="672" t="s">
        <v>101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3"/>
      <c r="AB135" s="63"/>
      <c r="AC135" s="63"/>
    </row>
    <row r="136" spans="1:68" ht="27" customHeight="1" x14ac:dyDescent="0.25">
      <c r="A136" s="60" t="s">
        <v>266</v>
      </c>
      <c r="B136" s="60" t="s">
        <v>267</v>
      </c>
      <c r="C136" s="34">
        <v>4301011564</v>
      </c>
      <c r="D136" s="673">
        <v>4680115882577</v>
      </c>
      <c r="E136" s="673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98</v>
      </c>
      <c r="N136" s="36"/>
      <c r="O136" s="35">
        <v>90</v>
      </c>
      <c r="P136" s="91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5"/>
      <c r="R136" s="675"/>
      <c r="S136" s="675"/>
      <c r="T136" s="676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268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266</v>
      </c>
      <c r="B137" s="60" t="s">
        <v>269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98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268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77" t="s">
        <v>40</v>
      </c>
      <c r="Q138" s="678"/>
      <c r="R138" s="678"/>
      <c r="S138" s="678"/>
      <c r="T138" s="678"/>
      <c r="U138" s="678"/>
      <c r="V138" s="67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672" t="s">
        <v>155</v>
      </c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72"/>
      <c r="P140" s="672"/>
      <c r="Q140" s="672"/>
      <c r="R140" s="672"/>
      <c r="S140" s="672"/>
      <c r="T140" s="672"/>
      <c r="U140" s="672"/>
      <c r="V140" s="672"/>
      <c r="W140" s="672"/>
      <c r="X140" s="672"/>
      <c r="Y140" s="672"/>
      <c r="Z140" s="672"/>
      <c r="AA140" s="63"/>
      <c r="AB140" s="63"/>
      <c r="AC140" s="63"/>
    </row>
    <row r="141" spans="1:68" ht="27" customHeight="1" x14ac:dyDescent="0.25">
      <c r="A141" s="60" t="s">
        <v>270</v>
      </c>
      <c r="B141" s="60" t="s">
        <v>271</v>
      </c>
      <c r="C141" s="34">
        <v>4301031234</v>
      </c>
      <c r="D141" s="673">
        <v>4680115883444</v>
      </c>
      <c r="E141" s="673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98</v>
      </c>
      <c r="N141" s="36"/>
      <c r="O141" s="35">
        <v>90</v>
      </c>
      <c r="P141" s="9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5"/>
      <c r="R141" s="675"/>
      <c r="S141" s="675"/>
      <c r="T141" s="676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272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270</v>
      </c>
      <c r="B142" s="60" t="s">
        <v>273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98</v>
      </c>
      <c r="N142" s="36"/>
      <c r="O142" s="35">
        <v>90</v>
      </c>
      <c r="P142" s="9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272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77" t="s">
        <v>40</v>
      </c>
      <c r="Q143" s="678"/>
      <c r="R143" s="678"/>
      <c r="S143" s="678"/>
      <c r="T143" s="678"/>
      <c r="U143" s="678"/>
      <c r="V143" s="67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72" t="s">
        <v>78</v>
      </c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72"/>
      <c r="P145" s="672"/>
      <c r="Q145" s="672"/>
      <c r="R145" s="672"/>
      <c r="S145" s="672"/>
      <c r="T145" s="672"/>
      <c r="U145" s="672"/>
      <c r="V145" s="672"/>
      <c r="W145" s="672"/>
      <c r="X145" s="672"/>
      <c r="Y145" s="672"/>
      <c r="Z145" s="672"/>
      <c r="AA145" s="63"/>
      <c r="AB145" s="63"/>
      <c r="AC145" s="63"/>
    </row>
    <row r="146" spans="1:68" ht="16.5" customHeight="1" x14ac:dyDescent="0.25">
      <c r="A146" s="60" t="s">
        <v>274</v>
      </c>
      <c r="B146" s="60" t="s">
        <v>275</v>
      </c>
      <c r="C146" s="34">
        <v>4301051477</v>
      </c>
      <c r="D146" s="673">
        <v>4680115882584</v>
      </c>
      <c r="E146" s="673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98</v>
      </c>
      <c r="N146" s="36"/>
      <c r="O146" s="35">
        <v>60</v>
      </c>
      <c r="P146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5"/>
      <c r="R146" s="675"/>
      <c r="S146" s="675"/>
      <c r="T146" s="676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268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274</v>
      </c>
      <c r="B147" s="60" t="s">
        <v>276</v>
      </c>
      <c r="C147" s="34">
        <v>4301051476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98</v>
      </c>
      <c r="N147" s="36"/>
      <c r="O147" s="35">
        <v>60</v>
      </c>
      <c r="P147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268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77" t="s">
        <v>40</v>
      </c>
      <c r="Q148" s="678"/>
      <c r="R148" s="678"/>
      <c r="S148" s="678"/>
      <c r="T148" s="678"/>
      <c r="U148" s="678"/>
      <c r="V148" s="67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94" t="s">
        <v>99</v>
      </c>
      <c r="B150" s="694"/>
      <c r="C150" s="694"/>
      <c r="D150" s="694"/>
      <c r="E150" s="694"/>
      <c r="F150" s="694"/>
      <c r="G150" s="694"/>
      <c r="H150" s="694"/>
      <c r="I150" s="694"/>
      <c r="J150" s="694"/>
      <c r="K150" s="694"/>
      <c r="L150" s="694"/>
      <c r="M150" s="694"/>
      <c r="N150" s="694"/>
      <c r="O150" s="694"/>
      <c r="P150" s="694"/>
      <c r="Q150" s="694"/>
      <c r="R150" s="694"/>
      <c r="S150" s="694"/>
      <c r="T150" s="694"/>
      <c r="U150" s="694"/>
      <c r="V150" s="694"/>
      <c r="W150" s="694"/>
      <c r="X150" s="694"/>
      <c r="Y150" s="694"/>
      <c r="Z150" s="694"/>
      <c r="AA150" s="62"/>
      <c r="AB150" s="62"/>
      <c r="AC150" s="62"/>
    </row>
    <row r="151" spans="1:68" ht="14.25" customHeight="1" x14ac:dyDescent="0.25">
      <c r="A151" s="672" t="s">
        <v>101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3"/>
      <c r="AB151" s="63"/>
      <c r="AC151" s="63"/>
    </row>
    <row r="152" spans="1:68" ht="27" customHeight="1" x14ac:dyDescent="0.25">
      <c r="A152" s="60" t="s">
        <v>277</v>
      </c>
      <c r="B152" s="60" t="s">
        <v>278</v>
      </c>
      <c r="C152" s="34">
        <v>4301011705</v>
      </c>
      <c r="D152" s="673">
        <v>4607091384604</v>
      </c>
      <c r="E152" s="673"/>
      <c r="F152" s="59">
        <v>0.4</v>
      </c>
      <c r="G152" s="35">
        <v>10</v>
      </c>
      <c r="H152" s="59">
        <v>4</v>
      </c>
      <c r="I152" s="59">
        <v>4.21</v>
      </c>
      <c r="J152" s="35">
        <v>132</v>
      </c>
      <c r="K152" s="35" t="s">
        <v>110</v>
      </c>
      <c r="L152" s="35" t="s">
        <v>45</v>
      </c>
      <c r="M152" s="36" t="s">
        <v>105</v>
      </c>
      <c r="N152" s="36"/>
      <c r="O152" s="35">
        <v>50</v>
      </c>
      <c r="P15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5"/>
      <c r="R152" s="675"/>
      <c r="S152" s="675"/>
      <c r="T152" s="676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19" t="s">
        <v>279</v>
      </c>
      <c r="AG152" s="75"/>
      <c r="AJ152" s="79" t="s">
        <v>45</v>
      </c>
      <c r="AK152" s="79">
        <v>0</v>
      </c>
      <c r="BB152" s="220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77" t="s">
        <v>40</v>
      </c>
      <c r="Q153" s="678"/>
      <c r="R153" s="678"/>
      <c r="S153" s="678"/>
      <c r="T153" s="678"/>
      <c r="U153" s="678"/>
      <c r="V153" s="679"/>
      <c r="W153" s="40" t="s">
        <v>39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14.25" customHeight="1" x14ac:dyDescent="0.25">
      <c r="A155" s="672" t="s">
        <v>155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3"/>
      <c r="AB155" s="63"/>
      <c r="AC155" s="63"/>
    </row>
    <row r="156" spans="1:68" ht="16.5" customHeight="1" x14ac:dyDescent="0.25">
      <c r="A156" s="60" t="s">
        <v>280</v>
      </c>
      <c r="B156" s="60" t="s">
        <v>281</v>
      </c>
      <c r="C156" s="34">
        <v>4301030895</v>
      </c>
      <c r="D156" s="673">
        <v>4607091387667</v>
      </c>
      <c r="E156" s="673"/>
      <c r="F156" s="59">
        <v>0.9</v>
      </c>
      <c r="G156" s="35">
        <v>10</v>
      </c>
      <c r="H156" s="59">
        <v>9</v>
      </c>
      <c r="I156" s="59">
        <v>9.5850000000000009</v>
      </c>
      <c r="J156" s="35">
        <v>64</v>
      </c>
      <c r="K156" s="35" t="s">
        <v>106</v>
      </c>
      <c r="L156" s="35" t="s">
        <v>45</v>
      </c>
      <c r="M156" s="36" t="s">
        <v>105</v>
      </c>
      <c r="N156" s="36"/>
      <c r="O156" s="35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5"/>
      <c r="R156" s="675"/>
      <c r="S156" s="675"/>
      <c r="T156" s="676"/>
      <c r="U156" s="37" t="s">
        <v>45</v>
      </c>
      <c r="V156" s="37" t="s">
        <v>45</v>
      </c>
      <c r="W156" s="38" t="s">
        <v>0</v>
      </c>
      <c r="X156" s="56">
        <v>60</v>
      </c>
      <c r="Y156" s="53">
        <f>IFERROR(IF(X156="",0,CEILING((X156/$H156),1)*$H156),"")</f>
        <v>63</v>
      </c>
      <c r="Z156" s="39">
        <f>IFERROR(IF(Y156=0,"",ROUNDUP(Y156/H156,0)*0.01898),"")</f>
        <v>0.13286000000000001</v>
      </c>
      <c r="AA156" s="65" t="s">
        <v>45</v>
      </c>
      <c r="AB156" s="66" t="s">
        <v>45</v>
      </c>
      <c r="AC156" s="221" t="s">
        <v>282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63.900000000000006</v>
      </c>
      <c r="BN156" s="75">
        <f>IFERROR(Y156*I156/H156,"0")</f>
        <v>67.094999999999999</v>
      </c>
      <c r="BO156" s="75">
        <f>IFERROR(1/J156*(X156/H156),"0")</f>
        <v>0.10416666666666667</v>
      </c>
      <c r="BP156" s="75">
        <f>IFERROR(1/J156*(Y156/H156),"0")</f>
        <v>0.109375</v>
      </c>
    </row>
    <row r="157" spans="1:68" ht="27" customHeight="1" x14ac:dyDescent="0.25">
      <c r="A157" s="60" t="s">
        <v>283</v>
      </c>
      <c r="B157" s="60" t="s">
        <v>284</v>
      </c>
      <c r="C157" s="34">
        <v>4301030961</v>
      </c>
      <c r="D157" s="673">
        <v>4607091387636</v>
      </c>
      <c r="E157" s="673"/>
      <c r="F157" s="59">
        <v>0.7</v>
      </c>
      <c r="G157" s="35">
        <v>6</v>
      </c>
      <c r="H157" s="59">
        <v>4.2</v>
      </c>
      <c r="I157" s="59">
        <v>4.5</v>
      </c>
      <c r="J157" s="35">
        <v>132</v>
      </c>
      <c r="K157" s="35" t="s">
        <v>110</v>
      </c>
      <c r="L157" s="35" t="s">
        <v>45</v>
      </c>
      <c r="M157" s="36" t="s">
        <v>82</v>
      </c>
      <c r="N157" s="36"/>
      <c r="O157" s="35">
        <v>40</v>
      </c>
      <c r="P157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21</v>
      </c>
      <c r="Y157" s="53">
        <f>IFERROR(IF(X157="",0,CEILING((X157/$H157),1)*$H157),"")</f>
        <v>21</v>
      </c>
      <c r="Z157" s="39">
        <f>IFERROR(IF(Y157=0,"",ROUNDUP(Y157/H157,0)*0.00902),"")</f>
        <v>4.5100000000000001E-2</v>
      </c>
      <c r="AA157" s="65" t="s">
        <v>45</v>
      </c>
      <c r="AB157" s="66" t="s">
        <v>45</v>
      </c>
      <c r="AC157" s="223" t="s">
        <v>285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22.5</v>
      </c>
      <c r="BN157" s="75">
        <f>IFERROR(Y157*I157/H157,"0")</f>
        <v>22.5</v>
      </c>
      <c r="BO157" s="75">
        <f>IFERROR(1/J157*(X157/H157),"0")</f>
        <v>3.787878787878788E-2</v>
      </c>
      <c r="BP157" s="75">
        <f>IFERROR(1/J157*(Y157/H157),"0")</f>
        <v>3.787878787878788E-2</v>
      </c>
    </row>
    <row r="158" spans="1:68" ht="16.5" customHeight="1" x14ac:dyDescent="0.25">
      <c r="A158" s="60" t="s">
        <v>286</v>
      </c>
      <c r="B158" s="60" t="s">
        <v>287</v>
      </c>
      <c r="C158" s="34">
        <v>4301030963</v>
      </c>
      <c r="D158" s="673">
        <v>4607091382426</v>
      </c>
      <c r="E158" s="673"/>
      <c r="F158" s="59">
        <v>0.9</v>
      </c>
      <c r="G158" s="35">
        <v>10</v>
      </c>
      <c r="H158" s="59">
        <v>9</v>
      </c>
      <c r="I158" s="59">
        <v>9.5850000000000009</v>
      </c>
      <c r="J158" s="35">
        <v>64</v>
      </c>
      <c r="K158" s="35" t="s">
        <v>106</v>
      </c>
      <c r="L158" s="35" t="s">
        <v>45</v>
      </c>
      <c r="M158" s="36" t="s">
        <v>82</v>
      </c>
      <c r="N158" s="36"/>
      <c r="O158" s="35">
        <v>40</v>
      </c>
      <c r="P158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200</v>
      </c>
      <c r="Y158" s="53">
        <f>IFERROR(IF(X158="",0,CEILING((X158/$H158),1)*$H158),"")</f>
        <v>207</v>
      </c>
      <c r="Z158" s="39">
        <f>IFERROR(IF(Y158=0,"",ROUNDUP(Y158/H158,0)*0.01898),"")</f>
        <v>0.43653999999999998</v>
      </c>
      <c r="AA158" s="65" t="s">
        <v>45</v>
      </c>
      <c r="AB158" s="66" t="s">
        <v>45</v>
      </c>
      <c r="AC158" s="225" t="s">
        <v>288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213.00000000000003</v>
      </c>
      <c r="BN158" s="75">
        <f>IFERROR(Y158*I158/H158,"0")</f>
        <v>220.45500000000004</v>
      </c>
      <c r="BO158" s="75">
        <f>IFERROR(1/J158*(X158/H158),"0")</f>
        <v>0.34722222222222221</v>
      </c>
      <c r="BP158" s="75">
        <f>IFERROR(1/J158*(Y158/H158),"0")</f>
        <v>0.359375</v>
      </c>
    </row>
    <row r="159" spans="1:68" ht="27" customHeight="1" x14ac:dyDescent="0.25">
      <c r="A159" s="60" t="s">
        <v>289</v>
      </c>
      <c r="B159" s="60" t="s">
        <v>290</v>
      </c>
      <c r="C159" s="34">
        <v>4301030962</v>
      </c>
      <c r="D159" s="673">
        <v>4607091386547</v>
      </c>
      <c r="E159" s="673"/>
      <c r="F159" s="59">
        <v>0.35</v>
      </c>
      <c r="G159" s="35">
        <v>8</v>
      </c>
      <c r="H159" s="59">
        <v>2.8</v>
      </c>
      <c r="I159" s="59">
        <v>2.94</v>
      </c>
      <c r="J159" s="35">
        <v>234</v>
      </c>
      <c r="K159" s="35" t="s">
        <v>159</v>
      </c>
      <c r="L159" s="35" t="s">
        <v>45</v>
      </c>
      <c r="M159" s="36" t="s">
        <v>82</v>
      </c>
      <c r="N159" s="36"/>
      <c r="O159" s="35">
        <v>40</v>
      </c>
      <c r="P159" s="91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27" t="s">
        <v>285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80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77" t="s">
        <v>40</v>
      </c>
      <c r="Q160" s="678"/>
      <c r="R160" s="678"/>
      <c r="S160" s="678"/>
      <c r="T160" s="678"/>
      <c r="U160" s="678"/>
      <c r="V160" s="679"/>
      <c r="W160" s="40" t="s">
        <v>39</v>
      </c>
      <c r="X160" s="41">
        <f>IFERROR(X156/H156,"0")+IFERROR(X157/H157,"0")+IFERROR(X158/H158,"0")+IFERROR(X159/H159,"0")</f>
        <v>33.888888888888886</v>
      </c>
      <c r="Y160" s="41">
        <f>IFERROR(Y156/H156,"0")+IFERROR(Y157/H157,"0")+IFERROR(Y158/H158,"0")+IFERROR(Y159/H159,"0")</f>
        <v>35</v>
      </c>
      <c r="Z160" s="41">
        <f>IFERROR(IF(Z156="",0,Z156),"0")+IFERROR(IF(Z157="",0,Z157),"0")+IFERROR(IF(Z158="",0,Z158),"0")+IFERROR(IF(Z159="",0,Z159),"0")</f>
        <v>0.61450000000000005</v>
      </c>
      <c r="AA160" s="64"/>
      <c r="AB160" s="64"/>
      <c r="AC160" s="64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0</v>
      </c>
      <c r="X161" s="41">
        <f>IFERROR(SUM(X156:X159),"0")</f>
        <v>281</v>
      </c>
      <c r="Y161" s="41">
        <f>IFERROR(SUM(Y156:Y159),"0")</f>
        <v>291</v>
      </c>
      <c r="Z161" s="40"/>
      <c r="AA161" s="64"/>
      <c r="AB161" s="64"/>
      <c r="AC161" s="64"/>
    </row>
    <row r="162" spans="1:68" ht="14.25" customHeight="1" x14ac:dyDescent="0.25">
      <c r="A162" s="672" t="s">
        <v>78</v>
      </c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72"/>
      <c r="P162" s="672"/>
      <c r="Q162" s="672"/>
      <c r="R162" s="672"/>
      <c r="S162" s="672"/>
      <c r="T162" s="672"/>
      <c r="U162" s="672"/>
      <c r="V162" s="672"/>
      <c r="W162" s="672"/>
      <c r="X162" s="672"/>
      <c r="Y162" s="672"/>
      <c r="Z162" s="672"/>
      <c r="AA162" s="63"/>
      <c r="AB162" s="63"/>
      <c r="AC162" s="63"/>
    </row>
    <row r="163" spans="1:68" ht="16.5" customHeight="1" x14ac:dyDescent="0.25">
      <c r="A163" s="60" t="s">
        <v>291</v>
      </c>
      <c r="B163" s="60" t="s">
        <v>292</v>
      </c>
      <c r="C163" s="34">
        <v>4301051653</v>
      </c>
      <c r="D163" s="673">
        <v>4607091386264</v>
      </c>
      <c r="E163" s="673"/>
      <c r="F163" s="59">
        <v>0.5</v>
      </c>
      <c r="G163" s="35">
        <v>6</v>
      </c>
      <c r="H163" s="59">
        <v>3</v>
      </c>
      <c r="I163" s="59">
        <v>3.258</v>
      </c>
      <c r="J163" s="35">
        <v>182</v>
      </c>
      <c r="K163" s="35" t="s">
        <v>83</v>
      </c>
      <c r="L163" s="35" t="s">
        <v>45</v>
      </c>
      <c r="M163" s="36" t="s">
        <v>109</v>
      </c>
      <c r="N163" s="36"/>
      <c r="O163" s="35">
        <v>31</v>
      </c>
      <c r="P163" s="90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5"/>
      <c r="R163" s="675"/>
      <c r="S163" s="675"/>
      <c r="T163" s="676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45</v>
      </c>
      <c r="AB163" s="66" t="s">
        <v>45</v>
      </c>
      <c r="AC163" s="229" t="s">
        <v>293</v>
      </c>
      <c r="AG163" s="75"/>
      <c r="AJ163" s="79" t="s">
        <v>45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294</v>
      </c>
      <c r="B164" s="60" t="s">
        <v>295</v>
      </c>
      <c r="C164" s="34">
        <v>4301051313</v>
      </c>
      <c r="D164" s="673">
        <v>4607091385427</v>
      </c>
      <c r="E164" s="673"/>
      <c r="F164" s="59">
        <v>0.5</v>
      </c>
      <c r="G164" s="35">
        <v>6</v>
      </c>
      <c r="H164" s="59">
        <v>3</v>
      </c>
      <c r="I164" s="59">
        <v>3.2519999999999998</v>
      </c>
      <c r="J164" s="35">
        <v>182</v>
      </c>
      <c r="K164" s="35" t="s">
        <v>83</v>
      </c>
      <c r="L164" s="35" t="s">
        <v>45</v>
      </c>
      <c r="M164" s="36" t="s">
        <v>82</v>
      </c>
      <c r="N164" s="36"/>
      <c r="O164" s="35">
        <v>40</v>
      </c>
      <c r="P164" s="906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296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IFERROR(X163/H163,"0")+IFERROR(X164/H164,"0")</f>
        <v>0</v>
      </c>
      <c r="Y165" s="41">
        <f>IFERROR(Y163/H163,"0")+IFERROR(Y164/H164,"0")</f>
        <v>0</v>
      </c>
      <c r="Z165" s="41">
        <f>IFERROR(IF(Z163="",0,Z163),"0")+IFERROR(IF(Z164="",0,Z164),"0")</f>
        <v>0</v>
      </c>
      <c r="AA165" s="64"/>
      <c r="AB165" s="64"/>
      <c r="AC165" s="64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IFERROR(SUM(X163:X164),"0")</f>
        <v>0</v>
      </c>
      <c r="Y166" s="41">
        <f>IFERROR(SUM(Y163:Y164),"0")</f>
        <v>0</v>
      </c>
      <c r="Z166" s="40"/>
      <c r="AA166" s="64"/>
      <c r="AB166" s="64"/>
      <c r="AC166" s="64"/>
    </row>
    <row r="167" spans="1:68" ht="27.75" customHeight="1" x14ac:dyDescent="0.2">
      <c r="A167" s="718" t="s">
        <v>297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customHeight="1" x14ac:dyDescent="0.25">
      <c r="A168" s="694" t="s">
        <v>298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customHeight="1" x14ac:dyDescent="0.25">
      <c r="A169" s="672" t="s">
        <v>144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customHeight="1" x14ac:dyDescent="0.25">
      <c r="A170" s="60" t="s">
        <v>299</v>
      </c>
      <c r="B170" s="60" t="s">
        <v>300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159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301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2" t="s">
        <v>155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customHeight="1" x14ac:dyDescent="0.25">
      <c r="A174" s="60" t="s">
        <v>302</v>
      </c>
      <c r="B174" s="60" t="s">
        <v>303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110</v>
      </c>
      <c r="L174" s="35" t="s">
        <v>45</v>
      </c>
      <c r="M174" s="36" t="s">
        <v>82</v>
      </c>
      <c r="N174" s="36"/>
      <c r="O174" s="35">
        <v>40</v>
      </c>
      <c r="P174" s="8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50</v>
      </c>
      <c r="Y174" s="53">
        <f t="shared" ref="Y174:Y182" si="21">IFERROR(IF(X174="",0,CEILING((X174/$H174),1)*$H174),"")</f>
        <v>50.400000000000006</v>
      </c>
      <c r="Z174" s="39">
        <f>IFERROR(IF(Y174=0,"",ROUNDUP(Y174/H174,0)*0.00902),"")</f>
        <v>0.10824</v>
      </c>
      <c r="AA174" s="65" t="s">
        <v>45</v>
      </c>
      <c r="AB174" s="66" t="s">
        <v>45</v>
      </c>
      <c r="AC174" s="235" t="s">
        <v>304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2">IFERROR(X174*I174/H174,"0")</f>
        <v>53.214285714285715</v>
      </c>
      <c r="BN174" s="75">
        <f t="shared" ref="BN174:BN182" si="23">IFERROR(Y174*I174/H174,"0")</f>
        <v>53.64</v>
      </c>
      <c r="BO174" s="75">
        <f t="shared" ref="BO174:BO182" si="24">IFERROR(1/J174*(X174/H174),"0")</f>
        <v>9.0187590187590191E-2</v>
      </c>
      <c r="BP174" s="75">
        <f t="shared" ref="BP174:BP182" si="25">IFERROR(1/J174*(Y174/H174),"0")</f>
        <v>9.0909090909090912E-2</v>
      </c>
    </row>
    <row r="175" spans="1:68" ht="27" customHeight="1" x14ac:dyDescent="0.25">
      <c r="A175" s="60" t="s">
        <v>305</v>
      </c>
      <c r="B175" s="60" t="s">
        <v>306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110</v>
      </c>
      <c r="L175" s="35" t="s">
        <v>45</v>
      </c>
      <c r="M175" s="36" t="s">
        <v>82</v>
      </c>
      <c r="N175" s="36"/>
      <c r="O175" s="35">
        <v>40</v>
      </c>
      <c r="P175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50</v>
      </c>
      <c r="Y175" s="53">
        <f t="shared" si="21"/>
        <v>50.400000000000006</v>
      </c>
      <c r="Z175" s="39">
        <f>IFERROR(IF(Y175=0,"",ROUNDUP(Y175/H175,0)*0.00902),"")</f>
        <v>0.10824</v>
      </c>
      <c r="AA175" s="65" t="s">
        <v>45</v>
      </c>
      <c r="AB175" s="66" t="s">
        <v>45</v>
      </c>
      <c r="AC175" s="237" t="s">
        <v>307</v>
      </c>
      <c r="AG175" s="75"/>
      <c r="AJ175" s="79" t="s">
        <v>45</v>
      </c>
      <c r="AK175" s="79">
        <v>0</v>
      </c>
      <c r="BB175" s="238" t="s">
        <v>66</v>
      </c>
      <c r="BM175" s="75">
        <f t="shared" si="22"/>
        <v>53.214285714285715</v>
      </c>
      <c r="BN175" s="75">
        <f t="shared" si="23"/>
        <v>53.64</v>
      </c>
      <c r="BO175" s="75">
        <f t="shared" si="24"/>
        <v>9.0187590187590191E-2</v>
      </c>
      <c r="BP175" s="75">
        <f t="shared" si="25"/>
        <v>9.0909090909090912E-2</v>
      </c>
    </row>
    <row r="176" spans="1:68" ht="27" customHeight="1" x14ac:dyDescent="0.25">
      <c r="A176" s="60" t="s">
        <v>308</v>
      </c>
      <c r="B176" s="60" t="s">
        <v>309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110</v>
      </c>
      <c r="L176" s="35" t="s">
        <v>45</v>
      </c>
      <c r="M176" s="36" t="s">
        <v>82</v>
      </c>
      <c r="N176" s="36"/>
      <c r="O176" s="35">
        <v>40</v>
      </c>
      <c r="P176" s="8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50</v>
      </c>
      <c r="Y176" s="53">
        <f t="shared" si="21"/>
        <v>50.400000000000006</v>
      </c>
      <c r="Z176" s="39">
        <f>IFERROR(IF(Y176=0,"",ROUNDUP(Y176/H176,0)*0.00902),"")</f>
        <v>0.10824</v>
      </c>
      <c r="AA176" s="65" t="s">
        <v>45</v>
      </c>
      <c r="AB176" s="66" t="s">
        <v>45</v>
      </c>
      <c r="AC176" s="239" t="s">
        <v>310</v>
      </c>
      <c r="AG176" s="75"/>
      <c r="AJ176" s="79" t="s">
        <v>45</v>
      </c>
      <c r="AK176" s="79">
        <v>0</v>
      </c>
      <c r="BB176" s="240" t="s">
        <v>66</v>
      </c>
      <c r="BM176" s="75">
        <f t="shared" si="22"/>
        <v>52.5</v>
      </c>
      <c r="BN176" s="75">
        <f t="shared" si="23"/>
        <v>52.920000000000009</v>
      </c>
      <c r="BO176" s="75">
        <f t="shared" si="24"/>
        <v>9.0187590187590191E-2</v>
      </c>
      <c r="BP176" s="75">
        <f t="shared" si="25"/>
        <v>9.0909090909090912E-2</v>
      </c>
    </row>
    <row r="177" spans="1:68" ht="27" customHeight="1" x14ac:dyDescent="0.25">
      <c r="A177" s="60" t="s">
        <v>311</v>
      </c>
      <c r="B177" s="60" t="s">
        <v>312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159</v>
      </c>
      <c r="L177" s="35" t="s">
        <v>45</v>
      </c>
      <c r="M177" s="36" t="s">
        <v>82</v>
      </c>
      <c r="N177" s="36"/>
      <c r="O177" s="35">
        <v>40</v>
      </c>
      <c r="P177" s="8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304</v>
      </c>
      <c r="AG177" s="75"/>
      <c r="AJ177" s="79" t="s">
        <v>45</v>
      </c>
      <c r="AK177" s="79">
        <v>0</v>
      </c>
      <c r="BB177" s="242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159</v>
      </c>
      <c r="L178" s="35" t="s">
        <v>45</v>
      </c>
      <c r="M178" s="36" t="s">
        <v>82</v>
      </c>
      <c r="N178" s="36"/>
      <c r="O178" s="35">
        <v>40</v>
      </c>
      <c r="P178" s="90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307</v>
      </c>
      <c r="AG178" s="75"/>
      <c r="AJ178" s="79" t="s">
        <v>45</v>
      </c>
      <c r="AK178" s="79">
        <v>0</v>
      </c>
      <c r="BB178" s="244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customHeight="1" x14ac:dyDescent="0.25">
      <c r="A179" s="60" t="s">
        <v>315</v>
      </c>
      <c r="B179" s="60" t="s">
        <v>316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159</v>
      </c>
      <c r="L179" s="35" t="s">
        <v>45</v>
      </c>
      <c r="M179" s="36" t="s">
        <v>82</v>
      </c>
      <c r="N179" s="36"/>
      <c r="O179" s="35">
        <v>40</v>
      </c>
      <c r="P179" s="901" t="s">
        <v>317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318</v>
      </c>
      <c r="AG179" s="75"/>
      <c r="AJ179" s="79" t="s">
        <v>45</v>
      </c>
      <c r="AK179" s="79">
        <v>0</v>
      </c>
      <c r="BB179" s="246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37.5" customHeight="1" x14ac:dyDescent="0.25">
      <c r="A180" s="60" t="s">
        <v>319</v>
      </c>
      <c r="B180" s="60" t="s">
        <v>320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159</v>
      </c>
      <c r="L180" s="35" t="s">
        <v>45</v>
      </c>
      <c r="M180" s="36" t="s">
        <v>82</v>
      </c>
      <c r="N180" s="36"/>
      <c r="O180" s="35">
        <v>40</v>
      </c>
      <c r="P180" s="9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310</v>
      </c>
      <c r="AG180" s="75"/>
      <c r="AJ180" s="79" t="s">
        <v>45</v>
      </c>
      <c r="AK180" s="79">
        <v>0</v>
      </c>
      <c r="BB180" s="248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customHeight="1" x14ac:dyDescent="0.25">
      <c r="A181" s="60" t="s">
        <v>321</v>
      </c>
      <c r="B181" s="60" t="s">
        <v>322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310</v>
      </c>
      <c r="AG181" s="75"/>
      <c r="AJ181" s="79" t="s">
        <v>45</v>
      </c>
      <c r="AK181" s="79">
        <v>0</v>
      </c>
      <c r="BB181" s="250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323</v>
      </c>
      <c r="B182" s="60" t="s">
        <v>324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159</v>
      </c>
      <c r="L182" s="35" t="s">
        <v>45</v>
      </c>
      <c r="M182" s="36" t="s">
        <v>82</v>
      </c>
      <c r="N182" s="36"/>
      <c r="O182" s="35">
        <v>40</v>
      </c>
      <c r="P182" s="9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325</v>
      </c>
      <c r="AG182" s="75"/>
      <c r="AJ182" s="79" t="s">
        <v>45</v>
      </c>
      <c r="AK182" s="79">
        <v>0</v>
      </c>
      <c r="BB182" s="252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35.714285714285715</v>
      </c>
      <c r="Y183" s="41">
        <f>IFERROR(Y174/H174,"0")+IFERROR(Y175/H175,"0")+IFERROR(Y176/H176,"0")+IFERROR(Y177/H177,"0")+IFERROR(Y178/H178,"0")+IFERROR(Y179/H179,"0")+IFERROR(Y180/H180,"0")+IFERROR(Y181/H181,"0")+IFERROR(Y182/H182,"0")</f>
        <v>36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0.32472000000000001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150</v>
      </c>
      <c r="Y184" s="41">
        <f>IFERROR(SUM(Y174:Y182),"0")</f>
        <v>151.20000000000002</v>
      </c>
      <c r="Z184" s="40"/>
      <c r="AA184" s="64"/>
      <c r="AB184" s="64"/>
      <c r="AC184" s="64"/>
    </row>
    <row r="185" spans="1:68" ht="14.25" customHeight="1" x14ac:dyDescent="0.25">
      <c r="A185" s="672" t="s">
        <v>93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customHeight="1" x14ac:dyDescent="0.25">
      <c r="A186" s="60" t="s">
        <v>326</v>
      </c>
      <c r="B186" s="60" t="s">
        <v>327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332</v>
      </c>
      <c r="L186" s="35" t="s">
        <v>45</v>
      </c>
      <c r="M186" s="36" t="s">
        <v>331</v>
      </c>
      <c r="N186" s="36"/>
      <c r="O186" s="35">
        <v>60</v>
      </c>
      <c r="P186" s="893" t="s">
        <v>328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330</v>
      </c>
      <c r="AC186" s="253" t="s">
        <v>329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4" t="s">
        <v>333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customHeight="1" x14ac:dyDescent="0.25">
      <c r="A190" s="672" t="s">
        <v>101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customHeight="1" x14ac:dyDescent="0.25">
      <c r="A191" s="60" t="s">
        <v>334</v>
      </c>
      <c r="B191" s="60" t="s">
        <v>335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106</v>
      </c>
      <c r="L191" s="35" t="s">
        <v>45</v>
      </c>
      <c r="M191" s="36" t="s">
        <v>105</v>
      </c>
      <c r="N191" s="36"/>
      <c r="O191" s="35">
        <v>55</v>
      </c>
      <c r="P191" s="8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336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337</v>
      </c>
      <c r="B192" s="60" t="s">
        <v>338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105</v>
      </c>
      <c r="N192" s="36"/>
      <c r="O192" s="35">
        <v>55</v>
      </c>
      <c r="P192" s="8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336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2" t="s">
        <v>144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339</v>
      </c>
      <c r="B196" s="60" t="s">
        <v>340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106</v>
      </c>
      <c r="L196" s="35" t="s">
        <v>45</v>
      </c>
      <c r="M196" s="36" t="s">
        <v>109</v>
      </c>
      <c r="N196" s="36"/>
      <c r="O196" s="35">
        <v>50</v>
      </c>
      <c r="P196" s="8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341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342</v>
      </c>
      <c r="B197" s="60" t="s">
        <v>343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105</v>
      </c>
      <c r="N197" s="36"/>
      <c r="O197" s="35">
        <v>50</v>
      </c>
      <c r="P197" s="88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341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72" t="s">
        <v>155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344</v>
      </c>
      <c r="B201" s="60" t="s">
        <v>345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110</v>
      </c>
      <c r="L201" s="35" t="s">
        <v>45</v>
      </c>
      <c r="M201" s="36" t="s">
        <v>82</v>
      </c>
      <c r="N201" s="36"/>
      <c r="O201" s="35">
        <v>40</v>
      </c>
      <c r="P201" s="88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26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346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27">IFERROR(X201*I201/H201,"0")</f>
        <v>207.77777777777777</v>
      </c>
      <c r="BN201" s="75">
        <f t="shared" ref="BN201:BN208" si="28">IFERROR(Y201*I201/H201,"0")</f>
        <v>213.18000000000004</v>
      </c>
      <c r="BO201" s="75">
        <f t="shared" ref="BO201:BO208" si="29">IFERROR(1/J201*(X201/H201),"0")</f>
        <v>0.28058361391694725</v>
      </c>
      <c r="BP201" s="75">
        <f t="shared" ref="BP201:BP208" si="30">IFERROR(1/J201*(Y201/H201),"0")</f>
        <v>0.2878787878787879</v>
      </c>
    </row>
    <row r="202" spans="1:68" ht="27" customHeight="1" x14ac:dyDescent="0.25">
      <c r="A202" s="60" t="s">
        <v>347</v>
      </c>
      <c r="B202" s="60" t="s">
        <v>348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110</v>
      </c>
      <c r="L202" s="35" t="s">
        <v>45</v>
      </c>
      <c r="M202" s="36" t="s">
        <v>82</v>
      </c>
      <c r="N202" s="36"/>
      <c r="O202" s="35">
        <v>40</v>
      </c>
      <c r="P202" s="8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26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349</v>
      </c>
      <c r="AG202" s="75"/>
      <c r="AJ202" s="79" t="s">
        <v>45</v>
      </c>
      <c r="AK202" s="79">
        <v>0</v>
      </c>
      <c r="BB202" s="266" t="s">
        <v>66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customHeight="1" x14ac:dyDescent="0.25">
      <c r="A203" s="60" t="s">
        <v>350</v>
      </c>
      <c r="B203" s="60" t="s">
        <v>351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110</v>
      </c>
      <c r="L203" s="35" t="s">
        <v>45</v>
      </c>
      <c r="M203" s="36" t="s">
        <v>82</v>
      </c>
      <c r="N203" s="36"/>
      <c r="O203" s="35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150</v>
      </c>
      <c r="Y203" s="53">
        <f t="shared" si="26"/>
        <v>151.20000000000002</v>
      </c>
      <c r="Z203" s="39">
        <f>IFERROR(IF(Y203=0,"",ROUNDUP(Y203/H203,0)*0.00902),"")</f>
        <v>0.25256000000000001</v>
      </c>
      <c r="AA203" s="65" t="s">
        <v>45</v>
      </c>
      <c r="AB203" s="66" t="s">
        <v>45</v>
      </c>
      <c r="AC203" s="267" t="s">
        <v>352</v>
      </c>
      <c r="AG203" s="75"/>
      <c r="AJ203" s="79" t="s">
        <v>45</v>
      </c>
      <c r="AK203" s="79">
        <v>0</v>
      </c>
      <c r="BB203" s="268" t="s">
        <v>66</v>
      </c>
      <c r="BM203" s="75">
        <f t="shared" si="27"/>
        <v>155.83333333333331</v>
      </c>
      <c r="BN203" s="75">
        <f t="shared" si="28"/>
        <v>157.08000000000001</v>
      </c>
      <c r="BO203" s="75">
        <f t="shared" si="29"/>
        <v>0.21043771043771042</v>
      </c>
      <c r="BP203" s="75">
        <f t="shared" si="30"/>
        <v>0.21212121212121213</v>
      </c>
    </row>
    <row r="204" spans="1:68" ht="27" customHeight="1" x14ac:dyDescent="0.25">
      <c r="A204" s="60" t="s">
        <v>353</v>
      </c>
      <c r="B204" s="60" t="s">
        <v>354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110</v>
      </c>
      <c r="L204" s="35" t="s">
        <v>45</v>
      </c>
      <c r="M204" s="36" t="s">
        <v>82</v>
      </c>
      <c r="N204" s="36"/>
      <c r="O204" s="35">
        <v>40</v>
      </c>
      <c r="P204" s="89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355</v>
      </c>
      <c r="AG204" s="75"/>
      <c r="AJ204" s="79" t="s">
        <v>45</v>
      </c>
      <c r="AK204" s="79">
        <v>0</v>
      </c>
      <c r="BB204" s="270" t="s">
        <v>66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customHeight="1" x14ac:dyDescent="0.25">
      <c r="A205" s="60" t="s">
        <v>356</v>
      </c>
      <c r="B205" s="60" t="s">
        <v>357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159</v>
      </c>
      <c r="L205" s="35" t="s">
        <v>45</v>
      </c>
      <c r="M205" s="36" t="s">
        <v>82</v>
      </c>
      <c r="N205" s="36"/>
      <c r="O205" s="35">
        <v>40</v>
      </c>
      <c r="P205" s="88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346</v>
      </c>
      <c r="AG205" s="75"/>
      <c r="AJ205" s="79" t="s">
        <v>45</v>
      </c>
      <c r="AK205" s="79">
        <v>0</v>
      </c>
      <c r="BB205" s="272" t="s">
        <v>66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customHeight="1" x14ac:dyDescent="0.25">
      <c r="A206" s="60" t="s">
        <v>358</v>
      </c>
      <c r="B206" s="60" t="s">
        <v>359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159</v>
      </c>
      <c r="L206" s="35" t="s">
        <v>45</v>
      </c>
      <c r="M206" s="36" t="s">
        <v>82</v>
      </c>
      <c r="N206" s="36"/>
      <c r="O206" s="35">
        <v>40</v>
      </c>
      <c r="P206" s="88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349</v>
      </c>
      <c r="AG206" s="75"/>
      <c r="AJ206" s="79" t="s">
        <v>45</v>
      </c>
      <c r="AK206" s="79">
        <v>0</v>
      </c>
      <c r="BB206" s="274" t="s">
        <v>66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customHeight="1" x14ac:dyDescent="0.25">
      <c r="A207" s="60" t="s">
        <v>360</v>
      </c>
      <c r="B207" s="60" t="s">
        <v>361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159</v>
      </c>
      <c r="L207" s="35" t="s">
        <v>45</v>
      </c>
      <c r="M207" s="36" t="s">
        <v>82</v>
      </c>
      <c r="N207" s="36"/>
      <c r="O207" s="35">
        <v>40</v>
      </c>
      <c r="P207" s="8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352</v>
      </c>
      <c r="AG207" s="75"/>
      <c r="AJ207" s="79" t="s">
        <v>45</v>
      </c>
      <c r="AK207" s="79">
        <v>0</v>
      </c>
      <c r="BB207" s="276" t="s">
        <v>66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27" customHeight="1" x14ac:dyDescent="0.25">
      <c r="A208" s="60" t="s">
        <v>362</v>
      </c>
      <c r="B208" s="60" t="s">
        <v>363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159</v>
      </c>
      <c r="L208" s="35" t="s">
        <v>45</v>
      </c>
      <c r="M208" s="36" t="s">
        <v>82</v>
      </c>
      <c r="N208" s="36"/>
      <c r="O208" s="35">
        <v>40</v>
      </c>
      <c r="P208" s="8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355</v>
      </c>
      <c r="AG208" s="75"/>
      <c r="AJ208" s="79" t="s">
        <v>45</v>
      </c>
      <c r="AK208" s="79">
        <v>0</v>
      </c>
      <c r="BB208" s="278" t="s">
        <v>66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64.81481481481481</v>
      </c>
      <c r="Y209" s="41">
        <f>IFERROR(Y201/H201,"0")+IFERROR(Y202/H202,"0")+IFERROR(Y203/H203,"0")+IFERROR(Y204/H204,"0")+IFERROR(Y205/H205,"0")+IFERROR(Y206/H206,"0")+IFERROR(Y207/H207,"0")+IFERROR(Y208/H208,"0")</f>
        <v>66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0.59532000000000007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350</v>
      </c>
      <c r="Y210" s="41">
        <f>IFERROR(SUM(Y201:Y208),"0")</f>
        <v>356.40000000000003</v>
      </c>
      <c r="Z210" s="40"/>
      <c r="AA210" s="64"/>
      <c r="AB210" s="64"/>
      <c r="AC210" s="64"/>
    </row>
    <row r="211" spans="1:68" ht="14.25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customHeight="1" x14ac:dyDescent="0.25">
      <c r="A212" s="60" t="s">
        <v>364</v>
      </c>
      <c r="B212" s="60" t="s">
        <v>365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106</v>
      </c>
      <c r="L212" s="35" t="s">
        <v>45</v>
      </c>
      <c r="M212" s="36" t="s">
        <v>109</v>
      </c>
      <c r="N212" s="36"/>
      <c r="O212" s="35">
        <v>40</v>
      </c>
      <c r="P212" s="8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1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366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2">IFERROR(X212*I212/H212,"0")</f>
        <v>0</v>
      </c>
      <c r="BN212" s="75">
        <f t="shared" ref="BN212:BN220" si="33">IFERROR(Y212*I212/H212,"0")</f>
        <v>0</v>
      </c>
      <c r="BO212" s="75">
        <f t="shared" ref="BO212:BO220" si="34">IFERROR(1/J212*(X212/H212),"0")</f>
        <v>0</v>
      </c>
      <c r="BP212" s="75">
        <f t="shared" ref="BP212:BP220" si="35">IFERROR(1/J212*(Y212/H212),"0")</f>
        <v>0</v>
      </c>
    </row>
    <row r="213" spans="1:68" ht="27" customHeight="1" x14ac:dyDescent="0.25">
      <c r="A213" s="60" t="s">
        <v>367</v>
      </c>
      <c r="B213" s="60" t="s">
        <v>368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106</v>
      </c>
      <c r="L213" s="35" t="s">
        <v>45</v>
      </c>
      <c r="M213" s="36" t="s">
        <v>109</v>
      </c>
      <c r="N213" s="36"/>
      <c r="O213" s="35">
        <v>40</v>
      </c>
      <c r="P213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1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369</v>
      </c>
      <c r="AG213" s="75"/>
      <c r="AJ213" s="79" t="s">
        <v>45</v>
      </c>
      <c r="AK213" s="79">
        <v>0</v>
      </c>
      <c r="BB213" s="282" t="s">
        <v>66</v>
      </c>
      <c r="BM213" s="75">
        <f t="shared" si="32"/>
        <v>0</v>
      </c>
      <c r="BN213" s="75">
        <f t="shared" si="33"/>
        <v>0</v>
      </c>
      <c r="BO213" s="75">
        <f t="shared" si="34"/>
        <v>0</v>
      </c>
      <c r="BP213" s="75">
        <f t="shared" si="35"/>
        <v>0</v>
      </c>
    </row>
    <row r="214" spans="1:68" ht="16.5" customHeight="1" x14ac:dyDescent="0.25">
      <c r="A214" s="60" t="s">
        <v>370</v>
      </c>
      <c r="B214" s="60" t="s">
        <v>371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106</v>
      </c>
      <c r="L214" s="35" t="s">
        <v>45</v>
      </c>
      <c r="M214" s="36" t="s">
        <v>109</v>
      </c>
      <c r="N214" s="36"/>
      <c r="O214" s="35">
        <v>45</v>
      </c>
      <c r="P214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1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372</v>
      </c>
      <c r="AG214" s="75"/>
      <c r="AJ214" s="79" t="s">
        <v>45</v>
      </c>
      <c r="AK214" s="79">
        <v>0</v>
      </c>
      <c r="BB214" s="284" t="s">
        <v>66</v>
      </c>
      <c r="BM214" s="75">
        <f t="shared" si="32"/>
        <v>0</v>
      </c>
      <c r="BN214" s="75">
        <f t="shared" si="33"/>
        <v>0</v>
      </c>
      <c r="BO214" s="75">
        <f t="shared" si="34"/>
        <v>0</v>
      </c>
      <c r="BP214" s="75">
        <f t="shared" si="35"/>
        <v>0</v>
      </c>
    </row>
    <row r="215" spans="1:68" ht="27" customHeight="1" x14ac:dyDescent="0.25">
      <c r="A215" s="60" t="s">
        <v>373</v>
      </c>
      <c r="B215" s="60" t="s">
        <v>374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109</v>
      </c>
      <c r="N215" s="36"/>
      <c r="O215" s="35">
        <v>40</v>
      </c>
      <c r="P21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1"/>
        <v>0</v>
      </c>
      <c r="Z215" s="39" t="str">
        <f t="shared" ref="Z215:Z220" si="36">IFERROR(IF(Y215=0,"",ROUNDUP(Y215/H215,0)*0.00651),"")</f>
        <v/>
      </c>
      <c r="AA215" s="65" t="s">
        <v>45</v>
      </c>
      <c r="AB215" s="66" t="s">
        <v>45</v>
      </c>
      <c r="AC215" s="285" t="s">
        <v>366</v>
      </c>
      <c r="AG215" s="75"/>
      <c r="AJ215" s="79" t="s">
        <v>45</v>
      </c>
      <c r="AK215" s="79">
        <v>0</v>
      </c>
      <c r="BB215" s="286" t="s">
        <v>66</v>
      </c>
      <c r="BM215" s="75">
        <f t="shared" si="32"/>
        <v>0</v>
      </c>
      <c r="BN215" s="75">
        <f t="shared" si="33"/>
        <v>0</v>
      </c>
      <c r="BO215" s="75">
        <f t="shared" si="34"/>
        <v>0</v>
      </c>
      <c r="BP215" s="75">
        <f t="shared" si="35"/>
        <v>0</v>
      </c>
    </row>
    <row r="216" spans="1:68" ht="27" customHeight="1" x14ac:dyDescent="0.25">
      <c r="A216" s="60" t="s">
        <v>375</v>
      </c>
      <c r="B216" s="60" t="s">
        <v>376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141</v>
      </c>
      <c r="N216" s="36"/>
      <c r="O216" s="35">
        <v>45</v>
      </c>
      <c r="P21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1"/>
        <v>0</v>
      </c>
      <c r="Z216" s="39" t="str">
        <f t="shared" si="36"/>
        <v/>
      </c>
      <c r="AA216" s="65" t="s">
        <v>45</v>
      </c>
      <c r="AB216" s="66" t="s">
        <v>45</v>
      </c>
      <c r="AC216" s="287" t="s">
        <v>377</v>
      </c>
      <c r="AG216" s="75"/>
      <c r="AJ216" s="79" t="s">
        <v>45</v>
      </c>
      <c r="AK216" s="79">
        <v>0</v>
      </c>
      <c r="BB216" s="288" t="s">
        <v>66</v>
      </c>
      <c r="BM216" s="75">
        <f t="shared" si="32"/>
        <v>0</v>
      </c>
      <c r="BN216" s="75">
        <f t="shared" si="33"/>
        <v>0</v>
      </c>
      <c r="BO216" s="75">
        <f t="shared" si="34"/>
        <v>0</v>
      </c>
      <c r="BP216" s="75">
        <f t="shared" si="35"/>
        <v>0</v>
      </c>
    </row>
    <row r="217" spans="1:68" ht="27" customHeight="1" x14ac:dyDescent="0.25">
      <c r="A217" s="60" t="s">
        <v>378</v>
      </c>
      <c r="B217" s="60" t="s">
        <v>379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109</v>
      </c>
      <c r="N217" s="36"/>
      <c r="O217" s="35">
        <v>45</v>
      </c>
      <c r="P217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1"/>
        <v>0</v>
      </c>
      <c r="Z217" s="39" t="str">
        <f t="shared" si="36"/>
        <v/>
      </c>
      <c r="AA217" s="65" t="s">
        <v>45</v>
      </c>
      <c r="AB217" s="66" t="s">
        <v>45</v>
      </c>
      <c r="AC217" s="289" t="s">
        <v>372</v>
      </c>
      <c r="AG217" s="75"/>
      <c r="AJ217" s="79" t="s">
        <v>45</v>
      </c>
      <c r="AK217" s="79">
        <v>0</v>
      </c>
      <c r="BB217" s="290" t="s">
        <v>66</v>
      </c>
      <c r="BM217" s="75">
        <f t="shared" si="32"/>
        <v>0</v>
      </c>
      <c r="BN217" s="75">
        <f t="shared" si="33"/>
        <v>0</v>
      </c>
      <c r="BO217" s="75">
        <f t="shared" si="34"/>
        <v>0</v>
      </c>
      <c r="BP217" s="75">
        <f t="shared" si="35"/>
        <v>0</v>
      </c>
    </row>
    <row r="218" spans="1:68" ht="27" customHeight="1" x14ac:dyDescent="0.25">
      <c r="A218" s="60" t="s">
        <v>380</v>
      </c>
      <c r="B218" s="60" t="s">
        <v>381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109</v>
      </c>
      <c r="N218" s="36"/>
      <c r="O218" s="35">
        <v>45</v>
      </c>
      <c r="P218" s="8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1"/>
        <v>0</v>
      </c>
      <c r="Z218" s="39" t="str">
        <f t="shared" si="36"/>
        <v/>
      </c>
      <c r="AA218" s="65" t="s">
        <v>45</v>
      </c>
      <c r="AB218" s="66" t="s">
        <v>45</v>
      </c>
      <c r="AC218" s="291" t="s">
        <v>372</v>
      </c>
      <c r="AG218" s="75"/>
      <c r="AJ218" s="79" t="s">
        <v>45</v>
      </c>
      <c r="AK218" s="79">
        <v>0</v>
      </c>
      <c r="BB218" s="292" t="s">
        <v>66</v>
      </c>
      <c r="BM218" s="75">
        <f t="shared" si="32"/>
        <v>0</v>
      </c>
      <c r="BN218" s="75">
        <f t="shared" si="33"/>
        <v>0</v>
      </c>
      <c r="BO218" s="75">
        <f t="shared" si="34"/>
        <v>0</v>
      </c>
      <c r="BP218" s="75">
        <f t="shared" si="35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141</v>
      </c>
      <c r="N219" s="36"/>
      <c r="O219" s="35">
        <v>40</v>
      </c>
      <c r="P219" s="87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1"/>
        <v>0</v>
      </c>
      <c r="Z219" s="39" t="str">
        <f t="shared" si="36"/>
        <v/>
      </c>
      <c r="AA219" s="65" t="s">
        <v>45</v>
      </c>
      <c r="AB219" s="66" t="s">
        <v>45</v>
      </c>
      <c r="AC219" s="293" t="s">
        <v>384</v>
      </c>
      <c r="AG219" s="75"/>
      <c r="AJ219" s="79" t="s">
        <v>45</v>
      </c>
      <c r="AK219" s="79">
        <v>0</v>
      </c>
      <c r="BB219" s="294" t="s">
        <v>66</v>
      </c>
      <c r="BM219" s="75">
        <f t="shared" si="32"/>
        <v>0</v>
      </c>
      <c r="BN219" s="75">
        <f t="shared" si="33"/>
        <v>0</v>
      </c>
      <c r="BO219" s="75">
        <f t="shared" si="34"/>
        <v>0</v>
      </c>
      <c r="BP219" s="75">
        <f t="shared" si="35"/>
        <v>0</v>
      </c>
    </row>
    <row r="220" spans="1:68" ht="27" customHeight="1" x14ac:dyDescent="0.25">
      <c r="A220" s="60" t="s">
        <v>385</v>
      </c>
      <c r="B220" s="60" t="s">
        <v>386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109</v>
      </c>
      <c r="N220" s="36"/>
      <c r="O220" s="35">
        <v>40</v>
      </c>
      <c r="P22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1"/>
        <v>0</v>
      </c>
      <c r="Z220" s="39" t="str">
        <f t="shared" si="36"/>
        <v/>
      </c>
      <c r="AA220" s="65" t="s">
        <v>45</v>
      </c>
      <c r="AB220" s="66" t="s">
        <v>45</v>
      </c>
      <c r="AC220" s="295" t="s">
        <v>387</v>
      </c>
      <c r="AG220" s="75"/>
      <c r="AJ220" s="79" t="s">
        <v>45</v>
      </c>
      <c r="AK220" s="79">
        <v>0</v>
      </c>
      <c r="BB220" s="296" t="s">
        <v>66</v>
      </c>
      <c r="BM220" s="75">
        <f t="shared" si="32"/>
        <v>0</v>
      </c>
      <c r="BN220" s="75">
        <f t="shared" si="33"/>
        <v>0</v>
      </c>
      <c r="BO220" s="75">
        <f t="shared" si="34"/>
        <v>0</v>
      </c>
      <c r="BP220" s="75">
        <f t="shared" si="35"/>
        <v>0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672" t="s">
        <v>181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388</v>
      </c>
      <c r="B224" s="60" t="s">
        <v>389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141</v>
      </c>
      <c r="N224" s="36"/>
      <c r="O224" s="35">
        <v>40</v>
      </c>
      <c r="P224" s="87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390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391</v>
      </c>
      <c r="B225" s="60" t="s">
        <v>392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109</v>
      </c>
      <c r="N225" s="36"/>
      <c r="O225" s="35">
        <v>40</v>
      </c>
      <c r="P225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393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694" t="s">
        <v>394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customHeight="1" x14ac:dyDescent="0.25">
      <c r="A229" s="672" t="s">
        <v>101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customHeight="1" x14ac:dyDescent="0.25">
      <c r="A230" s="60" t="s">
        <v>395</v>
      </c>
      <c r="B230" s="60" t="s">
        <v>396</v>
      </c>
      <c r="C230" s="34">
        <v>4301011942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12.08</v>
      </c>
      <c r="J230" s="35">
        <v>48</v>
      </c>
      <c r="K230" s="35" t="s">
        <v>106</v>
      </c>
      <c r="L230" s="35" t="s">
        <v>45</v>
      </c>
      <c r="M230" s="36" t="s">
        <v>398</v>
      </c>
      <c r="N230" s="36"/>
      <c r="O230" s="35">
        <v>55</v>
      </c>
      <c r="P230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37">IFERROR(IF(X230="",0,CEILING((X230/$H230),1)*$H230),"")</f>
        <v>0</v>
      </c>
      <c r="Z230" s="39" t="str">
        <f>IFERROR(IF(Y230=0,"",ROUNDUP(Y230/H230,0)*0.02039),"")</f>
        <v/>
      </c>
      <c r="AA230" s="65" t="s">
        <v>45</v>
      </c>
      <c r="AB230" s="66" t="s">
        <v>45</v>
      </c>
      <c r="AC230" s="301" t="s">
        <v>397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38">IFERROR(X230*I230/H230,"0")</f>
        <v>0</v>
      </c>
      <c r="BN230" s="75">
        <f t="shared" ref="BN230:BN237" si="39">IFERROR(Y230*I230/H230,"0")</f>
        <v>0</v>
      </c>
      <c r="BO230" s="75">
        <f t="shared" ref="BO230:BO237" si="40">IFERROR(1/J230*(X230/H230),"0")</f>
        <v>0</v>
      </c>
      <c r="BP230" s="75">
        <f t="shared" ref="BP230:BP237" si="41">IFERROR(1/J230*(Y230/H230),"0")</f>
        <v>0</v>
      </c>
    </row>
    <row r="231" spans="1:68" ht="27" customHeight="1" x14ac:dyDescent="0.25">
      <c r="A231" s="60" t="s">
        <v>395</v>
      </c>
      <c r="B231" s="60" t="s">
        <v>399</v>
      </c>
      <c r="C231" s="34">
        <v>4301011826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12.035</v>
      </c>
      <c r="J231" s="35">
        <v>64</v>
      </c>
      <c r="K231" s="35" t="s">
        <v>106</v>
      </c>
      <c r="L231" s="35" t="s">
        <v>45</v>
      </c>
      <c r="M231" s="36" t="s">
        <v>105</v>
      </c>
      <c r="N231" s="36"/>
      <c r="O231" s="35">
        <v>55</v>
      </c>
      <c r="P231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37"/>
        <v>0</v>
      </c>
      <c r="Z231" s="39" t="str">
        <f>IFERROR(IF(Y231=0,"",ROUNDUP(Y231/H231,0)*0.01898),"")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customHeight="1" x14ac:dyDescent="0.25">
      <c r="A232" s="60" t="s">
        <v>401</v>
      </c>
      <c r="B232" s="60" t="s">
        <v>402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106</v>
      </c>
      <c r="L232" s="35" t="s">
        <v>45</v>
      </c>
      <c r="M232" s="36" t="s">
        <v>105</v>
      </c>
      <c r="N232" s="36"/>
      <c r="O232" s="35">
        <v>55</v>
      </c>
      <c r="P232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37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403</v>
      </c>
      <c r="AG232" s="75"/>
      <c r="AJ232" s="79" t="s">
        <v>45</v>
      </c>
      <c r="AK232" s="79">
        <v>0</v>
      </c>
      <c r="BB232" s="306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customHeight="1" x14ac:dyDescent="0.25">
      <c r="A233" s="60" t="s">
        <v>404</v>
      </c>
      <c r="B233" s="60" t="s">
        <v>405</v>
      </c>
      <c r="C233" s="34">
        <v>4301011941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106</v>
      </c>
      <c r="L233" s="35" t="s">
        <v>45</v>
      </c>
      <c r="M233" s="36" t="s">
        <v>398</v>
      </c>
      <c r="N233" s="36"/>
      <c r="O233" s="35">
        <v>55</v>
      </c>
      <c r="P233" s="87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37"/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7" t="s">
        <v>397</v>
      </c>
      <c r="AG233" s="75"/>
      <c r="AJ233" s="79" t="s">
        <v>45</v>
      </c>
      <c r="AK233" s="79">
        <v>0</v>
      </c>
      <c r="BB233" s="308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customHeight="1" x14ac:dyDescent="0.25">
      <c r="A234" s="60" t="s">
        <v>404</v>
      </c>
      <c r="B234" s="60" t="s">
        <v>406</v>
      </c>
      <c r="C234" s="34">
        <v>4301011721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106</v>
      </c>
      <c r="L234" s="35" t="s">
        <v>45</v>
      </c>
      <c r="M234" s="36" t="s">
        <v>105</v>
      </c>
      <c r="N234" s="36"/>
      <c r="O234" s="35">
        <v>55</v>
      </c>
      <c r="P234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37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9" t="s">
        <v>407</v>
      </c>
      <c r="AG234" s="75"/>
      <c r="AJ234" s="79" t="s">
        <v>45</v>
      </c>
      <c r="AK234" s="79">
        <v>0</v>
      </c>
      <c r="BB234" s="310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customHeight="1" x14ac:dyDescent="0.25">
      <c r="A235" s="60" t="s">
        <v>408</v>
      </c>
      <c r="B235" s="60" t="s">
        <v>409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110</v>
      </c>
      <c r="L235" s="35" t="s">
        <v>45</v>
      </c>
      <c r="M235" s="36" t="s">
        <v>105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37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400</v>
      </c>
      <c r="AG235" s="75"/>
      <c r="AJ235" s="79" t="s">
        <v>45</v>
      </c>
      <c r="AK235" s="79">
        <v>0</v>
      </c>
      <c r="BB235" s="312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customHeight="1" x14ac:dyDescent="0.25">
      <c r="A236" s="60" t="s">
        <v>410</v>
      </c>
      <c r="B236" s="60" t="s">
        <v>411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110</v>
      </c>
      <c r="L236" s="35" t="s">
        <v>45</v>
      </c>
      <c r="M236" s="36" t="s">
        <v>105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403</v>
      </c>
      <c r="AG236" s="75"/>
      <c r="AJ236" s="79" t="s">
        <v>45</v>
      </c>
      <c r="AK236" s="79">
        <v>0</v>
      </c>
      <c r="BB236" s="314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27" customHeight="1" x14ac:dyDescent="0.25">
      <c r="A237" s="60" t="s">
        <v>412</v>
      </c>
      <c r="B237" s="60" t="s">
        <v>413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110</v>
      </c>
      <c r="L237" s="35" t="s">
        <v>45</v>
      </c>
      <c r="M237" s="36" t="s">
        <v>105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2" t="s">
        <v>144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customHeight="1" x14ac:dyDescent="0.25">
      <c r="A241" s="60" t="s">
        <v>414</v>
      </c>
      <c r="B241" s="60" t="s">
        <v>415</v>
      </c>
      <c r="C241" s="34">
        <v>4301020340</v>
      </c>
      <c r="D241" s="673">
        <v>4680115885721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159</v>
      </c>
      <c r="L241" s="35" t="s">
        <v>45</v>
      </c>
      <c r="M241" s="36" t="s">
        <v>109</v>
      </c>
      <c r="N241" s="36"/>
      <c r="O241" s="35">
        <v>50</v>
      </c>
      <c r="P241" s="86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416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414</v>
      </c>
      <c r="B242" s="60" t="s">
        <v>417</v>
      </c>
      <c r="C242" s="34">
        <v>4301020377</v>
      </c>
      <c r="D242" s="673">
        <v>4680115885981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159</v>
      </c>
      <c r="L242" s="35" t="s">
        <v>45</v>
      </c>
      <c r="M242" s="36" t="s">
        <v>109</v>
      </c>
      <c r="N242" s="36"/>
      <c r="O242" s="35">
        <v>50</v>
      </c>
      <c r="P242" s="866" t="s">
        <v>418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416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2" t="s">
        <v>419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332</v>
      </c>
      <c r="L246" s="35" t="s">
        <v>45</v>
      </c>
      <c r="M246" s="36" t="s">
        <v>331</v>
      </c>
      <c r="N246" s="36"/>
      <c r="O246" s="35">
        <v>45</v>
      </c>
      <c r="P246" s="858" t="s">
        <v>422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330</v>
      </c>
      <c r="AC246" s="321" t="s">
        <v>423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2" t="s">
        <v>424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customHeight="1" x14ac:dyDescent="0.25">
      <c r="A250" s="60" t="s">
        <v>425</v>
      </c>
      <c r="B250" s="60" t="s">
        <v>426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332</v>
      </c>
      <c r="L250" s="35" t="s">
        <v>45</v>
      </c>
      <c r="M250" s="36" t="s">
        <v>331</v>
      </c>
      <c r="N250" s="36"/>
      <c r="O250" s="35">
        <v>90</v>
      </c>
      <c r="P250" s="859" t="s">
        <v>427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330</v>
      </c>
      <c r="AC250" s="323" t="s">
        <v>428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4" t="s">
        <v>429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customHeight="1" x14ac:dyDescent="0.25">
      <c r="A254" s="672" t="s">
        <v>101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customHeight="1" x14ac:dyDescent="0.25">
      <c r="A255" s="60" t="s">
        <v>430</v>
      </c>
      <c r="B255" s="60" t="s">
        <v>431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106</v>
      </c>
      <c r="L255" s="35" t="s">
        <v>45</v>
      </c>
      <c r="M255" s="36" t="s">
        <v>105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2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432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3">IFERROR(X255*I255/H255,"0")</f>
        <v>0</v>
      </c>
      <c r="BN255" s="75">
        <f t="shared" ref="BN255:BN260" si="44">IFERROR(Y255*I255/H255,"0")</f>
        <v>0</v>
      </c>
      <c r="BO255" s="75">
        <f t="shared" ref="BO255:BO260" si="45">IFERROR(1/J255*(X255/H255),"0")</f>
        <v>0</v>
      </c>
      <c r="BP255" s="75">
        <f t="shared" ref="BP255:BP260" si="46">IFERROR(1/J255*(Y255/H255),"0")</f>
        <v>0</v>
      </c>
    </row>
    <row r="256" spans="1:68" ht="27" customHeight="1" x14ac:dyDescent="0.25">
      <c r="A256" s="60" t="s">
        <v>433</v>
      </c>
      <c r="B256" s="60" t="s">
        <v>434</v>
      </c>
      <c r="C256" s="34">
        <v>4301011910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11.28</v>
      </c>
      <c r="J256" s="35">
        <v>48</v>
      </c>
      <c r="K256" s="35" t="s">
        <v>106</v>
      </c>
      <c r="L256" s="35" t="s">
        <v>45</v>
      </c>
      <c r="M256" s="36" t="s">
        <v>398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2"/>
        <v>0</v>
      </c>
      <c r="Z256" s="39" t="str">
        <f>IFERROR(IF(Y256=0,"",ROUNDUP(Y256/H256,0)*0.02039),"")</f>
        <v/>
      </c>
      <c r="AA256" s="65" t="s">
        <v>45</v>
      </c>
      <c r="AB256" s="66" t="s">
        <v>45</v>
      </c>
      <c r="AC256" s="327" t="s">
        <v>435</v>
      </c>
      <c r="AG256" s="75"/>
      <c r="AJ256" s="79" t="s">
        <v>45</v>
      </c>
      <c r="AK256" s="79">
        <v>0</v>
      </c>
      <c r="BB256" s="328" t="s">
        <v>66</v>
      </c>
      <c r="BM256" s="75">
        <f t="shared" si="43"/>
        <v>0</v>
      </c>
      <c r="BN256" s="75">
        <f t="shared" si="44"/>
        <v>0</v>
      </c>
      <c r="BO256" s="75">
        <f t="shared" si="45"/>
        <v>0</v>
      </c>
      <c r="BP256" s="75">
        <f t="shared" si="46"/>
        <v>0</v>
      </c>
    </row>
    <row r="257" spans="1:68" ht="27" customHeight="1" x14ac:dyDescent="0.25">
      <c r="A257" s="60" t="s">
        <v>433</v>
      </c>
      <c r="B257" s="60" t="s">
        <v>436</v>
      </c>
      <c r="C257" s="34">
        <v>4301011850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106</v>
      </c>
      <c r="L257" s="35" t="s">
        <v>45</v>
      </c>
      <c r="M257" s="36" t="s">
        <v>105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2"/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29" t="s">
        <v>437</v>
      </c>
      <c r="AG257" s="75"/>
      <c r="AJ257" s="79" t="s">
        <v>45</v>
      </c>
      <c r="AK257" s="79">
        <v>0</v>
      </c>
      <c r="BB257" s="330" t="s">
        <v>66</v>
      </c>
      <c r="BM257" s="75">
        <f t="shared" si="43"/>
        <v>0</v>
      </c>
      <c r="BN257" s="75">
        <f t="shared" si="44"/>
        <v>0</v>
      </c>
      <c r="BO257" s="75">
        <f t="shared" si="45"/>
        <v>0</v>
      </c>
      <c r="BP257" s="75">
        <f t="shared" si="46"/>
        <v>0</v>
      </c>
    </row>
    <row r="258" spans="1:68" ht="37.5" customHeight="1" x14ac:dyDescent="0.25">
      <c r="A258" s="60" t="s">
        <v>438</v>
      </c>
      <c r="B258" s="60" t="s">
        <v>439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106</v>
      </c>
      <c r="L258" s="35" t="s">
        <v>45</v>
      </c>
      <c r="M258" s="36" t="s">
        <v>105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2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440</v>
      </c>
      <c r="AG258" s="75"/>
      <c r="AJ258" s="79" t="s">
        <v>45</v>
      </c>
      <c r="AK258" s="79">
        <v>0</v>
      </c>
      <c r="BB258" s="332" t="s">
        <v>66</v>
      </c>
      <c r="BM258" s="75">
        <f t="shared" si="43"/>
        <v>0</v>
      </c>
      <c r="BN258" s="75">
        <f t="shared" si="44"/>
        <v>0</v>
      </c>
      <c r="BO258" s="75">
        <f t="shared" si="45"/>
        <v>0</v>
      </c>
      <c r="BP258" s="75">
        <f t="shared" si="46"/>
        <v>0</v>
      </c>
    </row>
    <row r="259" spans="1:68" ht="27" customHeight="1" x14ac:dyDescent="0.25">
      <c r="A259" s="60" t="s">
        <v>441</v>
      </c>
      <c r="B259" s="60" t="s">
        <v>442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110</v>
      </c>
      <c r="L259" s="35" t="s">
        <v>45</v>
      </c>
      <c r="M259" s="36" t="s">
        <v>105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60</v>
      </c>
      <c r="Y259" s="53">
        <f t="shared" si="42"/>
        <v>60</v>
      </c>
      <c r="Z259" s="39">
        <f>IFERROR(IF(Y259=0,"",ROUNDUP(Y259/H259,0)*0.00902),"")</f>
        <v>0.1353</v>
      </c>
      <c r="AA259" s="65" t="s">
        <v>45</v>
      </c>
      <c r="AB259" s="66" t="s">
        <v>45</v>
      </c>
      <c r="AC259" s="333" t="s">
        <v>443</v>
      </c>
      <c r="AG259" s="75"/>
      <c r="AJ259" s="79" t="s">
        <v>45</v>
      </c>
      <c r="AK259" s="79">
        <v>0</v>
      </c>
      <c r="BB259" s="334" t="s">
        <v>66</v>
      </c>
      <c r="BM259" s="75">
        <f t="shared" si="43"/>
        <v>63.15</v>
      </c>
      <c r="BN259" s="75">
        <f t="shared" si="44"/>
        <v>63.15</v>
      </c>
      <c r="BO259" s="75">
        <f t="shared" si="45"/>
        <v>0.11363636363636365</v>
      </c>
      <c r="BP259" s="75">
        <f t="shared" si="46"/>
        <v>0.11363636363636365</v>
      </c>
    </row>
    <row r="260" spans="1:68" ht="27" customHeight="1" x14ac:dyDescent="0.25">
      <c r="A260" s="60" t="s">
        <v>444</v>
      </c>
      <c r="B260" s="60" t="s">
        <v>445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110</v>
      </c>
      <c r="L260" s="35" t="s">
        <v>45</v>
      </c>
      <c r="M260" s="36" t="s">
        <v>105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80</v>
      </c>
      <c r="Y260" s="53">
        <f t="shared" si="42"/>
        <v>80</v>
      </c>
      <c r="Z260" s="39">
        <f>IFERROR(IF(Y260=0,"",ROUNDUP(Y260/H260,0)*0.00902),"")</f>
        <v>0.1804</v>
      </c>
      <c r="AA260" s="65" t="s">
        <v>45</v>
      </c>
      <c r="AB260" s="66" t="s">
        <v>45</v>
      </c>
      <c r="AC260" s="335" t="s">
        <v>446</v>
      </c>
      <c r="AG260" s="75"/>
      <c r="AJ260" s="79" t="s">
        <v>45</v>
      </c>
      <c r="AK260" s="79">
        <v>0</v>
      </c>
      <c r="BB260" s="336" t="s">
        <v>66</v>
      </c>
      <c r="BM260" s="75">
        <f t="shared" si="43"/>
        <v>84.2</v>
      </c>
      <c r="BN260" s="75">
        <f t="shared" si="44"/>
        <v>84.2</v>
      </c>
      <c r="BO260" s="75">
        <f t="shared" si="45"/>
        <v>0.15151515151515152</v>
      </c>
      <c r="BP260" s="75">
        <f t="shared" si="46"/>
        <v>0.15151515151515152</v>
      </c>
    </row>
    <row r="261" spans="1:68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35</v>
      </c>
      <c r="Y261" s="41">
        <f>IFERROR(Y255/H255,"0")+IFERROR(Y256/H256,"0")+IFERROR(Y257/H257,"0")+IFERROR(Y258/H258,"0")+IFERROR(Y259/H259,"0")+IFERROR(Y260/H260,"0")</f>
        <v>35</v>
      </c>
      <c r="Z261" s="41">
        <f>IFERROR(IF(Z255="",0,Z255),"0")+IFERROR(IF(Z256="",0,Z256),"0")+IFERROR(IF(Z257="",0,Z257),"0")+IFERROR(IF(Z258="",0,Z258),"0")+IFERROR(IF(Z259="",0,Z259),"0")+IFERROR(IF(Z260="",0,Z260),"0")</f>
        <v>0.31569999999999998</v>
      </c>
      <c r="AA261" s="64"/>
      <c r="AB261" s="64"/>
      <c r="AC261" s="64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140</v>
      </c>
      <c r="Y262" s="41">
        <f>IFERROR(SUM(Y255:Y260),"0")</f>
        <v>140</v>
      </c>
      <c r="Z262" s="40"/>
      <c r="AA262" s="64"/>
      <c r="AB262" s="64"/>
      <c r="AC262" s="64"/>
    </row>
    <row r="263" spans="1:68" ht="16.5" customHeight="1" x14ac:dyDescent="0.25">
      <c r="A263" s="694" t="s">
        <v>447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customHeight="1" x14ac:dyDescent="0.25">
      <c r="A264" s="672" t="s">
        <v>101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customHeight="1" x14ac:dyDescent="0.25">
      <c r="A265" s="60" t="s">
        <v>448</v>
      </c>
      <c r="B265" s="60" t="s">
        <v>449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106</v>
      </c>
      <c r="L265" s="35" t="s">
        <v>45</v>
      </c>
      <c r="M265" s="36" t="s">
        <v>105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450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4" t="s">
        <v>451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customHeight="1" x14ac:dyDescent="0.25">
      <c r="A269" s="672" t="s">
        <v>101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customHeight="1" x14ac:dyDescent="0.25">
      <c r="A270" s="60" t="s">
        <v>452</v>
      </c>
      <c r="B270" s="60" t="s">
        <v>453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106</v>
      </c>
      <c r="L270" s="35" t="s">
        <v>45</v>
      </c>
      <c r="M270" s="36" t="s">
        <v>109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104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454</v>
      </c>
      <c r="B271" s="60" t="s">
        <v>455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106</v>
      </c>
      <c r="L271" s="35" t="s">
        <v>45</v>
      </c>
      <c r="M271" s="36" t="s">
        <v>109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456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457</v>
      </c>
      <c r="B272" s="60" t="s">
        <v>458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106</v>
      </c>
      <c r="L272" s="35" t="s">
        <v>45</v>
      </c>
      <c r="M272" s="36" t="s">
        <v>109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459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4" t="s">
        <v>460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461</v>
      </c>
      <c r="B277" s="60" t="s">
        <v>462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110</v>
      </c>
      <c r="L277" s="35" t="s">
        <v>45</v>
      </c>
      <c r="M277" s="36" t="s">
        <v>141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463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464</v>
      </c>
      <c r="B278" s="60" t="s">
        <v>465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109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466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467</v>
      </c>
      <c r="B279" s="60" t="s">
        <v>468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141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463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469</v>
      </c>
      <c r="B280" s="60" t="s">
        <v>470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111</v>
      </c>
      <c r="M280" s="36" t="s">
        <v>109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471</v>
      </c>
      <c r="AG280" s="75"/>
      <c r="AJ280" s="79" t="s">
        <v>112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472</v>
      </c>
      <c r="B281" s="60" t="s">
        <v>473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110</v>
      </c>
      <c r="L281" s="35" t="s">
        <v>45</v>
      </c>
      <c r="M281" s="36" t="s">
        <v>109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466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694" t="s">
        <v>474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customHeight="1" x14ac:dyDescent="0.25">
      <c r="A285" s="672" t="s">
        <v>101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customHeight="1" x14ac:dyDescent="0.25">
      <c r="A286" s="60" t="s">
        <v>475</v>
      </c>
      <c r="B286" s="60" t="s">
        <v>476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110</v>
      </c>
      <c r="L286" s="35" t="s">
        <v>45</v>
      </c>
      <c r="M286" s="36" t="s">
        <v>109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477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2" t="s">
        <v>155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customHeight="1" x14ac:dyDescent="0.25">
      <c r="A290" s="60" t="s">
        <v>478</v>
      </c>
      <c r="B290" s="60" t="s">
        <v>479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159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480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customHeight="1" x14ac:dyDescent="0.25">
      <c r="A294" s="60" t="s">
        <v>481</v>
      </c>
      <c r="B294" s="60" t="s">
        <v>482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110</v>
      </c>
      <c r="L294" s="35" t="s">
        <v>45</v>
      </c>
      <c r="M294" s="36" t="s">
        <v>109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483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4" t="s">
        <v>484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customHeight="1" x14ac:dyDescent="0.25">
      <c r="A299" s="60" t="s">
        <v>485</v>
      </c>
      <c r="B299" s="60" t="s">
        <v>486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109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487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4" t="s">
        <v>488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customHeight="1" x14ac:dyDescent="0.25">
      <c r="A303" s="672" t="s">
        <v>101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customHeight="1" x14ac:dyDescent="0.25">
      <c r="A304" s="60" t="s">
        <v>489</v>
      </c>
      <c r="B304" s="60" t="s">
        <v>490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110</v>
      </c>
      <c r="L304" s="35" t="s">
        <v>45</v>
      </c>
      <c r="M304" s="36" t="s">
        <v>105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450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2" t="s">
        <v>155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customHeight="1" x14ac:dyDescent="0.25">
      <c r="A308" s="60" t="s">
        <v>491</v>
      </c>
      <c r="B308" s="60" t="s">
        <v>492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159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493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494</v>
      </c>
      <c r="B309" s="60" t="s">
        <v>495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159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493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4" t="s">
        <v>496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customHeight="1" x14ac:dyDescent="0.25">
      <c r="A313" s="672" t="s">
        <v>101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customHeight="1" x14ac:dyDescent="0.25">
      <c r="A314" s="60" t="s">
        <v>497</v>
      </c>
      <c r="B314" s="60" t="s">
        <v>498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106</v>
      </c>
      <c r="L314" s="35" t="s">
        <v>45</v>
      </c>
      <c r="M314" s="36" t="s">
        <v>105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500</v>
      </c>
      <c r="AB314" s="66" t="s">
        <v>45</v>
      </c>
      <c r="AC314" s="369" t="s">
        <v>499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4" t="s">
        <v>501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customHeight="1" x14ac:dyDescent="0.25">
      <c r="A318" s="672" t="s">
        <v>101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customHeight="1" x14ac:dyDescent="0.25">
      <c r="A319" s="60" t="s">
        <v>502</v>
      </c>
      <c r="B319" s="60" t="s">
        <v>503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106</v>
      </c>
      <c r="L319" s="35" t="s">
        <v>45</v>
      </c>
      <c r="M319" s="36" t="s">
        <v>109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47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504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48">IFERROR(X319*I319/H319,"0")</f>
        <v>0</v>
      </c>
      <c r="BN319" s="75">
        <f t="shared" ref="BN319:BN324" si="49">IFERROR(Y319*I319/H319,"0")</f>
        <v>0</v>
      </c>
      <c r="BO319" s="75">
        <f t="shared" ref="BO319:BO324" si="50">IFERROR(1/J319*(X319/H319),"0")</f>
        <v>0</v>
      </c>
      <c r="BP319" s="75">
        <f t="shared" ref="BP319:BP324" si="51">IFERROR(1/J319*(Y319/H319),"0")</f>
        <v>0</v>
      </c>
    </row>
    <row r="320" spans="1:68" ht="27" customHeight="1" x14ac:dyDescent="0.25">
      <c r="A320" s="60" t="s">
        <v>505</v>
      </c>
      <c r="B320" s="60" t="s">
        <v>506</v>
      </c>
      <c r="C320" s="34">
        <v>4301011911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11.28</v>
      </c>
      <c r="J320" s="35">
        <v>48</v>
      </c>
      <c r="K320" s="35" t="s">
        <v>106</v>
      </c>
      <c r="L320" s="35" t="s">
        <v>45</v>
      </c>
      <c r="M320" s="36" t="s">
        <v>398</v>
      </c>
      <c r="N320" s="36"/>
      <c r="O320" s="35">
        <v>55</v>
      </c>
      <c r="P320" s="83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47"/>
        <v>0</v>
      </c>
      <c r="Z320" s="39" t="str">
        <f>IFERROR(IF(Y320=0,"",ROUNDUP(Y320/H320,0)*0.02039),"")</f>
        <v/>
      </c>
      <c r="AA320" s="65" t="s">
        <v>45</v>
      </c>
      <c r="AB320" s="66" t="s">
        <v>45</v>
      </c>
      <c r="AC320" s="373" t="s">
        <v>507</v>
      </c>
      <c r="AG320" s="75"/>
      <c r="AJ320" s="79" t="s">
        <v>45</v>
      </c>
      <c r="AK320" s="79">
        <v>0</v>
      </c>
      <c r="BB320" s="374" t="s">
        <v>66</v>
      </c>
      <c r="BM320" s="75">
        <f t="shared" si="48"/>
        <v>0</v>
      </c>
      <c r="BN320" s="75">
        <f t="shared" si="49"/>
        <v>0</v>
      </c>
      <c r="BO320" s="75">
        <f t="shared" si="50"/>
        <v>0</v>
      </c>
      <c r="BP320" s="75">
        <f t="shared" si="51"/>
        <v>0</v>
      </c>
    </row>
    <row r="321" spans="1:68" ht="27" customHeight="1" x14ac:dyDescent="0.25">
      <c r="A321" s="60" t="s">
        <v>505</v>
      </c>
      <c r="B321" s="60" t="s">
        <v>508</v>
      </c>
      <c r="C321" s="34">
        <v>4301012016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11.234999999999999</v>
      </c>
      <c r="J321" s="35">
        <v>64</v>
      </c>
      <c r="K321" s="35" t="s">
        <v>106</v>
      </c>
      <c r="L321" s="35" t="s">
        <v>128</v>
      </c>
      <c r="M321" s="36" t="s">
        <v>109</v>
      </c>
      <c r="N321" s="36"/>
      <c r="O321" s="35">
        <v>55</v>
      </c>
      <c r="P321" s="8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47"/>
        <v>0</v>
      </c>
      <c r="Z321" s="39" t="str">
        <f>IFERROR(IF(Y321=0,"",ROUNDUP(Y321/H321,0)*0.01898),"")</f>
        <v/>
      </c>
      <c r="AA321" s="65" t="s">
        <v>45</v>
      </c>
      <c r="AB321" s="66" t="s">
        <v>45</v>
      </c>
      <c r="AC321" s="375" t="s">
        <v>509</v>
      </c>
      <c r="AG321" s="75"/>
      <c r="AJ321" s="79" t="s">
        <v>129</v>
      </c>
      <c r="AK321" s="79">
        <v>691.2</v>
      </c>
      <c r="BB321" s="376" t="s">
        <v>66</v>
      </c>
      <c r="BM321" s="75">
        <f t="shared" si="48"/>
        <v>0</v>
      </c>
      <c r="BN321" s="75">
        <f t="shared" si="49"/>
        <v>0</v>
      </c>
      <c r="BO321" s="75">
        <f t="shared" si="50"/>
        <v>0</v>
      </c>
      <c r="BP321" s="75">
        <f t="shared" si="51"/>
        <v>0</v>
      </c>
    </row>
    <row r="322" spans="1:68" ht="37.5" customHeight="1" x14ac:dyDescent="0.25">
      <c r="A322" s="60" t="s">
        <v>510</v>
      </c>
      <c r="B322" s="60" t="s">
        <v>511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106</v>
      </c>
      <c r="L322" s="35" t="s">
        <v>45</v>
      </c>
      <c r="M322" s="36" t="s">
        <v>105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47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512</v>
      </c>
      <c r="AG322" s="75"/>
      <c r="AJ322" s="79" t="s">
        <v>45</v>
      </c>
      <c r="AK322" s="79">
        <v>0</v>
      </c>
      <c r="BB322" s="378" t="s">
        <v>66</v>
      </c>
      <c r="BM322" s="75">
        <f t="shared" si="48"/>
        <v>0</v>
      </c>
      <c r="BN322" s="75">
        <f t="shared" si="49"/>
        <v>0</v>
      </c>
      <c r="BO322" s="75">
        <f t="shared" si="50"/>
        <v>0</v>
      </c>
      <c r="BP322" s="75">
        <f t="shared" si="51"/>
        <v>0</v>
      </c>
    </row>
    <row r="323" spans="1:68" ht="27" customHeight="1" x14ac:dyDescent="0.25">
      <c r="A323" s="60" t="s">
        <v>513</v>
      </c>
      <c r="B323" s="60" t="s">
        <v>514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110</v>
      </c>
      <c r="L323" s="35" t="s">
        <v>45</v>
      </c>
      <c r="M323" s="36" t="s">
        <v>105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80</v>
      </c>
      <c r="Y323" s="53">
        <f t="shared" si="47"/>
        <v>80</v>
      </c>
      <c r="Z323" s="39">
        <f>IFERROR(IF(Y323=0,"",ROUNDUP(Y323/H323,0)*0.00902),"")</f>
        <v>0.1804</v>
      </c>
      <c r="AA323" s="65" t="s">
        <v>45</v>
      </c>
      <c r="AB323" s="66" t="s">
        <v>45</v>
      </c>
      <c r="AC323" s="379" t="s">
        <v>515</v>
      </c>
      <c r="AG323" s="75"/>
      <c r="AJ323" s="79" t="s">
        <v>45</v>
      </c>
      <c r="AK323" s="79">
        <v>0</v>
      </c>
      <c r="BB323" s="380" t="s">
        <v>66</v>
      </c>
      <c r="BM323" s="75">
        <f t="shared" si="48"/>
        <v>84.2</v>
      </c>
      <c r="BN323" s="75">
        <f t="shared" si="49"/>
        <v>84.2</v>
      </c>
      <c r="BO323" s="75">
        <f t="shared" si="50"/>
        <v>0.15151515151515152</v>
      </c>
      <c r="BP323" s="75">
        <f t="shared" si="51"/>
        <v>0.15151515151515152</v>
      </c>
    </row>
    <row r="324" spans="1:68" ht="27" customHeight="1" x14ac:dyDescent="0.25">
      <c r="A324" s="60" t="s">
        <v>516</v>
      </c>
      <c r="B324" s="60" t="s">
        <v>517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110</v>
      </c>
      <c r="L324" s="35" t="s">
        <v>45</v>
      </c>
      <c r="M324" s="36" t="s">
        <v>105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528</v>
      </c>
      <c r="Y324" s="53">
        <f t="shared" si="47"/>
        <v>528</v>
      </c>
      <c r="Z324" s="39">
        <f>IFERROR(IF(Y324=0,"",ROUNDUP(Y324/H324,0)*0.00902),"")</f>
        <v>1.1906400000000001</v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48"/>
        <v>555.72</v>
      </c>
      <c r="BN324" s="75">
        <f t="shared" si="49"/>
        <v>555.72</v>
      </c>
      <c r="BO324" s="75">
        <f t="shared" si="50"/>
        <v>1</v>
      </c>
      <c r="BP324" s="75">
        <f t="shared" si="51"/>
        <v>1</v>
      </c>
    </row>
    <row r="325" spans="1:68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152</v>
      </c>
      <c r="Y325" s="41">
        <f>IFERROR(Y319/H319,"0")+IFERROR(Y320/H320,"0")+IFERROR(Y321/H321,"0")+IFERROR(Y322/H322,"0")+IFERROR(Y323/H323,"0")+IFERROR(Y324/H324,"0")</f>
        <v>152</v>
      </c>
      <c r="Z325" s="41">
        <f>IFERROR(IF(Z319="",0,Z319),"0")+IFERROR(IF(Z320="",0,Z320),"0")+IFERROR(IF(Z321="",0,Z321),"0")+IFERROR(IF(Z322="",0,Z322),"0")+IFERROR(IF(Z323="",0,Z323),"0")+IFERROR(IF(Z324="",0,Z324),"0")</f>
        <v>1.3710400000000003</v>
      </c>
      <c r="AA325" s="64"/>
      <c r="AB325" s="64"/>
      <c r="AC325" s="64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608</v>
      </c>
      <c r="Y326" s="41">
        <f>IFERROR(SUM(Y319:Y324),"0")</f>
        <v>608</v>
      </c>
      <c r="Z326" s="40"/>
      <c r="AA326" s="64"/>
      <c r="AB326" s="64"/>
      <c r="AC326" s="64"/>
    </row>
    <row r="327" spans="1:68" ht="14.25" customHeight="1" x14ac:dyDescent="0.25">
      <c r="A327" s="672" t="s">
        <v>155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customHeight="1" x14ac:dyDescent="0.25">
      <c r="A328" s="60" t="s">
        <v>518</v>
      </c>
      <c r="B328" s="60" t="s">
        <v>519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110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520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521</v>
      </c>
      <c r="B329" s="60" t="s">
        <v>522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110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150</v>
      </c>
      <c r="Y329" s="53">
        <f>IFERROR(IF(X329="",0,CEILING((X329/$H329),1)*$H329),"")</f>
        <v>151.20000000000002</v>
      </c>
      <c r="Z329" s="39">
        <f>IFERROR(IF(Y329=0,"",ROUNDUP(Y329/H329,0)*0.00902),"")</f>
        <v>0.32472000000000001</v>
      </c>
      <c r="AA329" s="65" t="s">
        <v>45</v>
      </c>
      <c r="AB329" s="66" t="s">
        <v>45</v>
      </c>
      <c r="AC329" s="385" t="s">
        <v>523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159.64285714285714</v>
      </c>
      <c r="BN329" s="75">
        <f>IFERROR(Y329*I329/H329,"0")</f>
        <v>160.91999999999999</v>
      </c>
      <c r="BO329" s="75">
        <f>IFERROR(1/J329*(X329/H329),"0")</f>
        <v>0.27056277056277056</v>
      </c>
      <c r="BP329" s="75">
        <f>IFERROR(1/J329*(Y329/H329),"0")</f>
        <v>0.27272727272727271</v>
      </c>
    </row>
    <row r="330" spans="1:68" ht="27" customHeight="1" x14ac:dyDescent="0.25">
      <c r="A330" s="60" t="s">
        <v>524</v>
      </c>
      <c r="B330" s="60" t="s">
        <v>525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110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526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527</v>
      </c>
      <c r="B331" s="60" t="s">
        <v>528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159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523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55.714285714285715</v>
      </c>
      <c r="Y332" s="41">
        <f>IFERROR(Y328/H328,"0")+IFERROR(Y329/H329,"0")+IFERROR(Y330/H330,"0")+IFERROR(Y331/H331,"0")</f>
        <v>56</v>
      </c>
      <c r="Z332" s="41">
        <f>IFERROR(IF(Z328="",0,Z328),"0")+IFERROR(IF(Z329="",0,Z329),"0")+IFERROR(IF(Z330="",0,Z330),"0")+IFERROR(IF(Z331="",0,Z331),"0")</f>
        <v>0.42512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192</v>
      </c>
      <c r="Y333" s="41">
        <f>IFERROR(SUM(Y328:Y331),"0")</f>
        <v>193.20000000000002</v>
      </c>
      <c r="Z333" s="40"/>
      <c r="AA333" s="64"/>
      <c r="AB333" s="64"/>
      <c r="AC333" s="64"/>
    </row>
    <row r="334" spans="1:68" ht="14.25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37.5" customHeight="1" x14ac:dyDescent="0.25">
      <c r="A335" s="60" t="s">
        <v>529</v>
      </c>
      <c r="B335" s="60" t="s">
        <v>530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106</v>
      </c>
      <c r="L335" s="35" t="s">
        <v>45</v>
      </c>
      <c r="M335" s="36" t="s">
        <v>109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6920</v>
      </c>
      <c r="Y335" s="53">
        <f>IFERROR(IF(X335="",0,CEILING((X335/$H335),1)*$H335),"")</f>
        <v>6926.4</v>
      </c>
      <c r="Z335" s="39">
        <f>IFERROR(IF(Y335=0,"",ROUNDUP(Y335/H335,0)*0.01898),"")</f>
        <v>16.854240000000001</v>
      </c>
      <c r="AA335" s="65" t="s">
        <v>45</v>
      </c>
      <c r="AB335" s="66" t="s">
        <v>45</v>
      </c>
      <c r="AC335" s="391" t="s">
        <v>531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7375.1230769230779</v>
      </c>
      <c r="BN335" s="75">
        <f>IFERROR(Y335*I335/H335,"0")</f>
        <v>7381.9440000000004</v>
      </c>
      <c r="BO335" s="75">
        <f>IFERROR(1/J335*(X335/H335),"0")</f>
        <v>13.862179487179487</v>
      </c>
      <c r="BP335" s="75">
        <f>IFERROR(1/J335*(Y335/H335),"0")</f>
        <v>13.875</v>
      </c>
    </row>
    <row r="336" spans="1:68" ht="27" customHeight="1" x14ac:dyDescent="0.25">
      <c r="A336" s="60" t="s">
        <v>532</v>
      </c>
      <c r="B336" s="60" t="s">
        <v>533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106</v>
      </c>
      <c r="L336" s="35" t="s">
        <v>45</v>
      </c>
      <c r="M336" s="36" t="s">
        <v>109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534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535</v>
      </c>
      <c r="B337" s="60" t="s">
        <v>536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106</v>
      </c>
      <c r="L337" s="35" t="s">
        <v>45</v>
      </c>
      <c r="M337" s="36" t="s">
        <v>109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537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538</v>
      </c>
      <c r="B338" s="60" t="s">
        <v>539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109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540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37.5" customHeight="1" x14ac:dyDescent="0.25">
      <c r="A339" s="60" t="s">
        <v>541</v>
      </c>
      <c r="B339" s="60" t="s">
        <v>542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141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543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887.17948717948718</v>
      </c>
      <c r="Y340" s="41">
        <f>IFERROR(Y335/H335,"0")+IFERROR(Y336/H336,"0")+IFERROR(Y337/H337,"0")+IFERROR(Y338/H338,"0")+IFERROR(Y339/H339,"0")</f>
        <v>888</v>
      </c>
      <c r="Z340" s="41">
        <f>IFERROR(IF(Z335="",0,Z335),"0")+IFERROR(IF(Z336="",0,Z336),"0")+IFERROR(IF(Z337="",0,Z337),"0")+IFERROR(IF(Z338="",0,Z338),"0")+IFERROR(IF(Z339="",0,Z339),"0")</f>
        <v>16.854240000000001</v>
      </c>
      <c r="AA340" s="64"/>
      <c r="AB340" s="64"/>
      <c r="AC340" s="64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6920</v>
      </c>
      <c r="Y341" s="41">
        <f>IFERROR(SUM(Y335:Y339),"0")</f>
        <v>6926.4</v>
      </c>
      <c r="Z341" s="40"/>
      <c r="AA341" s="64"/>
      <c r="AB341" s="64"/>
      <c r="AC341" s="64"/>
    </row>
    <row r="342" spans="1:68" ht="14.25" customHeight="1" x14ac:dyDescent="0.25">
      <c r="A342" s="672" t="s">
        <v>181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customHeight="1" x14ac:dyDescent="0.25">
      <c r="A343" s="60" t="s">
        <v>544</v>
      </c>
      <c r="B343" s="60" t="s">
        <v>545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106</v>
      </c>
      <c r="L343" s="35" t="s">
        <v>45</v>
      </c>
      <c r="M343" s="36" t="s">
        <v>109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547</v>
      </c>
      <c r="B344" s="60" t="s">
        <v>548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106</v>
      </c>
      <c r="L344" s="35" t="s">
        <v>45</v>
      </c>
      <c r="M344" s="36" t="s">
        <v>109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300</v>
      </c>
      <c r="Y344" s="53">
        <f>IFERROR(IF(X344="",0,CEILING((X344/$H344),1)*$H344),"")</f>
        <v>304.2</v>
      </c>
      <c r="Z344" s="39">
        <f>IFERROR(IF(Y344=0,"",ROUNDUP(Y344/H344,0)*0.01898),"")</f>
        <v>0.74021999999999999</v>
      </c>
      <c r="AA344" s="65" t="s">
        <v>45</v>
      </c>
      <c r="AB344" s="66" t="s">
        <v>45</v>
      </c>
      <c r="AC344" s="403" t="s">
        <v>549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319.96153846153851</v>
      </c>
      <c r="BN344" s="75">
        <f>IFERROR(Y344*I344/H344,"0")</f>
        <v>324.44100000000003</v>
      </c>
      <c r="BO344" s="75">
        <f>IFERROR(1/J344*(X344/H344),"0")</f>
        <v>0.60096153846153844</v>
      </c>
      <c r="BP344" s="75">
        <f>IFERROR(1/J344*(Y344/H344),"0")</f>
        <v>0.609375</v>
      </c>
    </row>
    <row r="345" spans="1:68" ht="16.5" customHeight="1" x14ac:dyDescent="0.25">
      <c r="A345" s="60" t="s">
        <v>550</v>
      </c>
      <c r="B345" s="60" t="s">
        <v>551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106</v>
      </c>
      <c r="L345" s="35" t="s">
        <v>45</v>
      </c>
      <c r="M345" s="36" t="s">
        <v>141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80</v>
      </c>
      <c r="Y345" s="53">
        <f>IFERROR(IF(X345="",0,CEILING((X345/$H345),1)*$H345),"")</f>
        <v>84</v>
      </c>
      <c r="Z345" s="39">
        <f>IFERROR(IF(Y345=0,"",ROUNDUP(Y345/H345,0)*0.01898),"")</f>
        <v>0.1898</v>
      </c>
      <c r="AA345" s="65" t="s">
        <v>45</v>
      </c>
      <c r="AB345" s="66" t="s">
        <v>45</v>
      </c>
      <c r="AC345" s="405" t="s">
        <v>552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84.942857142857136</v>
      </c>
      <c r="BN345" s="75">
        <f>IFERROR(Y345*I345/H345,"0")</f>
        <v>89.19</v>
      </c>
      <c r="BO345" s="75">
        <f>IFERROR(1/J345*(X345/H345),"0")</f>
        <v>0.14880952380952381</v>
      </c>
      <c r="BP345" s="75">
        <f>IFERROR(1/J345*(Y345/H345),"0")</f>
        <v>0.15625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47.985347985347985</v>
      </c>
      <c r="Y346" s="41">
        <f>IFERROR(Y343/H343,"0")+IFERROR(Y344/H344,"0")+IFERROR(Y345/H345,"0")</f>
        <v>49</v>
      </c>
      <c r="Z346" s="41">
        <f>IFERROR(IF(Z343="",0,Z343),"0")+IFERROR(IF(Z344="",0,Z344),"0")+IFERROR(IF(Z345="",0,Z345),"0")</f>
        <v>0.93001999999999996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380</v>
      </c>
      <c r="Y347" s="41">
        <f>IFERROR(SUM(Y343:Y345),"0")</f>
        <v>388.2</v>
      </c>
      <c r="Z347" s="40"/>
      <c r="AA347" s="64"/>
      <c r="AB347" s="64"/>
      <c r="AC347" s="64"/>
    </row>
    <row r="348" spans="1:68" ht="14.25" customHeight="1" x14ac:dyDescent="0.25">
      <c r="A348" s="672" t="s">
        <v>93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customHeight="1" x14ac:dyDescent="0.25">
      <c r="A349" s="60" t="s">
        <v>553</v>
      </c>
      <c r="B349" s="60" t="s">
        <v>554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110</v>
      </c>
      <c r="L349" s="35" t="s">
        <v>45</v>
      </c>
      <c r="M349" s="36" t="s">
        <v>98</v>
      </c>
      <c r="N349" s="36"/>
      <c r="O349" s="35">
        <v>180</v>
      </c>
      <c r="P349" s="817" t="s">
        <v>555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556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557</v>
      </c>
      <c r="B350" s="60" t="s">
        <v>558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110</v>
      </c>
      <c r="L350" s="35" t="s">
        <v>45</v>
      </c>
      <c r="M350" s="36" t="s">
        <v>98</v>
      </c>
      <c r="N350" s="36"/>
      <c r="O350" s="35">
        <v>180</v>
      </c>
      <c r="P350" s="818" t="s">
        <v>559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560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561</v>
      </c>
      <c r="B351" s="60" t="s">
        <v>562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98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563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564</v>
      </c>
      <c r="B352" s="60" t="s">
        <v>565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98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25</v>
      </c>
      <c r="Y352" s="53">
        <f>IFERROR(IF(X352="",0,CEILING((X352/$H352),1)*$H352),"")</f>
        <v>25.5</v>
      </c>
      <c r="Z352" s="39">
        <f>IFERROR(IF(Y352=0,"",ROUNDUP(Y352/H352,0)*0.00651),"")</f>
        <v>6.5100000000000005E-2</v>
      </c>
      <c r="AA352" s="65" t="s">
        <v>45</v>
      </c>
      <c r="AB352" s="66" t="s">
        <v>45</v>
      </c>
      <c r="AC352" s="413" t="s">
        <v>560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28.235294117647062</v>
      </c>
      <c r="BN352" s="75">
        <f>IFERROR(Y352*I352/H352,"0")</f>
        <v>28.8</v>
      </c>
      <c r="BO352" s="75">
        <f>IFERROR(1/J352*(X352/H352),"0")</f>
        <v>5.3867700926524466E-2</v>
      </c>
      <c r="BP352" s="75">
        <f>IFERROR(1/J352*(Y352/H352),"0")</f>
        <v>5.4945054945054951E-2</v>
      </c>
    </row>
    <row r="353" spans="1:68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9.8039215686274517</v>
      </c>
      <c r="Y353" s="41">
        <f>IFERROR(Y349/H349,"0")+IFERROR(Y350/H350,"0")+IFERROR(Y351/H351,"0")+IFERROR(Y352/H352,"0")</f>
        <v>10</v>
      </c>
      <c r="Z353" s="41">
        <f>IFERROR(IF(Z349="",0,Z349),"0")+IFERROR(IF(Z350="",0,Z350),"0")+IFERROR(IF(Z351="",0,Z351),"0")+IFERROR(IF(Z352="",0,Z352),"0")</f>
        <v>6.5100000000000005E-2</v>
      </c>
      <c r="AA353" s="64"/>
      <c r="AB353" s="64"/>
      <c r="AC353" s="64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25</v>
      </c>
      <c r="Y354" s="41">
        <f>IFERROR(SUM(Y349:Y352),"0")</f>
        <v>25.5</v>
      </c>
      <c r="Z354" s="40"/>
      <c r="AA354" s="64"/>
      <c r="AB354" s="64"/>
      <c r="AC354" s="64"/>
    </row>
    <row r="355" spans="1:68" ht="14.25" customHeight="1" x14ac:dyDescent="0.25">
      <c r="A355" s="672" t="s">
        <v>566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customHeight="1" x14ac:dyDescent="0.25">
      <c r="A356" s="60" t="s">
        <v>567</v>
      </c>
      <c r="B356" s="60" t="s">
        <v>568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570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569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571</v>
      </c>
      <c r="B357" s="60" t="s">
        <v>572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570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569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573</v>
      </c>
      <c r="B358" s="60" t="s">
        <v>574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570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569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4" t="s">
        <v>575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customHeight="1" x14ac:dyDescent="0.25">
      <c r="A362" s="672" t="s">
        <v>155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customHeight="1" x14ac:dyDescent="0.25">
      <c r="A363" s="60" t="s">
        <v>576</v>
      </c>
      <c r="B363" s="60" t="s">
        <v>577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578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579</v>
      </c>
      <c r="B367" s="60" t="s">
        <v>580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106</v>
      </c>
      <c r="L367" s="35" t="s">
        <v>45</v>
      </c>
      <c r="M367" s="36" t="s">
        <v>141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581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582</v>
      </c>
      <c r="B368" s="60" t="s">
        <v>583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109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105</v>
      </c>
      <c r="Y368" s="53">
        <f>IFERROR(IF(X368="",0,CEILING((X368/$H368),1)*$H368),"")</f>
        <v>105</v>
      </c>
      <c r="Z368" s="39">
        <f>IFERROR(IF(Y368=0,"",ROUNDUP(Y368/H368,0)*0.00651),"")</f>
        <v>0.32550000000000001</v>
      </c>
      <c r="AA368" s="65" t="s">
        <v>45</v>
      </c>
      <c r="AB368" s="66" t="s">
        <v>45</v>
      </c>
      <c r="AC368" s="425" t="s">
        <v>584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117.59999999999998</v>
      </c>
      <c r="BN368" s="75">
        <f>IFERROR(Y368*I368/H368,"0")</f>
        <v>117.59999999999998</v>
      </c>
      <c r="BO368" s="75">
        <f>IFERROR(1/J368*(X368/H368),"0")</f>
        <v>0.27472527472527475</v>
      </c>
      <c r="BP368" s="75">
        <f>IFERROR(1/J368*(Y368/H368),"0")</f>
        <v>0.27472527472527475</v>
      </c>
    </row>
    <row r="369" spans="1:68" ht="27" customHeight="1" x14ac:dyDescent="0.25">
      <c r="A369" s="60" t="s">
        <v>585</v>
      </c>
      <c r="B369" s="60" t="s">
        <v>586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141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105</v>
      </c>
      <c r="Y369" s="53">
        <f>IFERROR(IF(X369="",0,CEILING((X369/$H369),1)*$H369),"")</f>
        <v>105</v>
      </c>
      <c r="Z369" s="39">
        <f>IFERROR(IF(Y369=0,"",ROUNDUP(Y369/H369,0)*0.00651),"")</f>
        <v>0.32550000000000001</v>
      </c>
      <c r="AA369" s="65" t="s">
        <v>45</v>
      </c>
      <c r="AB369" s="66" t="s">
        <v>45</v>
      </c>
      <c r="AC369" s="427" t="s">
        <v>587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116.99999999999999</v>
      </c>
      <c r="BN369" s="75">
        <f>IFERROR(Y369*I369/H369,"0")</f>
        <v>116.99999999999999</v>
      </c>
      <c r="BO369" s="75">
        <f>IFERROR(1/J369*(X369/H369),"0")</f>
        <v>0.27472527472527475</v>
      </c>
      <c r="BP369" s="75">
        <f>IFERROR(1/J369*(Y369/H369),"0")</f>
        <v>0.27472527472527475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100</v>
      </c>
      <c r="Y370" s="41">
        <f>IFERROR(Y367/H367,"0")+IFERROR(Y368/H368,"0")+IFERROR(Y369/H369,"0")</f>
        <v>100</v>
      </c>
      <c r="Z370" s="41">
        <f>IFERROR(IF(Z367="",0,Z367),"0")+IFERROR(IF(Z368="",0,Z368),"0")+IFERROR(IF(Z369="",0,Z369),"0")</f>
        <v>0.65100000000000002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210</v>
      </c>
      <c r="Y371" s="41">
        <f>IFERROR(SUM(Y367:Y369),"0")</f>
        <v>210</v>
      </c>
      <c r="Z371" s="40"/>
      <c r="AA371" s="64"/>
      <c r="AB371" s="64"/>
      <c r="AC371" s="64"/>
    </row>
    <row r="372" spans="1:68" ht="27.75" customHeight="1" x14ac:dyDescent="0.2">
      <c r="A372" s="718" t="s">
        <v>588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customHeight="1" x14ac:dyDescent="0.25">
      <c r="A373" s="694" t="s">
        <v>589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customHeight="1" x14ac:dyDescent="0.25">
      <c r="A374" s="672" t="s">
        <v>101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27" customHeight="1" x14ac:dyDescent="0.25">
      <c r="A375" s="60" t="s">
        <v>590</v>
      </c>
      <c r="B375" s="60" t="s">
        <v>591</v>
      </c>
      <c r="C375" s="34">
        <v>4301011946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106</v>
      </c>
      <c r="L375" s="35" t="s">
        <v>45</v>
      </c>
      <c r="M375" s="36" t="s">
        <v>398</v>
      </c>
      <c r="N375" s="36"/>
      <c r="O375" s="35">
        <v>60</v>
      </c>
      <c r="P375" s="80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1720</v>
      </c>
      <c r="Y375" s="53">
        <f t="shared" ref="Y375:Y384" si="52">IFERROR(IF(X375="",0,CEILING((X375/$H375),1)*$H375),"")</f>
        <v>1725</v>
      </c>
      <c r="Z375" s="39">
        <f>IFERROR(IF(Y375=0,"",ROUNDUP(Y375/H375,0)*0.02039),"")</f>
        <v>2.3448499999999997</v>
      </c>
      <c r="AA375" s="65" t="s">
        <v>45</v>
      </c>
      <c r="AB375" s="66" t="s">
        <v>45</v>
      </c>
      <c r="AC375" s="429" t="s">
        <v>592</v>
      </c>
      <c r="AG375" s="75"/>
      <c r="AJ375" s="79" t="s">
        <v>45</v>
      </c>
      <c r="AK375" s="79">
        <v>0</v>
      </c>
      <c r="BB375" s="430" t="s">
        <v>66</v>
      </c>
      <c r="BM375" s="75">
        <f t="shared" ref="BM375:BM384" si="53">IFERROR(X375*I375/H375,"0")</f>
        <v>1775.0400000000002</v>
      </c>
      <c r="BN375" s="75">
        <f t="shared" ref="BN375:BN384" si="54">IFERROR(Y375*I375/H375,"0")</f>
        <v>1780.2</v>
      </c>
      <c r="BO375" s="75">
        <f t="shared" ref="BO375:BO384" si="55">IFERROR(1/J375*(X375/H375),"0")</f>
        <v>2.3888888888888888</v>
      </c>
      <c r="BP375" s="75">
        <f t="shared" ref="BP375:BP384" si="56">IFERROR(1/J375*(Y375/H375),"0")</f>
        <v>2.395833333333333</v>
      </c>
    </row>
    <row r="376" spans="1:68" ht="37.5" customHeight="1" x14ac:dyDescent="0.25">
      <c r="A376" s="60" t="s">
        <v>590</v>
      </c>
      <c r="B376" s="60" t="s">
        <v>593</v>
      </c>
      <c r="C376" s="34">
        <v>4301011869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106</v>
      </c>
      <c r="L376" s="35" t="s">
        <v>128</v>
      </c>
      <c r="M376" s="36" t="s">
        <v>82</v>
      </c>
      <c r="N376" s="36"/>
      <c r="O376" s="35">
        <v>60</v>
      </c>
      <c r="P376" s="8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2"/>
        <v>0</v>
      </c>
      <c r="Z376" s="39" t="str">
        <f>IFERROR(IF(Y376=0,"",ROUNDUP(Y376/H376,0)*0.02175),"")</f>
        <v/>
      </c>
      <c r="AA376" s="65" t="s">
        <v>45</v>
      </c>
      <c r="AB376" s="66" t="s">
        <v>45</v>
      </c>
      <c r="AC376" s="431" t="s">
        <v>594</v>
      </c>
      <c r="AG376" s="75"/>
      <c r="AJ376" s="79" t="s">
        <v>129</v>
      </c>
      <c r="AK376" s="79">
        <v>720</v>
      </c>
      <c r="BB376" s="432" t="s">
        <v>66</v>
      </c>
      <c r="BM376" s="75">
        <f t="shared" si="53"/>
        <v>0</v>
      </c>
      <c r="BN376" s="75">
        <f t="shared" si="54"/>
        <v>0</v>
      </c>
      <c r="BO376" s="75">
        <f t="shared" si="55"/>
        <v>0</v>
      </c>
      <c r="BP376" s="75">
        <f t="shared" si="56"/>
        <v>0</v>
      </c>
    </row>
    <row r="377" spans="1:68" ht="27" customHeight="1" x14ac:dyDescent="0.25">
      <c r="A377" s="60" t="s">
        <v>595</v>
      </c>
      <c r="B377" s="60" t="s">
        <v>596</v>
      </c>
      <c r="C377" s="34">
        <v>4301011947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106</v>
      </c>
      <c r="L377" s="35" t="s">
        <v>45</v>
      </c>
      <c r="M377" s="36" t="s">
        <v>398</v>
      </c>
      <c r="N377" s="36"/>
      <c r="O377" s="35">
        <v>60</v>
      </c>
      <c r="P377" s="79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1000</v>
      </c>
      <c r="Y377" s="53">
        <f t="shared" si="52"/>
        <v>1005</v>
      </c>
      <c r="Z377" s="39">
        <f>IFERROR(IF(Y377=0,"",ROUNDUP(Y377/H377,0)*0.02039),"")</f>
        <v>1.3661299999999998</v>
      </c>
      <c r="AA377" s="65" t="s">
        <v>45</v>
      </c>
      <c r="AB377" s="66" t="s">
        <v>45</v>
      </c>
      <c r="AC377" s="433" t="s">
        <v>592</v>
      </c>
      <c r="AG377" s="75"/>
      <c r="AJ377" s="79" t="s">
        <v>45</v>
      </c>
      <c r="AK377" s="79">
        <v>0</v>
      </c>
      <c r="BB377" s="434" t="s">
        <v>66</v>
      </c>
      <c r="BM377" s="75">
        <f t="shared" si="53"/>
        <v>1032</v>
      </c>
      <c r="BN377" s="75">
        <f t="shared" si="54"/>
        <v>1037.1600000000001</v>
      </c>
      <c r="BO377" s="75">
        <f t="shared" si="55"/>
        <v>1.3888888888888888</v>
      </c>
      <c r="BP377" s="75">
        <f t="shared" si="56"/>
        <v>1.3958333333333333</v>
      </c>
    </row>
    <row r="378" spans="1:68" ht="27" customHeight="1" x14ac:dyDescent="0.25">
      <c r="A378" s="60" t="s">
        <v>595</v>
      </c>
      <c r="B378" s="60" t="s">
        <v>597</v>
      </c>
      <c r="C378" s="34">
        <v>4301011870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106</v>
      </c>
      <c r="L378" s="35" t="s">
        <v>128</v>
      </c>
      <c r="M378" s="36" t="s">
        <v>82</v>
      </c>
      <c r="N378" s="36"/>
      <c r="O378" s="35">
        <v>60</v>
      </c>
      <c r="P378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2"/>
        <v>0</v>
      </c>
      <c r="Z378" s="39" t="str">
        <f>IFERROR(IF(Y378=0,"",ROUNDUP(Y378/H378,0)*0.02175),"")</f>
        <v/>
      </c>
      <c r="AA378" s="65" t="s">
        <v>45</v>
      </c>
      <c r="AB378" s="66" t="s">
        <v>45</v>
      </c>
      <c r="AC378" s="435" t="s">
        <v>598</v>
      </c>
      <c r="AG378" s="75"/>
      <c r="AJ378" s="79" t="s">
        <v>129</v>
      </c>
      <c r="AK378" s="79">
        <v>720</v>
      </c>
      <c r="BB378" s="436" t="s">
        <v>66</v>
      </c>
      <c r="BM378" s="75">
        <f t="shared" si="53"/>
        <v>0</v>
      </c>
      <c r="BN378" s="75">
        <f t="shared" si="54"/>
        <v>0</v>
      </c>
      <c r="BO378" s="75">
        <f t="shared" si="55"/>
        <v>0</v>
      </c>
      <c r="BP378" s="75">
        <f t="shared" si="56"/>
        <v>0</v>
      </c>
    </row>
    <row r="379" spans="1:68" ht="27" customHeight="1" x14ac:dyDescent="0.25">
      <c r="A379" s="60" t="s">
        <v>599</v>
      </c>
      <c r="B379" s="60" t="s">
        <v>600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106</v>
      </c>
      <c r="L379" s="35" t="s">
        <v>45</v>
      </c>
      <c r="M379" s="36" t="s">
        <v>141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1000</v>
      </c>
      <c r="Y379" s="53">
        <f t="shared" si="52"/>
        <v>1005</v>
      </c>
      <c r="Z379" s="39">
        <f>IFERROR(IF(Y379=0,"",ROUNDUP(Y379/H379,0)*0.02175),"")</f>
        <v>1.4572499999999999</v>
      </c>
      <c r="AA379" s="65" t="s">
        <v>45</v>
      </c>
      <c r="AB379" s="66" t="s">
        <v>45</v>
      </c>
      <c r="AC379" s="437" t="s">
        <v>601</v>
      </c>
      <c r="AG379" s="75"/>
      <c r="AJ379" s="79" t="s">
        <v>45</v>
      </c>
      <c r="AK379" s="79">
        <v>0</v>
      </c>
      <c r="BB379" s="438" t="s">
        <v>66</v>
      </c>
      <c r="BM379" s="75">
        <f t="shared" si="53"/>
        <v>1032</v>
      </c>
      <c r="BN379" s="75">
        <f t="shared" si="54"/>
        <v>1037.1600000000001</v>
      </c>
      <c r="BO379" s="75">
        <f t="shared" si="55"/>
        <v>1.3888888888888888</v>
      </c>
      <c r="BP379" s="75">
        <f t="shared" si="56"/>
        <v>1.3958333333333333</v>
      </c>
    </row>
    <row r="380" spans="1:68" ht="27" customHeight="1" x14ac:dyDescent="0.25">
      <c r="A380" s="60" t="s">
        <v>602</v>
      </c>
      <c r="B380" s="60" t="s">
        <v>603</v>
      </c>
      <c r="C380" s="34">
        <v>4301011943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106</v>
      </c>
      <c r="L380" s="35" t="s">
        <v>45</v>
      </c>
      <c r="M380" s="36" t="s">
        <v>398</v>
      </c>
      <c r="N380" s="36"/>
      <c r="O380" s="35">
        <v>60</v>
      </c>
      <c r="P380" s="80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2"/>
        <v>0</v>
      </c>
      <c r="Z380" s="39" t="str">
        <f>IFERROR(IF(Y380=0,"",ROUNDUP(Y380/H380,0)*0.02039),"")</f>
        <v/>
      </c>
      <c r="AA380" s="65" t="s">
        <v>45</v>
      </c>
      <c r="AB380" s="66" t="s">
        <v>45</v>
      </c>
      <c r="AC380" s="439" t="s">
        <v>592</v>
      </c>
      <c r="AG380" s="75"/>
      <c r="AJ380" s="79" t="s">
        <v>45</v>
      </c>
      <c r="AK380" s="79">
        <v>0</v>
      </c>
      <c r="BB380" s="440" t="s">
        <v>66</v>
      </c>
      <c r="BM380" s="75">
        <f t="shared" si="53"/>
        <v>0</v>
      </c>
      <c r="BN380" s="75">
        <f t="shared" si="54"/>
        <v>0</v>
      </c>
      <c r="BO380" s="75">
        <f t="shared" si="55"/>
        <v>0</v>
      </c>
      <c r="BP380" s="75">
        <f t="shared" si="56"/>
        <v>0</v>
      </c>
    </row>
    <row r="381" spans="1:68" ht="37.5" customHeight="1" x14ac:dyDescent="0.25">
      <c r="A381" s="60" t="s">
        <v>602</v>
      </c>
      <c r="B381" s="60" t="s">
        <v>604</v>
      </c>
      <c r="C381" s="34">
        <v>4301011867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106</v>
      </c>
      <c r="L381" s="35" t="s">
        <v>128</v>
      </c>
      <c r="M381" s="36" t="s">
        <v>82</v>
      </c>
      <c r="N381" s="36"/>
      <c r="O381" s="35">
        <v>60</v>
      </c>
      <c r="P381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2"/>
        <v>0</v>
      </c>
      <c r="Z381" s="39" t="str">
        <f>IFERROR(IF(Y381=0,"",ROUNDUP(Y381/H381,0)*0.02175),"")</f>
        <v/>
      </c>
      <c r="AA381" s="65" t="s">
        <v>45</v>
      </c>
      <c r="AB381" s="66" t="s">
        <v>45</v>
      </c>
      <c r="AC381" s="441" t="s">
        <v>605</v>
      </c>
      <c r="AG381" s="75"/>
      <c r="AJ381" s="79" t="s">
        <v>129</v>
      </c>
      <c r="AK381" s="79">
        <v>720</v>
      </c>
      <c r="BB381" s="442" t="s">
        <v>66</v>
      </c>
      <c r="BM381" s="75">
        <f t="shared" si="53"/>
        <v>0</v>
      </c>
      <c r="BN381" s="75">
        <f t="shared" si="54"/>
        <v>0</v>
      </c>
      <c r="BO381" s="75">
        <f t="shared" si="55"/>
        <v>0</v>
      </c>
      <c r="BP381" s="75">
        <f t="shared" si="56"/>
        <v>0</v>
      </c>
    </row>
    <row r="382" spans="1:68" ht="27" customHeight="1" x14ac:dyDescent="0.25">
      <c r="A382" s="60" t="s">
        <v>606</v>
      </c>
      <c r="B382" s="60" t="s">
        <v>607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110</v>
      </c>
      <c r="L382" s="35" t="s">
        <v>45</v>
      </c>
      <c r="M382" s="36" t="s">
        <v>105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2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608</v>
      </c>
      <c r="AG382" s="75"/>
      <c r="AJ382" s="79" t="s">
        <v>45</v>
      </c>
      <c r="AK382" s="79">
        <v>0</v>
      </c>
      <c r="BB382" s="444" t="s">
        <v>66</v>
      </c>
      <c r="BM382" s="75">
        <f t="shared" si="53"/>
        <v>0</v>
      </c>
      <c r="BN382" s="75">
        <f t="shared" si="54"/>
        <v>0</v>
      </c>
      <c r="BO382" s="75">
        <f t="shared" si="55"/>
        <v>0</v>
      </c>
      <c r="BP382" s="75">
        <f t="shared" si="56"/>
        <v>0</v>
      </c>
    </row>
    <row r="383" spans="1:68" ht="27" customHeight="1" x14ac:dyDescent="0.25">
      <c r="A383" s="60" t="s">
        <v>609</v>
      </c>
      <c r="B383" s="60" t="s">
        <v>610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110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2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3"/>
        <v>0</v>
      </c>
      <c r="BN383" s="75">
        <f t="shared" si="54"/>
        <v>0</v>
      </c>
      <c r="BO383" s="75">
        <f t="shared" si="55"/>
        <v>0</v>
      </c>
      <c r="BP383" s="75">
        <f t="shared" si="56"/>
        <v>0</v>
      </c>
    </row>
    <row r="384" spans="1:68" ht="37.5" customHeight="1" x14ac:dyDescent="0.25">
      <c r="A384" s="60" t="s">
        <v>611</v>
      </c>
      <c r="B384" s="60" t="s">
        <v>612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110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2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3"/>
        <v>0</v>
      </c>
      <c r="BN384" s="75">
        <f t="shared" si="54"/>
        <v>0</v>
      </c>
      <c r="BO384" s="75">
        <f t="shared" si="55"/>
        <v>0</v>
      </c>
      <c r="BP384" s="75">
        <f t="shared" si="56"/>
        <v>0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248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249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5.1682299999999994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3720</v>
      </c>
      <c r="Y386" s="41">
        <f>IFERROR(SUM(Y375:Y384),"0")</f>
        <v>3735</v>
      </c>
      <c r="Z386" s="40"/>
      <c r="AA386" s="64"/>
      <c r="AB386" s="64"/>
      <c r="AC386" s="64"/>
    </row>
    <row r="387" spans="1:68" ht="14.25" customHeight="1" x14ac:dyDescent="0.25">
      <c r="A387" s="672" t="s">
        <v>144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613</v>
      </c>
      <c r="B388" s="60" t="s">
        <v>614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106</v>
      </c>
      <c r="L388" s="35" t="s">
        <v>128</v>
      </c>
      <c r="M388" s="36" t="s">
        <v>105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615</v>
      </c>
      <c r="AG388" s="75"/>
      <c r="AJ388" s="79" t="s">
        <v>129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616</v>
      </c>
      <c r="B389" s="60" t="s">
        <v>617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110</v>
      </c>
      <c r="L389" s="35" t="s">
        <v>45</v>
      </c>
      <c r="M389" s="36" t="s">
        <v>105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615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0</v>
      </c>
      <c r="Y390" s="41">
        <f>IFERROR(Y388/H388,"0")+IFERROR(Y389/H389,"0")</f>
        <v>0</v>
      </c>
      <c r="Z390" s="41">
        <f>IFERROR(IF(Z388="",0,Z388),"0")+IFERROR(IF(Z389="",0,Z389),"0")</f>
        <v>0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0</v>
      </c>
      <c r="Y391" s="41">
        <f>IFERROR(SUM(Y388:Y389),"0")</f>
        <v>0</v>
      </c>
      <c r="Z391" s="40"/>
      <c r="AA391" s="64"/>
      <c r="AB391" s="64"/>
      <c r="AC391" s="64"/>
    </row>
    <row r="392" spans="1:68" ht="14.25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618</v>
      </c>
      <c r="B393" s="60" t="s">
        <v>619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106</v>
      </c>
      <c r="L393" s="35" t="s">
        <v>45</v>
      </c>
      <c r="M393" s="36" t="s">
        <v>109</v>
      </c>
      <c r="N393" s="36"/>
      <c r="O393" s="35">
        <v>40</v>
      </c>
      <c r="P393" s="796" t="s">
        <v>620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300</v>
      </c>
      <c r="Y393" s="53">
        <f>IFERROR(IF(X393="",0,CEILING((X393/$H393),1)*$H393),"")</f>
        <v>306</v>
      </c>
      <c r="Z393" s="39">
        <f>IFERROR(IF(Y393=0,"",ROUNDUP(Y393/H393,0)*0.01898),"")</f>
        <v>0.64532</v>
      </c>
      <c r="AA393" s="65" t="s">
        <v>45</v>
      </c>
      <c r="AB393" s="66" t="s">
        <v>45</v>
      </c>
      <c r="AC393" s="453" t="s">
        <v>621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317.5</v>
      </c>
      <c r="BN393" s="75">
        <f>IFERROR(Y393*I393/H393,"0")</f>
        <v>323.85000000000002</v>
      </c>
      <c r="BO393" s="75">
        <f>IFERROR(1/J393*(X393/H393),"0")</f>
        <v>0.52083333333333337</v>
      </c>
      <c r="BP393" s="75">
        <f>IFERROR(1/J393*(Y393/H393),"0")</f>
        <v>0.53125</v>
      </c>
    </row>
    <row r="394" spans="1:68" ht="27" customHeight="1" x14ac:dyDescent="0.25">
      <c r="A394" s="60" t="s">
        <v>622</v>
      </c>
      <c r="B394" s="60" t="s">
        <v>623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106</v>
      </c>
      <c r="L394" s="35" t="s">
        <v>45</v>
      </c>
      <c r="M394" s="36" t="s">
        <v>109</v>
      </c>
      <c r="N394" s="36"/>
      <c r="O394" s="35">
        <v>40</v>
      </c>
      <c r="P394" s="797" t="s">
        <v>624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625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33.333333333333336</v>
      </c>
      <c r="Y395" s="41">
        <f>IFERROR(Y393/H393,"0")+IFERROR(Y394/H394,"0")</f>
        <v>34</v>
      </c>
      <c r="Z395" s="41">
        <f>IFERROR(IF(Z393="",0,Z393),"0")+IFERROR(IF(Z394="",0,Z394),"0")</f>
        <v>0.64532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300</v>
      </c>
      <c r="Y396" s="41">
        <f>IFERROR(SUM(Y393:Y394),"0")</f>
        <v>306</v>
      </c>
      <c r="Z396" s="40"/>
      <c r="AA396" s="64"/>
      <c r="AB396" s="64"/>
      <c r="AC396" s="64"/>
    </row>
    <row r="397" spans="1:68" ht="14.25" customHeight="1" x14ac:dyDescent="0.25">
      <c r="A397" s="672" t="s">
        <v>181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626</v>
      </c>
      <c r="B398" s="60" t="s">
        <v>627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106</v>
      </c>
      <c r="L398" s="35" t="s">
        <v>45</v>
      </c>
      <c r="M398" s="36" t="s">
        <v>109</v>
      </c>
      <c r="N398" s="36"/>
      <c r="O398" s="35">
        <v>30</v>
      </c>
      <c r="P398" s="788" t="s">
        <v>628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629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694" t="s">
        <v>630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customHeight="1" x14ac:dyDescent="0.25">
      <c r="A402" s="672" t="s">
        <v>101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customHeight="1" x14ac:dyDescent="0.25">
      <c r="A403" s="60" t="s">
        <v>631</v>
      </c>
      <c r="B403" s="60" t="s">
        <v>632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106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 t="shared" ref="Y403:Y408" si="57"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633</v>
      </c>
      <c r="AG403" s="75"/>
      <c r="AJ403" s="79" t="s">
        <v>45</v>
      </c>
      <c r="AK403" s="79">
        <v>0</v>
      </c>
      <c r="BB403" s="460" t="s">
        <v>66</v>
      </c>
      <c r="BM403" s="75">
        <f t="shared" ref="BM403:BM408" si="58">IFERROR(X403*I403/H403,"0")</f>
        <v>0</v>
      </c>
      <c r="BN403" s="75">
        <f t="shared" ref="BN403:BN408" si="59">IFERROR(Y403*I403/H403,"0")</f>
        <v>0</v>
      </c>
      <c r="BO403" s="75">
        <f t="shared" ref="BO403:BO408" si="60">IFERROR(1/J403*(X403/H403),"0")</f>
        <v>0</v>
      </c>
      <c r="BP403" s="75">
        <f t="shared" ref="BP403:BP408" si="61">IFERROR(1/J403*(Y403/H403),"0")</f>
        <v>0</v>
      </c>
    </row>
    <row r="404" spans="1:68" ht="37.5" customHeight="1" x14ac:dyDescent="0.25">
      <c r="A404" s="60" t="s">
        <v>631</v>
      </c>
      <c r="B404" s="60" t="s">
        <v>634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106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635</v>
      </c>
      <c r="AG404" s="75"/>
      <c r="AJ404" s="79" t="s">
        <v>45</v>
      </c>
      <c r="AK404" s="79">
        <v>0</v>
      </c>
      <c r="BB404" s="462" t="s">
        <v>66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37.5" customHeight="1" x14ac:dyDescent="0.25">
      <c r="A405" s="60" t="s">
        <v>636</v>
      </c>
      <c r="B405" s="60" t="s">
        <v>637</v>
      </c>
      <c r="C405" s="34">
        <v>4301011312</v>
      </c>
      <c r="D405" s="673">
        <v>4607091384192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106</v>
      </c>
      <c r="L405" s="35" t="s">
        <v>45</v>
      </c>
      <c r="M405" s="36" t="s">
        <v>105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638</v>
      </c>
      <c r="AG405" s="75"/>
      <c r="AJ405" s="79" t="s">
        <v>45</v>
      </c>
      <c r="AK405" s="79">
        <v>0</v>
      </c>
      <c r="BB405" s="464" t="s">
        <v>66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37.5" customHeight="1" x14ac:dyDescent="0.25">
      <c r="A406" s="60" t="s">
        <v>639</v>
      </c>
      <c r="B406" s="60" t="s">
        <v>640</v>
      </c>
      <c r="C406" s="34">
        <v>4301011874</v>
      </c>
      <c r="D406" s="673">
        <v>4680115884892</v>
      </c>
      <c r="E406" s="673"/>
      <c r="F406" s="59">
        <v>1.8</v>
      </c>
      <c r="G406" s="35">
        <v>6</v>
      </c>
      <c r="H406" s="59">
        <v>10.8</v>
      </c>
      <c r="I406" s="59">
        <v>11.234999999999999</v>
      </c>
      <c r="J406" s="35">
        <v>64</v>
      </c>
      <c r="K406" s="35" t="s">
        <v>106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641</v>
      </c>
      <c r="AG406" s="75"/>
      <c r="AJ406" s="79" t="s">
        <v>45</v>
      </c>
      <c r="AK406" s="79">
        <v>0</v>
      </c>
      <c r="BB406" s="466" t="s">
        <v>66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4301011875</v>
      </c>
      <c r="D407" s="673">
        <v>4680115884885</v>
      </c>
      <c r="E407" s="673"/>
      <c r="F407" s="59">
        <v>0.8</v>
      </c>
      <c r="G407" s="35">
        <v>15</v>
      </c>
      <c r="H407" s="59">
        <v>12</v>
      </c>
      <c r="I407" s="59">
        <v>12.435</v>
      </c>
      <c r="J407" s="35">
        <v>64</v>
      </c>
      <c r="K407" s="35" t="s">
        <v>106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IFERROR(IF(Y407=0,"",ROUNDUP(Y407/H407,0)*0.01898),"")</f>
        <v/>
      </c>
      <c r="AA407" s="65" t="s">
        <v>45</v>
      </c>
      <c r="AB407" s="66" t="s">
        <v>45</v>
      </c>
      <c r="AC407" s="467" t="s">
        <v>641</v>
      </c>
      <c r="AG407" s="75"/>
      <c r="AJ407" s="79" t="s">
        <v>45</v>
      </c>
      <c r="AK407" s="79">
        <v>0</v>
      </c>
      <c r="BB407" s="468" t="s">
        <v>66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37.5" customHeight="1" x14ac:dyDescent="0.25">
      <c r="A408" s="60" t="s">
        <v>644</v>
      </c>
      <c r="B408" s="60" t="s">
        <v>645</v>
      </c>
      <c r="C408" s="34">
        <v>4301011871</v>
      </c>
      <c r="D408" s="673">
        <v>4680115884908</v>
      </c>
      <c r="E408" s="673"/>
      <c r="F408" s="59">
        <v>0.4</v>
      </c>
      <c r="G408" s="35">
        <v>10</v>
      </c>
      <c r="H408" s="59">
        <v>4</v>
      </c>
      <c r="I408" s="59">
        <v>4.21</v>
      </c>
      <c r="J408" s="35">
        <v>132</v>
      </c>
      <c r="K408" s="35" t="s">
        <v>110</v>
      </c>
      <c r="L408" s="35" t="s">
        <v>45</v>
      </c>
      <c r="M408" s="36" t="s">
        <v>82</v>
      </c>
      <c r="N408" s="36"/>
      <c r="O408" s="35">
        <v>60</v>
      </c>
      <c r="P408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5"/>
      <c r="R408" s="675"/>
      <c r="S408" s="675"/>
      <c r="T408" s="676"/>
      <c r="U408" s="37" t="s">
        <v>45</v>
      </c>
      <c r="V408" s="37" t="s">
        <v>45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45</v>
      </c>
      <c r="AB408" s="66" t="s">
        <v>45</v>
      </c>
      <c r="AC408" s="469" t="s">
        <v>641</v>
      </c>
      <c r="AG408" s="75"/>
      <c r="AJ408" s="79" t="s">
        <v>45</v>
      </c>
      <c r="AK408" s="79">
        <v>0</v>
      </c>
      <c r="BB408" s="470" t="s">
        <v>66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39</v>
      </c>
      <c r="X409" s="41">
        <f>IFERROR(X403/H403,"0")+IFERROR(X404/H404,"0")+IFERROR(X405/H405,"0")+IFERROR(X406/H406,"0")+IFERROR(X407/H407,"0")+IFERROR(X408/H408,"0")</f>
        <v>0</v>
      </c>
      <c r="Y409" s="41">
        <f>IFERROR(Y403/H403,"0")+IFERROR(Y404/H404,"0")+IFERROR(Y405/H405,"0")+IFERROR(Y406/H406,"0")+IFERROR(Y407/H407,"0")+IFERROR(Y408/H408,"0")</f>
        <v>0</v>
      </c>
      <c r="Z409" s="41">
        <f>IFERROR(IF(Z403="",0,Z403),"0")+IFERROR(IF(Z404="",0,Z404),"0")+IFERROR(IF(Z405="",0,Z405),"0")+IFERROR(IF(Z406="",0,Z406),"0")+IFERROR(IF(Z407="",0,Z407),"0")+IFERROR(IF(Z408="",0,Z408),"0")</f>
        <v>0</v>
      </c>
      <c r="AA409" s="64"/>
      <c r="AB409" s="64"/>
      <c r="AC409" s="64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77" t="s">
        <v>40</v>
      </c>
      <c r="Q410" s="678"/>
      <c r="R410" s="678"/>
      <c r="S410" s="678"/>
      <c r="T410" s="678"/>
      <c r="U410" s="678"/>
      <c r="V410" s="679"/>
      <c r="W410" s="40" t="s">
        <v>0</v>
      </c>
      <c r="X410" s="41">
        <f>IFERROR(SUM(X403:X408),"0")</f>
        <v>0</v>
      </c>
      <c r="Y410" s="41">
        <f>IFERROR(SUM(Y403:Y408),"0")</f>
        <v>0</v>
      </c>
      <c r="Z410" s="40"/>
      <c r="AA410" s="64"/>
      <c r="AB410" s="64"/>
      <c r="AC410" s="64"/>
    </row>
    <row r="411" spans="1:68" ht="14.25" customHeight="1" x14ac:dyDescent="0.25">
      <c r="A411" s="672" t="s">
        <v>155</v>
      </c>
      <c r="B411" s="672"/>
      <c r="C411" s="672"/>
      <c r="D411" s="672"/>
      <c r="E411" s="672"/>
      <c r="F411" s="672"/>
      <c r="G411" s="672"/>
      <c r="H411" s="672"/>
      <c r="I411" s="672"/>
      <c r="J411" s="672"/>
      <c r="K411" s="672"/>
      <c r="L411" s="672"/>
      <c r="M411" s="672"/>
      <c r="N411" s="672"/>
      <c r="O411" s="672"/>
      <c r="P411" s="672"/>
      <c r="Q411" s="672"/>
      <c r="R411" s="672"/>
      <c r="S411" s="672"/>
      <c r="T411" s="672"/>
      <c r="U411" s="672"/>
      <c r="V411" s="672"/>
      <c r="W411" s="672"/>
      <c r="X411" s="672"/>
      <c r="Y411" s="672"/>
      <c r="Z411" s="672"/>
      <c r="AA411" s="63"/>
      <c r="AB411" s="63"/>
      <c r="AC411" s="63"/>
    </row>
    <row r="412" spans="1:68" ht="27" customHeight="1" x14ac:dyDescent="0.25">
      <c r="A412" s="60" t="s">
        <v>646</v>
      </c>
      <c r="B412" s="60" t="s">
        <v>647</v>
      </c>
      <c r="C412" s="34">
        <v>4301031303</v>
      </c>
      <c r="D412" s="673">
        <v>4607091384802</v>
      </c>
      <c r="E412" s="673"/>
      <c r="F412" s="59">
        <v>0.73</v>
      </c>
      <c r="G412" s="35">
        <v>6</v>
      </c>
      <c r="H412" s="59">
        <v>4.38</v>
      </c>
      <c r="I412" s="59">
        <v>4.6500000000000004</v>
      </c>
      <c r="J412" s="35">
        <v>132</v>
      </c>
      <c r="K412" s="35" t="s">
        <v>110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45</v>
      </c>
      <c r="AB412" s="66" t="s">
        <v>45</v>
      </c>
      <c r="AC412" s="471" t="s">
        <v>648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649</v>
      </c>
      <c r="B413" s="60" t="s">
        <v>650</v>
      </c>
      <c r="C413" s="34">
        <v>4301031304</v>
      </c>
      <c r="D413" s="673">
        <v>4607091384826</v>
      </c>
      <c r="E413" s="673"/>
      <c r="F413" s="59">
        <v>0.35</v>
      </c>
      <c r="G413" s="35">
        <v>8</v>
      </c>
      <c r="H413" s="59">
        <v>2.8</v>
      </c>
      <c r="I413" s="59">
        <v>2.98</v>
      </c>
      <c r="J413" s="35">
        <v>234</v>
      </c>
      <c r="K413" s="35" t="s">
        <v>159</v>
      </c>
      <c r="L413" s="35" t="s">
        <v>45</v>
      </c>
      <c r="M413" s="36" t="s">
        <v>82</v>
      </c>
      <c r="N413" s="36"/>
      <c r="O413" s="35">
        <v>35</v>
      </c>
      <c r="P413" s="78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5"/>
      <c r="R413" s="675"/>
      <c r="S413" s="675"/>
      <c r="T413" s="676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IFERROR(IF(Y413=0,"",ROUNDUP(Y413/H413,0)*0.00502),"")</f>
        <v/>
      </c>
      <c r="AA413" s="65" t="s">
        <v>45</v>
      </c>
      <c r="AB413" s="66" t="s">
        <v>45</v>
      </c>
      <c r="AC413" s="473" t="s">
        <v>648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77" t="s">
        <v>40</v>
      </c>
      <c r="Q415" s="678"/>
      <c r="R415" s="678"/>
      <c r="S415" s="678"/>
      <c r="T415" s="678"/>
      <c r="U415" s="678"/>
      <c r="V415" s="679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4.25" customHeight="1" x14ac:dyDescent="0.25">
      <c r="A416" s="672" t="s">
        <v>78</v>
      </c>
      <c r="B416" s="672"/>
      <c r="C416" s="672"/>
      <c r="D416" s="672"/>
      <c r="E416" s="672"/>
      <c r="F416" s="672"/>
      <c r="G416" s="672"/>
      <c r="H416" s="672"/>
      <c r="I416" s="672"/>
      <c r="J416" s="672"/>
      <c r="K416" s="672"/>
      <c r="L416" s="672"/>
      <c r="M416" s="672"/>
      <c r="N416" s="672"/>
      <c r="O416" s="672"/>
      <c r="P416" s="672"/>
      <c r="Q416" s="672"/>
      <c r="R416" s="672"/>
      <c r="S416" s="672"/>
      <c r="T416" s="672"/>
      <c r="U416" s="672"/>
      <c r="V416" s="672"/>
      <c r="W416" s="672"/>
      <c r="X416" s="672"/>
      <c r="Y416" s="672"/>
      <c r="Z416" s="672"/>
      <c r="AA416" s="63"/>
      <c r="AB416" s="63"/>
      <c r="AC416" s="63"/>
    </row>
    <row r="417" spans="1:68" ht="27" customHeight="1" x14ac:dyDescent="0.25">
      <c r="A417" s="60" t="s">
        <v>651</v>
      </c>
      <c r="B417" s="60" t="s">
        <v>652</v>
      </c>
      <c r="C417" s="34">
        <v>4301051899</v>
      </c>
      <c r="D417" s="673">
        <v>4607091384246</v>
      </c>
      <c r="E417" s="673"/>
      <c r="F417" s="59">
        <v>1.5</v>
      </c>
      <c r="G417" s="35">
        <v>6</v>
      </c>
      <c r="H417" s="59">
        <v>9</v>
      </c>
      <c r="I417" s="59">
        <v>9.5190000000000001</v>
      </c>
      <c r="J417" s="35">
        <v>64</v>
      </c>
      <c r="K417" s="35" t="s">
        <v>106</v>
      </c>
      <c r="L417" s="35" t="s">
        <v>45</v>
      </c>
      <c r="M417" s="36" t="s">
        <v>109</v>
      </c>
      <c r="N417" s="36"/>
      <c r="O417" s="35">
        <v>40</v>
      </c>
      <c r="P417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653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37.5" customHeight="1" x14ac:dyDescent="0.25">
      <c r="A418" s="60" t="s">
        <v>654</v>
      </c>
      <c r="B418" s="60" t="s">
        <v>655</v>
      </c>
      <c r="C418" s="34">
        <v>4301051901</v>
      </c>
      <c r="D418" s="673">
        <v>4680115881976</v>
      </c>
      <c r="E418" s="673"/>
      <c r="F418" s="59">
        <v>1.5</v>
      </c>
      <c r="G418" s="35">
        <v>6</v>
      </c>
      <c r="H418" s="59">
        <v>9</v>
      </c>
      <c r="I418" s="59">
        <v>9.4350000000000005</v>
      </c>
      <c r="J418" s="35">
        <v>64</v>
      </c>
      <c r="K418" s="35" t="s">
        <v>106</v>
      </c>
      <c r="L418" s="35" t="s">
        <v>45</v>
      </c>
      <c r="M418" s="36" t="s">
        <v>109</v>
      </c>
      <c r="N418" s="36"/>
      <c r="O418" s="35">
        <v>40</v>
      </c>
      <c r="P418" s="787" t="s">
        <v>656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45</v>
      </c>
      <c r="AB418" s="66" t="s">
        <v>45</v>
      </c>
      <c r="AC418" s="477" t="s">
        <v>657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658</v>
      </c>
      <c r="B419" s="60" t="s">
        <v>659</v>
      </c>
      <c r="C419" s="34">
        <v>4301051297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82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660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658</v>
      </c>
      <c r="B420" s="60" t="s">
        <v>661</v>
      </c>
      <c r="C420" s="34">
        <v>4301051660</v>
      </c>
      <c r="D420" s="673">
        <v>4607091384253</v>
      </c>
      <c r="E420" s="673"/>
      <c r="F420" s="59">
        <v>0.4</v>
      </c>
      <c r="G420" s="35">
        <v>6</v>
      </c>
      <c r="H420" s="59">
        <v>2.4</v>
      </c>
      <c r="I420" s="59">
        <v>2.6640000000000001</v>
      </c>
      <c r="J420" s="35">
        <v>182</v>
      </c>
      <c r="K420" s="35" t="s">
        <v>83</v>
      </c>
      <c r="L420" s="35" t="s">
        <v>45</v>
      </c>
      <c r="M420" s="36" t="s">
        <v>109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653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662</v>
      </c>
      <c r="B421" s="60" t="s">
        <v>663</v>
      </c>
      <c r="C421" s="34">
        <v>4301051444</v>
      </c>
      <c r="D421" s="673">
        <v>4680115881969</v>
      </c>
      <c r="E421" s="673"/>
      <c r="F421" s="59">
        <v>0.4</v>
      </c>
      <c r="G421" s="35">
        <v>6</v>
      </c>
      <c r="H421" s="59">
        <v>2.4</v>
      </c>
      <c r="I421" s="59">
        <v>2.58</v>
      </c>
      <c r="J421" s="35">
        <v>182</v>
      </c>
      <c r="K421" s="35" t="s">
        <v>83</v>
      </c>
      <c r="L421" s="35" t="s">
        <v>45</v>
      </c>
      <c r="M421" s="36" t="s">
        <v>82</v>
      </c>
      <c r="N421" s="36"/>
      <c r="O421" s="35">
        <v>40</v>
      </c>
      <c r="P421" s="78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5"/>
      <c r="R421" s="675"/>
      <c r="S421" s="675"/>
      <c r="T421" s="676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664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39</v>
      </c>
      <c r="X422" s="41">
        <f>IFERROR(X417/H417,"0")+IFERROR(X418/H418,"0")+IFERROR(X419/H419,"0")+IFERROR(X420/H420,"0")+IFERROR(X421/H421,"0")</f>
        <v>0</v>
      </c>
      <c r="Y422" s="41">
        <f>IFERROR(Y417/H417,"0")+IFERROR(Y418/H418,"0")+IFERROR(Y419/H419,"0")+IFERROR(Y420/H420,"0")+IFERROR(Y421/H421,"0")</f>
        <v>0</v>
      </c>
      <c r="Z422" s="41">
        <f>IFERROR(IF(Z417="",0,Z417),"0")+IFERROR(IF(Z418="",0,Z418),"0")+IFERROR(IF(Z419="",0,Z419),"0")+IFERROR(IF(Z420="",0,Z420),"0")+IFERROR(IF(Z421="",0,Z421),"0")</f>
        <v>0</v>
      </c>
      <c r="AA422" s="64"/>
      <c r="AB422" s="64"/>
      <c r="AC422" s="64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77" t="s">
        <v>40</v>
      </c>
      <c r="Q423" s="678"/>
      <c r="R423" s="678"/>
      <c r="S423" s="678"/>
      <c r="T423" s="678"/>
      <c r="U423" s="678"/>
      <c r="V423" s="679"/>
      <c r="W423" s="40" t="s">
        <v>0</v>
      </c>
      <c r="X423" s="41">
        <f>IFERROR(SUM(X417:X421),"0")</f>
        <v>0</v>
      </c>
      <c r="Y423" s="41">
        <f>IFERROR(SUM(Y417:Y421),"0")</f>
        <v>0</v>
      </c>
      <c r="Z423" s="40"/>
      <c r="AA423" s="64"/>
      <c r="AB423" s="64"/>
      <c r="AC423" s="64"/>
    </row>
    <row r="424" spans="1:68" ht="14.25" customHeight="1" x14ac:dyDescent="0.25">
      <c r="A424" s="672" t="s">
        <v>181</v>
      </c>
      <c r="B424" s="672"/>
      <c r="C424" s="672"/>
      <c r="D424" s="672"/>
      <c r="E424" s="672"/>
      <c r="F424" s="672"/>
      <c r="G424" s="672"/>
      <c r="H424" s="672"/>
      <c r="I424" s="672"/>
      <c r="J424" s="672"/>
      <c r="K424" s="672"/>
      <c r="L424" s="672"/>
      <c r="M424" s="672"/>
      <c r="N424" s="672"/>
      <c r="O424" s="672"/>
      <c r="P424" s="672"/>
      <c r="Q424" s="672"/>
      <c r="R424" s="672"/>
      <c r="S424" s="672"/>
      <c r="T424" s="672"/>
      <c r="U424" s="672"/>
      <c r="V424" s="672"/>
      <c r="W424" s="672"/>
      <c r="X424" s="672"/>
      <c r="Y424" s="672"/>
      <c r="Z424" s="672"/>
      <c r="AA424" s="63"/>
      <c r="AB424" s="63"/>
      <c r="AC424" s="63"/>
    </row>
    <row r="425" spans="1:68" ht="27" customHeight="1" x14ac:dyDescent="0.25">
      <c r="A425" s="60" t="s">
        <v>665</v>
      </c>
      <c r="B425" s="60" t="s">
        <v>666</v>
      </c>
      <c r="C425" s="34">
        <v>4301060441</v>
      </c>
      <c r="D425" s="673">
        <v>4607091389357</v>
      </c>
      <c r="E425" s="673"/>
      <c r="F425" s="59">
        <v>1.5</v>
      </c>
      <c r="G425" s="35">
        <v>6</v>
      </c>
      <c r="H425" s="59">
        <v>9</v>
      </c>
      <c r="I425" s="59">
        <v>9.4350000000000005</v>
      </c>
      <c r="J425" s="35">
        <v>64</v>
      </c>
      <c r="K425" s="35" t="s">
        <v>106</v>
      </c>
      <c r="L425" s="35" t="s">
        <v>45</v>
      </c>
      <c r="M425" s="36" t="s">
        <v>109</v>
      </c>
      <c r="N425" s="36"/>
      <c r="O425" s="35">
        <v>40</v>
      </c>
      <c r="P425" s="782" t="s">
        <v>667</v>
      </c>
      <c r="Q425" s="675"/>
      <c r="R425" s="675"/>
      <c r="S425" s="675"/>
      <c r="T425" s="676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45</v>
      </c>
      <c r="AB425" s="66" t="s">
        <v>45</v>
      </c>
      <c r="AC425" s="485" t="s">
        <v>668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39</v>
      </c>
      <c r="X426" s="41">
        <f>IFERROR(X425/H425,"0")</f>
        <v>0</v>
      </c>
      <c r="Y426" s="41">
        <f>IFERROR(Y425/H425,"0")</f>
        <v>0</v>
      </c>
      <c r="Z426" s="41">
        <f>IFERROR(IF(Z425="",0,Z425),"0")</f>
        <v>0</v>
      </c>
      <c r="AA426" s="64"/>
      <c r="AB426" s="64"/>
      <c r="AC426" s="64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77" t="s">
        <v>40</v>
      </c>
      <c r="Q427" s="678"/>
      <c r="R427" s="678"/>
      <c r="S427" s="678"/>
      <c r="T427" s="678"/>
      <c r="U427" s="678"/>
      <c r="V427" s="679"/>
      <c r="W427" s="40" t="s">
        <v>0</v>
      </c>
      <c r="X427" s="41">
        <f>IFERROR(SUM(X425:X425),"0")</f>
        <v>0</v>
      </c>
      <c r="Y427" s="41">
        <f>IFERROR(SUM(Y425:Y425),"0")</f>
        <v>0</v>
      </c>
      <c r="Z427" s="40"/>
      <c r="AA427" s="64"/>
      <c r="AB427" s="64"/>
      <c r="AC427" s="64"/>
    </row>
    <row r="428" spans="1:68" ht="27.75" customHeight="1" x14ac:dyDescent="0.2">
      <c r="A428" s="718" t="s">
        <v>669</v>
      </c>
      <c r="B428" s="718"/>
      <c r="C428" s="718"/>
      <c r="D428" s="718"/>
      <c r="E428" s="718"/>
      <c r="F428" s="718"/>
      <c r="G428" s="718"/>
      <c r="H428" s="718"/>
      <c r="I428" s="718"/>
      <c r="J428" s="718"/>
      <c r="K428" s="718"/>
      <c r="L428" s="718"/>
      <c r="M428" s="718"/>
      <c r="N428" s="718"/>
      <c r="O428" s="718"/>
      <c r="P428" s="718"/>
      <c r="Q428" s="718"/>
      <c r="R428" s="718"/>
      <c r="S428" s="718"/>
      <c r="T428" s="718"/>
      <c r="U428" s="718"/>
      <c r="V428" s="718"/>
      <c r="W428" s="718"/>
      <c r="X428" s="718"/>
      <c r="Y428" s="718"/>
      <c r="Z428" s="718"/>
      <c r="AA428" s="52"/>
      <c r="AB428" s="52"/>
      <c r="AC428" s="52"/>
    </row>
    <row r="429" spans="1:68" ht="16.5" customHeight="1" x14ac:dyDescent="0.25">
      <c r="A429" s="694" t="s">
        <v>670</v>
      </c>
      <c r="B429" s="694"/>
      <c r="C429" s="694"/>
      <c r="D429" s="694"/>
      <c r="E429" s="694"/>
      <c r="F429" s="694"/>
      <c r="G429" s="694"/>
      <c r="H429" s="694"/>
      <c r="I429" s="694"/>
      <c r="J429" s="694"/>
      <c r="K429" s="694"/>
      <c r="L429" s="694"/>
      <c r="M429" s="694"/>
      <c r="N429" s="694"/>
      <c r="O429" s="694"/>
      <c r="P429" s="694"/>
      <c r="Q429" s="694"/>
      <c r="R429" s="694"/>
      <c r="S429" s="694"/>
      <c r="T429" s="694"/>
      <c r="U429" s="694"/>
      <c r="V429" s="694"/>
      <c r="W429" s="694"/>
      <c r="X429" s="694"/>
      <c r="Y429" s="694"/>
      <c r="Z429" s="694"/>
      <c r="AA429" s="62"/>
      <c r="AB429" s="62"/>
      <c r="AC429" s="62"/>
    </row>
    <row r="430" spans="1:68" ht="14.25" customHeight="1" x14ac:dyDescent="0.25">
      <c r="A430" s="672" t="s">
        <v>155</v>
      </c>
      <c r="B430" s="672"/>
      <c r="C430" s="672"/>
      <c r="D430" s="672"/>
      <c r="E430" s="672"/>
      <c r="F430" s="672"/>
      <c r="G430" s="672"/>
      <c r="H430" s="672"/>
      <c r="I430" s="672"/>
      <c r="J430" s="672"/>
      <c r="K430" s="672"/>
      <c r="L430" s="672"/>
      <c r="M430" s="672"/>
      <c r="N430" s="672"/>
      <c r="O430" s="672"/>
      <c r="P430" s="672"/>
      <c r="Q430" s="672"/>
      <c r="R430" s="672"/>
      <c r="S430" s="672"/>
      <c r="T430" s="672"/>
      <c r="U430" s="672"/>
      <c r="V430" s="672"/>
      <c r="W430" s="672"/>
      <c r="X430" s="672"/>
      <c r="Y430" s="672"/>
      <c r="Z430" s="672"/>
      <c r="AA430" s="63"/>
      <c r="AB430" s="63"/>
      <c r="AC430" s="63"/>
    </row>
    <row r="431" spans="1:68" ht="27" customHeight="1" x14ac:dyDescent="0.25">
      <c r="A431" s="60" t="s">
        <v>671</v>
      </c>
      <c r="B431" s="60" t="s">
        <v>672</v>
      </c>
      <c r="C431" s="34">
        <v>4301031405</v>
      </c>
      <c r="D431" s="673">
        <v>4680115886100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110</v>
      </c>
      <c r="L431" s="35" t="s">
        <v>45</v>
      </c>
      <c r="M431" s="36" t="s">
        <v>82</v>
      </c>
      <c r="N431" s="36"/>
      <c r="O431" s="35">
        <v>50</v>
      </c>
      <c r="P431" s="771" t="s">
        <v>673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ref="Y431:Y442" si="62">IFERROR(IF(X431="",0,CEILING((X431/$H431),1)*$H431),"")</f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674</v>
      </c>
      <c r="AG431" s="75"/>
      <c r="AJ431" s="79" t="s">
        <v>45</v>
      </c>
      <c r="AK431" s="79">
        <v>0</v>
      </c>
      <c r="BB431" s="488" t="s">
        <v>66</v>
      </c>
      <c r="BM431" s="75">
        <f t="shared" ref="BM431:BM442" si="63">IFERROR(X431*I431/H431,"0")</f>
        <v>0</v>
      </c>
      <c r="BN431" s="75">
        <f t="shared" ref="BN431:BN442" si="64">IFERROR(Y431*I431/H431,"0")</f>
        <v>0</v>
      </c>
      <c r="BO431" s="75">
        <f t="shared" ref="BO431:BO442" si="65">IFERROR(1/J431*(X431/H431),"0")</f>
        <v>0</v>
      </c>
      <c r="BP431" s="75">
        <f t="shared" ref="BP431:BP442" si="66">IFERROR(1/J431*(Y431/H431),"0")</f>
        <v>0</v>
      </c>
    </row>
    <row r="432" spans="1:68" ht="27" customHeight="1" x14ac:dyDescent="0.25">
      <c r="A432" s="60" t="s">
        <v>675</v>
      </c>
      <c r="B432" s="60" t="s">
        <v>676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110</v>
      </c>
      <c r="L432" s="35" t="s">
        <v>45</v>
      </c>
      <c r="M432" s="36" t="s">
        <v>82</v>
      </c>
      <c r="N432" s="36"/>
      <c r="O432" s="35">
        <v>50</v>
      </c>
      <c r="P432" s="772" t="s">
        <v>677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678</v>
      </c>
      <c r="AG432" s="75"/>
      <c r="AJ432" s="79" t="s">
        <v>45</v>
      </c>
      <c r="AK432" s="79">
        <v>0</v>
      </c>
      <c r="BB432" s="490" t="s">
        <v>66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customHeight="1" x14ac:dyDescent="0.25">
      <c r="A433" s="60" t="s">
        <v>675</v>
      </c>
      <c r="B433" s="60" t="s">
        <v>679</v>
      </c>
      <c r="C433" s="34">
        <v>4301031406</v>
      </c>
      <c r="D433" s="673">
        <v>4680115886117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110</v>
      </c>
      <c r="L433" s="35" t="s">
        <v>45</v>
      </c>
      <c r="M433" s="36" t="s">
        <v>82</v>
      </c>
      <c r="N433" s="36"/>
      <c r="O433" s="35">
        <v>50</v>
      </c>
      <c r="P433" s="773" t="s">
        <v>677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678</v>
      </c>
      <c r="AG433" s="75"/>
      <c r="AJ433" s="79" t="s">
        <v>45</v>
      </c>
      <c r="AK433" s="79">
        <v>0</v>
      </c>
      <c r="BB433" s="492" t="s">
        <v>66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customHeight="1" x14ac:dyDescent="0.25">
      <c r="A434" s="60" t="s">
        <v>680</v>
      </c>
      <c r="B434" s="60" t="s">
        <v>681</v>
      </c>
      <c r="C434" s="34">
        <v>4301031402</v>
      </c>
      <c r="D434" s="673">
        <v>4680115886124</v>
      </c>
      <c r="E434" s="673"/>
      <c r="F434" s="59">
        <v>0.9</v>
      </c>
      <c r="G434" s="35">
        <v>6</v>
      </c>
      <c r="H434" s="59">
        <v>5.4</v>
      </c>
      <c r="I434" s="59">
        <v>5.61</v>
      </c>
      <c r="J434" s="35">
        <v>132</v>
      </c>
      <c r="K434" s="35" t="s">
        <v>110</v>
      </c>
      <c r="L434" s="35" t="s">
        <v>45</v>
      </c>
      <c r="M434" s="36" t="s">
        <v>82</v>
      </c>
      <c r="N434" s="36"/>
      <c r="O434" s="35">
        <v>50</v>
      </c>
      <c r="P434" s="774" t="s">
        <v>682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2"/>
        <v>0</v>
      </c>
      <c r="Z434" s="39" t="str">
        <f>IFERROR(IF(Y434=0,"",ROUNDUP(Y434/H434,0)*0.00902),"")</f>
        <v/>
      </c>
      <c r="AA434" s="65" t="s">
        <v>45</v>
      </c>
      <c r="AB434" s="66" t="s">
        <v>45</v>
      </c>
      <c r="AC434" s="493" t="s">
        <v>683</v>
      </c>
      <c r="AG434" s="75"/>
      <c r="AJ434" s="79" t="s">
        <v>45</v>
      </c>
      <c r="AK434" s="79">
        <v>0</v>
      </c>
      <c r="BB434" s="494" t="s">
        <v>66</v>
      </c>
      <c r="BM434" s="75">
        <f t="shared" si="63"/>
        <v>0</v>
      </c>
      <c r="BN434" s="75">
        <f t="shared" si="64"/>
        <v>0</v>
      </c>
      <c r="BO434" s="75">
        <f t="shared" si="65"/>
        <v>0</v>
      </c>
      <c r="BP434" s="75">
        <f t="shared" si="66"/>
        <v>0</v>
      </c>
    </row>
    <row r="435" spans="1:68" ht="27" customHeight="1" x14ac:dyDescent="0.25">
      <c r="A435" s="60" t="s">
        <v>684</v>
      </c>
      <c r="B435" s="60" t="s">
        <v>685</v>
      </c>
      <c r="C435" s="34">
        <v>4301031335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159</v>
      </c>
      <c r="L435" s="35" t="s">
        <v>45</v>
      </c>
      <c r="M435" s="36" t="s">
        <v>82</v>
      </c>
      <c r="N435" s="36"/>
      <c r="O435" s="35">
        <v>50</v>
      </c>
      <c r="P435" s="775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2"/>
        <v>0</v>
      </c>
      <c r="Z435" s="39" t="str">
        <f t="shared" ref="Z435:Z442" si="67">IFERROR(IF(Y435=0,"",ROUNDUP(Y435/H435,0)*0.00502),"")</f>
        <v/>
      </c>
      <c r="AA435" s="65" t="s">
        <v>45</v>
      </c>
      <c r="AB435" s="66" t="s">
        <v>45</v>
      </c>
      <c r="AC435" s="495" t="s">
        <v>674</v>
      </c>
      <c r="AG435" s="75"/>
      <c r="AJ435" s="79" t="s">
        <v>45</v>
      </c>
      <c r="AK435" s="79">
        <v>0</v>
      </c>
      <c r="BB435" s="496" t="s">
        <v>66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27" customHeight="1" x14ac:dyDescent="0.25">
      <c r="A436" s="60" t="s">
        <v>684</v>
      </c>
      <c r="B436" s="60" t="s">
        <v>686</v>
      </c>
      <c r="C436" s="34">
        <v>4301031366</v>
      </c>
      <c r="D436" s="673">
        <v>4680115883147</v>
      </c>
      <c r="E436" s="673"/>
      <c r="F436" s="59">
        <v>0.28000000000000003</v>
      </c>
      <c r="G436" s="35">
        <v>6</v>
      </c>
      <c r="H436" s="59">
        <v>1.68</v>
      </c>
      <c r="I436" s="59">
        <v>1.81</v>
      </c>
      <c r="J436" s="35">
        <v>234</v>
      </c>
      <c r="K436" s="35" t="s">
        <v>159</v>
      </c>
      <c r="L436" s="35" t="s">
        <v>45</v>
      </c>
      <c r="M436" s="36" t="s">
        <v>82</v>
      </c>
      <c r="N436" s="36"/>
      <c r="O436" s="35">
        <v>50</v>
      </c>
      <c r="P436" s="776" t="s">
        <v>687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2"/>
        <v>0</v>
      </c>
      <c r="Z436" s="39" t="str">
        <f t="shared" si="67"/>
        <v/>
      </c>
      <c r="AA436" s="65" t="s">
        <v>45</v>
      </c>
      <c r="AB436" s="66" t="s">
        <v>45</v>
      </c>
      <c r="AC436" s="497" t="s">
        <v>674</v>
      </c>
      <c r="AG436" s="75"/>
      <c r="AJ436" s="79" t="s">
        <v>45</v>
      </c>
      <c r="AK436" s="79">
        <v>0</v>
      </c>
      <c r="BB436" s="498" t="s">
        <v>66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customHeight="1" x14ac:dyDescent="0.25">
      <c r="A437" s="60" t="s">
        <v>688</v>
      </c>
      <c r="B437" s="60" t="s">
        <v>689</v>
      </c>
      <c r="C437" s="34">
        <v>4301031362</v>
      </c>
      <c r="D437" s="673">
        <v>4607091384338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159</v>
      </c>
      <c r="L437" s="35" t="s">
        <v>45</v>
      </c>
      <c r="M437" s="36" t="s">
        <v>82</v>
      </c>
      <c r="N437" s="36"/>
      <c r="O437" s="35">
        <v>50</v>
      </c>
      <c r="P437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 t="shared" si="67"/>
        <v/>
      </c>
      <c r="AA437" s="65" t="s">
        <v>45</v>
      </c>
      <c r="AB437" s="66" t="s">
        <v>45</v>
      </c>
      <c r="AC437" s="499" t="s">
        <v>674</v>
      </c>
      <c r="AG437" s="75"/>
      <c r="AJ437" s="79" t="s">
        <v>45</v>
      </c>
      <c r="AK437" s="79">
        <v>0</v>
      </c>
      <c r="BB437" s="500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37.5" customHeight="1" x14ac:dyDescent="0.25">
      <c r="A438" s="60" t="s">
        <v>690</v>
      </c>
      <c r="B438" s="60" t="s">
        <v>691</v>
      </c>
      <c r="C438" s="34">
        <v>4301031361</v>
      </c>
      <c r="D438" s="673">
        <v>4607091389524</v>
      </c>
      <c r="E438" s="673"/>
      <c r="F438" s="59">
        <v>0.35</v>
      </c>
      <c r="G438" s="35">
        <v>6</v>
      </c>
      <c r="H438" s="59">
        <v>2.1</v>
      </c>
      <c r="I438" s="59">
        <v>2.23</v>
      </c>
      <c r="J438" s="35">
        <v>234</v>
      </c>
      <c r="K438" s="35" t="s">
        <v>159</v>
      </c>
      <c r="L438" s="35" t="s">
        <v>45</v>
      </c>
      <c r="M438" s="36" t="s">
        <v>82</v>
      </c>
      <c r="N438" s="36"/>
      <c r="O438" s="35">
        <v>50</v>
      </c>
      <c r="P438" s="77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 t="shared" si="67"/>
        <v/>
      </c>
      <c r="AA438" s="65" t="s">
        <v>45</v>
      </c>
      <c r="AB438" s="66" t="s">
        <v>45</v>
      </c>
      <c r="AC438" s="501" t="s">
        <v>692</v>
      </c>
      <c r="AG438" s="75"/>
      <c r="AJ438" s="79" t="s">
        <v>45</v>
      </c>
      <c r="AK438" s="79">
        <v>0</v>
      </c>
      <c r="BB438" s="502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693</v>
      </c>
      <c r="B439" s="60" t="s">
        <v>694</v>
      </c>
      <c r="C439" s="34">
        <v>4301031337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159</v>
      </c>
      <c r="L439" s="35" t="s">
        <v>45</v>
      </c>
      <c r="M439" s="36" t="s">
        <v>82</v>
      </c>
      <c r="N439" s="36"/>
      <c r="O439" s="35">
        <v>50</v>
      </c>
      <c r="P439" s="76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 t="shared" si="67"/>
        <v/>
      </c>
      <c r="AA439" s="65" t="s">
        <v>45</v>
      </c>
      <c r="AB439" s="66" t="s">
        <v>45</v>
      </c>
      <c r="AC439" s="503" t="s">
        <v>695</v>
      </c>
      <c r="AG439" s="75"/>
      <c r="AJ439" s="79" t="s">
        <v>45</v>
      </c>
      <c r="AK439" s="79">
        <v>0</v>
      </c>
      <c r="BB439" s="504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693</v>
      </c>
      <c r="B440" s="60" t="s">
        <v>696</v>
      </c>
      <c r="C440" s="34">
        <v>4301031364</v>
      </c>
      <c r="D440" s="673">
        <v>4680115883161</v>
      </c>
      <c r="E440" s="673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159</v>
      </c>
      <c r="L440" s="35" t="s">
        <v>45</v>
      </c>
      <c r="M440" s="36" t="s">
        <v>82</v>
      </c>
      <c r="N440" s="36"/>
      <c r="O440" s="35">
        <v>50</v>
      </c>
      <c r="P440" s="766" t="s">
        <v>697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si="67"/>
        <v/>
      </c>
      <c r="AA440" s="65" t="s">
        <v>45</v>
      </c>
      <c r="AB440" s="66" t="s">
        <v>45</v>
      </c>
      <c r="AC440" s="505" t="s">
        <v>695</v>
      </c>
      <c r="AG440" s="75"/>
      <c r="AJ440" s="79" t="s">
        <v>45</v>
      </c>
      <c r="AK440" s="79">
        <v>0</v>
      </c>
      <c r="BB440" s="506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698</v>
      </c>
      <c r="B441" s="60" t="s">
        <v>699</v>
      </c>
      <c r="C441" s="34">
        <v>4301031358</v>
      </c>
      <c r="D441" s="673">
        <v>4607091389531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159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7" t="s">
        <v>700</v>
      </c>
      <c r="AG441" s="75"/>
      <c r="AJ441" s="79" t="s">
        <v>45</v>
      </c>
      <c r="AK441" s="79">
        <v>0</v>
      </c>
      <c r="BB441" s="508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37.5" customHeight="1" x14ac:dyDescent="0.25">
      <c r="A442" s="60" t="s">
        <v>701</v>
      </c>
      <c r="B442" s="60" t="s">
        <v>702</v>
      </c>
      <c r="C442" s="34">
        <v>4301031360</v>
      </c>
      <c r="D442" s="673">
        <v>4607091384345</v>
      </c>
      <c r="E442" s="673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159</v>
      </c>
      <c r="L442" s="35" t="s">
        <v>45</v>
      </c>
      <c r="M442" s="36" t="s">
        <v>82</v>
      </c>
      <c r="N442" s="36"/>
      <c r="O442" s="35">
        <v>50</v>
      </c>
      <c r="P442" s="7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5"/>
      <c r="R442" s="675"/>
      <c r="S442" s="675"/>
      <c r="T442" s="676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9" t="s">
        <v>695</v>
      </c>
      <c r="AG442" s="75"/>
      <c r="AJ442" s="79" t="s">
        <v>45</v>
      </c>
      <c r="AK442" s="79">
        <v>0</v>
      </c>
      <c r="BB442" s="510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39</v>
      </c>
      <c r="X443" s="41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41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41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4"/>
      <c r="AB443" s="64"/>
      <c r="AC443" s="64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77" t="s">
        <v>40</v>
      </c>
      <c r="Q444" s="678"/>
      <c r="R444" s="678"/>
      <c r="S444" s="678"/>
      <c r="T444" s="678"/>
      <c r="U444" s="678"/>
      <c r="V444" s="679"/>
      <c r="W444" s="40" t="s">
        <v>0</v>
      </c>
      <c r="X444" s="41">
        <f>IFERROR(SUM(X431:X442),"0")</f>
        <v>0</v>
      </c>
      <c r="Y444" s="41">
        <f>IFERROR(SUM(Y431:Y442),"0")</f>
        <v>0</v>
      </c>
      <c r="Z444" s="40"/>
      <c r="AA444" s="64"/>
      <c r="AB444" s="64"/>
      <c r="AC444" s="64"/>
    </row>
    <row r="445" spans="1:68" ht="14.25" customHeight="1" x14ac:dyDescent="0.25">
      <c r="A445" s="672" t="s">
        <v>78</v>
      </c>
      <c r="B445" s="672"/>
      <c r="C445" s="672"/>
      <c r="D445" s="672"/>
      <c r="E445" s="672"/>
      <c r="F445" s="672"/>
      <c r="G445" s="672"/>
      <c r="H445" s="672"/>
      <c r="I445" s="672"/>
      <c r="J445" s="672"/>
      <c r="K445" s="672"/>
      <c r="L445" s="672"/>
      <c r="M445" s="672"/>
      <c r="N445" s="672"/>
      <c r="O445" s="672"/>
      <c r="P445" s="672"/>
      <c r="Q445" s="672"/>
      <c r="R445" s="672"/>
      <c r="S445" s="672"/>
      <c r="T445" s="672"/>
      <c r="U445" s="672"/>
      <c r="V445" s="672"/>
      <c r="W445" s="672"/>
      <c r="X445" s="672"/>
      <c r="Y445" s="672"/>
      <c r="Z445" s="672"/>
      <c r="AA445" s="63"/>
      <c r="AB445" s="63"/>
      <c r="AC445" s="63"/>
    </row>
    <row r="446" spans="1:68" ht="27" customHeight="1" x14ac:dyDescent="0.25">
      <c r="A446" s="60" t="s">
        <v>703</v>
      </c>
      <c r="B446" s="60" t="s">
        <v>704</v>
      </c>
      <c r="C446" s="34">
        <v>4301051284</v>
      </c>
      <c r="D446" s="673">
        <v>4607091384352</v>
      </c>
      <c r="E446" s="673"/>
      <c r="F446" s="59">
        <v>0.6</v>
      </c>
      <c r="G446" s="35">
        <v>4</v>
      </c>
      <c r="H446" s="59">
        <v>2.4</v>
      </c>
      <c r="I446" s="59">
        <v>2.6459999999999999</v>
      </c>
      <c r="J446" s="35">
        <v>132</v>
      </c>
      <c r="K446" s="35" t="s">
        <v>110</v>
      </c>
      <c r="L446" s="35" t="s">
        <v>45</v>
      </c>
      <c r="M446" s="36" t="s">
        <v>109</v>
      </c>
      <c r="N446" s="36"/>
      <c r="O446" s="35">
        <v>45</v>
      </c>
      <c r="P446" s="7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705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customHeight="1" x14ac:dyDescent="0.25">
      <c r="A447" s="60" t="s">
        <v>706</v>
      </c>
      <c r="B447" s="60" t="s">
        <v>707</v>
      </c>
      <c r="C447" s="34">
        <v>4301051431</v>
      </c>
      <c r="D447" s="673">
        <v>4607091389654</v>
      </c>
      <c r="E447" s="673"/>
      <c r="F447" s="59">
        <v>0.33</v>
      </c>
      <c r="G447" s="35">
        <v>6</v>
      </c>
      <c r="H447" s="59">
        <v>1.98</v>
      </c>
      <c r="I447" s="59">
        <v>2.238</v>
      </c>
      <c r="J447" s="35">
        <v>182</v>
      </c>
      <c r="K447" s="35" t="s">
        <v>83</v>
      </c>
      <c r="L447" s="35" t="s">
        <v>45</v>
      </c>
      <c r="M447" s="36" t="s">
        <v>109</v>
      </c>
      <c r="N447" s="36"/>
      <c r="O447" s="35">
        <v>45</v>
      </c>
      <c r="P447" s="77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5"/>
      <c r="R447" s="675"/>
      <c r="S447" s="675"/>
      <c r="T447" s="676"/>
      <c r="U447" s="37" t="s">
        <v>45</v>
      </c>
      <c r="V447" s="37" t="s">
        <v>45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IFERROR(IF(Y447=0,"",ROUNDUP(Y447/H447,0)*0.00651),"")</f>
        <v/>
      </c>
      <c r="AA447" s="65" t="s">
        <v>45</v>
      </c>
      <c r="AB447" s="66" t="s">
        <v>45</v>
      </c>
      <c r="AC447" s="513" t="s">
        <v>708</v>
      </c>
      <c r="AG447" s="75"/>
      <c r="AJ447" s="79" t="s">
        <v>45</v>
      </c>
      <c r="AK447" s="79">
        <v>0</v>
      </c>
      <c r="BB447" s="51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77" t="s">
        <v>40</v>
      </c>
      <c r="Q449" s="678"/>
      <c r="R449" s="678"/>
      <c r="S449" s="678"/>
      <c r="T449" s="678"/>
      <c r="U449" s="678"/>
      <c r="V449" s="67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customHeight="1" x14ac:dyDescent="0.25">
      <c r="A450" s="694" t="s">
        <v>709</v>
      </c>
      <c r="B450" s="694"/>
      <c r="C450" s="694"/>
      <c r="D450" s="694"/>
      <c r="E450" s="694"/>
      <c r="F450" s="694"/>
      <c r="G450" s="694"/>
      <c r="H450" s="694"/>
      <c r="I450" s="694"/>
      <c r="J450" s="694"/>
      <c r="K450" s="694"/>
      <c r="L450" s="694"/>
      <c r="M450" s="694"/>
      <c r="N450" s="694"/>
      <c r="O450" s="694"/>
      <c r="P450" s="694"/>
      <c r="Q450" s="694"/>
      <c r="R450" s="694"/>
      <c r="S450" s="694"/>
      <c r="T450" s="694"/>
      <c r="U450" s="694"/>
      <c r="V450" s="694"/>
      <c r="W450" s="694"/>
      <c r="X450" s="694"/>
      <c r="Y450" s="694"/>
      <c r="Z450" s="694"/>
      <c r="AA450" s="62"/>
      <c r="AB450" s="62"/>
      <c r="AC450" s="62"/>
    </row>
    <row r="451" spans="1:68" ht="14.25" customHeight="1" x14ac:dyDescent="0.25">
      <c r="A451" s="672" t="s">
        <v>144</v>
      </c>
      <c r="B451" s="672"/>
      <c r="C451" s="672"/>
      <c r="D451" s="672"/>
      <c r="E451" s="672"/>
      <c r="F451" s="672"/>
      <c r="G451" s="672"/>
      <c r="H451" s="672"/>
      <c r="I451" s="672"/>
      <c r="J451" s="672"/>
      <c r="K451" s="672"/>
      <c r="L451" s="672"/>
      <c r="M451" s="672"/>
      <c r="N451" s="672"/>
      <c r="O451" s="672"/>
      <c r="P451" s="672"/>
      <c r="Q451" s="672"/>
      <c r="R451" s="672"/>
      <c r="S451" s="672"/>
      <c r="T451" s="672"/>
      <c r="U451" s="672"/>
      <c r="V451" s="672"/>
      <c r="W451" s="672"/>
      <c r="X451" s="672"/>
      <c r="Y451" s="672"/>
      <c r="Z451" s="672"/>
      <c r="AA451" s="63"/>
      <c r="AB451" s="63"/>
      <c r="AC451" s="63"/>
    </row>
    <row r="452" spans="1:68" ht="27" customHeight="1" x14ac:dyDescent="0.25">
      <c r="A452" s="60" t="s">
        <v>710</v>
      </c>
      <c r="B452" s="60" t="s">
        <v>711</v>
      </c>
      <c r="C452" s="34">
        <v>4301020319</v>
      </c>
      <c r="D452" s="673">
        <v>4680115885240</v>
      </c>
      <c r="E452" s="673"/>
      <c r="F452" s="59">
        <v>0.35</v>
      </c>
      <c r="G452" s="35">
        <v>6</v>
      </c>
      <c r="H452" s="59">
        <v>2.1</v>
      </c>
      <c r="I452" s="59">
        <v>2.31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712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713</v>
      </c>
      <c r="B453" s="60" t="s">
        <v>714</v>
      </c>
      <c r="C453" s="34">
        <v>4301020315</v>
      </c>
      <c r="D453" s="673">
        <v>4607091389364</v>
      </c>
      <c r="E453" s="673"/>
      <c r="F453" s="59">
        <v>0.42</v>
      </c>
      <c r="G453" s="35">
        <v>6</v>
      </c>
      <c r="H453" s="59">
        <v>2.52</v>
      </c>
      <c r="I453" s="59">
        <v>2.73</v>
      </c>
      <c r="J453" s="35">
        <v>182</v>
      </c>
      <c r="K453" s="35" t="s">
        <v>83</v>
      </c>
      <c r="L453" s="35" t="s">
        <v>45</v>
      </c>
      <c r="M453" s="36" t="s">
        <v>82</v>
      </c>
      <c r="N453" s="36"/>
      <c r="O453" s="35">
        <v>40</v>
      </c>
      <c r="P453" s="76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5"/>
      <c r="R453" s="675"/>
      <c r="S453" s="675"/>
      <c r="T453" s="676"/>
      <c r="U453" s="37" t="s">
        <v>45</v>
      </c>
      <c r="V453" s="37" t="s">
        <v>45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45</v>
      </c>
      <c r="AB453" s="66" t="s">
        <v>45</v>
      </c>
      <c r="AC453" s="517" t="s">
        <v>715</v>
      </c>
      <c r="AG453" s="75"/>
      <c r="AJ453" s="79" t="s">
        <v>45</v>
      </c>
      <c r="AK453" s="79">
        <v>0</v>
      </c>
      <c r="BB453" s="51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77" t="s">
        <v>40</v>
      </c>
      <c r="Q455" s="678"/>
      <c r="R455" s="678"/>
      <c r="S455" s="678"/>
      <c r="T455" s="678"/>
      <c r="U455" s="678"/>
      <c r="V455" s="67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customHeight="1" x14ac:dyDescent="0.25">
      <c r="A456" s="672" t="s">
        <v>155</v>
      </c>
      <c r="B456" s="672"/>
      <c r="C456" s="672"/>
      <c r="D456" s="672"/>
      <c r="E456" s="672"/>
      <c r="F456" s="672"/>
      <c r="G456" s="672"/>
      <c r="H456" s="672"/>
      <c r="I456" s="672"/>
      <c r="J456" s="672"/>
      <c r="K456" s="672"/>
      <c r="L456" s="672"/>
      <c r="M456" s="672"/>
      <c r="N456" s="672"/>
      <c r="O456" s="672"/>
      <c r="P456" s="672"/>
      <c r="Q456" s="672"/>
      <c r="R456" s="672"/>
      <c r="S456" s="672"/>
      <c r="T456" s="672"/>
      <c r="U456" s="672"/>
      <c r="V456" s="672"/>
      <c r="W456" s="672"/>
      <c r="X456" s="672"/>
      <c r="Y456" s="672"/>
      <c r="Z456" s="672"/>
      <c r="AA456" s="63"/>
      <c r="AB456" s="63"/>
      <c r="AC456" s="63"/>
    </row>
    <row r="457" spans="1:68" ht="27" customHeight="1" x14ac:dyDescent="0.25">
      <c r="A457" s="60" t="s">
        <v>716</v>
      </c>
      <c r="B457" s="60" t="s">
        <v>717</v>
      </c>
      <c r="C457" s="34">
        <v>4301031403</v>
      </c>
      <c r="D457" s="673">
        <v>4680115886094</v>
      </c>
      <c r="E457" s="673"/>
      <c r="F457" s="59">
        <v>0.9</v>
      </c>
      <c r="G457" s="35">
        <v>6</v>
      </c>
      <c r="H457" s="59">
        <v>5.4</v>
      </c>
      <c r="I457" s="59">
        <v>5.61</v>
      </c>
      <c r="J457" s="35">
        <v>132</v>
      </c>
      <c r="K457" s="35" t="s">
        <v>110</v>
      </c>
      <c r="L457" s="35" t="s">
        <v>45</v>
      </c>
      <c r="M457" s="36" t="s">
        <v>105</v>
      </c>
      <c r="N457" s="36"/>
      <c r="O457" s="35">
        <v>50</v>
      </c>
      <c r="P457" s="761" t="s">
        <v>718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50</v>
      </c>
      <c r="Y457" s="53">
        <f>IFERROR(IF(X457="",0,CEILING((X457/$H457),1)*$H457),"")</f>
        <v>54</v>
      </c>
      <c r="Z457" s="39">
        <f>IFERROR(IF(Y457=0,"",ROUNDUP(Y457/H457,0)*0.00902),"")</f>
        <v>9.0200000000000002E-2</v>
      </c>
      <c r="AA457" s="65" t="s">
        <v>45</v>
      </c>
      <c r="AB457" s="66" t="s">
        <v>45</v>
      </c>
      <c r="AC457" s="519" t="s">
        <v>719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51.944444444444443</v>
      </c>
      <c r="BN457" s="75">
        <f>IFERROR(Y457*I457/H457,"0")</f>
        <v>56.099999999999994</v>
      </c>
      <c r="BO457" s="75">
        <f>IFERROR(1/J457*(X457/H457),"0")</f>
        <v>7.0145903479236812E-2</v>
      </c>
      <c r="BP457" s="75">
        <f>IFERROR(1/J457*(Y457/H457),"0")</f>
        <v>7.575757575757576E-2</v>
      </c>
    </row>
    <row r="458" spans="1:68" ht="27" customHeight="1" x14ac:dyDescent="0.25">
      <c r="A458" s="60" t="s">
        <v>720</v>
      </c>
      <c r="B458" s="60" t="s">
        <v>721</v>
      </c>
      <c r="C458" s="34">
        <v>4301031363</v>
      </c>
      <c r="D458" s="673">
        <v>4607091389425</v>
      </c>
      <c r="E458" s="673"/>
      <c r="F458" s="59">
        <v>0.35</v>
      </c>
      <c r="G458" s="35">
        <v>6</v>
      </c>
      <c r="H458" s="59">
        <v>2.1</v>
      </c>
      <c r="I458" s="59">
        <v>2.23</v>
      </c>
      <c r="J458" s="35">
        <v>234</v>
      </c>
      <c r="K458" s="35" t="s">
        <v>159</v>
      </c>
      <c r="L458" s="35" t="s">
        <v>45</v>
      </c>
      <c r="M458" s="36" t="s">
        <v>82</v>
      </c>
      <c r="N458" s="36"/>
      <c r="O458" s="35">
        <v>50</v>
      </c>
      <c r="P458" s="76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722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723</v>
      </c>
      <c r="B459" s="60" t="s">
        <v>724</v>
      </c>
      <c r="C459" s="34">
        <v>4301031373</v>
      </c>
      <c r="D459" s="673">
        <v>4680115880771</v>
      </c>
      <c r="E459" s="673"/>
      <c r="F459" s="59">
        <v>0.28000000000000003</v>
      </c>
      <c r="G459" s="35">
        <v>6</v>
      </c>
      <c r="H459" s="59">
        <v>1.68</v>
      </c>
      <c r="I459" s="59">
        <v>1.81</v>
      </c>
      <c r="J459" s="35">
        <v>234</v>
      </c>
      <c r="K459" s="35" t="s">
        <v>159</v>
      </c>
      <c r="L459" s="35" t="s">
        <v>45</v>
      </c>
      <c r="M459" s="36" t="s">
        <v>82</v>
      </c>
      <c r="N459" s="36"/>
      <c r="O459" s="35">
        <v>50</v>
      </c>
      <c r="P459" s="763" t="s">
        <v>725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726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727</v>
      </c>
      <c r="B460" s="60" t="s">
        <v>728</v>
      </c>
      <c r="C460" s="34">
        <v>4301031359</v>
      </c>
      <c r="D460" s="673">
        <v>4607091389500</v>
      </c>
      <c r="E460" s="673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159</v>
      </c>
      <c r="L460" s="35" t="s">
        <v>45</v>
      </c>
      <c r="M460" s="36" t="s">
        <v>82</v>
      </c>
      <c r="N460" s="36"/>
      <c r="O460" s="35">
        <v>50</v>
      </c>
      <c r="P460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5"/>
      <c r="R460" s="675"/>
      <c r="S460" s="675"/>
      <c r="T460" s="676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IFERROR(IF(Y460=0,"",ROUNDUP(Y460/H460,0)*0.00502),"")</f>
        <v/>
      </c>
      <c r="AA460" s="65" t="s">
        <v>45</v>
      </c>
      <c r="AB460" s="66" t="s">
        <v>45</v>
      </c>
      <c r="AC460" s="525" t="s">
        <v>726</v>
      </c>
      <c r="AG460" s="75"/>
      <c r="AJ460" s="79" t="s">
        <v>45</v>
      </c>
      <c r="AK460" s="79">
        <v>0</v>
      </c>
      <c r="BB460" s="526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39</v>
      </c>
      <c r="X461" s="41">
        <f>IFERROR(X457/H457,"0")+IFERROR(X458/H458,"0")+IFERROR(X459/H459,"0")+IFERROR(X460/H460,"0")</f>
        <v>9.2592592592592595</v>
      </c>
      <c r="Y461" s="41">
        <f>IFERROR(Y457/H457,"0")+IFERROR(Y458/H458,"0")+IFERROR(Y459/H459,"0")+IFERROR(Y460/H460,"0")</f>
        <v>10</v>
      </c>
      <c r="Z461" s="41">
        <f>IFERROR(IF(Z457="",0,Z457),"0")+IFERROR(IF(Z458="",0,Z458),"0")+IFERROR(IF(Z459="",0,Z459),"0")+IFERROR(IF(Z460="",0,Z460),"0")</f>
        <v>9.0200000000000002E-2</v>
      </c>
      <c r="AA461" s="64"/>
      <c r="AB461" s="64"/>
      <c r="AC461" s="64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77" t="s">
        <v>40</v>
      </c>
      <c r="Q462" s="678"/>
      <c r="R462" s="678"/>
      <c r="S462" s="678"/>
      <c r="T462" s="678"/>
      <c r="U462" s="678"/>
      <c r="V462" s="679"/>
      <c r="W462" s="40" t="s">
        <v>0</v>
      </c>
      <c r="X462" s="41">
        <f>IFERROR(SUM(X457:X460),"0")</f>
        <v>50</v>
      </c>
      <c r="Y462" s="41">
        <f>IFERROR(SUM(Y457:Y460),"0")</f>
        <v>54</v>
      </c>
      <c r="Z462" s="40"/>
      <c r="AA462" s="64"/>
      <c r="AB462" s="64"/>
      <c r="AC462" s="64"/>
    </row>
    <row r="463" spans="1:68" ht="16.5" customHeight="1" x14ac:dyDescent="0.25">
      <c r="A463" s="694" t="s">
        <v>729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62"/>
      <c r="AB463" s="62"/>
      <c r="AC463" s="62"/>
    </row>
    <row r="464" spans="1:68" ht="14.25" customHeight="1" x14ac:dyDescent="0.25">
      <c r="A464" s="672" t="s">
        <v>155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3"/>
      <c r="AB464" s="63"/>
      <c r="AC464" s="63"/>
    </row>
    <row r="465" spans="1:68" ht="27" customHeight="1" x14ac:dyDescent="0.25">
      <c r="A465" s="60" t="s">
        <v>730</v>
      </c>
      <c r="B465" s="60" t="s">
        <v>731</v>
      </c>
      <c r="C465" s="34">
        <v>4301031294</v>
      </c>
      <c r="D465" s="673">
        <v>4680115885189</v>
      </c>
      <c r="E465" s="673"/>
      <c r="F465" s="59">
        <v>0.2</v>
      </c>
      <c r="G465" s="35">
        <v>6</v>
      </c>
      <c r="H465" s="59">
        <v>1.2</v>
      </c>
      <c r="I465" s="59">
        <v>1.3720000000000001</v>
      </c>
      <c r="J465" s="35">
        <v>234</v>
      </c>
      <c r="K465" s="35" t="s">
        <v>159</v>
      </c>
      <c r="L465" s="35" t="s">
        <v>45</v>
      </c>
      <c r="M465" s="36" t="s">
        <v>82</v>
      </c>
      <c r="N465" s="36"/>
      <c r="O465" s="35">
        <v>40</v>
      </c>
      <c r="P465" s="756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7" t="s">
        <v>732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733</v>
      </c>
      <c r="B466" s="60" t="s">
        <v>734</v>
      </c>
      <c r="C466" s="34">
        <v>4301031347</v>
      </c>
      <c r="D466" s="673">
        <v>4680115885110</v>
      </c>
      <c r="E466" s="673"/>
      <c r="F466" s="59">
        <v>0.2</v>
      </c>
      <c r="G466" s="35">
        <v>6</v>
      </c>
      <c r="H466" s="59">
        <v>1.2</v>
      </c>
      <c r="I466" s="59">
        <v>2.1</v>
      </c>
      <c r="J466" s="35">
        <v>182</v>
      </c>
      <c r="K466" s="35" t="s">
        <v>83</v>
      </c>
      <c r="L466" s="35" t="s">
        <v>45</v>
      </c>
      <c r="M466" s="36" t="s">
        <v>82</v>
      </c>
      <c r="N466" s="36"/>
      <c r="O466" s="35">
        <v>50</v>
      </c>
      <c r="P466" s="757" t="s">
        <v>735</v>
      </c>
      <c r="Q466" s="675"/>
      <c r="R466" s="675"/>
      <c r="S466" s="675"/>
      <c r="T466" s="676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45</v>
      </c>
      <c r="AB466" s="66" t="s">
        <v>45</v>
      </c>
      <c r="AC466" s="529" t="s">
        <v>736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77" t="s">
        <v>40</v>
      </c>
      <c r="Q468" s="678"/>
      <c r="R468" s="678"/>
      <c r="S468" s="678"/>
      <c r="T468" s="678"/>
      <c r="U468" s="678"/>
      <c r="V468" s="679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6.5" customHeight="1" x14ac:dyDescent="0.25">
      <c r="A469" s="694" t="s">
        <v>737</v>
      </c>
      <c r="B469" s="694"/>
      <c r="C469" s="694"/>
      <c r="D469" s="694"/>
      <c r="E469" s="694"/>
      <c r="F469" s="694"/>
      <c r="G469" s="694"/>
      <c r="H469" s="694"/>
      <c r="I469" s="694"/>
      <c r="J469" s="694"/>
      <c r="K469" s="694"/>
      <c r="L469" s="694"/>
      <c r="M469" s="694"/>
      <c r="N469" s="694"/>
      <c r="O469" s="694"/>
      <c r="P469" s="694"/>
      <c r="Q469" s="694"/>
      <c r="R469" s="694"/>
      <c r="S469" s="694"/>
      <c r="T469" s="694"/>
      <c r="U469" s="694"/>
      <c r="V469" s="694"/>
      <c r="W469" s="694"/>
      <c r="X469" s="694"/>
      <c r="Y469" s="694"/>
      <c r="Z469" s="694"/>
      <c r="AA469" s="62"/>
      <c r="AB469" s="62"/>
      <c r="AC469" s="62"/>
    </row>
    <row r="470" spans="1:68" ht="14.25" customHeight="1" x14ac:dyDescent="0.25">
      <c r="A470" s="672" t="s">
        <v>155</v>
      </c>
      <c r="B470" s="672"/>
      <c r="C470" s="672"/>
      <c r="D470" s="672"/>
      <c r="E470" s="672"/>
      <c r="F470" s="672"/>
      <c r="G470" s="672"/>
      <c r="H470" s="672"/>
      <c r="I470" s="672"/>
      <c r="J470" s="672"/>
      <c r="K470" s="672"/>
      <c r="L470" s="672"/>
      <c r="M470" s="672"/>
      <c r="N470" s="672"/>
      <c r="O470" s="672"/>
      <c r="P470" s="672"/>
      <c r="Q470" s="672"/>
      <c r="R470" s="672"/>
      <c r="S470" s="672"/>
      <c r="T470" s="672"/>
      <c r="U470" s="672"/>
      <c r="V470" s="672"/>
      <c r="W470" s="672"/>
      <c r="X470" s="672"/>
      <c r="Y470" s="672"/>
      <c r="Z470" s="672"/>
      <c r="AA470" s="63"/>
      <c r="AB470" s="63"/>
      <c r="AC470" s="63"/>
    </row>
    <row r="471" spans="1:68" ht="27" customHeight="1" x14ac:dyDescent="0.25">
      <c r="A471" s="60" t="s">
        <v>738</v>
      </c>
      <c r="B471" s="60" t="s">
        <v>739</v>
      </c>
      <c r="C471" s="34">
        <v>4301031261</v>
      </c>
      <c r="D471" s="673">
        <v>4680115885103</v>
      </c>
      <c r="E471" s="673"/>
      <c r="F471" s="59">
        <v>0.27</v>
      </c>
      <c r="G471" s="35">
        <v>6</v>
      </c>
      <c r="H471" s="59">
        <v>1.62</v>
      </c>
      <c r="I471" s="59">
        <v>1.8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40</v>
      </c>
      <c r="P471" s="75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5"/>
      <c r="R471" s="675"/>
      <c r="S471" s="675"/>
      <c r="T471" s="676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1" t="s">
        <v>740</v>
      </c>
      <c r="AG471" s="75"/>
      <c r="AJ471" s="79" t="s">
        <v>45</v>
      </c>
      <c r="AK471" s="79">
        <v>0</v>
      </c>
      <c r="BB471" s="532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77" t="s">
        <v>40</v>
      </c>
      <c r="Q473" s="678"/>
      <c r="R473" s="678"/>
      <c r="S473" s="678"/>
      <c r="T473" s="678"/>
      <c r="U473" s="678"/>
      <c r="V473" s="67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72" t="s">
        <v>181</v>
      </c>
      <c r="B474" s="672"/>
      <c r="C474" s="672"/>
      <c r="D474" s="672"/>
      <c r="E474" s="672"/>
      <c r="F474" s="672"/>
      <c r="G474" s="672"/>
      <c r="H474" s="672"/>
      <c r="I474" s="672"/>
      <c r="J474" s="672"/>
      <c r="K474" s="672"/>
      <c r="L474" s="672"/>
      <c r="M474" s="672"/>
      <c r="N474" s="672"/>
      <c r="O474" s="672"/>
      <c r="P474" s="672"/>
      <c r="Q474" s="672"/>
      <c r="R474" s="672"/>
      <c r="S474" s="672"/>
      <c r="T474" s="672"/>
      <c r="U474" s="672"/>
      <c r="V474" s="672"/>
      <c r="W474" s="672"/>
      <c r="X474" s="672"/>
      <c r="Y474" s="672"/>
      <c r="Z474" s="672"/>
      <c r="AA474" s="63"/>
      <c r="AB474" s="63"/>
      <c r="AC474" s="63"/>
    </row>
    <row r="475" spans="1:68" ht="27" customHeight="1" x14ac:dyDescent="0.25">
      <c r="A475" s="60" t="s">
        <v>741</v>
      </c>
      <c r="B475" s="60" t="s">
        <v>742</v>
      </c>
      <c r="C475" s="34">
        <v>4301060412</v>
      </c>
      <c r="D475" s="673">
        <v>4680115885509</v>
      </c>
      <c r="E475" s="673"/>
      <c r="F475" s="59">
        <v>0.27</v>
      </c>
      <c r="G475" s="35">
        <v>6</v>
      </c>
      <c r="H475" s="59">
        <v>1.62</v>
      </c>
      <c r="I475" s="59">
        <v>1.8660000000000001</v>
      </c>
      <c r="J475" s="35">
        <v>182</v>
      </c>
      <c r="K475" s="35" t="s">
        <v>83</v>
      </c>
      <c r="L475" s="35" t="s">
        <v>45</v>
      </c>
      <c r="M475" s="36" t="s">
        <v>82</v>
      </c>
      <c r="N475" s="36"/>
      <c r="O475" s="35">
        <v>35</v>
      </c>
      <c r="P475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5"/>
      <c r="R475" s="675"/>
      <c r="S475" s="675"/>
      <c r="T475" s="676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45</v>
      </c>
      <c r="AB475" s="66" t="s">
        <v>45</v>
      </c>
      <c r="AC475" s="533" t="s">
        <v>743</v>
      </c>
      <c r="AG475" s="75"/>
      <c r="AJ475" s="79" t="s">
        <v>45</v>
      </c>
      <c r="AK475" s="79">
        <v>0</v>
      </c>
      <c r="BB475" s="534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77" t="s">
        <v>40</v>
      </c>
      <c r="Q477" s="678"/>
      <c r="R477" s="678"/>
      <c r="S477" s="678"/>
      <c r="T477" s="678"/>
      <c r="U477" s="678"/>
      <c r="V477" s="679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27.75" customHeight="1" x14ac:dyDescent="0.2">
      <c r="A478" s="718" t="s">
        <v>744</v>
      </c>
      <c r="B478" s="718"/>
      <c r="C478" s="718"/>
      <c r="D478" s="718"/>
      <c r="E478" s="718"/>
      <c r="F478" s="718"/>
      <c r="G478" s="718"/>
      <c r="H478" s="718"/>
      <c r="I478" s="718"/>
      <c r="J478" s="718"/>
      <c r="K478" s="718"/>
      <c r="L478" s="718"/>
      <c r="M478" s="718"/>
      <c r="N478" s="718"/>
      <c r="O478" s="718"/>
      <c r="P478" s="718"/>
      <c r="Q478" s="718"/>
      <c r="R478" s="718"/>
      <c r="S478" s="718"/>
      <c r="T478" s="718"/>
      <c r="U478" s="718"/>
      <c r="V478" s="718"/>
      <c r="W478" s="718"/>
      <c r="X478" s="718"/>
      <c r="Y478" s="718"/>
      <c r="Z478" s="718"/>
      <c r="AA478" s="52"/>
      <c r="AB478" s="52"/>
      <c r="AC478" s="52"/>
    </row>
    <row r="479" spans="1:68" ht="16.5" customHeight="1" x14ac:dyDescent="0.25">
      <c r="A479" s="694" t="s">
        <v>744</v>
      </c>
      <c r="B479" s="694"/>
      <c r="C479" s="694"/>
      <c r="D479" s="694"/>
      <c r="E479" s="694"/>
      <c r="F479" s="694"/>
      <c r="G479" s="694"/>
      <c r="H479" s="694"/>
      <c r="I479" s="694"/>
      <c r="J479" s="694"/>
      <c r="K479" s="694"/>
      <c r="L479" s="694"/>
      <c r="M479" s="694"/>
      <c r="N479" s="694"/>
      <c r="O479" s="694"/>
      <c r="P479" s="694"/>
      <c r="Q479" s="694"/>
      <c r="R479" s="694"/>
      <c r="S479" s="694"/>
      <c r="T479" s="694"/>
      <c r="U479" s="694"/>
      <c r="V479" s="694"/>
      <c r="W479" s="694"/>
      <c r="X479" s="694"/>
      <c r="Y479" s="694"/>
      <c r="Z479" s="694"/>
      <c r="AA479" s="62"/>
      <c r="AB479" s="62"/>
      <c r="AC479" s="62"/>
    </row>
    <row r="480" spans="1:68" ht="14.25" customHeight="1" x14ac:dyDescent="0.25">
      <c r="A480" s="672" t="s">
        <v>101</v>
      </c>
      <c r="B480" s="672"/>
      <c r="C480" s="672"/>
      <c r="D480" s="672"/>
      <c r="E480" s="672"/>
      <c r="F480" s="672"/>
      <c r="G480" s="672"/>
      <c r="H480" s="672"/>
      <c r="I480" s="672"/>
      <c r="J480" s="672"/>
      <c r="K480" s="672"/>
      <c r="L480" s="672"/>
      <c r="M480" s="672"/>
      <c r="N480" s="672"/>
      <c r="O480" s="672"/>
      <c r="P480" s="672"/>
      <c r="Q480" s="672"/>
      <c r="R480" s="672"/>
      <c r="S480" s="672"/>
      <c r="T480" s="672"/>
      <c r="U480" s="672"/>
      <c r="V480" s="672"/>
      <c r="W480" s="672"/>
      <c r="X480" s="672"/>
      <c r="Y480" s="672"/>
      <c r="Z480" s="672"/>
      <c r="AA480" s="63"/>
      <c r="AB480" s="63"/>
      <c r="AC480" s="63"/>
    </row>
    <row r="481" spans="1:68" ht="27" customHeight="1" x14ac:dyDescent="0.25">
      <c r="A481" s="60" t="s">
        <v>745</v>
      </c>
      <c r="B481" s="60" t="s">
        <v>746</v>
      </c>
      <c r="C481" s="34">
        <v>4301011795</v>
      </c>
      <c r="D481" s="673">
        <v>4607091389067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106</v>
      </c>
      <c r="L481" s="35" t="s">
        <v>45</v>
      </c>
      <c r="M481" s="36" t="s">
        <v>105</v>
      </c>
      <c r="N481" s="36"/>
      <c r="O481" s="35">
        <v>60</v>
      </c>
      <c r="P481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ref="Y481:Y495" si="68">IFERROR(IF(X481="",0,CEILING((X481/$H481),1)*$H481),"")</f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747</v>
      </c>
      <c r="AG481" s="75"/>
      <c r="AJ481" s="79" t="s">
        <v>45</v>
      </c>
      <c r="AK481" s="79">
        <v>0</v>
      </c>
      <c r="BB481" s="536" t="s">
        <v>66</v>
      </c>
      <c r="BM481" s="75">
        <f t="shared" ref="BM481:BM495" si="69">IFERROR(X481*I481/H481,"0")</f>
        <v>0</v>
      </c>
      <c r="BN481" s="75">
        <f t="shared" ref="BN481:BN495" si="70">IFERROR(Y481*I481/H481,"0")</f>
        <v>0</v>
      </c>
      <c r="BO481" s="75">
        <f t="shared" ref="BO481:BO495" si="71">IFERROR(1/J481*(X481/H481),"0")</f>
        <v>0</v>
      </c>
      <c r="BP481" s="75">
        <f t="shared" ref="BP481:BP495" si="72">IFERROR(1/J481*(Y481/H481),"0")</f>
        <v>0</v>
      </c>
    </row>
    <row r="482" spans="1:68" ht="27" customHeight="1" x14ac:dyDescent="0.25">
      <c r="A482" s="60" t="s">
        <v>748</v>
      </c>
      <c r="B482" s="60" t="s">
        <v>749</v>
      </c>
      <c r="C482" s="34">
        <v>4301011961</v>
      </c>
      <c r="D482" s="673">
        <v>4680115885271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106</v>
      </c>
      <c r="L482" s="35" t="s">
        <v>45</v>
      </c>
      <c r="M482" s="36" t="s">
        <v>105</v>
      </c>
      <c r="N482" s="36"/>
      <c r="O482" s="35">
        <v>60</v>
      </c>
      <c r="P482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750</v>
      </c>
      <c r="AG482" s="75"/>
      <c r="AJ482" s="79" t="s">
        <v>45</v>
      </c>
      <c r="AK482" s="79">
        <v>0</v>
      </c>
      <c r="BB482" s="538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751</v>
      </c>
      <c r="B483" s="60" t="s">
        <v>752</v>
      </c>
      <c r="C483" s="34">
        <v>4301011376</v>
      </c>
      <c r="D483" s="673">
        <v>4680115885226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106</v>
      </c>
      <c r="L483" s="35" t="s">
        <v>45</v>
      </c>
      <c r="M483" s="36" t="s">
        <v>109</v>
      </c>
      <c r="N483" s="36"/>
      <c r="O483" s="35">
        <v>60</v>
      </c>
      <c r="P483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5"/>
      <c r="R483" s="675"/>
      <c r="S483" s="675"/>
      <c r="T483" s="676"/>
      <c r="U483" s="37" t="s">
        <v>45</v>
      </c>
      <c r="V483" s="37" t="s">
        <v>45</v>
      </c>
      <c r="W483" s="38" t="s">
        <v>0</v>
      </c>
      <c r="X483" s="56">
        <v>0</v>
      </c>
      <c r="Y483" s="53">
        <f t="shared" si="68"/>
        <v>0</v>
      </c>
      <c r="Z483" s="39" t="str">
        <f>IFERROR(IF(Y483=0,"",ROUNDUP(Y483/H483,0)*0.01196),"")</f>
        <v/>
      </c>
      <c r="AA483" s="65" t="s">
        <v>45</v>
      </c>
      <c r="AB483" s="66" t="s">
        <v>45</v>
      </c>
      <c r="AC483" s="539" t="s">
        <v>753</v>
      </c>
      <c r="AG483" s="75"/>
      <c r="AJ483" s="79" t="s">
        <v>45</v>
      </c>
      <c r="AK483" s="79">
        <v>0</v>
      </c>
      <c r="BB483" s="540" t="s">
        <v>66</v>
      </c>
      <c r="BM483" s="75">
        <f t="shared" si="69"/>
        <v>0</v>
      </c>
      <c r="BN483" s="75">
        <f t="shared" si="70"/>
        <v>0</v>
      </c>
      <c r="BO483" s="75">
        <f t="shared" si="71"/>
        <v>0</v>
      </c>
      <c r="BP483" s="75">
        <f t="shared" si="72"/>
        <v>0</v>
      </c>
    </row>
    <row r="484" spans="1:68" ht="27" customHeight="1" x14ac:dyDescent="0.25">
      <c r="A484" s="60" t="s">
        <v>754</v>
      </c>
      <c r="B484" s="60" t="s">
        <v>755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106</v>
      </c>
      <c r="L484" s="35" t="s">
        <v>45</v>
      </c>
      <c r="M484" s="36" t="s">
        <v>105</v>
      </c>
      <c r="N484" s="36"/>
      <c r="O484" s="35">
        <v>60</v>
      </c>
      <c r="P484" s="7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200</v>
      </c>
      <c r="Y484" s="53">
        <f t="shared" si="68"/>
        <v>200.64000000000001</v>
      </c>
      <c r="Z484" s="39">
        <f>IFERROR(IF(Y484=0,"",ROUNDUP(Y484/H484,0)*0.01196),"")</f>
        <v>0.45448</v>
      </c>
      <c r="AA484" s="65" t="s">
        <v>45</v>
      </c>
      <c r="AB484" s="66" t="s">
        <v>45</v>
      </c>
      <c r="AC484" s="541" t="s">
        <v>756</v>
      </c>
      <c r="AG484" s="75"/>
      <c r="AJ484" s="79" t="s">
        <v>45</v>
      </c>
      <c r="AK484" s="79">
        <v>0</v>
      </c>
      <c r="BB484" s="542" t="s">
        <v>66</v>
      </c>
      <c r="BM484" s="75">
        <f t="shared" si="69"/>
        <v>213.63636363636363</v>
      </c>
      <c r="BN484" s="75">
        <f t="shared" si="70"/>
        <v>214.32</v>
      </c>
      <c r="BO484" s="75">
        <f t="shared" si="71"/>
        <v>0.36421911421911418</v>
      </c>
      <c r="BP484" s="75">
        <f t="shared" si="72"/>
        <v>0.36538461538461542</v>
      </c>
    </row>
    <row r="485" spans="1:68" ht="16.5" customHeight="1" x14ac:dyDescent="0.25">
      <c r="A485" s="60" t="s">
        <v>757</v>
      </c>
      <c r="B485" s="60" t="s">
        <v>758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106</v>
      </c>
      <c r="L485" s="35" t="s">
        <v>45</v>
      </c>
      <c r="M485" s="36" t="s">
        <v>109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8"/>
        <v>0</v>
      </c>
      <c r="Z485" s="39" t="str">
        <f>IFERROR(IF(Y485=0,"",ROUNDUP(Y485/H485,0)*0.01196),"")</f>
        <v/>
      </c>
      <c r="AA485" s="65" t="s">
        <v>45</v>
      </c>
      <c r="AB485" s="66" t="s">
        <v>45</v>
      </c>
      <c r="AC485" s="543" t="s">
        <v>759</v>
      </c>
      <c r="AG485" s="75"/>
      <c r="AJ485" s="79" t="s">
        <v>45</v>
      </c>
      <c r="AK485" s="79">
        <v>0</v>
      </c>
      <c r="BB485" s="544" t="s">
        <v>66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customHeight="1" x14ac:dyDescent="0.25">
      <c r="A486" s="60" t="s">
        <v>760</v>
      </c>
      <c r="B486" s="60" t="s">
        <v>761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109</v>
      </c>
      <c r="N486" s="36"/>
      <c r="O486" s="35">
        <v>60</v>
      </c>
      <c r="P486" s="743" t="s">
        <v>762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8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747</v>
      </c>
      <c r="AG486" s="75"/>
      <c r="AJ486" s="79" t="s">
        <v>45</v>
      </c>
      <c r="AK486" s="79">
        <v>0</v>
      </c>
      <c r="BB486" s="546" t="s">
        <v>66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ht="27" customHeight="1" x14ac:dyDescent="0.25">
      <c r="A487" s="60" t="s">
        <v>763</v>
      </c>
      <c r="B487" s="60" t="s">
        <v>764</v>
      </c>
      <c r="C487" s="34">
        <v>4301012035</v>
      </c>
      <c r="D487" s="673">
        <v>4680115880603</v>
      </c>
      <c r="E487" s="673"/>
      <c r="F487" s="59">
        <v>0.6</v>
      </c>
      <c r="G487" s="35">
        <v>8</v>
      </c>
      <c r="H487" s="59">
        <v>4.8</v>
      </c>
      <c r="I487" s="59">
        <v>6.96</v>
      </c>
      <c r="J487" s="35">
        <v>120</v>
      </c>
      <c r="K487" s="35" t="s">
        <v>110</v>
      </c>
      <c r="L487" s="35" t="s">
        <v>45</v>
      </c>
      <c r="M487" s="36" t="s">
        <v>105</v>
      </c>
      <c r="N487" s="36"/>
      <c r="O487" s="35">
        <v>60</v>
      </c>
      <c r="P487" s="7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>IFERROR(IF(Y487=0,"",ROUNDUP(Y487/H487,0)*0.00937),"")</f>
        <v/>
      </c>
      <c r="AA487" s="65" t="s">
        <v>45</v>
      </c>
      <c r="AB487" s="66" t="s">
        <v>45</v>
      </c>
      <c r="AC487" s="547" t="s">
        <v>747</v>
      </c>
      <c r="AG487" s="75"/>
      <c r="AJ487" s="79" t="s">
        <v>45</v>
      </c>
      <c r="AK487" s="79">
        <v>0</v>
      </c>
      <c r="BB487" s="548" t="s">
        <v>66</v>
      </c>
      <c r="BM487" s="75">
        <f t="shared" si="69"/>
        <v>0</v>
      </c>
      <c r="BN487" s="75">
        <f t="shared" si="70"/>
        <v>0</v>
      </c>
      <c r="BO487" s="75">
        <f t="shared" si="71"/>
        <v>0</v>
      </c>
      <c r="BP487" s="75">
        <f t="shared" si="72"/>
        <v>0</v>
      </c>
    </row>
    <row r="488" spans="1:68" ht="27" customHeight="1" x14ac:dyDescent="0.25">
      <c r="A488" s="60" t="s">
        <v>763</v>
      </c>
      <c r="B488" s="60" t="s">
        <v>765</v>
      </c>
      <c r="C488" s="34">
        <v>4301011778</v>
      </c>
      <c r="D488" s="673">
        <v>4680115880603</v>
      </c>
      <c r="E488" s="673"/>
      <c r="F488" s="59">
        <v>0.6</v>
      </c>
      <c r="G488" s="35">
        <v>6</v>
      </c>
      <c r="H488" s="59">
        <v>3.6</v>
      </c>
      <c r="I488" s="59">
        <v>3.81</v>
      </c>
      <c r="J488" s="35">
        <v>132</v>
      </c>
      <c r="K488" s="35" t="s">
        <v>110</v>
      </c>
      <c r="L488" s="35" t="s">
        <v>45</v>
      </c>
      <c r="M488" s="36" t="s">
        <v>105</v>
      </c>
      <c r="N488" s="36"/>
      <c r="O488" s="35">
        <v>60</v>
      </c>
      <c r="P488" s="74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747</v>
      </c>
      <c r="AG488" s="75"/>
      <c r="AJ488" s="79" t="s">
        <v>45</v>
      </c>
      <c r="AK488" s="79">
        <v>0</v>
      </c>
      <c r="BB488" s="550" t="s">
        <v>66</v>
      </c>
      <c r="BM488" s="75">
        <f t="shared" si="69"/>
        <v>0</v>
      </c>
      <c r="BN488" s="75">
        <f t="shared" si="70"/>
        <v>0</v>
      </c>
      <c r="BO488" s="75">
        <f t="shared" si="71"/>
        <v>0</v>
      </c>
      <c r="BP488" s="75">
        <f t="shared" si="72"/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110</v>
      </c>
      <c r="L489" s="35" t="s">
        <v>45</v>
      </c>
      <c r="M489" s="36" t="s">
        <v>105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750</v>
      </c>
      <c r="AG489" s="75"/>
      <c r="AJ489" s="79" t="s">
        <v>45</v>
      </c>
      <c r="AK489" s="79">
        <v>0</v>
      </c>
      <c r="BB489" s="552" t="s">
        <v>66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768</v>
      </c>
      <c r="B490" s="60" t="s">
        <v>769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110</v>
      </c>
      <c r="L490" s="35" t="s">
        <v>45</v>
      </c>
      <c r="M490" s="36" t="s">
        <v>105</v>
      </c>
      <c r="N490" s="36"/>
      <c r="O490" s="35">
        <v>60</v>
      </c>
      <c r="P490" s="747" t="s">
        <v>770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753</v>
      </c>
      <c r="AG490" s="75"/>
      <c r="AJ490" s="79" t="s">
        <v>45</v>
      </c>
      <c r="AK490" s="79">
        <v>0</v>
      </c>
      <c r="BB490" s="554" t="s">
        <v>66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771</v>
      </c>
      <c r="B491" s="60" t="s">
        <v>772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110</v>
      </c>
      <c r="L491" s="35" t="s">
        <v>45</v>
      </c>
      <c r="M491" s="36" t="s">
        <v>105</v>
      </c>
      <c r="N491" s="36"/>
      <c r="O491" s="35">
        <v>60</v>
      </c>
      <c r="P491" s="748" t="s">
        <v>773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774</v>
      </c>
      <c r="AG491" s="75"/>
      <c r="AJ491" s="79" t="s">
        <v>45</v>
      </c>
      <c r="AK491" s="79">
        <v>0</v>
      </c>
      <c r="BB491" s="556" t="s">
        <v>66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775</v>
      </c>
      <c r="B492" s="60" t="s">
        <v>776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105</v>
      </c>
      <c r="N492" s="36"/>
      <c r="O492" s="35">
        <v>60</v>
      </c>
      <c r="P492" s="749" t="s">
        <v>777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778</v>
      </c>
      <c r="AG492" s="75"/>
      <c r="AJ492" s="79" t="s">
        <v>45</v>
      </c>
      <c r="AK492" s="79">
        <v>0</v>
      </c>
      <c r="BB492" s="558" t="s">
        <v>66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4301012034</v>
      </c>
      <c r="D493" s="673">
        <v>4607091389982</v>
      </c>
      <c r="E493" s="673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110</v>
      </c>
      <c r="L493" s="35" t="s">
        <v>45</v>
      </c>
      <c r="M493" s="36" t="s">
        <v>105</v>
      </c>
      <c r="N493" s="36"/>
      <c r="O493" s="35">
        <v>60</v>
      </c>
      <c r="P493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756</v>
      </c>
      <c r="AG493" s="75"/>
      <c r="AJ493" s="79" t="s">
        <v>45</v>
      </c>
      <c r="AK493" s="79">
        <v>0</v>
      </c>
      <c r="BB493" s="560" t="s">
        <v>66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4301011784</v>
      </c>
      <c r="D494" s="673">
        <v>4607091389982</v>
      </c>
      <c r="E494" s="673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110</v>
      </c>
      <c r="L494" s="35" t="s">
        <v>45</v>
      </c>
      <c r="M494" s="36" t="s">
        <v>105</v>
      </c>
      <c r="N494" s="36"/>
      <c r="O494" s="35">
        <v>60</v>
      </c>
      <c r="P494" s="73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756</v>
      </c>
      <c r="AG494" s="75"/>
      <c r="AJ494" s="79" t="s">
        <v>45</v>
      </c>
      <c r="AK494" s="79">
        <v>0</v>
      </c>
      <c r="BB494" s="562" t="s">
        <v>66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110</v>
      </c>
      <c r="L495" s="35" t="s">
        <v>45</v>
      </c>
      <c r="M495" s="36" t="s">
        <v>105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759</v>
      </c>
      <c r="AG495" s="75"/>
      <c r="AJ495" s="79" t="s">
        <v>45</v>
      </c>
      <c r="AK495" s="79">
        <v>0</v>
      </c>
      <c r="BB495" s="564" t="s">
        <v>66</v>
      </c>
      <c r="BM495" s="75">
        <f t="shared" si="69"/>
        <v>0</v>
      </c>
      <c r="BN495" s="75">
        <f t="shared" si="70"/>
        <v>0</v>
      </c>
      <c r="BO495" s="75">
        <f t="shared" si="71"/>
        <v>0</v>
      </c>
      <c r="BP495" s="75">
        <f t="shared" si="72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37.878787878787875</v>
      </c>
      <c r="Y496" s="41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</v>
      </c>
      <c r="Z496" s="41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0.45448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IFERROR(SUM(X481:X495),"0")</f>
        <v>200</v>
      </c>
      <c r="Y497" s="41">
        <f>IFERROR(SUM(Y481:Y495),"0")</f>
        <v>200.64000000000001</v>
      </c>
      <c r="Z497" s="40"/>
      <c r="AA497" s="64"/>
      <c r="AB497" s="64"/>
      <c r="AC497" s="64"/>
    </row>
    <row r="498" spans="1:68" ht="14.25" customHeight="1" x14ac:dyDescent="0.25">
      <c r="A498" s="672" t="s">
        <v>144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106</v>
      </c>
      <c r="L499" s="35" t="s">
        <v>45</v>
      </c>
      <c r="M499" s="36" t="s">
        <v>105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106</v>
      </c>
      <c r="L500" s="35" t="s">
        <v>45</v>
      </c>
      <c r="M500" s="36" t="s">
        <v>109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109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110</v>
      </c>
      <c r="L502" s="35" t="s">
        <v>45</v>
      </c>
      <c r="M502" s="36" t="s">
        <v>105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0</v>
      </c>
      <c r="Y503" s="41">
        <f>IFERROR(Y499/H499,"0")+IFERROR(Y500/H500,"0")+IFERROR(Y501/H501,"0")+IFERROR(Y502/H502,"0")</f>
        <v>0</v>
      </c>
      <c r="Z503" s="41">
        <f>IFERROR(IF(Z499="",0,Z499),"0")+IFERROR(IF(Z500="",0,Z500),"0")+IFERROR(IF(Z501="",0,Z501),"0")+IFERROR(IF(Z502="",0,Z502),"0")</f>
        <v>0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0</v>
      </c>
      <c r="Y504" s="41">
        <f>IFERROR(SUM(Y499:Y502),"0")</f>
        <v>0</v>
      </c>
      <c r="Z504" s="40"/>
      <c r="AA504" s="64"/>
      <c r="AB504" s="64"/>
      <c r="AC504" s="64"/>
    </row>
    <row r="505" spans="1:68" ht="14.25" customHeight="1" x14ac:dyDescent="0.25">
      <c r="A505" s="672" t="s">
        <v>155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106</v>
      </c>
      <c r="L506" s="35" t="s">
        <v>45</v>
      </c>
      <c r="M506" s="36" t="s">
        <v>105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3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4">IFERROR(X506*I506/H506,"0")</f>
        <v>0</v>
      </c>
      <c r="BN506" s="75">
        <f t="shared" ref="BN506:BN517" si="75">IFERROR(Y506*I506/H506,"0")</f>
        <v>0</v>
      </c>
      <c r="BO506" s="75">
        <f t="shared" ref="BO506:BO517" si="76">IFERROR(1/J506*(X506/H506),"0")</f>
        <v>0</v>
      </c>
      <c r="BP506" s="75">
        <f t="shared" ref="BP506:BP517" si="77">IFERROR(1/J506*(Y506/H506),"0")</f>
        <v>0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106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3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4"/>
        <v>0</v>
      </c>
      <c r="BN507" s="75">
        <f t="shared" si="75"/>
        <v>0</v>
      </c>
      <c r="BO507" s="75">
        <f t="shared" si="76"/>
        <v>0</v>
      </c>
      <c r="BP507" s="75">
        <f t="shared" si="77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106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3"/>
        <v>0</v>
      </c>
      <c r="Z508" s="39" t="str">
        <f>IFERROR(IF(Y508=0,"",ROUNDUP(Y508/H508,0)*0.01196),"")</f>
        <v/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4"/>
        <v>0</v>
      </c>
      <c r="BN508" s="75">
        <f t="shared" si="75"/>
        <v>0</v>
      </c>
      <c r="BO508" s="75">
        <f t="shared" si="76"/>
        <v>0</v>
      </c>
      <c r="BP508" s="75">
        <f t="shared" si="77"/>
        <v>0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105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3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4"/>
        <v>0</v>
      </c>
      <c r="BN509" s="75">
        <f t="shared" si="75"/>
        <v>0</v>
      </c>
      <c r="BO509" s="75">
        <f t="shared" si="76"/>
        <v>0</v>
      </c>
      <c r="BP509" s="75">
        <f t="shared" si="77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4301031351</v>
      </c>
      <c r="D510" s="673">
        <v>4680115882072</v>
      </c>
      <c r="E510" s="673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110</v>
      </c>
      <c r="L510" s="35" t="s">
        <v>45</v>
      </c>
      <c r="M510" s="36" t="s">
        <v>105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4"/>
        <v>0</v>
      </c>
      <c r="BN510" s="75">
        <f t="shared" si="75"/>
        <v>0</v>
      </c>
      <c r="BO510" s="75">
        <f t="shared" si="76"/>
        <v>0</v>
      </c>
      <c r="BP510" s="75">
        <f t="shared" si="77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110</v>
      </c>
      <c r="L511" s="35" t="s">
        <v>45</v>
      </c>
      <c r="M511" s="36" t="s">
        <v>105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4"/>
        <v>0</v>
      </c>
      <c r="BN511" s="75">
        <f t="shared" si="75"/>
        <v>0</v>
      </c>
      <c r="BO511" s="75">
        <f t="shared" si="76"/>
        <v>0</v>
      </c>
      <c r="BP511" s="75">
        <f t="shared" si="77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4301031419</v>
      </c>
      <c r="D512" s="673">
        <v>4680115882072</v>
      </c>
      <c r="E512" s="673"/>
      <c r="F512" s="59">
        <v>0.6</v>
      </c>
      <c r="G512" s="35">
        <v>8</v>
      </c>
      <c r="H512" s="59">
        <v>4.8</v>
      </c>
      <c r="I512" s="59">
        <v>6.93</v>
      </c>
      <c r="J512" s="35">
        <v>132</v>
      </c>
      <c r="K512" s="35" t="s">
        <v>110</v>
      </c>
      <c r="L512" s="35" t="s">
        <v>45</v>
      </c>
      <c r="M512" s="36" t="s">
        <v>105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4"/>
        <v>0</v>
      </c>
      <c r="BN512" s="75">
        <f t="shared" si="75"/>
        <v>0</v>
      </c>
      <c r="BO512" s="75">
        <f t="shared" si="76"/>
        <v>0</v>
      </c>
      <c r="BP512" s="75">
        <f t="shared" si="77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110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3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4"/>
        <v>0</v>
      </c>
      <c r="BN513" s="75">
        <f t="shared" si="75"/>
        <v>0</v>
      </c>
      <c r="BO513" s="75">
        <f t="shared" si="76"/>
        <v>0</v>
      </c>
      <c r="BP513" s="75">
        <f t="shared" si="77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110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3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4"/>
        <v>0</v>
      </c>
      <c r="BN514" s="75">
        <f t="shared" si="75"/>
        <v>0</v>
      </c>
      <c r="BO514" s="75">
        <f t="shared" si="76"/>
        <v>0</v>
      </c>
      <c r="BP514" s="75">
        <f t="shared" si="77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110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3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4"/>
        <v>0</v>
      </c>
      <c r="BN515" s="75">
        <f t="shared" si="75"/>
        <v>0</v>
      </c>
      <c r="BO515" s="75">
        <f t="shared" si="76"/>
        <v>0</v>
      </c>
      <c r="BP515" s="75">
        <f t="shared" si="77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4301031384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110</v>
      </c>
      <c r="L516" s="35" t="s">
        <v>45</v>
      </c>
      <c r="M516" s="36" t="s">
        <v>82</v>
      </c>
      <c r="N516" s="36"/>
      <c r="O516" s="35">
        <v>60</v>
      </c>
      <c r="P516" s="72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3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4"/>
        <v>0</v>
      </c>
      <c r="BN516" s="75">
        <f t="shared" si="75"/>
        <v>0</v>
      </c>
      <c r="BO516" s="75">
        <f t="shared" si="76"/>
        <v>0</v>
      </c>
      <c r="BP516" s="75">
        <f t="shared" si="77"/>
        <v>0</v>
      </c>
    </row>
    <row r="517" spans="1:68" ht="27" customHeight="1" x14ac:dyDescent="0.25">
      <c r="A517" s="60" t="s">
        <v>823</v>
      </c>
      <c r="B517" s="60" t="s">
        <v>827</v>
      </c>
      <c r="C517" s="34">
        <v>4301031417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132</v>
      </c>
      <c r="K517" s="35" t="s">
        <v>110</v>
      </c>
      <c r="L517" s="35" t="s">
        <v>45</v>
      </c>
      <c r="M517" s="36" t="s">
        <v>82</v>
      </c>
      <c r="N517" s="36"/>
      <c r="O517" s="35">
        <v>70</v>
      </c>
      <c r="P517" s="724" t="s">
        <v>828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3"/>
        <v>0</v>
      </c>
      <c r="Z517" s="39" t="str">
        <f>IFERROR(IF(Y517=0,"",ROUNDUP(Y517/H517,0)*0.00902),"")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4"/>
        <v>0</v>
      </c>
      <c r="BN517" s="75">
        <f t="shared" si="75"/>
        <v>0</v>
      </c>
      <c r="BO517" s="75">
        <f t="shared" si="76"/>
        <v>0</v>
      </c>
      <c r="BP517" s="75">
        <f t="shared" si="77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0</v>
      </c>
      <c r="Y519" s="41">
        <f>IFERROR(SUM(Y506:Y517),"0")</f>
        <v>0</v>
      </c>
      <c r="Z519" s="40"/>
      <c r="AA519" s="64"/>
      <c r="AB519" s="64"/>
      <c r="AC519" s="64"/>
    </row>
    <row r="520" spans="1:68" ht="14.25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106</v>
      </c>
      <c r="L521" s="35" t="s">
        <v>45</v>
      </c>
      <c r="M521" s="36" t="s">
        <v>109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106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109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672" t="s">
        <v>181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106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106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customHeight="1" x14ac:dyDescent="0.25">
      <c r="A533" s="672" t="s">
        <v>101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106</v>
      </c>
      <c r="L534" s="35" t="s">
        <v>45</v>
      </c>
      <c r="M534" s="36" t="s">
        <v>109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78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79">IFERROR(X534*I534/H534,"0")</f>
        <v>0</v>
      </c>
      <c r="BN534" s="75">
        <f t="shared" ref="BN534:BN539" si="80">IFERROR(Y534*I534/H534,"0")</f>
        <v>0</v>
      </c>
      <c r="BO534" s="75">
        <f t="shared" ref="BO534:BO539" si="81">IFERROR(1/J534*(X534/H534),"0")</f>
        <v>0</v>
      </c>
      <c r="BP534" s="75">
        <f t="shared" ref="BP534:BP539" si="82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106</v>
      </c>
      <c r="L535" s="35" t="s">
        <v>45</v>
      </c>
      <c r="M535" s="36" t="s">
        <v>105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8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79"/>
        <v>0</v>
      </c>
      <c r="BN535" s="75">
        <f t="shared" si="80"/>
        <v>0</v>
      </c>
      <c r="BO535" s="75">
        <f t="shared" si="81"/>
        <v>0</v>
      </c>
      <c r="BP535" s="75">
        <f t="shared" si="82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106</v>
      </c>
      <c r="L536" s="35" t="s">
        <v>45</v>
      </c>
      <c r="M536" s="36" t="s">
        <v>105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240</v>
      </c>
      <c r="Y536" s="53">
        <f t="shared" si="78"/>
        <v>240</v>
      </c>
      <c r="Z536" s="39">
        <f>IFERROR(IF(Y536=0,"",ROUNDUP(Y536/H536,0)*0.01898),"")</f>
        <v>0.37959999999999999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79"/>
        <v>248.70000000000002</v>
      </c>
      <c r="BN536" s="75">
        <f t="shared" si="80"/>
        <v>248.70000000000002</v>
      </c>
      <c r="BO536" s="75">
        <f t="shared" si="81"/>
        <v>0.3125</v>
      </c>
      <c r="BP536" s="75">
        <f t="shared" si="82"/>
        <v>0.3125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106</v>
      </c>
      <c r="L537" s="35" t="s">
        <v>45</v>
      </c>
      <c r="M537" s="36" t="s">
        <v>105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8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79"/>
        <v>0</v>
      </c>
      <c r="BN537" s="75">
        <f t="shared" si="80"/>
        <v>0</v>
      </c>
      <c r="BO537" s="75">
        <f t="shared" si="81"/>
        <v>0</v>
      </c>
      <c r="BP537" s="75">
        <f t="shared" si="82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110</v>
      </c>
      <c r="L538" s="35" t="s">
        <v>45</v>
      </c>
      <c r="M538" s="36" t="s">
        <v>105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8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79"/>
        <v>0</v>
      </c>
      <c r="BN538" s="75">
        <f t="shared" si="80"/>
        <v>0</v>
      </c>
      <c r="BO538" s="75">
        <f t="shared" si="81"/>
        <v>0</v>
      </c>
      <c r="BP538" s="75">
        <f t="shared" si="82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110</v>
      </c>
      <c r="L539" s="35" t="s">
        <v>45</v>
      </c>
      <c r="M539" s="36" t="s">
        <v>105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8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79"/>
        <v>0</v>
      </c>
      <c r="BN539" s="75">
        <f t="shared" si="80"/>
        <v>0</v>
      </c>
      <c r="BO539" s="75">
        <f t="shared" si="81"/>
        <v>0</v>
      </c>
      <c r="BP539" s="75">
        <f t="shared" si="82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20</v>
      </c>
      <c r="Y540" s="41">
        <f>IFERROR(Y534/H534,"0")+IFERROR(Y535/H535,"0")+IFERROR(Y536/H536,"0")+IFERROR(Y537/H537,"0")+IFERROR(Y538/H538,"0")+IFERROR(Y539/H539,"0")</f>
        <v>20</v>
      </c>
      <c r="Z540" s="41">
        <f>IFERROR(IF(Z534="",0,Z534),"0")+IFERROR(IF(Z535="",0,Z535),"0")+IFERROR(IF(Z536="",0,Z536),"0")+IFERROR(IF(Z537="",0,Z537),"0")+IFERROR(IF(Z538="",0,Z538),"0")+IFERROR(IF(Z539="",0,Z539),"0")</f>
        <v>0.37959999999999999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240</v>
      </c>
      <c r="Y541" s="41">
        <f>IFERROR(SUM(Y534:Y539),"0")</f>
        <v>240</v>
      </c>
      <c r="Z541" s="40"/>
      <c r="AA541" s="64"/>
      <c r="AB541" s="64"/>
      <c r="AC541" s="64"/>
    </row>
    <row r="542" spans="1:68" ht="14.25" customHeight="1" x14ac:dyDescent="0.25">
      <c r="A542" s="672" t="s">
        <v>144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106</v>
      </c>
      <c r="L543" s="35" t="s">
        <v>45</v>
      </c>
      <c r="M543" s="36" t="s">
        <v>109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106</v>
      </c>
      <c r="L544" s="35" t="s">
        <v>45</v>
      </c>
      <c r="M544" s="36" t="s">
        <v>105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106</v>
      </c>
      <c r="L545" s="35" t="s">
        <v>45</v>
      </c>
      <c r="M545" s="36" t="s">
        <v>105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106</v>
      </c>
      <c r="L546" s="35" t="s">
        <v>45</v>
      </c>
      <c r="M546" s="36" t="s">
        <v>105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110</v>
      </c>
      <c r="L547" s="35" t="s">
        <v>45</v>
      </c>
      <c r="M547" s="36" t="s">
        <v>105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672" t="s">
        <v>155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110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3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4">IFERROR(X551*I551/H551,"0")</f>
        <v>0</v>
      </c>
      <c r="BN551" s="75">
        <f t="shared" ref="BN551:BN557" si="85">IFERROR(Y551*I551/H551,"0")</f>
        <v>0</v>
      </c>
      <c r="BO551" s="75">
        <f t="shared" ref="BO551:BO557" si="86">IFERROR(1/J551*(X551/H551),"0")</f>
        <v>0</v>
      </c>
      <c r="BP551" s="75">
        <f t="shared" ref="BP551:BP557" si="87">IFERROR(1/J551*(Y551/H551),"0")</f>
        <v>0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110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3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4"/>
        <v>0</v>
      </c>
      <c r="BN552" s="75">
        <f t="shared" si="85"/>
        <v>0</v>
      </c>
      <c r="BO552" s="75">
        <f t="shared" si="86"/>
        <v>0</v>
      </c>
      <c r="BP552" s="75">
        <f t="shared" si="87"/>
        <v>0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110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3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4"/>
        <v>0</v>
      </c>
      <c r="BN553" s="75">
        <f t="shared" si="85"/>
        <v>0</v>
      </c>
      <c r="BO553" s="75">
        <f t="shared" si="86"/>
        <v>0</v>
      </c>
      <c r="BP553" s="75">
        <f t="shared" si="87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110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3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4"/>
        <v>0</v>
      </c>
      <c r="BN554" s="75">
        <f t="shared" si="85"/>
        <v>0</v>
      </c>
      <c r="BO554" s="75">
        <f t="shared" si="86"/>
        <v>0</v>
      </c>
      <c r="BP554" s="75">
        <f t="shared" si="87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110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3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4"/>
        <v>0</v>
      </c>
      <c r="BN555" s="75">
        <f t="shared" si="85"/>
        <v>0</v>
      </c>
      <c r="BO555" s="75">
        <f t="shared" si="86"/>
        <v>0</v>
      </c>
      <c r="BP555" s="75">
        <f t="shared" si="87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159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3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4"/>
        <v>0</v>
      </c>
      <c r="BN556" s="75">
        <f t="shared" si="85"/>
        <v>0</v>
      </c>
      <c r="BO556" s="75">
        <f t="shared" si="86"/>
        <v>0</v>
      </c>
      <c r="BP556" s="75">
        <f t="shared" si="87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159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3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4"/>
        <v>0</v>
      </c>
      <c r="BN557" s="75">
        <f t="shared" si="85"/>
        <v>0</v>
      </c>
      <c r="BO557" s="75">
        <f t="shared" si="86"/>
        <v>0</v>
      </c>
      <c r="BP557" s="75">
        <f t="shared" si="87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4301052046</v>
      </c>
      <c r="D561" s="673">
        <v>4640242180533</v>
      </c>
      <c r="E561" s="673"/>
      <c r="F561" s="59">
        <v>1.5</v>
      </c>
      <c r="G561" s="35">
        <v>6</v>
      </c>
      <c r="H561" s="59">
        <v>9</v>
      </c>
      <c r="I561" s="59">
        <v>9.5190000000000001</v>
      </c>
      <c r="J561" s="35">
        <v>64</v>
      </c>
      <c r="K561" s="35" t="s">
        <v>106</v>
      </c>
      <c r="L561" s="35" t="s">
        <v>45</v>
      </c>
      <c r="M561" s="36" t="s">
        <v>141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4301051887</v>
      </c>
      <c r="D562" s="673">
        <v>4640242180533</v>
      </c>
      <c r="E562" s="673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106</v>
      </c>
      <c r="L562" s="35" t="s">
        <v>45</v>
      </c>
      <c r="M562" s="36" t="s">
        <v>109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106</v>
      </c>
      <c r="L563" s="35" t="s">
        <v>45</v>
      </c>
      <c r="M563" s="36" t="s">
        <v>109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141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141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672" t="s">
        <v>181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4301060485</v>
      </c>
      <c r="D569" s="673">
        <v>4640242180120</v>
      </c>
      <c r="E569" s="673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106</v>
      </c>
      <c r="L569" s="35" t="s">
        <v>45</v>
      </c>
      <c r="M569" s="36" t="s">
        <v>109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4301060496</v>
      </c>
      <c r="D570" s="673">
        <v>4640242180120</v>
      </c>
      <c r="E570" s="673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106</v>
      </c>
      <c r="L570" s="35" t="s">
        <v>45</v>
      </c>
      <c r="M570" s="36" t="s">
        <v>141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4301060486</v>
      </c>
      <c r="D571" s="673">
        <v>4640242180137</v>
      </c>
      <c r="E571" s="673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106</v>
      </c>
      <c r="L571" s="35" t="s">
        <v>45</v>
      </c>
      <c r="M571" s="36" t="s">
        <v>109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4301060498</v>
      </c>
      <c r="D572" s="673">
        <v>4640242180137</v>
      </c>
      <c r="E572" s="673"/>
      <c r="F572" s="59">
        <v>1.5</v>
      </c>
      <c r="G572" s="35">
        <v>6</v>
      </c>
      <c r="H572" s="59">
        <v>9</v>
      </c>
      <c r="I572" s="59">
        <v>9.4350000000000005</v>
      </c>
      <c r="J572" s="35">
        <v>64</v>
      </c>
      <c r="K572" s="35" t="s">
        <v>106</v>
      </c>
      <c r="L572" s="35" t="s">
        <v>45</v>
      </c>
      <c r="M572" s="36" t="s">
        <v>141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customHeight="1" x14ac:dyDescent="0.25">
      <c r="A576" s="672" t="s">
        <v>101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106</v>
      </c>
      <c r="L577" s="35" t="s">
        <v>45</v>
      </c>
      <c r="M577" s="36" t="s">
        <v>105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672" t="s">
        <v>144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106</v>
      </c>
      <c r="L581" s="35" t="s">
        <v>45</v>
      </c>
      <c r="M581" s="36" t="s">
        <v>105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72" t="s">
        <v>155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110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106</v>
      </c>
      <c r="L589" s="35" t="s">
        <v>45</v>
      </c>
      <c r="M589" s="36" t="s">
        <v>141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17974.599999999999</v>
      </c>
      <c r="Y592" s="41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18050.14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18931.217820757676</v>
      </c>
      <c r="Y593" s="41">
        <f>IFERROR(SUM(BN22:BN589),"0")</f>
        <v>19010.490000000002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32</v>
      </c>
      <c r="Y594" s="42">
        <f>ROUNDUP(SUM(BP22:BP589),0)</f>
        <v>32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19731.217820757676</v>
      </c>
      <c r="Y595" s="41">
        <f>GrossWeightTotalR+PalletQtyTotalR*25</f>
        <v>19810.490000000002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2550.0935763582829</v>
      </c>
      <c r="Y596" s="41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2559</v>
      </c>
      <c r="Z596" s="40"/>
      <c r="AA596" s="64"/>
      <c r="AB596" s="64"/>
      <c r="AC596" s="64"/>
    </row>
    <row r="597" spans="1:32" ht="14.25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37.135710000000003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99</v>
      </c>
      <c r="D599" s="669" t="s">
        <v>99</v>
      </c>
      <c r="E599" s="669" t="s">
        <v>99</v>
      </c>
      <c r="F599" s="669" t="s">
        <v>99</v>
      </c>
      <c r="G599" s="669" t="s">
        <v>99</v>
      </c>
      <c r="H599" s="669" t="s">
        <v>99</v>
      </c>
      <c r="I599" s="669" t="s">
        <v>297</v>
      </c>
      <c r="J599" s="669" t="s">
        <v>297</v>
      </c>
      <c r="K599" s="669" t="s">
        <v>297</v>
      </c>
      <c r="L599" s="669" t="s">
        <v>297</v>
      </c>
      <c r="M599" s="669" t="s">
        <v>297</v>
      </c>
      <c r="N599" s="686"/>
      <c r="O599" s="669" t="s">
        <v>297</v>
      </c>
      <c r="P599" s="669" t="s">
        <v>297</v>
      </c>
      <c r="Q599" s="669" t="s">
        <v>297</v>
      </c>
      <c r="R599" s="669" t="s">
        <v>297</v>
      </c>
      <c r="S599" s="669" t="s">
        <v>297</v>
      </c>
      <c r="T599" s="669" t="s">
        <v>297</v>
      </c>
      <c r="U599" s="669" t="s">
        <v>297</v>
      </c>
      <c r="V599" s="669" t="s">
        <v>297</v>
      </c>
      <c r="W599" s="669" t="s">
        <v>588</v>
      </c>
      <c r="X599" s="669" t="s">
        <v>588</v>
      </c>
      <c r="Y599" s="669" t="s">
        <v>669</v>
      </c>
      <c r="Z599" s="669" t="s">
        <v>669</v>
      </c>
      <c r="AA599" s="669" t="s">
        <v>669</v>
      </c>
      <c r="AB599" s="669" t="s">
        <v>669</v>
      </c>
      <c r="AC599" s="80" t="s">
        <v>744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100</v>
      </c>
      <c r="D600" s="669" t="s">
        <v>121</v>
      </c>
      <c r="E600" s="669" t="s">
        <v>189</v>
      </c>
      <c r="F600" s="669" t="s">
        <v>220</v>
      </c>
      <c r="G600" s="669" t="s">
        <v>265</v>
      </c>
      <c r="H600" s="669" t="s">
        <v>99</v>
      </c>
      <c r="I600" s="669" t="s">
        <v>298</v>
      </c>
      <c r="J600" s="669" t="s">
        <v>333</v>
      </c>
      <c r="K600" s="669" t="s">
        <v>394</v>
      </c>
      <c r="L600" s="669" t="s">
        <v>429</v>
      </c>
      <c r="M600" s="669" t="s">
        <v>447</v>
      </c>
      <c r="N600" s="1"/>
      <c r="O600" s="669" t="s">
        <v>451</v>
      </c>
      <c r="P600" s="669" t="s">
        <v>460</v>
      </c>
      <c r="Q600" s="669" t="s">
        <v>474</v>
      </c>
      <c r="R600" s="669" t="s">
        <v>484</v>
      </c>
      <c r="S600" s="669" t="s">
        <v>488</v>
      </c>
      <c r="T600" s="669" t="s">
        <v>496</v>
      </c>
      <c r="U600" s="669" t="s">
        <v>501</v>
      </c>
      <c r="V600" s="669" t="s">
        <v>575</v>
      </c>
      <c r="W600" s="669" t="s">
        <v>589</v>
      </c>
      <c r="X600" s="669" t="s">
        <v>630</v>
      </c>
      <c r="Y600" s="669" t="s">
        <v>670</v>
      </c>
      <c r="Z600" s="669" t="s">
        <v>709</v>
      </c>
      <c r="AA600" s="669" t="s">
        <v>729</v>
      </c>
      <c r="AB600" s="669" t="s">
        <v>737</v>
      </c>
      <c r="AC600" s="669" t="s">
        <v>744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IFERROR(Y22*1,"0")+IFERROR(Y23*1,"0")+IFERROR(Y24*1,"0")+IFERROR(Y25*1,"0")+IFERROR(Y29*1,"0")</f>
        <v>0</v>
      </c>
      <c r="C602" s="50">
        <f>IFERROR(Y35*1,"0")+IFERROR(Y36*1,"0")+IFERROR(Y37*1,"0")+IFERROR(Y38*1,"0")+IFERROR(Y42*1,"0")</f>
        <v>349.20000000000005</v>
      </c>
      <c r="D602" s="50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3670.2000000000003</v>
      </c>
      <c r="E602" s="50">
        <f>IFERROR(Y86*1,"0")+IFERROR(Y87*1,"0")+IFERROR(Y88*1,"0")+IFERROR(Y92*1,"0")+IFERROR(Y93*1,"0")+IFERROR(Y94*1,"0")+IFERROR(Y95*1,"0")+IFERROR(Y96*1,"0")+IFERROR(Y97*1,"0")+IFERROR(Y98*1,"0")+IFERROR(Y99*1,"0")+IFERROR(Y100*1,"0")</f>
        <v>205.20000000000002</v>
      </c>
      <c r="F602" s="50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50">
        <f>IFERROR(Y136*1,"0")+IFERROR(Y137*1,"0")+IFERROR(Y141*1,"0")+IFERROR(Y142*1,"0")+IFERROR(Y146*1,"0")+IFERROR(Y147*1,"0")</f>
        <v>0</v>
      </c>
      <c r="H602" s="50">
        <f>IFERROR(Y152*1,"0")+IFERROR(Y156*1,"0")+IFERROR(Y157*1,"0")+IFERROR(Y158*1,"0")+IFERROR(Y159*1,"0")+IFERROR(Y163*1,"0")+IFERROR(Y164*1,"0")</f>
        <v>291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151.20000000000002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356.40000000000003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140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8141.2999999999993</v>
      </c>
      <c r="V602" s="50">
        <f>IFERROR(Y363*1,"0")+IFERROR(Y367*1,"0")+IFERROR(Y368*1,"0")+IFERROR(Y369*1,"0")</f>
        <v>210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4041</v>
      </c>
      <c r="X602" s="50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50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50">
        <f>IFERROR(Y452*1,"0")+IFERROR(Y453*1,"0")+IFERROR(Y457*1,"0")+IFERROR(Y458*1,"0")+IFERROR(Y459*1,"0")+IFERROR(Y460*1,"0")</f>
        <v>54</v>
      </c>
      <c r="AA602" s="50">
        <f>IFERROR(Y465*1,"0")+IFERROR(Y466*1,"0")</f>
        <v>0</v>
      </c>
      <c r="AB602" s="50">
        <f>IFERROR(Y471*1,"0")+IFERROR(Y475*1,"0")</f>
        <v>0</v>
      </c>
      <c r="AC602" s="50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200.64000000000001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240</v>
      </c>
      <c r="AE602" s="50">
        <f>IFERROR(Y577*1,"0")+IFERROR(Y581*1,"0")+IFERROR(Y585*1,"0")+IFERROR(Y589*1,"0")</f>
        <v>0</v>
      </c>
      <c r="AF602" s="1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P26:V26"/>
    <mergeCell ref="A26:O27"/>
    <mergeCell ref="P27:V27"/>
    <mergeCell ref="A28:Z28"/>
    <mergeCell ref="D29:E29"/>
    <mergeCell ref="P29:T29"/>
    <mergeCell ref="P30:V30"/>
    <mergeCell ref="A30:O31"/>
    <mergeCell ref="P31:V31"/>
    <mergeCell ref="A32:Z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P39:V39"/>
    <mergeCell ref="A39:O40"/>
    <mergeCell ref="P40:V40"/>
    <mergeCell ref="A41:Z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280 X106 X88" xr:uid="{00000000-0002-0000-0000-000011000000}">
      <formula1>IF(AK36&gt;0,OR(X36=0,AND(IF(X36-AK36&gt;=0,TRUE,FALSE),X36&gt;0,IF(X36/(H36*K36)=ROUND(X36/(H36*K36),0),TRUE,FALSE))),FALSE)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388 X381 X378 X376 X321 X123 X60 X53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