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13_ncr:1_{97BC5D09-D674-4C95-9D0C-AD81532694C3}" xr6:coauthVersionLast="47" xr6:coauthVersionMax="47" xr10:uidLastSave="{00000000-0000-0000-0000-000000000000}"/>
  <bookViews>
    <workbookView xWindow="2235" yWindow="22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X587" i="2"/>
  <c r="X586" i="2"/>
  <c r="BO585" i="2"/>
  <c r="BM585" i="2"/>
  <c r="Y585" i="2"/>
  <c r="Y586" i="2" s="1"/>
  <c r="X583" i="2"/>
  <c r="X582" i="2"/>
  <c r="BO581" i="2"/>
  <c r="BM581" i="2"/>
  <c r="Y581" i="2"/>
  <c r="BP581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M569" i="2"/>
  <c r="Y569" i="2"/>
  <c r="BN569" i="2" s="1"/>
  <c r="X567" i="2"/>
  <c r="X566" i="2"/>
  <c r="BO565" i="2"/>
  <c r="BM565" i="2"/>
  <c r="Y565" i="2"/>
  <c r="BP565" i="2" s="1"/>
  <c r="BO564" i="2"/>
  <c r="BM564" i="2"/>
  <c r="Y564" i="2"/>
  <c r="BN564" i="2" s="1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O545" i="2"/>
  <c r="BM545" i="2"/>
  <c r="Y545" i="2"/>
  <c r="BP545" i="2" s="1"/>
  <c r="BO544" i="2"/>
  <c r="BM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P495" i="2"/>
  <c r="BO495" i="2"/>
  <c r="BN495" i="2"/>
  <c r="BM495" i="2"/>
  <c r="Z495" i="2"/>
  <c r="Y495" i="2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Y468" i="2"/>
  <c r="X468" i="2"/>
  <c r="X467" i="2"/>
  <c r="BO466" i="2"/>
  <c r="BM466" i="2"/>
  <c r="Y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8" i="2"/>
  <c r="BO458" i="2"/>
  <c r="BN458" i="2"/>
  <c r="BM458" i="2"/>
  <c r="Z458" i="2"/>
  <c r="Y458" i="2"/>
  <c r="P458" i="2"/>
  <c r="BO457" i="2"/>
  <c r="BM457" i="2"/>
  <c r="Y457" i="2"/>
  <c r="X455" i="2"/>
  <c r="X454" i="2"/>
  <c r="BO453" i="2"/>
  <c r="BM453" i="2"/>
  <c r="Y453" i="2"/>
  <c r="P453" i="2"/>
  <c r="BP452" i="2"/>
  <c r="BO452" i="2"/>
  <c r="BN452" i="2"/>
  <c r="BM452" i="2"/>
  <c r="Z452" i="2"/>
  <c r="Y452" i="2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P407" i="2"/>
  <c r="BO407" i="2"/>
  <c r="BN407" i="2"/>
  <c r="BM407" i="2"/>
  <c r="Z407" i="2"/>
  <c r="Y407" i="2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N376" i="2"/>
  <c r="BM376" i="2"/>
  <c r="Z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Y360" i="2" s="1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P338" i="2"/>
  <c r="BO338" i="2"/>
  <c r="BN338" i="2"/>
  <c r="BM338" i="2"/>
  <c r="Z338" i="2"/>
  <c r="Y338" i="2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Y311" i="2"/>
  <c r="X311" i="2"/>
  <c r="Y310" i="2"/>
  <c r="X310" i="2"/>
  <c r="BP309" i="2"/>
  <c r="BO309" i="2"/>
  <c r="BN309" i="2"/>
  <c r="BM309" i="2"/>
  <c r="Z309" i="2"/>
  <c r="Y309" i="2"/>
  <c r="P309" i="2"/>
  <c r="BO308" i="2"/>
  <c r="BM308" i="2"/>
  <c r="Y308" i="2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M271" i="2"/>
  <c r="Z271" i="2"/>
  <c r="Y271" i="2"/>
  <c r="BN271" i="2" s="1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Y247" i="2"/>
  <c r="X247" i="2"/>
  <c r="BP246" i="2"/>
  <c r="BO246" i="2"/>
  <c r="BN246" i="2"/>
  <c r="BM246" i="2"/>
  <c r="Z246" i="2"/>
  <c r="Z247" i="2" s="1"/>
  <c r="Y246" i="2"/>
  <c r="Y248" i="2" s="1"/>
  <c r="X244" i="2"/>
  <c r="X243" i="2"/>
  <c r="BO242" i="2"/>
  <c r="BM242" i="2"/>
  <c r="Z242" i="2"/>
  <c r="Y242" i="2"/>
  <c r="BP241" i="2"/>
  <c r="BO241" i="2"/>
  <c r="BN241" i="2"/>
  <c r="BM241" i="2"/>
  <c r="Z241" i="2"/>
  <c r="Y241" i="2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N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N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Z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P182" i="2"/>
  <c r="BO182" i="2"/>
  <c r="BN182" i="2"/>
  <c r="BM182" i="2"/>
  <c r="Z182" i="2"/>
  <c r="Y182" i="2"/>
  <c r="P182" i="2"/>
  <c r="BO181" i="2"/>
  <c r="BM181" i="2"/>
  <c r="Y181" i="2"/>
  <c r="P181" i="2"/>
  <c r="BO180" i="2"/>
  <c r="BM180" i="2"/>
  <c r="Y180" i="2"/>
  <c r="BP180" i="2" s="1"/>
  <c r="P180" i="2"/>
  <c r="BP179" i="2"/>
  <c r="BO179" i="2"/>
  <c r="BM179" i="2"/>
  <c r="Z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Y149" i="2" s="1"/>
  <c r="P147" i="2"/>
  <c r="BO146" i="2"/>
  <c r="BM146" i="2"/>
  <c r="Z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P126" i="2"/>
  <c r="BO126" i="2"/>
  <c r="BN126" i="2"/>
  <c r="BM126" i="2"/>
  <c r="Z126" i="2"/>
  <c r="Y126" i="2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P113" i="2"/>
  <c r="BO113" i="2"/>
  <c r="BN113" i="2"/>
  <c r="BM113" i="2"/>
  <c r="Z113" i="2"/>
  <c r="Y113" i="2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P81" i="2"/>
  <c r="BO81" i="2"/>
  <c r="BM81" i="2"/>
  <c r="Z81" i="2"/>
  <c r="Y81" i="2"/>
  <c r="BN81" i="2" s="1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P71" i="2"/>
  <c r="BO71" i="2"/>
  <c r="BN71" i="2"/>
  <c r="BM71" i="2"/>
  <c r="Z71" i="2"/>
  <c r="Y71" i="2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Z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10" i="2"/>
  <c r="A9" i="2"/>
  <c r="F9" i="2" s="1"/>
  <c r="D7" i="2"/>
  <c r="Q6" i="2"/>
  <c r="P2" i="2"/>
  <c r="Z174" i="2" l="1"/>
  <c r="BP174" i="2"/>
  <c r="Y346" i="2"/>
  <c r="BP24" i="2"/>
  <c r="Z215" i="2"/>
  <c r="Z220" i="2"/>
  <c r="Z243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BN178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BN545" i="2"/>
  <c r="Z564" i="2"/>
  <c r="BP564" i="2"/>
  <c r="Z569" i="2"/>
  <c r="BP569" i="2"/>
  <c r="Z585" i="2"/>
  <c r="Z586" i="2" s="1"/>
  <c r="Y587" i="2"/>
  <c r="Z49" i="2"/>
  <c r="Z66" i="2"/>
  <c r="Z99" i="2"/>
  <c r="Z119" i="2"/>
  <c r="Z130" i="2"/>
  <c r="BP130" i="2"/>
  <c r="Y138" i="2"/>
  <c r="Z178" i="2"/>
  <c r="Z205" i="2"/>
  <c r="Z236" i="2"/>
  <c r="Y244" i="2"/>
  <c r="Z257" i="2"/>
  <c r="Z280" i="2"/>
  <c r="Z290" i="2"/>
  <c r="Z291" i="2" s="1"/>
  <c r="BP290" i="2"/>
  <c r="BN294" i="2"/>
  <c r="Z331" i="2"/>
  <c r="Z332" i="2" s="1"/>
  <c r="Z363" i="2"/>
  <c r="Z364" i="2" s="1"/>
  <c r="BP363" i="2"/>
  <c r="Z412" i="2"/>
  <c r="Y455" i="2"/>
  <c r="Z482" i="2"/>
  <c r="Z499" i="2"/>
  <c r="Z502" i="2"/>
  <c r="Z544" i="2"/>
  <c r="Z545" i="2"/>
  <c r="Z565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Z273" i="2" s="1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Z132" i="2" s="1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Z353" i="2" s="1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BP278" i="2"/>
  <c r="BN319" i="2"/>
  <c r="BP344" i="2"/>
  <c r="Y359" i="2"/>
  <c r="BP413" i="2"/>
  <c r="Z413" i="2"/>
  <c r="Z414" i="2" s="1"/>
  <c r="BN432" i="2"/>
  <c r="Z503" i="2"/>
  <c r="Z534" i="2"/>
  <c r="Z551" i="2"/>
  <c r="Z589" i="2"/>
  <c r="Z590" i="2" s="1"/>
  <c r="X593" i="2"/>
  <c r="X595" i="2" s="1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Z325" i="2" s="1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Y347" i="2"/>
  <c r="BP382" i="2"/>
  <c r="Y410" i="2"/>
  <c r="Y409" i="2"/>
  <c r="X602" i="2"/>
  <c r="BP403" i="2"/>
  <c r="Z403" i="2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Z115" i="2" s="1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340" i="2" l="1"/>
  <c r="Z461" i="2"/>
  <c r="Z261" i="2"/>
  <c r="Z109" i="2"/>
  <c r="Z143" i="2"/>
  <c r="Z346" i="2"/>
  <c r="Z67" i="2"/>
  <c r="Z422" i="2"/>
  <c r="Z238" i="2"/>
  <c r="Z409" i="2"/>
  <c r="Z56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<sst xmlns="http://schemas.openxmlformats.org/spreadsheetml/2006/main" count="4537" uniqueCount="970">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</sst>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D569" zoomScaleNormal="100" zoomScaleSheetLayoutView="100" workbookViewId="0">
      <selection activeCell="X395" sqref="X3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/>
      <c r="I5" s="674"/>
      <c r="J5" s="674"/>
      <c r="K5" s="674"/>
      <c r="L5" s="674"/>
      <c r="M5" s="674"/>
      <c r="N5" s="69"/>
      <c r="P5" s="26" t="s">
        <v>4</v>
      </c>
      <c r="Q5" s="676">
        <v>45757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0.41666666666666669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62</v>
      </c>
      <c r="L17" s="715" t="s">
        <v>64</v>
      </c>
      <c r="M17" s="715" t="s">
        <v>2</v>
      </c>
      <c r="N17" s="715" t="s">
        <v>63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65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4301051861</v>
      </c>
      <c r="D24" s="740">
        <v>4680115885905</v>
      </c>
      <c r="E24" s="740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customHeight="1" x14ac:dyDescent="0.25">
      <c r="A25" s="60" t="s">
        <v>90</v>
      </c>
      <c r="B25" s="60" t="s">
        <v>91</v>
      </c>
      <c r="C25" s="34">
        <v>4301051592</v>
      </c>
      <c r="D25" s="740">
        <v>4607091388244</v>
      </c>
      <c r="E25" s="740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x14ac:dyDescent="0.2">
      <c r="A26" s="750"/>
      <c r="B26" s="750"/>
      <c r="C26" s="750"/>
      <c r="D26" s="750"/>
      <c r="E26" s="750"/>
      <c r="F26" s="750"/>
      <c r="G26" s="750"/>
      <c r="H26" s="750"/>
      <c r="I26" s="750"/>
      <c r="J26" s="750"/>
      <c r="K26" s="750"/>
      <c r="L26" s="750"/>
      <c r="M26" s="750"/>
      <c r="N26" s="750"/>
      <c r="O26" s="751"/>
      <c r="P26" s="747" t="s">
        <v>40</v>
      </c>
      <c r="Q26" s="748"/>
      <c r="R26" s="748"/>
      <c r="S26" s="748"/>
      <c r="T26" s="748"/>
      <c r="U26" s="748"/>
      <c r="V26" s="74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x14ac:dyDescent="0.2">
      <c r="A27" s="750"/>
      <c r="B27" s="750"/>
      <c r="C27" s="750"/>
      <c r="D27" s="750"/>
      <c r="E27" s="750"/>
      <c r="F27" s="750"/>
      <c r="G27" s="750"/>
      <c r="H27" s="750"/>
      <c r="I27" s="750"/>
      <c r="J27" s="750"/>
      <c r="K27" s="750"/>
      <c r="L27" s="750"/>
      <c r="M27" s="750"/>
      <c r="N27" s="750"/>
      <c r="O27" s="751"/>
      <c r="P27" s="747" t="s">
        <v>40</v>
      </c>
      <c r="Q27" s="748"/>
      <c r="R27" s="748"/>
      <c r="S27" s="748"/>
      <c r="T27" s="748"/>
      <c r="U27" s="748"/>
      <c r="V27" s="74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customHeight="1" x14ac:dyDescent="0.25">
      <c r="A28" s="739" t="s">
        <v>93</v>
      </c>
      <c r="B28" s="739"/>
      <c r="C28" s="739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63"/>
      <c r="AB28" s="63"/>
      <c r="AC28" s="63"/>
    </row>
    <row r="29" spans="1:68" ht="27" customHeight="1" x14ac:dyDescent="0.25">
      <c r="A29" s="60" t="s">
        <v>94</v>
      </c>
      <c r="B29" s="60" t="s">
        <v>95</v>
      </c>
      <c r="C29" s="34">
        <v>4301032013</v>
      </c>
      <c r="D29" s="740">
        <v>4607091388503</v>
      </c>
      <c r="E29" s="740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742"/>
      <c r="R29" s="742"/>
      <c r="S29" s="742"/>
      <c r="T29" s="743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x14ac:dyDescent="0.2">
      <c r="A30" s="750"/>
      <c r="B30" s="750"/>
      <c r="C30" s="750"/>
      <c r="D30" s="750"/>
      <c r="E30" s="750"/>
      <c r="F30" s="750"/>
      <c r="G30" s="750"/>
      <c r="H30" s="750"/>
      <c r="I30" s="750"/>
      <c r="J30" s="750"/>
      <c r="K30" s="750"/>
      <c r="L30" s="750"/>
      <c r="M30" s="750"/>
      <c r="N30" s="750"/>
      <c r="O30" s="751"/>
      <c r="P30" s="747" t="s">
        <v>40</v>
      </c>
      <c r="Q30" s="748"/>
      <c r="R30" s="748"/>
      <c r="S30" s="748"/>
      <c r="T30" s="748"/>
      <c r="U30" s="748"/>
      <c r="V30" s="74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x14ac:dyDescent="0.2">
      <c r="A31" s="750"/>
      <c r="B31" s="750"/>
      <c r="C31" s="750"/>
      <c r="D31" s="750"/>
      <c r="E31" s="750"/>
      <c r="F31" s="750"/>
      <c r="G31" s="750"/>
      <c r="H31" s="750"/>
      <c r="I31" s="750"/>
      <c r="J31" s="750"/>
      <c r="K31" s="750"/>
      <c r="L31" s="750"/>
      <c r="M31" s="750"/>
      <c r="N31" s="750"/>
      <c r="O31" s="751"/>
      <c r="P31" s="747" t="s">
        <v>40</v>
      </c>
      <c r="Q31" s="748"/>
      <c r="R31" s="748"/>
      <c r="S31" s="748"/>
      <c r="T31" s="748"/>
      <c r="U31" s="748"/>
      <c r="V31" s="74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customHeight="1" x14ac:dyDescent="0.2">
      <c r="A32" s="737" t="s">
        <v>99</v>
      </c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737"/>
      <c r="P32" s="737"/>
      <c r="Q32" s="737"/>
      <c r="R32" s="737"/>
      <c r="S32" s="737"/>
      <c r="T32" s="737"/>
      <c r="U32" s="737"/>
      <c r="V32" s="737"/>
      <c r="W32" s="737"/>
      <c r="X32" s="737"/>
      <c r="Y32" s="737"/>
      <c r="Z32" s="737"/>
      <c r="AA32" s="52"/>
      <c r="AB32" s="52"/>
      <c r="AC32" s="52"/>
    </row>
    <row r="33" spans="1:68" ht="16.5" customHeight="1" x14ac:dyDescent="0.25">
      <c r="A33" s="738" t="s">
        <v>100</v>
      </c>
      <c r="B33" s="738"/>
      <c r="C33" s="738"/>
      <c r="D33" s="738"/>
      <c r="E33" s="738"/>
      <c r="F33" s="738"/>
      <c r="G33" s="738"/>
      <c r="H33" s="738"/>
      <c r="I33" s="738"/>
      <c r="J33" s="738"/>
      <c r="K33" s="738"/>
      <c r="L33" s="738"/>
      <c r="M33" s="738"/>
      <c r="N33" s="738"/>
      <c r="O33" s="738"/>
      <c r="P33" s="738"/>
      <c r="Q33" s="738"/>
      <c r="R33" s="738"/>
      <c r="S33" s="738"/>
      <c r="T33" s="738"/>
      <c r="U33" s="738"/>
      <c r="V33" s="738"/>
      <c r="W33" s="738"/>
      <c r="X33" s="738"/>
      <c r="Y33" s="738"/>
      <c r="Z33" s="738"/>
      <c r="AA33" s="62"/>
      <c r="AB33" s="62"/>
      <c r="AC33" s="62"/>
    </row>
    <row r="34" spans="1:68" ht="14.25" customHeight="1" x14ac:dyDescent="0.25">
      <c r="A34" s="739" t="s">
        <v>101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63"/>
      <c r="AB34" s="63"/>
      <c r="AC34" s="63"/>
    </row>
    <row r="35" spans="1:68" ht="16.5" customHeight="1" x14ac:dyDescent="0.25">
      <c r="A35" s="60" t="s">
        <v>102</v>
      </c>
      <c r="B35" s="60" t="s">
        <v>103</v>
      </c>
      <c r="C35" s="34">
        <v>4301011380</v>
      </c>
      <c r="D35" s="740">
        <v>4607091385670</v>
      </c>
      <c r="E35" s="740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742"/>
      <c r="R35" s="742"/>
      <c r="S35" s="742"/>
      <c r="T35" s="743"/>
      <c r="U35" s="37" t="s">
        <v>45</v>
      </c>
      <c r="V35" s="37" t="s">
        <v>45</v>
      </c>
      <c r="W35" s="38" t="s">
        <v>0</v>
      </c>
      <c r="X35" s="56">
        <v>200</v>
      </c>
      <c r="Y35" s="53">
        <f>IFERROR(IF(X35="",0,CEILING((X35/$H35),1)*$H35),"")</f>
        <v>205.20000000000002</v>
      </c>
      <c r="Z35" s="39">
        <f>IFERROR(IF(Y35=0,"",ROUNDUP(Y35/H35,0)*0.01898),"")</f>
        <v>0.36062</v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208.05555555555554</v>
      </c>
      <c r="BN35" s="75">
        <f>IFERROR(Y35*I35/H35,"0")</f>
        <v>213.46499999999997</v>
      </c>
      <c r="BO35" s="75">
        <f>IFERROR(1/J35*(X35/H35),"0")</f>
        <v>0.28935185185185186</v>
      </c>
      <c r="BP35" s="75">
        <f>IFERROR(1/J35*(Y35/H35),"0")</f>
        <v>0.296875</v>
      </c>
    </row>
    <row r="36" spans="1:68" ht="27" customHeight="1" x14ac:dyDescent="0.25">
      <c r="A36" s="60" t="s">
        <v>107</v>
      </c>
      <c r="B36" s="60" t="s">
        <v>108</v>
      </c>
      <c r="C36" s="34">
        <v>4301011382</v>
      </c>
      <c r="D36" s="740">
        <v>4607091385687</v>
      </c>
      <c r="E36" s="740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742"/>
      <c r="R36" s="742"/>
      <c r="S36" s="742"/>
      <c r="T36" s="743"/>
      <c r="U36" s="37" t="s">
        <v>45</v>
      </c>
      <c r="V36" s="37" t="s">
        <v>45</v>
      </c>
      <c r="W36" s="38" t="s">
        <v>0</v>
      </c>
      <c r="X36" s="56">
        <v>144</v>
      </c>
      <c r="Y36" s="53">
        <f>IFERROR(IF(X36="",0,CEILING((X36/$H36),1)*$H36),"")</f>
        <v>144</v>
      </c>
      <c r="Z36" s="39">
        <f>IFERROR(IF(Y36=0,"",ROUNDUP(Y36/H36,0)*0.00902),"")</f>
        <v>0.32472000000000001</v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151.56</v>
      </c>
      <c r="BN36" s="75">
        <f>IFERROR(Y36*I36/H36,"0")</f>
        <v>151.56</v>
      </c>
      <c r="BO36" s="75">
        <f>IFERROR(1/J36*(X36/H36),"0")</f>
        <v>0.27272727272727271</v>
      </c>
      <c r="BP36" s="75">
        <f>IFERROR(1/J36*(Y36/H36),"0")</f>
        <v>0.27272727272727271</v>
      </c>
    </row>
    <row r="37" spans="1:68" ht="27" customHeight="1" x14ac:dyDescent="0.25">
      <c r="A37" s="60" t="s">
        <v>113</v>
      </c>
      <c r="B37" s="60" t="s">
        <v>114</v>
      </c>
      <c r="C37" s="34">
        <v>4301011565</v>
      </c>
      <c r="D37" s="740">
        <v>4680115882539</v>
      </c>
      <c r="E37" s="740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4301011624</v>
      </c>
      <c r="D38" s="740">
        <v>4680115883949</v>
      </c>
      <c r="E38" s="740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x14ac:dyDescent="0.2">
      <c r="A39" s="750"/>
      <c r="B39" s="750"/>
      <c r="C39" s="750"/>
      <c r="D39" s="750"/>
      <c r="E39" s="750"/>
      <c r="F39" s="750"/>
      <c r="G39" s="750"/>
      <c r="H39" s="750"/>
      <c r="I39" s="750"/>
      <c r="J39" s="750"/>
      <c r="K39" s="750"/>
      <c r="L39" s="750"/>
      <c r="M39" s="750"/>
      <c r="N39" s="750"/>
      <c r="O39" s="751"/>
      <c r="P39" s="747" t="s">
        <v>40</v>
      </c>
      <c r="Q39" s="748"/>
      <c r="R39" s="748"/>
      <c r="S39" s="748"/>
      <c r="T39" s="748"/>
      <c r="U39" s="748"/>
      <c r="V39" s="749"/>
      <c r="W39" s="40" t="s">
        <v>39</v>
      </c>
      <c r="X39" s="41">
        <f>IFERROR(X35/H35,"0")+IFERROR(X36/H36,"0")+IFERROR(X37/H37,"0")+IFERROR(X38/H38,"0")</f>
        <v>54.518518518518519</v>
      </c>
      <c r="Y39" s="41">
        <f>IFERROR(Y35/H35,"0")+IFERROR(Y36/H36,"0")+IFERROR(Y37/H37,"0")+IFERROR(Y38/H38,"0")</f>
        <v>55</v>
      </c>
      <c r="Z39" s="41">
        <f>IFERROR(IF(Z35="",0,Z35),"0")+IFERROR(IF(Z36="",0,Z36),"0")+IFERROR(IF(Z37="",0,Z37),"0")+IFERROR(IF(Z38="",0,Z38),"0")</f>
        <v>0.68534000000000006</v>
      </c>
      <c r="AA39" s="64"/>
      <c r="AB39" s="64"/>
      <c r="AC39" s="64"/>
    </row>
    <row r="40" spans="1:68" x14ac:dyDescent="0.2">
      <c r="A40" s="750"/>
      <c r="B40" s="750"/>
      <c r="C40" s="750"/>
      <c r="D40" s="750"/>
      <c r="E40" s="750"/>
      <c r="F40" s="750"/>
      <c r="G40" s="750"/>
      <c r="H40" s="750"/>
      <c r="I40" s="750"/>
      <c r="J40" s="750"/>
      <c r="K40" s="750"/>
      <c r="L40" s="750"/>
      <c r="M40" s="750"/>
      <c r="N40" s="750"/>
      <c r="O40" s="751"/>
      <c r="P40" s="747" t="s">
        <v>40</v>
      </c>
      <c r="Q40" s="748"/>
      <c r="R40" s="748"/>
      <c r="S40" s="748"/>
      <c r="T40" s="748"/>
      <c r="U40" s="748"/>
      <c r="V40" s="749"/>
      <c r="W40" s="40" t="s">
        <v>0</v>
      </c>
      <c r="X40" s="41">
        <f>IFERROR(SUM(X35:X38),"0")</f>
        <v>344</v>
      </c>
      <c r="Y40" s="41">
        <f>IFERROR(SUM(Y35:Y38),"0")</f>
        <v>349.20000000000005</v>
      </c>
      <c r="Z40" s="40"/>
      <c r="AA40" s="64"/>
      <c r="AB40" s="64"/>
      <c r="AC40" s="64"/>
    </row>
    <row r="41" spans="1:68" ht="14.25" customHeight="1" x14ac:dyDescent="0.25">
      <c r="A41" s="739" t="s">
        <v>78</v>
      </c>
      <c r="B41" s="739"/>
      <c r="C41" s="739"/>
      <c r="D41" s="739"/>
      <c r="E41" s="739"/>
      <c r="F41" s="739"/>
      <c r="G41" s="739"/>
      <c r="H41" s="739"/>
      <c r="I41" s="739"/>
      <c r="J41" s="739"/>
      <c r="K41" s="739"/>
      <c r="L41" s="739"/>
      <c r="M41" s="739"/>
      <c r="N41" s="739"/>
      <c r="O41" s="739"/>
      <c r="P41" s="739"/>
      <c r="Q41" s="739"/>
      <c r="R41" s="739"/>
      <c r="S41" s="739"/>
      <c r="T41" s="739"/>
      <c r="U41" s="739"/>
      <c r="V41" s="739"/>
      <c r="W41" s="739"/>
      <c r="X41" s="739"/>
      <c r="Y41" s="739"/>
      <c r="Z41" s="739"/>
      <c r="AA41" s="63"/>
      <c r="AB41" s="63"/>
      <c r="AC41" s="63"/>
    </row>
    <row r="42" spans="1:68" ht="16.5" customHeight="1" x14ac:dyDescent="0.25">
      <c r="A42" s="60" t="s">
        <v>118</v>
      </c>
      <c r="B42" s="60" t="s">
        <v>119</v>
      </c>
      <c r="C42" s="34">
        <v>4301051820</v>
      </c>
      <c r="D42" s="740">
        <v>4680115884915</v>
      </c>
      <c r="E42" s="740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742"/>
      <c r="R42" s="742"/>
      <c r="S42" s="742"/>
      <c r="T42" s="743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750"/>
      <c r="B43" s="750"/>
      <c r="C43" s="750"/>
      <c r="D43" s="750"/>
      <c r="E43" s="750"/>
      <c r="F43" s="750"/>
      <c r="G43" s="750"/>
      <c r="H43" s="750"/>
      <c r="I43" s="750"/>
      <c r="J43" s="750"/>
      <c r="K43" s="750"/>
      <c r="L43" s="750"/>
      <c r="M43" s="750"/>
      <c r="N43" s="750"/>
      <c r="O43" s="751"/>
      <c r="P43" s="747" t="s">
        <v>40</v>
      </c>
      <c r="Q43" s="748"/>
      <c r="R43" s="748"/>
      <c r="S43" s="748"/>
      <c r="T43" s="748"/>
      <c r="U43" s="748"/>
      <c r="V43" s="74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x14ac:dyDescent="0.2">
      <c r="A44" s="750"/>
      <c r="B44" s="750"/>
      <c r="C44" s="750"/>
      <c r="D44" s="750"/>
      <c r="E44" s="750"/>
      <c r="F44" s="750"/>
      <c r="G44" s="750"/>
      <c r="H44" s="750"/>
      <c r="I44" s="750"/>
      <c r="J44" s="750"/>
      <c r="K44" s="750"/>
      <c r="L44" s="750"/>
      <c r="M44" s="750"/>
      <c r="N44" s="750"/>
      <c r="O44" s="751"/>
      <c r="P44" s="747" t="s">
        <v>40</v>
      </c>
      <c r="Q44" s="748"/>
      <c r="R44" s="748"/>
      <c r="S44" s="748"/>
      <c r="T44" s="748"/>
      <c r="U44" s="748"/>
      <c r="V44" s="74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customHeight="1" x14ac:dyDescent="0.25">
      <c r="A45" s="738" t="s">
        <v>121</v>
      </c>
      <c r="B45" s="738"/>
      <c r="C45" s="738"/>
      <c r="D45" s="738"/>
      <c r="E45" s="738"/>
      <c r="F45" s="738"/>
      <c r="G45" s="738"/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38"/>
      <c r="V45" s="738"/>
      <c r="W45" s="738"/>
      <c r="X45" s="738"/>
      <c r="Y45" s="738"/>
      <c r="Z45" s="738"/>
      <c r="AA45" s="62"/>
      <c r="AB45" s="62"/>
      <c r="AC45" s="62"/>
    </row>
    <row r="46" spans="1:68" ht="14.25" customHeight="1" x14ac:dyDescent="0.25">
      <c r="A46" s="739" t="s">
        <v>101</v>
      </c>
      <c r="B46" s="739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739"/>
      <c r="R46" s="739"/>
      <c r="S46" s="739"/>
      <c r="T46" s="739"/>
      <c r="U46" s="739"/>
      <c r="V46" s="739"/>
      <c r="W46" s="739"/>
      <c r="X46" s="739"/>
      <c r="Y46" s="739"/>
      <c r="Z46" s="739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4301012030</v>
      </c>
      <c r="D47" s="740">
        <v>4680115885882</v>
      </c>
      <c r="E47" s="740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742"/>
      <c r="R47" s="742"/>
      <c r="S47" s="742"/>
      <c r="T47" s="743"/>
      <c r="U47" s="37" t="s">
        <v>45</v>
      </c>
      <c r="V47" s="37" t="s">
        <v>45</v>
      </c>
      <c r="W47" s="38" t="s">
        <v>0</v>
      </c>
      <c r="X47" s="56">
        <v>100</v>
      </c>
      <c r="Y47" s="53">
        <f t="shared" ref="Y47:Y53" si="0">IFERROR(IF(X47="",0,CEILING((X47/$H47),1)*$H47),"")</f>
        <v>100.8</v>
      </c>
      <c r="Z47" s="39">
        <f>IFERROR(IF(Y47=0,"",ROUNDUP(Y47/H47,0)*0.01898),"")</f>
        <v>0.17082</v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103.88392857142858</v>
      </c>
      <c r="BN47" s="75">
        <f t="shared" ref="BN47:BN53" si="2">IFERROR(Y47*I47/H47,"0")</f>
        <v>104.715</v>
      </c>
      <c r="BO47" s="75">
        <f t="shared" ref="BO47:BO53" si="3">IFERROR(1/J47*(X47/H47),"0")</f>
        <v>0.13950892857142858</v>
      </c>
      <c r="BP47" s="75">
        <f t="shared" ref="BP47:BP53" si="4">IFERROR(1/J47*(Y47/H47),"0")</f>
        <v>0.140625</v>
      </c>
    </row>
    <row r="48" spans="1:68" ht="27" customHeight="1" x14ac:dyDescent="0.25">
      <c r="A48" s="60" t="s">
        <v>125</v>
      </c>
      <c r="B48" s="60" t="s">
        <v>126</v>
      </c>
      <c r="C48" s="34">
        <v>4301011816</v>
      </c>
      <c r="D48" s="740">
        <v>4680115881426</v>
      </c>
      <c r="E48" s="740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742"/>
      <c r="R48" s="742"/>
      <c r="S48" s="742"/>
      <c r="T48" s="743"/>
      <c r="U48" s="37" t="s">
        <v>45</v>
      </c>
      <c r="V48" s="37" t="s">
        <v>45</v>
      </c>
      <c r="W48" s="38" t="s">
        <v>0</v>
      </c>
      <c r="X48" s="56">
        <v>691.2</v>
      </c>
      <c r="Y48" s="53">
        <f t="shared" si="0"/>
        <v>691.2</v>
      </c>
      <c r="Z48" s="39">
        <f>IFERROR(IF(Y48=0,"",ROUNDUP(Y48/H48,0)*0.01898),"")</f>
        <v>1.21472</v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719.04</v>
      </c>
      <c r="BN48" s="75">
        <f t="shared" si="2"/>
        <v>719.04</v>
      </c>
      <c r="BO48" s="75">
        <f t="shared" si="3"/>
        <v>1</v>
      </c>
      <c r="BP48" s="75">
        <f t="shared" si="4"/>
        <v>1</v>
      </c>
    </row>
    <row r="49" spans="1:68" ht="27" customHeight="1" x14ac:dyDescent="0.25">
      <c r="A49" s="60" t="s">
        <v>130</v>
      </c>
      <c r="B49" s="60" t="s">
        <v>131</v>
      </c>
      <c r="C49" s="34">
        <v>4301011386</v>
      </c>
      <c r="D49" s="740">
        <v>4680115880283</v>
      </c>
      <c r="E49" s="740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4301011432</v>
      </c>
      <c r="D50" s="740">
        <v>4680115882720</v>
      </c>
      <c r="E50" s="740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761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customHeight="1" x14ac:dyDescent="0.25">
      <c r="A51" s="60" t="s">
        <v>136</v>
      </c>
      <c r="B51" s="60" t="s">
        <v>137</v>
      </c>
      <c r="C51" s="34">
        <v>4301011806</v>
      </c>
      <c r="D51" s="740">
        <v>4680115881525</v>
      </c>
      <c r="E51" s="740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7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customHeight="1" x14ac:dyDescent="0.25">
      <c r="A52" s="60" t="s">
        <v>138</v>
      </c>
      <c r="B52" s="60" t="s">
        <v>139</v>
      </c>
      <c r="C52" s="34">
        <v>4301011589</v>
      </c>
      <c r="D52" s="740">
        <v>4680115885899</v>
      </c>
      <c r="E52" s="740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7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customHeight="1" x14ac:dyDescent="0.25">
      <c r="A53" s="60" t="s">
        <v>142</v>
      </c>
      <c r="B53" s="60" t="s">
        <v>143</v>
      </c>
      <c r="C53" s="34">
        <v>4301011801</v>
      </c>
      <c r="D53" s="740">
        <v>4680115881419</v>
      </c>
      <c r="E53" s="740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1782</v>
      </c>
      <c r="Y53" s="53">
        <f t="shared" si="0"/>
        <v>1782</v>
      </c>
      <c r="Z53" s="39">
        <f>IFERROR(IF(Y53=0,"",ROUNDUP(Y53/H53,0)*0.00902),"")</f>
        <v>3.57192</v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1865.1599999999999</v>
      </c>
      <c r="BN53" s="75">
        <f t="shared" si="2"/>
        <v>1865.1599999999999</v>
      </c>
      <c r="BO53" s="75">
        <f t="shared" si="3"/>
        <v>3</v>
      </c>
      <c r="BP53" s="75">
        <f t="shared" si="4"/>
        <v>3</v>
      </c>
    </row>
    <row r="54" spans="1:68" x14ac:dyDescent="0.2">
      <c r="A54" s="750"/>
      <c r="B54" s="750"/>
      <c r="C54" s="750"/>
      <c r="D54" s="750"/>
      <c r="E54" s="750"/>
      <c r="F54" s="750"/>
      <c r="G54" s="750"/>
      <c r="H54" s="750"/>
      <c r="I54" s="750"/>
      <c r="J54" s="750"/>
      <c r="K54" s="750"/>
      <c r="L54" s="750"/>
      <c r="M54" s="750"/>
      <c r="N54" s="750"/>
      <c r="O54" s="751"/>
      <c r="P54" s="747" t="s">
        <v>40</v>
      </c>
      <c r="Q54" s="748"/>
      <c r="R54" s="748"/>
      <c r="S54" s="748"/>
      <c r="T54" s="748"/>
      <c r="U54" s="748"/>
      <c r="V54" s="749"/>
      <c r="W54" s="40" t="s">
        <v>39</v>
      </c>
      <c r="X54" s="41">
        <f>IFERROR(X47/H47,"0")+IFERROR(X48/H48,"0")+IFERROR(X49/H49,"0")+IFERROR(X50/H50,"0")+IFERROR(X51/H51,"0")+IFERROR(X52/H52,"0")+IFERROR(X53/H53,"0")</f>
        <v>468.92857142857144</v>
      </c>
      <c r="Y54" s="41">
        <f>IFERROR(Y47/H47,"0")+IFERROR(Y48/H48,"0")+IFERROR(Y49/H49,"0")+IFERROR(Y50/H50,"0")+IFERROR(Y51/H51,"0")+IFERROR(Y52/H52,"0")+IFERROR(Y53/H53,"0")</f>
        <v>469</v>
      </c>
      <c r="Z54" s="41">
        <f>IFERROR(IF(Z47="",0,Z47),"0")+IFERROR(IF(Z48="",0,Z48),"0")+IFERROR(IF(Z49="",0,Z49),"0")+IFERROR(IF(Z50="",0,Z50),"0")+IFERROR(IF(Z51="",0,Z51),"0")+IFERROR(IF(Z52="",0,Z52),"0")+IFERROR(IF(Z53="",0,Z53),"0")</f>
        <v>4.9574600000000002</v>
      </c>
      <c r="AA54" s="64"/>
      <c r="AB54" s="64"/>
      <c r="AC54" s="64"/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0</v>
      </c>
      <c r="X55" s="41">
        <f>IFERROR(SUM(X47:X53),"0")</f>
        <v>2573.1999999999998</v>
      </c>
      <c r="Y55" s="41">
        <f>IFERROR(SUM(Y47:Y53),"0")</f>
        <v>2574</v>
      </c>
      <c r="Z55" s="40"/>
      <c r="AA55" s="64"/>
      <c r="AB55" s="64"/>
      <c r="AC55" s="64"/>
    </row>
    <row r="56" spans="1:68" ht="14.25" customHeight="1" x14ac:dyDescent="0.25">
      <c r="A56" s="739" t="s">
        <v>144</v>
      </c>
      <c r="B56" s="739"/>
      <c r="C56" s="739"/>
      <c r="D56" s="739"/>
      <c r="E56" s="739"/>
      <c r="F56" s="739"/>
      <c r="G56" s="739"/>
      <c r="H56" s="739"/>
      <c r="I56" s="739"/>
      <c r="J56" s="739"/>
      <c r="K56" s="739"/>
      <c r="L56" s="739"/>
      <c r="M56" s="739"/>
      <c r="N56" s="739"/>
      <c r="O56" s="739"/>
      <c r="P56" s="739"/>
      <c r="Q56" s="739"/>
      <c r="R56" s="739"/>
      <c r="S56" s="739"/>
      <c r="T56" s="739"/>
      <c r="U56" s="739"/>
      <c r="V56" s="739"/>
      <c r="W56" s="739"/>
      <c r="X56" s="739"/>
      <c r="Y56" s="739"/>
      <c r="Z56" s="739"/>
      <c r="AA56" s="63"/>
      <c r="AB56" s="63"/>
      <c r="AC56" s="63"/>
    </row>
    <row r="57" spans="1:68" ht="16.5" customHeight="1" x14ac:dyDescent="0.25">
      <c r="A57" s="60" t="s">
        <v>145</v>
      </c>
      <c r="B57" s="60" t="s">
        <v>146</v>
      </c>
      <c r="C57" s="34">
        <v>4301020298</v>
      </c>
      <c r="D57" s="740">
        <v>4680115881440</v>
      </c>
      <c r="E57" s="740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7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742"/>
      <c r="R57" s="742"/>
      <c r="S57" s="742"/>
      <c r="T57" s="743"/>
      <c r="U57" s="37" t="s">
        <v>45</v>
      </c>
      <c r="V57" s="37" t="s">
        <v>45</v>
      </c>
      <c r="W57" s="38" t="s">
        <v>0</v>
      </c>
      <c r="X57" s="56">
        <v>600</v>
      </c>
      <c r="Y57" s="53">
        <f>IFERROR(IF(X57="",0,CEILING((X57/$H57),1)*$H57),"")</f>
        <v>604.80000000000007</v>
      </c>
      <c r="Z57" s="39">
        <f>IFERROR(IF(Y57=0,"",ROUNDUP(Y57/H57,0)*0.01898),"")</f>
        <v>1.06288</v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624.16666666666663</v>
      </c>
      <c r="BN57" s="75">
        <f>IFERROR(Y57*I57/H57,"0")</f>
        <v>629.16000000000008</v>
      </c>
      <c r="BO57" s="75">
        <f>IFERROR(1/J57*(X57/H57),"0")</f>
        <v>0.86805555555555547</v>
      </c>
      <c r="BP57" s="75">
        <f>IFERROR(1/J57*(Y57/H57),"0")</f>
        <v>0.875</v>
      </c>
    </row>
    <row r="58" spans="1:68" ht="27" customHeight="1" x14ac:dyDescent="0.25">
      <c r="A58" s="60" t="s">
        <v>148</v>
      </c>
      <c r="B58" s="60" t="s">
        <v>149</v>
      </c>
      <c r="C58" s="34">
        <v>4301020228</v>
      </c>
      <c r="D58" s="740">
        <v>4680115882751</v>
      </c>
      <c r="E58" s="740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76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customHeight="1" x14ac:dyDescent="0.25">
      <c r="A59" s="60" t="s">
        <v>151</v>
      </c>
      <c r="B59" s="60" t="s">
        <v>152</v>
      </c>
      <c r="C59" s="34">
        <v>4301020358</v>
      </c>
      <c r="D59" s="740">
        <v>4680115885950</v>
      </c>
      <c r="E59" s="740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customHeight="1" x14ac:dyDescent="0.25">
      <c r="A60" s="60" t="s">
        <v>153</v>
      </c>
      <c r="B60" s="60" t="s">
        <v>154</v>
      </c>
      <c r="C60" s="34">
        <v>4301020296</v>
      </c>
      <c r="D60" s="740">
        <v>4680115881433</v>
      </c>
      <c r="E60" s="740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76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491.4</v>
      </c>
      <c r="Y60" s="53">
        <f>IFERROR(IF(X60="",0,CEILING((X60/$H60),1)*$H60),"")</f>
        <v>491.40000000000003</v>
      </c>
      <c r="Z60" s="39">
        <f>IFERROR(IF(Y60=0,"",ROUNDUP(Y60/H60,0)*0.00651),"")</f>
        <v>1.18482</v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524.16</v>
      </c>
      <c r="BN60" s="75">
        <f>IFERROR(Y60*I60/H60,"0")</f>
        <v>524.16</v>
      </c>
      <c r="BO60" s="75">
        <f>IFERROR(1/J60*(X60/H60),"0")</f>
        <v>0.99999999999999989</v>
      </c>
      <c r="BP60" s="75">
        <f>IFERROR(1/J60*(Y60/H60),"0")</f>
        <v>1</v>
      </c>
    </row>
    <row r="61" spans="1:68" x14ac:dyDescent="0.2">
      <c r="A61" s="750"/>
      <c r="B61" s="750"/>
      <c r="C61" s="750"/>
      <c r="D61" s="750"/>
      <c r="E61" s="750"/>
      <c r="F61" s="750"/>
      <c r="G61" s="750"/>
      <c r="H61" s="750"/>
      <c r="I61" s="750"/>
      <c r="J61" s="750"/>
      <c r="K61" s="750"/>
      <c r="L61" s="750"/>
      <c r="M61" s="750"/>
      <c r="N61" s="750"/>
      <c r="O61" s="751"/>
      <c r="P61" s="747" t="s">
        <v>40</v>
      </c>
      <c r="Q61" s="748"/>
      <c r="R61" s="748"/>
      <c r="S61" s="748"/>
      <c r="T61" s="748"/>
      <c r="U61" s="748"/>
      <c r="V61" s="749"/>
      <c r="W61" s="40" t="s">
        <v>39</v>
      </c>
      <c r="X61" s="41">
        <f>IFERROR(X57/H57,"0")+IFERROR(X58/H58,"0")+IFERROR(X59/H59,"0")+IFERROR(X60/H60,"0")</f>
        <v>237.55555555555551</v>
      </c>
      <c r="Y61" s="41">
        <f>IFERROR(Y57/H57,"0")+IFERROR(Y58/H58,"0")+IFERROR(Y59/H59,"0")+IFERROR(Y60/H60,"0")</f>
        <v>238</v>
      </c>
      <c r="Z61" s="41">
        <f>IFERROR(IF(Z57="",0,Z57),"0")+IFERROR(IF(Z58="",0,Z58),"0")+IFERROR(IF(Z59="",0,Z59),"0")+IFERROR(IF(Z60="",0,Z60),"0")</f>
        <v>2.2477</v>
      </c>
      <c r="AA61" s="64"/>
      <c r="AB61" s="64"/>
      <c r="AC61" s="64"/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0</v>
      </c>
      <c r="X62" s="41">
        <f>IFERROR(SUM(X57:X60),"0")</f>
        <v>1091.4000000000001</v>
      </c>
      <c r="Y62" s="41">
        <f>IFERROR(SUM(Y57:Y60),"0")</f>
        <v>1096.2</v>
      </c>
      <c r="Z62" s="40"/>
      <c r="AA62" s="64"/>
      <c r="AB62" s="64"/>
      <c r="AC62" s="64"/>
    </row>
    <row r="63" spans="1:68" ht="14.25" customHeight="1" x14ac:dyDescent="0.25">
      <c r="A63" s="739" t="s">
        <v>155</v>
      </c>
      <c r="B63" s="739"/>
      <c r="C63" s="739"/>
      <c r="D63" s="739"/>
      <c r="E63" s="739"/>
      <c r="F63" s="739"/>
      <c r="G63" s="739"/>
      <c r="H63" s="739"/>
      <c r="I63" s="739"/>
      <c r="J63" s="739"/>
      <c r="K63" s="739"/>
      <c r="L63" s="739"/>
      <c r="M63" s="739"/>
      <c r="N63" s="739"/>
      <c r="O63" s="739"/>
      <c r="P63" s="739"/>
      <c r="Q63" s="739"/>
      <c r="R63" s="739"/>
      <c r="S63" s="739"/>
      <c r="T63" s="739"/>
      <c r="U63" s="739"/>
      <c r="V63" s="739"/>
      <c r="W63" s="739"/>
      <c r="X63" s="739"/>
      <c r="Y63" s="739"/>
      <c r="Z63" s="739"/>
      <c r="AA63" s="63"/>
      <c r="AB63" s="63"/>
      <c r="AC63" s="63"/>
    </row>
    <row r="64" spans="1:68" ht="27" customHeight="1" x14ac:dyDescent="0.25">
      <c r="A64" s="60" t="s">
        <v>156</v>
      </c>
      <c r="B64" s="60" t="s">
        <v>157</v>
      </c>
      <c r="C64" s="34">
        <v>4301031243</v>
      </c>
      <c r="D64" s="740">
        <v>4680115885073</v>
      </c>
      <c r="E64" s="740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7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742"/>
      <c r="R64" s="742"/>
      <c r="S64" s="742"/>
      <c r="T64" s="74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160</v>
      </c>
      <c r="B65" s="60" t="s">
        <v>161</v>
      </c>
      <c r="C65" s="34">
        <v>4301031241</v>
      </c>
      <c r="D65" s="740">
        <v>4680115885059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4301031316</v>
      </c>
      <c r="D66" s="740">
        <v>4680115885097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x14ac:dyDescent="0.2">
      <c r="A67" s="750"/>
      <c r="B67" s="750"/>
      <c r="C67" s="750"/>
      <c r="D67" s="750"/>
      <c r="E67" s="750"/>
      <c r="F67" s="750"/>
      <c r="G67" s="750"/>
      <c r="H67" s="750"/>
      <c r="I67" s="750"/>
      <c r="J67" s="750"/>
      <c r="K67" s="750"/>
      <c r="L67" s="750"/>
      <c r="M67" s="750"/>
      <c r="N67" s="750"/>
      <c r="O67" s="751"/>
      <c r="P67" s="747" t="s">
        <v>40</v>
      </c>
      <c r="Q67" s="748"/>
      <c r="R67" s="748"/>
      <c r="S67" s="748"/>
      <c r="T67" s="748"/>
      <c r="U67" s="748"/>
      <c r="V67" s="74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customHeight="1" x14ac:dyDescent="0.25">
      <c r="A69" s="739" t="s">
        <v>78</v>
      </c>
      <c r="B69" s="739"/>
      <c r="C69" s="739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39"/>
      <c r="Q69" s="739"/>
      <c r="R69" s="739"/>
      <c r="S69" s="739"/>
      <c r="T69" s="739"/>
      <c r="U69" s="739"/>
      <c r="V69" s="739"/>
      <c r="W69" s="739"/>
      <c r="X69" s="739"/>
      <c r="Y69" s="739"/>
      <c r="Z69" s="739"/>
      <c r="AA69" s="63"/>
      <c r="AB69" s="63"/>
      <c r="AC69" s="63"/>
    </row>
    <row r="70" spans="1:68" ht="16.5" customHeight="1" x14ac:dyDescent="0.25">
      <c r="A70" s="60" t="s">
        <v>166</v>
      </c>
      <c r="B70" s="60" t="s">
        <v>167</v>
      </c>
      <c r="C70" s="34">
        <v>4301051838</v>
      </c>
      <c r="D70" s="740">
        <v>4680115881891</v>
      </c>
      <c r="E70" s="740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77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742"/>
      <c r="R70" s="742"/>
      <c r="S70" s="742"/>
      <c r="T70" s="743"/>
      <c r="U70" s="37" t="s">
        <v>45</v>
      </c>
      <c r="V70" s="37" t="s">
        <v>45</v>
      </c>
      <c r="W70" s="38" t="s">
        <v>0</v>
      </c>
      <c r="X70" s="56">
        <v>0</v>
      </c>
      <c r="Y70" s="53">
        <f t="shared" ref="Y70:Y75" si="5">IFERROR(IF(X70="",0,CEILING((X70/$H70),1)*$H70),"")</f>
        <v>0</v>
      </c>
      <c r="Z70" s="39" t="str">
        <f>IFERROR(IF(Y70=0,"",ROUNDUP(Y70/H70,0)*0.01898),"")</f>
        <v/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0</v>
      </c>
      <c r="BN70" s="75">
        <f t="shared" ref="BN70:BN75" si="7">IFERROR(Y70*I70/H70,"0")</f>
        <v>0</v>
      </c>
      <c r="BO70" s="75">
        <f t="shared" ref="BO70:BO75" si="8">IFERROR(1/J70*(X70/H70),"0")</f>
        <v>0</v>
      </c>
      <c r="BP70" s="75">
        <f t="shared" ref="BP70:BP75" si="9">IFERROR(1/J70*(Y70/H70),"0")</f>
        <v>0</v>
      </c>
    </row>
    <row r="71" spans="1:68" ht="27" customHeight="1" x14ac:dyDescent="0.25">
      <c r="A71" s="60" t="s">
        <v>169</v>
      </c>
      <c r="B71" s="60" t="s">
        <v>170</v>
      </c>
      <c r="C71" s="34">
        <v>4301051846</v>
      </c>
      <c r="D71" s="740">
        <v>4680115885769</v>
      </c>
      <c r="E71" s="740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77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customHeight="1" x14ac:dyDescent="0.25">
      <c r="A72" s="60" t="s">
        <v>172</v>
      </c>
      <c r="B72" s="60" t="s">
        <v>173</v>
      </c>
      <c r="C72" s="34">
        <v>4301051822</v>
      </c>
      <c r="D72" s="740">
        <v>4680115884410</v>
      </c>
      <c r="E72" s="740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77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ht="16.5" customHeight="1" x14ac:dyDescent="0.25">
      <c r="A73" s="60" t="s">
        <v>175</v>
      </c>
      <c r="B73" s="60" t="s">
        <v>176</v>
      </c>
      <c r="C73" s="34">
        <v>4301051837</v>
      </c>
      <c r="D73" s="740">
        <v>4680115884311</v>
      </c>
      <c r="E73" s="74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77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customHeight="1" x14ac:dyDescent="0.25">
      <c r="A74" s="60" t="s">
        <v>177</v>
      </c>
      <c r="B74" s="60" t="s">
        <v>178</v>
      </c>
      <c r="C74" s="34">
        <v>4301051844</v>
      </c>
      <c r="D74" s="740">
        <v>4680115885929</v>
      </c>
      <c r="E74" s="740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7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customHeight="1" x14ac:dyDescent="0.25">
      <c r="A75" s="60" t="s">
        <v>179</v>
      </c>
      <c r="B75" s="60" t="s">
        <v>180</v>
      </c>
      <c r="C75" s="34">
        <v>4301051827</v>
      </c>
      <c r="D75" s="740">
        <v>4680115884403</v>
      </c>
      <c r="E75" s="740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x14ac:dyDescent="0.2">
      <c r="A76" s="750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1"/>
      <c r="P76" s="747" t="s">
        <v>40</v>
      </c>
      <c r="Q76" s="748"/>
      <c r="R76" s="748"/>
      <c r="S76" s="748"/>
      <c r="T76" s="748"/>
      <c r="U76" s="748"/>
      <c r="V76" s="749"/>
      <c r="W76" s="40" t="s">
        <v>39</v>
      </c>
      <c r="X76" s="41">
        <f>IFERROR(X70/H70,"0")+IFERROR(X71/H71,"0")+IFERROR(X72/H72,"0")+IFERROR(X73/H73,"0")+IFERROR(X74/H74,"0")+IFERROR(X75/H75,"0")</f>
        <v>0</v>
      </c>
      <c r="Y76" s="41">
        <f>IFERROR(Y70/H70,"0")+IFERROR(Y71/H71,"0")+IFERROR(Y72/H72,"0")+IFERROR(Y73/H73,"0")+IFERROR(Y74/H74,"0")+IFERROR(Y75/H75,"0")</f>
        <v>0</v>
      </c>
      <c r="Z76" s="41">
        <f>IFERROR(IF(Z70="",0,Z70),"0")+IFERROR(IF(Z71="",0,Z71),"0")+IFERROR(IF(Z72="",0,Z72),"0")+IFERROR(IF(Z73="",0,Z73),"0")+IFERROR(IF(Z74="",0,Z74),"0")+IFERROR(IF(Z75="",0,Z75),"0")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0</v>
      </c>
      <c r="X77" s="41">
        <f>IFERROR(SUM(X70:X75),"0")</f>
        <v>0</v>
      </c>
      <c r="Y77" s="41">
        <f>IFERROR(SUM(Y70:Y75),"0")</f>
        <v>0</v>
      </c>
      <c r="Z77" s="40"/>
      <c r="AA77" s="64"/>
      <c r="AB77" s="64"/>
      <c r="AC77" s="64"/>
    </row>
    <row r="78" spans="1:68" ht="14.25" customHeight="1" x14ac:dyDescent="0.25">
      <c r="A78" s="739" t="s">
        <v>181</v>
      </c>
      <c r="B78" s="739"/>
      <c r="C78" s="739"/>
      <c r="D78" s="739"/>
      <c r="E78" s="739"/>
      <c r="F78" s="739"/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39"/>
      <c r="T78" s="739"/>
      <c r="U78" s="739"/>
      <c r="V78" s="739"/>
      <c r="W78" s="739"/>
      <c r="X78" s="739"/>
      <c r="Y78" s="739"/>
      <c r="Z78" s="739"/>
      <c r="AA78" s="63"/>
      <c r="AB78" s="63"/>
      <c r="AC78" s="63"/>
    </row>
    <row r="79" spans="1:68" ht="37.5" customHeight="1" x14ac:dyDescent="0.25">
      <c r="A79" s="60" t="s">
        <v>182</v>
      </c>
      <c r="B79" s="60" t="s">
        <v>183</v>
      </c>
      <c r="C79" s="34">
        <v>4301060366</v>
      </c>
      <c r="D79" s="740">
        <v>4680115881532</v>
      </c>
      <c r="E79" s="740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742"/>
      <c r="R79" s="742"/>
      <c r="S79" s="742"/>
      <c r="T79" s="743"/>
      <c r="U79" s="37" t="s">
        <v>45</v>
      </c>
      <c r="V79" s="37" t="s">
        <v>45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37.5" customHeight="1" x14ac:dyDescent="0.25">
      <c r="A80" s="60" t="s">
        <v>182</v>
      </c>
      <c r="B80" s="60" t="s">
        <v>185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186</v>
      </c>
      <c r="B81" s="60" t="s">
        <v>187</v>
      </c>
      <c r="C81" s="34">
        <v>4301060351</v>
      </c>
      <c r="D81" s="740">
        <v>4680115881464</v>
      </c>
      <c r="E81" s="740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750"/>
      <c r="B82" s="750"/>
      <c r="C82" s="750"/>
      <c r="D82" s="750"/>
      <c r="E82" s="750"/>
      <c r="F82" s="750"/>
      <c r="G82" s="750"/>
      <c r="H82" s="750"/>
      <c r="I82" s="750"/>
      <c r="J82" s="750"/>
      <c r="K82" s="750"/>
      <c r="L82" s="750"/>
      <c r="M82" s="750"/>
      <c r="N82" s="750"/>
      <c r="O82" s="751"/>
      <c r="P82" s="747" t="s">
        <v>40</v>
      </c>
      <c r="Q82" s="748"/>
      <c r="R82" s="748"/>
      <c r="S82" s="748"/>
      <c r="T82" s="748"/>
      <c r="U82" s="748"/>
      <c r="V82" s="749"/>
      <c r="W82" s="40" t="s">
        <v>39</v>
      </c>
      <c r="X82" s="41">
        <f>IFERROR(X79/H79,"0")+IFERROR(X80/H80,"0")+IFERROR(X81/H81,"0")</f>
        <v>0</v>
      </c>
      <c r="Y82" s="41">
        <f>IFERROR(Y79/H79,"0")+IFERROR(Y80/H80,"0")+IFERROR(Y81/H81,"0")</f>
        <v>0</v>
      </c>
      <c r="Z82" s="41">
        <f>IFERROR(IF(Z79="",0,Z79),"0")+IFERROR(IF(Z80="",0,Z80),"0")+IFERROR(IF(Z81="",0,Z81),"0")</f>
        <v>0</v>
      </c>
      <c r="AA82" s="64"/>
      <c r="AB82" s="64"/>
      <c r="AC82" s="64"/>
    </row>
    <row r="83" spans="1:68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0</v>
      </c>
      <c r="X83" s="41">
        <f>IFERROR(SUM(X79:X81),"0")</f>
        <v>0</v>
      </c>
      <c r="Y83" s="41">
        <f>IFERROR(SUM(Y79:Y81),"0")</f>
        <v>0</v>
      </c>
      <c r="Z83" s="40"/>
      <c r="AA83" s="64"/>
      <c r="AB83" s="64"/>
      <c r="AC83" s="64"/>
    </row>
    <row r="84" spans="1:68" ht="16.5" customHeight="1" x14ac:dyDescent="0.25">
      <c r="A84" s="738" t="s">
        <v>189</v>
      </c>
      <c r="B84" s="738"/>
      <c r="C84" s="738"/>
      <c r="D84" s="738"/>
      <c r="E84" s="738"/>
      <c r="F84" s="738"/>
      <c r="G84" s="738"/>
      <c r="H84" s="738"/>
      <c r="I84" s="738"/>
      <c r="J84" s="738"/>
      <c r="K84" s="738"/>
      <c r="L84" s="738"/>
      <c r="M84" s="738"/>
      <c r="N84" s="738"/>
      <c r="O84" s="738"/>
      <c r="P84" s="738"/>
      <c r="Q84" s="738"/>
      <c r="R84" s="738"/>
      <c r="S84" s="738"/>
      <c r="T84" s="738"/>
      <c r="U84" s="738"/>
      <c r="V84" s="738"/>
      <c r="W84" s="738"/>
      <c r="X84" s="738"/>
      <c r="Y84" s="738"/>
      <c r="Z84" s="738"/>
      <c r="AA84" s="62"/>
      <c r="AB84" s="62"/>
      <c r="AC84" s="62"/>
    </row>
    <row r="85" spans="1:68" ht="14.25" customHeight="1" x14ac:dyDescent="0.25">
      <c r="A85" s="739" t="s">
        <v>101</v>
      </c>
      <c r="B85" s="739"/>
      <c r="C85" s="739"/>
      <c r="D85" s="739"/>
      <c r="E85" s="739"/>
      <c r="F85" s="739"/>
      <c r="G85" s="739"/>
      <c r="H85" s="739"/>
      <c r="I85" s="739"/>
      <c r="J85" s="739"/>
      <c r="K85" s="739"/>
      <c r="L85" s="739"/>
      <c r="M85" s="739"/>
      <c r="N85" s="739"/>
      <c r="O85" s="739"/>
      <c r="P85" s="739"/>
      <c r="Q85" s="739"/>
      <c r="R85" s="739"/>
      <c r="S85" s="739"/>
      <c r="T85" s="739"/>
      <c r="U85" s="739"/>
      <c r="V85" s="739"/>
      <c r="W85" s="739"/>
      <c r="X85" s="739"/>
      <c r="Y85" s="739"/>
      <c r="Z85" s="739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740">
        <v>4680115881327</v>
      </c>
      <c r="E86" s="740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7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742"/>
      <c r="R86" s="742"/>
      <c r="S86" s="742"/>
      <c r="T86" s="743"/>
      <c r="U86" s="37" t="s">
        <v>45</v>
      </c>
      <c r="V86" s="37" t="s">
        <v>45</v>
      </c>
      <c r="W86" s="38" t="s">
        <v>0</v>
      </c>
      <c r="X86" s="56">
        <v>200</v>
      </c>
      <c r="Y86" s="53">
        <f>IFERROR(IF(X86="",0,CEILING((X86/$H86),1)*$H86),"")</f>
        <v>205.20000000000002</v>
      </c>
      <c r="Z86" s="39">
        <f>IFERROR(IF(Y86=0,"",ROUNDUP(Y86/H86,0)*0.01898),"")</f>
        <v>0.36062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208.05555555555554</v>
      </c>
      <c r="BN86" s="75">
        <f>IFERROR(Y86*I86/H86,"0")</f>
        <v>213.46499999999997</v>
      </c>
      <c r="BO86" s="75">
        <f>IFERROR(1/J86*(X86/H86),"0")</f>
        <v>0.28935185185185186</v>
      </c>
      <c r="BP86" s="75">
        <f>IFERROR(1/J86*(Y86/H86),"0")</f>
        <v>0.296875</v>
      </c>
    </row>
    <row r="87" spans="1:68" ht="16.5" customHeight="1" x14ac:dyDescent="0.25">
      <c r="A87" s="60" t="s">
        <v>193</v>
      </c>
      <c r="B87" s="60" t="s">
        <v>194</v>
      </c>
      <c r="C87" s="34">
        <v>4301011476</v>
      </c>
      <c r="D87" s="740">
        <v>4680115881518</v>
      </c>
      <c r="E87" s="740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195</v>
      </c>
      <c r="B88" s="60" t="s">
        <v>196</v>
      </c>
      <c r="C88" s="34">
        <v>4301011443</v>
      </c>
      <c r="D88" s="740">
        <v>4680115881303</v>
      </c>
      <c r="E88" s="740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750"/>
      <c r="B89" s="750"/>
      <c r="C89" s="750"/>
      <c r="D89" s="750"/>
      <c r="E89" s="750"/>
      <c r="F89" s="750"/>
      <c r="G89" s="750"/>
      <c r="H89" s="750"/>
      <c r="I89" s="750"/>
      <c r="J89" s="750"/>
      <c r="K89" s="750"/>
      <c r="L89" s="750"/>
      <c r="M89" s="750"/>
      <c r="N89" s="750"/>
      <c r="O89" s="751"/>
      <c r="P89" s="747" t="s">
        <v>40</v>
      </c>
      <c r="Q89" s="748"/>
      <c r="R89" s="748"/>
      <c r="S89" s="748"/>
      <c r="T89" s="748"/>
      <c r="U89" s="748"/>
      <c r="V89" s="749"/>
      <c r="W89" s="40" t="s">
        <v>39</v>
      </c>
      <c r="X89" s="41">
        <f>IFERROR(X86/H86,"0")+IFERROR(X87/H87,"0")+IFERROR(X88/H88,"0")</f>
        <v>18.518518518518519</v>
      </c>
      <c r="Y89" s="41">
        <f>IFERROR(Y86/H86,"0")+IFERROR(Y87/H87,"0")+IFERROR(Y88/H88,"0")</f>
        <v>19</v>
      </c>
      <c r="Z89" s="41">
        <f>IFERROR(IF(Z86="",0,Z86),"0")+IFERROR(IF(Z87="",0,Z87),"0")+IFERROR(IF(Z88="",0,Z88),"0")</f>
        <v>0.36062</v>
      </c>
      <c r="AA89" s="64"/>
      <c r="AB89" s="64"/>
      <c r="AC89" s="64"/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0</v>
      </c>
      <c r="X90" s="41">
        <f>IFERROR(SUM(X86:X88),"0")</f>
        <v>200</v>
      </c>
      <c r="Y90" s="41">
        <f>IFERROR(SUM(Y86:Y88),"0")</f>
        <v>205.20000000000002</v>
      </c>
      <c r="Z90" s="40"/>
      <c r="AA90" s="64"/>
      <c r="AB90" s="64"/>
      <c r="AC90" s="64"/>
    </row>
    <row r="91" spans="1:68" ht="14.25" customHeight="1" x14ac:dyDescent="0.25">
      <c r="A91" s="739" t="s">
        <v>78</v>
      </c>
      <c r="B91" s="739"/>
      <c r="C91" s="739"/>
      <c r="D91" s="739"/>
      <c r="E91" s="739"/>
      <c r="F91" s="739"/>
      <c r="G91" s="739"/>
      <c r="H91" s="739"/>
      <c r="I91" s="739"/>
      <c r="J91" s="739"/>
      <c r="K91" s="739"/>
      <c r="L91" s="739"/>
      <c r="M91" s="739"/>
      <c r="N91" s="739"/>
      <c r="O91" s="739"/>
      <c r="P91" s="739"/>
      <c r="Q91" s="739"/>
      <c r="R91" s="739"/>
      <c r="S91" s="739"/>
      <c r="T91" s="739"/>
      <c r="U91" s="739"/>
      <c r="V91" s="739"/>
      <c r="W91" s="739"/>
      <c r="X91" s="739"/>
      <c r="Y91" s="739"/>
      <c r="Z91" s="739"/>
      <c r="AA91" s="63"/>
      <c r="AB91" s="63"/>
      <c r="AC91" s="63"/>
    </row>
    <row r="92" spans="1:68" ht="27" customHeight="1" x14ac:dyDescent="0.25">
      <c r="A92" s="60" t="s">
        <v>198</v>
      </c>
      <c r="B92" s="60" t="s">
        <v>199</v>
      </c>
      <c r="C92" s="34">
        <v>4301051437</v>
      </c>
      <c r="D92" s="740">
        <v>4607091386967</v>
      </c>
      <c r="E92" s="740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742"/>
      <c r="R92" s="742"/>
      <c r="S92" s="742"/>
      <c r="T92" s="743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customHeight="1" x14ac:dyDescent="0.25">
      <c r="A93" s="60" t="s">
        <v>198</v>
      </c>
      <c r="B93" s="60" t="s">
        <v>201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customHeight="1" x14ac:dyDescent="0.25">
      <c r="A94" s="60" t="s">
        <v>198</v>
      </c>
      <c r="B94" s="60" t="s">
        <v>202</v>
      </c>
      <c r="C94" s="34">
        <v>4301051712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786" t="s">
        <v>203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customHeight="1" x14ac:dyDescent="0.25">
      <c r="A95" s="60" t="s">
        <v>205</v>
      </c>
      <c r="B95" s="60" t="s">
        <v>206</v>
      </c>
      <c r="C95" s="34">
        <v>4301051788</v>
      </c>
      <c r="D95" s="740">
        <v>4680115884953</v>
      </c>
      <c r="E95" s="74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787" t="s">
        <v>207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customHeight="1" x14ac:dyDescent="0.25">
      <c r="A96" s="60" t="s">
        <v>209</v>
      </c>
      <c r="B96" s="60" t="s">
        <v>210</v>
      </c>
      <c r="C96" s="34">
        <v>4301051718</v>
      </c>
      <c r="D96" s="740">
        <v>4607091385731</v>
      </c>
      <c r="E96" s="74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788" t="s">
        <v>211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customHeight="1" x14ac:dyDescent="0.25">
      <c r="A97" s="60" t="s">
        <v>209</v>
      </c>
      <c r="B97" s="60" t="s">
        <v>212</v>
      </c>
      <c r="C97" s="34">
        <v>4301052039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789" t="s">
        <v>213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customHeight="1" x14ac:dyDescent="0.25">
      <c r="A98" s="60" t="s">
        <v>214</v>
      </c>
      <c r="B98" s="60" t="s">
        <v>215</v>
      </c>
      <c r="C98" s="34">
        <v>4301051438</v>
      </c>
      <c r="D98" s="740">
        <v>4680115880894</v>
      </c>
      <c r="E98" s="74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79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customHeight="1" x14ac:dyDescent="0.25">
      <c r="A99" s="60" t="s">
        <v>217</v>
      </c>
      <c r="B99" s="60" t="s">
        <v>218</v>
      </c>
      <c r="C99" s="34">
        <v>4301051439</v>
      </c>
      <c r="D99" s="740">
        <v>4680115880214</v>
      </c>
      <c r="E99" s="740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79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0"/>
        <v>0</v>
      </c>
      <c r="Z99" s="39" t="str">
        <f>IFERROR(IF(Y99=0,"",ROUNDUP(Y99/H99,0)*0.00902),"")</f>
        <v/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0</v>
      </c>
      <c r="BN99" s="75">
        <f t="shared" si="12"/>
        <v>0</v>
      </c>
      <c r="BO99" s="75">
        <f t="shared" si="13"/>
        <v>0</v>
      </c>
      <c r="BP99" s="75">
        <f t="shared" si="14"/>
        <v>0</v>
      </c>
    </row>
    <row r="100" spans="1:68" ht="27" customHeight="1" x14ac:dyDescent="0.25">
      <c r="A100" s="60" t="s">
        <v>217</v>
      </c>
      <c r="B100" s="60" t="s">
        <v>219</v>
      </c>
      <c r="C100" s="34">
        <v>4301051687</v>
      </c>
      <c r="D100" s="740">
        <v>4680115880214</v>
      </c>
      <c r="E100" s="740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79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x14ac:dyDescent="0.2">
      <c r="A101" s="750"/>
      <c r="B101" s="750"/>
      <c r="C101" s="750"/>
      <c r="D101" s="750"/>
      <c r="E101" s="750"/>
      <c r="F101" s="750"/>
      <c r="G101" s="750"/>
      <c r="H101" s="750"/>
      <c r="I101" s="750"/>
      <c r="J101" s="750"/>
      <c r="K101" s="750"/>
      <c r="L101" s="750"/>
      <c r="M101" s="750"/>
      <c r="N101" s="750"/>
      <c r="O101" s="751"/>
      <c r="P101" s="747" t="s">
        <v>40</v>
      </c>
      <c r="Q101" s="748"/>
      <c r="R101" s="748"/>
      <c r="S101" s="748"/>
      <c r="T101" s="748"/>
      <c r="U101" s="748"/>
      <c r="V101" s="74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0</v>
      </c>
      <c r="Y101" s="41">
        <f>IFERROR(Y92/H92,"0")+IFERROR(Y93/H93,"0")+IFERROR(Y94/H94,"0")+IFERROR(Y95/H95,"0")+IFERROR(Y96/H96,"0")+IFERROR(Y97/H97,"0")+IFERROR(Y98/H98,"0")+IFERROR(Y99/H99,"0")+IFERROR(Y100/H100,"0")</f>
        <v>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4"/>
      <c r="AB101" s="64"/>
      <c r="AC101" s="64"/>
    </row>
    <row r="102" spans="1:68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0</v>
      </c>
      <c r="X102" s="41">
        <f>IFERROR(SUM(X92:X100),"0")</f>
        <v>0</v>
      </c>
      <c r="Y102" s="41">
        <f>IFERROR(SUM(Y92:Y100),"0")</f>
        <v>0</v>
      </c>
      <c r="Z102" s="40"/>
      <c r="AA102" s="64"/>
      <c r="AB102" s="64"/>
      <c r="AC102" s="64"/>
    </row>
    <row r="103" spans="1:68" ht="16.5" customHeight="1" x14ac:dyDescent="0.25">
      <c r="A103" s="738" t="s">
        <v>220</v>
      </c>
      <c r="B103" s="738"/>
      <c r="C103" s="738"/>
      <c r="D103" s="738"/>
      <c r="E103" s="738"/>
      <c r="F103" s="738"/>
      <c r="G103" s="738"/>
      <c r="H103" s="738"/>
      <c r="I103" s="738"/>
      <c r="J103" s="738"/>
      <c r="K103" s="738"/>
      <c r="L103" s="738"/>
      <c r="M103" s="738"/>
      <c r="N103" s="738"/>
      <c r="O103" s="738"/>
      <c r="P103" s="738"/>
      <c r="Q103" s="738"/>
      <c r="R103" s="738"/>
      <c r="S103" s="738"/>
      <c r="T103" s="738"/>
      <c r="U103" s="738"/>
      <c r="V103" s="738"/>
      <c r="W103" s="738"/>
      <c r="X103" s="738"/>
      <c r="Y103" s="738"/>
      <c r="Z103" s="738"/>
      <c r="AA103" s="62"/>
      <c r="AB103" s="62"/>
      <c r="AC103" s="62"/>
    </row>
    <row r="104" spans="1:68" ht="14.25" customHeight="1" x14ac:dyDescent="0.25">
      <c r="A104" s="739" t="s">
        <v>101</v>
      </c>
      <c r="B104" s="739"/>
      <c r="C104" s="739"/>
      <c r="D104" s="739"/>
      <c r="E104" s="739"/>
      <c r="F104" s="739"/>
      <c r="G104" s="739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R104" s="739"/>
      <c r="S104" s="739"/>
      <c r="T104" s="739"/>
      <c r="U104" s="739"/>
      <c r="V104" s="739"/>
      <c r="W104" s="739"/>
      <c r="X104" s="739"/>
      <c r="Y104" s="739"/>
      <c r="Z104" s="739"/>
      <c r="AA104" s="63"/>
      <c r="AB104" s="63"/>
      <c r="AC104" s="63"/>
    </row>
    <row r="105" spans="1:68" ht="16.5" customHeight="1" x14ac:dyDescent="0.25">
      <c r="A105" s="60" t="s">
        <v>221</v>
      </c>
      <c r="B105" s="60" t="s">
        <v>222</v>
      </c>
      <c r="C105" s="34">
        <v>4301011514</v>
      </c>
      <c r="D105" s="740">
        <v>4680115882133</v>
      </c>
      <c r="E105" s="740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7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742"/>
      <c r="R105" s="742"/>
      <c r="S105" s="742"/>
      <c r="T105" s="74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IFERROR(IF(Y105=0,"",ROUNDUP(Y105/H105,0)*0.01898),"")</f>
        <v/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ht="16.5" customHeight="1" x14ac:dyDescent="0.25">
      <c r="A106" s="60" t="s">
        <v>224</v>
      </c>
      <c r="B106" s="60" t="s">
        <v>225</v>
      </c>
      <c r="C106" s="34">
        <v>4301011417</v>
      </c>
      <c r="D106" s="740">
        <v>4680115880269</v>
      </c>
      <c r="E106" s="740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226</v>
      </c>
      <c r="B107" s="60" t="s">
        <v>227</v>
      </c>
      <c r="C107" s="34">
        <v>4301011415</v>
      </c>
      <c r="D107" s="740">
        <v>4680115880429</v>
      </c>
      <c r="E107" s="740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228</v>
      </c>
      <c r="B108" s="60" t="s">
        <v>229</v>
      </c>
      <c r="C108" s="34">
        <v>4301011462</v>
      </c>
      <c r="D108" s="740">
        <v>4680115881457</v>
      </c>
      <c r="E108" s="740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7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x14ac:dyDescent="0.2">
      <c r="A109" s="750"/>
      <c r="B109" s="750"/>
      <c r="C109" s="750"/>
      <c r="D109" s="750"/>
      <c r="E109" s="750"/>
      <c r="F109" s="750"/>
      <c r="G109" s="750"/>
      <c r="H109" s="750"/>
      <c r="I109" s="750"/>
      <c r="J109" s="750"/>
      <c r="K109" s="750"/>
      <c r="L109" s="750"/>
      <c r="M109" s="750"/>
      <c r="N109" s="750"/>
      <c r="O109" s="751"/>
      <c r="P109" s="747" t="s">
        <v>40</v>
      </c>
      <c r="Q109" s="748"/>
      <c r="R109" s="748"/>
      <c r="S109" s="748"/>
      <c r="T109" s="748"/>
      <c r="U109" s="748"/>
      <c r="V109" s="749"/>
      <c r="W109" s="40" t="s">
        <v>39</v>
      </c>
      <c r="X109" s="41">
        <f>IFERROR(X105/H105,"0")+IFERROR(X106/H106,"0")+IFERROR(X107/H107,"0")+IFERROR(X108/H108,"0")</f>
        <v>0</v>
      </c>
      <c r="Y109" s="41">
        <f>IFERROR(Y105/H105,"0")+IFERROR(Y106/H106,"0")+IFERROR(Y107/H107,"0")+IFERROR(Y108/H108,"0")</f>
        <v>0</v>
      </c>
      <c r="Z109" s="41">
        <f>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0</v>
      </c>
      <c r="X110" s="41">
        <f>IFERROR(SUM(X105:X108),"0")</f>
        <v>0</v>
      </c>
      <c r="Y110" s="41">
        <f>IFERROR(SUM(Y105:Y108),"0")</f>
        <v>0</v>
      </c>
      <c r="Z110" s="40"/>
      <c r="AA110" s="64"/>
      <c r="AB110" s="64"/>
      <c r="AC110" s="64"/>
    </row>
    <row r="111" spans="1:68" ht="14.25" customHeight="1" x14ac:dyDescent="0.25">
      <c r="A111" s="739" t="s">
        <v>144</v>
      </c>
      <c r="B111" s="739"/>
      <c r="C111" s="739"/>
      <c r="D111" s="739"/>
      <c r="E111" s="739"/>
      <c r="F111" s="739"/>
      <c r="G111" s="739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739"/>
      <c r="W111" s="739"/>
      <c r="X111" s="739"/>
      <c r="Y111" s="739"/>
      <c r="Z111" s="739"/>
      <c r="AA111" s="63"/>
      <c r="AB111" s="63"/>
      <c r="AC111" s="63"/>
    </row>
    <row r="112" spans="1:68" ht="16.5" customHeight="1" x14ac:dyDescent="0.25">
      <c r="A112" s="60" t="s">
        <v>230</v>
      </c>
      <c r="B112" s="60" t="s">
        <v>231</v>
      </c>
      <c r="C112" s="34">
        <v>4301020345</v>
      </c>
      <c r="D112" s="740">
        <v>4680115881488</v>
      </c>
      <c r="E112" s="740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7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742"/>
      <c r="R112" s="742"/>
      <c r="S112" s="742"/>
      <c r="T112" s="74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customHeight="1" x14ac:dyDescent="0.25">
      <c r="A113" s="60" t="s">
        <v>233</v>
      </c>
      <c r="B113" s="60" t="s">
        <v>234</v>
      </c>
      <c r="C113" s="34">
        <v>4301020346</v>
      </c>
      <c r="D113" s="740">
        <v>4680115882775</v>
      </c>
      <c r="E113" s="740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235</v>
      </c>
      <c r="B114" s="60" t="s">
        <v>236</v>
      </c>
      <c r="C114" s="34">
        <v>4301020344</v>
      </c>
      <c r="D114" s="740">
        <v>4680115880658</v>
      </c>
      <c r="E114" s="740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7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x14ac:dyDescent="0.2">
      <c r="A115" s="750"/>
      <c r="B115" s="750"/>
      <c r="C115" s="750"/>
      <c r="D115" s="750"/>
      <c r="E115" s="750"/>
      <c r="F115" s="750"/>
      <c r="G115" s="750"/>
      <c r="H115" s="750"/>
      <c r="I115" s="750"/>
      <c r="J115" s="750"/>
      <c r="K115" s="750"/>
      <c r="L115" s="750"/>
      <c r="M115" s="750"/>
      <c r="N115" s="750"/>
      <c r="O115" s="751"/>
      <c r="P115" s="747" t="s">
        <v>40</v>
      </c>
      <c r="Q115" s="748"/>
      <c r="R115" s="748"/>
      <c r="S115" s="748"/>
      <c r="T115" s="748"/>
      <c r="U115" s="748"/>
      <c r="V115" s="74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customHeight="1" x14ac:dyDescent="0.25">
      <c r="A117" s="739" t="s">
        <v>78</v>
      </c>
      <c r="B117" s="739"/>
      <c r="C117" s="739"/>
      <c r="D117" s="739"/>
      <c r="E117" s="739"/>
      <c r="F117" s="739"/>
      <c r="G117" s="739"/>
      <c r="H117" s="739"/>
      <c r="I117" s="739"/>
      <c r="J117" s="739"/>
      <c r="K117" s="739"/>
      <c r="L117" s="739"/>
      <c r="M117" s="739"/>
      <c r="N117" s="739"/>
      <c r="O117" s="739"/>
      <c r="P117" s="739"/>
      <c r="Q117" s="739"/>
      <c r="R117" s="739"/>
      <c r="S117" s="739"/>
      <c r="T117" s="739"/>
      <c r="U117" s="739"/>
      <c r="V117" s="739"/>
      <c r="W117" s="739"/>
      <c r="X117" s="739"/>
      <c r="Y117" s="739"/>
      <c r="Z117" s="739"/>
      <c r="AA117" s="63"/>
      <c r="AB117" s="63"/>
      <c r="AC117" s="63"/>
    </row>
    <row r="118" spans="1:68" ht="37.5" customHeight="1" x14ac:dyDescent="0.25">
      <c r="A118" s="60" t="s">
        <v>237</v>
      </c>
      <c r="B118" s="60" t="s">
        <v>238</v>
      </c>
      <c r="C118" s="34">
        <v>4301051360</v>
      </c>
      <c r="D118" s="740">
        <v>4607091385168</v>
      </c>
      <c r="E118" s="740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80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742"/>
      <c r="R118" s="742"/>
      <c r="S118" s="742"/>
      <c r="T118" s="743"/>
      <c r="U118" s="37" t="s">
        <v>45</v>
      </c>
      <c r="V118" s="37" t="s">
        <v>45</v>
      </c>
      <c r="W118" s="38" t="s">
        <v>0</v>
      </c>
      <c r="X118" s="56">
        <v>0</v>
      </c>
      <c r="Y118" s="53">
        <f t="shared" ref="Y118:Y126" si="15">IFERROR(IF(X118="",0,CEILING((X118/$H118),1)*$H118),"")</f>
        <v>0</v>
      </c>
      <c r="Z118" s="39" t="str">
        <f>IFERROR(IF(Y118=0,"",ROUNDUP(Y118/H118,0)*0.01898),"")</f>
        <v/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0</v>
      </c>
      <c r="BN118" s="75">
        <f t="shared" ref="BN118:BN126" si="17">IFERROR(Y118*I118/H118,"0")</f>
        <v>0</v>
      </c>
      <c r="BO118" s="75">
        <f t="shared" ref="BO118:BO126" si="18">IFERROR(1/J118*(X118/H118),"0")</f>
        <v>0</v>
      </c>
      <c r="BP118" s="75">
        <f t="shared" ref="BP118:BP126" si="19">IFERROR(1/J118*(Y118/H118),"0")</f>
        <v>0</v>
      </c>
    </row>
    <row r="119" spans="1:68" ht="16.5" customHeight="1" x14ac:dyDescent="0.25">
      <c r="A119" s="60" t="s">
        <v>237</v>
      </c>
      <c r="B119" s="60" t="s">
        <v>240</v>
      </c>
      <c r="C119" s="34">
        <v>4301051724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801" t="s">
        <v>241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customHeight="1" x14ac:dyDescent="0.25">
      <c r="A120" s="60" t="s">
        <v>237</v>
      </c>
      <c r="B120" s="60" t="s">
        <v>243</v>
      </c>
      <c r="C120" s="34">
        <v>4301051625</v>
      </c>
      <c r="D120" s="740">
        <v>4607091385168</v>
      </c>
      <c r="E120" s="740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80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customHeight="1" x14ac:dyDescent="0.25">
      <c r="A121" s="60" t="s">
        <v>245</v>
      </c>
      <c r="B121" s="60" t="s">
        <v>246</v>
      </c>
      <c r="C121" s="34">
        <v>4301051362</v>
      </c>
      <c r="D121" s="740">
        <v>4607091383256</v>
      </c>
      <c r="E121" s="740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80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customHeight="1" x14ac:dyDescent="0.25">
      <c r="A122" s="60" t="s">
        <v>245</v>
      </c>
      <c r="B122" s="60" t="s">
        <v>247</v>
      </c>
      <c r="C122" s="34">
        <v>4301051730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804" t="s">
        <v>248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customHeight="1" x14ac:dyDescent="0.25">
      <c r="A123" s="60" t="s">
        <v>249</v>
      </c>
      <c r="B123" s="60" t="s">
        <v>250</v>
      </c>
      <c r="C123" s="34">
        <v>4301051358</v>
      </c>
      <c r="D123" s="740">
        <v>4607091385748</v>
      </c>
      <c r="E123" s="74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80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customHeight="1" x14ac:dyDescent="0.25">
      <c r="A124" s="60" t="s">
        <v>249</v>
      </c>
      <c r="B124" s="60" t="s">
        <v>251</v>
      </c>
      <c r="C124" s="34">
        <v>4301051721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806" t="s">
        <v>252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253</v>
      </c>
      <c r="B125" s="60" t="s">
        <v>254</v>
      </c>
      <c r="C125" s="34">
        <v>4301051740</v>
      </c>
      <c r="D125" s="740">
        <v>4680115884533</v>
      </c>
      <c r="E125" s="74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8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15"/>
        <v>0</v>
      </c>
      <c r="Z125" s="39" t="str">
        <f t="shared" si="20"/>
        <v/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37.5" customHeight="1" x14ac:dyDescent="0.25">
      <c r="A126" s="60" t="s">
        <v>256</v>
      </c>
      <c r="B126" s="60" t="s">
        <v>257</v>
      </c>
      <c r="C126" s="34">
        <v>4301051480</v>
      </c>
      <c r="D126" s="740">
        <v>4680115882645</v>
      </c>
      <c r="E126" s="740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80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x14ac:dyDescent="0.2">
      <c r="A127" s="750"/>
      <c r="B127" s="750"/>
      <c r="C127" s="750"/>
      <c r="D127" s="750"/>
      <c r="E127" s="750"/>
      <c r="F127" s="750"/>
      <c r="G127" s="750"/>
      <c r="H127" s="750"/>
      <c r="I127" s="750"/>
      <c r="J127" s="750"/>
      <c r="K127" s="750"/>
      <c r="L127" s="750"/>
      <c r="M127" s="750"/>
      <c r="N127" s="750"/>
      <c r="O127" s="751"/>
      <c r="P127" s="747" t="s">
        <v>40</v>
      </c>
      <c r="Q127" s="748"/>
      <c r="R127" s="748"/>
      <c r="S127" s="748"/>
      <c r="T127" s="748"/>
      <c r="U127" s="748"/>
      <c r="V127" s="74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0</v>
      </c>
      <c r="Y127" s="41">
        <f>IFERROR(Y118/H118,"0")+IFERROR(Y119/H119,"0")+IFERROR(Y120/H120,"0")+IFERROR(Y121/H121,"0")+IFERROR(Y122/H122,"0")+IFERROR(Y123/H123,"0")+IFERROR(Y124/H124,"0")+IFERROR(Y125/H125,"0")+IFERROR(Y126/H126,"0")</f>
        <v>0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4"/>
      <c r="AB127" s="64"/>
      <c r="AC127" s="64"/>
    </row>
    <row r="128" spans="1:68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0</v>
      </c>
      <c r="X128" s="41">
        <f>IFERROR(SUM(X118:X126),"0")</f>
        <v>0</v>
      </c>
      <c r="Y128" s="41">
        <f>IFERROR(SUM(Y118:Y126),"0")</f>
        <v>0</v>
      </c>
      <c r="Z128" s="40"/>
      <c r="AA128" s="64"/>
      <c r="AB128" s="64"/>
      <c r="AC128" s="64"/>
    </row>
    <row r="129" spans="1:68" ht="14.25" customHeight="1" x14ac:dyDescent="0.25">
      <c r="A129" s="739" t="s">
        <v>181</v>
      </c>
      <c r="B129" s="739"/>
      <c r="C129" s="739"/>
      <c r="D129" s="739"/>
      <c r="E129" s="739"/>
      <c r="F129" s="739"/>
      <c r="G129" s="739"/>
      <c r="H129" s="739"/>
      <c r="I129" s="739"/>
      <c r="J129" s="739"/>
      <c r="K129" s="739"/>
      <c r="L129" s="739"/>
      <c r="M129" s="739"/>
      <c r="N129" s="739"/>
      <c r="O129" s="739"/>
      <c r="P129" s="739"/>
      <c r="Q129" s="739"/>
      <c r="R129" s="739"/>
      <c r="S129" s="739"/>
      <c r="T129" s="739"/>
      <c r="U129" s="739"/>
      <c r="V129" s="739"/>
      <c r="W129" s="739"/>
      <c r="X129" s="739"/>
      <c r="Y129" s="739"/>
      <c r="Z129" s="739"/>
      <c r="AA129" s="63"/>
      <c r="AB129" s="63"/>
      <c r="AC129" s="63"/>
    </row>
    <row r="130" spans="1:68" ht="37.5" customHeight="1" x14ac:dyDescent="0.25">
      <c r="A130" s="60" t="s">
        <v>259</v>
      </c>
      <c r="B130" s="60" t="s">
        <v>260</v>
      </c>
      <c r="C130" s="34">
        <v>4301060356</v>
      </c>
      <c r="D130" s="740">
        <v>4680115882652</v>
      </c>
      <c r="E130" s="740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809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742"/>
      <c r="R130" s="742"/>
      <c r="S130" s="742"/>
      <c r="T130" s="743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262</v>
      </c>
      <c r="B131" s="60" t="s">
        <v>263</v>
      </c>
      <c r="C131" s="34">
        <v>4301060317</v>
      </c>
      <c r="D131" s="740">
        <v>4680115880238</v>
      </c>
      <c r="E131" s="740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8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750"/>
      <c r="B132" s="750"/>
      <c r="C132" s="750"/>
      <c r="D132" s="750"/>
      <c r="E132" s="750"/>
      <c r="F132" s="750"/>
      <c r="G132" s="750"/>
      <c r="H132" s="750"/>
      <c r="I132" s="750"/>
      <c r="J132" s="750"/>
      <c r="K132" s="750"/>
      <c r="L132" s="750"/>
      <c r="M132" s="750"/>
      <c r="N132" s="750"/>
      <c r="O132" s="751"/>
      <c r="P132" s="747" t="s">
        <v>40</v>
      </c>
      <c r="Q132" s="748"/>
      <c r="R132" s="748"/>
      <c r="S132" s="748"/>
      <c r="T132" s="748"/>
      <c r="U132" s="748"/>
      <c r="V132" s="74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customHeight="1" x14ac:dyDescent="0.25">
      <c r="A134" s="738" t="s">
        <v>265</v>
      </c>
      <c r="B134" s="738"/>
      <c r="C134" s="738"/>
      <c r="D134" s="738"/>
      <c r="E134" s="738"/>
      <c r="F134" s="738"/>
      <c r="G134" s="738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  <c r="AA134" s="62"/>
      <c r="AB134" s="62"/>
      <c r="AC134" s="62"/>
    </row>
    <row r="135" spans="1:68" ht="14.25" customHeight="1" x14ac:dyDescent="0.25">
      <c r="A135" s="739" t="s">
        <v>101</v>
      </c>
      <c r="B135" s="739"/>
      <c r="C135" s="739"/>
      <c r="D135" s="739"/>
      <c r="E135" s="739"/>
      <c r="F135" s="739"/>
      <c r="G135" s="739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  <c r="R135" s="739"/>
      <c r="S135" s="739"/>
      <c r="T135" s="739"/>
      <c r="U135" s="739"/>
      <c r="V135" s="739"/>
      <c r="W135" s="739"/>
      <c r="X135" s="739"/>
      <c r="Y135" s="739"/>
      <c r="Z135" s="739"/>
      <c r="AA135" s="63"/>
      <c r="AB135" s="63"/>
      <c r="AC135" s="63"/>
    </row>
    <row r="136" spans="1:68" ht="27" customHeight="1" x14ac:dyDescent="0.25">
      <c r="A136" s="60" t="s">
        <v>266</v>
      </c>
      <c r="B136" s="60" t="s">
        <v>267</v>
      </c>
      <c r="C136" s="34">
        <v>4301011564</v>
      </c>
      <c r="D136" s="740">
        <v>4680115882577</v>
      </c>
      <c r="E136" s="740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42"/>
      <c r="R136" s="742"/>
      <c r="S136" s="742"/>
      <c r="T136" s="743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266</v>
      </c>
      <c r="B137" s="60" t="s">
        <v>269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750"/>
      <c r="B138" s="750"/>
      <c r="C138" s="750"/>
      <c r="D138" s="750"/>
      <c r="E138" s="750"/>
      <c r="F138" s="750"/>
      <c r="G138" s="750"/>
      <c r="H138" s="750"/>
      <c r="I138" s="750"/>
      <c r="J138" s="750"/>
      <c r="K138" s="750"/>
      <c r="L138" s="750"/>
      <c r="M138" s="750"/>
      <c r="N138" s="750"/>
      <c r="O138" s="751"/>
      <c r="P138" s="747" t="s">
        <v>40</v>
      </c>
      <c r="Q138" s="748"/>
      <c r="R138" s="748"/>
      <c r="S138" s="748"/>
      <c r="T138" s="748"/>
      <c r="U138" s="748"/>
      <c r="V138" s="74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739" t="s">
        <v>155</v>
      </c>
      <c r="B140" s="739"/>
      <c r="C140" s="739"/>
      <c r="D140" s="739"/>
      <c r="E140" s="739"/>
      <c r="F140" s="739"/>
      <c r="G140" s="739"/>
      <c r="H140" s="739"/>
      <c r="I140" s="739"/>
      <c r="J140" s="739"/>
      <c r="K140" s="739"/>
      <c r="L140" s="739"/>
      <c r="M140" s="739"/>
      <c r="N140" s="739"/>
      <c r="O140" s="739"/>
      <c r="P140" s="739"/>
      <c r="Q140" s="739"/>
      <c r="R140" s="739"/>
      <c r="S140" s="739"/>
      <c r="T140" s="739"/>
      <c r="U140" s="739"/>
      <c r="V140" s="739"/>
      <c r="W140" s="739"/>
      <c r="X140" s="739"/>
      <c r="Y140" s="739"/>
      <c r="Z140" s="739"/>
      <c r="AA140" s="63"/>
      <c r="AB140" s="63"/>
      <c r="AC140" s="63"/>
    </row>
    <row r="141" spans="1:68" ht="27" customHeight="1" x14ac:dyDescent="0.25">
      <c r="A141" s="60" t="s">
        <v>270</v>
      </c>
      <c r="B141" s="60" t="s">
        <v>271</v>
      </c>
      <c r="C141" s="34">
        <v>4301031234</v>
      </c>
      <c r="D141" s="740">
        <v>4680115883444</v>
      </c>
      <c r="E141" s="740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42"/>
      <c r="R141" s="742"/>
      <c r="S141" s="742"/>
      <c r="T141" s="743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270</v>
      </c>
      <c r="B142" s="60" t="s">
        <v>273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50"/>
      <c r="B143" s="750"/>
      <c r="C143" s="750"/>
      <c r="D143" s="750"/>
      <c r="E143" s="750"/>
      <c r="F143" s="750"/>
      <c r="G143" s="750"/>
      <c r="H143" s="750"/>
      <c r="I143" s="750"/>
      <c r="J143" s="750"/>
      <c r="K143" s="750"/>
      <c r="L143" s="750"/>
      <c r="M143" s="750"/>
      <c r="N143" s="750"/>
      <c r="O143" s="751"/>
      <c r="P143" s="747" t="s">
        <v>40</v>
      </c>
      <c r="Q143" s="748"/>
      <c r="R143" s="748"/>
      <c r="S143" s="748"/>
      <c r="T143" s="748"/>
      <c r="U143" s="748"/>
      <c r="V143" s="74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739" t="s">
        <v>78</v>
      </c>
      <c r="B145" s="739"/>
      <c r="C145" s="739"/>
      <c r="D145" s="739"/>
      <c r="E145" s="739"/>
      <c r="F145" s="739"/>
      <c r="G145" s="739"/>
      <c r="H145" s="739"/>
      <c r="I145" s="739"/>
      <c r="J145" s="739"/>
      <c r="K145" s="739"/>
      <c r="L145" s="739"/>
      <c r="M145" s="739"/>
      <c r="N145" s="739"/>
      <c r="O145" s="739"/>
      <c r="P145" s="739"/>
      <c r="Q145" s="739"/>
      <c r="R145" s="739"/>
      <c r="S145" s="739"/>
      <c r="T145" s="739"/>
      <c r="U145" s="739"/>
      <c r="V145" s="739"/>
      <c r="W145" s="739"/>
      <c r="X145" s="739"/>
      <c r="Y145" s="739"/>
      <c r="Z145" s="739"/>
      <c r="AA145" s="63"/>
      <c r="AB145" s="63"/>
      <c r="AC145" s="63"/>
    </row>
    <row r="146" spans="1:68" ht="16.5" customHeight="1" x14ac:dyDescent="0.25">
      <c r="A146" s="60" t="s">
        <v>274</v>
      </c>
      <c r="B146" s="60" t="s">
        <v>275</v>
      </c>
      <c r="C146" s="34">
        <v>4301051477</v>
      </c>
      <c r="D146" s="740">
        <v>4680115882584</v>
      </c>
      <c r="E146" s="740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42"/>
      <c r="R146" s="742"/>
      <c r="S146" s="742"/>
      <c r="T146" s="743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274</v>
      </c>
      <c r="B147" s="60" t="s">
        <v>276</v>
      </c>
      <c r="C147" s="34">
        <v>4301051476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750"/>
      <c r="B148" s="750"/>
      <c r="C148" s="750"/>
      <c r="D148" s="750"/>
      <c r="E148" s="750"/>
      <c r="F148" s="750"/>
      <c r="G148" s="750"/>
      <c r="H148" s="750"/>
      <c r="I148" s="750"/>
      <c r="J148" s="750"/>
      <c r="K148" s="750"/>
      <c r="L148" s="750"/>
      <c r="M148" s="750"/>
      <c r="N148" s="750"/>
      <c r="O148" s="751"/>
      <c r="P148" s="747" t="s">
        <v>40</v>
      </c>
      <c r="Q148" s="748"/>
      <c r="R148" s="748"/>
      <c r="S148" s="748"/>
      <c r="T148" s="748"/>
      <c r="U148" s="748"/>
      <c r="V148" s="74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738" t="s">
        <v>99</v>
      </c>
      <c r="B150" s="738"/>
      <c r="C150" s="738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  <c r="AA150" s="62"/>
      <c r="AB150" s="62"/>
      <c r="AC150" s="62"/>
    </row>
    <row r="151" spans="1:68" ht="14.25" customHeight="1" x14ac:dyDescent="0.25">
      <c r="A151" s="739" t="s">
        <v>101</v>
      </c>
      <c r="B151" s="739"/>
      <c r="C151" s="739"/>
      <c r="D151" s="739"/>
      <c r="E151" s="739"/>
      <c r="F151" s="739"/>
      <c r="G151" s="739"/>
      <c r="H151" s="739"/>
      <c r="I151" s="739"/>
      <c r="J151" s="739"/>
      <c r="K151" s="739"/>
      <c r="L151" s="739"/>
      <c r="M151" s="739"/>
      <c r="N151" s="739"/>
      <c r="O151" s="739"/>
      <c r="P151" s="739"/>
      <c r="Q151" s="739"/>
      <c r="R151" s="739"/>
      <c r="S151" s="739"/>
      <c r="T151" s="739"/>
      <c r="U151" s="739"/>
      <c r="V151" s="739"/>
      <c r="W151" s="739"/>
      <c r="X151" s="739"/>
      <c r="Y151" s="739"/>
      <c r="Z151" s="739"/>
      <c r="AA151" s="63"/>
      <c r="AB151" s="63"/>
      <c r="AC151" s="63"/>
    </row>
    <row r="152" spans="1:68" ht="27" customHeight="1" x14ac:dyDescent="0.25">
      <c r="A152" s="60" t="s">
        <v>277</v>
      </c>
      <c r="B152" s="60" t="s">
        <v>278</v>
      </c>
      <c r="C152" s="34">
        <v>4301011705</v>
      </c>
      <c r="D152" s="740">
        <v>4607091384604</v>
      </c>
      <c r="E152" s="740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8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742"/>
      <c r="R152" s="742"/>
      <c r="S152" s="742"/>
      <c r="T152" s="74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750"/>
      <c r="B153" s="750"/>
      <c r="C153" s="750"/>
      <c r="D153" s="750"/>
      <c r="E153" s="750"/>
      <c r="F153" s="750"/>
      <c r="G153" s="750"/>
      <c r="H153" s="750"/>
      <c r="I153" s="750"/>
      <c r="J153" s="750"/>
      <c r="K153" s="750"/>
      <c r="L153" s="750"/>
      <c r="M153" s="750"/>
      <c r="N153" s="750"/>
      <c r="O153" s="751"/>
      <c r="P153" s="747" t="s">
        <v>40</v>
      </c>
      <c r="Q153" s="748"/>
      <c r="R153" s="748"/>
      <c r="S153" s="748"/>
      <c r="T153" s="748"/>
      <c r="U153" s="748"/>
      <c r="V153" s="74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customHeight="1" x14ac:dyDescent="0.25">
      <c r="A155" s="739" t="s">
        <v>155</v>
      </c>
      <c r="B155" s="739"/>
      <c r="C155" s="739"/>
      <c r="D155" s="739"/>
      <c r="E155" s="739"/>
      <c r="F155" s="739"/>
      <c r="G155" s="739"/>
      <c r="H155" s="739"/>
      <c r="I155" s="739"/>
      <c r="J155" s="739"/>
      <c r="K155" s="739"/>
      <c r="L155" s="739"/>
      <c r="M155" s="739"/>
      <c r="N155" s="739"/>
      <c r="O155" s="739"/>
      <c r="P155" s="739"/>
      <c r="Q155" s="739"/>
      <c r="R155" s="739"/>
      <c r="S155" s="739"/>
      <c r="T155" s="739"/>
      <c r="U155" s="739"/>
      <c r="V155" s="739"/>
      <c r="W155" s="739"/>
      <c r="X155" s="739"/>
      <c r="Y155" s="739"/>
      <c r="Z155" s="739"/>
      <c r="AA155" s="63"/>
      <c r="AB155" s="63"/>
      <c r="AC155" s="63"/>
    </row>
    <row r="156" spans="1:68" ht="16.5" customHeight="1" x14ac:dyDescent="0.25">
      <c r="A156" s="60" t="s">
        <v>280</v>
      </c>
      <c r="B156" s="60" t="s">
        <v>281</v>
      </c>
      <c r="C156" s="34">
        <v>4301030895</v>
      </c>
      <c r="D156" s="740">
        <v>4607091387667</v>
      </c>
      <c r="E156" s="740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81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742"/>
      <c r="R156" s="742"/>
      <c r="S156" s="742"/>
      <c r="T156" s="743"/>
      <c r="U156" s="37" t="s">
        <v>45</v>
      </c>
      <c r="V156" s="37" t="s">
        <v>45</v>
      </c>
      <c r="W156" s="38" t="s">
        <v>0</v>
      </c>
      <c r="X156" s="56">
        <v>60</v>
      </c>
      <c r="Y156" s="53">
        <f>IFERROR(IF(X156="",0,CEILING((X156/$H156),1)*$H156),"")</f>
        <v>63</v>
      </c>
      <c r="Z156" s="39">
        <f>IFERROR(IF(Y156=0,"",ROUNDUP(Y156/H156,0)*0.01898),"")</f>
        <v>0.13286000000000001</v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63.900000000000006</v>
      </c>
      <c r="BN156" s="75">
        <f>IFERROR(Y156*I156/H156,"0")</f>
        <v>67.094999999999999</v>
      </c>
      <c r="BO156" s="75">
        <f>IFERROR(1/J156*(X156/H156),"0")</f>
        <v>0.10416666666666667</v>
      </c>
      <c r="BP156" s="75">
        <f>IFERROR(1/J156*(Y156/H156),"0")</f>
        <v>0.109375</v>
      </c>
    </row>
    <row r="157" spans="1:68" ht="27" customHeight="1" x14ac:dyDescent="0.25">
      <c r="A157" s="60" t="s">
        <v>283</v>
      </c>
      <c r="B157" s="60" t="s">
        <v>284</v>
      </c>
      <c r="C157" s="34">
        <v>4301030961</v>
      </c>
      <c r="D157" s="740">
        <v>4607091387636</v>
      </c>
      <c r="E157" s="740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81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21</v>
      </c>
      <c r="Y157" s="53">
        <f>IFERROR(IF(X157="",0,CEILING((X157/$H157),1)*$H157),"")</f>
        <v>21</v>
      </c>
      <c r="Z157" s="39">
        <f>IFERROR(IF(Y157=0,"",ROUNDUP(Y157/H157,0)*0.00902),"")</f>
        <v>4.5100000000000001E-2</v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22.5</v>
      </c>
      <c r="BN157" s="75">
        <f>IFERROR(Y157*I157/H157,"0")</f>
        <v>22.5</v>
      </c>
      <c r="BO157" s="75">
        <f>IFERROR(1/J157*(X157/H157),"0")</f>
        <v>3.787878787878788E-2</v>
      </c>
      <c r="BP157" s="75">
        <f>IFERROR(1/J157*(Y157/H157),"0")</f>
        <v>3.787878787878788E-2</v>
      </c>
    </row>
    <row r="158" spans="1:68" ht="16.5" customHeight="1" x14ac:dyDescent="0.25">
      <c r="A158" s="60" t="s">
        <v>286</v>
      </c>
      <c r="B158" s="60" t="s">
        <v>287</v>
      </c>
      <c r="C158" s="34">
        <v>4301030963</v>
      </c>
      <c r="D158" s="740">
        <v>4607091382426</v>
      </c>
      <c r="E158" s="740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200</v>
      </c>
      <c r="Y158" s="53">
        <f>IFERROR(IF(X158="",0,CEILING((X158/$H158),1)*$H158),"")</f>
        <v>207</v>
      </c>
      <c r="Z158" s="39">
        <f>IFERROR(IF(Y158=0,"",ROUNDUP(Y158/H158,0)*0.01898),"")</f>
        <v>0.43653999999999998</v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213.00000000000003</v>
      </c>
      <c r="BN158" s="75">
        <f>IFERROR(Y158*I158/H158,"0")</f>
        <v>220.45500000000004</v>
      </c>
      <c r="BO158" s="75">
        <f>IFERROR(1/J158*(X158/H158),"0")</f>
        <v>0.34722222222222221</v>
      </c>
      <c r="BP158" s="75">
        <f>IFERROR(1/J158*(Y158/H158),"0")</f>
        <v>0.359375</v>
      </c>
    </row>
    <row r="159" spans="1:68" ht="27" customHeight="1" x14ac:dyDescent="0.25">
      <c r="A159" s="60" t="s">
        <v>289</v>
      </c>
      <c r="B159" s="60" t="s">
        <v>290</v>
      </c>
      <c r="C159" s="34">
        <v>4301030962</v>
      </c>
      <c r="D159" s="740">
        <v>4607091386547</v>
      </c>
      <c r="E159" s="740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750"/>
      <c r="B160" s="750"/>
      <c r="C160" s="750"/>
      <c r="D160" s="750"/>
      <c r="E160" s="750"/>
      <c r="F160" s="750"/>
      <c r="G160" s="750"/>
      <c r="H160" s="750"/>
      <c r="I160" s="750"/>
      <c r="J160" s="750"/>
      <c r="K160" s="750"/>
      <c r="L160" s="750"/>
      <c r="M160" s="750"/>
      <c r="N160" s="750"/>
      <c r="O160" s="751"/>
      <c r="P160" s="747" t="s">
        <v>40</v>
      </c>
      <c r="Q160" s="748"/>
      <c r="R160" s="748"/>
      <c r="S160" s="748"/>
      <c r="T160" s="748"/>
      <c r="U160" s="748"/>
      <c r="V160" s="749"/>
      <c r="W160" s="40" t="s">
        <v>39</v>
      </c>
      <c r="X160" s="41">
        <f>IFERROR(X156/H156,"0")+IFERROR(X157/H157,"0")+IFERROR(X158/H158,"0")+IFERROR(X159/H159,"0")</f>
        <v>33.888888888888886</v>
      </c>
      <c r="Y160" s="41">
        <f>IFERROR(Y156/H156,"0")+IFERROR(Y157/H157,"0")+IFERROR(Y158/H158,"0")+IFERROR(Y159/H159,"0")</f>
        <v>35</v>
      </c>
      <c r="Z160" s="41">
        <f>IFERROR(IF(Z156="",0,Z156),"0")+IFERROR(IF(Z157="",0,Z157),"0")+IFERROR(IF(Z158="",0,Z158),"0")+IFERROR(IF(Z159="",0,Z159),"0")</f>
        <v>0.61450000000000005</v>
      </c>
      <c r="AA160" s="64"/>
      <c r="AB160" s="64"/>
      <c r="AC160" s="64"/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0</v>
      </c>
      <c r="X161" s="41">
        <f>IFERROR(SUM(X156:X159),"0")</f>
        <v>281</v>
      </c>
      <c r="Y161" s="41">
        <f>IFERROR(SUM(Y156:Y159),"0")</f>
        <v>291</v>
      </c>
      <c r="Z161" s="40"/>
      <c r="AA161" s="64"/>
      <c r="AB161" s="64"/>
      <c r="AC161" s="64"/>
    </row>
    <row r="162" spans="1:68" ht="14.25" customHeight="1" x14ac:dyDescent="0.25">
      <c r="A162" s="739" t="s">
        <v>78</v>
      </c>
      <c r="B162" s="739"/>
      <c r="C162" s="739"/>
      <c r="D162" s="739"/>
      <c r="E162" s="739"/>
      <c r="F162" s="739"/>
      <c r="G162" s="739"/>
      <c r="H162" s="739"/>
      <c r="I162" s="739"/>
      <c r="J162" s="739"/>
      <c r="K162" s="739"/>
      <c r="L162" s="739"/>
      <c r="M162" s="739"/>
      <c r="N162" s="739"/>
      <c r="O162" s="739"/>
      <c r="P162" s="739"/>
      <c r="Q162" s="739"/>
      <c r="R162" s="739"/>
      <c r="S162" s="739"/>
      <c r="T162" s="739"/>
      <c r="U162" s="739"/>
      <c r="V162" s="739"/>
      <c r="W162" s="739"/>
      <c r="X162" s="739"/>
      <c r="Y162" s="739"/>
      <c r="Z162" s="739"/>
      <c r="AA162" s="63"/>
      <c r="AB162" s="63"/>
      <c r="AC162" s="63"/>
    </row>
    <row r="163" spans="1:68" ht="16.5" customHeight="1" x14ac:dyDescent="0.25">
      <c r="A163" s="60" t="s">
        <v>291</v>
      </c>
      <c r="B163" s="60" t="s">
        <v>292</v>
      </c>
      <c r="C163" s="34">
        <v>4301051653</v>
      </c>
      <c r="D163" s="740">
        <v>4607091386264</v>
      </c>
      <c r="E163" s="740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742"/>
      <c r="R163" s="742"/>
      <c r="S163" s="742"/>
      <c r="T163" s="74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294</v>
      </c>
      <c r="B164" s="60" t="s">
        <v>295</v>
      </c>
      <c r="C164" s="34">
        <v>4301051313</v>
      </c>
      <c r="D164" s="740">
        <v>4607091385427</v>
      </c>
      <c r="E164" s="740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823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customHeight="1" x14ac:dyDescent="0.2">
      <c r="A167" s="737" t="s">
        <v>297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customHeight="1" x14ac:dyDescent="0.25">
      <c r="A168" s="738" t="s">
        <v>298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customHeight="1" x14ac:dyDescent="0.25">
      <c r="A169" s="739" t="s">
        <v>144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customHeight="1" x14ac:dyDescent="0.25">
      <c r="A170" s="60" t="s">
        <v>299</v>
      </c>
      <c r="B170" s="60" t="s">
        <v>300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9" t="s">
        <v>155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50</v>
      </c>
      <c r="Y174" s="53">
        <f t="shared" ref="Y174:Y182" si="21">IFERROR(IF(X174="",0,CEILING((X174/$H174),1)*$H174),"")</f>
        <v>50.400000000000006</v>
      </c>
      <c r="Z174" s="39">
        <f>IFERROR(IF(Y174=0,"",ROUNDUP(Y174/H174,0)*0.00902),"")</f>
        <v>0.10824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53.214285714285715</v>
      </c>
      <c r="BN174" s="75">
        <f t="shared" ref="BN174:BN182" si="23">IFERROR(Y174*I174/H174,"0")</f>
        <v>53.64</v>
      </c>
      <c r="BO174" s="75">
        <f t="shared" ref="BO174:BO182" si="24">IFERROR(1/J174*(X174/H174),"0")</f>
        <v>9.0187590187590191E-2</v>
      </c>
      <c r="BP174" s="75">
        <f t="shared" ref="BP174:BP182" si="25">IFERROR(1/J174*(Y174/H174),"0")</f>
        <v>9.0909090909090912E-2</v>
      </c>
    </row>
    <row r="175" spans="1:68" ht="27" customHeight="1" x14ac:dyDescent="0.25">
      <c r="A175" s="60" t="s">
        <v>305</v>
      </c>
      <c r="B175" s="60" t="s">
        <v>306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50</v>
      </c>
      <c r="Y175" s="53">
        <f t="shared" si="21"/>
        <v>50.400000000000006</v>
      </c>
      <c r="Z175" s="39">
        <f>IFERROR(IF(Y175=0,"",ROUNDUP(Y175/H175,0)*0.00902),"")</f>
        <v>0.10824</v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53.214285714285715</v>
      </c>
      <c r="BN175" s="75">
        <f t="shared" si="23"/>
        <v>53.64</v>
      </c>
      <c r="BO175" s="75">
        <f t="shared" si="24"/>
        <v>9.0187590187590191E-2</v>
      </c>
      <c r="BP175" s="75">
        <f t="shared" si="25"/>
        <v>9.0909090909090912E-2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50</v>
      </c>
      <c r="Y176" s="53">
        <f t="shared" si="21"/>
        <v>50.400000000000006</v>
      </c>
      <c r="Z176" s="39">
        <f>IFERROR(IF(Y176=0,"",ROUNDUP(Y176/H176,0)*0.00902),"")</f>
        <v>0.10824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52.5</v>
      </c>
      <c r="BN176" s="75">
        <f t="shared" si="23"/>
        <v>52.920000000000009</v>
      </c>
      <c r="BO176" s="75">
        <f t="shared" si="24"/>
        <v>9.0187590187590191E-2</v>
      </c>
      <c r="BP176" s="75">
        <f t="shared" si="25"/>
        <v>9.0909090909090912E-2</v>
      </c>
    </row>
    <row r="177" spans="1:68" ht="27" customHeight="1" x14ac:dyDescent="0.25">
      <c r="A177" s="60" t="s">
        <v>311</v>
      </c>
      <c r="B177" s="60" t="s">
        <v>312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customHeight="1" x14ac:dyDescent="0.25">
      <c r="A179" s="60" t="s">
        <v>315</v>
      </c>
      <c r="B179" s="60" t="s">
        <v>316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830" t="s">
        <v>317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customHeight="1" x14ac:dyDescent="0.25">
      <c r="A180" s="60" t="s">
        <v>319</v>
      </c>
      <c r="B180" s="60" t="s">
        <v>320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customHeight="1" x14ac:dyDescent="0.25">
      <c r="A181" s="60" t="s">
        <v>321</v>
      </c>
      <c r="B181" s="60" t="s">
        <v>322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323</v>
      </c>
      <c r="B182" s="60" t="s">
        <v>324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35.714285714285715</v>
      </c>
      <c r="Y183" s="41">
        <f>IFERROR(Y174/H174,"0")+IFERROR(Y175/H175,"0")+IFERROR(Y176/H176,"0")+IFERROR(Y177/H177,"0")+IFERROR(Y178/H178,"0")+IFERROR(Y179/H179,"0")+IFERROR(Y180/H180,"0")+IFERROR(Y181/H181,"0")+IFERROR(Y182/H182,"0")</f>
        <v>36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0.32472000000000001</v>
      </c>
      <c r="AA183" s="64"/>
      <c r="AB183" s="64"/>
      <c r="AC183" s="64"/>
    </row>
    <row r="184" spans="1:68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150</v>
      </c>
      <c r="Y184" s="41">
        <f>IFERROR(SUM(Y174:Y182),"0")</f>
        <v>151.20000000000002</v>
      </c>
      <c r="Z184" s="40"/>
      <c r="AA184" s="64"/>
      <c r="AB184" s="64"/>
      <c r="AC184" s="64"/>
    </row>
    <row r="185" spans="1:68" ht="14.25" customHeight="1" x14ac:dyDescent="0.25">
      <c r="A185" s="739" t="s">
        <v>93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customHeight="1" x14ac:dyDescent="0.25">
      <c r="A186" s="60" t="s">
        <v>326</v>
      </c>
      <c r="B186" s="60" t="s">
        <v>327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34" t="s">
        <v>328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8" t="s">
        <v>333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customHeight="1" x14ac:dyDescent="0.25">
      <c r="A190" s="739" t="s">
        <v>101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customHeight="1" x14ac:dyDescent="0.25">
      <c r="A191" s="60" t="s">
        <v>334</v>
      </c>
      <c r="B191" s="60" t="s">
        <v>335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337</v>
      </c>
      <c r="B192" s="60" t="s">
        <v>338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9" t="s">
        <v>144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customHeight="1" x14ac:dyDescent="0.25">
      <c r="A196" s="60" t="s">
        <v>339</v>
      </c>
      <c r="B196" s="60" t="s">
        <v>340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342</v>
      </c>
      <c r="B197" s="60" t="s">
        <v>343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739" t="s">
        <v>155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26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207.77777777777777</v>
      </c>
      <c r="BN201" s="75">
        <f t="shared" ref="BN201:BN208" si="28">IFERROR(Y201*I201/H201,"0")</f>
        <v>213.18000000000004</v>
      </c>
      <c r="BO201" s="75">
        <f t="shared" ref="BO201:BO208" si="29">IFERROR(1/J201*(X201/H201),"0")</f>
        <v>0.28058361391694725</v>
      </c>
      <c r="BP201" s="75">
        <f t="shared" ref="BP201:BP208" si="30">IFERROR(1/J201*(Y201/H201),"0")</f>
        <v>0.2878787878787879</v>
      </c>
    </row>
    <row r="202" spans="1:68" ht="27" customHeight="1" x14ac:dyDescent="0.25">
      <c r="A202" s="60" t="s">
        <v>347</v>
      </c>
      <c r="B202" s="60" t="s">
        <v>348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150</v>
      </c>
      <c r="Y203" s="53">
        <f t="shared" si="26"/>
        <v>151.20000000000002</v>
      </c>
      <c r="Z203" s="39">
        <f>IFERROR(IF(Y203=0,"",ROUNDUP(Y203/H203,0)*0.00902),"")</f>
        <v>0.25256000000000001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155.83333333333331</v>
      </c>
      <c r="BN203" s="75">
        <f t="shared" si="28"/>
        <v>157.08000000000001</v>
      </c>
      <c r="BO203" s="75">
        <f t="shared" si="29"/>
        <v>0.21043771043771042</v>
      </c>
      <c r="BP203" s="75">
        <f t="shared" si="30"/>
        <v>0.21212121212121213</v>
      </c>
    </row>
    <row r="204" spans="1:68" ht="27" customHeight="1" x14ac:dyDescent="0.25">
      <c r="A204" s="60" t="s">
        <v>353</v>
      </c>
      <c r="B204" s="60" t="s">
        <v>354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customHeight="1" x14ac:dyDescent="0.25">
      <c r="A205" s="60" t="s">
        <v>356</v>
      </c>
      <c r="B205" s="60" t="s">
        <v>357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customHeight="1" x14ac:dyDescent="0.25">
      <c r="A206" s="60" t="s">
        <v>358</v>
      </c>
      <c r="B206" s="60" t="s">
        <v>359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customHeight="1" x14ac:dyDescent="0.25">
      <c r="A207" s="60" t="s">
        <v>360</v>
      </c>
      <c r="B207" s="60" t="s">
        <v>361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customHeight="1" x14ac:dyDescent="0.25">
      <c r="A208" s="60" t="s">
        <v>362</v>
      </c>
      <c r="B208" s="60" t="s">
        <v>363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64.81481481481481</v>
      </c>
      <c r="Y209" s="41">
        <f>IFERROR(Y201/H201,"0")+IFERROR(Y202/H202,"0")+IFERROR(Y203/H203,"0")+IFERROR(Y204/H204,"0")+IFERROR(Y205/H205,"0")+IFERROR(Y206/H206,"0")+IFERROR(Y207/H207,"0")+IFERROR(Y208/H208,"0")</f>
        <v>66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0.59532000000000007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350</v>
      </c>
      <c r="Y210" s="41">
        <f>IFERROR(SUM(Y201:Y208),"0")</f>
        <v>356.40000000000003</v>
      </c>
      <c r="Z210" s="40"/>
      <c r="AA210" s="64"/>
      <c r="AB210" s="64"/>
      <c r="AC210" s="64"/>
    </row>
    <row r="211" spans="1:68" ht="14.25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customHeight="1" x14ac:dyDescent="0.25">
      <c r="A212" s="60" t="s">
        <v>364</v>
      </c>
      <c r="B212" s="60" t="s">
        <v>365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1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0</v>
      </c>
      <c r="BN212" s="75">
        <f t="shared" ref="BN212:BN220" si="33">IFERROR(Y212*I212/H212,"0")</f>
        <v>0</v>
      </c>
      <c r="BO212" s="75">
        <f t="shared" ref="BO212:BO220" si="34">IFERROR(1/J212*(X212/H212),"0")</f>
        <v>0</v>
      </c>
      <c r="BP212" s="75">
        <f t="shared" ref="BP212:BP220" si="35">IFERROR(1/J212*(Y212/H212),"0")</f>
        <v>0</v>
      </c>
    </row>
    <row r="213" spans="1:68" ht="27" customHeight="1" x14ac:dyDescent="0.25">
      <c r="A213" s="60" t="s">
        <v>367</v>
      </c>
      <c r="B213" s="60" t="s">
        <v>368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1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0</v>
      </c>
      <c r="BN213" s="75">
        <f t="shared" si="33"/>
        <v>0</v>
      </c>
      <c r="BO213" s="75">
        <f t="shared" si="34"/>
        <v>0</v>
      </c>
      <c r="BP213" s="75">
        <f t="shared" si="35"/>
        <v>0</v>
      </c>
    </row>
    <row r="214" spans="1:68" ht="16.5" customHeight="1" x14ac:dyDescent="0.25">
      <c r="A214" s="60" t="s">
        <v>370</v>
      </c>
      <c r="B214" s="60" t="s">
        <v>371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1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0</v>
      </c>
      <c r="BN214" s="75">
        <f t="shared" si="33"/>
        <v>0</v>
      </c>
      <c r="BO214" s="75">
        <f t="shared" si="34"/>
        <v>0</v>
      </c>
      <c r="BP214" s="75">
        <f t="shared" si="35"/>
        <v>0</v>
      </c>
    </row>
    <row r="215" spans="1:68" ht="27" customHeight="1" x14ac:dyDescent="0.25">
      <c r="A215" s="60" t="s">
        <v>373</v>
      </c>
      <c r="B215" s="60" t="s">
        <v>374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customHeight="1" x14ac:dyDescent="0.25">
      <c r="A216" s="60" t="s">
        <v>375</v>
      </c>
      <c r="B216" s="60" t="s">
        <v>376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customHeight="1" x14ac:dyDescent="0.25">
      <c r="A217" s="60" t="s">
        <v>378</v>
      </c>
      <c r="B217" s="60" t="s">
        <v>379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customHeight="1" x14ac:dyDescent="0.25">
      <c r="A218" s="60" t="s">
        <v>380</v>
      </c>
      <c r="B218" s="60" t="s">
        <v>381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1"/>
        <v>0</v>
      </c>
      <c r="Z219" s="39" t="str">
        <f t="shared" si="36"/>
        <v/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0</v>
      </c>
      <c r="BN219" s="75">
        <f t="shared" si="33"/>
        <v>0</v>
      </c>
      <c r="BO219" s="75">
        <f t="shared" si="34"/>
        <v>0</v>
      </c>
      <c r="BP219" s="75">
        <f t="shared" si="35"/>
        <v>0</v>
      </c>
    </row>
    <row r="220" spans="1:68" ht="27" customHeight="1" x14ac:dyDescent="0.25">
      <c r="A220" s="60" t="s">
        <v>385</v>
      </c>
      <c r="B220" s="60" t="s">
        <v>386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1"/>
        <v>0</v>
      </c>
      <c r="Z220" s="39" t="str">
        <f t="shared" si="36"/>
        <v/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0</v>
      </c>
      <c r="BN220" s="75">
        <f t="shared" si="33"/>
        <v>0</v>
      </c>
      <c r="BO220" s="75">
        <f t="shared" si="34"/>
        <v>0</v>
      </c>
      <c r="BP220" s="75">
        <f t="shared" si="35"/>
        <v>0</v>
      </c>
    </row>
    <row r="221" spans="1:68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739" t="s">
        <v>181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customHeight="1" x14ac:dyDescent="0.25">
      <c r="A224" s="60" t="s">
        <v>388</v>
      </c>
      <c r="B224" s="60" t="s">
        <v>389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391</v>
      </c>
      <c r="B225" s="60" t="s">
        <v>392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738" t="s">
        <v>394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customHeight="1" x14ac:dyDescent="0.25">
      <c r="A229" s="739" t="s">
        <v>101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customHeight="1" x14ac:dyDescent="0.25">
      <c r="A230" s="60" t="s">
        <v>395</v>
      </c>
      <c r="B230" s="60" t="s">
        <v>396</v>
      </c>
      <c r="C230" s="34">
        <v>4301011942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customHeight="1" x14ac:dyDescent="0.25">
      <c r="A231" s="60" t="s">
        <v>395</v>
      </c>
      <c r="B231" s="60" t="s">
        <v>399</v>
      </c>
      <c r="C231" s="34">
        <v>4301011826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401</v>
      </c>
      <c r="B232" s="60" t="s">
        <v>402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customHeight="1" x14ac:dyDescent="0.25">
      <c r="A233" s="60" t="s">
        <v>404</v>
      </c>
      <c r="B233" s="60" t="s">
        <v>405</v>
      </c>
      <c r="C233" s="34">
        <v>4301011941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customHeight="1" x14ac:dyDescent="0.25">
      <c r="A234" s="60" t="s">
        <v>404</v>
      </c>
      <c r="B234" s="60" t="s">
        <v>406</v>
      </c>
      <c r="C234" s="34">
        <v>4301011721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customHeight="1" x14ac:dyDescent="0.25">
      <c r="A235" s="60" t="s">
        <v>408</v>
      </c>
      <c r="B235" s="60" t="s">
        <v>409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customHeight="1" x14ac:dyDescent="0.25">
      <c r="A236" s="60" t="s">
        <v>410</v>
      </c>
      <c r="B236" s="60" t="s">
        <v>411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customHeight="1" x14ac:dyDescent="0.25">
      <c r="A237" s="60" t="s">
        <v>412</v>
      </c>
      <c r="B237" s="60" t="s">
        <v>413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9" t="s">
        <v>144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customHeight="1" x14ac:dyDescent="0.25">
      <c r="A241" s="60" t="s">
        <v>414</v>
      </c>
      <c r="B241" s="60" t="s">
        <v>415</v>
      </c>
      <c r="C241" s="34">
        <v>4301020340</v>
      </c>
      <c r="D241" s="740">
        <v>4680115885721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414</v>
      </c>
      <c r="B242" s="60" t="s">
        <v>417</v>
      </c>
      <c r="C242" s="34">
        <v>4301020377</v>
      </c>
      <c r="D242" s="740">
        <v>4680115885981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7" t="s">
        <v>418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9" t="s">
        <v>419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68" t="s">
        <v>422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9" t="s">
        <v>424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customHeight="1" x14ac:dyDescent="0.25">
      <c r="A250" s="60" t="s">
        <v>425</v>
      </c>
      <c r="B250" s="60" t="s">
        <v>426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69" t="s">
        <v>427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8" t="s">
        <v>429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customHeight="1" x14ac:dyDescent="0.25">
      <c r="A254" s="739" t="s">
        <v>101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customHeight="1" x14ac:dyDescent="0.25">
      <c r="A255" s="60" t="s">
        <v>430</v>
      </c>
      <c r="B255" s="60" t="s">
        <v>431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customHeight="1" x14ac:dyDescent="0.25">
      <c r="A256" s="60" t="s">
        <v>433</v>
      </c>
      <c r="B256" s="60" t="s">
        <v>434</v>
      </c>
      <c r="C256" s="34">
        <v>4301011910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customHeight="1" x14ac:dyDescent="0.25">
      <c r="A257" s="60" t="s">
        <v>433</v>
      </c>
      <c r="B257" s="60" t="s">
        <v>436</v>
      </c>
      <c r="C257" s="34">
        <v>4301011850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customHeight="1" x14ac:dyDescent="0.25">
      <c r="A258" s="60" t="s">
        <v>438</v>
      </c>
      <c r="B258" s="60" t="s">
        <v>439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customHeight="1" x14ac:dyDescent="0.25">
      <c r="A259" s="60" t="s">
        <v>441</v>
      </c>
      <c r="B259" s="60" t="s">
        <v>442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60</v>
      </c>
      <c r="Y259" s="53">
        <f t="shared" si="42"/>
        <v>60</v>
      </c>
      <c r="Z259" s="39">
        <f>IFERROR(IF(Y259=0,"",ROUNDUP(Y259/H259,0)*0.00902),"")</f>
        <v>0.1353</v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63.15</v>
      </c>
      <c r="BN259" s="75">
        <f t="shared" si="44"/>
        <v>63.15</v>
      </c>
      <c r="BO259" s="75">
        <f t="shared" si="45"/>
        <v>0.11363636363636365</v>
      </c>
      <c r="BP259" s="75">
        <f t="shared" si="46"/>
        <v>0.11363636363636365</v>
      </c>
    </row>
    <row r="260" spans="1:68" ht="27" customHeight="1" x14ac:dyDescent="0.25">
      <c r="A260" s="60" t="s">
        <v>444</v>
      </c>
      <c r="B260" s="60" t="s">
        <v>445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80</v>
      </c>
      <c r="Y260" s="53">
        <f t="shared" si="42"/>
        <v>80</v>
      </c>
      <c r="Z260" s="39">
        <f>IFERROR(IF(Y260=0,"",ROUNDUP(Y260/H260,0)*0.00902),"")</f>
        <v>0.1804</v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84.2</v>
      </c>
      <c r="BN260" s="75">
        <f t="shared" si="44"/>
        <v>84.2</v>
      </c>
      <c r="BO260" s="75">
        <f t="shared" si="45"/>
        <v>0.15151515151515152</v>
      </c>
      <c r="BP260" s="75">
        <f t="shared" si="46"/>
        <v>0.15151515151515152</v>
      </c>
    </row>
    <row r="261" spans="1:68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35</v>
      </c>
      <c r="Y261" s="41">
        <f>IFERROR(Y255/H255,"0")+IFERROR(Y256/H256,"0")+IFERROR(Y257/H257,"0")+IFERROR(Y258/H258,"0")+IFERROR(Y259/H259,"0")+IFERROR(Y260/H260,"0")</f>
        <v>35</v>
      </c>
      <c r="Z261" s="41">
        <f>IFERROR(IF(Z255="",0,Z255),"0")+IFERROR(IF(Z256="",0,Z256),"0")+IFERROR(IF(Z257="",0,Z257),"0")+IFERROR(IF(Z258="",0,Z258),"0")+IFERROR(IF(Z259="",0,Z259),"0")+IFERROR(IF(Z260="",0,Z260),"0")</f>
        <v>0.31569999999999998</v>
      </c>
      <c r="AA261" s="64"/>
      <c r="AB261" s="64"/>
      <c r="AC261" s="64"/>
    </row>
    <row r="262" spans="1:68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140</v>
      </c>
      <c r="Y262" s="41">
        <f>IFERROR(SUM(Y255:Y260),"0")</f>
        <v>140</v>
      </c>
      <c r="Z262" s="40"/>
      <c r="AA262" s="64"/>
      <c r="AB262" s="64"/>
      <c r="AC262" s="64"/>
    </row>
    <row r="263" spans="1:68" ht="16.5" customHeight="1" x14ac:dyDescent="0.25">
      <c r="A263" s="738" t="s">
        <v>447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customHeight="1" x14ac:dyDescent="0.25">
      <c r="A264" s="739" t="s">
        <v>101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customHeight="1" x14ac:dyDescent="0.25">
      <c r="A265" s="60" t="s">
        <v>448</v>
      </c>
      <c r="B265" s="60" t="s">
        <v>449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8" t="s">
        <v>451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customHeight="1" x14ac:dyDescent="0.25">
      <c r="A269" s="739" t="s">
        <v>101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customHeight="1" x14ac:dyDescent="0.25">
      <c r="A270" s="60" t="s">
        <v>452</v>
      </c>
      <c r="B270" s="60" t="s">
        <v>453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454</v>
      </c>
      <c r="B271" s="60" t="s">
        <v>455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457</v>
      </c>
      <c r="B272" s="60" t="s">
        <v>458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8" t="s">
        <v>460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customHeight="1" x14ac:dyDescent="0.25">
      <c r="A277" s="60" t="s">
        <v>461</v>
      </c>
      <c r="B277" s="60" t="s">
        <v>462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464</v>
      </c>
      <c r="B278" s="60" t="s">
        <v>465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467</v>
      </c>
      <c r="B279" s="60" t="s">
        <v>468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469</v>
      </c>
      <c r="B280" s="60" t="s">
        <v>470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472</v>
      </c>
      <c r="B281" s="60" t="s">
        <v>473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738" t="s">
        <v>474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customHeight="1" x14ac:dyDescent="0.25">
      <c r="A285" s="739" t="s">
        <v>101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customHeight="1" x14ac:dyDescent="0.25">
      <c r="A286" s="60" t="s">
        <v>475</v>
      </c>
      <c r="B286" s="60" t="s">
        <v>476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9" t="s">
        <v>155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customHeight="1" x14ac:dyDescent="0.25">
      <c r="A290" s="60" t="s">
        <v>478</v>
      </c>
      <c r="B290" s="60" t="s">
        <v>479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customHeight="1" x14ac:dyDescent="0.25">
      <c r="A294" s="60" t="s">
        <v>481</v>
      </c>
      <c r="B294" s="60" t="s">
        <v>482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8" t="s">
        <v>484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customHeight="1" x14ac:dyDescent="0.25">
      <c r="A299" s="60" t="s">
        <v>485</v>
      </c>
      <c r="B299" s="60" t="s">
        <v>486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8" t="s">
        <v>488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customHeight="1" x14ac:dyDescent="0.25">
      <c r="A303" s="739" t="s">
        <v>101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customHeight="1" x14ac:dyDescent="0.25">
      <c r="A304" s="60" t="s">
        <v>489</v>
      </c>
      <c r="B304" s="60" t="s">
        <v>490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9" t="s">
        <v>155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customHeight="1" x14ac:dyDescent="0.25">
      <c r="A308" s="60" t="s">
        <v>491</v>
      </c>
      <c r="B308" s="60" t="s">
        <v>492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494</v>
      </c>
      <c r="B309" s="60" t="s">
        <v>495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8" t="s">
        <v>496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customHeight="1" x14ac:dyDescent="0.25">
      <c r="A313" s="739" t="s">
        <v>101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customHeight="1" x14ac:dyDescent="0.25">
      <c r="A314" s="60" t="s">
        <v>497</v>
      </c>
      <c r="B314" s="60" t="s">
        <v>498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8" t="s">
        <v>501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customHeight="1" x14ac:dyDescent="0.25">
      <c r="A318" s="739" t="s">
        <v>101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customHeight="1" x14ac:dyDescent="0.25">
      <c r="A319" s="60" t="s">
        <v>502</v>
      </c>
      <c r="B319" s="60" t="s">
        <v>503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customHeight="1" x14ac:dyDescent="0.25">
      <c r="A320" s="60" t="s">
        <v>505</v>
      </c>
      <c r="B320" s="60" t="s">
        <v>506</v>
      </c>
      <c r="C320" s="34">
        <v>4301011911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customHeight="1" x14ac:dyDescent="0.25">
      <c r="A321" s="60" t="s">
        <v>505</v>
      </c>
      <c r="B321" s="60" t="s">
        <v>508</v>
      </c>
      <c r="C321" s="34">
        <v>4301012016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customHeight="1" x14ac:dyDescent="0.25">
      <c r="A322" s="60" t="s">
        <v>510</v>
      </c>
      <c r="B322" s="60" t="s">
        <v>511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customHeight="1" x14ac:dyDescent="0.25">
      <c r="A323" s="60" t="s">
        <v>513</v>
      </c>
      <c r="B323" s="60" t="s">
        <v>514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80</v>
      </c>
      <c r="Y323" s="53">
        <f t="shared" si="47"/>
        <v>80</v>
      </c>
      <c r="Z323" s="39">
        <f>IFERROR(IF(Y323=0,"",ROUNDUP(Y323/H323,0)*0.00902),"")</f>
        <v>0.1804</v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84.2</v>
      </c>
      <c r="BN323" s="75">
        <f t="shared" si="49"/>
        <v>84.2</v>
      </c>
      <c r="BO323" s="75">
        <f t="shared" si="50"/>
        <v>0.15151515151515152</v>
      </c>
      <c r="BP323" s="75">
        <f t="shared" si="51"/>
        <v>0.15151515151515152</v>
      </c>
    </row>
    <row r="324" spans="1:68" ht="27" customHeight="1" x14ac:dyDescent="0.25">
      <c r="A324" s="60" t="s">
        <v>516</v>
      </c>
      <c r="B324" s="60" t="s">
        <v>517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47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555.72</v>
      </c>
      <c r="BN324" s="75">
        <f t="shared" si="49"/>
        <v>555.72</v>
      </c>
      <c r="BO324" s="75">
        <f t="shared" si="50"/>
        <v>1</v>
      </c>
      <c r="BP324" s="75">
        <f t="shared" si="51"/>
        <v>1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152</v>
      </c>
      <c r="Y325" s="41">
        <f>IFERROR(Y319/H319,"0")+IFERROR(Y320/H320,"0")+IFERROR(Y321/H321,"0")+IFERROR(Y322/H322,"0")+IFERROR(Y323/H323,"0")+IFERROR(Y324/H324,"0")</f>
        <v>152</v>
      </c>
      <c r="Z325" s="41">
        <f>IFERROR(IF(Z319="",0,Z319),"0")+IFERROR(IF(Z320="",0,Z320),"0")+IFERROR(IF(Z321="",0,Z321),"0")+IFERROR(IF(Z322="",0,Z322),"0")+IFERROR(IF(Z323="",0,Z323),"0")+IFERROR(IF(Z324="",0,Z324),"0")</f>
        <v>1.3710400000000003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608</v>
      </c>
      <c r="Y326" s="41">
        <f>IFERROR(SUM(Y319:Y324),"0")</f>
        <v>608</v>
      </c>
      <c r="Z326" s="40"/>
      <c r="AA326" s="64"/>
      <c r="AB326" s="64"/>
      <c r="AC326" s="64"/>
    </row>
    <row r="327" spans="1:68" ht="14.25" customHeight="1" x14ac:dyDescent="0.25">
      <c r="A327" s="739" t="s">
        <v>155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customHeight="1" x14ac:dyDescent="0.25">
      <c r="A328" s="60" t="s">
        <v>518</v>
      </c>
      <c r="B328" s="60" t="s">
        <v>519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customHeight="1" x14ac:dyDescent="0.25">
      <c r="A330" s="60" t="s">
        <v>524</v>
      </c>
      <c r="B330" s="60" t="s">
        <v>525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527</v>
      </c>
      <c r="B331" s="60" t="s">
        <v>528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37.5" customHeight="1" x14ac:dyDescent="0.25">
      <c r="A335" s="60" t="s">
        <v>529</v>
      </c>
      <c r="B335" s="60" t="s">
        <v>530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7000</v>
      </c>
      <c r="Y335" s="53">
        <f>IFERROR(IF(X335="",0,CEILING((X335/$H335),1)*$H335),"")</f>
        <v>7004.4</v>
      </c>
      <c r="Z335" s="39">
        <f>IFERROR(IF(Y335=0,"",ROUNDUP(Y335/H335,0)*0.01898),"")</f>
        <v>17.044039999999999</v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7460.3846153846162</v>
      </c>
      <c r="BN335" s="75">
        <f>IFERROR(Y335*I335/H335,"0")</f>
        <v>7465.0740000000005</v>
      </c>
      <c r="BO335" s="75">
        <f>IFERROR(1/J335*(X335/H335),"0")</f>
        <v>14.022435897435898</v>
      </c>
      <c r="BP335" s="75">
        <f>IFERROR(1/J335*(Y335/H335),"0")</f>
        <v>14.03125</v>
      </c>
    </row>
    <row r="336" spans="1:68" ht="27" customHeight="1" x14ac:dyDescent="0.25">
      <c r="A336" s="60" t="s">
        <v>532</v>
      </c>
      <c r="B336" s="60" t="s">
        <v>533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535</v>
      </c>
      <c r="B337" s="60" t="s">
        <v>536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538</v>
      </c>
      <c r="B338" s="60" t="s">
        <v>539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customHeight="1" x14ac:dyDescent="0.25">
      <c r="A339" s="60" t="s">
        <v>541</v>
      </c>
      <c r="B339" s="60" t="s">
        <v>542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897.43589743589746</v>
      </c>
      <c r="Y340" s="41">
        <f>IFERROR(Y335/H335,"0")+IFERROR(Y336/H336,"0")+IFERROR(Y337/H337,"0")+IFERROR(Y338/H338,"0")+IFERROR(Y339/H339,"0")</f>
        <v>898</v>
      </c>
      <c r="Z340" s="41">
        <f>IFERROR(IF(Z335="",0,Z335),"0")+IFERROR(IF(Z336="",0,Z336),"0")+IFERROR(IF(Z337="",0,Z337),"0")+IFERROR(IF(Z338="",0,Z338),"0")+IFERROR(IF(Z339="",0,Z339),"0")</f>
        <v>17.044039999999999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7000</v>
      </c>
      <c r="Y341" s="41">
        <f>IFERROR(SUM(Y335:Y339),"0")</f>
        <v>7004.4</v>
      </c>
      <c r="Z341" s="40"/>
      <c r="AA341" s="64"/>
      <c r="AB341" s="64"/>
      <c r="AC341" s="64"/>
    </row>
    <row r="342" spans="1:68" ht="14.25" customHeight="1" x14ac:dyDescent="0.25">
      <c r="A342" s="739" t="s">
        <v>181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customHeight="1" x14ac:dyDescent="0.25">
      <c r="A343" s="60" t="s">
        <v>544</v>
      </c>
      <c r="B343" s="60" t="s">
        <v>545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300</v>
      </c>
      <c r="Y344" s="53">
        <f>IFERROR(IF(X344="",0,CEILING((X344/$H344),1)*$H344),"")</f>
        <v>304.2</v>
      </c>
      <c r="Z344" s="39">
        <f>IFERROR(IF(Y344=0,"",ROUNDUP(Y344/H344,0)*0.01898),"")</f>
        <v>0.74021999999999999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319.96153846153851</v>
      </c>
      <c r="BN344" s="75">
        <f>IFERROR(Y344*I344/H344,"0")</f>
        <v>324.44100000000003</v>
      </c>
      <c r="BO344" s="75">
        <f>IFERROR(1/J344*(X344/H344),"0")</f>
        <v>0.60096153846153844</v>
      </c>
      <c r="BP344" s="75">
        <f>IFERROR(1/J344*(Y344/H344),"0")</f>
        <v>0.609375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80</v>
      </c>
      <c r="Y345" s="53">
        <f>IFERROR(IF(X345="",0,CEILING((X345/$H345),1)*$H345),"")</f>
        <v>84</v>
      </c>
      <c r="Z345" s="39">
        <f>IFERROR(IF(Y345=0,"",ROUNDUP(Y345/H345,0)*0.01898),"")</f>
        <v>0.1898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84.942857142857136</v>
      </c>
      <c r="BN345" s="75">
        <f>IFERROR(Y345*I345/H345,"0")</f>
        <v>89.19</v>
      </c>
      <c r="BO345" s="75">
        <f>IFERROR(1/J345*(X345/H345),"0")</f>
        <v>0.14880952380952381</v>
      </c>
      <c r="BP345" s="75">
        <f>IFERROR(1/J345*(Y345/H345),"0")</f>
        <v>0.15625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47.985347985347985</v>
      </c>
      <c r="Y346" s="41">
        <f>IFERROR(Y343/H343,"0")+IFERROR(Y344/H344,"0")+IFERROR(Y345/H345,"0")</f>
        <v>49</v>
      </c>
      <c r="Z346" s="41">
        <f>IFERROR(IF(Z343="",0,Z343),"0")+IFERROR(IF(Z344="",0,Z344),"0")+IFERROR(IF(Z345="",0,Z345),"0")</f>
        <v>0.93001999999999996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380</v>
      </c>
      <c r="Y347" s="41">
        <f>IFERROR(SUM(Y343:Y345),"0")</f>
        <v>388.2</v>
      </c>
      <c r="Z347" s="40"/>
      <c r="AA347" s="64"/>
      <c r="AB347" s="64"/>
      <c r="AC347" s="64"/>
    </row>
    <row r="348" spans="1:68" ht="14.25" customHeight="1" x14ac:dyDescent="0.25">
      <c r="A348" s="739" t="s">
        <v>93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customHeight="1" x14ac:dyDescent="0.25">
      <c r="A349" s="60" t="s">
        <v>553</v>
      </c>
      <c r="B349" s="60" t="s">
        <v>554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911" t="s">
        <v>555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557</v>
      </c>
      <c r="B350" s="60" t="s">
        <v>558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912" t="s">
        <v>559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561</v>
      </c>
      <c r="B351" s="60" t="s">
        <v>562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564</v>
      </c>
      <c r="B352" s="60" t="s">
        <v>565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customHeight="1" x14ac:dyDescent="0.25">
      <c r="A355" s="739" t="s">
        <v>566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customHeight="1" x14ac:dyDescent="0.25">
      <c r="A356" s="60" t="s">
        <v>567</v>
      </c>
      <c r="B356" s="60" t="s">
        <v>568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571</v>
      </c>
      <c r="B357" s="60" t="s">
        <v>572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573</v>
      </c>
      <c r="B358" s="60" t="s">
        <v>574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8" t="s">
        <v>575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customHeight="1" x14ac:dyDescent="0.25">
      <c r="A362" s="739" t="s">
        <v>155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customHeight="1" x14ac:dyDescent="0.25">
      <c r="A363" s="60" t="s">
        <v>576</v>
      </c>
      <c r="B363" s="60" t="s">
        <v>577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customHeight="1" x14ac:dyDescent="0.25">
      <c r="A367" s="60" t="s">
        <v>579</v>
      </c>
      <c r="B367" s="60" t="s">
        <v>580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582</v>
      </c>
      <c r="B368" s="60" t="s">
        <v>583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105</v>
      </c>
      <c r="Y368" s="53">
        <f>IFERROR(IF(X368="",0,CEILING((X368/$H368),1)*$H368),"")</f>
        <v>105</v>
      </c>
      <c r="Z368" s="39">
        <f>IFERROR(IF(Y368=0,"",ROUNDUP(Y368/H368,0)*0.00651),"")</f>
        <v>0.32550000000000001</v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117.59999999999998</v>
      </c>
      <c r="BN368" s="75">
        <f>IFERROR(Y368*I368/H368,"0")</f>
        <v>117.59999999999998</v>
      </c>
      <c r="BO368" s="75">
        <f>IFERROR(1/J368*(X368/H368),"0")</f>
        <v>0.27472527472527475</v>
      </c>
      <c r="BP368" s="75">
        <f>IFERROR(1/J368*(Y368/H368),"0")</f>
        <v>0.27472527472527475</v>
      </c>
    </row>
    <row r="369" spans="1:68" ht="27" customHeight="1" x14ac:dyDescent="0.25">
      <c r="A369" s="60" t="s">
        <v>585</v>
      </c>
      <c r="B369" s="60" t="s">
        <v>586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105</v>
      </c>
      <c r="Y369" s="53">
        <f>IFERROR(IF(X369="",0,CEILING((X369/$H369),1)*$H369),"")</f>
        <v>105</v>
      </c>
      <c r="Z369" s="39">
        <f>IFERROR(IF(Y369=0,"",ROUNDUP(Y369/H369,0)*0.00651),"")</f>
        <v>0.32550000000000001</v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116.99999999999999</v>
      </c>
      <c r="BN369" s="75">
        <f>IFERROR(Y369*I369/H369,"0")</f>
        <v>116.99999999999999</v>
      </c>
      <c r="BO369" s="75">
        <f>IFERROR(1/J369*(X369/H369),"0")</f>
        <v>0.27472527472527475</v>
      </c>
      <c r="BP369" s="75">
        <f>IFERROR(1/J369*(Y369/H369),"0")</f>
        <v>0.27472527472527475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100</v>
      </c>
      <c r="Y370" s="41">
        <f>IFERROR(Y367/H367,"0")+IFERROR(Y368/H368,"0")+IFERROR(Y369/H369,"0")</f>
        <v>100</v>
      </c>
      <c r="Z370" s="41">
        <f>IFERROR(IF(Z367="",0,Z367),"0")+IFERROR(IF(Z368="",0,Z368),"0")+IFERROR(IF(Z369="",0,Z369),"0")</f>
        <v>0.65100000000000002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210</v>
      </c>
      <c r="Y371" s="41">
        <f>IFERROR(SUM(Y367:Y369),"0")</f>
        <v>210</v>
      </c>
      <c r="Z371" s="40"/>
      <c r="AA371" s="64"/>
      <c r="AB371" s="64"/>
      <c r="AC371" s="64"/>
    </row>
    <row r="372" spans="1:68" ht="27.75" customHeight="1" x14ac:dyDescent="0.2">
      <c r="A372" s="737" t="s">
        <v>588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customHeight="1" x14ac:dyDescent="0.25">
      <c r="A373" s="738" t="s">
        <v>589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customHeight="1" x14ac:dyDescent="0.25">
      <c r="A374" s="739" t="s">
        <v>101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92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1720</v>
      </c>
      <c r="Y375" s="53">
        <f t="shared" ref="Y375:Y384" si="52">IFERROR(IF(X375="",0,CEILING((X375/$H375),1)*$H375),"")</f>
        <v>1725</v>
      </c>
      <c r="Z375" s="39">
        <f>IFERROR(IF(Y375=0,"",ROUNDUP(Y375/H375,0)*0.02039),"")</f>
        <v>2.3448499999999997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1775.0400000000002</v>
      </c>
      <c r="BN375" s="75">
        <f t="shared" ref="BN375:BN384" si="54">IFERROR(Y375*I375/H375,"0")</f>
        <v>1780.2</v>
      </c>
      <c r="BO375" s="75">
        <f t="shared" ref="BO375:BO384" si="55">IFERROR(1/J375*(X375/H375),"0")</f>
        <v>2.3888888888888888</v>
      </c>
      <c r="BP375" s="75">
        <f t="shared" ref="BP375:BP384" si="56">IFERROR(1/J375*(Y375/H375),"0")</f>
        <v>2.395833333333333</v>
      </c>
    </row>
    <row r="376" spans="1:68" ht="37.5" customHeight="1" x14ac:dyDescent="0.25">
      <c r="A376" s="60" t="s">
        <v>590</v>
      </c>
      <c r="B376" s="60" t="s">
        <v>593</v>
      </c>
      <c r="C376" s="34">
        <v>4301011869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9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92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1000</v>
      </c>
      <c r="Y377" s="53">
        <f t="shared" si="52"/>
        <v>1005</v>
      </c>
      <c r="Z377" s="39">
        <f>IFERROR(IF(Y377=0,"",ROUNDUP(Y377/H377,0)*0.02039),"")</f>
        <v>1.3661299999999998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1032</v>
      </c>
      <c r="BN377" s="75">
        <f t="shared" si="54"/>
        <v>1037.1600000000001</v>
      </c>
      <c r="BO377" s="75">
        <f t="shared" si="55"/>
        <v>1.3888888888888888</v>
      </c>
      <c r="BP377" s="75">
        <f t="shared" si="56"/>
        <v>1.3958333333333333</v>
      </c>
    </row>
    <row r="378" spans="1:68" ht="27" customHeight="1" x14ac:dyDescent="0.25">
      <c r="A378" s="60" t="s">
        <v>595</v>
      </c>
      <c r="B378" s="60" t="s">
        <v>597</v>
      </c>
      <c r="C378" s="34">
        <v>4301011870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9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1000</v>
      </c>
      <c r="Y379" s="53">
        <f t="shared" si="52"/>
        <v>1005</v>
      </c>
      <c r="Z379" s="39">
        <f>IFERROR(IF(Y379=0,"",ROUNDUP(Y379/H379,0)*0.02175),"")</f>
        <v>1.4572499999999999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1032</v>
      </c>
      <c r="BN379" s="75">
        <f t="shared" si="54"/>
        <v>1037.1600000000001</v>
      </c>
      <c r="BO379" s="75">
        <f t="shared" si="55"/>
        <v>1.3888888888888888</v>
      </c>
      <c r="BP379" s="75">
        <f t="shared" si="56"/>
        <v>1.3958333333333333</v>
      </c>
    </row>
    <row r="380" spans="1:68" ht="27" customHeight="1" x14ac:dyDescent="0.25">
      <c r="A380" s="60" t="s">
        <v>602</v>
      </c>
      <c r="B380" s="60" t="s">
        <v>603</v>
      </c>
      <c r="C380" s="34">
        <v>4301011943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92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customHeight="1" x14ac:dyDescent="0.25">
      <c r="A381" s="60" t="s">
        <v>602</v>
      </c>
      <c r="B381" s="60" t="s">
        <v>604</v>
      </c>
      <c r="C381" s="34">
        <v>4301011867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customHeight="1" x14ac:dyDescent="0.25">
      <c r="A382" s="60" t="s">
        <v>606</v>
      </c>
      <c r="B382" s="60" t="s">
        <v>607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customHeight="1" x14ac:dyDescent="0.25">
      <c r="A383" s="60" t="s">
        <v>609</v>
      </c>
      <c r="B383" s="60" t="s">
        <v>610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customHeight="1" x14ac:dyDescent="0.25">
      <c r="A384" s="60" t="s">
        <v>611</v>
      </c>
      <c r="B384" s="60" t="s">
        <v>612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248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249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5.1682299999999994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3720</v>
      </c>
      <c r="Y386" s="41">
        <f>IFERROR(SUM(Y375:Y384),"0")</f>
        <v>3735</v>
      </c>
      <c r="Z386" s="40"/>
      <c r="AA386" s="64"/>
      <c r="AB386" s="64"/>
      <c r="AC386" s="64"/>
    </row>
    <row r="387" spans="1:68" ht="14.25" customHeight="1" x14ac:dyDescent="0.25">
      <c r="A387" s="739" t="s">
        <v>144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customHeight="1" x14ac:dyDescent="0.25">
      <c r="A388" s="60" t="s">
        <v>613</v>
      </c>
      <c r="B388" s="60" t="s">
        <v>614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616</v>
      </c>
      <c r="B389" s="60" t="s">
        <v>617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934" t="s">
        <v>620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300</v>
      </c>
      <c r="Y393" s="53">
        <f>IFERROR(IF(X393="",0,CEILING((X393/$H393),1)*$H393),"")</f>
        <v>306</v>
      </c>
      <c r="Z393" s="39">
        <f>IFERROR(IF(Y393=0,"",ROUNDUP(Y393/H393,0)*0.01898),"")</f>
        <v>0.64532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317.5</v>
      </c>
      <c r="BN393" s="75">
        <f>IFERROR(Y393*I393/H393,"0")</f>
        <v>323.85000000000002</v>
      </c>
      <c r="BO393" s="75">
        <f>IFERROR(1/J393*(X393/H393),"0")</f>
        <v>0.52083333333333337</v>
      </c>
      <c r="BP393" s="75">
        <f>IFERROR(1/J393*(Y393/H393),"0")</f>
        <v>0.53125</v>
      </c>
    </row>
    <row r="394" spans="1:68" ht="27" customHeight="1" x14ac:dyDescent="0.25">
      <c r="A394" s="60" t="s">
        <v>622</v>
      </c>
      <c r="B394" s="60" t="s">
        <v>623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935" t="s">
        <v>624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33.333333333333336</v>
      </c>
      <c r="Y395" s="41">
        <f>IFERROR(Y393/H393,"0")+IFERROR(Y394/H394,"0")</f>
        <v>34</v>
      </c>
      <c r="Z395" s="41">
        <f>IFERROR(IF(Z393="",0,Z393),"0")+IFERROR(IF(Z394="",0,Z394),"0")</f>
        <v>0.64532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300</v>
      </c>
      <c r="Y396" s="41">
        <f>IFERROR(SUM(Y393:Y394),"0")</f>
        <v>306</v>
      </c>
      <c r="Z396" s="40"/>
      <c r="AA396" s="64"/>
      <c r="AB396" s="64"/>
      <c r="AC396" s="64"/>
    </row>
    <row r="397" spans="1:68" ht="14.25" customHeight="1" x14ac:dyDescent="0.25">
      <c r="A397" s="739" t="s">
        <v>181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customHeight="1" x14ac:dyDescent="0.25">
      <c r="A398" s="60" t="s">
        <v>626</v>
      </c>
      <c r="B398" s="60" t="s">
        <v>627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936" t="s">
        <v>628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738" t="s">
        <v>630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customHeight="1" x14ac:dyDescent="0.25">
      <c r="A402" s="739" t="s">
        <v>101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customHeight="1" x14ac:dyDescent="0.25">
      <c r="A403" s="60" t="s">
        <v>631</v>
      </c>
      <c r="B403" s="60" t="s">
        <v>632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customHeight="1" x14ac:dyDescent="0.25">
      <c r="A404" s="60" t="s">
        <v>631</v>
      </c>
      <c r="B404" s="60" t="s">
        <v>634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customHeight="1" x14ac:dyDescent="0.25">
      <c r="A405" s="60" t="s">
        <v>636</v>
      </c>
      <c r="B405" s="60" t="s">
        <v>637</v>
      </c>
      <c r="C405" s="34">
        <v>4301011312</v>
      </c>
      <c r="D405" s="740">
        <v>4607091384192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customHeight="1" x14ac:dyDescent="0.25">
      <c r="A406" s="60" t="s">
        <v>639</v>
      </c>
      <c r="B406" s="60" t="s">
        <v>640</v>
      </c>
      <c r="C406" s="34">
        <v>4301011874</v>
      </c>
      <c r="D406" s="740">
        <v>4680115884892</v>
      </c>
      <c r="E406" s="740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4301011875</v>
      </c>
      <c r="D407" s="740">
        <v>4680115884885</v>
      </c>
      <c r="E407" s="740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customHeight="1" x14ac:dyDescent="0.25">
      <c r="A408" s="60" t="s">
        <v>644</v>
      </c>
      <c r="B408" s="60" t="s">
        <v>645</v>
      </c>
      <c r="C408" s="34">
        <v>4301011871</v>
      </c>
      <c r="D408" s="740">
        <v>4680115884908</v>
      </c>
      <c r="E408" s="740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742"/>
      <c r="R408" s="742"/>
      <c r="S408" s="742"/>
      <c r="T408" s="743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x14ac:dyDescent="0.2">
      <c r="A410" s="750"/>
      <c r="B410" s="750"/>
      <c r="C410" s="750"/>
      <c r="D410" s="750"/>
      <c r="E410" s="750"/>
      <c r="F410" s="750"/>
      <c r="G410" s="750"/>
      <c r="H410" s="750"/>
      <c r="I410" s="750"/>
      <c r="J410" s="750"/>
      <c r="K410" s="750"/>
      <c r="L410" s="750"/>
      <c r="M410" s="750"/>
      <c r="N410" s="750"/>
      <c r="O410" s="751"/>
      <c r="P410" s="747" t="s">
        <v>40</v>
      </c>
      <c r="Q410" s="748"/>
      <c r="R410" s="748"/>
      <c r="S410" s="748"/>
      <c r="T410" s="748"/>
      <c r="U410" s="748"/>
      <c r="V410" s="74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customHeight="1" x14ac:dyDescent="0.25">
      <c r="A411" s="739" t="s">
        <v>155</v>
      </c>
      <c r="B411" s="739"/>
      <c r="C411" s="739"/>
      <c r="D411" s="739"/>
      <c r="E411" s="739"/>
      <c r="F411" s="739"/>
      <c r="G411" s="739"/>
      <c r="H411" s="739"/>
      <c r="I411" s="739"/>
      <c r="J411" s="739"/>
      <c r="K411" s="739"/>
      <c r="L411" s="739"/>
      <c r="M411" s="739"/>
      <c r="N411" s="739"/>
      <c r="O411" s="739"/>
      <c r="P411" s="739"/>
      <c r="Q411" s="739"/>
      <c r="R411" s="739"/>
      <c r="S411" s="739"/>
      <c r="T411" s="739"/>
      <c r="U411" s="739"/>
      <c r="V411" s="739"/>
      <c r="W411" s="739"/>
      <c r="X411" s="739"/>
      <c r="Y411" s="739"/>
      <c r="Z411" s="739"/>
      <c r="AA411" s="63"/>
      <c r="AB411" s="63"/>
      <c r="AC411" s="63"/>
    </row>
    <row r="412" spans="1:68" ht="27" customHeight="1" x14ac:dyDescent="0.25">
      <c r="A412" s="60" t="s">
        <v>646</v>
      </c>
      <c r="B412" s="60" t="s">
        <v>647</v>
      </c>
      <c r="C412" s="34">
        <v>4301031303</v>
      </c>
      <c r="D412" s="740">
        <v>4607091384802</v>
      </c>
      <c r="E412" s="740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649</v>
      </c>
      <c r="B413" s="60" t="s">
        <v>650</v>
      </c>
      <c r="C413" s="34">
        <v>4301031304</v>
      </c>
      <c r="D413" s="740">
        <v>4607091384826</v>
      </c>
      <c r="E413" s="740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94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742"/>
      <c r="R413" s="742"/>
      <c r="S413" s="742"/>
      <c r="T413" s="743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x14ac:dyDescent="0.2">
      <c r="A415" s="750"/>
      <c r="B415" s="750"/>
      <c r="C415" s="750"/>
      <c r="D415" s="750"/>
      <c r="E415" s="750"/>
      <c r="F415" s="750"/>
      <c r="G415" s="750"/>
      <c r="H415" s="750"/>
      <c r="I415" s="750"/>
      <c r="J415" s="750"/>
      <c r="K415" s="750"/>
      <c r="L415" s="750"/>
      <c r="M415" s="750"/>
      <c r="N415" s="750"/>
      <c r="O415" s="751"/>
      <c r="P415" s="747" t="s">
        <v>40</v>
      </c>
      <c r="Q415" s="748"/>
      <c r="R415" s="748"/>
      <c r="S415" s="748"/>
      <c r="T415" s="748"/>
      <c r="U415" s="748"/>
      <c r="V415" s="749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4.25" customHeight="1" x14ac:dyDescent="0.25">
      <c r="A416" s="739" t="s">
        <v>78</v>
      </c>
      <c r="B416" s="739"/>
      <c r="C416" s="739"/>
      <c r="D416" s="739"/>
      <c r="E416" s="739"/>
      <c r="F416" s="739"/>
      <c r="G416" s="739"/>
      <c r="H416" s="739"/>
      <c r="I416" s="739"/>
      <c r="J416" s="739"/>
      <c r="K416" s="739"/>
      <c r="L416" s="739"/>
      <c r="M416" s="739"/>
      <c r="N416" s="739"/>
      <c r="O416" s="739"/>
      <c r="P416" s="739"/>
      <c r="Q416" s="739"/>
      <c r="R416" s="739"/>
      <c r="S416" s="739"/>
      <c r="T416" s="739"/>
      <c r="U416" s="739"/>
      <c r="V416" s="739"/>
      <c r="W416" s="739"/>
      <c r="X416" s="739"/>
      <c r="Y416" s="739"/>
      <c r="Z416" s="739"/>
      <c r="AA416" s="63"/>
      <c r="AB416" s="63"/>
      <c r="AC416" s="63"/>
    </row>
    <row r="417" spans="1:68" ht="27" customHeight="1" x14ac:dyDescent="0.25">
      <c r="A417" s="60" t="s">
        <v>651</v>
      </c>
      <c r="B417" s="60" t="s">
        <v>652</v>
      </c>
      <c r="C417" s="34">
        <v>4301051899</v>
      </c>
      <c r="D417" s="740">
        <v>4607091384246</v>
      </c>
      <c r="E417" s="740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9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37.5" customHeight="1" x14ac:dyDescent="0.25">
      <c r="A418" s="60" t="s">
        <v>654</v>
      </c>
      <c r="B418" s="60" t="s">
        <v>655</v>
      </c>
      <c r="C418" s="34">
        <v>4301051901</v>
      </c>
      <c r="D418" s="740">
        <v>4680115881976</v>
      </c>
      <c r="E418" s="740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946" t="s">
        <v>656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658</v>
      </c>
      <c r="B419" s="60" t="s">
        <v>659</v>
      </c>
      <c r="C419" s="34">
        <v>4301051297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658</v>
      </c>
      <c r="B420" s="60" t="s">
        <v>661</v>
      </c>
      <c r="C420" s="34">
        <v>4301051660</v>
      </c>
      <c r="D420" s="740">
        <v>4607091384253</v>
      </c>
      <c r="E420" s="740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662</v>
      </c>
      <c r="B421" s="60" t="s">
        <v>663</v>
      </c>
      <c r="C421" s="34">
        <v>4301051444</v>
      </c>
      <c r="D421" s="740">
        <v>4680115881969</v>
      </c>
      <c r="E421" s="740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949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742"/>
      <c r="R421" s="742"/>
      <c r="S421" s="742"/>
      <c r="T421" s="74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39</v>
      </c>
      <c r="X422" s="41">
        <f>IFERROR(X417/H417,"0")+IFERROR(X418/H418,"0")+IFERROR(X419/H419,"0")+IFERROR(X420/H420,"0")+IFERROR(X421/H421,"0")</f>
        <v>0</v>
      </c>
      <c r="Y422" s="41">
        <f>IFERROR(Y417/H417,"0")+IFERROR(Y418/H418,"0")+IFERROR(Y419/H419,"0")+IFERROR(Y420/H420,"0")+IFERROR(Y421/H421,"0")</f>
        <v>0</v>
      </c>
      <c r="Z422" s="41">
        <f>IFERROR(IF(Z417="",0,Z417),"0")+IFERROR(IF(Z418="",0,Z418),"0")+IFERROR(IF(Z419="",0,Z419),"0")+IFERROR(IF(Z420="",0,Z420),"0")+IFERROR(IF(Z421="",0,Z421),"0")</f>
        <v>0</v>
      </c>
      <c r="AA422" s="64"/>
      <c r="AB422" s="64"/>
      <c r="AC422" s="64"/>
    </row>
    <row r="423" spans="1:68" x14ac:dyDescent="0.2">
      <c r="A423" s="750"/>
      <c r="B423" s="750"/>
      <c r="C423" s="750"/>
      <c r="D423" s="750"/>
      <c r="E423" s="750"/>
      <c r="F423" s="750"/>
      <c r="G423" s="750"/>
      <c r="H423" s="750"/>
      <c r="I423" s="750"/>
      <c r="J423" s="750"/>
      <c r="K423" s="750"/>
      <c r="L423" s="750"/>
      <c r="M423" s="750"/>
      <c r="N423" s="750"/>
      <c r="O423" s="751"/>
      <c r="P423" s="747" t="s">
        <v>40</v>
      </c>
      <c r="Q423" s="748"/>
      <c r="R423" s="748"/>
      <c r="S423" s="748"/>
      <c r="T423" s="748"/>
      <c r="U423" s="748"/>
      <c r="V423" s="749"/>
      <c r="W423" s="40" t="s">
        <v>0</v>
      </c>
      <c r="X423" s="41">
        <f>IFERROR(SUM(X417:X421),"0")</f>
        <v>0</v>
      </c>
      <c r="Y423" s="41">
        <f>IFERROR(SUM(Y417:Y421),"0")</f>
        <v>0</v>
      </c>
      <c r="Z423" s="40"/>
      <c r="AA423" s="64"/>
      <c r="AB423" s="64"/>
      <c r="AC423" s="64"/>
    </row>
    <row r="424" spans="1:68" ht="14.25" customHeight="1" x14ac:dyDescent="0.25">
      <c r="A424" s="739" t="s">
        <v>181</v>
      </c>
      <c r="B424" s="739"/>
      <c r="C424" s="739"/>
      <c r="D424" s="739"/>
      <c r="E424" s="739"/>
      <c r="F424" s="739"/>
      <c r="G424" s="739"/>
      <c r="H424" s="739"/>
      <c r="I424" s="739"/>
      <c r="J424" s="739"/>
      <c r="K424" s="739"/>
      <c r="L424" s="739"/>
      <c r="M424" s="739"/>
      <c r="N424" s="739"/>
      <c r="O424" s="739"/>
      <c r="P424" s="739"/>
      <c r="Q424" s="739"/>
      <c r="R424" s="739"/>
      <c r="S424" s="739"/>
      <c r="T424" s="739"/>
      <c r="U424" s="739"/>
      <c r="V424" s="739"/>
      <c r="W424" s="739"/>
      <c r="X424" s="739"/>
      <c r="Y424" s="739"/>
      <c r="Z424" s="739"/>
      <c r="AA424" s="63"/>
      <c r="AB424" s="63"/>
      <c r="AC424" s="63"/>
    </row>
    <row r="425" spans="1:68" ht="27" customHeight="1" x14ac:dyDescent="0.25">
      <c r="A425" s="60" t="s">
        <v>665</v>
      </c>
      <c r="B425" s="60" t="s">
        <v>666</v>
      </c>
      <c r="C425" s="34">
        <v>4301060441</v>
      </c>
      <c r="D425" s="740">
        <v>4607091389357</v>
      </c>
      <c r="E425" s="740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950" t="s">
        <v>667</v>
      </c>
      <c r="Q425" s="742"/>
      <c r="R425" s="742"/>
      <c r="S425" s="742"/>
      <c r="T425" s="743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39</v>
      </c>
      <c r="X426" s="41">
        <f>IFERROR(X425/H425,"0")</f>
        <v>0</v>
      </c>
      <c r="Y426" s="41">
        <f>IFERROR(Y425/H425,"0")</f>
        <v>0</v>
      </c>
      <c r="Z426" s="41">
        <f>IFERROR(IF(Z425="",0,Z425),"0")</f>
        <v>0</v>
      </c>
      <c r="AA426" s="64"/>
      <c r="AB426" s="64"/>
      <c r="AC426" s="64"/>
    </row>
    <row r="427" spans="1:68" x14ac:dyDescent="0.2">
      <c r="A427" s="750"/>
      <c r="B427" s="750"/>
      <c r="C427" s="750"/>
      <c r="D427" s="750"/>
      <c r="E427" s="750"/>
      <c r="F427" s="750"/>
      <c r="G427" s="750"/>
      <c r="H427" s="750"/>
      <c r="I427" s="750"/>
      <c r="J427" s="750"/>
      <c r="K427" s="750"/>
      <c r="L427" s="750"/>
      <c r="M427" s="750"/>
      <c r="N427" s="750"/>
      <c r="O427" s="751"/>
      <c r="P427" s="747" t="s">
        <v>40</v>
      </c>
      <c r="Q427" s="748"/>
      <c r="R427" s="748"/>
      <c r="S427" s="748"/>
      <c r="T427" s="748"/>
      <c r="U427" s="748"/>
      <c r="V427" s="749"/>
      <c r="W427" s="40" t="s">
        <v>0</v>
      </c>
      <c r="X427" s="41">
        <f>IFERROR(SUM(X425:X425),"0")</f>
        <v>0</v>
      </c>
      <c r="Y427" s="41">
        <f>IFERROR(SUM(Y425:Y425),"0")</f>
        <v>0</v>
      </c>
      <c r="Z427" s="40"/>
      <c r="AA427" s="64"/>
      <c r="AB427" s="64"/>
      <c r="AC427" s="64"/>
    </row>
    <row r="428" spans="1:68" ht="27.75" customHeight="1" x14ac:dyDescent="0.2">
      <c r="A428" s="737" t="s">
        <v>669</v>
      </c>
      <c r="B428" s="737"/>
      <c r="C428" s="737"/>
      <c r="D428" s="737"/>
      <c r="E428" s="737"/>
      <c r="F428" s="737"/>
      <c r="G428" s="737"/>
      <c r="H428" s="737"/>
      <c r="I428" s="737"/>
      <c r="J428" s="737"/>
      <c r="K428" s="737"/>
      <c r="L428" s="737"/>
      <c r="M428" s="737"/>
      <c r="N428" s="737"/>
      <c r="O428" s="737"/>
      <c r="P428" s="737"/>
      <c r="Q428" s="737"/>
      <c r="R428" s="737"/>
      <c r="S428" s="737"/>
      <c r="T428" s="737"/>
      <c r="U428" s="737"/>
      <c r="V428" s="737"/>
      <c r="W428" s="737"/>
      <c r="X428" s="737"/>
      <c r="Y428" s="737"/>
      <c r="Z428" s="737"/>
      <c r="AA428" s="52"/>
      <c r="AB428" s="52"/>
      <c r="AC428" s="52"/>
    </row>
    <row r="429" spans="1:68" ht="16.5" customHeight="1" x14ac:dyDescent="0.25">
      <c r="A429" s="738" t="s">
        <v>670</v>
      </c>
      <c r="B429" s="738"/>
      <c r="C429" s="738"/>
      <c r="D429" s="738"/>
      <c r="E429" s="738"/>
      <c r="F429" s="738"/>
      <c r="G429" s="738"/>
      <c r="H429" s="738"/>
      <c r="I429" s="738"/>
      <c r="J429" s="738"/>
      <c r="K429" s="738"/>
      <c r="L429" s="738"/>
      <c r="M429" s="738"/>
      <c r="N429" s="738"/>
      <c r="O429" s="738"/>
      <c r="P429" s="738"/>
      <c r="Q429" s="738"/>
      <c r="R429" s="738"/>
      <c r="S429" s="738"/>
      <c r="T429" s="738"/>
      <c r="U429" s="738"/>
      <c r="V429" s="738"/>
      <c r="W429" s="738"/>
      <c r="X429" s="738"/>
      <c r="Y429" s="738"/>
      <c r="Z429" s="738"/>
      <c r="AA429" s="62"/>
      <c r="AB429" s="62"/>
      <c r="AC429" s="62"/>
    </row>
    <row r="430" spans="1:68" ht="14.25" customHeight="1" x14ac:dyDescent="0.25">
      <c r="A430" s="739" t="s">
        <v>155</v>
      </c>
      <c r="B430" s="739"/>
      <c r="C430" s="739"/>
      <c r="D430" s="739"/>
      <c r="E430" s="739"/>
      <c r="F430" s="739"/>
      <c r="G430" s="739"/>
      <c r="H430" s="739"/>
      <c r="I430" s="739"/>
      <c r="J430" s="739"/>
      <c r="K430" s="739"/>
      <c r="L430" s="739"/>
      <c r="M430" s="739"/>
      <c r="N430" s="739"/>
      <c r="O430" s="739"/>
      <c r="P430" s="739"/>
      <c r="Q430" s="739"/>
      <c r="R430" s="739"/>
      <c r="S430" s="739"/>
      <c r="T430" s="739"/>
      <c r="U430" s="739"/>
      <c r="V430" s="739"/>
      <c r="W430" s="739"/>
      <c r="X430" s="739"/>
      <c r="Y430" s="739"/>
      <c r="Z430" s="739"/>
      <c r="AA430" s="63"/>
      <c r="AB430" s="63"/>
      <c r="AC430" s="63"/>
    </row>
    <row r="431" spans="1:68" ht="27" customHeight="1" x14ac:dyDescent="0.25">
      <c r="A431" s="60" t="s">
        <v>671</v>
      </c>
      <c r="B431" s="60" t="s">
        <v>672</v>
      </c>
      <c r="C431" s="34">
        <v>4301031405</v>
      </c>
      <c r="D431" s="740">
        <v>4680115886100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951" t="s">
        <v>673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ref="Y431:Y442" si="62">IFERROR(IF(X431="",0,CEILING((X431/$H431),1)*$H431),"")</f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0</v>
      </c>
      <c r="BN431" s="75">
        <f t="shared" ref="BN431:BN442" si="64">IFERROR(Y431*I431/H431,"0")</f>
        <v>0</v>
      </c>
      <c r="BO431" s="75">
        <f t="shared" ref="BO431:BO442" si="65">IFERROR(1/J431*(X431/H431),"0")</f>
        <v>0</v>
      </c>
      <c r="BP431" s="75">
        <f t="shared" ref="BP431:BP442" si="66">IFERROR(1/J431*(Y431/H431),"0")</f>
        <v>0</v>
      </c>
    </row>
    <row r="432" spans="1:68" ht="27" customHeight="1" x14ac:dyDescent="0.25">
      <c r="A432" s="60" t="s">
        <v>675</v>
      </c>
      <c r="B432" s="60" t="s">
        <v>676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952" t="s">
        <v>677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customHeight="1" x14ac:dyDescent="0.25">
      <c r="A433" s="60" t="s">
        <v>675</v>
      </c>
      <c r="B433" s="60" t="s">
        <v>679</v>
      </c>
      <c r="C433" s="34">
        <v>4301031406</v>
      </c>
      <c r="D433" s="740">
        <v>4680115886117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953" t="s">
        <v>677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customHeight="1" x14ac:dyDescent="0.25">
      <c r="A434" s="60" t="s">
        <v>680</v>
      </c>
      <c r="B434" s="60" t="s">
        <v>681</v>
      </c>
      <c r="C434" s="34">
        <v>4301031402</v>
      </c>
      <c r="D434" s="740">
        <v>4680115886124</v>
      </c>
      <c r="E434" s="740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954" t="s">
        <v>682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IFERROR(IF(Y434=0,"",ROUNDUP(Y434/H434,0)*0.00902),"")</f>
        <v/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customHeight="1" x14ac:dyDescent="0.25">
      <c r="A435" s="60" t="s">
        <v>684</v>
      </c>
      <c r="B435" s="60" t="s">
        <v>685</v>
      </c>
      <c r="C435" s="34">
        <v>4301031335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95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customHeight="1" x14ac:dyDescent="0.25">
      <c r="A436" s="60" t="s">
        <v>684</v>
      </c>
      <c r="B436" s="60" t="s">
        <v>686</v>
      </c>
      <c r="C436" s="34">
        <v>4301031366</v>
      </c>
      <c r="D436" s="740">
        <v>4680115883147</v>
      </c>
      <c r="E436" s="740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956" t="s">
        <v>687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customHeight="1" x14ac:dyDescent="0.25">
      <c r="A437" s="60" t="s">
        <v>688</v>
      </c>
      <c r="B437" s="60" t="s">
        <v>689</v>
      </c>
      <c r="C437" s="34">
        <v>4301031362</v>
      </c>
      <c r="D437" s="740">
        <v>4607091384338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customHeight="1" x14ac:dyDescent="0.25">
      <c r="A438" s="60" t="s">
        <v>690</v>
      </c>
      <c r="B438" s="60" t="s">
        <v>691</v>
      </c>
      <c r="C438" s="34">
        <v>4301031361</v>
      </c>
      <c r="D438" s="740">
        <v>4607091389524</v>
      </c>
      <c r="E438" s="740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693</v>
      </c>
      <c r="B439" s="60" t="s">
        <v>694</v>
      </c>
      <c r="C439" s="34">
        <v>4301031337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959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693</v>
      </c>
      <c r="B440" s="60" t="s">
        <v>696</v>
      </c>
      <c r="C440" s="34">
        <v>4301031364</v>
      </c>
      <c r="D440" s="740">
        <v>4680115883161</v>
      </c>
      <c r="E440" s="740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960" t="s">
        <v>697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698</v>
      </c>
      <c r="B441" s="60" t="s">
        <v>699</v>
      </c>
      <c r="C441" s="34">
        <v>4301031358</v>
      </c>
      <c r="D441" s="740">
        <v>4607091389531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customHeight="1" x14ac:dyDescent="0.25">
      <c r="A442" s="60" t="s">
        <v>701</v>
      </c>
      <c r="B442" s="60" t="s">
        <v>702</v>
      </c>
      <c r="C442" s="34">
        <v>4301031360</v>
      </c>
      <c r="D442" s="740">
        <v>4607091384345</v>
      </c>
      <c r="E442" s="740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9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742"/>
      <c r="R442" s="742"/>
      <c r="S442" s="742"/>
      <c r="T442" s="743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4"/>
      <c r="AB443" s="64"/>
      <c r="AC443" s="64"/>
    </row>
    <row r="444" spans="1:68" x14ac:dyDescent="0.2">
      <c r="A444" s="750"/>
      <c r="B444" s="750"/>
      <c r="C444" s="750"/>
      <c r="D444" s="750"/>
      <c r="E444" s="750"/>
      <c r="F444" s="750"/>
      <c r="G444" s="750"/>
      <c r="H444" s="750"/>
      <c r="I444" s="750"/>
      <c r="J444" s="750"/>
      <c r="K444" s="750"/>
      <c r="L444" s="750"/>
      <c r="M444" s="750"/>
      <c r="N444" s="750"/>
      <c r="O444" s="751"/>
      <c r="P444" s="747" t="s">
        <v>40</v>
      </c>
      <c r="Q444" s="748"/>
      <c r="R444" s="748"/>
      <c r="S444" s="748"/>
      <c r="T444" s="748"/>
      <c r="U444" s="748"/>
      <c r="V444" s="749"/>
      <c r="W444" s="40" t="s">
        <v>0</v>
      </c>
      <c r="X444" s="41">
        <f>IFERROR(SUM(X431:X442),"0")</f>
        <v>0</v>
      </c>
      <c r="Y444" s="41">
        <f>IFERROR(SUM(Y431:Y442),"0")</f>
        <v>0</v>
      </c>
      <c r="Z444" s="40"/>
      <c r="AA444" s="64"/>
      <c r="AB444" s="64"/>
      <c r="AC444" s="64"/>
    </row>
    <row r="445" spans="1:68" ht="14.25" customHeight="1" x14ac:dyDescent="0.25">
      <c r="A445" s="739" t="s">
        <v>78</v>
      </c>
      <c r="B445" s="739"/>
      <c r="C445" s="739"/>
      <c r="D445" s="739"/>
      <c r="E445" s="739"/>
      <c r="F445" s="739"/>
      <c r="G445" s="739"/>
      <c r="H445" s="739"/>
      <c r="I445" s="739"/>
      <c r="J445" s="739"/>
      <c r="K445" s="739"/>
      <c r="L445" s="739"/>
      <c r="M445" s="739"/>
      <c r="N445" s="739"/>
      <c r="O445" s="739"/>
      <c r="P445" s="739"/>
      <c r="Q445" s="739"/>
      <c r="R445" s="739"/>
      <c r="S445" s="739"/>
      <c r="T445" s="739"/>
      <c r="U445" s="739"/>
      <c r="V445" s="739"/>
      <c r="W445" s="739"/>
      <c r="X445" s="739"/>
      <c r="Y445" s="739"/>
      <c r="Z445" s="739"/>
      <c r="AA445" s="63"/>
      <c r="AB445" s="63"/>
      <c r="AC445" s="63"/>
    </row>
    <row r="446" spans="1:68" ht="27" customHeight="1" x14ac:dyDescent="0.25">
      <c r="A446" s="60" t="s">
        <v>703</v>
      </c>
      <c r="B446" s="60" t="s">
        <v>704</v>
      </c>
      <c r="C446" s="34">
        <v>4301051284</v>
      </c>
      <c r="D446" s="740">
        <v>4607091384352</v>
      </c>
      <c r="E446" s="740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9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customHeight="1" x14ac:dyDescent="0.25">
      <c r="A447" s="60" t="s">
        <v>706</v>
      </c>
      <c r="B447" s="60" t="s">
        <v>707</v>
      </c>
      <c r="C447" s="34">
        <v>4301051431</v>
      </c>
      <c r="D447" s="740">
        <v>4607091389654</v>
      </c>
      <c r="E447" s="740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9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742"/>
      <c r="R447" s="742"/>
      <c r="S447" s="742"/>
      <c r="T447" s="743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x14ac:dyDescent="0.2">
      <c r="A449" s="750"/>
      <c r="B449" s="750"/>
      <c r="C449" s="750"/>
      <c r="D449" s="750"/>
      <c r="E449" s="750"/>
      <c r="F449" s="750"/>
      <c r="G449" s="750"/>
      <c r="H449" s="750"/>
      <c r="I449" s="750"/>
      <c r="J449" s="750"/>
      <c r="K449" s="750"/>
      <c r="L449" s="750"/>
      <c r="M449" s="750"/>
      <c r="N449" s="750"/>
      <c r="O449" s="751"/>
      <c r="P449" s="747" t="s">
        <v>40</v>
      </c>
      <c r="Q449" s="748"/>
      <c r="R449" s="748"/>
      <c r="S449" s="748"/>
      <c r="T449" s="748"/>
      <c r="U449" s="748"/>
      <c r="V449" s="74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customHeight="1" x14ac:dyDescent="0.25">
      <c r="A450" s="738" t="s">
        <v>709</v>
      </c>
      <c r="B450" s="738"/>
      <c r="C450" s="738"/>
      <c r="D450" s="738"/>
      <c r="E450" s="738"/>
      <c r="F450" s="738"/>
      <c r="G450" s="738"/>
      <c r="H450" s="738"/>
      <c r="I450" s="738"/>
      <c r="J450" s="738"/>
      <c r="K450" s="738"/>
      <c r="L450" s="738"/>
      <c r="M450" s="738"/>
      <c r="N450" s="738"/>
      <c r="O450" s="738"/>
      <c r="P450" s="738"/>
      <c r="Q450" s="738"/>
      <c r="R450" s="738"/>
      <c r="S450" s="738"/>
      <c r="T450" s="738"/>
      <c r="U450" s="738"/>
      <c r="V450" s="738"/>
      <c r="W450" s="738"/>
      <c r="X450" s="738"/>
      <c r="Y450" s="738"/>
      <c r="Z450" s="738"/>
      <c r="AA450" s="62"/>
      <c r="AB450" s="62"/>
      <c r="AC450" s="62"/>
    </row>
    <row r="451" spans="1:68" ht="14.25" customHeight="1" x14ac:dyDescent="0.25">
      <c r="A451" s="739" t="s">
        <v>144</v>
      </c>
      <c r="B451" s="739"/>
      <c r="C451" s="739"/>
      <c r="D451" s="739"/>
      <c r="E451" s="739"/>
      <c r="F451" s="739"/>
      <c r="G451" s="739"/>
      <c r="H451" s="739"/>
      <c r="I451" s="739"/>
      <c r="J451" s="739"/>
      <c r="K451" s="739"/>
      <c r="L451" s="739"/>
      <c r="M451" s="739"/>
      <c r="N451" s="739"/>
      <c r="O451" s="739"/>
      <c r="P451" s="739"/>
      <c r="Q451" s="739"/>
      <c r="R451" s="739"/>
      <c r="S451" s="739"/>
      <c r="T451" s="739"/>
      <c r="U451" s="739"/>
      <c r="V451" s="739"/>
      <c r="W451" s="739"/>
      <c r="X451" s="739"/>
      <c r="Y451" s="739"/>
      <c r="Z451" s="739"/>
      <c r="AA451" s="63"/>
      <c r="AB451" s="63"/>
      <c r="AC451" s="63"/>
    </row>
    <row r="452" spans="1:68" ht="27" customHeight="1" x14ac:dyDescent="0.25">
      <c r="A452" s="60" t="s">
        <v>710</v>
      </c>
      <c r="B452" s="60" t="s">
        <v>711</v>
      </c>
      <c r="C452" s="34">
        <v>4301020319</v>
      </c>
      <c r="D452" s="740">
        <v>4680115885240</v>
      </c>
      <c r="E452" s="740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713</v>
      </c>
      <c r="B453" s="60" t="s">
        <v>714</v>
      </c>
      <c r="C453" s="34">
        <v>4301020315</v>
      </c>
      <c r="D453" s="740">
        <v>4607091389364</v>
      </c>
      <c r="E453" s="740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96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742"/>
      <c r="R453" s="742"/>
      <c r="S453" s="742"/>
      <c r="T453" s="743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750"/>
      <c r="B455" s="750"/>
      <c r="C455" s="750"/>
      <c r="D455" s="750"/>
      <c r="E455" s="750"/>
      <c r="F455" s="750"/>
      <c r="G455" s="750"/>
      <c r="H455" s="750"/>
      <c r="I455" s="750"/>
      <c r="J455" s="750"/>
      <c r="K455" s="750"/>
      <c r="L455" s="750"/>
      <c r="M455" s="750"/>
      <c r="N455" s="750"/>
      <c r="O455" s="751"/>
      <c r="P455" s="747" t="s">
        <v>40</v>
      </c>
      <c r="Q455" s="748"/>
      <c r="R455" s="748"/>
      <c r="S455" s="748"/>
      <c r="T455" s="748"/>
      <c r="U455" s="748"/>
      <c r="V455" s="74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customHeight="1" x14ac:dyDescent="0.25">
      <c r="A456" s="739" t="s">
        <v>155</v>
      </c>
      <c r="B456" s="739"/>
      <c r="C456" s="739"/>
      <c r="D456" s="739"/>
      <c r="E456" s="739"/>
      <c r="F456" s="739"/>
      <c r="G456" s="739"/>
      <c r="H456" s="739"/>
      <c r="I456" s="739"/>
      <c r="J456" s="739"/>
      <c r="K456" s="739"/>
      <c r="L456" s="739"/>
      <c r="M456" s="739"/>
      <c r="N456" s="739"/>
      <c r="O456" s="739"/>
      <c r="P456" s="739"/>
      <c r="Q456" s="739"/>
      <c r="R456" s="739"/>
      <c r="S456" s="739"/>
      <c r="T456" s="739"/>
      <c r="U456" s="739"/>
      <c r="V456" s="739"/>
      <c r="W456" s="739"/>
      <c r="X456" s="739"/>
      <c r="Y456" s="739"/>
      <c r="Z456" s="739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740">
        <v>4680115886094</v>
      </c>
      <c r="E457" s="740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967" t="s">
        <v>718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50</v>
      </c>
      <c r="Y457" s="53">
        <f>IFERROR(IF(X457="",0,CEILING((X457/$H457),1)*$H457),"")</f>
        <v>54</v>
      </c>
      <c r="Z457" s="39">
        <f>IFERROR(IF(Y457=0,"",ROUNDUP(Y457/H457,0)*0.00902),"")</f>
        <v>9.0200000000000002E-2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51.944444444444443</v>
      </c>
      <c r="BN457" s="75">
        <f>IFERROR(Y457*I457/H457,"0")</f>
        <v>56.099999999999994</v>
      </c>
      <c r="BO457" s="75">
        <f>IFERROR(1/J457*(X457/H457),"0")</f>
        <v>7.0145903479236812E-2</v>
      </c>
      <c r="BP457" s="75">
        <f>IFERROR(1/J457*(Y457/H457),"0")</f>
        <v>7.575757575757576E-2</v>
      </c>
    </row>
    <row r="458" spans="1:68" ht="27" customHeight="1" x14ac:dyDescent="0.25">
      <c r="A458" s="60" t="s">
        <v>720</v>
      </c>
      <c r="B458" s="60" t="s">
        <v>721</v>
      </c>
      <c r="C458" s="34">
        <v>4301031363</v>
      </c>
      <c r="D458" s="740">
        <v>4607091389425</v>
      </c>
      <c r="E458" s="740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96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723</v>
      </c>
      <c r="B459" s="60" t="s">
        <v>724</v>
      </c>
      <c r="C459" s="34">
        <v>4301031373</v>
      </c>
      <c r="D459" s="740">
        <v>4680115880771</v>
      </c>
      <c r="E459" s="740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969" t="s">
        <v>725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727</v>
      </c>
      <c r="B460" s="60" t="s">
        <v>728</v>
      </c>
      <c r="C460" s="34">
        <v>4301031359</v>
      </c>
      <c r="D460" s="740">
        <v>4607091389500</v>
      </c>
      <c r="E460" s="740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742"/>
      <c r="R460" s="742"/>
      <c r="S460" s="742"/>
      <c r="T460" s="74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39</v>
      </c>
      <c r="X461" s="41">
        <f>IFERROR(X457/H457,"0")+IFERROR(X458/H458,"0")+IFERROR(X459/H459,"0")+IFERROR(X460/H460,"0")</f>
        <v>9.2592592592592595</v>
      </c>
      <c r="Y461" s="41">
        <f>IFERROR(Y457/H457,"0")+IFERROR(Y458/H458,"0")+IFERROR(Y459/H459,"0")+IFERROR(Y460/H460,"0")</f>
        <v>10</v>
      </c>
      <c r="Z461" s="41">
        <f>IFERROR(IF(Z457="",0,Z457),"0")+IFERROR(IF(Z458="",0,Z458),"0")+IFERROR(IF(Z459="",0,Z459),"0")+IFERROR(IF(Z460="",0,Z460),"0")</f>
        <v>9.0200000000000002E-2</v>
      </c>
      <c r="AA461" s="64"/>
      <c r="AB461" s="64"/>
      <c r="AC461" s="64"/>
    </row>
    <row r="462" spans="1:68" x14ac:dyDescent="0.2">
      <c r="A462" s="750"/>
      <c r="B462" s="750"/>
      <c r="C462" s="750"/>
      <c r="D462" s="750"/>
      <c r="E462" s="750"/>
      <c r="F462" s="750"/>
      <c r="G462" s="750"/>
      <c r="H462" s="750"/>
      <c r="I462" s="750"/>
      <c r="J462" s="750"/>
      <c r="K462" s="750"/>
      <c r="L462" s="750"/>
      <c r="M462" s="750"/>
      <c r="N462" s="750"/>
      <c r="O462" s="751"/>
      <c r="P462" s="747" t="s">
        <v>40</v>
      </c>
      <c r="Q462" s="748"/>
      <c r="R462" s="748"/>
      <c r="S462" s="748"/>
      <c r="T462" s="748"/>
      <c r="U462" s="748"/>
      <c r="V462" s="749"/>
      <c r="W462" s="40" t="s">
        <v>0</v>
      </c>
      <c r="X462" s="41">
        <f>IFERROR(SUM(X457:X460),"0")</f>
        <v>50</v>
      </c>
      <c r="Y462" s="41">
        <f>IFERROR(SUM(Y457:Y460),"0")</f>
        <v>54</v>
      </c>
      <c r="Z462" s="40"/>
      <c r="AA462" s="64"/>
      <c r="AB462" s="64"/>
      <c r="AC462" s="64"/>
    </row>
    <row r="463" spans="1:68" ht="16.5" customHeight="1" x14ac:dyDescent="0.25">
      <c r="A463" s="738" t="s">
        <v>729</v>
      </c>
      <c r="B463" s="738"/>
      <c r="C463" s="738"/>
      <c r="D463" s="738"/>
      <c r="E463" s="738"/>
      <c r="F463" s="738"/>
      <c r="G463" s="738"/>
      <c r="H463" s="738"/>
      <c r="I463" s="738"/>
      <c r="J463" s="738"/>
      <c r="K463" s="738"/>
      <c r="L463" s="738"/>
      <c r="M463" s="738"/>
      <c r="N463" s="738"/>
      <c r="O463" s="738"/>
      <c r="P463" s="738"/>
      <c r="Q463" s="738"/>
      <c r="R463" s="738"/>
      <c r="S463" s="738"/>
      <c r="T463" s="738"/>
      <c r="U463" s="738"/>
      <c r="V463" s="738"/>
      <c r="W463" s="738"/>
      <c r="X463" s="738"/>
      <c r="Y463" s="738"/>
      <c r="Z463" s="738"/>
      <c r="AA463" s="62"/>
      <c r="AB463" s="62"/>
      <c r="AC463" s="62"/>
    </row>
    <row r="464" spans="1:68" ht="14.25" customHeight="1" x14ac:dyDescent="0.25">
      <c r="A464" s="739" t="s">
        <v>155</v>
      </c>
      <c r="B464" s="739"/>
      <c r="C464" s="739"/>
      <c r="D464" s="739"/>
      <c r="E464" s="739"/>
      <c r="F464" s="739"/>
      <c r="G464" s="739"/>
      <c r="H464" s="739"/>
      <c r="I464" s="739"/>
      <c r="J464" s="739"/>
      <c r="K464" s="739"/>
      <c r="L464" s="739"/>
      <c r="M464" s="739"/>
      <c r="N464" s="739"/>
      <c r="O464" s="739"/>
      <c r="P464" s="739"/>
      <c r="Q464" s="739"/>
      <c r="R464" s="739"/>
      <c r="S464" s="739"/>
      <c r="T464" s="739"/>
      <c r="U464" s="739"/>
      <c r="V464" s="739"/>
      <c r="W464" s="739"/>
      <c r="X464" s="739"/>
      <c r="Y464" s="739"/>
      <c r="Z464" s="739"/>
      <c r="AA464" s="63"/>
      <c r="AB464" s="63"/>
      <c r="AC464" s="63"/>
    </row>
    <row r="465" spans="1:68" ht="27" customHeight="1" x14ac:dyDescent="0.25">
      <c r="A465" s="60" t="s">
        <v>730</v>
      </c>
      <c r="B465" s="60" t="s">
        <v>731</v>
      </c>
      <c r="C465" s="34">
        <v>4301031294</v>
      </c>
      <c r="D465" s="740">
        <v>4680115885189</v>
      </c>
      <c r="E465" s="740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97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733</v>
      </c>
      <c r="B466" s="60" t="s">
        <v>734</v>
      </c>
      <c r="C466" s="34">
        <v>4301031347</v>
      </c>
      <c r="D466" s="740">
        <v>4680115885110</v>
      </c>
      <c r="E466" s="740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972" t="s">
        <v>735</v>
      </c>
      <c r="Q466" s="742"/>
      <c r="R466" s="742"/>
      <c r="S466" s="742"/>
      <c r="T466" s="743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x14ac:dyDescent="0.2">
      <c r="A468" s="750"/>
      <c r="B468" s="750"/>
      <c r="C468" s="750"/>
      <c r="D468" s="750"/>
      <c r="E468" s="750"/>
      <c r="F468" s="750"/>
      <c r="G468" s="750"/>
      <c r="H468" s="750"/>
      <c r="I468" s="750"/>
      <c r="J468" s="750"/>
      <c r="K468" s="750"/>
      <c r="L468" s="750"/>
      <c r="M468" s="750"/>
      <c r="N468" s="750"/>
      <c r="O468" s="751"/>
      <c r="P468" s="747" t="s">
        <v>40</v>
      </c>
      <c r="Q468" s="748"/>
      <c r="R468" s="748"/>
      <c r="S468" s="748"/>
      <c r="T468" s="748"/>
      <c r="U468" s="748"/>
      <c r="V468" s="74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customHeight="1" x14ac:dyDescent="0.25">
      <c r="A469" s="738" t="s">
        <v>737</v>
      </c>
      <c r="B469" s="738"/>
      <c r="C469" s="738"/>
      <c r="D469" s="738"/>
      <c r="E469" s="738"/>
      <c r="F469" s="738"/>
      <c r="G469" s="738"/>
      <c r="H469" s="738"/>
      <c r="I469" s="738"/>
      <c r="J469" s="738"/>
      <c r="K469" s="738"/>
      <c r="L469" s="738"/>
      <c r="M469" s="738"/>
      <c r="N469" s="738"/>
      <c r="O469" s="738"/>
      <c r="P469" s="738"/>
      <c r="Q469" s="738"/>
      <c r="R469" s="738"/>
      <c r="S469" s="738"/>
      <c r="T469" s="738"/>
      <c r="U469" s="738"/>
      <c r="V469" s="738"/>
      <c r="W469" s="738"/>
      <c r="X469" s="738"/>
      <c r="Y469" s="738"/>
      <c r="Z469" s="738"/>
      <c r="AA469" s="62"/>
      <c r="AB469" s="62"/>
      <c r="AC469" s="62"/>
    </row>
    <row r="470" spans="1:68" ht="14.25" customHeight="1" x14ac:dyDescent="0.25">
      <c r="A470" s="739" t="s">
        <v>155</v>
      </c>
      <c r="B470" s="739"/>
      <c r="C470" s="739"/>
      <c r="D470" s="739"/>
      <c r="E470" s="739"/>
      <c r="F470" s="739"/>
      <c r="G470" s="739"/>
      <c r="H470" s="739"/>
      <c r="I470" s="739"/>
      <c r="J470" s="739"/>
      <c r="K470" s="739"/>
      <c r="L470" s="739"/>
      <c r="M470" s="739"/>
      <c r="N470" s="739"/>
      <c r="O470" s="739"/>
      <c r="P470" s="739"/>
      <c r="Q470" s="739"/>
      <c r="R470" s="739"/>
      <c r="S470" s="739"/>
      <c r="T470" s="739"/>
      <c r="U470" s="739"/>
      <c r="V470" s="739"/>
      <c r="W470" s="739"/>
      <c r="X470" s="739"/>
      <c r="Y470" s="739"/>
      <c r="Z470" s="739"/>
      <c r="AA470" s="63"/>
      <c r="AB470" s="63"/>
      <c r="AC470" s="63"/>
    </row>
    <row r="471" spans="1:68" ht="27" customHeight="1" x14ac:dyDescent="0.25">
      <c r="A471" s="60" t="s">
        <v>738</v>
      </c>
      <c r="B471" s="60" t="s">
        <v>739</v>
      </c>
      <c r="C471" s="34">
        <v>4301031261</v>
      </c>
      <c r="D471" s="740">
        <v>4680115885103</v>
      </c>
      <c r="E471" s="740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742"/>
      <c r="R471" s="742"/>
      <c r="S471" s="742"/>
      <c r="T471" s="74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750"/>
      <c r="B473" s="750"/>
      <c r="C473" s="750"/>
      <c r="D473" s="750"/>
      <c r="E473" s="750"/>
      <c r="F473" s="750"/>
      <c r="G473" s="750"/>
      <c r="H473" s="750"/>
      <c r="I473" s="750"/>
      <c r="J473" s="750"/>
      <c r="K473" s="750"/>
      <c r="L473" s="750"/>
      <c r="M473" s="750"/>
      <c r="N473" s="750"/>
      <c r="O473" s="751"/>
      <c r="P473" s="747" t="s">
        <v>40</v>
      </c>
      <c r="Q473" s="748"/>
      <c r="R473" s="748"/>
      <c r="S473" s="748"/>
      <c r="T473" s="748"/>
      <c r="U473" s="748"/>
      <c r="V473" s="74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739" t="s">
        <v>181</v>
      </c>
      <c r="B474" s="739"/>
      <c r="C474" s="739"/>
      <c r="D474" s="739"/>
      <c r="E474" s="739"/>
      <c r="F474" s="739"/>
      <c r="G474" s="739"/>
      <c r="H474" s="739"/>
      <c r="I474" s="739"/>
      <c r="J474" s="739"/>
      <c r="K474" s="739"/>
      <c r="L474" s="739"/>
      <c r="M474" s="739"/>
      <c r="N474" s="739"/>
      <c r="O474" s="739"/>
      <c r="P474" s="739"/>
      <c r="Q474" s="739"/>
      <c r="R474" s="739"/>
      <c r="S474" s="739"/>
      <c r="T474" s="739"/>
      <c r="U474" s="739"/>
      <c r="V474" s="739"/>
      <c r="W474" s="739"/>
      <c r="X474" s="739"/>
      <c r="Y474" s="739"/>
      <c r="Z474" s="739"/>
      <c r="AA474" s="63"/>
      <c r="AB474" s="63"/>
      <c r="AC474" s="63"/>
    </row>
    <row r="475" spans="1:68" ht="27" customHeight="1" x14ac:dyDescent="0.25">
      <c r="A475" s="60" t="s">
        <v>741</v>
      </c>
      <c r="B475" s="60" t="s">
        <v>742</v>
      </c>
      <c r="C475" s="34">
        <v>4301060412</v>
      </c>
      <c r="D475" s="740">
        <v>4680115885509</v>
      </c>
      <c r="E475" s="740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97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742"/>
      <c r="R475" s="742"/>
      <c r="S475" s="742"/>
      <c r="T475" s="74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750"/>
      <c r="B477" s="750"/>
      <c r="C477" s="750"/>
      <c r="D477" s="750"/>
      <c r="E477" s="750"/>
      <c r="F477" s="750"/>
      <c r="G477" s="750"/>
      <c r="H477" s="750"/>
      <c r="I477" s="750"/>
      <c r="J477" s="750"/>
      <c r="K477" s="750"/>
      <c r="L477" s="750"/>
      <c r="M477" s="750"/>
      <c r="N477" s="750"/>
      <c r="O477" s="751"/>
      <c r="P477" s="747" t="s">
        <v>40</v>
      </c>
      <c r="Q477" s="748"/>
      <c r="R477" s="748"/>
      <c r="S477" s="748"/>
      <c r="T477" s="748"/>
      <c r="U477" s="748"/>
      <c r="V477" s="74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27.75" customHeight="1" x14ac:dyDescent="0.2">
      <c r="A478" s="737" t="s">
        <v>744</v>
      </c>
      <c r="B478" s="737"/>
      <c r="C478" s="737"/>
      <c r="D478" s="737"/>
      <c r="E478" s="737"/>
      <c r="F478" s="737"/>
      <c r="G478" s="737"/>
      <c r="H478" s="737"/>
      <c r="I478" s="737"/>
      <c r="J478" s="737"/>
      <c r="K478" s="737"/>
      <c r="L478" s="737"/>
      <c r="M478" s="737"/>
      <c r="N478" s="737"/>
      <c r="O478" s="737"/>
      <c r="P478" s="737"/>
      <c r="Q478" s="737"/>
      <c r="R478" s="737"/>
      <c r="S478" s="737"/>
      <c r="T478" s="737"/>
      <c r="U478" s="737"/>
      <c r="V478" s="737"/>
      <c r="W478" s="737"/>
      <c r="X478" s="737"/>
      <c r="Y478" s="737"/>
      <c r="Z478" s="737"/>
      <c r="AA478" s="52"/>
      <c r="AB478" s="52"/>
      <c r="AC478" s="52"/>
    </row>
    <row r="479" spans="1:68" ht="16.5" customHeight="1" x14ac:dyDescent="0.25">
      <c r="A479" s="738" t="s">
        <v>744</v>
      </c>
      <c r="B479" s="738"/>
      <c r="C479" s="738"/>
      <c r="D479" s="738"/>
      <c r="E479" s="738"/>
      <c r="F479" s="738"/>
      <c r="G479" s="738"/>
      <c r="H479" s="738"/>
      <c r="I479" s="738"/>
      <c r="J479" s="738"/>
      <c r="K479" s="738"/>
      <c r="L479" s="738"/>
      <c r="M479" s="738"/>
      <c r="N479" s="738"/>
      <c r="O479" s="738"/>
      <c r="P479" s="738"/>
      <c r="Q479" s="738"/>
      <c r="R479" s="738"/>
      <c r="S479" s="738"/>
      <c r="T479" s="738"/>
      <c r="U479" s="738"/>
      <c r="V479" s="738"/>
      <c r="W479" s="738"/>
      <c r="X479" s="738"/>
      <c r="Y479" s="738"/>
      <c r="Z479" s="738"/>
      <c r="AA479" s="62"/>
      <c r="AB479" s="62"/>
      <c r="AC479" s="62"/>
    </row>
    <row r="480" spans="1:68" ht="14.25" customHeight="1" x14ac:dyDescent="0.25">
      <c r="A480" s="739" t="s">
        <v>101</v>
      </c>
      <c r="B480" s="739"/>
      <c r="C480" s="739"/>
      <c r="D480" s="739"/>
      <c r="E480" s="739"/>
      <c r="F480" s="739"/>
      <c r="G480" s="739"/>
      <c r="H480" s="739"/>
      <c r="I480" s="739"/>
      <c r="J480" s="739"/>
      <c r="K480" s="739"/>
      <c r="L480" s="739"/>
      <c r="M480" s="739"/>
      <c r="N480" s="739"/>
      <c r="O480" s="739"/>
      <c r="P480" s="739"/>
      <c r="Q480" s="739"/>
      <c r="R480" s="739"/>
      <c r="S480" s="739"/>
      <c r="T480" s="739"/>
      <c r="U480" s="739"/>
      <c r="V480" s="739"/>
      <c r="W480" s="739"/>
      <c r="X480" s="739"/>
      <c r="Y480" s="739"/>
      <c r="Z480" s="739"/>
      <c r="AA480" s="63"/>
      <c r="AB480" s="63"/>
      <c r="AC480" s="63"/>
    </row>
    <row r="481" spans="1:68" ht="27" customHeight="1" x14ac:dyDescent="0.25">
      <c r="A481" s="60" t="s">
        <v>745</v>
      </c>
      <c r="B481" s="60" t="s">
        <v>746</v>
      </c>
      <c r="C481" s="34">
        <v>4301011795</v>
      </c>
      <c r="D481" s="740">
        <v>4607091389067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customHeight="1" x14ac:dyDescent="0.25">
      <c r="A482" s="60" t="s">
        <v>748</v>
      </c>
      <c r="B482" s="60" t="s">
        <v>749</v>
      </c>
      <c r="C482" s="34">
        <v>4301011961</v>
      </c>
      <c r="D482" s="740">
        <v>4680115885271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751</v>
      </c>
      <c r="B483" s="60" t="s">
        <v>752</v>
      </c>
      <c r="C483" s="34">
        <v>4301011376</v>
      </c>
      <c r="D483" s="740">
        <v>4680115885226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742"/>
      <c r="R483" s="742"/>
      <c r="S483" s="742"/>
      <c r="T483" s="743"/>
      <c r="U483" s="37" t="s">
        <v>45</v>
      </c>
      <c r="V483" s="37" t="s">
        <v>45</v>
      </c>
      <c r="W483" s="38" t="s">
        <v>0</v>
      </c>
      <c r="X483" s="56">
        <v>0</v>
      </c>
      <c r="Y483" s="53">
        <f t="shared" si="68"/>
        <v>0</v>
      </c>
      <c r="Z483" s="39" t="str">
        <f>IFERROR(IF(Y483=0,"",ROUNDUP(Y483/H483,0)*0.01196),"")</f>
        <v/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0</v>
      </c>
      <c r="BN483" s="75">
        <f t="shared" si="70"/>
        <v>0</v>
      </c>
      <c r="BO483" s="75">
        <f t="shared" si="71"/>
        <v>0</v>
      </c>
      <c r="BP483" s="75">
        <f t="shared" si="72"/>
        <v>0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200</v>
      </c>
      <c r="Y484" s="53">
        <f t="shared" si="68"/>
        <v>200.64000000000001</v>
      </c>
      <c r="Z484" s="39">
        <f>IFERROR(IF(Y484=0,"",ROUNDUP(Y484/H484,0)*0.01196),"")</f>
        <v>0.45448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213.63636363636363</v>
      </c>
      <c r="BN484" s="75">
        <f t="shared" si="70"/>
        <v>214.32</v>
      </c>
      <c r="BO484" s="75">
        <f t="shared" si="71"/>
        <v>0.36421911421911418</v>
      </c>
      <c r="BP484" s="75">
        <f t="shared" si="72"/>
        <v>0.36538461538461542</v>
      </c>
    </row>
    <row r="485" spans="1:68" ht="16.5" customHeight="1" x14ac:dyDescent="0.25">
      <c r="A485" s="60" t="s">
        <v>757</v>
      </c>
      <c r="B485" s="60" t="s">
        <v>758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customHeight="1" x14ac:dyDescent="0.25">
      <c r="A486" s="60" t="s">
        <v>760</v>
      </c>
      <c r="B486" s="60" t="s">
        <v>761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980" t="s">
        <v>762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customHeight="1" x14ac:dyDescent="0.25">
      <c r="A487" s="60" t="s">
        <v>763</v>
      </c>
      <c r="B487" s="60" t="s">
        <v>764</v>
      </c>
      <c r="C487" s="34">
        <v>4301012035</v>
      </c>
      <c r="D487" s="740">
        <v>4680115880603</v>
      </c>
      <c r="E487" s="740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customHeight="1" x14ac:dyDescent="0.25">
      <c r="A488" s="60" t="s">
        <v>763</v>
      </c>
      <c r="B488" s="60" t="s">
        <v>765</v>
      </c>
      <c r="C488" s="34">
        <v>4301011778</v>
      </c>
      <c r="D488" s="740">
        <v>4680115880603</v>
      </c>
      <c r="E488" s="740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98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768</v>
      </c>
      <c r="B490" s="60" t="s">
        <v>769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984" t="s">
        <v>770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771</v>
      </c>
      <c r="B491" s="60" t="s">
        <v>772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985" t="s">
        <v>773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775</v>
      </c>
      <c r="B492" s="60" t="s">
        <v>776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986" t="s">
        <v>777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4301012034</v>
      </c>
      <c r="D493" s="740">
        <v>4607091389982</v>
      </c>
      <c r="E493" s="740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4301011784</v>
      </c>
      <c r="D494" s="740">
        <v>4607091389982</v>
      </c>
      <c r="E494" s="740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98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37.878787878787875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0.45448</v>
      </c>
      <c r="AA496" s="64"/>
      <c r="AB496" s="64"/>
      <c r="AC496" s="64"/>
    </row>
    <row r="497" spans="1:68" x14ac:dyDescent="0.2">
      <c r="A497" s="750"/>
      <c r="B497" s="750"/>
      <c r="C497" s="750"/>
      <c r="D497" s="750"/>
      <c r="E497" s="750"/>
      <c r="F497" s="750"/>
      <c r="G497" s="750"/>
      <c r="H497" s="750"/>
      <c r="I497" s="750"/>
      <c r="J497" s="750"/>
      <c r="K497" s="750"/>
      <c r="L497" s="750"/>
      <c r="M497" s="750"/>
      <c r="N497" s="750"/>
      <c r="O497" s="751"/>
      <c r="P497" s="747" t="s">
        <v>40</v>
      </c>
      <c r="Q497" s="748"/>
      <c r="R497" s="748"/>
      <c r="S497" s="748"/>
      <c r="T497" s="748"/>
      <c r="U497" s="748"/>
      <c r="V497" s="749"/>
      <c r="W497" s="40" t="s">
        <v>0</v>
      </c>
      <c r="X497" s="41">
        <f>IFERROR(SUM(X481:X495),"0")</f>
        <v>200</v>
      </c>
      <c r="Y497" s="41">
        <f>IFERROR(SUM(Y481:Y495),"0")</f>
        <v>200.64000000000001</v>
      </c>
      <c r="Z497" s="40"/>
      <c r="AA497" s="64"/>
      <c r="AB497" s="64"/>
      <c r="AC497" s="64"/>
    </row>
    <row r="498" spans="1:68" ht="14.25" customHeight="1" x14ac:dyDescent="0.25">
      <c r="A498" s="739" t="s">
        <v>144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x14ac:dyDescent="0.2">
      <c r="A504" s="750"/>
      <c r="B504" s="750"/>
      <c r="C504" s="750"/>
      <c r="D504" s="750"/>
      <c r="E504" s="750"/>
      <c r="F504" s="750"/>
      <c r="G504" s="750"/>
      <c r="H504" s="750"/>
      <c r="I504" s="750"/>
      <c r="J504" s="750"/>
      <c r="K504" s="750"/>
      <c r="L504" s="750"/>
      <c r="M504" s="750"/>
      <c r="N504" s="750"/>
      <c r="O504" s="751"/>
      <c r="P504" s="747" t="s">
        <v>40</v>
      </c>
      <c r="Q504" s="748"/>
      <c r="R504" s="748"/>
      <c r="S504" s="748"/>
      <c r="T504" s="748"/>
      <c r="U504" s="748"/>
      <c r="V504" s="749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customHeight="1" x14ac:dyDescent="0.25">
      <c r="A505" s="739" t="s">
        <v>155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3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0</v>
      </c>
      <c r="BN506" s="75">
        <f t="shared" ref="BN506:BN517" si="75">IFERROR(Y506*I506/H506,"0")</f>
        <v>0</v>
      </c>
      <c r="BO506" s="75">
        <f t="shared" ref="BO506:BO517" si="76">IFERROR(1/J506*(X506/H506),"0")</f>
        <v>0</v>
      </c>
      <c r="BP506" s="75">
        <f t="shared" ref="BP506:BP517" si="77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3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0</v>
      </c>
      <c r="BN507" s="75">
        <f t="shared" si="75"/>
        <v>0</v>
      </c>
      <c r="BO507" s="75">
        <f t="shared" si="76"/>
        <v>0</v>
      </c>
      <c r="BP507" s="75">
        <f t="shared" si="77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3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0</v>
      </c>
      <c r="BN508" s="75">
        <f t="shared" si="75"/>
        <v>0</v>
      </c>
      <c r="BO508" s="75">
        <f t="shared" si="76"/>
        <v>0</v>
      </c>
      <c r="BP508" s="75">
        <f t="shared" si="77"/>
        <v>0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4301031351</v>
      </c>
      <c r="D510" s="740">
        <v>4680115882072</v>
      </c>
      <c r="E510" s="740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4301031419</v>
      </c>
      <c r="D512" s="740">
        <v>4680115882072</v>
      </c>
      <c r="E512" s="740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4301031384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100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customHeight="1" x14ac:dyDescent="0.25">
      <c r="A517" s="60" t="s">
        <v>823</v>
      </c>
      <c r="B517" s="60" t="s">
        <v>827</v>
      </c>
      <c r="C517" s="34">
        <v>4301031417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1005" t="s">
        <v>828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x14ac:dyDescent="0.2">
      <c r="A519" s="750"/>
      <c r="B519" s="750"/>
      <c r="C519" s="750"/>
      <c r="D519" s="750"/>
      <c r="E519" s="750"/>
      <c r="F519" s="750"/>
      <c r="G519" s="750"/>
      <c r="H519" s="750"/>
      <c r="I519" s="750"/>
      <c r="J519" s="750"/>
      <c r="K519" s="750"/>
      <c r="L519" s="750"/>
      <c r="M519" s="750"/>
      <c r="N519" s="750"/>
      <c r="O519" s="751"/>
      <c r="P519" s="747" t="s">
        <v>40</v>
      </c>
      <c r="Q519" s="748"/>
      <c r="R519" s="748"/>
      <c r="S519" s="748"/>
      <c r="T519" s="748"/>
      <c r="U519" s="748"/>
      <c r="V519" s="749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750"/>
      <c r="B525" s="750"/>
      <c r="C525" s="750"/>
      <c r="D525" s="750"/>
      <c r="E525" s="750"/>
      <c r="F525" s="750"/>
      <c r="G525" s="750"/>
      <c r="H525" s="750"/>
      <c r="I525" s="750"/>
      <c r="J525" s="750"/>
      <c r="K525" s="750"/>
      <c r="L525" s="750"/>
      <c r="M525" s="750"/>
      <c r="N525" s="750"/>
      <c r="O525" s="751"/>
      <c r="P525" s="747" t="s">
        <v>40</v>
      </c>
      <c r="Q525" s="748"/>
      <c r="R525" s="748"/>
      <c r="S525" s="748"/>
      <c r="T525" s="748"/>
      <c r="U525" s="748"/>
      <c r="V525" s="74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739" t="s">
        <v>181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750"/>
      <c r="B530" s="750"/>
      <c r="C530" s="750"/>
      <c r="D530" s="750"/>
      <c r="E530" s="750"/>
      <c r="F530" s="750"/>
      <c r="G530" s="750"/>
      <c r="H530" s="750"/>
      <c r="I530" s="750"/>
      <c r="J530" s="750"/>
      <c r="K530" s="750"/>
      <c r="L530" s="750"/>
      <c r="M530" s="750"/>
      <c r="N530" s="750"/>
      <c r="O530" s="751"/>
      <c r="P530" s="747" t="s">
        <v>40</v>
      </c>
      <c r="Q530" s="748"/>
      <c r="R530" s="748"/>
      <c r="S530" s="748"/>
      <c r="T530" s="748"/>
      <c r="U530" s="748"/>
      <c r="V530" s="74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customHeight="1" x14ac:dyDescent="0.25">
      <c r="A533" s="739" t="s">
        <v>101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240</v>
      </c>
      <c r="Y536" s="53">
        <f t="shared" si="78"/>
        <v>240</v>
      </c>
      <c r="Z536" s="39">
        <f>IFERROR(IF(Y536=0,"",ROUNDUP(Y536/H536,0)*0.01898),"")</f>
        <v>0.37959999999999999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248.70000000000002</v>
      </c>
      <c r="BN536" s="75">
        <f t="shared" si="80"/>
        <v>248.70000000000002</v>
      </c>
      <c r="BO536" s="75">
        <f t="shared" si="81"/>
        <v>0.3125</v>
      </c>
      <c r="BP536" s="75">
        <f t="shared" si="82"/>
        <v>0.3125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39</v>
      </c>
      <c r="X540" s="41">
        <f>IFERROR(X534/H534,"0")+IFERROR(X535/H535,"0")+IFERROR(X536/H536,"0")+IFERROR(X537/H537,"0")+IFERROR(X538/H538,"0")+IFERROR(X539/H539,"0")</f>
        <v>20</v>
      </c>
      <c r="Y540" s="41">
        <f>IFERROR(Y534/H534,"0")+IFERROR(Y535/H535,"0")+IFERROR(Y536/H536,"0")+IFERROR(Y537/H537,"0")+IFERROR(Y538/H538,"0")+IFERROR(Y539/H539,"0")</f>
        <v>20</v>
      </c>
      <c r="Z540" s="41">
        <f>IFERROR(IF(Z534="",0,Z534),"0")+IFERROR(IF(Z535="",0,Z535),"0")+IFERROR(IF(Z536="",0,Z536),"0")+IFERROR(IF(Z537="",0,Z537),"0")+IFERROR(IF(Z538="",0,Z538),"0")+IFERROR(IF(Z539="",0,Z539),"0")</f>
        <v>0.37959999999999999</v>
      </c>
      <c r="AA540" s="64"/>
      <c r="AB540" s="64"/>
      <c r="AC540" s="64"/>
    </row>
    <row r="541" spans="1:68" x14ac:dyDescent="0.2">
      <c r="A541" s="750"/>
      <c r="B541" s="750"/>
      <c r="C541" s="750"/>
      <c r="D541" s="750"/>
      <c r="E541" s="750"/>
      <c r="F541" s="750"/>
      <c r="G541" s="750"/>
      <c r="H541" s="750"/>
      <c r="I541" s="750"/>
      <c r="J541" s="750"/>
      <c r="K541" s="750"/>
      <c r="L541" s="750"/>
      <c r="M541" s="750"/>
      <c r="N541" s="750"/>
      <c r="O541" s="751"/>
      <c r="P541" s="747" t="s">
        <v>40</v>
      </c>
      <c r="Q541" s="748"/>
      <c r="R541" s="748"/>
      <c r="S541" s="748"/>
      <c r="T541" s="748"/>
      <c r="U541" s="748"/>
      <c r="V541" s="749"/>
      <c r="W541" s="40" t="s">
        <v>0</v>
      </c>
      <c r="X541" s="41">
        <f>IFERROR(SUM(X534:X539),"0")</f>
        <v>240</v>
      </c>
      <c r="Y541" s="41">
        <f>IFERROR(SUM(Y534:Y539),"0")</f>
        <v>240</v>
      </c>
      <c r="Z541" s="40"/>
      <c r="AA541" s="64"/>
      <c r="AB541" s="64"/>
      <c r="AC541" s="64"/>
    </row>
    <row r="542" spans="1:68" ht="14.25" customHeight="1" x14ac:dyDescent="0.25">
      <c r="A542" s="739" t="s">
        <v>144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750"/>
      <c r="B549" s="750"/>
      <c r="C549" s="750"/>
      <c r="D549" s="750"/>
      <c r="E549" s="750"/>
      <c r="F549" s="750"/>
      <c r="G549" s="750"/>
      <c r="H549" s="750"/>
      <c r="I549" s="750"/>
      <c r="J549" s="750"/>
      <c r="K549" s="750"/>
      <c r="L549" s="750"/>
      <c r="M549" s="750"/>
      <c r="N549" s="750"/>
      <c r="O549" s="751"/>
      <c r="P549" s="747" t="s">
        <v>40</v>
      </c>
      <c r="Q549" s="748"/>
      <c r="R549" s="748"/>
      <c r="S549" s="748"/>
      <c r="T549" s="748"/>
      <c r="U549" s="748"/>
      <c r="V549" s="74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739" t="s">
        <v>155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3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0</v>
      </c>
      <c r="BN551" s="75">
        <f t="shared" ref="BN551:BN557" si="85">IFERROR(Y551*I551/H551,"0")</f>
        <v>0</v>
      </c>
      <c r="BO551" s="75">
        <f t="shared" ref="BO551:BO557" si="86">IFERROR(1/J551*(X551/H551),"0")</f>
        <v>0</v>
      </c>
      <c r="BP551" s="75">
        <f t="shared" ref="BP551:BP557" si="87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3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0</v>
      </c>
      <c r="BN552" s="75">
        <f t="shared" si="85"/>
        <v>0</v>
      </c>
      <c r="BO552" s="75">
        <f t="shared" si="86"/>
        <v>0</v>
      </c>
      <c r="BP552" s="75">
        <f t="shared" si="87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750"/>
      <c r="B559" s="750"/>
      <c r="C559" s="750"/>
      <c r="D559" s="750"/>
      <c r="E559" s="750"/>
      <c r="F559" s="750"/>
      <c r="G559" s="750"/>
      <c r="H559" s="750"/>
      <c r="I559" s="750"/>
      <c r="J559" s="750"/>
      <c r="K559" s="750"/>
      <c r="L559" s="750"/>
      <c r="M559" s="750"/>
      <c r="N559" s="750"/>
      <c r="O559" s="751"/>
      <c r="P559" s="747" t="s">
        <v>40</v>
      </c>
      <c r="Q559" s="748"/>
      <c r="R559" s="748"/>
      <c r="S559" s="748"/>
      <c r="T559" s="748"/>
      <c r="U559" s="748"/>
      <c r="V559" s="74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4301052046</v>
      </c>
      <c r="D561" s="740">
        <v>4640242180533</v>
      </c>
      <c r="E561" s="740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4301051887</v>
      </c>
      <c r="D562" s="740">
        <v>4640242180533</v>
      </c>
      <c r="E562" s="740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750"/>
      <c r="B567" s="750"/>
      <c r="C567" s="750"/>
      <c r="D567" s="750"/>
      <c r="E567" s="750"/>
      <c r="F567" s="750"/>
      <c r="G567" s="750"/>
      <c r="H567" s="750"/>
      <c r="I567" s="750"/>
      <c r="J567" s="750"/>
      <c r="K567" s="750"/>
      <c r="L567" s="750"/>
      <c r="M567" s="750"/>
      <c r="N567" s="750"/>
      <c r="O567" s="751"/>
      <c r="P567" s="747" t="s">
        <v>40</v>
      </c>
      <c r="Q567" s="748"/>
      <c r="R567" s="748"/>
      <c r="S567" s="748"/>
      <c r="T567" s="748"/>
      <c r="U567" s="748"/>
      <c r="V567" s="74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739" t="s">
        <v>181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4301060485</v>
      </c>
      <c r="D569" s="740">
        <v>4640242180120</v>
      </c>
      <c r="E569" s="740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4301060496</v>
      </c>
      <c r="D570" s="740">
        <v>4640242180120</v>
      </c>
      <c r="E570" s="740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4301060486</v>
      </c>
      <c r="D571" s="740">
        <v>4640242180137</v>
      </c>
      <c r="E571" s="740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4301060498</v>
      </c>
      <c r="D572" s="740">
        <v>4640242180137</v>
      </c>
      <c r="E572" s="740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750"/>
      <c r="B574" s="750"/>
      <c r="C574" s="750"/>
      <c r="D574" s="750"/>
      <c r="E574" s="750"/>
      <c r="F574" s="750"/>
      <c r="G574" s="750"/>
      <c r="H574" s="750"/>
      <c r="I574" s="750"/>
      <c r="J574" s="750"/>
      <c r="K574" s="750"/>
      <c r="L574" s="750"/>
      <c r="M574" s="750"/>
      <c r="N574" s="750"/>
      <c r="O574" s="751"/>
      <c r="P574" s="747" t="s">
        <v>40</v>
      </c>
      <c r="Q574" s="748"/>
      <c r="R574" s="748"/>
      <c r="S574" s="748"/>
      <c r="T574" s="748"/>
      <c r="U574" s="748"/>
      <c r="V574" s="74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customHeight="1" x14ac:dyDescent="0.25">
      <c r="A576" s="739" t="s">
        <v>101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750"/>
      <c r="B579" s="750"/>
      <c r="C579" s="750"/>
      <c r="D579" s="750"/>
      <c r="E579" s="750"/>
      <c r="F579" s="750"/>
      <c r="G579" s="750"/>
      <c r="H579" s="750"/>
      <c r="I579" s="750"/>
      <c r="J579" s="750"/>
      <c r="K579" s="750"/>
      <c r="L579" s="750"/>
      <c r="M579" s="750"/>
      <c r="N579" s="750"/>
      <c r="O579" s="751"/>
      <c r="P579" s="747" t="s">
        <v>40</v>
      </c>
      <c r="Q579" s="748"/>
      <c r="R579" s="748"/>
      <c r="S579" s="748"/>
      <c r="T579" s="748"/>
      <c r="U579" s="748"/>
      <c r="V579" s="74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739" t="s">
        <v>144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0"/>
      <c r="B583" s="750"/>
      <c r="C583" s="750"/>
      <c r="D583" s="750"/>
      <c r="E583" s="750"/>
      <c r="F583" s="750"/>
      <c r="G583" s="750"/>
      <c r="H583" s="750"/>
      <c r="I583" s="750"/>
      <c r="J583" s="750"/>
      <c r="K583" s="750"/>
      <c r="L583" s="750"/>
      <c r="M583" s="750"/>
      <c r="N583" s="750"/>
      <c r="O583" s="751"/>
      <c r="P583" s="747" t="s">
        <v>40</v>
      </c>
      <c r="Q583" s="748"/>
      <c r="R583" s="748"/>
      <c r="S583" s="748"/>
      <c r="T583" s="748"/>
      <c r="U583" s="748"/>
      <c r="V583" s="74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39" t="s">
        <v>155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0"/>
      <c r="B587" s="750"/>
      <c r="C587" s="750"/>
      <c r="D587" s="750"/>
      <c r="E587" s="750"/>
      <c r="F587" s="750"/>
      <c r="G587" s="750"/>
      <c r="H587" s="750"/>
      <c r="I587" s="750"/>
      <c r="J587" s="750"/>
      <c r="K587" s="750"/>
      <c r="L587" s="750"/>
      <c r="M587" s="750"/>
      <c r="N587" s="750"/>
      <c r="O587" s="751"/>
      <c r="P587" s="747" t="s">
        <v>40</v>
      </c>
      <c r="Q587" s="748"/>
      <c r="R587" s="748"/>
      <c r="S587" s="748"/>
      <c r="T587" s="748"/>
      <c r="U587" s="748"/>
      <c r="V587" s="74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751"/>
      <c r="P591" s="747" t="s">
        <v>40</v>
      </c>
      <c r="Q591" s="748"/>
      <c r="R591" s="748"/>
      <c r="S591" s="748"/>
      <c r="T591" s="748"/>
      <c r="U591" s="748"/>
      <c r="V591" s="74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18054.599999999999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18128.14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19016.479359219215</v>
      </c>
      <c r="Y593" s="41">
        <f>IFERROR(SUM(BN22:BN589),"0")</f>
        <v>19093.620000000003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32</v>
      </c>
      <c r="Y594" s="42">
        <f>ROUNDUP(SUM(BP22:BP589),0)</f>
        <v>32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19816.479359219215</v>
      </c>
      <c r="Y595" s="41">
        <f>GrossWeightTotalR+PalletQtyTotalR*25</f>
        <v>19893.620000000003</v>
      </c>
      <c r="Z595" s="40"/>
      <c r="AA595" s="64"/>
      <c r="AB595" s="64"/>
      <c r="AC595" s="64"/>
    </row>
    <row r="596" spans="1:32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2560.3499866146931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2569</v>
      </c>
      <c r="Z596" s="40"/>
      <c r="AA596" s="64"/>
      <c r="AB596" s="64"/>
      <c r="AC596" s="64"/>
    </row>
    <row r="597" spans="1:32" ht="14.25" x14ac:dyDescent="0.2">
      <c r="A597" s="750"/>
      <c r="B597" s="750"/>
      <c r="C597" s="750"/>
      <c r="D597" s="750"/>
      <c r="E597" s="750"/>
      <c r="F597" s="750"/>
      <c r="G597" s="750"/>
      <c r="H597" s="750"/>
      <c r="I597" s="750"/>
      <c r="J597" s="750"/>
      <c r="K597" s="750"/>
      <c r="L597" s="750"/>
      <c r="M597" s="750"/>
      <c r="N597" s="750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37.325510000000001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99</v>
      </c>
      <c r="D599" s="1046" t="s">
        <v>99</v>
      </c>
      <c r="E599" s="1046" t="s">
        <v>99</v>
      </c>
      <c r="F599" s="1046" t="s">
        <v>99</v>
      </c>
      <c r="G599" s="1046" t="s">
        <v>99</v>
      </c>
      <c r="H599" s="1046" t="s">
        <v>99</v>
      </c>
      <c r="I599" s="1046" t="s">
        <v>297</v>
      </c>
      <c r="J599" s="1046" t="s">
        <v>297</v>
      </c>
      <c r="K599" s="1046" t="s">
        <v>297</v>
      </c>
      <c r="L599" s="1046" t="s">
        <v>297</v>
      </c>
      <c r="M599" s="1046" t="s">
        <v>297</v>
      </c>
      <c r="N599" s="1047"/>
      <c r="O599" s="1046" t="s">
        <v>297</v>
      </c>
      <c r="P599" s="1046" t="s">
        <v>297</v>
      </c>
      <c r="Q599" s="1046" t="s">
        <v>297</v>
      </c>
      <c r="R599" s="1046" t="s">
        <v>297</v>
      </c>
      <c r="S599" s="1046" t="s">
        <v>297</v>
      </c>
      <c r="T599" s="1046" t="s">
        <v>297</v>
      </c>
      <c r="U599" s="1046" t="s">
        <v>297</v>
      </c>
      <c r="V599" s="1046" t="s">
        <v>297</v>
      </c>
      <c r="W599" s="1046" t="s">
        <v>588</v>
      </c>
      <c r="X599" s="1046" t="s">
        <v>588</v>
      </c>
      <c r="Y599" s="1046" t="s">
        <v>669</v>
      </c>
      <c r="Z599" s="1046" t="s">
        <v>669</v>
      </c>
      <c r="AA599" s="1046" t="s">
        <v>669</v>
      </c>
      <c r="AB599" s="1046" t="s">
        <v>669</v>
      </c>
      <c r="AC599" s="80" t="s">
        <v>744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100</v>
      </c>
      <c r="D600" s="1046" t="s">
        <v>121</v>
      </c>
      <c r="E600" s="1046" t="s">
        <v>189</v>
      </c>
      <c r="F600" s="1046" t="s">
        <v>220</v>
      </c>
      <c r="G600" s="1046" t="s">
        <v>265</v>
      </c>
      <c r="H600" s="1046" t="s">
        <v>99</v>
      </c>
      <c r="I600" s="1046" t="s">
        <v>298</v>
      </c>
      <c r="J600" s="1046" t="s">
        <v>333</v>
      </c>
      <c r="K600" s="1046" t="s">
        <v>394</v>
      </c>
      <c r="L600" s="1046" t="s">
        <v>429</v>
      </c>
      <c r="M600" s="1046" t="s">
        <v>447</v>
      </c>
      <c r="N600" s="1"/>
      <c r="O600" s="1046" t="s">
        <v>451</v>
      </c>
      <c r="P600" s="1046" t="s">
        <v>460</v>
      </c>
      <c r="Q600" s="1046" t="s">
        <v>474</v>
      </c>
      <c r="R600" s="1046" t="s">
        <v>484</v>
      </c>
      <c r="S600" s="1046" t="s">
        <v>488</v>
      </c>
      <c r="T600" s="1046" t="s">
        <v>496</v>
      </c>
      <c r="U600" s="1046" t="s">
        <v>501</v>
      </c>
      <c r="V600" s="1046" t="s">
        <v>575</v>
      </c>
      <c r="W600" s="1046" t="s">
        <v>589</v>
      </c>
      <c r="X600" s="1046" t="s">
        <v>630</v>
      </c>
      <c r="Y600" s="1046" t="s">
        <v>670</v>
      </c>
      <c r="Z600" s="1046" t="s">
        <v>709</v>
      </c>
      <c r="AA600" s="1046" t="s">
        <v>729</v>
      </c>
      <c r="AB600" s="1046" t="s">
        <v>737</v>
      </c>
      <c r="AC600" s="1046" t="s">
        <v>744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349.20000000000005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3670.2000000000003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205.20000000000002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50">
        <f>IFERROR(Y136*1,"0")+IFERROR(Y137*1,"0")+IFERROR(Y141*1,"0")+IFERROR(Y142*1,"0")+IFERROR(Y146*1,"0")+IFERROR(Y147*1,"0")</f>
        <v>0</v>
      </c>
      <c r="H602" s="50">
        <f>IFERROR(Y152*1,"0")+IFERROR(Y156*1,"0")+IFERROR(Y157*1,"0")+IFERROR(Y158*1,"0")+IFERROR(Y159*1,"0")+IFERROR(Y163*1,"0")+IFERROR(Y164*1,"0")</f>
        <v>291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151.20000000000002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356.40000000000003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140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8219.2999999999993</v>
      </c>
      <c r="V602" s="50">
        <f>IFERROR(Y363*1,"0")+IFERROR(Y367*1,"0")+IFERROR(Y368*1,"0")+IFERROR(Y369*1,"0")</f>
        <v>210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4041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50">
        <f>IFERROR(Y452*1,"0")+IFERROR(Y453*1,"0")+IFERROR(Y457*1,"0")+IFERROR(Y458*1,"0")+IFERROR(Y459*1,"0")+IFERROR(Y460*1,"0")</f>
        <v>54</v>
      </c>
      <c r="AA602" s="50">
        <f>IFERROR(Y465*1,"0")+IFERROR(Y466*1,"0")</f>
        <v>0</v>
      </c>
      <c r="AB602" s="50">
        <f>IFERROR(Y471*1,"0")+IFERROR(Y475*1,"0")</f>
        <v>0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200.64000000000001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240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2025-04-08T08:11:16Z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