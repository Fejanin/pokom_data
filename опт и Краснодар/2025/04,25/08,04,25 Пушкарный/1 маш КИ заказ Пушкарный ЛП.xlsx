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ушкарный\"/>
    </mc:Choice>
  </mc:AlternateContent>
  <xr:revisionPtr revIDLastSave="0" documentId="13_ncr:1_{78BC2D29-582E-4181-8960-731DE061A8B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X587" i="2"/>
  <c r="X586" i="2"/>
  <c r="BO585" i="2"/>
  <c r="BM585" i="2"/>
  <c r="Y585" i="2"/>
  <c r="Y586" i="2" s="1"/>
  <c r="X583" i="2"/>
  <c r="X582" i="2"/>
  <c r="BO581" i="2"/>
  <c r="BM581" i="2"/>
  <c r="Y581" i="2"/>
  <c r="BP581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N569" i="2"/>
  <c r="BM569" i="2"/>
  <c r="Z569" i="2"/>
  <c r="Y569" i="2"/>
  <c r="BP569" i="2" s="1"/>
  <c r="X567" i="2"/>
  <c r="X566" i="2"/>
  <c r="BO565" i="2"/>
  <c r="BM565" i="2"/>
  <c r="Z565" i="2"/>
  <c r="Y565" i="2"/>
  <c r="BP565" i="2" s="1"/>
  <c r="BP564" i="2"/>
  <c r="BO564" i="2"/>
  <c r="BN564" i="2"/>
  <c r="BM564" i="2"/>
  <c r="Z564" i="2"/>
  <c r="Y564" i="2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P545" i="2"/>
  <c r="BO545" i="2"/>
  <c r="BN545" i="2"/>
  <c r="BM545" i="2"/>
  <c r="Z545" i="2"/>
  <c r="Y545" i="2"/>
  <c r="BO544" i="2"/>
  <c r="BM544" i="2"/>
  <c r="Z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O495" i="2"/>
  <c r="BM495" i="2"/>
  <c r="Y495" i="2"/>
  <c r="BP495" i="2" s="1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Y468" i="2"/>
  <c r="X468" i="2"/>
  <c r="X467" i="2"/>
  <c r="BO466" i="2"/>
  <c r="BM466" i="2"/>
  <c r="Y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8" i="2"/>
  <c r="BO458" i="2"/>
  <c r="BN458" i="2"/>
  <c r="BM458" i="2"/>
  <c r="Z458" i="2"/>
  <c r="Y458" i="2"/>
  <c r="P458" i="2"/>
  <c r="BO457" i="2"/>
  <c r="BM457" i="2"/>
  <c r="Y457" i="2"/>
  <c r="X455" i="2"/>
  <c r="X454" i="2"/>
  <c r="BO453" i="2"/>
  <c r="BM453" i="2"/>
  <c r="Y453" i="2"/>
  <c r="P453" i="2"/>
  <c r="BP452" i="2"/>
  <c r="BO452" i="2"/>
  <c r="BN452" i="2"/>
  <c r="BM452" i="2"/>
  <c r="Z452" i="2"/>
  <c r="Y452" i="2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P407" i="2"/>
  <c r="BO407" i="2"/>
  <c r="BN407" i="2"/>
  <c r="BM407" i="2"/>
  <c r="Z407" i="2"/>
  <c r="Y407" i="2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X311" i="2"/>
  <c r="X310" i="2"/>
  <c r="BO309" i="2"/>
  <c r="BM309" i="2"/>
  <c r="Y309" i="2"/>
  <c r="BP309" i="2" s="1"/>
  <c r="P309" i="2"/>
  <c r="BO308" i="2"/>
  <c r="BM308" i="2"/>
  <c r="Y308" i="2"/>
  <c r="Y311" i="2" s="1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Y247" i="2"/>
  <c r="X247" i="2"/>
  <c r="BP246" i="2"/>
  <c r="BO246" i="2"/>
  <c r="BN246" i="2"/>
  <c r="BM246" i="2"/>
  <c r="Z246" i="2"/>
  <c r="Z247" i="2" s="1"/>
  <c r="Y246" i="2"/>
  <c r="Y248" i="2" s="1"/>
  <c r="X244" i="2"/>
  <c r="X243" i="2"/>
  <c r="BO242" i="2"/>
  <c r="BM242" i="2"/>
  <c r="Z242" i="2"/>
  <c r="Y242" i="2"/>
  <c r="BP241" i="2"/>
  <c r="BO241" i="2"/>
  <c r="BN241" i="2"/>
  <c r="BM241" i="2"/>
  <c r="Z241" i="2"/>
  <c r="Z243" i="2" s="1"/>
  <c r="Y241" i="2"/>
  <c r="Y244" i="2" s="1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M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Z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P182" i="2"/>
  <c r="BO182" i="2"/>
  <c r="BN182" i="2"/>
  <c r="BM182" i="2"/>
  <c r="Z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P174" i="2"/>
  <c r="BO174" i="2"/>
  <c r="BN174" i="2"/>
  <c r="BM174" i="2"/>
  <c r="Z174" i="2"/>
  <c r="Y174" i="2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P81" i="2"/>
  <c r="BO81" i="2"/>
  <c r="BN81" i="2"/>
  <c r="BM81" i="2"/>
  <c r="Z81" i="2"/>
  <c r="Y81" i="2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Z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Y587" i="2" l="1"/>
  <c r="BP24" i="2"/>
  <c r="Z71" i="2"/>
  <c r="BN71" i="2"/>
  <c r="Z113" i="2"/>
  <c r="BN113" i="2"/>
  <c r="Z126" i="2"/>
  <c r="BN126" i="2"/>
  <c r="Z215" i="2"/>
  <c r="BN215" i="2"/>
  <c r="Z271" i="2"/>
  <c r="BN271" i="2"/>
  <c r="Z309" i="2"/>
  <c r="BN309" i="2"/>
  <c r="Y310" i="2"/>
  <c r="Z338" i="2"/>
  <c r="BN338" i="2"/>
  <c r="BN376" i="2"/>
  <c r="Z495" i="2"/>
  <c r="BN495" i="2"/>
  <c r="Z585" i="2"/>
  <c r="Z586" i="2" s="1"/>
  <c r="Z220" i="2"/>
  <c r="BP220" i="2"/>
  <c r="Z376" i="2"/>
  <c r="Z382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Z146" i="2"/>
  <c r="Y149" i="2"/>
  <c r="BN178" i="2"/>
  <c r="Z179" i="2"/>
  <c r="BP179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Y360" i="2"/>
  <c r="A10" i="2"/>
  <c r="Z49" i="2"/>
  <c r="Z66" i="2"/>
  <c r="Z99" i="2"/>
  <c r="Z119" i="2"/>
  <c r="Z130" i="2"/>
  <c r="BP130" i="2"/>
  <c r="Y138" i="2"/>
  <c r="Z178" i="2"/>
  <c r="Z205" i="2"/>
  <c r="Z236" i="2"/>
  <c r="Z257" i="2"/>
  <c r="Z280" i="2"/>
  <c r="Z290" i="2"/>
  <c r="Z291" i="2" s="1"/>
  <c r="BP290" i="2"/>
  <c r="BN294" i="2"/>
  <c r="Z331" i="2"/>
  <c r="Z363" i="2"/>
  <c r="Z364" i="2" s="1"/>
  <c r="BP363" i="2"/>
  <c r="Z412" i="2"/>
  <c r="Y455" i="2"/>
  <c r="Z482" i="2"/>
  <c r="Z499" i="2"/>
  <c r="Z502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Z132" i="2" s="1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Z273" i="2" s="1"/>
  <c r="BP278" i="2"/>
  <c r="BN319" i="2"/>
  <c r="BP344" i="2"/>
  <c r="Y359" i="2"/>
  <c r="BP413" i="2"/>
  <c r="Z413" i="2"/>
  <c r="BN432" i="2"/>
  <c r="Z503" i="2"/>
  <c r="Z534" i="2"/>
  <c r="Z551" i="2"/>
  <c r="Z589" i="2"/>
  <c r="Z590" i="2" s="1"/>
  <c r="X593" i="2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Z33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Z566" i="2" s="1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Z340" i="2"/>
  <c r="Y347" i="2"/>
  <c r="BP382" i="2"/>
  <c r="Y410" i="2"/>
  <c r="Y409" i="2"/>
  <c r="X602" i="2"/>
  <c r="BP403" i="2"/>
  <c r="Z403" i="2"/>
  <c r="Z409" i="2" s="1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Z115" i="2" s="1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325" i="2" l="1"/>
  <c r="Z353" i="2"/>
  <c r="Z461" i="2"/>
  <c r="Z414" i="2"/>
  <c r="X595" i="2"/>
  <c r="Z422" i="2"/>
  <c r="Z238" i="2"/>
  <c r="Z261" i="2"/>
  <c r="Z67" i="2"/>
  <c r="Z109" i="2"/>
  <c r="Z143" i="2"/>
  <c r="Z34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<sst xmlns="http://schemas.openxmlformats.org/spreadsheetml/2006/main" count="4537" uniqueCount="970">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</sst>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/>
      <c r="I5" s="1026"/>
      <c r="J5" s="1026"/>
      <c r="K5" s="1026"/>
      <c r="L5" s="1026"/>
      <c r="M5" s="1026"/>
      <c r="N5" s="69"/>
      <c r="P5" s="26" t="s">
        <v>4</v>
      </c>
      <c r="Q5" s="1028">
        <v>45757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62</v>
      </c>
      <c r="L17" s="979" t="s">
        <v>64</v>
      </c>
      <c r="M17" s="979" t="s">
        <v>2</v>
      </c>
      <c r="N17" s="979" t="s">
        <v>63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65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4301051861</v>
      </c>
      <c r="D24" s="673">
        <v>4680115885905</v>
      </c>
      <c r="E24" s="673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customHeight="1" x14ac:dyDescent="0.25">
      <c r="A25" s="60" t="s">
        <v>90</v>
      </c>
      <c r="B25" s="60" t="s">
        <v>91</v>
      </c>
      <c r="C25" s="34">
        <v>4301051592</v>
      </c>
      <c r="D25" s="673">
        <v>4607091388244</v>
      </c>
      <c r="E25" s="673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x14ac:dyDescent="0.2">
      <c r="A26" s="680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77" t="s">
        <v>40</v>
      </c>
      <c r="Q26" s="678"/>
      <c r="R26" s="678"/>
      <c r="S26" s="678"/>
      <c r="T26" s="678"/>
      <c r="U26" s="678"/>
      <c r="V26" s="67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77" t="s">
        <v>40</v>
      </c>
      <c r="Q27" s="678"/>
      <c r="R27" s="678"/>
      <c r="S27" s="678"/>
      <c r="T27" s="678"/>
      <c r="U27" s="678"/>
      <c r="V27" s="67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customHeight="1" x14ac:dyDescent="0.25">
      <c r="A28" s="672" t="s">
        <v>93</v>
      </c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72"/>
      <c r="P28" s="672"/>
      <c r="Q28" s="672"/>
      <c r="R28" s="672"/>
      <c r="S28" s="672"/>
      <c r="T28" s="672"/>
      <c r="U28" s="672"/>
      <c r="V28" s="672"/>
      <c r="W28" s="672"/>
      <c r="X28" s="672"/>
      <c r="Y28" s="672"/>
      <c r="Z28" s="672"/>
      <c r="AA28" s="63"/>
      <c r="AB28" s="63"/>
      <c r="AC28" s="63"/>
    </row>
    <row r="29" spans="1:68" ht="27" customHeight="1" x14ac:dyDescent="0.25">
      <c r="A29" s="60" t="s">
        <v>94</v>
      </c>
      <c r="B29" s="60" t="s">
        <v>95</v>
      </c>
      <c r="C29" s="34">
        <v>4301032013</v>
      </c>
      <c r="D29" s="673">
        <v>4607091388503</v>
      </c>
      <c r="E29" s="673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97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5"/>
      <c r="R29" s="675"/>
      <c r="S29" s="675"/>
      <c r="T29" s="676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x14ac:dyDescent="0.2">
      <c r="A30" s="680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77" t="s">
        <v>40</v>
      </c>
      <c r="Q30" s="678"/>
      <c r="R30" s="678"/>
      <c r="S30" s="678"/>
      <c r="T30" s="678"/>
      <c r="U30" s="678"/>
      <c r="V30" s="67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77" t="s">
        <v>40</v>
      </c>
      <c r="Q31" s="678"/>
      <c r="R31" s="678"/>
      <c r="S31" s="678"/>
      <c r="T31" s="678"/>
      <c r="U31" s="678"/>
      <c r="V31" s="67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customHeight="1" x14ac:dyDescent="0.2">
      <c r="A32" s="718" t="s">
        <v>99</v>
      </c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8"/>
      <c r="Q32" s="718"/>
      <c r="R32" s="718"/>
      <c r="S32" s="718"/>
      <c r="T32" s="718"/>
      <c r="U32" s="718"/>
      <c r="V32" s="718"/>
      <c r="W32" s="718"/>
      <c r="X32" s="718"/>
      <c r="Y32" s="718"/>
      <c r="Z32" s="718"/>
      <c r="AA32" s="52"/>
      <c r="AB32" s="52"/>
      <c r="AC32" s="52"/>
    </row>
    <row r="33" spans="1:68" ht="16.5" customHeight="1" x14ac:dyDescent="0.25">
      <c r="A33" s="694" t="s">
        <v>100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62"/>
      <c r="AB33" s="62"/>
      <c r="AC33" s="62"/>
    </row>
    <row r="34" spans="1:68" ht="14.25" customHeight="1" x14ac:dyDescent="0.25">
      <c r="A34" s="672" t="s">
        <v>101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63"/>
      <c r="AB34" s="63"/>
      <c r="AC34" s="63"/>
    </row>
    <row r="35" spans="1:68" ht="16.5" customHeight="1" x14ac:dyDescent="0.25">
      <c r="A35" s="60" t="s">
        <v>102</v>
      </c>
      <c r="B35" s="60" t="s">
        <v>103</v>
      </c>
      <c r="C35" s="34">
        <v>4301011380</v>
      </c>
      <c r="D35" s="673">
        <v>4607091385670</v>
      </c>
      <c r="E35" s="673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9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5"/>
      <c r="R35" s="675"/>
      <c r="S35" s="675"/>
      <c r="T35" s="676"/>
      <c r="U35" s="37" t="s">
        <v>45</v>
      </c>
      <c r="V35" s="37" t="s">
        <v>45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IFERROR(IF(Y35=0,"",ROUNDUP(Y35/H35,0)*0.01898),"")</f>
        <v/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t="27" customHeight="1" x14ac:dyDescent="0.25">
      <c r="A36" s="60" t="s">
        <v>107</v>
      </c>
      <c r="B36" s="60" t="s">
        <v>108</v>
      </c>
      <c r="C36" s="34">
        <v>4301011382</v>
      </c>
      <c r="D36" s="673">
        <v>4607091385687</v>
      </c>
      <c r="E36" s="673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5"/>
      <c r="R36" s="675"/>
      <c r="S36" s="675"/>
      <c r="T36" s="676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IFERROR(IF(Y36=0,"",ROUNDUP(Y36/H36,0)*0.00902),"")</f>
        <v/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customHeight="1" x14ac:dyDescent="0.25">
      <c r="A37" s="60" t="s">
        <v>113</v>
      </c>
      <c r="B37" s="60" t="s">
        <v>114</v>
      </c>
      <c r="C37" s="34">
        <v>4301011565</v>
      </c>
      <c r="D37" s="673">
        <v>4680115882539</v>
      </c>
      <c r="E37" s="673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9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4301011624</v>
      </c>
      <c r="D38" s="673">
        <v>4680115883949</v>
      </c>
      <c r="E38" s="673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97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x14ac:dyDescent="0.2">
      <c r="A39" s="680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77" t="s">
        <v>40</v>
      </c>
      <c r="Q39" s="678"/>
      <c r="R39" s="678"/>
      <c r="S39" s="678"/>
      <c r="T39" s="678"/>
      <c r="U39" s="678"/>
      <c r="V39" s="679"/>
      <c r="W39" s="40" t="s">
        <v>39</v>
      </c>
      <c r="X39" s="41">
        <f>IFERROR(X35/H35,"0")+IFERROR(X36/H36,"0")+IFERROR(X37/H37,"0")+IFERROR(X38/H38,"0")</f>
        <v>0</v>
      </c>
      <c r="Y39" s="41">
        <f>IFERROR(Y35/H35,"0")+IFERROR(Y36/H36,"0")+IFERROR(Y37/H37,"0")+IFERROR(Y38/H38,"0")</f>
        <v>0</v>
      </c>
      <c r="Z39" s="41">
        <f>IFERROR(IF(Z35="",0,Z35),"0")+IFERROR(IF(Z36="",0,Z36),"0")+IFERROR(IF(Z37="",0,Z37),"0")+IFERROR(IF(Z38="",0,Z38),"0")</f>
        <v>0</v>
      </c>
      <c r="AA39" s="64"/>
      <c r="AB39" s="64"/>
      <c r="AC39" s="64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77" t="s">
        <v>40</v>
      </c>
      <c r="Q40" s="678"/>
      <c r="R40" s="678"/>
      <c r="S40" s="678"/>
      <c r="T40" s="678"/>
      <c r="U40" s="678"/>
      <c r="V40" s="679"/>
      <c r="W40" s="40" t="s">
        <v>0</v>
      </c>
      <c r="X40" s="41">
        <f>IFERROR(SUM(X35:X38),"0")</f>
        <v>0</v>
      </c>
      <c r="Y40" s="41">
        <f>IFERROR(SUM(Y35:Y38),"0")</f>
        <v>0</v>
      </c>
      <c r="Z40" s="40"/>
      <c r="AA40" s="64"/>
      <c r="AB40" s="64"/>
      <c r="AC40" s="64"/>
    </row>
    <row r="41" spans="1:68" ht="14.25" customHeight="1" x14ac:dyDescent="0.25">
      <c r="A41" s="672" t="s">
        <v>78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3"/>
      <c r="AB41" s="63"/>
      <c r="AC41" s="63"/>
    </row>
    <row r="42" spans="1:68" ht="16.5" customHeight="1" x14ac:dyDescent="0.25">
      <c r="A42" s="60" t="s">
        <v>118</v>
      </c>
      <c r="B42" s="60" t="s">
        <v>119</v>
      </c>
      <c r="C42" s="34">
        <v>4301051820</v>
      </c>
      <c r="D42" s="673">
        <v>4680115884915</v>
      </c>
      <c r="E42" s="673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97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5"/>
      <c r="R42" s="675"/>
      <c r="S42" s="675"/>
      <c r="T42" s="676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80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77" t="s">
        <v>40</v>
      </c>
      <c r="Q43" s="678"/>
      <c r="R43" s="678"/>
      <c r="S43" s="678"/>
      <c r="T43" s="678"/>
      <c r="U43" s="678"/>
      <c r="V43" s="67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77" t="s">
        <v>40</v>
      </c>
      <c r="Q44" s="678"/>
      <c r="R44" s="678"/>
      <c r="S44" s="678"/>
      <c r="T44" s="678"/>
      <c r="U44" s="678"/>
      <c r="V44" s="67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customHeight="1" x14ac:dyDescent="0.25">
      <c r="A45" s="694" t="s">
        <v>121</v>
      </c>
      <c r="B45" s="694"/>
      <c r="C45" s="694"/>
      <c r="D45" s="694"/>
      <c r="E45" s="694"/>
      <c r="F45" s="694"/>
      <c r="G45" s="694"/>
      <c r="H45" s="694"/>
      <c r="I45" s="694"/>
      <c r="J45" s="694"/>
      <c r="K45" s="694"/>
      <c r="L45" s="694"/>
      <c r="M45" s="694"/>
      <c r="N45" s="694"/>
      <c r="O45" s="694"/>
      <c r="P45" s="694"/>
      <c r="Q45" s="694"/>
      <c r="R45" s="694"/>
      <c r="S45" s="694"/>
      <c r="T45" s="694"/>
      <c r="U45" s="694"/>
      <c r="V45" s="694"/>
      <c r="W45" s="694"/>
      <c r="X45" s="694"/>
      <c r="Y45" s="694"/>
      <c r="Z45" s="694"/>
      <c r="AA45" s="62"/>
      <c r="AB45" s="62"/>
      <c r="AC45" s="62"/>
    </row>
    <row r="46" spans="1:68" ht="14.25" customHeight="1" x14ac:dyDescent="0.25">
      <c r="A46" s="672" t="s">
        <v>101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4301012030</v>
      </c>
      <c r="D47" s="673">
        <v>4680115885882</v>
      </c>
      <c r="E47" s="673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5"/>
      <c r="R47" s="675"/>
      <c r="S47" s="675"/>
      <c r="T47" s="676"/>
      <c r="U47" s="37" t="s">
        <v>45</v>
      </c>
      <c r="V47" s="37" t="s">
        <v>45</v>
      </c>
      <c r="W47" s="38" t="s">
        <v>0</v>
      </c>
      <c r="X47" s="56">
        <v>0</v>
      </c>
      <c r="Y47" s="53">
        <f t="shared" ref="Y47:Y53" si="0">IFERROR(IF(X47="",0,CEILING((X47/$H47),1)*$H47),"")</f>
        <v>0</v>
      </c>
      <c r="Z47" s="39" t="str">
        <f>IFERROR(IF(Y47=0,"",ROUNDUP(Y47/H47,0)*0.01898),"")</f>
        <v/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0</v>
      </c>
      <c r="BN47" s="75">
        <f t="shared" ref="BN47:BN53" si="2">IFERROR(Y47*I47/H47,"0")</f>
        <v>0</v>
      </c>
      <c r="BO47" s="75">
        <f t="shared" ref="BO47:BO53" si="3">IFERROR(1/J47*(X47/H47),"0")</f>
        <v>0</v>
      </c>
      <c r="BP47" s="75">
        <f t="shared" ref="BP47:BP53" si="4">IFERROR(1/J47*(Y47/H47),"0")</f>
        <v>0</v>
      </c>
    </row>
    <row r="48" spans="1:68" ht="27" customHeight="1" x14ac:dyDescent="0.25">
      <c r="A48" s="60" t="s">
        <v>125</v>
      </c>
      <c r="B48" s="60" t="s">
        <v>126</v>
      </c>
      <c r="C48" s="34">
        <v>4301011816</v>
      </c>
      <c r="D48" s="673">
        <v>4680115881426</v>
      </c>
      <c r="E48" s="673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9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5"/>
      <c r="R48" s="675"/>
      <c r="S48" s="675"/>
      <c r="T48" s="676"/>
      <c r="U48" s="37" t="s">
        <v>45</v>
      </c>
      <c r="V48" s="37" t="s">
        <v>45</v>
      </c>
      <c r="W48" s="38" t="s">
        <v>0</v>
      </c>
      <c r="X48" s="56">
        <v>0</v>
      </c>
      <c r="Y48" s="53">
        <f t="shared" si="0"/>
        <v>0</v>
      </c>
      <c r="Z48" s="39" t="str">
        <f>IFERROR(IF(Y48=0,"",ROUNDUP(Y48/H48,0)*0.01898),"")</f>
        <v/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0</v>
      </c>
      <c r="BN48" s="75">
        <f t="shared" si="2"/>
        <v>0</v>
      </c>
      <c r="BO48" s="75">
        <f t="shared" si="3"/>
        <v>0</v>
      </c>
      <c r="BP48" s="75">
        <f t="shared" si="4"/>
        <v>0</v>
      </c>
    </row>
    <row r="49" spans="1:68" ht="27" customHeight="1" x14ac:dyDescent="0.25">
      <c r="A49" s="60" t="s">
        <v>130</v>
      </c>
      <c r="B49" s="60" t="s">
        <v>131</v>
      </c>
      <c r="C49" s="34">
        <v>4301011386</v>
      </c>
      <c r="D49" s="673">
        <v>4680115880283</v>
      </c>
      <c r="E49" s="673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9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4301011432</v>
      </c>
      <c r="D50" s="673">
        <v>4680115882720</v>
      </c>
      <c r="E50" s="673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966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customHeight="1" x14ac:dyDescent="0.25">
      <c r="A51" s="60" t="s">
        <v>136</v>
      </c>
      <c r="B51" s="60" t="s">
        <v>137</v>
      </c>
      <c r="C51" s="34">
        <v>4301011806</v>
      </c>
      <c r="D51" s="673">
        <v>4680115881525</v>
      </c>
      <c r="E51" s="673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customHeight="1" x14ac:dyDescent="0.25">
      <c r="A52" s="60" t="s">
        <v>138</v>
      </c>
      <c r="B52" s="60" t="s">
        <v>139</v>
      </c>
      <c r="C52" s="34">
        <v>4301011589</v>
      </c>
      <c r="D52" s="673">
        <v>4680115885899</v>
      </c>
      <c r="E52" s="673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customHeight="1" x14ac:dyDescent="0.25">
      <c r="A53" s="60" t="s">
        <v>142</v>
      </c>
      <c r="B53" s="60" t="s">
        <v>143</v>
      </c>
      <c r="C53" s="34">
        <v>4301011801</v>
      </c>
      <c r="D53" s="673">
        <v>4680115881419</v>
      </c>
      <c r="E53" s="673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x14ac:dyDescent="0.2">
      <c r="A54" s="680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77" t="s">
        <v>40</v>
      </c>
      <c r="Q54" s="678"/>
      <c r="R54" s="678"/>
      <c r="S54" s="678"/>
      <c r="T54" s="678"/>
      <c r="U54" s="678"/>
      <c r="V54" s="679"/>
      <c r="W54" s="40" t="s">
        <v>39</v>
      </c>
      <c r="X54" s="41">
        <f>IFERROR(X47/H47,"0")+IFERROR(X48/H48,"0")+IFERROR(X49/H49,"0")+IFERROR(X50/H50,"0")+IFERROR(X51/H51,"0")+IFERROR(X52/H52,"0")+IFERROR(X53/H53,"0")</f>
        <v>0</v>
      </c>
      <c r="Y54" s="41">
        <f>IFERROR(Y47/H47,"0")+IFERROR(Y48/H48,"0")+IFERROR(Y49/H49,"0")+IFERROR(Y50/H50,"0")+IFERROR(Y51/H51,"0")+IFERROR(Y52/H52,"0")+IFERROR(Y53/H53,"0")</f>
        <v>0</v>
      </c>
      <c r="Z54" s="41">
        <f>IFERROR(IF(Z47="",0,Z47),"0")+IFERROR(IF(Z48="",0,Z48),"0")+IFERROR(IF(Z49="",0,Z49),"0")+IFERROR(IF(Z50="",0,Z50),"0")+IFERROR(IF(Z51="",0,Z51),"0")+IFERROR(IF(Z52="",0,Z52),"0")+IFERROR(IF(Z53="",0,Z53),"0")</f>
        <v>0</v>
      </c>
      <c r="AA54" s="64"/>
      <c r="AB54" s="64"/>
      <c r="AC54" s="64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0</v>
      </c>
      <c r="X55" s="41">
        <f>IFERROR(SUM(X47:X53),"0")</f>
        <v>0</v>
      </c>
      <c r="Y55" s="41">
        <f>IFERROR(SUM(Y47:Y53),"0")</f>
        <v>0</v>
      </c>
      <c r="Z55" s="40"/>
      <c r="AA55" s="64"/>
      <c r="AB55" s="64"/>
      <c r="AC55" s="64"/>
    </row>
    <row r="56" spans="1:68" ht="14.25" customHeight="1" x14ac:dyDescent="0.25">
      <c r="A56" s="672" t="s">
        <v>144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Y56" s="672"/>
      <c r="Z56" s="672"/>
      <c r="AA56" s="63"/>
      <c r="AB56" s="63"/>
      <c r="AC56" s="63"/>
    </row>
    <row r="57" spans="1:68" ht="16.5" customHeight="1" x14ac:dyDescent="0.25">
      <c r="A57" s="60" t="s">
        <v>145</v>
      </c>
      <c r="B57" s="60" t="s">
        <v>146</v>
      </c>
      <c r="C57" s="34">
        <v>4301020298</v>
      </c>
      <c r="D57" s="673">
        <v>4680115881440</v>
      </c>
      <c r="E57" s="673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5"/>
      <c r="R57" s="675"/>
      <c r="S57" s="675"/>
      <c r="T57" s="676"/>
      <c r="U57" s="37" t="s">
        <v>45</v>
      </c>
      <c r="V57" s="37" t="s">
        <v>45</v>
      </c>
      <c r="W57" s="38" t="s">
        <v>0</v>
      </c>
      <c r="X57" s="56">
        <v>0</v>
      </c>
      <c r="Y57" s="53">
        <f>IFERROR(IF(X57="",0,CEILING((X57/$H57),1)*$H57),"")</f>
        <v>0</v>
      </c>
      <c r="Z57" s="39" t="str">
        <f>IFERROR(IF(Y57=0,"",ROUNDUP(Y57/H57,0)*0.01898),"")</f>
        <v/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148</v>
      </c>
      <c r="B58" s="60" t="s">
        <v>149</v>
      </c>
      <c r="C58" s="34">
        <v>4301020228</v>
      </c>
      <c r="D58" s="673">
        <v>4680115882751</v>
      </c>
      <c r="E58" s="673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customHeight="1" x14ac:dyDescent="0.25">
      <c r="A59" s="60" t="s">
        <v>151</v>
      </c>
      <c r="B59" s="60" t="s">
        <v>152</v>
      </c>
      <c r="C59" s="34">
        <v>4301020358</v>
      </c>
      <c r="D59" s="673">
        <v>4680115885950</v>
      </c>
      <c r="E59" s="673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customHeight="1" x14ac:dyDescent="0.25">
      <c r="A60" s="60" t="s">
        <v>153</v>
      </c>
      <c r="B60" s="60" t="s">
        <v>154</v>
      </c>
      <c r="C60" s="34">
        <v>4301020296</v>
      </c>
      <c r="D60" s="673">
        <v>4680115881433</v>
      </c>
      <c r="E60" s="673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x14ac:dyDescent="0.2">
      <c r="A61" s="680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77" t="s">
        <v>40</v>
      </c>
      <c r="Q61" s="678"/>
      <c r="R61" s="678"/>
      <c r="S61" s="678"/>
      <c r="T61" s="678"/>
      <c r="U61" s="678"/>
      <c r="V61" s="679"/>
      <c r="W61" s="40" t="s">
        <v>39</v>
      </c>
      <c r="X61" s="41">
        <f>IFERROR(X57/H57,"0")+IFERROR(X58/H58,"0")+IFERROR(X59/H59,"0")+IFERROR(X60/H60,"0")</f>
        <v>0</v>
      </c>
      <c r="Y61" s="41">
        <f>IFERROR(Y57/H57,"0")+IFERROR(Y58/H58,"0")+IFERROR(Y59/H59,"0")+IFERROR(Y60/H60,"0")</f>
        <v>0</v>
      </c>
      <c r="Z61" s="41">
        <f>IFERROR(IF(Z57="",0,Z57),"0")+IFERROR(IF(Z58="",0,Z58),"0")+IFERROR(IF(Z59="",0,Z59),"0")+IFERROR(IF(Z60="",0,Z60),"0")</f>
        <v>0</v>
      </c>
      <c r="AA61" s="64"/>
      <c r="AB61" s="64"/>
      <c r="AC61" s="64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0</v>
      </c>
      <c r="X62" s="41">
        <f>IFERROR(SUM(X57:X60),"0")</f>
        <v>0</v>
      </c>
      <c r="Y62" s="41">
        <f>IFERROR(SUM(Y57:Y60),"0")</f>
        <v>0</v>
      </c>
      <c r="Z62" s="40"/>
      <c r="AA62" s="64"/>
      <c r="AB62" s="64"/>
      <c r="AC62" s="64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3"/>
      <c r="AB63" s="63"/>
      <c r="AC63" s="63"/>
    </row>
    <row r="64" spans="1:68" ht="27" customHeight="1" x14ac:dyDescent="0.25">
      <c r="A64" s="60" t="s">
        <v>156</v>
      </c>
      <c r="B64" s="60" t="s">
        <v>157</v>
      </c>
      <c r="C64" s="34">
        <v>4301031243</v>
      </c>
      <c r="D64" s="673">
        <v>4680115885073</v>
      </c>
      <c r="E64" s="673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96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5"/>
      <c r="R64" s="675"/>
      <c r="S64" s="675"/>
      <c r="T64" s="676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160</v>
      </c>
      <c r="B65" s="60" t="s">
        <v>161</v>
      </c>
      <c r="C65" s="34">
        <v>4301031241</v>
      </c>
      <c r="D65" s="673">
        <v>4680115885059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4301031316</v>
      </c>
      <c r="D66" s="673">
        <v>4680115885097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x14ac:dyDescent="0.2">
      <c r="A67" s="680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77" t="s">
        <v>40</v>
      </c>
      <c r="Q67" s="678"/>
      <c r="R67" s="678"/>
      <c r="S67" s="678"/>
      <c r="T67" s="678"/>
      <c r="U67" s="678"/>
      <c r="V67" s="67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customHeight="1" x14ac:dyDescent="0.25">
      <c r="A69" s="672" t="s">
        <v>78</v>
      </c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72"/>
      <c r="P69" s="672"/>
      <c r="Q69" s="672"/>
      <c r="R69" s="672"/>
      <c r="S69" s="672"/>
      <c r="T69" s="672"/>
      <c r="U69" s="672"/>
      <c r="V69" s="672"/>
      <c r="W69" s="672"/>
      <c r="X69" s="672"/>
      <c r="Y69" s="672"/>
      <c r="Z69" s="672"/>
      <c r="AA69" s="63"/>
      <c r="AB69" s="63"/>
      <c r="AC69" s="63"/>
    </row>
    <row r="70" spans="1:68" ht="16.5" customHeight="1" x14ac:dyDescent="0.25">
      <c r="A70" s="60" t="s">
        <v>166</v>
      </c>
      <c r="B70" s="60" t="s">
        <v>167</v>
      </c>
      <c r="C70" s="34">
        <v>4301051838</v>
      </c>
      <c r="D70" s="673">
        <v>4680115881891</v>
      </c>
      <c r="E70" s="673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5"/>
      <c r="R70" s="675"/>
      <c r="S70" s="675"/>
      <c r="T70" s="676"/>
      <c r="U70" s="37" t="s">
        <v>45</v>
      </c>
      <c r="V70" s="37" t="s">
        <v>45</v>
      </c>
      <c r="W70" s="38" t="s">
        <v>0</v>
      </c>
      <c r="X70" s="56">
        <v>30</v>
      </c>
      <c r="Y70" s="53">
        <f t="shared" ref="Y70:Y75" si="5">IFERROR(IF(X70="",0,CEILING((X70/$H70),1)*$H70),"")</f>
        <v>33.6</v>
      </c>
      <c r="Z70" s="39">
        <f>IFERROR(IF(Y70=0,"",ROUNDUP(Y70/H70,0)*0.01898),"")</f>
        <v>7.5920000000000001E-2</v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31.853571428571428</v>
      </c>
      <c r="BN70" s="75">
        <f t="shared" ref="BN70:BN75" si="7">IFERROR(Y70*I70/H70,"0")</f>
        <v>35.676000000000002</v>
      </c>
      <c r="BO70" s="75">
        <f t="shared" ref="BO70:BO75" si="8">IFERROR(1/J70*(X70/H70),"0")</f>
        <v>5.5803571428571425E-2</v>
      </c>
      <c r="BP70" s="75">
        <f t="shared" ref="BP70:BP75" si="9">IFERROR(1/J70*(Y70/H70),"0")</f>
        <v>6.25E-2</v>
      </c>
    </row>
    <row r="71" spans="1:68" ht="27" customHeight="1" x14ac:dyDescent="0.25">
      <c r="A71" s="60" t="s">
        <v>169</v>
      </c>
      <c r="B71" s="60" t="s">
        <v>170</v>
      </c>
      <c r="C71" s="34">
        <v>4301051846</v>
      </c>
      <c r="D71" s="673">
        <v>4680115885769</v>
      </c>
      <c r="E71" s="673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customHeight="1" x14ac:dyDescent="0.25">
      <c r="A72" s="60" t="s">
        <v>172</v>
      </c>
      <c r="B72" s="60" t="s">
        <v>173</v>
      </c>
      <c r="C72" s="34">
        <v>4301051822</v>
      </c>
      <c r="D72" s="673">
        <v>4680115884410</v>
      </c>
      <c r="E72" s="673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21</v>
      </c>
      <c r="Y72" s="53">
        <f t="shared" si="5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22.267499999999998</v>
      </c>
      <c r="BN72" s="75">
        <f t="shared" si="7"/>
        <v>26.721000000000004</v>
      </c>
      <c r="BO72" s="75">
        <f t="shared" si="8"/>
        <v>3.90625E-2</v>
      </c>
      <c r="BP72" s="75">
        <f t="shared" si="9"/>
        <v>4.6875E-2</v>
      </c>
    </row>
    <row r="73" spans="1:68" ht="16.5" customHeight="1" x14ac:dyDescent="0.25">
      <c r="A73" s="60" t="s">
        <v>175</v>
      </c>
      <c r="B73" s="60" t="s">
        <v>176</v>
      </c>
      <c r="C73" s="34">
        <v>4301051837</v>
      </c>
      <c r="D73" s="673">
        <v>4680115884311</v>
      </c>
      <c r="E73" s="673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customHeight="1" x14ac:dyDescent="0.25">
      <c r="A74" s="60" t="s">
        <v>177</v>
      </c>
      <c r="B74" s="60" t="s">
        <v>178</v>
      </c>
      <c r="C74" s="34">
        <v>4301051844</v>
      </c>
      <c r="D74" s="673">
        <v>4680115885929</v>
      </c>
      <c r="E74" s="673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customHeight="1" x14ac:dyDescent="0.25">
      <c r="A75" s="60" t="s">
        <v>179</v>
      </c>
      <c r="B75" s="60" t="s">
        <v>180</v>
      </c>
      <c r="C75" s="34">
        <v>4301051827</v>
      </c>
      <c r="D75" s="673">
        <v>4680115884403</v>
      </c>
      <c r="E75" s="673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x14ac:dyDescent="0.2">
      <c r="A76" s="680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77" t="s">
        <v>40</v>
      </c>
      <c r="Q76" s="678"/>
      <c r="R76" s="678"/>
      <c r="S76" s="678"/>
      <c r="T76" s="678"/>
      <c r="U76" s="678"/>
      <c r="V76" s="679"/>
      <c r="W76" s="40" t="s">
        <v>39</v>
      </c>
      <c r="X76" s="41">
        <f>IFERROR(X70/H70,"0")+IFERROR(X71/H71,"0")+IFERROR(X72/H72,"0")+IFERROR(X73/H73,"0")+IFERROR(X74/H74,"0")+IFERROR(X75/H75,"0")</f>
        <v>6.0714285714285712</v>
      </c>
      <c r="Y76" s="41">
        <f>IFERROR(Y70/H70,"0")+IFERROR(Y71/H71,"0")+IFERROR(Y72/H72,"0")+IFERROR(Y73/H73,"0")+IFERROR(Y74/H74,"0")+IFERROR(Y75/H75,"0")</f>
        <v>7</v>
      </c>
      <c r="Z76" s="41">
        <f>IFERROR(IF(Z70="",0,Z70),"0")+IFERROR(IF(Z71="",0,Z71),"0")+IFERROR(IF(Z72="",0,Z72),"0")+IFERROR(IF(Z73="",0,Z73),"0")+IFERROR(IF(Z74="",0,Z74),"0")+IFERROR(IF(Z75="",0,Z75),"0")</f>
        <v>0.13286000000000001</v>
      </c>
      <c r="AA76" s="64"/>
      <c r="AB76" s="64"/>
      <c r="AC76" s="64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0</v>
      </c>
      <c r="X77" s="41">
        <f>IFERROR(SUM(X70:X75),"0")</f>
        <v>51</v>
      </c>
      <c r="Y77" s="41">
        <f>IFERROR(SUM(Y70:Y75),"0")</f>
        <v>58.800000000000004</v>
      </c>
      <c r="Z77" s="40"/>
      <c r="AA77" s="64"/>
      <c r="AB77" s="64"/>
      <c r="AC77" s="64"/>
    </row>
    <row r="78" spans="1:68" ht="14.25" customHeight="1" x14ac:dyDescent="0.25">
      <c r="A78" s="672" t="s">
        <v>181</v>
      </c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72"/>
      <c r="P78" s="672"/>
      <c r="Q78" s="672"/>
      <c r="R78" s="672"/>
      <c r="S78" s="672"/>
      <c r="T78" s="672"/>
      <c r="U78" s="672"/>
      <c r="V78" s="672"/>
      <c r="W78" s="672"/>
      <c r="X78" s="672"/>
      <c r="Y78" s="672"/>
      <c r="Z78" s="672"/>
      <c r="AA78" s="63"/>
      <c r="AB78" s="63"/>
      <c r="AC78" s="63"/>
    </row>
    <row r="79" spans="1:68" ht="37.5" customHeight="1" x14ac:dyDescent="0.25">
      <c r="A79" s="60" t="s">
        <v>182</v>
      </c>
      <c r="B79" s="60" t="s">
        <v>183</v>
      </c>
      <c r="C79" s="34">
        <v>4301060366</v>
      </c>
      <c r="D79" s="673">
        <v>4680115881532</v>
      </c>
      <c r="E79" s="673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9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5"/>
      <c r="R79" s="675"/>
      <c r="S79" s="675"/>
      <c r="T79" s="676"/>
      <c r="U79" s="37" t="s">
        <v>45</v>
      </c>
      <c r="V79" s="37" t="s">
        <v>45</v>
      </c>
      <c r="W79" s="38" t="s">
        <v>0</v>
      </c>
      <c r="X79" s="56">
        <v>50</v>
      </c>
      <c r="Y79" s="53">
        <f>IFERROR(IF(X79="",0,CEILING((X79/$H79),1)*$H79),"")</f>
        <v>54.6</v>
      </c>
      <c r="Z79" s="39">
        <f>IFERROR(IF(Y79=0,"",ROUNDUP(Y79/H79,0)*0.01898),"")</f>
        <v>0.13286000000000001</v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52.78846153846154</v>
      </c>
      <c r="BN79" s="75">
        <f>IFERROR(Y79*I79/H79,"0")</f>
        <v>57.644999999999996</v>
      </c>
      <c r="BO79" s="75">
        <f>IFERROR(1/J79*(X79/H79),"0")</f>
        <v>0.10016025641025642</v>
      </c>
      <c r="BP79" s="75">
        <f>IFERROR(1/J79*(Y79/H79),"0")</f>
        <v>0.109375</v>
      </c>
    </row>
    <row r="80" spans="1:68" ht="37.5" customHeight="1" x14ac:dyDescent="0.25">
      <c r="A80" s="60" t="s">
        <v>182</v>
      </c>
      <c r="B80" s="60" t="s">
        <v>185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186</v>
      </c>
      <c r="B81" s="60" t="s">
        <v>187</v>
      </c>
      <c r="C81" s="34">
        <v>4301060351</v>
      </c>
      <c r="D81" s="673">
        <v>4680115881464</v>
      </c>
      <c r="E81" s="673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9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80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77" t="s">
        <v>40</v>
      </c>
      <c r="Q82" s="678"/>
      <c r="R82" s="678"/>
      <c r="S82" s="678"/>
      <c r="T82" s="678"/>
      <c r="U82" s="678"/>
      <c r="V82" s="679"/>
      <c r="W82" s="40" t="s">
        <v>39</v>
      </c>
      <c r="X82" s="41">
        <f>IFERROR(X79/H79,"0")+IFERROR(X80/H80,"0")+IFERROR(X81/H81,"0")</f>
        <v>6.4102564102564106</v>
      </c>
      <c r="Y82" s="41">
        <f>IFERROR(Y79/H79,"0")+IFERROR(Y80/H80,"0")+IFERROR(Y81/H81,"0")</f>
        <v>7</v>
      </c>
      <c r="Z82" s="41">
        <f>IFERROR(IF(Z79="",0,Z79),"0")+IFERROR(IF(Z80="",0,Z80),"0")+IFERROR(IF(Z81="",0,Z81),"0")</f>
        <v>0.13286000000000001</v>
      </c>
      <c r="AA82" s="64"/>
      <c r="AB82" s="64"/>
      <c r="AC82" s="64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0</v>
      </c>
      <c r="X83" s="41">
        <f>IFERROR(SUM(X79:X81),"0")</f>
        <v>50</v>
      </c>
      <c r="Y83" s="41">
        <f>IFERROR(SUM(Y79:Y81),"0")</f>
        <v>54.6</v>
      </c>
      <c r="Z83" s="40"/>
      <c r="AA83" s="64"/>
      <c r="AB83" s="64"/>
      <c r="AC83" s="64"/>
    </row>
    <row r="84" spans="1:68" ht="16.5" customHeight="1" x14ac:dyDescent="0.25">
      <c r="A84" s="694" t="s">
        <v>189</v>
      </c>
      <c r="B84" s="694"/>
      <c r="C84" s="694"/>
      <c r="D84" s="694"/>
      <c r="E84" s="694"/>
      <c r="F84" s="694"/>
      <c r="G84" s="694"/>
      <c r="H84" s="694"/>
      <c r="I84" s="694"/>
      <c r="J84" s="694"/>
      <c r="K84" s="694"/>
      <c r="L84" s="694"/>
      <c r="M84" s="694"/>
      <c r="N84" s="694"/>
      <c r="O84" s="694"/>
      <c r="P84" s="694"/>
      <c r="Q84" s="694"/>
      <c r="R84" s="694"/>
      <c r="S84" s="694"/>
      <c r="T84" s="694"/>
      <c r="U84" s="694"/>
      <c r="V84" s="694"/>
      <c r="W84" s="694"/>
      <c r="X84" s="694"/>
      <c r="Y84" s="694"/>
      <c r="Z84" s="694"/>
      <c r="AA84" s="62"/>
      <c r="AB84" s="62"/>
      <c r="AC84" s="62"/>
    </row>
    <row r="85" spans="1:68" ht="14.25" customHeight="1" x14ac:dyDescent="0.25">
      <c r="A85" s="672" t="s">
        <v>101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673">
        <v>4680115881327</v>
      </c>
      <c r="E86" s="673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94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5"/>
      <c r="R86" s="675"/>
      <c r="S86" s="675"/>
      <c r="T86" s="676"/>
      <c r="U86" s="37" t="s">
        <v>45</v>
      </c>
      <c r="V86" s="37" t="s">
        <v>45</v>
      </c>
      <c r="W86" s="38" t="s">
        <v>0</v>
      </c>
      <c r="X86" s="56">
        <v>50</v>
      </c>
      <c r="Y86" s="53">
        <f>IFERROR(IF(X86="",0,CEILING((X86/$H86),1)*$H86),"")</f>
        <v>54</v>
      </c>
      <c r="Z86" s="39">
        <f>IFERROR(IF(Y86=0,"",ROUNDUP(Y86/H86,0)*0.01898),"")</f>
        <v>9.4899999999999998E-2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52.013888888888886</v>
      </c>
      <c r="BN86" s="75">
        <f>IFERROR(Y86*I86/H86,"0")</f>
        <v>56.17499999999999</v>
      </c>
      <c r="BO86" s="75">
        <f>IFERROR(1/J86*(X86/H86),"0")</f>
        <v>7.2337962962962965E-2</v>
      </c>
      <c r="BP86" s="75">
        <f>IFERROR(1/J86*(Y86/H86),"0")</f>
        <v>7.8125E-2</v>
      </c>
    </row>
    <row r="87" spans="1:68" ht="16.5" customHeight="1" x14ac:dyDescent="0.25">
      <c r="A87" s="60" t="s">
        <v>193</v>
      </c>
      <c r="B87" s="60" t="s">
        <v>194</v>
      </c>
      <c r="C87" s="34">
        <v>4301011476</v>
      </c>
      <c r="D87" s="673">
        <v>4680115881518</v>
      </c>
      <c r="E87" s="673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9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195</v>
      </c>
      <c r="B88" s="60" t="s">
        <v>196</v>
      </c>
      <c r="C88" s="34">
        <v>4301011443</v>
      </c>
      <c r="D88" s="673">
        <v>4680115881303</v>
      </c>
      <c r="E88" s="673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9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80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77" t="s">
        <v>40</v>
      </c>
      <c r="Q89" s="678"/>
      <c r="R89" s="678"/>
      <c r="S89" s="678"/>
      <c r="T89" s="678"/>
      <c r="U89" s="678"/>
      <c r="V89" s="679"/>
      <c r="W89" s="40" t="s">
        <v>39</v>
      </c>
      <c r="X89" s="41">
        <f>IFERROR(X86/H86,"0")+IFERROR(X87/H87,"0")+IFERROR(X88/H88,"0")</f>
        <v>4.6296296296296298</v>
      </c>
      <c r="Y89" s="41">
        <f>IFERROR(Y86/H86,"0")+IFERROR(Y87/H87,"0")+IFERROR(Y88/H88,"0")</f>
        <v>5</v>
      </c>
      <c r="Z89" s="41">
        <f>IFERROR(IF(Z86="",0,Z86),"0")+IFERROR(IF(Z87="",0,Z87),"0")+IFERROR(IF(Z88="",0,Z88),"0")</f>
        <v>9.4899999999999998E-2</v>
      </c>
      <c r="AA89" s="64"/>
      <c r="AB89" s="64"/>
      <c r="AC89" s="64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0</v>
      </c>
      <c r="X90" s="41">
        <f>IFERROR(SUM(X86:X88),"0")</f>
        <v>50</v>
      </c>
      <c r="Y90" s="41">
        <f>IFERROR(SUM(Y86:Y88),"0")</f>
        <v>54</v>
      </c>
      <c r="Z90" s="40"/>
      <c r="AA90" s="64"/>
      <c r="AB90" s="64"/>
      <c r="AC90" s="64"/>
    </row>
    <row r="91" spans="1:68" ht="14.25" customHeight="1" x14ac:dyDescent="0.25">
      <c r="A91" s="672" t="s">
        <v>78</v>
      </c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72"/>
      <c r="P91" s="672"/>
      <c r="Q91" s="672"/>
      <c r="R91" s="672"/>
      <c r="S91" s="672"/>
      <c r="T91" s="672"/>
      <c r="U91" s="672"/>
      <c r="V91" s="672"/>
      <c r="W91" s="672"/>
      <c r="X91" s="672"/>
      <c r="Y91" s="672"/>
      <c r="Z91" s="672"/>
      <c r="AA91" s="63"/>
      <c r="AB91" s="63"/>
      <c r="AC91" s="63"/>
    </row>
    <row r="92" spans="1:68" ht="27" customHeight="1" x14ac:dyDescent="0.25">
      <c r="A92" s="60" t="s">
        <v>198</v>
      </c>
      <c r="B92" s="60" t="s">
        <v>199</v>
      </c>
      <c r="C92" s="34">
        <v>4301051437</v>
      </c>
      <c r="D92" s="673">
        <v>4607091386967</v>
      </c>
      <c r="E92" s="673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93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5"/>
      <c r="R92" s="675"/>
      <c r="S92" s="675"/>
      <c r="T92" s="676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customHeight="1" x14ac:dyDescent="0.25">
      <c r="A93" s="60" t="s">
        <v>198</v>
      </c>
      <c r="B93" s="60" t="s">
        <v>201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94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customHeight="1" x14ac:dyDescent="0.25">
      <c r="A94" s="60" t="s">
        <v>198</v>
      </c>
      <c r="B94" s="60" t="s">
        <v>202</v>
      </c>
      <c r="C94" s="34">
        <v>4301051712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941" t="s">
        <v>203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customHeight="1" x14ac:dyDescent="0.25">
      <c r="A95" s="60" t="s">
        <v>205</v>
      </c>
      <c r="B95" s="60" t="s">
        <v>206</v>
      </c>
      <c r="C95" s="34">
        <v>4301051788</v>
      </c>
      <c r="D95" s="673">
        <v>4680115884953</v>
      </c>
      <c r="E95" s="673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942" t="s">
        <v>207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customHeight="1" x14ac:dyDescent="0.25">
      <c r="A96" s="60" t="s">
        <v>209</v>
      </c>
      <c r="B96" s="60" t="s">
        <v>210</v>
      </c>
      <c r="C96" s="34">
        <v>4301051718</v>
      </c>
      <c r="D96" s="673">
        <v>4607091385731</v>
      </c>
      <c r="E96" s="673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943" t="s">
        <v>211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customHeight="1" x14ac:dyDescent="0.25">
      <c r="A97" s="60" t="s">
        <v>209</v>
      </c>
      <c r="B97" s="60" t="s">
        <v>212</v>
      </c>
      <c r="C97" s="34">
        <v>4301052039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944" t="s">
        <v>213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customHeight="1" x14ac:dyDescent="0.25">
      <c r="A98" s="60" t="s">
        <v>214</v>
      </c>
      <c r="B98" s="60" t="s">
        <v>215</v>
      </c>
      <c r="C98" s="34">
        <v>4301051438</v>
      </c>
      <c r="D98" s="673">
        <v>4680115880894</v>
      </c>
      <c r="E98" s="673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94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customHeight="1" x14ac:dyDescent="0.25">
      <c r="A99" s="60" t="s">
        <v>217</v>
      </c>
      <c r="B99" s="60" t="s">
        <v>218</v>
      </c>
      <c r="C99" s="34">
        <v>4301051439</v>
      </c>
      <c r="D99" s="673">
        <v>4680115880214</v>
      </c>
      <c r="E99" s="673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27</v>
      </c>
      <c r="Y99" s="53">
        <f t="shared" si="10"/>
        <v>27</v>
      </c>
      <c r="Z99" s="39">
        <f>IFERROR(IF(Y99=0,"",ROUNDUP(Y99/H99,0)*0.00902),"")</f>
        <v>9.0200000000000002E-2</v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29.88</v>
      </c>
      <c r="BN99" s="75">
        <f t="shared" si="12"/>
        <v>29.88</v>
      </c>
      <c r="BO99" s="75">
        <f t="shared" si="13"/>
        <v>7.575757575757576E-2</v>
      </c>
      <c r="BP99" s="75">
        <f t="shared" si="14"/>
        <v>7.575757575757576E-2</v>
      </c>
    </row>
    <row r="100" spans="1:68" ht="27" customHeight="1" x14ac:dyDescent="0.25">
      <c r="A100" s="60" t="s">
        <v>217</v>
      </c>
      <c r="B100" s="60" t="s">
        <v>219</v>
      </c>
      <c r="C100" s="34">
        <v>4301051687</v>
      </c>
      <c r="D100" s="673">
        <v>4680115880214</v>
      </c>
      <c r="E100" s="673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x14ac:dyDescent="0.2">
      <c r="A101" s="680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77" t="s">
        <v>40</v>
      </c>
      <c r="Q101" s="678"/>
      <c r="R101" s="678"/>
      <c r="S101" s="678"/>
      <c r="T101" s="678"/>
      <c r="U101" s="678"/>
      <c r="V101" s="67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10</v>
      </c>
      <c r="Y101" s="41">
        <f>IFERROR(Y92/H92,"0")+IFERROR(Y93/H93,"0")+IFERROR(Y94/H94,"0")+IFERROR(Y95/H95,"0")+IFERROR(Y96/H96,"0")+IFERROR(Y97/H97,"0")+IFERROR(Y98/H98,"0")+IFERROR(Y99/H99,"0")+IFERROR(Y100/H100,"0")</f>
        <v>10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9.0200000000000002E-2</v>
      </c>
      <c r="AA101" s="64"/>
      <c r="AB101" s="64"/>
      <c r="AC101" s="64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0</v>
      </c>
      <c r="X102" s="41">
        <f>IFERROR(SUM(X92:X100),"0")</f>
        <v>27</v>
      </c>
      <c r="Y102" s="41">
        <f>IFERROR(SUM(Y92:Y100),"0")</f>
        <v>27</v>
      </c>
      <c r="Z102" s="40"/>
      <c r="AA102" s="64"/>
      <c r="AB102" s="64"/>
      <c r="AC102" s="64"/>
    </row>
    <row r="103" spans="1:68" ht="16.5" customHeight="1" x14ac:dyDescent="0.25">
      <c r="A103" s="694" t="s">
        <v>220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4"/>
      <c r="N103" s="694"/>
      <c r="O103" s="694"/>
      <c r="P103" s="694"/>
      <c r="Q103" s="694"/>
      <c r="R103" s="694"/>
      <c r="S103" s="694"/>
      <c r="T103" s="694"/>
      <c r="U103" s="694"/>
      <c r="V103" s="694"/>
      <c r="W103" s="694"/>
      <c r="X103" s="694"/>
      <c r="Y103" s="694"/>
      <c r="Z103" s="694"/>
      <c r="AA103" s="62"/>
      <c r="AB103" s="62"/>
      <c r="AC103" s="62"/>
    </row>
    <row r="104" spans="1:68" ht="14.25" customHeight="1" x14ac:dyDescent="0.25">
      <c r="A104" s="672" t="s">
        <v>101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3"/>
      <c r="AB104" s="63"/>
      <c r="AC104" s="63"/>
    </row>
    <row r="105" spans="1:68" ht="16.5" customHeight="1" x14ac:dyDescent="0.25">
      <c r="A105" s="60" t="s">
        <v>221</v>
      </c>
      <c r="B105" s="60" t="s">
        <v>222</v>
      </c>
      <c r="C105" s="34">
        <v>4301011514</v>
      </c>
      <c r="D105" s="673">
        <v>4680115882133</v>
      </c>
      <c r="E105" s="673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5"/>
      <c r="R105" s="675"/>
      <c r="S105" s="675"/>
      <c r="T105" s="676"/>
      <c r="U105" s="37" t="s">
        <v>45</v>
      </c>
      <c r="V105" s="37" t="s">
        <v>45</v>
      </c>
      <c r="W105" s="38" t="s">
        <v>0</v>
      </c>
      <c r="X105" s="56">
        <v>20</v>
      </c>
      <c r="Y105" s="53">
        <f>IFERROR(IF(X105="",0,CEILING((X105/$H105),1)*$H105),"")</f>
        <v>21.6</v>
      </c>
      <c r="Z105" s="39">
        <f>IFERROR(IF(Y105=0,"",ROUNDUP(Y105/H105,0)*0.01898),"")</f>
        <v>3.7960000000000001E-2</v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20.805555555555554</v>
      </c>
      <c r="BN105" s="75">
        <f>IFERROR(Y105*I105/H105,"0")</f>
        <v>22.47</v>
      </c>
      <c r="BO105" s="75">
        <f>IFERROR(1/J105*(X105/H105),"0")</f>
        <v>2.8935185185185182E-2</v>
      </c>
      <c r="BP105" s="75">
        <f>IFERROR(1/J105*(Y105/H105),"0")</f>
        <v>3.125E-2</v>
      </c>
    </row>
    <row r="106" spans="1:68" ht="16.5" customHeight="1" x14ac:dyDescent="0.25">
      <c r="A106" s="60" t="s">
        <v>224</v>
      </c>
      <c r="B106" s="60" t="s">
        <v>225</v>
      </c>
      <c r="C106" s="34">
        <v>4301011417</v>
      </c>
      <c r="D106" s="673">
        <v>4680115880269</v>
      </c>
      <c r="E106" s="673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226</v>
      </c>
      <c r="B107" s="60" t="s">
        <v>227</v>
      </c>
      <c r="C107" s="34">
        <v>4301011415</v>
      </c>
      <c r="D107" s="673">
        <v>4680115880429</v>
      </c>
      <c r="E107" s="673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9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228</v>
      </c>
      <c r="B108" s="60" t="s">
        <v>229</v>
      </c>
      <c r="C108" s="34">
        <v>4301011462</v>
      </c>
      <c r="D108" s="673">
        <v>4680115881457</v>
      </c>
      <c r="E108" s="673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9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x14ac:dyDescent="0.2">
      <c r="A109" s="680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77" t="s">
        <v>40</v>
      </c>
      <c r="Q109" s="678"/>
      <c r="R109" s="678"/>
      <c r="S109" s="678"/>
      <c r="T109" s="678"/>
      <c r="U109" s="678"/>
      <c r="V109" s="679"/>
      <c r="W109" s="40" t="s">
        <v>39</v>
      </c>
      <c r="X109" s="41">
        <f>IFERROR(X105/H105,"0")+IFERROR(X106/H106,"0")+IFERROR(X107/H107,"0")+IFERROR(X108/H108,"0")</f>
        <v>1.8518518518518516</v>
      </c>
      <c r="Y109" s="41">
        <f>IFERROR(Y105/H105,"0")+IFERROR(Y106/H106,"0")+IFERROR(Y107/H107,"0")+IFERROR(Y108/H108,"0")</f>
        <v>2</v>
      </c>
      <c r="Z109" s="41">
        <f>IFERROR(IF(Z105="",0,Z105),"0")+IFERROR(IF(Z106="",0,Z106),"0")+IFERROR(IF(Z107="",0,Z107),"0")+IFERROR(IF(Z108="",0,Z108),"0")</f>
        <v>3.7960000000000001E-2</v>
      </c>
      <c r="AA109" s="64"/>
      <c r="AB109" s="64"/>
      <c r="AC109" s="64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0</v>
      </c>
      <c r="X110" s="41">
        <f>IFERROR(SUM(X105:X108),"0")</f>
        <v>20</v>
      </c>
      <c r="Y110" s="41">
        <f>IFERROR(SUM(Y105:Y108),"0")</f>
        <v>21.6</v>
      </c>
      <c r="Z110" s="40"/>
      <c r="AA110" s="64"/>
      <c r="AB110" s="64"/>
      <c r="AC110" s="64"/>
    </row>
    <row r="111" spans="1:68" ht="14.25" customHeight="1" x14ac:dyDescent="0.25">
      <c r="A111" s="672" t="s">
        <v>144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3"/>
      <c r="AB111" s="63"/>
      <c r="AC111" s="63"/>
    </row>
    <row r="112" spans="1:68" ht="16.5" customHeight="1" x14ac:dyDescent="0.25">
      <c r="A112" s="60" t="s">
        <v>230</v>
      </c>
      <c r="B112" s="60" t="s">
        <v>231</v>
      </c>
      <c r="C112" s="34">
        <v>4301020345</v>
      </c>
      <c r="D112" s="673">
        <v>4680115881488</v>
      </c>
      <c r="E112" s="673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customHeight="1" x14ac:dyDescent="0.25">
      <c r="A113" s="60" t="s">
        <v>233</v>
      </c>
      <c r="B113" s="60" t="s">
        <v>234</v>
      </c>
      <c r="C113" s="34">
        <v>4301020346</v>
      </c>
      <c r="D113" s="673">
        <v>4680115882775</v>
      </c>
      <c r="E113" s="673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235</v>
      </c>
      <c r="B114" s="60" t="s">
        <v>236</v>
      </c>
      <c r="C114" s="34">
        <v>4301020344</v>
      </c>
      <c r="D114" s="673">
        <v>4680115880658</v>
      </c>
      <c r="E114" s="673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x14ac:dyDescent="0.2">
      <c r="A115" s="680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77" t="s">
        <v>40</v>
      </c>
      <c r="Q115" s="678"/>
      <c r="R115" s="678"/>
      <c r="S115" s="678"/>
      <c r="T115" s="678"/>
      <c r="U115" s="678"/>
      <c r="V115" s="67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customHeight="1" x14ac:dyDescent="0.25">
      <c r="A117" s="672" t="s">
        <v>78</v>
      </c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72"/>
      <c r="P117" s="672"/>
      <c r="Q117" s="672"/>
      <c r="R117" s="672"/>
      <c r="S117" s="672"/>
      <c r="T117" s="672"/>
      <c r="U117" s="672"/>
      <c r="V117" s="672"/>
      <c r="W117" s="672"/>
      <c r="X117" s="672"/>
      <c r="Y117" s="672"/>
      <c r="Z117" s="672"/>
      <c r="AA117" s="63"/>
      <c r="AB117" s="63"/>
      <c r="AC117" s="63"/>
    </row>
    <row r="118" spans="1:68" ht="37.5" customHeight="1" x14ac:dyDescent="0.25">
      <c r="A118" s="60" t="s">
        <v>237</v>
      </c>
      <c r="B118" s="60" t="s">
        <v>238</v>
      </c>
      <c r="C118" s="34">
        <v>4301051360</v>
      </c>
      <c r="D118" s="673">
        <v>4607091385168</v>
      </c>
      <c r="E118" s="673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93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5"/>
      <c r="R118" s="675"/>
      <c r="S118" s="675"/>
      <c r="T118" s="676"/>
      <c r="U118" s="37" t="s">
        <v>45</v>
      </c>
      <c r="V118" s="37" t="s">
        <v>45</v>
      </c>
      <c r="W118" s="38" t="s">
        <v>0</v>
      </c>
      <c r="X118" s="56">
        <v>80</v>
      </c>
      <c r="Y118" s="53">
        <f t="shared" ref="Y118:Y126" si="15">IFERROR(IF(X118="",0,CEILING((X118/$H118),1)*$H118),"")</f>
        <v>81</v>
      </c>
      <c r="Z118" s="39">
        <f>IFERROR(IF(Y118=0,"",ROUNDUP(Y118/H118,0)*0.01898),"")</f>
        <v>0.1898</v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85.066666666666663</v>
      </c>
      <c r="BN118" s="75">
        <f t="shared" ref="BN118:BN126" si="17">IFERROR(Y118*I118/H118,"0")</f>
        <v>86.13000000000001</v>
      </c>
      <c r="BO118" s="75">
        <f t="shared" ref="BO118:BO126" si="18">IFERROR(1/J118*(X118/H118),"0")</f>
        <v>0.15432098765432101</v>
      </c>
      <c r="BP118" s="75">
        <f t="shared" ref="BP118:BP126" si="19">IFERROR(1/J118*(Y118/H118),"0")</f>
        <v>0.15625</v>
      </c>
    </row>
    <row r="119" spans="1:68" ht="16.5" customHeight="1" x14ac:dyDescent="0.25">
      <c r="A119" s="60" t="s">
        <v>237</v>
      </c>
      <c r="B119" s="60" t="s">
        <v>240</v>
      </c>
      <c r="C119" s="34">
        <v>4301051724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932" t="s">
        <v>241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customHeight="1" x14ac:dyDescent="0.25">
      <c r="A120" s="60" t="s">
        <v>237</v>
      </c>
      <c r="B120" s="60" t="s">
        <v>243</v>
      </c>
      <c r="C120" s="34">
        <v>4301051625</v>
      </c>
      <c r="D120" s="673">
        <v>4607091385168</v>
      </c>
      <c r="E120" s="673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92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customHeight="1" x14ac:dyDescent="0.25">
      <c r="A121" s="60" t="s">
        <v>245</v>
      </c>
      <c r="B121" s="60" t="s">
        <v>246</v>
      </c>
      <c r="C121" s="34">
        <v>4301051362</v>
      </c>
      <c r="D121" s="673">
        <v>4607091383256</v>
      </c>
      <c r="E121" s="673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92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customHeight="1" x14ac:dyDescent="0.25">
      <c r="A122" s="60" t="s">
        <v>245</v>
      </c>
      <c r="B122" s="60" t="s">
        <v>247</v>
      </c>
      <c r="C122" s="34">
        <v>4301051730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923" t="s">
        <v>248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customHeight="1" x14ac:dyDescent="0.25">
      <c r="A123" s="60" t="s">
        <v>249</v>
      </c>
      <c r="B123" s="60" t="s">
        <v>250</v>
      </c>
      <c r="C123" s="34">
        <v>4301051358</v>
      </c>
      <c r="D123" s="673">
        <v>4607091385748</v>
      </c>
      <c r="E123" s="673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92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customHeight="1" x14ac:dyDescent="0.25">
      <c r="A124" s="60" t="s">
        <v>249</v>
      </c>
      <c r="B124" s="60" t="s">
        <v>251</v>
      </c>
      <c r="C124" s="34">
        <v>4301051721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925" t="s">
        <v>252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253</v>
      </c>
      <c r="B125" s="60" t="s">
        <v>254</v>
      </c>
      <c r="C125" s="34">
        <v>4301051740</v>
      </c>
      <c r="D125" s="673">
        <v>4680115884533</v>
      </c>
      <c r="E125" s="673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9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10</v>
      </c>
      <c r="Y125" s="53">
        <f t="shared" si="15"/>
        <v>10.8</v>
      </c>
      <c r="Z125" s="39">
        <f t="shared" si="20"/>
        <v>3.9059999999999997E-2</v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11</v>
      </c>
      <c r="BN125" s="75">
        <f t="shared" si="17"/>
        <v>11.88</v>
      </c>
      <c r="BO125" s="75">
        <f t="shared" si="18"/>
        <v>3.0525030525030528E-2</v>
      </c>
      <c r="BP125" s="75">
        <f t="shared" si="19"/>
        <v>3.2967032967032968E-2</v>
      </c>
    </row>
    <row r="126" spans="1:68" ht="37.5" customHeight="1" x14ac:dyDescent="0.25">
      <c r="A126" s="60" t="s">
        <v>256</v>
      </c>
      <c r="B126" s="60" t="s">
        <v>257</v>
      </c>
      <c r="C126" s="34">
        <v>4301051480</v>
      </c>
      <c r="D126" s="673">
        <v>4680115882645</v>
      </c>
      <c r="E126" s="673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92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10</v>
      </c>
      <c r="Y126" s="53">
        <f t="shared" si="15"/>
        <v>10.8</v>
      </c>
      <c r="Z126" s="39">
        <f t="shared" si="20"/>
        <v>3.9059999999999997E-2</v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14.666666666666668</v>
      </c>
      <c r="BN126" s="75">
        <f t="shared" si="17"/>
        <v>15.840000000000002</v>
      </c>
      <c r="BO126" s="75">
        <f t="shared" si="18"/>
        <v>3.0525030525030528E-2</v>
      </c>
      <c r="BP126" s="75">
        <f t="shared" si="19"/>
        <v>3.2967032967032968E-2</v>
      </c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77" t="s">
        <v>40</v>
      </c>
      <c r="Q127" s="678"/>
      <c r="R127" s="678"/>
      <c r="S127" s="678"/>
      <c r="T127" s="678"/>
      <c r="U127" s="678"/>
      <c r="V127" s="67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20.987654320987655</v>
      </c>
      <c r="Y127" s="41">
        <f>IFERROR(Y118/H118,"0")+IFERROR(Y119/H119,"0")+IFERROR(Y120/H120,"0")+IFERROR(Y121/H121,"0")+IFERROR(Y122/H122,"0")+IFERROR(Y123/H123,"0")+IFERROR(Y124/H124,"0")+IFERROR(Y125/H125,"0")+IFERROR(Y126/H126,"0")</f>
        <v>22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0.26791999999999999</v>
      </c>
      <c r="AA127" s="64"/>
      <c r="AB127" s="64"/>
      <c r="AC127" s="64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0</v>
      </c>
      <c r="X128" s="41">
        <f>IFERROR(SUM(X118:X126),"0")</f>
        <v>100</v>
      </c>
      <c r="Y128" s="41">
        <f>IFERROR(SUM(Y118:Y126),"0")</f>
        <v>102.6</v>
      </c>
      <c r="Z128" s="40"/>
      <c r="AA128" s="64"/>
      <c r="AB128" s="64"/>
      <c r="AC128" s="64"/>
    </row>
    <row r="129" spans="1:68" ht="14.25" customHeight="1" x14ac:dyDescent="0.25">
      <c r="A129" s="672" t="s">
        <v>181</v>
      </c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72"/>
      <c r="P129" s="672"/>
      <c r="Q129" s="672"/>
      <c r="R129" s="672"/>
      <c r="S129" s="672"/>
      <c r="T129" s="672"/>
      <c r="U129" s="672"/>
      <c r="V129" s="672"/>
      <c r="W129" s="672"/>
      <c r="X129" s="672"/>
      <c r="Y129" s="672"/>
      <c r="Z129" s="672"/>
      <c r="AA129" s="63"/>
      <c r="AB129" s="63"/>
      <c r="AC129" s="63"/>
    </row>
    <row r="130" spans="1:68" ht="37.5" customHeight="1" x14ac:dyDescent="0.25">
      <c r="A130" s="60" t="s">
        <v>259</v>
      </c>
      <c r="B130" s="60" t="s">
        <v>260</v>
      </c>
      <c r="C130" s="34">
        <v>4301060356</v>
      </c>
      <c r="D130" s="673">
        <v>4680115882652</v>
      </c>
      <c r="E130" s="673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91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5"/>
      <c r="R130" s="675"/>
      <c r="S130" s="675"/>
      <c r="T130" s="676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262</v>
      </c>
      <c r="B131" s="60" t="s">
        <v>263</v>
      </c>
      <c r="C131" s="34">
        <v>4301060317</v>
      </c>
      <c r="D131" s="673">
        <v>4680115880238</v>
      </c>
      <c r="E131" s="673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77" t="s">
        <v>40</v>
      </c>
      <c r="Q132" s="678"/>
      <c r="R132" s="678"/>
      <c r="S132" s="678"/>
      <c r="T132" s="678"/>
      <c r="U132" s="678"/>
      <c r="V132" s="67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customHeight="1" x14ac:dyDescent="0.25">
      <c r="A134" s="694" t="s">
        <v>265</v>
      </c>
      <c r="B134" s="694"/>
      <c r="C134" s="694"/>
      <c r="D134" s="694"/>
      <c r="E134" s="694"/>
      <c r="F134" s="694"/>
      <c r="G134" s="694"/>
      <c r="H134" s="694"/>
      <c r="I134" s="694"/>
      <c r="J134" s="694"/>
      <c r="K134" s="694"/>
      <c r="L134" s="694"/>
      <c r="M134" s="694"/>
      <c r="N134" s="694"/>
      <c r="O134" s="694"/>
      <c r="P134" s="694"/>
      <c r="Q134" s="694"/>
      <c r="R134" s="694"/>
      <c r="S134" s="694"/>
      <c r="T134" s="694"/>
      <c r="U134" s="694"/>
      <c r="V134" s="694"/>
      <c r="W134" s="694"/>
      <c r="X134" s="694"/>
      <c r="Y134" s="694"/>
      <c r="Z134" s="694"/>
      <c r="AA134" s="62"/>
      <c r="AB134" s="62"/>
      <c r="AC134" s="62"/>
    </row>
    <row r="135" spans="1:68" ht="14.25" customHeight="1" x14ac:dyDescent="0.25">
      <c r="A135" s="672" t="s">
        <v>101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3"/>
      <c r="AB135" s="63"/>
      <c r="AC135" s="63"/>
    </row>
    <row r="136" spans="1:68" ht="27" customHeight="1" x14ac:dyDescent="0.25">
      <c r="A136" s="60" t="s">
        <v>266</v>
      </c>
      <c r="B136" s="60" t="s">
        <v>267</v>
      </c>
      <c r="C136" s="34">
        <v>4301011564</v>
      </c>
      <c r="D136" s="673">
        <v>4680115882577</v>
      </c>
      <c r="E136" s="673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91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5"/>
      <c r="R136" s="675"/>
      <c r="S136" s="675"/>
      <c r="T136" s="676"/>
      <c r="U136" s="37" t="s">
        <v>45</v>
      </c>
      <c r="V136" s="37" t="s">
        <v>45</v>
      </c>
      <c r="W136" s="38" t="s">
        <v>0</v>
      </c>
      <c r="X136" s="56">
        <v>32</v>
      </c>
      <c r="Y136" s="53">
        <f>IFERROR(IF(X136="",0,CEILING((X136/$H136),1)*$H136),"")</f>
        <v>32</v>
      </c>
      <c r="Z136" s="39">
        <f>IFERROR(IF(Y136=0,"",ROUNDUP(Y136/H136,0)*0.00651),"")</f>
        <v>6.5100000000000005E-2</v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33.799999999999997</v>
      </c>
      <c r="BN136" s="75">
        <f>IFERROR(Y136*I136/H136,"0")</f>
        <v>33.799999999999997</v>
      </c>
      <c r="BO136" s="75">
        <f>IFERROR(1/J136*(X136/H136),"0")</f>
        <v>5.4945054945054951E-2</v>
      </c>
      <c r="BP136" s="75">
        <f>IFERROR(1/J136*(Y136/H136),"0")</f>
        <v>5.4945054945054951E-2</v>
      </c>
    </row>
    <row r="137" spans="1:68" ht="27" customHeight="1" x14ac:dyDescent="0.25">
      <c r="A137" s="60" t="s">
        <v>266</v>
      </c>
      <c r="B137" s="60" t="s">
        <v>269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77" t="s">
        <v>40</v>
      </c>
      <c r="Q138" s="678"/>
      <c r="R138" s="678"/>
      <c r="S138" s="678"/>
      <c r="T138" s="678"/>
      <c r="U138" s="678"/>
      <c r="V138" s="679"/>
      <c r="W138" s="40" t="s">
        <v>39</v>
      </c>
      <c r="X138" s="41">
        <f>IFERROR(X136/H136,"0")+IFERROR(X137/H137,"0")</f>
        <v>10</v>
      </c>
      <c r="Y138" s="41">
        <f>IFERROR(Y136/H136,"0")+IFERROR(Y137/H137,"0")</f>
        <v>10</v>
      </c>
      <c r="Z138" s="41">
        <f>IFERROR(IF(Z136="",0,Z136),"0")+IFERROR(IF(Z137="",0,Z137),"0")</f>
        <v>6.5100000000000005E-2</v>
      </c>
      <c r="AA138" s="64"/>
      <c r="AB138" s="64"/>
      <c r="AC138" s="64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0</v>
      </c>
      <c r="X139" s="41">
        <f>IFERROR(SUM(X136:X137),"0")</f>
        <v>32</v>
      </c>
      <c r="Y139" s="41">
        <f>IFERROR(SUM(Y136:Y137),"0")</f>
        <v>32</v>
      </c>
      <c r="Z139" s="40"/>
      <c r="AA139" s="64"/>
      <c r="AB139" s="64"/>
      <c r="AC139" s="64"/>
    </row>
    <row r="140" spans="1:68" ht="14.25" customHeight="1" x14ac:dyDescent="0.25">
      <c r="A140" s="672" t="s">
        <v>155</v>
      </c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72"/>
      <c r="P140" s="672"/>
      <c r="Q140" s="672"/>
      <c r="R140" s="672"/>
      <c r="S140" s="672"/>
      <c r="T140" s="672"/>
      <c r="U140" s="672"/>
      <c r="V140" s="672"/>
      <c r="W140" s="672"/>
      <c r="X140" s="672"/>
      <c r="Y140" s="672"/>
      <c r="Z140" s="672"/>
      <c r="AA140" s="63"/>
      <c r="AB140" s="63"/>
      <c r="AC140" s="63"/>
    </row>
    <row r="141" spans="1:68" ht="27" customHeight="1" x14ac:dyDescent="0.25">
      <c r="A141" s="60" t="s">
        <v>270</v>
      </c>
      <c r="B141" s="60" t="s">
        <v>271</v>
      </c>
      <c r="C141" s="34">
        <v>4301031234</v>
      </c>
      <c r="D141" s="673">
        <v>4680115883444</v>
      </c>
      <c r="E141" s="673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9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270</v>
      </c>
      <c r="B142" s="60" t="s">
        <v>273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9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77" t="s">
        <v>40</v>
      </c>
      <c r="Q143" s="678"/>
      <c r="R143" s="678"/>
      <c r="S143" s="678"/>
      <c r="T143" s="678"/>
      <c r="U143" s="678"/>
      <c r="V143" s="67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72" t="s">
        <v>78</v>
      </c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72"/>
      <c r="P145" s="672"/>
      <c r="Q145" s="672"/>
      <c r="R145" s="672"/>
      <c r="S145" s="672"/>
      <c r="T145" s="672"/>
      <c r="U145" s="672"/>
      <c r="V145" s="672"/>
      <c r="W145" s="672"/>
      <c r="X145" s="672"/>
      <c r="Y145" s="672"/>
      <c r="Z145" s="672"/>
      <c r="AA145" s="63"/>
      <c r="AB145" s="63"/>
      <c r="AC145" s="63"/>
    </row>
    <row r="146" spans="1:68" ht="16.5" customHeight="1" x14ac:dyDescent="0.25">
      <c r="A146" s="60" t="s">
        <v>274</v>
      </c>
      <c r="B146" s="60" t="s">
        <v>275</v>
      </c>
      <c r="C146" s="34">
        <v>4301051477</v>
      </c>
      <c r="D146" s="673">
        <v>4680115882584</v>
      </c>
      <c r="E146" s="673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5"/>
      <c r="R146" s="675"/>
      <c r="S146" s="675"/>
      <c r="T146" s="676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274</v>
      </c>
      <c r="B147" s="60" t="s">
        <v>276</v>
      </c>
      <c r="C147" s="34">
        <v>4301051476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77" t="s">
        <v>40</v>
      </c>
      <c r="Q148" s="678"/>
      <c r="R148" s="678"/>
      <c r="S148" s="678"/>
      <c r="T148" s="678"/>
      <c r="U148" s="678"/>
      <c r="V148" s="67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94" t="s">
        <v>99</v>
      </c>
      <c r="B150" s="694"/>
      <c r="C150" s="694"/>
      <c r="D150" s="694"/>
      <c r="E150" s="694"/>
      <c r="F150" s="694"/>
      <c r="G150" s="694"/>
      <c r="H150" s="694"/>
      <c r="I150" s="694"/>
      <c r="J150" s="694"/>
      <c r="K150" s="694"/>
      <c r="L150" s="694"/>
      <c r="M150" s="694"/>
      <c r="N150" s="694"/>
      <c r="O150" s="694"/>
      <c r="P150" s="694"/>
      <c r="Q150" s="694"/>
      <c r="R150" s="694"/>
      <c r="S150" s="694"/>
      <c r="T150" s="694"/>
      <c r="U150" s="694"/>
      <c r="V150" s="694"/>
      <c r="W150" s="694"/>
      <c r="X150" s="694"/>
      <c r="Y150" s="694"/>
      <c r="Z150" s="694"/>
      <c r="AA150" s="62"/>
      <c r="AB150" s="62"/>
      <c r="AC150" s="62"/>
    </row>
    <row r="151" spans="1:68" ht="14.25" customHeight="1" x14ac:dyDescent="0.25">
      <c r="A151" s="672" t="s">
        <v>101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3"/>
      <c r="AB151" s="63"/>
      <c r="AC151" s="63"/>
    </row>
    <row r="152" spans="1:68" ht="27" customHeight="1" x14ac:dyDescent="0.25">
      <c r="A152" s="60" t="s">
        <v>277</v>
      </c>
      <c r="B152" s="60" t="s">
        <v>278</v>
      </c>
      <c r="C152" s="34">
        <v>4301011705</v>
      </c>
      <c r="D152" s="673">
        <v>4607091384604</v>
      </c>
      <c r="E152" s="673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5"/>
      <c r="R152" s="675"/>
      <c r="S152" s="675"/>
      <c r="T152" s="676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77" t="s">
        <v>40</v>
      </c>
      <c r="Q153" s="678"/>
      <c r="R153" s="678"/>
      <c r="S153" s="678"/>
      <c r="T153" s="678"/>
      <c r="U153" s="678"/>
      <c r="V153" s="67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customHeight="1" x14ac:dyDescent="0.25">
      <c r="A155" s="672" t="s">
        <v>155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3"/>
      <c r="AB155" s="63"/>
      <c r="AC155" s="63"/>
    </row>
    <row r="156" spans="1:68" ht="16.5" customHeight="1" x14ac:dyDescent="0.25">
      <c r="A156" s="60" t="s">
        <v>280</v>
      </c>
      <c r="B156" s="60" t="s">
        <v>281</v>
      </c>
      <c r="C156" s="34">
        <v>4301030895</v>
      </c>
      <c r="D156" s="673">
        <v>4607091387667</v>
      </c>
      <c r="E156" s="673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5"/>
      <c r="R156" s="675"/>
      <c r="S156" s="675"/>
      <c r="T156" s="676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IFERROR(IF(Y156=0,"",ROUNDUP(Y156/H156,0)*0.01898),"")</f>
        <v/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283</v>
      </c>
      <c r="B157" s="60" t="s">
        <v>284</v>
      </c>
      <c r="C157" s="34">
        <v>4301030961</v>
      </c>
      <c r="D157" s="673">
        <v>4607091387636</v>
      </c>
      <c r="E157" s="673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IFERROR(IF(Y157=0,"",ROUNDUP(Y157/H157,0)*0.00902),"")</f>
        <v/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16.5" customHeight="1" x14ac:dyDescent="0.25">
      <c r="A158" s="60" t="s">
        <v>286</v>
      </c>
      <c r="B158" s="60" t="s">
        <v>287</v>
      </c>
      <c r="C158" s="34">
        <v>4301030963</v>
      </c>
      <c r="D158" s="673">
        <v>4607091382426</v>
      </c>
      <c r="E158" s="673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customHeight="1" x14ac:dyDescent="0.25">
      <c r="A159" s="60" t="s">
        <v>289</v>
      </c>
      <c r="B159" s="60" t="s">
        <v>290</v>
      </c>
      <c r="C159" s="34">
        <v>4301030962</v>
      </c>
      <c r="D159" s="673">
        <v>4607091386547</v>
      </c>
      <c r="E159" s="673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91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80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77" t="s">
        <v>40</v>
      </c>
      <c r="Q160" s="678"/>
      <c r="R160" s="678"/>
      <c r="S160" s="678"/>
      <c r="T160" s="678"/>
      <c r="U160" s="678"/>
      <c r="V160" s="679"/>
      <c r="W160" s="40" t="s">
        <v>39</v>
      </c>
      <c r="X160" s="41">
        <f>IFERROR(X156/H156,"0")+IFERROR(X157/H157,"0")+IFERROR(X158/H158,"0")+IFERROR(X159/H159,"0")</f>
        <v>0</v>
      </c>
      <c r="Y160" s="41">
        <f>IFERROR(Y156/H156,"0")+IFERROR(Y157/H157,"0")+IFERROR(Y158/H158,"0")+IFERROR(Y159/H159,"0")</f>
        <v>0</v>
      </c>
      <c r="Z160" s="41">
        <f>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0</v>
      </c>
      <c r="X161" s="41">
        <f>IFERROR(SUM(X156:X159),"0")</f>
        <v>0</v>
      </c>
      <c r="Y161" s="41">
        <f>IFERROR(SUM(Y156:Y159),"0")</f>
        <v>0</v>
      </c>
      <c r="Z161" s="40"/>
      <c r="AA161" s="64"/>
      <c r="AB161" s="64"/>
      <c r="AC161" s="64"/>
    </row>
    <row r="162" spans="1:68" ht="14.25" customHeight="1" x14ac:dyDescent="0.25">
      <c r="A162" s="672" t="s">
        <v>78</v>
      </c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72"/>
      <c r="P162" s="672"/>
      <c r="Q162" s="672"/>
      <c r="R162" s="672"/>
      <c r="S162" s="672"/>
      <c r="T162" s="672"/>
      <c r="U162" s="672"/>
      <c r="V162" s="672"/>
      <c r="W162" s="672"/>
      <c r="X162" s="672"/>
      <c r="Y162" s="672"/>
      <c r="Z162" s="672"/>
      <c r="AA162" s="63"/>
      <c r="AB162" s="63"/>
      <c r="AC162" s="63"/>
    </row>
    <row r="163" spans="1:68" ht="16.5" customHeight="1" x14ac:dyDescent="0.25">
      <c r="A163" s="60" t="s">
        <v>291</v>
      </c>
      <c r="B163" s="60" t="s">
        <v>292</v>
      </c>
      <c r="C163" s="34">
        <v>4301051653</v>
      </c>
      <c r="D163" s="673">
        <v>4607091386264</v>
      </c>
      <c r="E163" s="673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90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5"/>
      <c r="R163" s="675"/>
      <c r="S163" s="675"/>
      <c r="T163" s="676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294</v>
      </c>
      <c r="B164" s="60" t="s">
        <v>295</v>
      </c>
      <c r="C164" s="34">
        <v>4301051313</v>
      </c>
      <c r="D164" s="673">
        <v>4607091385427</v>
      </c>
      <c r="E164" s="673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906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customHeight="1" x14ac:dyDescent="0.2">
      <c r="A167" s="718" t="s">
        <v>297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customHeight="1" x14ac:dyDescent="0.25">
      <c r="A168" s="694" t="s">
        <v>298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customHeight="1" x14ac:dyDescent="0.25">
      <c r="A169" s="672" t="s">
        <v>144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customHeight="1" x14ac:dyDescent="0.25">
      <c r="A170" s="60" t="s">
        <v>299</v>
      </c>
      <c r="B170" s="60" t="s">
        <v>300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2" t="s">
        <v>155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60</v>
      </c>
      <c r="Y174" s="53">
        <f t="shared" ref="Y174:Y182" si="21">IFERROR(IF(X174="",0,CEILING((X174/$H174),1)*$H174),"")</f>
        <v>63</v>
      </c>
      <c r="Z174" s="39">
        <f>IFERROR(IF(Y174=0,"",ROUNDUP(Y174/H174,0)*0.00902),"")</f>
        <v>0.1353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63.857142857142854</v>
      </c>
      <c r="BN174" s="75">
        <f t="shared" ref="BN174:BN182" si="23">IFERROR(Y174*I174/H174,"0")</f>
        <v>67.049999999999983</v>
      </c>
      <c r="BO174" s="75">
        <f t="shared" ref="BO174:BO182" si="24">IFERROR(1/J174*(X174/H174),"0")</f>
        <v>0.10822510822510822</v>
      </c>
      <c r="BP174" s="75">
        <f t="shared" ref="BP174:BP182" si="25">IFERROR(1/J174*(Y174/H174),"0")</f>
        <v>0.11363636363636365</v>
      </c>
    </row>
    <row r="175" spans="1:68" ht="27" customHeight="1" x14ac:dyDescent="0.25">
      <c r="A175" s="60" t="s">
        <v>305</v>
      </c>
      <c r="B175" s="60" t="s">
        <v>306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1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210</v>
      </c>
      <c r="BN176" s="75">
        <f t="shared" si="23"/>
        <v>211.68000000000004</v>
      </c>
      <c r="BO176" s="75">
        <f t="shared" si="24"/>
        <v>0.36075036075036077</v>
      </c>
      <c r="BP176" s="75">
        <f t="shared" si="25"/>
        <v>0.36363636363636365</v>
      </c>
    </row>
    <row r="177" spans="1:68" ht="27" customHeight="1" x14ac:dyDescent="0.25">
      <c r="A177" s="60" t="s">
        <v>311</v>
      </c>
      <c r="B177" s="60" t="s">
        <v>312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9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customHeight="1" x14ac:dyDescent="0.25">
      <c r="A179" s="60" t="s">
        <v>315</v>
      </c>
      <c r="B179" s="60" t="s">
        <v>316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901" t="s">
        <v>317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customHeight="1" x14ac:dyDescent="0.25">
      <c r="A180" s="60" t="s">
        <v>319</v>
      </c>
      <c r="B180" s="60" t="s">
        <v>320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9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customHeight="1" x14ac:dyDescent="0.25">
      <c r="A181" s="60" t="s">
        <v>321</v>
      </c>
      <c r="B181" s="60" t="s">
        <v>322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323</v>
      </c>
      <c r="B182" s="60" t="s">
        <v>324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9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61.904761904761905</v>
      </c>
      <c r="Y183" s="41">
        <f>IFERROR(Y174/H174,"0")+IFERROR(Y175/H175,"0")+IFERROR(Y176/H176,"0")+IFERROR(Y177/H177,"0")+IFERROR(Y178/H178,"0")+IFERROR(Y179/H179,"0")+IFERROR(Y180/H180,"0")+IFERROR(Y181/H181,"0")+IFERROR(Y182/H182,"0")</f>
        <v>63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0.56825999999999999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260</v>
      </c>
      <c r="Y184" s="41">
        <f>IFERROR(SUM(Y174:Y182),"0")</f>
        <v>264.60000000000002</v>
      </c>
      <c r="Z184" s="40"/>
      <c r="AA184" s="64"/>
      <c r="AB184" s="64"/>
      <c r="AC184" s="64"/>
    </row>
    <row r="185" spans="1:68" ht="14.25" customHeight="1" x14ac:dyDescent="0.25">
      <c r="A185" s="672" t="s">
        <v>93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customHeight="1" x14ac:dyDescent="0.25">
      <c r="A186" s="60" t="s">
        <v>326</v>
      </c>
      <c r="B186" s="60" t="s">
        <v>327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93" t="s">
        <v>328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4" t="s">
        <v>333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customHeight="1" x14ac:dyDescent="0.25">
      <c r="A190" s="672" t="s">
        <v>101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customHeight="1" x14ac:dyDescent="0.25">
      <c r="A191" s="60" t="s">
        <v>334</v>
      </c>
      <c r="B191" s="60" t="s">
        <v>335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337</v>
      </c>
      <c r="B192" s="60" t="s">
        <v>338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2" t="s">
        <v>144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339</v>
      </c>
      <c r="B196" s="60" t="s">
        <v>340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customHeight="1" x14ac:dyDescent="0.25">
      <c r="A197" s="60" t="s">
        <v>342</v>
      </c>
      <c r="B197" s="60" t="s">
        <v>343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8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customHeight="1" x14ac:dyDescent="0.25">
      <c r="A200" s="672" t="s">
        <v>155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535</v>
      </c>
      <c r="Y201" s="53">
        <f t="shared" ref="Y201:Y208" si="26">IFERROR(IF(X201="",0,CEILING((X201/$H201),1)*$H201),"")</f>
        <v>540</v>
      </c>
      <c r="Z201" s="39">
        <f>IFERROR(IF(Y201=0,"",ROUNDUP(Y201/H201,0)*0.00902),"")</f>
        <v>0.90200000000000002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555.80555555555554</v>
      </c>
      <c r="BN201" s="75">
        <f t="shared" ref="BN201:BN208" si="28">IFERROR(Y201*I201/H201,"0")</f>
        <v>561</v>
      </c>
      <c r="BO201" s="75">
        <f t="shared" ref="BO201:BO208" si="29">IFERROR(1/J201*(X201/H201),"0")</f>
        <v>0.75056116722783384</v>
      </c>
      <c r="BP201" s="75">
        <f t="shared" ref="BP201:BP208" si="30">IFERROR(1/J201*(Y201/H201),"0")</f>
        <v>0.75757575757575757</v>
      </c>
    </row>
    <row r="202" spans="1:68" ht="27" customHeight="1" x14ac:dyDescent="0.25">
      <c r="A202" s="60" t="s">
        <v>347</v>
      </c>
      <c r="B202" s="60" t="s">
        <v>348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305</v>
      </c>
      <c r="Y202" s="53">
        <f t="shared" si="26"/>
        <v>307.8</v>
      </c>
      <c r="Z202" s="39">
        <f>IFERROR(IF(Y202=0,"",ROUNDUP(Y202/H202,0)*0.00902),"")</f>
        <v>0.51414000000000004</v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316.86111111111114</v>
      </c>
      <c r="BN202" s="75">
        <f t="shared" si="28"/>
        <v>319.77000000000004</v>
      </c>
      <c r="BO202" s="75">
        <f t="shared" si="29"/>
        <v>0.42789001122334458</v>
      </c>
      <c r="BP202" s="75">
        <f t="shared" si="30"/>
        <v>0.43181818181818182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565</v>
      </c>
      <c r="Y203" s="53">
        <f t="shared" si="26"/>
        <v>567</v>
      </c>
      <c r="Z203" s="39">
        <f>IFERROR(IF(Y203=0,"",ROUNDUP(Y203/H203,0)*0.00902),"")</f>
        <v>0.94710000000000005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586.97222222222217</v>
      </c>
      <c r="BN203" s="75">
        <f t="shared" si="28"/>
        <v>589.05000000000007</v>
      </c>
      <c r="BO203" s="75">
        <f t="shared" si="29"/>
        <v>0.7926487093153759</v>
      </c>
      <c r="BP203" s="75">
        <f t="shared" si="30"/>
        <v>0.79545454545454553</v>
      </c>
    </row>
    <row r="204" spans="1:68" ht="27" customHeight="1" x14ac:dyDescent="0.25">
      <c r="A204" s="60" t="s">
        <v>353</v>
      </c>
      <c r="B204" s="60" t="s">
        <v>354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9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665</v>
      </c>
      <c r="Y204" s="53">
        <f t="shared" si="26"/>
        <v>669.6</v>
      </c>
      <c r="Z204" s="39">
        <f>IFERROR(IF(Y204=0,"",ROUNDUP(Y204/H204,0)*0.00902),"")</f>
        <v>1.1184799999999999</v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690.86111111111109</v>
      </c>
      <c r="BN204" s="75">
        <f t="shared" si="28"/>
        <v>695.64</v>
      </c>
      <c r="BO204" s="75">
        <f t="shared" si="29"/>
        <v>0.93294051627384955</v>
      </c>
      <c r="BP204" s="75">
        <f t="shared" si="30"/>
        <v>0.93939393939393945</v>
      </c>
    </row>
    <row r="205" spans="1:68" ht="27" customHeight="1" x14ac:dyDescent="0.25">
      <c r="A205" s="60" t="s">
        <v>356</v>
      </c>
      <c r="B205" s="60" t="s">
        <v>357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8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customHeight="1" x14ac:dyDescent="0.25">
      <c r="A206" s="60" t="s">
        <v>358</v>
      </c>
      <c r="B206" s="60" t="s">
        <v>359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8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customHeight="1" x14ac:dyDescent="0.25">
      <c r="A207" s="60" t="s">
        <v>360</v>
      </c>
      <c r="B207" s="60" t="s">
        <v>361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customHeight="1" x14ac:dyDescent="0.25">
      <c r="A208" s="60" t="s">
        <v>362</v>
      </c>
      <c r="B208" s="60" t="s">
        <v>363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383.33333333333331</v>
      </c>
      <c r="Y209" s="41">
        <f>IFERROR(Y201/H201,"0")+IFERROR(Y202/H202,"0")+IFERROR(Y203/H203,"0")+IFERROR(Y204/H204,"0")+IFERROR(Y205/H205,"0")+IFERROR(Y206/H206,"0")+IFERROR(Y207/H207,"0")+IFERROR(Y208/H208,"0")</f>
        <v>386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3.4817200000000001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2070</v>
      </c>
      <c r="Y210" s="41">
        <f>IFERROR(SUM(Y201:Y208),"0")</f>
        <v>2084.4</v>
      </c>
      <c r="Z210" s="40"/>
      <c r="AA210" s="64"/>
      <c r="AB210" s="64"/>
      <c r="AC210" s="64"/>
    </row>
    <row r="211" spans="1:68" ht="14.25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364</v>
      </c>
      <c r="B212" s="60" t="s">
        <v>365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40</v>
      </c>
      <c r="Y212" s="53">
        <f t="shared" ref="Y212:Y220" si="31">IFERROR(IF(X212="",0,CEILING((X212/$H212),1)*$H212),"")</f>
        <v>40.5</v>
      </c>
      <c r="Z212" s="39">
        <f>IFERROR(IF(Y212=0,"",ROUNDUP(Y212/H212,0)*0.01898),"")</f>
        <v>9.4899999999999998E-2</v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42.562962962962963</v>
      </c>
      <c r="BN212" s="75">
        <f t="shared" ref="BN212:BN220" si="33">IFERROR(Y212*I212/H212,"0")</f>
        <v>43.095000000000006</v>
      </c>
      <c r="BO212" s="75">
        <f t="shared" ref="BO212:BO220" si="34">IFERROR(1/J212*(X212/H212),"0")</f>
        <v>7.7160493827160503E-2</v>
      </c>
      <c r="BP212" s="75">
        <f t="shared" ref="BP212:BP220" si="35">IFERROR(1/J212*(Y212/H212),"0")</f>
        <v>7.8125E-2</v>
      </c>
    </row>
    <row r="213" spans="1:68" ht="27" customHeight="1" x14ac:dyDescent="0.25">
      <c r="A213" s="60" t="s">
        <v>367</v>
      </c>
      <c r="B213" s="60" t="s">
        <v>368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15</v>
      </c>
      <c r="Y213" s="53">
        <f t="shared" si="31"/>
        <v>16.2</v>
      </c>
      <c r="Z213" s="39">
        <f>IFERROR(IF(Y213=0,"",ROUNDUP(Y213/H213,0)*0.01898),"")</f>
        <v>3.7960000000000001E-2</v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15.927777777777781</v>
      </c>
      <c r="BN213" s="75">
        <f t="shared" si="33"/>
        <v>17.202000000000002</v>
      </c>
      <c r="BO213" s="75">
        <f t="shared" si="34"/>
        <v>2.8935185185185185E-2</v>
      </c>
      <c r="BP213" s="75">
        <f t="shared" si="35"/>
        <v>3.125E-2</v>
      </c>
    </row>
    <row r="214" spans="1:68" ht="16.5" customHeight="1" x14ac:dyDescent="0.25">
      <c r="A214" s="60" t="s">
        <v>370</v>
      </c>
      <c r="B214" s="60" t="s">
        <v>371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470</v>
      </c>
      <c r="Y214" s="53">
        <f t="shared" si="31"/>
        <v>478.49999999999994</v>
      </c>
      <c r="Z214" s="39">
        <f>IFERROR(IF(Y214=0,"",ROUNDUP(Y214/H214,0)*0.01898),"")</f>
        <v>1.0439000000000001</v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498.03793103448271</v>
      </c>
      <c r="BN214" s="75">
        <f t="shared" si="33"/>
        <v>507.04499999999996</v>
      </c>
      <c r="BO214" s="75">
        <f t="shared" si="34"/>
        <v>0.8441091954022989</v>
      </c>
      <c r="BP214" s="75">
        <f t="shared" si="35"/>
        <v>0.859375</v>
      </c>
    </row>
    <row r="215" spans="1:68" ht="27" customHeight="1" x14ac:dyDescent="0.25">
      <c r="A215" s="60" t="s">
        <v>373</v>
      </c>
      <c r="B215" s="60" t="s">
        <v>374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customHeight="1" x14ac:dyDescent="0.25">
      <c r="A216" s="60" t="s">
        <v>375</v>
      </c>
      <c r="B216" s="60" t="s">
        <v>376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customHeight="1" x14ac:dyDescent="0.25">
      <c r="A217" s="60" t="s">
        <v>378</v>
      </c>
      <c r="B217" s="60" t="s">
        <v>379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customHeight="1" x14ac:dyDescent="0.25">
      <c r="A218" s="60" t="s">
        <v>380</v>
      </c>
      <c r="B218" s="60" t="s">
        <v>381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7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12</v>
      </c>
      <c r="Y219" s="53">
        <f t="shared" si="31"/>
        <v>12</v>
      </c>
      <c r="Z219" s="39">
        <f t="shared" si="36"/>
        <v>3.2550000000000003E-2</v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13.260000000000002</v>
      </c>
      <c r="BN219" s="75">
        <f t="shared" si="33"/>
        <v>13.260000000000002</v>
      </c>
      <c r="BO219" s="75">
        <f t="shared" si="34"/>
        <v>2.7472527472527476E-2</v>
      </c>
      <c r="BP219" s="75">
        <f t="shared" si="35"/>
        <v>2.7472527472527476E-2</v>
      </c>
    </row>
    <row r="220" spans="1:68" ht="27" customHeight="1" x14ac:dyDescent="0.25">
      <c r="A220" s="60" t="s">
        <v>385</v>
      </c>
      <c r="B220" s="60" t="s">
        <v>386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48</v>
      </c>
      <c r="Y220" s="53">
        <f t="shared" si="31"/>
        <v>48</v>
      </c>
      <c r="Z220" s="39">
        <f t="shared" si="36"/>
        <v>0.13020000000000001</v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53.160000000000004</v>
      </c>
      <c r="BN220" s="75">
        <f t="shared" si="33"/>
        <v>53.160000000000004</v>
      </c>
      <c r="BO220" s="75">
        <f t="shared" si="34"/>
        <v>0.1098901098901099</v>
      </c>
      <c r="BP220" s="75">
        <f t="shared" si="35"/>
        <v>0.1098901098901099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85.813111962537249</v>
      </c>
      <c r="Y221" s="41">
        <f>IFERROR(Y212/H212,"0")+IFERROR(Y213/H213,"0")+IFERROR(Y214/H214,"0")+IFERROR(Y215/H215,"0")+IFERROR(Y216/H216,"0")+IFERROR(Y217/H217,"0")+IFERROR(Y218/H218,"0")+IFERROR(Y219/H219,"0")+IFERROR(Y220/H220,"0")</f>
        <v>87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1.3395100000000002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585</v>
      </c>
      <c r="Y222" s="41">
        <f>IFERROR(SUM(Y212:Y220),"0")</f>
        <v>595.19999999999993</v>
      </c>
      <c r="Z222" s="40"/>
      <c r="AA222" s="64"/>
      <c r="AB222" s="64"/>
      <c r="AC222" s="64"/>
    </row>
    <row r="223" spans="1:68" ht="14.25" customHeight="1" x14ac:dyDescent="0.25">
      <c r="A223" s="672" t="s">
        <v>181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388</v>
      </c>
      <c r="B224" s="60" t="s">
        <v>389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7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80</v>
      </c>
      <c r="Y224" s="53">
        <f>IFERROR(IF(X224="",0,CEILING((X224/$H224),1)*$H224),"")</f>
        <v>81.599999999999994</v>
      </c>
      <c r="Z224" s="39">
        <f>IFERROR(IF(Y224=0,"",ROUNDUP(Y224/H224,0)*0.00651),"")</f>
        <v>0.22134000000000001</v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88.40000000000002</v>
      </c>
      <c r="BN224" s="75">
        <f>IFERROR(Y224*I224/H224,"0")</f>
        <v>90.168000000000006</v>
      </c>
      <c r="BO224" s="75">
        <f>IFERROR(1/J224*(X224/H224),"0")</f>
        <v>0.18315018315018317</v>
      </c>
      <c r="BP224" s="75">
        <f>IFERROR(1/J224*(Y224/H224),"0")</f>
        <v>0.18681318681318682</v>
      </c>
    </row>
    <row r="225" spans="1:68" ht="27" customHeight="1" x14ac:dyDescent="0.25">
      <c r="A225" s="60" t="s">
        <v>391</v>
      </c>
      <c r="B225" s="60" t="s">
        <v>392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33.333333333333336</v>
      </c>
      <c r="Y226" s="41">
        <f>IFERROR(Y224/H224,"0")+IFERROR(Y225/H225,"0")</f>
        <v>34</v>
      </c>
      <c r="Z226" s="41">
        <f>IFERROR(IF(Z224="",0,Z224),"0")+IFERROR(IF(Z225="",0,Z225),"0")</f>
        <v>0.22134000000000001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80</v>
      </c>
      <c r="Y227" s="41">
        <f>IFERROR(SUM(Y224:Y225),"0")</f>
        <v>81.599999999999994</v>
      </c>
      <c r="Z227" s="40"/>
      <c r="AA227" s="64"/>
      <c r="AB227" s="64"/>
      <c r="AC227" s="64"/>
    </row>
    <row r="228" spans="1:68" ht="16.5" customHeight="1" x14ac:dyDescent="0.25">
      <c r="A228" s="694" t="s">
        <v>394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customHeight="1" x14ac:dyDescent="0.25">
      <c r="A229" s="672" t="s">
        <v>101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customHeight="1" x14ac:dyDescent="0.25">
      <c r="A230" s="60" t="s">
        <v>395</v>
      </c>
      <c r="B230" s="60" t="s">
        <v>396</v>
      </c>
      <c r="C230" s="34">
        <v>4301011942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customHeight="1" x14ac:dyDescent="0.25">
      <c r="A231" s="60" t="s">
        <v>395</v>
      </c>
      <c r="B231" s="60" t="s">
        <v>399</v>
      </c>
      <c r="C231" s="34">
        <v>4301011826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401</v>
      </c>
      <c r="B232" s="60" t="s">
        <v>402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customHeight="1" x14ac:dyDescent="0.25">
      <c r="A233" s="60" t="s">
        <v>404</v>
      </c>
      <c r="B233" s="60" t="s">
        <v>405</v>
      </c>
      <c r="C233" s="34">
        <v>4301011941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7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customHeight="1" x14ac:dyDescent="0.25">
      <c r="A234" s="60" t="s">
        <v>404</v>
      </c>
      <c r="B234" s="60" t="s">
        <v>406</v>
      </c>
      <c r="C234" s="34">
        <v>4301011721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customHeight="1" x14ac:dyDescent="0.25">
      <c r="A235" s="60" t="s">
        <v>408</v>
      </c>
      <c r="B235" s="60" t="s">
        <v>409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customHeight="1" x14ac:dyDescent="0.25">
      <c r="A236" s="60" t="s">
        <v>410</v>
      </c>
      <c r="B236" s="60" t="s">
        <v>411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customHeight="1" x14ac:dyDescent="0.25">
      <c r="A237" s="60" t="s">
        <v>412</v>
      </c>
      <c r="B237" s="60" t="s">
        <v>413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2" t="s">
        <v>144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customHeight="1" x14ac:dyDescent="0.25">
      <c r="A241" s="60" t="s">
        <v>414</v>
      </c>
      <c r="B241" s="60" t="s">
        <v>415</v>
      </c>
      <c r="C241" s="34">
        <v>4301020340</v>
      </c>
      <c r="D241" s="673">
        <v>4680115885721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414</v>
      </c>
      <c r="B242" s="60" t="s">
        <v>417</v>
      </c>
      <c r="C242" s="34">
        <v>4301020377</v>
      </c>
      <c r="D242" s="673">
        <v>4680115885981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6" t="s">
        <v>418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2" t="s">
        <v>419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58" t="s">
        <v>422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2" t="s">
        <v>424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customHeight="1" x14ac:dyDescent="0.25">
      <c r="A250" s="60" t="s">
        <v>425</v>
      </c>
      <c r="B250" s="60" t="s">
        <v>426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59" t="s">
        <v>427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4" t="s">
        <v>429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customHeight="1" x14ac:dyDescent="0.25">
      <c r="A254" s="672" t="s">
        <v>101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430</v>
      </c>
      <c r="B255" s="60" t="s">
        <v>431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customHeight="1" x14ac:dyDescent="0.25">
      <c r="A256" s="60" t="s">
        <v>433</v>
      </c>
      <c r="B256" s="60" t="s">
        <v>434</v>
      </c>
      <c r="C256" s="34">
        <v>4301011910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customHeight="1" x14ac:dyDescent="0.25">
      <c r="A257" s="60" t="s">
        <v>433</v>
      </c>
      <c r="B257" s="60" t="s">
        <v>436</v>
      </c>
      <c r="C257" s="34">
        <v>4301011850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customHeight="1" x14ac:dyDescent="0.25">
      <c r="A258" s="60" t="s">
        <v>438</v>
      </c>
      <c r="B258" s="60" t="s">
        <v>439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customHeight="1" x14ac:dyDescent="0.25">
      <c r="A259" s="60" t="s">
        <v>441</v>
      </c>
      <c r="B259" s="60" t="s">
        <v>442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2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0</v>
      </c>
      <c r="BN259" s="75">
        <f t="shared" si="44"/>
        <v>0</v>
      </c>
      <c r="BO259" s="75">
        <f t="shared" si="45"/>
        <v>0</v>
      </c>
      <c r="BP259" s="75">
        <f t="shared" si="46"/>
        <v>0</v>
      </c>
    </row>
    <row r="260" spans="1:68" ht="27" customHeight="1" x14ac:dyDescent="0.25">
      <c r="A260" s="60" t="s">
        <v>444</v>
      </c>
      <c r="B260" s="60" t="s">
        <v>445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2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0</v>
      </c>
      <c r="BN260" s="75">
        <f t="shared" si="44"/>
        <v>0</v>
      </c>
      <c r="BO260" s="75">
        <f t="shared" si="45"/>
        <v>0</v>
      </c>
      <c r="BP260" s="75">
        <f t="shared" si="46"/>
        <v>0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4" t="s">
        <v>447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customHeight="1" x14ac:dyDescent="0.25">
      <c r="A264" s="672" t="s">
        <v>101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customHeight="1" x14ac:dyDescent="0.25">
      <c r="A265" s="60" t="s">
        <v>448</v>
      </c>
      <c r="B265" s="60" t="s">
        <v>449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4" t="s">
        <v>451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customHeight="1" x14ac:dyDescent="0.25">
      <c r="A269" s="672" t="s">
        <v>101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customHeight="1" x14ac:dyDescent="0.25">
      <c r="A270" s="60" t="s">
        <v>452</v>
      </c>
      <c r="B270" s="60" t="s">
        <v>453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454</v>
      </c>
      <c r="B271" s="60" t="s">
        <v>455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457</v>
      </c>
      <c r="B272" s="60" t="s">
        <v>458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4" t="s">
        <v>460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461</v>
      </c>
      <c r="B277" s="60" t="s">
        <v>462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40</v>
      </c>
      <c r="Y277" s="53">
        <f>IFERROR(IF(X277="",0,CEILING((X277/$H277),1)*$H277),"")</f>
        <v>40.32</v>
      </c>
      <c r="Z277" s="39">
        <f>IFERROR(IF(Y277=0,"",ROUNDUP(Y277/H277,0)*0.00902),"")</f>
        <v>0.10824</v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43.071428571428569</v>
      </c>
      <c r="BN277" s="75">
        <f>IFERROR(Y277*I277/H277,"0")</f>
        <v>43.415999999999997</v>
      </c>
      <c r="BO277" s="75">
        <f>IFERROR(1/J277*(X277/H277),"0")</f>
        <v>9.0187590187590191E-2</v>
      </c>
      <c r="BP277" s="75">
        <f>IFERROR(1/J277*(Y277/H277),"0")</f>
        <v>9.0909090909090912E-2</v>
      </c>
    </row>
    <row r="278" spans="1:68" ht="27" customHeight="1" x14ac:dyDescent="0.25">
      <c r="A278" s="60" t="s">
        <v>464</v>
      </c>
      <c r="B278" s="60" t="s">
        <v>465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467</v>
      </c>
      <c r="B279" s="60" t="s">
        <v>468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469</v>
      </c>
      <c r="B280" s="60" t="s">
        <v>470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472</v>
      </c>
      <c r="B281" s="60" t="s">
        <v>473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11.904761904761905</v>
      </c>
      <c r="Y282" s="41">
        <f>IFERROR(Y277/H277,"0")+IFERROR(Y278/H278,"0")+IFERROR(Y279/H279,"0")+IFERROR(Y280/H280,"0")+IFERROR(Y281/H281,"0")</f>
        <v>12</v>
      </c>
      <c r="Z282" s="41">
        <f>IFERROR(IF(Z277="",0,Z277),"0")+IFERROR(IF(Z278="",0,Z278),"0")+IFERROR(IF(Z279="",0,Z279),"0")+IFERROR(IF(Z280="",0,Z280),"0")+IFERROR(IF(Z281="",0,Z281),"0")</f>
        <v>0.10824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40</v>
      </c>
      <c r="Y283" s="41">
        <f>IFERROR(SUM(Y277:Y281),"0")</f>
        <v>40.32</v>
      </c>
      <c r="Z283" s="40"/>
      <c r="AA283" s="64"/>
      <c r="AB283" s="64"/>
      <c r="AC283" s="64"/>
    </row>
    <row r="284" spans="1:68" ht="16.5" customHeight="1" x14ac:dyDescent="0.25">
      <c r="A284" s="694" t="s">
        <v>474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customHeight="1" x14ac:dyDescent="0.25">
      <c r="A285" s="672" t="s">
        <v>101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customHeight="1" x14ac:dyDescent="0.25">
      <c r="A286" s="60" t="s">
        <v>475</v>
      </c>
      <c r="B286" s="60" t="s">
        <v>476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2" t="s">
        <v>155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customHeight="1" x14ac:dyDescent="0.25">
      <c r="A290" s="60" t="s">
        <v>478</v>
      </c>
      <c r="B290" s="60" t="s">
        <v>479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customHeight="1" x14ac:dyDescent="0.25">
      <c r="A294" s="60" t="s">
        <v>481</v>
      </c>
      <c r="B294" s="60" t="s">
        <v>482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4" t="s">
        <v>484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customHeight="1" x14ac:dyDescent="0.25">
      <c r="A299" s="60" t="s">
        <v>485</v>
      </c>
      <c r="B299" s="60" t="s">
        <v>486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4" t="s">
        <v>488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customHeight="1" x14ac:dyDescent="0.25">
      <c r="A303" s="672" t="s">
        <v>101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customHeight="1" x14ac:dyDescent="0.25">
      <c r="A304" s="60" t="s">
        <v>489</v>
      </c>
      <c r="B304" s="60" t="s">
        <v>490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2" t="s">
        <v>155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customHeight="1" x14ac:dyDescent="0.25">
      <c r="A308" s="60" t="s">
        <v>491</v>
      </c>
      <c r="B308" s="60" t="s">
        <v>492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494</v>
      </c>
      <c r="B309" s="60" t="s">
        <v>495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4" t="s">
        <v>496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customHeight="1" x14ac:dyDescent="0.25">
      <c r="A313" s="672" t="s">
        <v>101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customHeight="1" x14ac:dyDescent="0.25">
      <c r="A314" s="60" t="s">
        <v>497</v>
      </c>
      <c r="B314" s="60" t="s">
        <v>498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4" t="s">
        <v>501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customHeight="1" x14ac:dyDescent="0.25">
      <c r="A318" s="672" t="s">
        <v>101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502</v>
      </c>
      <c r="B319" s="60" t="s">
        <v>503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customHeight="1" x14ac:dyDescent="0.25">
      <c r="A320" s="60" t="s">
        <v>505</v>
      </c>
      <c r="B320" s="60" t="s">
        <v>506</v>
      </c>
      <c r="C320" s="34">
        <v>4301011911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3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customHeight="1" x14ac:dyDescent="0.25">
      <c r="A321" s="60" t="s">
        <v>505</v>
      </c>
      <c r="B321" s="60" t="s">
        <v>508</v>
      </c>
      <c r="C321" s="34">
        <v>4301012016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customHeight="1" x14ac:dyDescent="0.25">
      <c r="A322" s="60" t="s">
        <v>510</v>
      </c>
      <c r="B322" s="60" t="s">
        <v>511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customHeight="1" x14ac:dyDescent="0.25">
      <c r="A323" s="60" t="s">
        <v>513</v>
      </c>
      <c r="B323" s="60" t="s">
        <v>514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47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0</v>
      </c>
      <c r="BN323" s="75">
        <f t="shared" si="49"/>
        <v>0</v>
      </c>
      <c r="BO323" s="75">
        <f t="shared" si="50"/>
        <v>0</v>
      </c>
      <c r="BP323" s="75">
        <f t="shared" si="51"/>
        <v>0</v>
      </c>
    </row>
    <row r="324" spans="1:68" ht="27" customHeight="1" x14ac:dyDescent="0.25">
      <c r="A324" s="60" t="s">
        <v>516</v>
      </c>
      <c r="B324" s="60" t="s">
        <v>517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47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0</v>
      </c>
      <c r="BN324" s="75">
        <f t="shared" si="49"/>
        <v>0</v>
      </c>
      <c r="BO324" s="75">
        <f t="shared" si="50"/>
        <v>0</v>
      </c>
      <c r="BP324" s="75">
        <f t="shared" si="51"/>
        <v>0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672" t="s">
        <v>155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518</v>
      </c>
      <c r="B328" s="60" t="s">
        <v>519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customHeight="1" x14ac:dyDescent="0.25">
      <c r="A330" s="60" t="s">
        <v>524</v>
      </c>
      <c r="B330" s="60" t="s">
        <v>525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527</v>
      </c>
      <c r="B331" s="60" t="s">
        <v>528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37.5" customHeight="1" x14ac:dyDescent="0.25">
      <c r="A335" s="60" t="s">
        <v>529</v>
      </c>
      <c r="B335" s="60" t="s">
        <v>530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532</v>
      </c>
      <c r="B336" s="60" t="s">
        <v>533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535</v>
      </c>
      <c r="B337" s="60" t="s">
        <v>536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538</v>
      </c>
      <c r="B338" s="60" t="s">
        <v>539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customHeight="1" x14ac:dyDescent="0.25">
      <c r="A339" s="60" t="s">
        <v>541</v>
      </c>
      <c r="B339" s="60" t="s">
        <v>542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672" t="s">
        <v>181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544</v>
      </c>
      <c r="B343" s="60" t="s">
        <v>545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130</v>
      </c>
      <c r="Y345" s="53">
        <f>IFERROR(IF(X345="",0,CEILING((X345/$H345),1)*$H345),"")</f>
        <v>134.4</v>
      </c>
      <c r="Z345" s="39">
        <f>IFERROR(IF(Y345=0,"",ROUNDUP(Y345/H345,0)*0.01898),"")</f>
        <v>0.30368000000000001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138.03214285714284</v>
      </c>
      <c r="BN345" s="75">
        <f>IFERROR(Y345*I345/H345,"0")</f>
        <v>142.70400000000001</v>
      </c>
      <c r="BO345" s="75">
        <f>IFERROR(1/J345*(X345/H345),"0")</f>
        <v>0.24181547619047619</v>
      </c>
      <c r="BP345" s="75">
        <f>IFERROR(1/J345*(Y345/H345),"0")</f>
        <v>0.25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29.578754578754577</v>
      </c>
      <c r="Y346" s="41">
        <f>IFERROR(Y343/H343,"0")+IFERROR(Y344/H344,"0")+IFERROR(Y345/H345,"0")</f>
        <v>31</v>
      </c>
      <c r="Z346" s="41">
        <f>IFERROR(IF(Z343="",0,Z343),"0")+IFERROR(IF(Z344="",0,Z344),"0")+IFERROR(IF(Z345="",0,Z345),"0")</f>
        <v>0.58838000000000001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240</v>
      </c>
      <c r="Y347" s="41">
        <f>IFERROR(SUM(Y343:Y345),"0")</f>
        <v>251.4</v>
      </c>
      <c r="Z347" s="40"/>
      <c r="AA347" s="64"/>
      <c r="AB347" s="64"/>
      <c r="AC347" s="64"/>
    </row>
    <row r="348" spans="1:68" ht="14.25" customHeight="1" x14ac:dyDescent="0.25">
      <c r="A348" s="672" t="s">
        <v>93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customHeight="1" x14ac:dyDescent="0.25">
      <c r="A349" s="60" t="s">
        <v>553</v>
      </c>
      <c r="B349" s="60" t="s">
        <v>554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817" t="s">
        <v>555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557</v>
      </c>
      <c r="B350" s="60" t="s">
        <v>558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818" t="s">
        <v>559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561</v>
      </c>
      <c r="B351" s="60" t="s">
        <v>562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564</v>
      </c>
      <c r="B352" s="60" t="s">
        <v>565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672" t="s">
        <v>566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customHeight="1" x14ac:dyDescent="0.25">
      <c r="A356" s="60" t="s">
        <v>567</v>
      </c>
      <c r="B356" s="60" t="s">
        <v>568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571</v>
      </c>
      <c r="B357" s="60" t="s">
        <v>572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573</v>
      </c>
      <c r="B358" s="60" t="s">
        <v>574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4" t="s">
        <v>575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customHeight="1" x14ac:dyDescent="0.25">
      <c r="A362" s="672" t="s">
        <v>155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customHeight="1" x14ac:dyDescent="0.25">
      <c r="A363" s="60" t="s">
        <v>576</v>
      </c>
      <c r="B363" s="60" t="s">
        <v>577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579</v>
      </c>
      <c r="B367" s="60" t="s">
        <v>580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20</v>
      </c>
      <c r="Y367" s="53">
        <f>IFERROR(IF(X367="",0,CEILING((X367/$H367),1)*$H367),"")</f>
        <v>24.299999999999997</v>
      </c>
      <c r="Z367" s="39">
        <f>IFERROR(IF(Y367=0,"",ROUNDUP(Y367/H367,0)*0.01898),"")</f>
        <v>5.6940000000000004E-2</v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21.281481481481482</v>
      </c>
      <c r="BN367" s="75">
        <f>IFERROR(Y367*I367/H367,"0")</f>
        <v>25.856999999999996</v>
      </c>
      <c r="BO367" s="75">
        <f>IFERROR(1/J367*(X367/H367),"0")</f>
        <v>3.8580246913580252E-2</v>
      </c>
      <c r="BP367" s="75">
        <f>IFERROR(1/J367*(Y367/H367),"0")</f>
        <v>4.6875E-2</v>
      </c>
    </row>
    <row r="368" spans="1:68" ht="27" customHeight="1" x14ac:dyDescent="0.25">
      <c r="A368" s="60" t="s">
        <v>582</v>
      </c>
      <c r="B368" s="60" t="s">
        <v>583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585</v>
      </c>
      <c r="B369" s="60" t="s">
        <v>586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2.4691358024691361</v>
      </c>
      <c r="Y370" s="41">
        <f>IFERROR(Y367/H367,"0")+IFERROR(Y368/H368,"0")+IFERROR(Y369/H369,"0")</f>
        <v>3</v>
      </c>
      <c r="Z370" s="41">
        <f>IFERROR(IF(Z367="",0,Z367),"0")+IFERROR(IF(Z368="",0,Z368),"0")+IFERROR(IF(Z369="",0,Z369),"0")</f>
        <v>5.6940000000000004E-2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20</v>
      </c>
      <c r="Y371" s="41">
        <f>IFERROR(SUM(Y367:Y369),"0")</f>
        <v>24.299999999999997</v>
      </c>
      <c r="Z371" s="40"/>
      <c r="AA371" s="64"/>
      <c r="AB371" s="64"/>
      <c r="AC371" s="64"/>
    </row>
    <row r="372" spans="1:68" ht="27.75" customHeight="1" x14ac:dyDescent="0.2">
      <c r="A372" s="718" t="s">
        <v>588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customHeight="1" x14ac:dyDescent="0.25">
      <c r="A373" s="694" t="s">
        <v>589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customHeight="1" x14ac:dyDescent="0.25">
      <c r="A374" s="672" t="s">
        <v>101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80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3200</v>
      </c>
      <c r="Y375" s="53">
        <f t="shared" ref="Y375:Y384" si="52">IFERROR(IF(X375="",0,CEILING((X375/$H375),1)*$H375),"")</f>
        <v>3210</v>
      </c>
      <c r="Z375" s="39">
        <f>IFERROR(IF(Y375=0,"",ROUNDUP(Y375/H375,0)*0.02039),"")</f>
        <v>4.3634599999999999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3302.4</v>
      </c>
      <c r="BN375" s="75">
        <f t="shared" ref="BN375:BN384" si="54">IFERROR(Y375*I375/H375,"0")</f>
        <v>3312.7200000000003</v>
      </c>
      <c r="BO375" s="75">
        <f t="shared" ref="BO375:BO384" si="55">IFERROR(1/J375*(X375/H375),"0")</f>
        <v>4.4444444444444446</v>
      </c>
      <c r="BP375" s="75">
        <f t="shared" ref="BP375:BP384" si="56">IFERROR(1/J375*(Y375/H375),"0")</f>
        <v>4.458333333333333</v>
      </c>
    </row>
    <row r="376" spans="1:68" ht="37.5" customHeight="1" x14ac:dyDescent="0.25">
      <c r="A376" s="60" t="s">
        <v>590</v>
      </c>
      <c r="B376" s="60" t="s">
        <v>593</v>
      </c>
      <c r="C376" s="34">
        <v>4301011869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8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79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2160</v>
      </c>
      <c r="Y377" s="53">
        <f t="shared" si="52"/>
        <v>2160</v>
      </c>
      <c r="Z377" s="39">
        <f>IFERROR(IF(Y377=0,"",ROUNDUP(Y377/H377,0)*0.02039),"")</f>
        <v>2.9361599999999997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2229.1200000000003</v>
      </c>
      <c r="BN377" s="75">
        <f t="shared" si="54"/>
        <v>2229.1200000000003</v>
      </c>
      <c r="BO377" s="75">
        <f t="shared" si="55"/>
        <v>3</v>
      </c>
      <c r="BP377" s="75">
        <f t="shared" si="56"/>
        <v>3</v>
      </c>
    </row>
    <row r="378" spans="1:68" ht="27" customHeight="1" x14ac:dyDescent="0.25">
      <c r="A378" s="60" t="s">
        <v>595</v>
      </c>
      <c r="B378" s="60" t="s">
        <v>597</v>
      </c>
      <c r="C378" s="34">
        <v>4301011870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3200</v>
      </c>
      <c r="Y379" s="53">
        <f t="shared" si="52"/>
        <v>3210</v>
      </c>
      <c r="Z379" s="39">
        <f>IFERROR(IF(Y379=0,"",ROUNDUP(Y379/H379,0)*0.02175),"")</f>
        <v>4.6544999999999996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3302.4</v>
      </c>
      <c r="BN379" s="75">
        <f t="shared" si="54"/>
        <v>3312.7200000000003</v>
      </c>
      <c r="BO379" s="75">
        <f t="shared" si="55"/>
        <v>4.4444444444444446</v>
      </c>
      <c r="BP379" s="75">
        <f t="shared" si="56"/>
        <v>4.458333333333333</v>
      </c>
    </row>
    <row r="380" spans="1:68" ht="27" customHeight="1" x14ac:dyDescent="0.25">
      <c r="A380" s="60" t="s">
        <v>602</v>
      </c>
      <c r="B380" s="60" t="s">
        <v>603</v>
      </c>
      <c r="C380" s="34">
        <v>4301011943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80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customHeight="1" x14ac:dyDescent="0.25">
      <c r="A381" s="60" t="s">
        <v>602</v>
      </c>
      <c r="B381" s="60" t="s">
        <v>604</v>
      </c>
      <c r="C381" s="34">
        <v>4301011867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customHeight="1" x14ac:dyDescent="0.25">
      <c r="A382" s="60" t="s">
        <v>606</v>
      </c>
      <c r="B382" s="60" t="s">
        <v>607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customHeight="1" x14ac:dyDescent="0.25">
      <c r="A383" s="60" t="s">
        <v>609</v>
      </c>
      <c r="B383" s="60" t="s">
        <v>610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customHeight="1" x14ac:dyDescent="0.25">
      <c r="A384" s="60" t="s">
        <v>611</v>
      </c>
      <c r="B384" s="60" t="s">
        <v>612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570.66666666666674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572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11.95412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8560</v>
      </c>
      <c r="Y386" s="41">
        <f>IFERROR(SUM(Y375:Y384),"0")</f>
        <v>8580</v>
      </c>
      <c r="Z386" s="40"/>
      <c r="AA386" s="64"/>
      <c r="AB386" s="64"/>
      <c r="AC386" s="64"/>
    </row>
    <row r="387" spans="1:68" ht="14.25" customHeight="1" x14ac:dyDescent="0.25">
      <c r="A387" s="672" t="s">
        <v>144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613</v>
      </c>
      <c r="B388" s="60" t="s">
        <v>614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customHeight="1" x14ac:dyDescent="0.25">
      <c r="A389" s="60" t="s">
        <v>616</v>
      </c>
      <c r="B389" s="60" t="s">
        <v>617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796" t="s">
        <v>620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610</v>
      </c>
      <c r="Y393" s="53">
        <f>IFERROR(IF(X393="",0,CEILING((X393/$H393),1)*$H393),"")</f>
        <v>612</v>
      </c>
      <c r="Z393" s="39">
        <f>IFERROR(IF(Y393=0,"",ROUNDUP(Y393/H393,0)*0.01898),"")</f>
        <v>1.29064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645.58333333333337</v>
      </c>
      <c r="BN393" s="75">
        <f>IFERROR(Y393*I393/H393,"0")</f>
        <v>647.70000000000005</v>
      </c>
      <c r="BO393" s="75">
        <f>IFERROR(1/J393*(X393/H393),"0")</f>
        <v>1.0590277777777777</v>
      </c>
      <c r="BP393" s="75">
        <f>IFERROR(1/J393*(Y393/H393),"0")</f>
        <v>1.0625</v>
      </c>
    </row>
    <row r="394" spans="1:68" ht="27" customHeight="1" x14ac:dyDescent="0.25">
      <c r="A394" s="60" t="s">
        <v>622</v>
      </c>
      <c r="B394" s="60" t="s">
        <v>623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797" t="s">
        <v>624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470</v>
      </c>
      <c r="Y394" s="53">
        <f>IFERROR(IF(X394="",0,CEILING((X394/$H394),1)*$H394),"")</f>
        <v>477</v>
      </c>
      <c r="Z394" s="39">
        <f>IFERROR(IF(Y394=0,"",ROUNDUP(Y394/H394,0)*0.01898),"")</f>
        <v>1.0059400000000001</v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497.10333333333335</v>
      </c>
      <c r="BN394" s="75">
        <f>IFERROR(Y394*I394/H394,"0")</f>
        <v>504.50700000000001</v>
      </c>
      <c r="BO394" s="75">
        <f>IFERROR(1/J394*(X394/H394),"0")</f>
        <v>0.81597222222222221</v>
      </c>
      <c r="BP394" s="75">
        <f>IFERROR(1/J394*(Y394/H394),"0")</f>
        <v>0.828125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120</v>
      </c>
      <c r="Y395" s="41">
        <f>IFERROR(Y393/H393,"0")+IFERROR(Y394/H394,"0")</f>
        <v>121</v>
      </c>
      <c r="Z395" s="41">
        <f>IFERROR(IF(Z393="",0,Z393),"0")+IFERROR(IF(Z394="",0,Z394),"0")</f>
        <v>2.2965800000000001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1080</v>
      </c>
      <c r="Y396" s="41">
        <f>IFERROR(SUM(Y393:Y394),"0")</f>
        <v>1089</v>
      </c>
      <c r="Z396" s="40"/>
      <c r="AA396" s="64"/>
      <c r="AB396" s="64"/>
      <c r="AC396" s="64"/>
    </row>
    <row r="397" spans="1:68" ht="14.25" customHeight="1" x14ac:dyDescent="0.25">
      <c r="A397" s="672" t="s">
        <v>181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626</v>
      </c>
      <c r="B398" s="60" t="s">
        <v>627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788" t="s">
        <v>628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320</v>
      </c>
      <c r="Y398" s="53">
        <f>IFERROR(IF(X398="",0,CEILING((X398/$H398),1)*$H398),"")</f>
        <v>324</v>
      </c>
      <c r="Z398" s="39">
        <f>IFERROR(IF(Y398=0,"",ROUNDUP(Y398/H398,0)*0.01898),"")</f>
        <v>0.68328</v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338.45333333333332</v>
      </c>
      <c r="BN398" s="75">
        <f>IFERROR(Y398*I398/H398,"0")</f>
        <v>342.68399999999997</v>
      </c>
      <c r="BO398" s="75">
        <f>IFERROR(1/J398*(X398/H398),"0")</f>
        <v>0.55555555555555558</v>
      </c>
      <c r="BP398" s="75">
        <f>IFERROR(1/J398*(Y398/H398),"0")</f>
        <v>0.5625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35.555555555555557</v>
      </c>
      <c r="Y399" s="41">
        <f>IFERROR(Y398/H398,"0")</f>
        <v>36</v>
      </c>
      <c r="Z399" s="41">
        <f>IFERROR(IF(Z398="",0,Z398),"0")</f>
        <v>0.68328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320</v>
      </c>
      <c r="Y400" s="41">
        <f>IFERROR(SUM(Y398:Y398),"0")</f>
        <v>324</v>
      </c>
      <c r="Z400" s="40"/>
      <c r="AA400" s="64"/>
      <c r="AB400" s="64"/>
      <c r="AC400" s="64"/>
    </row>
    <row r="401" spans="1:68" ht="16.5" customHeight="1" x14ac:dyDescent="0.25">
      <c r="A401" s="694" t="s">
        <v>630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customHeight="1" x14ac:dyDescent="0.25">
      <c r="A402" s="672" t="s">
        <v>101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customHeight="1" x14ac:dyDescent="0.25">
      <c r="A403" s="60" t="s">
        <v>631</v>
      </c>
      <c r="B403" s="60" t="s">
        <v>632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customHeight="1" x14ac:dyDescent="0.25">
      <c r="A404" s="60" t="s">
        <v>631</v>
      </c>
      <c r="B404" s="60" t="s">
        <v>634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customHeight="1" x14ac:dyDescent="0.25">
      <c r="A405" s="60" t="s">
        <v>636</v>
      </c>
      <c r="B405" s="60" t="s">
        <v>637</v>
      </c>
      <c r="C405" s="34">
        <v>4301011312</v>
      </c>
      <c r="D405" s="673">
        <v>4607091384192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customHeight="1" x14ac:dyDescent="0.25">
      <c r="A406" s="60" t="s">
        <v>639</v>
      </c>
      <c r="B406" s="60" t="s">
        <v>640</v>
      </c>
      <c r="C406" s="34">
        <v>4301011874</v>
      </c>
      <c r="D406" s="673">
        <v>4680115884892</v>
      </c>
      <c r="E406" s="673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642</v>
      </c>
      <c r="B407" s="60" t="s">
        <v>643</v>
      </c>
      <c r="C407" s="34">
        <v>4301011875</v>
      </c>
      <c r="D407" s="673">
        <v>4680115884885</v>
      </c>
      <c r="E407" s="673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customHeight="1" x14ac:dyDescent="0.25">
      <c r="A408" s="60" t="s">
        <v>644</v>
      </c>
      <c r="B408" s="60" t="s">
        <v>645</v>
      </c>
      <c r="C408" s="34">
        <v>4301011871</v>
      </c>
      <c r="D408" s="673">
        <v>4680115884908</v>
      </c>
      <c r="E408" s="673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5"/>
      <c r="R408" s="675"/>
      <c r="S408" s="675"/>
      <c r="T408" s="676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77" t="s">
        <v>40</v>
      </c>
      <c r="Q410" s="678"/>
      <c r="R410" s="678"/>
      <c r="S410" s="678"/>
      <c r="T410" s="678"/>
      <c r="U410" s="678"/>
      <c r="V410" s="67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customHeight="1" x14ac:dyDescent="0.25">
      <c r="A411" s="672" t="s">
        <v>155</v>
      </c>
      <c r="B411" s="672"/>
      <c r="C411" s="672"/>
      <c r="D411" s="672"/>
      <c r="E411" s="672"/>
      <c r="F411" s="672"/>
      <c r="G411" s="672"/>
      <c r="H411" s="672"/>
      <c r="I411" s="672"/>
      <c r="J411" s="672"/>
      <c r="K411" s="672"/>
      <c r="L411" s="672"/>
      <c r="M411" s="672"/>
      <c r="N411" s="672"/>
      <c r="O411" s="672"/>
      <c r="P411" s="672"/>
      <c r="Q411" s="672"/>
      <c r="R411" s="672"/>
      <c r="S411" s="672"/>
      <c r="T411" s="672"/>
      <c r="U411" s="672"/>
      <c r="V411" s="672"/>
      <c r="W411" s="672"/>
      <c r="X411" s="672"/>
      <c r="Y411" s="672"/>
      <c r="Z411" s="672"/>
      <c r="AA411" s="63"/>
      <c r="AB411" s="63"/>
      <c r="AC411" s="63"/>
    </row>
    <row r="412" spans="1:68" ht="27" customHeight="1" x14ac:dyDescent="0.25">
      <c r="A412" s="60" t="s">
        <v>646</v>
      </c>
      <c r="B412" s="60" t="s">
        <v>647</v>
      </c>
      <c r="C412" s="34">
        <v>4301031303</v>
      </c>
      <c r="D412" s="673">
        <v>4607091384802</v>
      </c>
      <c r="E412" s="673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220</v>
      </c>
      <c r="Y412" s="53">
        <f>IFERROR(IF(X412="",0,CEILING((X412/$H412),1)*$H412),"")</f>
        <v>223.38</v>
      </c>
      <c r="Z412" s="39">
        <f>IFERROR(IF(Y412=0,"",ROUNDUP(Y412/H412,0)*0.00902),"")</f>
        <v>0.46001999999999998</v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233.56164383561648</v>
      </c>
      <c r="BN412" s="75">
        <f>IFERROR(Y412*I412/H412,"0")</f>
        <v>237.15000000000003</v>
      </c>
      <c r="BO412" s="75">
        <f>IFERROR(1/J412*(X412/H412),"0")</f>
        <v>0.38051750380517507</v>
      </c>
      <c r="BP412" s="75">
        <f>IFERROR(1/J412*(Y412/H412),"0")</f>
        <v>0.38636363636363635</v>
      </c>
    </row>
    <row r="413" spans="1:68" ht="27" customHeight="1" x14ac:dyDescent="0.25">
      <c r="A413" s="60" t="s">
        <v>649</v>
      </c>
      <c r="B413" s="60" t="s">
        <v>650</v>
      </c>
      <c r="C413" s="34">
        <v>4301031304</v>
      </c>
      <c r="D413" s="673">
        <v>4607091384826</v>
      </c>
      <c r="E413" s="673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78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5"/>
      <c r="R413" s="675"/>
      <c r="S413" s="675"/>
      <c r="T413" s="676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39</v>
      </c>
      <c r="X414" s="41">
        <f>IFERROR(X412/H412,"0")+IFERROR(X413/H413,"0")</f>
        <v>50.228310502283108</v>
      </c>
      <c r="Y414" s="41">
        <f>IFERROR(Y412/H412,"0")+IFERROR(Y413/H413,"0")</f>
        <v>51</v>
      </c>
      <c r="Z414" s="41">
        <f>IFERROR(IF(Z412="",0,Z412),"0")+IFERROR(IF(Z413="",0,Z413),"0")</f>
        <v>0.46001999999999998</v>
      </c>
      <c r="AA414" s="64"/>
      <c r="AB414" s="64"/>
      <c r="AC414" s="64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77" t="s">
        <v>40</v>
      </c>
      <c r="Q415" s="678"/>
      <c r="R415" s="678"/>
      <c r="S415" s="678"/>
      <c r="T415" s="678"/>
      <c r="U415" s="678"/>
      <c r="V415" s="679"/>
      <c r="W415" s="40" t="s">
        <v>0</v>
      </c>
      <c r="X415" s="41">
        <f>IFERROR(SUM(X412:X413),"0")</f>
        <v>220</v>
      </c>
      <c r="Y415" s="41">
        <f>IFERROR(SUM(Y412:Y413),"0")</f>
        <v>223.38</v>
      </c>
      <c r="Z415" s="40"/>
      <c r="AA415" s="64"/>
      <c r="AB415" s="64"/>
      <c r="AC415" s="64"/>
    </row>
    <row r="416" spans="1:68" ht="14.25" customHeight="1" x14ac:dyDescent="0.25">
      <c r="A416" s="672" t="s">
        <v>78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3"/>
      <c r="AB416" s="63"/>
      <c r="AC416" s="63"/>
    </row>
    <row r="417" spans="1:68" ht="27" customHeight="1" x14ac:dyDescent="0.25">
      <c r="A417" s="60" t="s">
        <v>651</v>
      </c>
      <c r="B417" s="60" t="s">
        <v>652</v>
      </c>
      <c r="C417" s="34">
        <v>4301051899</v>
      </c>
      <c r="D417" s="673">
        <v>4607091384246</v>
      </c>
      <c r="E417" s="673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20</v>
      </c>
      <c r="Y417" s="53">
        <f>IFERROR(IF(X417="",0,CEILING((X417/$H417),1)*$H417),"")</f>
        <v>27</v>
      </c>
      <c r="Z417" s="39">
        <f>IFERROR(IF(Y417=0,"",ROUNDUP(Y417/H417,0)*0.01898),"")</f>
        <v>5.6940000000000004E-2</v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21.153333333333332</v>
      </c>
      <c r="BN417" s="75">
        <f>IFERROR(Y417*I417/H417,"0")</f>
        <v>28.556999999999999</v>
      </c>
      <c r="BO417" s="75">
        <f>IFERROR(1/J417*(X417/H417),"0")</f>
        <v>3.4722222222222224E-2</v>
      </c>
      <c r="BP417" s="75">
        <f>IFERROR(1/J417*(Y417/H417),"0")</f>
        <v>4.6875E-2</v>
      </c>
    </row>
    <row r="418" spans="1:68" ht="37.5" customHeight="1" x14ac:dyDescent="0.25">
      <c r="A418" s="60" t="s">
        <v>654</v>
      </c>
      <c r="B418" s="60" t="s">
        <v>655</v>
      </c>
      <c r="C418" s="34">
        <v>4301051901</v>
      </c>
      <c r="D418" s="673">
        <v>4680115881976</v>
      </c>
      <c r="E418" s="673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787" t="s">
        <v>656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658</v>
      </c>
      <c r="B419" s="60" t="s">
        <v>659</v>
      </c>
      <c r="C419" s="34">
        <v>4301051297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658</v>
      </c>
      <c r="B420" s="60" t="s">
        <v>661</v>
      </c>
      <c r="C420" s="34">
        <v>4301051660</v>
      </c>
      <c r="D420" s="673">
        <v>4607091384253</v>
      </c>
      <c r="E420" s="673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662</v>
      </c>
      <c r="B421" s="60" t="s">
        <v>663</v>
      </c>
      <c r="C421" s="34">
        <v>4301051444</v>
      </c>
      <c r="D421" s="673">
        <v>4680115881969</v>
      </c>
      <c r="E421" s="673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78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5"/>
      <c r="R421" s="675"/>
      <c r="S421" s="675"/>
      <c r="T421" s="676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39</v>
      </c>
      <c r="X422" s="41">
        <f>IFERROR(X417/H417,"0")+IFERROR(X418/H418,"0")+IFERROR(X419/H419,"0")+IFERROR(X420/H420,"0")+IFERROR(X421/H421,"0")</f>
        <v>2.2222222222222223</v>
      </c>
      <c r="Y422" s="41">
        <f>IFERROR(Y417/H417,"0")+IFERROR(Y418/H418,"0")+IFERROR(Y419/H419,"0")+IFERROR(Y420/H420,"0")+IFERROR(Y421/H421,"0")</f>
        <v>3</v>
      </c>
      <c r="Z422" s="41">
        <f>IFERROR(IF(Z417="",0,Z417),"0")+IFERROR(IF(Z418="",0,Z418),"0")+IFERROR(IF(Z419="",0,Z419),"0")+IFERROR(IF(Z420="",0,Z420),"0")+IFERROR(IF(Z421="",0,Z421),"0")</f>
        <v>5.6940000000000004E-2</v>
      </c>
      <c r="AA422" s="64"/>
      <c r="AB422" s="64"/>
      <c r="AC422" s="64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77" t="s">
        <v>40</v>
      </c>
      <c r="Q423" s="678"/>
      <c r="R423" s="678"/>
      <c r="S423" s="678"/>
      <c r="T423" s="678"/>
      <c r="U423" s="678"/>
      <c r="V423" s="679"/>
      <c r="W423" s="40" t="s">
        <v>0</v>
      </c>
      <c r="X423" s="41">
        <f>IFERROR(SUM(X417:X421),"0")</f>
        <v>20</v>
      </c>
      <c r="Y423" s="41">
        <f>IFERROR(SUM(Y417:Y421),"0")</f>
        <v>27</v>
      </c>
      <c r="Z423" s="40"/>
      <c r="AA423" s="64"/>
      <c r="AB423" s="64"/>
      <c r="AC423" s="64"/>
    </row>
    <row r="424" spans="1:68" ht="14.25" customHeight="1" x14ac:dyDescent="0.25">
      <c r="A424" s="672" t="s">
        <v>181</v>
      </c>
      <c r="B424" s="672"/>
      <c r="C424" s="672"/>
      <c r="D424" s="672"/>
      <c r="E424" s="672"/>
      <c r="F424" s="672"/>
      <c r="G424" s="672"/>
      <c r="H424" s="672"/>
      <c r="I424" s="672"/>
      <c r="J424" s="672"/>
      <c r="K424" s="672"/>
      <c r="L424" s="672"/>
      <c r="M424" s="672"/>
      <c r="N424" s="672"/>
      <c r="O424" s="672"/>
      <c r="P424" s="672"/>
      <c r="Q424" s="672"/>
      <c r="R424" s="672"/>
      <c r="S424" s="672"/>
      <c r="T424" s="672"/>
      <c r="U424" s="672"/>
      <c r="V424" s="672"/>
      <c r="W424" s="672"/>
      <c r="X424" s="672"/>
      <c r="Y424" s="672"/>
      <c r="Z424" s="672"/>
      <c r="AA424" s="63"/>
      <c r="AB424" s="63"/>
      <c r="AC424" s="63"/>
    </row>
    <row r="425" spans="1:68" ht="27" customHeight="1" x14ac:dyDescent="0.25">
      <c r="A425" s="60" t="s">
        <v>665</v>
      </c>
      <c r="B425" s="60" t="s">
        <v>666</v>
      </c>
      <c r="C425" s="34">
        <v>4301060441</v>
      </c>
      <c r="D425" s="673">
        <v>4607091389357</v>
      </c>
      <c r="E425" s="673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782" t="s">
        <v>667</v>
      </c>
      <c r="Q425" s="675"/>
      <c r="R425" s="675"/>
      <c r="S425" s="675"/>
      <c r="T425" s="676"/>
      <c r="U425" s="37" t="s">
        <v>45</v>
      </c>
      <c r="V425" s="37" t="s">
        <v>45</v>
      </c>
      <c r="W425" s="38" t="s">
        <v>0</v>
      </c>
      <c r="X425" s="56">
        <v>30</v>
      </c>
      <c r="Y425" s="53">
        <f>IFERROR(IF(X425="",0,CEILING((X425/$H425),1)*$H425),"")</f>
        <v>36</v>
      </c>
      <c r="Z425" s="39">
        <f>IFERROR(IF(Y425=0,"",ROUNDUP(Y425/H425,0)*0.01898),"")</f>
        <v>7.5920000000000001E-2</v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31.450000000000003</v>
      </c>
      <c r="BN425" s="75">
        <f>IFERROR(Y425*I425/H425,"0")</f>
        <v>37.74</v>
      </c>
      <c r="BO425" s="75">
        <f>IFERROR(1/J425*(X425/H425),"0")</f>
        <v>5.2083333333333336E-2</v>
      </c>
      <c r="BP425" s="75">
        <f>IFERROR(1/J425*(Y425/H425),"0")</f>
        <v>6.25E-2</v>
      </c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39</v>
      </c>
      <c r="X426" s="41">
        <f>IFERROR(X425/H425,"0")</f>
        <v>3.3333333333333335</v>
      </c>
      <c r="Y426" s="41">
        <f>IFERROR(Y425/H425,"0")</f>
        <v>4</v>
      </c>
      <c r="Z426" s="41">
        <f>IFERROR(IF(Z425="",0,Z425),"0")</f>
        <v>7.5920000000000001E-2</v>
      </c>
      <c r="AA426" s="64"/>
      <c r="AB426" s="64"/>
      <c r="AC426" s="64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77" t="s">
        <v>40</v>
      </c>
      <c r="Q427" s="678"/>
      <c r="R427" s="678"/>
      <c r="S427" s="678"/>
      <c r="T427" s="678"/>
      <c r="U427" s="678"/>
      <c r="V427" s="679"/>
      <c r="W427" s="40" t="s">
        <v>0</v>
      </c>
      <c r="X427" s="41">
        <f>IFERROR(SUM(X425:X425),"0")</f>
        <v>30</v>
      </c>
      <c r="Y427" s="41">
        <f>IFERROR(SUM(Y425:Y425),"0")</f>
        <v>36</v>
      </c>
      <c r="Z427" s="40"/>
      <c r="AA427" s="64"/>
      <c r="AB427" s="64"/>
      <c r="AC427" s="64"/>
    </row>
    <row r="428" spans="1:68" ht="27.75" customHeight="1" x14ac:dyDescent="0.2">
      <c r="A428" s="718" t="s">
        <v>669</v>
      </c>
      <c r="B428" s="718"/>
      <c r="C428" s="718"/>
      <c r="D428" s="718"/>
      <c r="E428" s="718"/>
      <c r="F428" s="718"/>
      <c r="G428" s="718"/>
      <c r="H428" s="718"/>
      <c r="I428" s="718"/>
      <c r="J428" s="718"/>
      <c r="K428" s="718"/>
      <c r="L428" s="718"/>
      <c r="M428" s="718"/>
      <c r="N428" s="718"/>
      <c r="O428" s="718"/>
      <c r="P428" s="718"/>
      <c r="Q428" s="718"/>
      <c r="R428" s="718"/>
      <c r="S428" s="718"/>
      <c r="T428" s="718"/>
      <c r="U428" s="718"/>
      <c r="V428" s="718"/>
      <c r="W428" s="718"/>
      <c r="X428" s="718"/>
      <c r="Y428" s="718"/>
      <c r="Z428" s="718"/>
      <c r="AA428" s="52"/>
      <c r="AB428" s="52"/>
      <c r="AC428" s="52"/>
    </row>
    <row r="429" spans="1:68" ht="16.5" customHeight="1" x14ac:dyDescent="0.25">
      <c r="A429" s="694" t="s">
        <v>670</v>
      </c>
      <c r="B429" s="694"/>
      <c r="C429" s="694"/>
      <c r="D429" s="694"/>
      <c r="E429" s="694"/>
      <c r="F429" s="694"/>
      <c r="G429" s="694"/>
      <c r="H429" s="694"/>
      <c r="I429" s="694"/>
      <c r="J429" s="694"/>
      <c r="K429" s="694"/>
      <c r="L429" s="694"/>
      <c r="M429" s="694"/>
      <c r="N429" s="694"/>
      <c r="O429" s="694"/>
      <c r="P429" s="694"/>
      <c r="Q429" s="694"/>
      <c r="R429" s="694"/>
      <c r="S429" s="694"/>
      <c r="T429" s="694"/>
      <c r="U429" s="694"/>
      <c r="V429" s="694"/>
      <c r="W429" s="694"/>
      <c r="X429" s="694"/>
      <c r="Y429" s="694"/>
      <c r="Z429" s="694"/>
      <c r="AA429" s="62"/>
      <c r="AB429" s="62"/>
      <c r="AC429" s="62"/>
    </row>
    <row r="430" spans="1:68" ht="14.25" customHeight="1" x14ac:dyDescent="0.25">
      <c r="A430" s="672" t="s">
        <v>155</v>
      </c>
      <c r="B430" s="672"/>
      <c r="C430" s="672"/>
      <c r="D430" s="672"/>
      <c r="E430" s="672"/>
      <c r="F430" s="672"/>
      <c r="G430" s="672"/>
      <c r="H430" s="672"/>
      <c r="I430" s="672"/>
      <c r="J430" s="672"/>
      <c r="K430" s="672"/>
      <c r="L430" s="672"/>
      <c r="M430" s="672"/>
      <c r="N430" s="672"/>
      <c r="O430" s="672"/>
      <c r="P430" s="672"/>
      <c r="Q430" s="672"/>
      <c r="R430" s="672"/>
      <c r="S430" s="672"/>
      <c r="T430" s="672"/>
      <c r="U430" s="672"/>
      <c r="V430" s="672"/>
      <c r="W430" s="672"/>
      <c r="X430" s="672"/>
      <c r="Y430" s="672"/>
      <c r="Z430" s="672"/>
      <c r="AA430" s="63"/>
      <c r="AB430" s="63"/>
      <c r="AC430" s="63"/>
    </row>
    <row r="431" spans="1:68" ht="27" customHeight="1" x14ac:dyDescent="0.25">
      <c r="A431" s="60" t="s">
        <v>671</v>
      </c>
      <c r="B431" s="60" t="s">
        <v>672</v>
      </c>
      <c r="C431" s="34">
        <v>4301031405</v>
      </c>
      <c r="D431" s="673">
        <v>4680115886100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771" t="s">
        <v>673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100</v>
      </c>
      <c r="Y431" s="53">
        <f t="shared" ref="Y431:Y442" si="62">IFERROR(IF(X431="",0,CEILING((X431/$H431),1)*$H431),"")</f>
        <v>102.60000000000001</v>
      </c>
      <c r="Z431" s="39">
        <f>IFERROR(IF(Y431=0,"",ROUNDUP(Y431/H431,0)*0.00902),"")</f>
        <v>0.17138</v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103.88888888888889</v>
      </c>
      <c r="BN431" s="75">
        <f t="shared" ref="BN431:BN442" si="64">IFERROR(Y431*I431/H431,"0")</f>
        <v>106.59000000000002</v>
      </c>
      <c r="BO431" s="75">
        <f t="shared" ref="BO431:BO442" si="65">IFERROR(1/J431*(X431/H431),"0")</f>
        <v>0.14029180695847362</v>
      </c>
      <c r="BP431" s="75">
        <f t="shared" ref="BP431:BP442" si="66">IFERROR(1/J431*(Y431/H431),"0")</f>
        <v>0.14393939393939395</v>
      </c>
    </row>
    <row r="432" spans="1:68" ht="27" customHeight="1" x14ac:dyDescent="0.25">
      <c r="A432" s="60" t="s">
        <v>675</v>
      </c>
      <c r="B432" s="60" t="s">
        <v>676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772" t="s">
        <v>677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customHeight="1" x14ac:dyDescent="0.25">
      <c r="A433" s="60" t="s">
        <v>675</v>
      </c>
      <c r="B433" s="60" t="s">
        <v>679</v>
      </c>
      <c r="C433" s="34">
        <v>4301031406</v>
      </c>
      <c r="D433" s="673">
        <v>4680115886117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773" t="s">
        <v>677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customHeight="1" x14ac:dyDescent="0.25">
      <c r="A434" s="60" t="s">
        <v>680</v>
      </c>
      <c r="B434" s="60" t="s">
        <v>681</v>
      </c>
      <c r="C434" s="34">
        <v>4301031402</v>
      </c>
      <c r="D434" s="673">
        <v>4680115886124</v>
      </c>
      <c r="E434" s="673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774" t="s">
        <v>682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150</v>
      </c>
      <c r="Y434" s="53">
        <f t="shared" si="62"/>
        <v>151.20000000000002</v>
      </c>
      <c r="Z434" s="39">
        <f>IFERROR(IF(Y434=0,"",ROUNDUP(Y434/H434,0)*0.00902),"")</f>
        <v>0.25256000000000001</v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155.83333333333331</v>
      </c>
      <c r="BN434" s="75">
        <f t="shared" si="64"/>
        <v>157.08000000000001</v>
      </c>
      <c r="BO434" s="75">
        <f t="shared" si="65"/>
        <v>0.21043771043771042</v>
      </c>
      <c r="BP434" s="75">
        <f t="shared" si="66"/>
        <v>0.21212121212121213</v>
      </c>
    </row>
    <row r="435" spans="1:68" ht="27" customHeight="1" x14ac:dyDescent="0.25">
      <c r="A435" s="60" t="s">
        <v>684</v>
      </c>
      <c r="B435" s="60" t="s">
        <v>685</v>
      </c>
      <c r="C435" s="34">
        <v>4301031335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77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customHeight="1" x14ac:dyDescent="0.25">
      <c r="A436" s="60" t="s">
        <v>684</v>
      </c>
      <c r="B436" s="60" t="s">
        <v>686</v>
      </c>
      <c r="C436" s="34">
        <v>4301031366</v>
      </c>
      <c r="D436" s="673">
        <v>4680115883147</v>
      </c>
      <c r="E436" s="673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776" t="s">
        <v>687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customHeight="1" x14ac:dyDescent="0.25">
      <c r="A437" s="60" t="s">
        <v>688</v>
      </c>
      <c r="B437" s="60" t="s">
        <v>689</v>
      </c>
      <c r="C437" s="34">
        <v>4301031362</v>
      </c>
      <c r="D437" s="673">
        <v>4607091384338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customHeight="1" x14ac:dyDescent="0.25">
      <c r="A438" s="60" t="s">
        <v>690</v>
      </c>
      <c r="B438" s="60" t="s">
        <v>691</v>
      </c>
      <c r="C438" s="34">
        <v>4301031361</v>
      </c>
      <c r="D438" s="673">
        <v>4607091389524</v>
      </c>
      <c r="E438" s="673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77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693</v>
      </c>
      <c r="B439" s="60" t="s">
        <v>694</v>
      </c>
      <c r="C439" s="34">
        <v>4301031337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76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693</v>
      </c>
      <c r="B440" s="60" t="s">
        <v>696</v>
      </c>
      <c r="C440" s="34">
        <v>4301031364</v>
      </c>
      <c r="D440" s="673">
        <v>4680115883161</v>
      </c>
      <c r="E440" s="673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766" t="s">
        <v>697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698</v>
      </c>
      <c r="B441" s="60" t="s">
        <v>699</v>
      </c>
      <c r="C441" s="34">
        <v>4301031358</v>
      </c>
      <c r="D441" s="673">
        <v>4607091389531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customHeight="1" x14ac:dyDescent="0.25">
      <c r="A442" s="60" t="s">
        <v>701</v>
      </c>
      <c r="B442" s="60" t="s">
        <v>702</v>
      </c>
      <c r="C442" s="34">
        <v>4301031360</v>
      </c>
      <c r="D442" s="673">
        <v>4607091384345</v>
      </c>
      <c r="E442" s="673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7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5"/>
      <c r="R442" s="675"/>
      <c r="S442" s="675"/>
      <c r="T442" s="676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46.296296296296291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47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0.42393999999999998</v>
      </c>
      <c r="AA443" s="64"/>
      <c r="AB443" s="64"/>
      <c r="AC443" s="64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77" t="s">
        <v>40</v>
      </c>
      <c r="Q444" s="678"/>
      <c r="R444" s="678"/>
      <c r="S444" s="678"/>
      <c r="T444" s="678"/>
      <c r="U444" s="678"/>
      <c r="V444" s="679"/>
      <c r="W444" s="40" t="s">
        <v>0</v>
      </c>
      <c r="X444" s="41">
        <f>IFERROR(SUM(X431:X442),"0")</f>
        <v>250</v>
      </c>
      <c r="Y444" s="41">
        <f>IFERROR(SUM(Y431:Y442),"0")</f>
        <v>253.8</v>
      </c>
      <c r="Z444" s="40"/>
      <c r="AA444" s="64"/>
      <c r="AB444" s="64"/>
      <c r="AC444" s="64"/>
    </row>
    <row r="445" spans="1:68" ht="14.25" customHeight="1" x14ac:dyDescent="0.25">
      <c r="A445" s="672" t="s">
        <v>78</v>
      </c>
      <c r="B445" s="672"/>
      <c r="C445" s="672"/>
      <c r="D445" s="672"/>
      <c r="E445" s="672"/>
      <c r="F445" s="672"/>
      <c r="G445" s="672"/>
      <c r="H445" s="672"/>
      <c r="I445" s="672"/>
      <c r="J445" s="672"/>
      <c r="K445" s="672"/>
      <c r="L445" s="672"/>
      <c r="M445" s="672"/>
      <c r="N445" s="672"/>
      <c r="O445" s="672"/>
      <c r="P445" s="672"/>
      <c r="Q445" s="672"/>
      <c r="R445" s="672"/>
      <c r="S445" s="672"/>
      <c r="T445" s="672"/>
      <c r="U445" s="672"/>
      <c r="V445" s="672"/>
      <c r="W445" s="672"/>
      <c r="X445" s="672"/>
      <c r="Y445" s="672"/>
      <c r="Z445" s="672"/>
      <c r="AA445" s="63"/>
      <c r="AB445" s="63"/>
      <c r="AC445" s="63"/>
    </row>
    <row r="446" spans="1:68" ht="27" customHeight="1" x14ac:dyDescent="0.25">
      <c r="A446" s="60" t="s">
        <v>703</v>
      </c>
      <c r="B446" s="60" t="s">
        <v>704</v>
      </c>
      <c r="C446" s="34">
        <v>4301051284</v>
      </c>
      <c r="D446" s="673">
        <v>4607091384352</v>
      </c>
      <c r="E446" s="673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7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customHeight="1" x14ac:dyDescent="0.25">
      <c r="A447" s="60" t="s">
        <v>706</v>
      </c>
      <c r="B447" s="60" t="s">
        <v>707</v>
      </c>
      <c r="C447" s="34">
        <v>4301051431</v>
      </c>
      <c r="D447" s="673">
        <v>4607091389654</v>
      </c>
      <c r="E447" s="673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77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5"/>
      <c r="R447" s="675"/>
      <c r="S447" s="675"/>
      <c r="T447" s="676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77" t="s">
        <v>40</v>
      </c>
      <c r="Q449" s="678"/>
      <c r="R449" s="678"/>
      <c r="S449" s="678"/>
      <c r="T449" s="678"/>
      <c r="U449" s="678"/>
      <c r="V449" s="67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customHeight="1" x14ac:dyDescent="0.25">
      <c r="A450" s="694" t="s">
        <v>709</v>
      </c>
      <c r="B450" s="694"/>
      <c r="C450" s="694"/>
      <c r="D450" s="694"/>
      <c r="E450" s="694"/>
      <c r="F450" s="694"/>
      <c r="G450" s="694"/>
      <c r="H450" s="694"/>
      <c r="I450" s="694"/>
      <c r="J450" s="694"/>
      <c r="K450" s="694"/>
      <c r="L450" s="694"/>
      <c r="M450" s="694"/>
      <c r="N450" s="694"/>
      <c r="O450" s="694"/>
      <c r="P450" s="694"/>
      <c r="Q450" s="694"/>
      <c r="R450" s="694"/>
      <c r="S450" s="694"/>
      <c r="T450" s="694"/>
      <c r="U450" s="694"/>
      <c r="V450" s="694"/>
      <c r="W450" s="694"/>
      <c r="X450" s="694"/>
      <c r="Y450" s="694"/>
      <c r="Z450" s="694"/>
      <c r="AA450" s="62"/>
      <c r="AB450" s="62"/>
      <c r="AC450" s="62"/>
    </row>
    <row r="451" spans="1:68" ht="14.25" customHeight="1" x14ac:dyDescent="0.25">
      <c r="A451" s="672" t="s">
        <v>144</v>
      </c>
      <c r="B451" s="672"/>
      <c r="C451" s="672"/>
      <c r="D451" s="672"/>
      <c r="E451" s="672"/>
      <c r="F451" s="672"/>
      <c r="G451" s="672"/>
      <c r="H451" s="672"/>
      <c r="I451" s="672"/>
      <c r="J451" s="672"/>
      <c r="K451" s="672"/>
      <c r="L451" s="672"/>
      <c r="M451" s="672"/>
      <c r="N451" s="672"/>
      <c r="O451" s="672"/>
      <c r="P451" s="672"/>
      <c r="Q451" s="672"/>
      <c r="R451" s="672"/>
      <c r="S451" s="672"/>
      <c r="T451" s="672"/>
      <c r="U451" s="672"/>
      <c r="V451" s="672"/>
      <c r="W451" s="672"/>
      <c r="X451" s="672"/>
      <c r="Y451" s="672"/>
      <c r="Z451" s="672"/>
      <c r="AA451" s="63"/>
      <c r="AB451" s="63"/>
      <c r="AC451" s="63"/>
    </row>
    <row r="452" spans="1:68" ht="27" customHeight="1" x14ac:dyDescent="0.25">
      <c r="A452" s="60" t="s">
        <v>710</v>
      </c>
      <c r="B452" s="60" t="s">
        <v>711</v>
      </c>
      <c r="C452" s="34">
        <v>4301020319</v>
      </c>
      <c r="D452" s="673">
        <v>4680115885240</v>
      </c>
      <c r="E452" s="673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713</v>
      </c>
      <c r="B453" s="60" t="s">
        <v>714</v>
      </c>
      <c r="C453" s="34">
        <v>4301020315</v>
      </c>
      <c r="D453" s="673">
        <v>4607091389364</v>
      </c>
      <c r="E453" s="673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76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5"/>
      <c r="R453" s="675"/>
      <c r="S453" s="675"/>
      <c r="T453" s="676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77" t="s">
        <v>40</v>
      </c>
      <c r="Q455" s="678"/>
      <c r="R455" s="678"/>
      <c r="S455" s="678"/>
      <c r="T455" s="678"/>
      <c r="U455" s="678"/>
      <c r="V455" s="67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customHeight="1" x14ac:dyDescent="0.25">
      <c r="A456" s="672" t="s">
        <v>155</v>
      </c>
      <c r="B456" s="672"/>
      <c r="C456" s="672"/>
      <c r="D456" s="672"/>
      <c r="E456" s="672"/>
      <c r="F456" s="672"/>
      <c r="G456" s="672"/>
      <c r="H456" s="672"/>
      <c r="I456" s="672"/>
      <c r="J456" s="672"/>
      <c r="K456" s="672"/>
      <c r="L456" s="672"/>
      <c r="M456" s="672"/>
      <c r="N456" s="672"/>
      <c r="O456" s="672"/>
      <c r="P456" s="672"/>
      <c r="Q456" s="672"/>
      <c r="R456" s="672"/>
      <c r="S456" s="672"/>
      <c r="T456" s="672"/>
      <c r="U456" s="672"/>
      <c r="V456" s="672"/>
      <c r="W456" s="672"/>
      <c r="X456" s="672"/>
      <c r="Y456" s="672"/>
      <c r="Z456" s="672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673">
        <v>4680115886094</v>
      </c>
      <c r="E457" s="673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761" t="s">
        <v>718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170</v>
      </c>
      <c r="Y457" s="53">
        <f>IFERROR(IF(X457="",0,CEILING((X457/$H457),1)*$H457),"")</f>
        <v>172.8</v>
      </c>
      <c r="Z457" s="39">
        <f>IFERROR(IF(Y457=0,"",ROUNDUP(Y457/H457,0)*0.00902),"")</f>
        <v>0.28864000000000001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176.61111111111111</v>
      </c>
      <c r="BN457" s="75">
        <f>IFERROR(Y457*I457/H457,"0")</f>
        <v>179.52</v>
      </c>
      <c r="BO457" s="75">
        <f>IFERROR(1/J457*(X457/H457),"0")</f>
        <v>0.23849607182940516</v>
      </c>
      <c r="BP457" s="75">
        <f>IFERROR(1/J457*(Y457/H457),"0")</f>
        <v>0.24242424242424243</v>
      </c>
    </row>
    <row r="458" spans="1:68" ht="27" customHeight="1" x14ac:dyDescent="0.25">
      <c r="A458" s="60" t="s">
        <v>720</v>
      </c>
      <c r="B458" s="60" t="s">
        <v>721</v>
      </c>
      <c r="C458" s="34">
        <v>4301031363</v>
      </c>
      <c r="D458" s="673">
        <v>4607091389425</v>
      </c>
      <c r="E458" s="673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76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723</v>
      </c>
      <c r="B459" s="60" t="s">
        <v>724</v>
      </c>
      <c r="C459" s="34">
        <v>4301031373</v>
      </c>
      <c r="D459" s="673">
        <v>4680115880771</v>
      </c>
      <c r="E459" s="673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763" t="s">
        <v>725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727</v>
      </c>
      <c r="B460" s="60" t="s">
        <v>728</v>
      </c>
      <c r="C460" s="34">
        <v>4301031359</v>
      </c>
      <c r="D460" s="673">
        <v>4607091389500</v>
      </c>
      <c r="E460" s="673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5"/>
      <c r="R460" s="675"/>
      <c r="S460" s="675"/>
      <c r="T460" s="676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39</v>
      </c>
      <c r="X461" s="41">
        <f>IFERROR(X457/H457,"0")+IFERROR(X458/H458,"0")+IFERROR(X459/H459,"0")+IFERROR(X460/H460,"0")</f>
        <v>31.481481481481481</v>
      </c>
      <c r="Y461" s="41">
        <f>IFERROR(Y457/H457,"0")+IFERROR(Y458/H458,"0")+IFERROR(Y459/H459,"0")+IFERROR(Y460/H460,"0")</f>
        <v>32</v>
      </c>
      <c r="Z461" s="41">
        <f>IFERROR(IF(Z457="",0,Z457),"0")+IFERROR(IF(Z458="",0,Z458),"0")+IFERROR(IF(Z459="",0,Z459),"0")+IFERROR(IF(Z460="",0,Z460),"0")</f>
        <v>0.28864000000000001</v>
      </c>
      <c r="AA461" s="64"/>
      <c r="AB461" s="64"/>
      <c r="AC461" s="64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77" t="s">
        <v>40</v>
      </c>
      <c r="Q462" s="678"/>
      <c r="R462" s="678"/>
      <c r="S462" s="678"/>
      <c r="T462" s="678"/>
      <c r="U462" s="678"/>
      <c r="V462" s="679"/>
      <c r="W462" s="40" t="s">
        <v>0</v>
      </c>
      <c r="X462" s="41">
        <f>IFERROR(SUM(X457:X460),"0")</f>
        <v>170</v>
      </c>
      <c r="Y462" s="41">
        <f>IFERROR(SUM(Y457:Y460),"0")</f>
        <v>172.8</v>
      </c>
      <c r="Z462" s="40"/>
      <c r="AA462" s="64"/>
      <c r="AB462" s="64"/>
      <c r="AC462" s="64"/>
    </row>
    <row r="463" spans="1:68" ht="16.5" customHeight="1" x14ac:dyDescent="0.25">
      <c r="A463" s="694" t="s">
        <v>729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62"/>
      <c r="AB463" s="62"/>
      <c r="AC463" s="62"/>
    </row>
    <row r="464" spans="1:68" ht="14.25" customHeight="1" x14ac:dyDescent="0.25">
      <c r="A464" s="672" t="s">
        <v>155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3"/>
      <c r="AB464" s="63"/>
      <c r="AC464" s="63"/>
    </row>
    <row r="465" spans="1:68" ht="27" customHeight="1" x14ac:dyDescent="0.25">
      <c r="A465" s="60" t="s">
        <v>730</v>
      </c>
      <c r="B465" s="60" t="s">
        <v>731</v>
      </c>
      <c r="C465" s="34">
        <v>4301031294</v>
      </c>
      <c r="D465" s="673">
        <v>4680115885189</v>
      </c>
      <c r="E465" s="673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756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733</v>
      </c>
      <c r="B466" s="60" t="s">
        <v>734</v>
      </c>
      <c r="C466" s="34">
        <v>4301031347</v>
      </c>
      <c r="D466" s="673">
        <v>4680115885110</v>
      </c>
      <c r="E466" s="673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757" t="s">
        <v>735</v>
      </c>
      <c r="Q466" s="675"/>
      <c r="R466" s="675"/>
      <c r="S466" s="675"/>
      <c r="T466" s="676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77" t="s">
        <v>40</v>
      </c>
      <c r="Q468" s="678"/>
      <c r="R468" s="678"/>
      <c r="S468" s="678"/>
      <c r="T468" s="678"/>
      <c r="U468" s="678"/>
      <c r="V468" s="67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customHeight="1" x14ac:dyDescent="0.25">
      <c r="A469" s="694" t="s">
        <v>737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4"/>
      <c r="N469" s="694"/>
      <c r="O469" s="694"/>
      <c r="P469" s="694"/>
      <c r="Q469" s="694"/>
      <c r="R469" s="694"/>
      <c r="S469" s="694"/>
      <c r="T469" s="694"/>
      <c r="U469" s="694"/>
      <c r="V469" s="694"/>
      <c r="W469" s="694"/>
      <c r="X469" s="694"/>
      <c r="Y469" s="694"/>
      <c r="Z469" s="694"/>
      <c r="AA469" s="62"/>
      <c r="AB469" s="62"/>
      <c r="AC469" s="62"/>
    </row>
    <row r="470" spans="1:68" ht="14.25" customHeight="1" x14ac:dyDescent="0.25">
      <c r="A470" s="672" t="s">
        <v>155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3"/>
      <c r="AB470" s="63"/>
      <c r="AC470" s="63"/>
    </row>
    <row r="471" spans="1:68" ht="27" customHeight="1" x14ac:dyDescent="0.25">
      <c r="A471" s="60" t="s">
        <v>738</v>
      </c>
      <c r="B471" s="60" t="s">
        <v>739</v>
      </c>
      <c r="C471" s="34">
        <v>4301031261</v>
      </c>
      <c r="D471" s="673">
        <v>4680115885103</v>
      </c>
      <c r="E471" s="673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75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5"/>
      <c r="R471" s="675"/>
      <c r="S471" s="675"/>
      <c r="T471" s="676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77" t="s">
        <v>40</v>
      </c>
      <c r="Q473" s="678"/>
      <c r="R473" s="678"/>
      <c r="S473" s="678"/>
      <c r="T473" s="678"/>
      <c r="U473" s="678"/>
      <c r="V473" s="67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72" t="s">
        <v>181</v>
      </c>
      <c r="B474" s="672"/>
      <c r="C474" s="672"/>
      <c r="D474" s="672"/>
      <c r="E474" s="672"/>
      <c r="F474" s="672"/>
      <c r="G474" s="672"/>
      <c r="H474" s="672"/>
      <c r="I474" s="672"/>
      <c r="J474" s="672"/>
      <c r="K474" s="672"/>
      <c r="L474" s="672"/>
      <c r="M474" s="672"/>
      <c r="N474" s="672"/>
      <c r="O474" s="672"/>
      <c r="P474" s="672"/>
      <c r="Q474" s="672"/>
      <c r="R474" s="672"/>
      <c r="S474" s="672"/>
      <c r="T474" s="672"/>
      <c r="U474" s="672"/>
      <c r="V474" s="672"/>
      <c r="W474" s="672"/>
      <c r="X474" s="672"/>
      <c r="Y474" s="672"/>
      <c r="Z474" s="672"/>
      <c r="AA474" s="63"/>
      <c r="AB474" s="63"/>
      <c r="AC474" s="63"/>
    </row>
    <row r="475" spans="1:68" ht="27" customHeight="1" x14ac:dyDescent="0.25">
      <c r="A475" s="60" t="s">
        <v>741</v>
      </c>
      <c r="B475" s="60" t="s">
        <v>742</v>
      </c>
      <c r="C475" s="34">
        <v>4301060412</v>
      </c>
      <c r="D475" s="673">
        <v>4680115885509</v>
      </c>
      <c r="E475" s="673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5"/>
      <c r="R475" s="675"/>
      <c r="S475" s="675"/>
      <c r="T475" s="676"/>
      <c r="U475" s="37" t="s">
        <v>45</v>
      </c>
      <c r="V475" s="37" t="s">
        <v>45</v>
      </c>
      <c r="W475" s="38" t="s">
        <v>0</v>
      </c>
      <c r="X475" s="56">
        <v>20</v>
      </c>
      <c r="Y475" s="53">
        <f>IFERROR(IF(X475="",0,CEILING((X475/$H475),1)*$H475),"")</f>
        <v>21.060000000000002</v>
      </c>
      <c r="Z475" s="39">
        <f>IFERROR(IF(Y475=0,"",ROUNDUP(Y475/H475,0)*0.00651),"")</f>
        <v>8.4629999999999997E-2</v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23.037037037037035</v>
      </c>
      <c r="BN475" s="75">
        <f>IFERROR(Y475*I475/H475,"0")</f>
        <v>24.257999999999999</v>
      </c>
      <c r="BO475" s="75">
        <f>IFERROR(1/J475*(X475/H475),"0")</f>
        <v>6.7833401166734503E-2</v>
      </c>
      <c r="BP475" s="75">
        <f>IFERROR(1/J475*(Y475/H475),"0")</f>
        <v>7.1428571428571438E-2</v>
      </c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39</v>
      </c>
      <c r="X476" s="41">
        <f>IFERROR(X475/H475,"0")</f>
        <v>12.345679012345679</v>
      </c>
      <c r="Y476" s="41">
        <f>IFERROR(Y475/H475,"0")</f>
        <v>13</v>
      </c>
      <c r="Z476" s="41">
        <f>IFERROR(IF(Z475="",0,Z475),"0")</f>
        <v>8.4629999999999997E-2</v>
      </c>
      <c r="AA476" s="64"/>
      <c r="AB476" s="64"/>
      <c r="AC476" s="64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77" t="s">
        <v>40</v>
      </c>
      <c r="Q477" s="678"/>
      <c r="R477" s="678"/>
      <c r="S477" s="678"/>
      <c r="T477" s="678"/>
      <c r="U477" s="678"/>
      <c r="V477" s="679"/>
      <c r="W477" s="40" t="s">
        <v>0</v>
      </c>
      <c r="X477" s="41">
        <f>IFERROR(SUM(X475:X475),"0")</f>
        <v>20</v>
      </c>
      <c r="Y477" s="41">
        <f>IFERROR(SUM(Y475:Y475),"0")</f>
        <v>21.060000000000002</v>
      </c>
      <c r="Z477" s="40"/>
      <c r="AA477" s="64"/>
      <c r="AB477" s="64"/>
      <c r="AC477" s="64"/>
    </row>
    <row r="478" spans="1:68" ht="27.75" customHeight="1" x14ac:dyDescent="0.2">
      <c r="A478" s="718" t="s">
        <v>744</v>
      </c>
      <c r="B478" s="718"/>
      <c r="C478" s="718"/>
      <c r="D478" s="718"/>
      <c r="E478" s="718"/>
      <c r="F478" s="718"/>
      <c r="G478" s="718"/>
      <c r="H478" s="718"/>
      <c r="I478" s="718"/>
      <c r="J478" s="718"/>
      <c r="K478" s="718"/>
      <c r="L478" s="718"/>
      <c r="M478" s="718"/>
      <c r="N478" s="718"/>
      <c r="O478" s="718"/>
      <c r="P478" s="718"/>
      <c r="Q478" s="718"/>
      <c r="R478" s="718"/>
      <c r="S478" s="718"/>
      <c r="T478" s="718"/>
      <c r="U478" s="718"/>
      <c r="V478" s="718"/>
      <c r="W478" s="718"/>
      <c r="X478" s="718"/>
      <c r="Y478" s="718"/>
      <c r="Z478" s="718"/>
      <c r="AA478" s="52"/>
      <c r="AB478" s="52"/>
      <c r="AC478" s="52"/>
    </row>
    <row r="479" spans="1:68" ht="16.5" customHeight="1" x14ac:dyDescent="0.25">
      <c r="A479" s="694" t="s">
        <v>744</v>
      </c>
      <c r="B479" s="694"/>
      <c r="C479" s="694"/>
      <c r="D479" s="694"/>
      <c r="E479" s="694"/>
      <c r="F479" s="694"/>
      <c r="G479" s="694"/>
      <c r="H479" s="694"/>
      <c r="I479" s="694"/>
      <c r="J479" s="694"/>
      <c r="K479" s="694"/>
      <c r="L479" s="694"/>
      <c r="M479" s="694"/>
      <c r="N479" s="694"/>
      <c r="O479" s="694"/>
      <c r="P479" s="694"/>
      <c r="Q479" s="694"/>
      <c r="R479" s="694"/>
      <c r="S479" s="694"/>
      <c r="T479" s="694"/>
      <c r="U479" s="694"/>
      <c r="V479" s="694"/>
      <c r="W479" s="694"/>
      <c r="X479" s="694"/>
      <c r="Y479" s="694"/>
      <c r="Z479" s="694"/>
      <c r="AA479" s="62"/>
      <c r="AB479" s="62"/>
      <c r="AC479" s="62"/>
    </row>
    <row r="480" spans="1:68" ht="14.25" customHeight="1" x14ac:dyDescent="0.25">
      <c r="A480" s="672" t="s">
        <v>101</v>
      </c>
      <c r="B480" s="672"/>
      <c r="C480" s="672"/>
      <c r="D480" s="672"/>
      <c r="E480" s="672"/>
      <c r="F480" s="672"/>
      <c r="G480" s="672"/>
      <c r="H480" s="672"/>
      <c r="I480" s="672"/>
      <c r="J480" s="672"/>
      <c r="K480" s="672"/>
      <c r="L480" s="672"/>
      <c r="M480" s="672"/>
      <c r="N480" s="672"/>
      <c r="O480" s="672"/>
      <c r="P480" s="672"/>
      <c r="Q480" s="672"/>
      <c r="R480" s="672"/>
      <c r="S480" s="672"/>
      <c r="T480" s="672"/>
      <c r="U480" s="672"/>
      <c r="V480" s="672"/>
      <c r="W480" s="672"/>
      <c r="X480" s="672"/>
      <c r="Y480" s="672"/>
      <c r="Z480" s="672"/>
      <c r="AA480" s="63"/>
      <c r="AB480" s="63"/>
      <c r="AC480" s="63"/>
    </row>
    <row r="481" spans="1:68" ht="27" customHeight="1" x14ac:dyDescent="0.25">
      <c r="A481" s="60" t="s">
        <v>745</v>
      </c>
      <c r="B481" s="60" t="s">
        <v>746</v>
      </c>
      <c r="C481" s="34">
        <v>4301011795</v>
      </c>
      <c r="D481" s="673">
        <v>4607091389067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customHeight="1" x14ac:dyDescent="0.25">
      <c r="A482" s="60" t="s">
        <v>748</v>
      </c>
      <c r="B482" s="60" t="s">
        <v>749</v>
      </c>
      <c r="C482" s="34">
        <v>4301011961</v>
      </c>
      <c r="D482" s="673">
        <v>4680115885271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751</v>
      </c>
      <c r="B483" s="60" t="s">
        <v>752</v>
      </c>
      <c r="C483" s="34">
        <v>4301011376</v>
      </c>
      <c r="D483" s="673">
        <v>4680115885226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5"/>
      <c r="R483" s="675"/>
      <c r="S483" s="675"/>
      <c r="T483" s="676"/>
      <c r="U483" s="37" t="s">
        <v>45</v>
      </c>
      <c r="V483" s="37" t="s">
        <v>45</v>
      </c>
      <c r="W483" s="38" t="s">
        <v>0</v>
      </c>
      <c r="X483" s="56">
        <v>460</v>
      </c>
      <c r="Y483" s="53">
        <f t="shared" si="68"/>
        <v>464.64000000000004</v>
      </c>
      <c r="Z483" s="39">
        <f>IFERROR(IF(Y483=0,"",ROUNDUP(Y483/H483,0)*0.01196),"")</f>
        <v>1.0524800000000001</v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491.36363636363626</v>
      </c>
      <c r="BN483" s="75">
        <f t="shared" si="70"/>
        <v>496.32000000000005</v>
      </c>
      <c r="BO483" s="75">
        <f t="shared" si="71"/>
        <v>0.83770396270396263</v>
      </c>
      <c r="BP483" s="75">
        <f t="shared" si="72"/>
        <v>0.84615384615384626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7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220</v>
      </c>
      <c r="Y484" s="53">
        <f t="shared" si="68"/>
        <v>221.76000000000002</v>
      </c>
      <c r="Z484" s="39">
        <f>IFERROR(IF(Y484=0,"",ROUNDUP(Y484/H484,0)*0.01196),"")</f>
        <v>0.50231999999999999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234.99999999999997</v>
      </c>
      <c r="BN484" s="75">
        <f t="shared" si="70"/>
        <v>236.88</v>
      </c>
      <c r="BO484" s="75">
        <f t="shared" si="71"/>
        <v>0.40064102564102566</v>
      </c>
      <c r="BP484" s="75">
        <f t="shared" si="72"/>
        <v>0.40384615384615385</v>
      </c>
    </row>
    <row r="485" spans="1:68" ht="16.5" customHeight="1" x14ac:dyDescent="0.25">
      <c r="A485" s="60" t="s">
        <v>757</v>
      </c>
      <c r="B485" s="60" t="s">
        <v>758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customHeight="1" x14ac:dyDescent="0.25">
      <c r="A486" s="60" t="s">
        <v>760</v>
      </c>
      <c r="B486" s="60" t="s">
        <v>761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743" t="s">
        <v>762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customHeight="1" x14ac:dyDescent="0.25">
      <c r="A487" s="60" t="s">
        <v>763</v>
      </c>
      <c r="B487" s="60" t="s">
        <v>764</v>
      </c>
      <c r="C487" s="34">
        <v>4301012035</v>
      </c>
      <c r="D487" s="673">
        <v>4680115880603</v>
      </c>
      <c r="E487" s="673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7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customHeight="1" x14ac:dyDescent="0.25">
      <c r="A488" s="60" t="s">
        <v>763</v>
      </c>
      <c r="B488" s="60" t="s">
        <v>765</v>
      </c>
      <c r="C488" s="34">
        <v>4301011778</v>
      </c>
      <c r="D488" s="673">
        <v>4680115880603</v>
      </c>
      <c r="E488" s="673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74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768</v>
      </c>
      <c r="B490" s="60" t="s">
        <v>769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747" t="s">
        <v>770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771</v>
      </c>
      <c r="B491" s="60" t="s">
        <v>772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748" t="s">
        <v>773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775</v>
      </c>
      <c r="B492" s="60" t="s">
        <v>776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749" t="s">
        <v>777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779</v>
      </c>
      <c r="B493" s="60" t="s">
        <v>780</v>
      </c>
      <c r="C493" s="34">
        <v>4301012034</v>
      </c>
      <c r="D493" s="673">
        <v>4607091389982</v>
      </c>
      <c r="E493" s="673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779</v>
      </c>
      <c r="B494" s="60" t="s">
        <v>781</v>
      </c>
      <c r="C494" s="34">
        <v>4301011784</v>
      </c>
      <c r="D494" s="673">
        <v>4607091389982</v>
      </c>
      <c r="E494" s="673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73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128.78787878787878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130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1.5548000000000002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IFERROR(SUM(X481:X495),"0")</f>
        <v>680</v>
      </c>
      <c r="Y497" s="41">
        <f>IFERROR(SUM(Y481:Y495),"0")</f>
        <v>686.40000000000009</v>
      </c>
      <c r="Z497" s="40"/>
      <c r="AA497" s="64"/>
      <c r="AB497" s="64"/>
      <c r="AC497" s="64"/>
    </row>
    <row r="498" spans="1:68" ht="14.25" customHeight="1" x14ac:dyDescent="0.25">
      <c r="A498" s="672" t="s">
        <v>144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410</v>
      </c>
      <c r="Y499" s="53">
        <f>IFERROR(IF(X499="",0,CEILING((X499/$H499),1)*$H499),"")</f>
        <v>411.84000000000003</v>
      </c>
      <c r="Z499" s="39">
        <f>IFERROR(IF(Y499=0,"",ROUNDUP(Y499/H499,0)*0.01196),"")</f>
        <v>0.93288000000000004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437.95454545454544</v>
      </c>
      <c r="BN499" s="75">
        <f>IFERROR(Y499*I499/H499,"0")</f>
        <v>439.91999999999996</v>
      </c>
      <c r="BO499" s="75">
        <f>IFERROR(1/J499*(X499/H499),"0")</f>
        <v>0.74664918414918413</v>
      </c>
      <c r="BP499" s="75">
        <f>IFERROR(1/J499*(Y499/H499),"0")</f>
        <v>0.75</v>
      </c>
    </row>
    <row r="500" spans="1:68" ht="16.5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77.651515151515142</v>
      </c>
      <c r="Y503" s="41">
        <f>IFERROR(Y499/H499,"0")+IFERROR(Y500/H500,"0")+IFERROR(Y501/H501,"0")+IFERROR(Y502/H502,"0")</f>
        <v>78</v>
      </c>
      <c r="Z503" s="41">
        <f>IFERROR(IF(Z499="",0,Z499),"0")+IFERROR(IF(Z500="",0,Z500),"0")+IFERROR(IF(Z501="",0,Z501),"0")+IFERROR(IF(Z502="",0,Z502),"0")</f>
        <v>0.93288000000000004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410</v>
      </c>
      <c r="Y504" s="41">
        <f>IFERROR(SUM(Y499:Y502),"0")</f>
        <v>411.84000000000003</v>
      </c>
      <c r="Z504" s="40"/>
      <c r="AA504" s="64"/>
      <c r="AB504" s="64"/>
      <c r="AC504" s="64"/>
    </row>
    <row r="505" spans="1:68" ht="14.25" customHeight="1" x14ac:dyDescent="0.25">
      <c r="A505" s="672" t="s">
        <v>155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ref="Y506:Y517" si="73">IFERROR(IF(X506="",0,CEILING((X506/$H506),1)*$H506),"")</f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128.18181818181816</v>
      </c>
      <c r="BN506" s="75">
        <f t="shared" ref="BN506:BN517" si="75">IFERROR(Y506*I506/H506,"0")</f>
        <v>129.72</v>
      </c>
      <c r="BO506" s="75">
        <f t="shared" ref="BO506:BO517" si="76">IFERROR(1/J506*(X506/H506),"0")</f>
        <v>0.21853146853146854</v>
      </c>
      <c r="BP506" s="75">
        <f t="shared" ref="BP506:BP517" si="77">IFERROR(1/J506*(Y506/H506),"0")</f>
        <v>0.22115384615384617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60</v>
      </c>
      <c r="Y507" s="53">
        <f t="shared" si="73"/>
        <v>63.36</v>
      </c>
      <c r="Z507" s="39">
        <f>IFERROR(IF(Y507=0,"",ROUNDUP(Y507/H507,0)*0.01196),"")</f>
        <v>0.14352000000000001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64.090909090909079</v>
      </c>
      <c r="BN507" s="75">
        <f t="shared" si="75"/>
        <v>67.679999999999993</v>
      </c>
      <c r="BO507" s="75">
        <f t="shared" si="76"/>
        <v>0.10926573426573427</v>
      </c>
      <c r="BP507" s="75">
        <f t="shared" si="77"/>
        <v>0.11538461538461539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80</v>
      </c>
      <c r="Y508" s="53">
        <f t="shared" si="73"/>
        <v>84.48</v>
      </c>
      <c r="Z508" s="39">
        <f>IFERROR(IF(Y508=0,"",ROUNDUP(Y508/H508,0)*0.01196),"")</f>
        <v>0.19136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85.454545454545453</v>
      </c>
      <c r="BN508" s="75">
        <f t="shared" si="75"/>
        <v>90.24</v>
      </c>
      <c r="BO508" s="75">
        <f t="shared" si="76"/>
        <v>0.14568764568764569</v>
      </c>
      <c r="BP508" s="75">
        <f t="shared" si="77"/>
        <v>0.15384615384615385</v>
      </c>
    </row>
    <row r="509" spans="1:68" ht="27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customHeight="1" x14ac:dyDescent="0.25">
      <c r="A510" s="60" t="s">
        <v>811</v>
      </c>
      <c r="B510" s="60" t="s">
        <v>812</v>
      </c>
      <c r="C510" s="34">
        <v>4301031351</v>
      </c>
      <c r="D510" s="673">
        <v>4680115882072</v>
      </c>
      <c r="E510" s="673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customHeight="1" x14ac:dyDescent="0.25">
      <c r="A512" s="60" t="s">
        <v>811</v>
      </c>
      <c r="B512" s="60" t="s">
        <v>816</v>
      </c>
      <c r="C512" s="34">
        <v>4301031419</v>
      </c>
      <c r="D512" s="673">
        <v>4680115882072</v>
      </c>
      <c r="E512" s="673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customHeight="1" x14ac:dyDescent="0.25">
      <c r="A516" s="60" t="s">
        <v>823</v>
      </c>
      <c r="B516" s="60" t="s">
        <v>826</v>
      </c>
      <c r="C516" s="34">
        <v>4301031384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72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customHeight="1" x14ac:dyDescent="0.25">
      <c r="A517" s="60" t="s">
        <v>823</v>
      </c>
      <c r="B517" s="60" t="s">
        <v>827</v>
      </c>
      <c r="C517" s="34">
        <v>4301031417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724" t="s">
        <v>828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49.242424242424242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51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0.60995999999999995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260</v>
      </c>
      <c r="Y519" s="41">
        <f>IFERROR(SUM(Y506:Y517),"0")</f>
        <v>269.28000000000003</v>
      </c>
      <c r="Z519" s="40"/>
      <c r="AA519" s="64"/>
      <c r="AB519" s="64"/>
      <c r="AC519" s="64"/>
    </row>
    <row r="520" spans="1:68" ht="14.25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customHeight="1" x14ac:dyDescent="0.25">
      <c r="A526" s="672" t="s">
        <v>181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customHeight="1" x14ac:dyDescent="0.25">
      <c r="A533" s="672" t="s">
        <v>101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200</v>
      </c>
      <c r="Y536" s="53">
        <f t="shared" si="78"/>
        <v>204</v>
      </c>
      <c r="Z536" s="39">
        <f>IFERROR(IF(Y536=0,"",ROUNDUP(Y536/H536,0)*0.01898),"")</f>
        <v>0.32266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207.25</v>
      </c>
      <c r="BN536" s="75">
        <f t="shared" si="80"/>
        <v>211.39500000000001</v>
      </c>
      <c r="BO536" s="75">
        <f t="shared" si="81"/>
        <v>0.26041666666666669</v>
      </c>
      <c r="BP536" s="75">
        <f t="shared" si="82"/>
        <v>0.265625</v>
      </c>
    </row>
    <row r="537" spans="1:68" ht="27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16.666666666666668</v>
      </c>
      <c r="Y540" s="41">
        <f>IFERROR(Y534/H534,"0")+IFERROR(Y535/H535,"0")+IFERROR(Y536/H536,"0")+IFERROR(Y537/H537,"0")+IFERROR(Y538/H538,"0")+IFERROR(Y539/H539,"0")</f>
        <v>17</v>
      </c>
      <c r="Z540" s="41">
        <f>IFERROR(IF(Z534="",0,Z534),"0")+IFERROR(IF(Z535="",0,Z535),"0")+IFERROR(IF(Z536="",0,Z536),"0")+IFERROR(IF(Z537="",0,Z537),"0")+IFERROR(IF(Z538="",0,Z538),"0")+IFERROR(IF(Z539="",0,Z539),"0")</f>
        <v>0.32266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200</v>
      </c>
      <c r="Y541" s="41">
        <f>IFERROR(SUM(Y534:Y539),"0")</f>
        <v>204</v>
      </c>
      <c r="Z541" s="40"/>
      <c r="AA541" s="64"/>
      <c r="AB541" s="64"/>
      <c r="AC541" s="64"/>
    </row>
    <row r="542" spans="1:68" ht="14.25" customHeight="1" x14ac:dyDescent="0.25">
      <c r="A542" s="672" t="s">
        <v>144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customHeight="1" x14ac:dyDescent="0.25">
      <c r="A550" s="672" t="s">
        <v>155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60</v>
      </c>
      <c r="Y551" s="53">
        <f t="shared" ref="Y551:Y557" si="83">IFERROR(IF(X551="",0,CEILING((X551/$H551),1)*$H551),"")</f>
        <v>63</v>
      </c>
      <c r="Z551" s="39">
        <f>IFERROR(IF(Y551=0,"",ROUNDUP(Y551/H551,0)*0.00902),"")</f>
        <v>0.1353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63.857142857142854</v>
      </c>
      <c r="BN551" s="75">
        <f t="shared" ref="BN551:BN557" si="85">IFERROR(Y551*I551/H551,"0")</f>
        <v>67.049999999999983</v>
      </c>
      <c r="BO551" s="75">
        <f t="shared" ref="BO551:BO557" si="86">IFERROR(1/J551*(X551/H551),"0")</f>
        <v>0.10822510822510822</v>
      </c>
      <c r="BP551" s="75">
        <f t="shared" ref="BP551:BP557" si="87">IFERROR(1/J551*(Y551/H551),"0")</f>
        <v>0.11363636363636365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60</v>
      </c>
      <c r="Y552" s="53">
        <f t="shared" si="83"/>
        <v>63</v>
      </c>
      <c r="Z552" s="39">
        <f>IFERROR(IF(Y552=0,"",ROUNDUP(Y552/H552,0)*0.00902),"")</f>
        <v>0.1353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63.857142857142854</v>
      </c>
      <c r="BN552" s="75">
        <f t="shared" si="85"/>
        <v>67.049999999999983</v>
      </c>
      <c r="BO552" s="75">
        <f t="shared" si="86"/>
        <v>0.10822510822510822</v>
      </c>
      <c r="BP552" s="75">
        <f t="shared" si="87"/>
        <v>0.11363636363636365</v>
      </c>
    </row>
    <row r="553" spans="1:68" ht="27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28.571428571428569</v>
      </c>
      <c r="Y558" s="41">
        <f>IFERROR(Y551/H551,"0")+IFERROR(Y552/H552,"0")+IFERROR(Y553/H553,"0")+IFERROR(Y554/H554,"0")+IFERROR(Y555/H555,"0")+IFERROR(Y556/H556,"0")+IFERROR(Y557/H557,"0")</f>
        <v>30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0.27060000000000001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120</v>
      </c>
      <c r="Y559" s="41">
        <f>IFERROR(SUM(Y551:Y557),"0")</f>
        <v>126</v>
      </c>
      <c r="Z559" s="40"/>
      <c r="AA559" s="64"/>
      <c r="AB559" s="64"/>
      <c r="AC559" s="64"/>
    </row>
    <row r="560" spans="1:68" ht="14.25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customHeight="1" x14ac:dyDescent="0.25">
      <c r="A561" s="60" t="s">
        <v>910</v>
      </c>
      <c r="B561" s="60" t="s">
        <v>911</v>
      </c>
      <c r="C561" s="34">
        <v>4301052046</v>
      </c>
      <c r="D561" s="673">
        <v>4640242180533</v>
      </c>
      <c r="E561" s="673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910</v>
      </c>
      <c r="B562" s="60" t="s">
        <v>914</v>
      </c>
      <c r="C562" s="34">
        <v>4301051887</v>
      </c>
      <c r="D562" s="673">
        <v>4640242180533</v>
      </c>
      <c r="E562" s="673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customHeight="1" x14ac:dyDescent="0.25">
      <c r="A568" s="672" t="s">
        <v>181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customHeight="1" x14ac:dyDescent="0.25">
      <c r="A569" s="60" t="s">
        <v>925</v>
      </c>
      <c r="B569" s="60" t="s">
        <v>926</v>
      </c>
      <c r="C569" s="34">
        <v>4301060485</v>
      </c>
      <c r="D569" s="673">
        <v>4640242180120</v>
      </c>
      <c r="E569" s="673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925</v>
      </c>
      <c r="B570" s="60" t="s">
        <v>929</v>
      </c>
      <c r="C570" s="34">
        <v>4301060496</v>
      </c>
      <c r="D570" s="673">
        <v>4640242180120</v>
      </c>
      <c r="E570" s="673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931</v>
      </c>
      <c r="B571" s="60" t="s">
        <v>932</v>
      </c>
      <c r="C571" s="34">
        <v>4301060486</v>
      </c>
      <c r="D571" s="673">
        <v>4640242180137</v>
      </c>
      <c r="E571" s="673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customHeight="1" x14ac:dyDescent="0.25">
      <c r="A572" s="60" t="s">
        <v>931</v>
      </c>
      <c r="B572" s="60" t="s">
        <v>935</v>
      </c>
      <c r="C572" s="34">
        <v>4301060498</v>
      </c>
      <c r="D572" s="673">
        <v>4640242180137</v>
      </c>
      <c r="E572" s="673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customHeight="1" x14ac:dyDescent="0.25">
      <c r="A576" s="672" t="s">
        <v>101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customHeight="1" x14ac:dyDescent="0.25">
      <c r="A580" s="672" t="s">
        <v>144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72" t="s">
        <v>155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18175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18332.18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18929.01162383964</v>
      </c>
      <c r="Y593" s="41">
        <f>IFERROR(SUM(BN22:BN589),"0")</f>
        <v>19095.050000000014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19629.01162383964</v>
      </c>
      <c r="Y595" s="41">
        <f>GrossWeightTotalR+PalletQtyTotalR*25</f>
        <v>19795.050000000014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1994.3321810889129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2018</v>
      </c>
      <c r="Z596" s="40"/>
      <c r="AA596" s="64"/>
      <c r="AB596" s="64"/>
      <c r="AC596" s="64"/>
    </row>
    <row r="597" spans="1:32" ht="14.25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30.443280000000001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99</v>
      </c>
      <c r="D599" s="669" t="s">
        <v>99</v>
      </c>
      <c r="E599" s="669" t="s">
        <v>99</v>
      </c>
      <c r="F599" s="669" t="s">
        <v>99</v>
      </c>
      <c r="G599" s="669" t="s">
        <v>99</v>
      </c>
      <c r="H599" s="669" t="s">
        <v>99</v>
      </c>
      <c r="I599" s="669" t="s">
        <v>297</v>
      </c>
      <c r="J599" s="669" t="s">
        <v>297</v>
      </c>
      <c r="K599" s="669" t="s">
        <v>297</v>
      </c>
      <c r="L599" s="669" t="s">
        <v>297</v>
      </c>
      <c r="M599" s="669" t="s">
        <v>297</v>
      </c>
      <c r="N599" s="686"/>
      <c r="O599" s="669" t="s">
        <v>297</v>
      </c>
      <c r="P599" s="669" t="s">
        <v>297</v>
      </c>
      <c r="Q599" s="669" t="s">
        <v>297</v>
      </c>
      <c r="R599" s="669" t="s">
        <v>297</v>
      </c>
      <c r="S599" s="669" t="s">
        <v>297</v>
      </c>
      <c r="T599" s="669" t="s">
        <v>297</v>
      </c>
      <c r="U599" s="669" t="s">
        <v>297</v>
      </c>
      <c r="V599" s="669" t="s">
        <v>297</v>
      </c>
      <c r="W599" s="669" t="s">
        <v>588</v>
      </c>
      <c r="X599" s="669" t="s">
        <v>588</v>
      </c>
      <c r="Y599" s="669" t="s">
        <v>669</v>
      </c>
      <c r="Z599" s="669" t="s">
        <v>669</v>
      </c>
      <c r="AA599" s="669" t="s">
        <v>669</v>
      </c>
      <c r="AB599" s="669" t="s">
        <v>669</v>
      </c>
      <c r="AC599" s="80" t="s">
        <v>744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100</v>
      </c>
      <c r="D600" s="669" t="s">
        <v>121</v>
      </c>
      <c r="E600" s="669" t="s">
        <v>189</v>
      </c>
      <c r="F600" s="669" t="s">
        <v>220</v>
      </c>
      <c r="G600" s="669" t="s">
        <v>265</v>
      </c>
      <c r="H600" s="669" t="s">
        <v>99</v>
      </c>
      <c r="I600" s="669" t="s">
        <v>298</v>
      </c>
      <c r="J600" s="669" t="s">
        <v>333</v>
      </c>
      <c r="K600" s="669" t="s">
        <v>394</v>
      </c>
      <c r="L600" s="669" t="s">
        <v>429</v>
      </c>
      <c r="M600" s="669" t="s">
        <v>447</v>
      </c>
      <c r="N600" s="1"/>
      <c r="O600" s="669" t="s">
        <v>451</v>
      </c>
      <c r="P600" s="669" t="s">
        <v>460</v>
      </c>
      <c r="Q600" s="669" t="s">
        <v>474</v>
      </c>
      <c r="R600" s="669" t="s">
        <v>484</v>
      </c>
      <c r="S600" s="669" t="s">
        <v>488</v>
      </c>
      <c r="T600" s="669" t="s">
        <v>496</v>
      </c>
      <c r="U600" s="669" t="s">
        <v>501</v>
      </c>
      <c r="V600" s="669" t="s">
        <v>575</v>
      </c>
      <c r="W600" s="669" t="s">
        <v>589</v>
      </c>
      <c r="X600" s="669" t="s">
        <v>630</v>
      </c>
      <c r="Y600" s="669" t="s">
        <v>670</v>
      </c>
      <c r="Z600" s="669" t="s">
        <v>709</v>
      </c>
      <c r="AA600" s="669" t="s">
        <v>729</v>
      </c>
      <c r="AB600" s="669" t="s">
        <v>737</v>
      </c>
      <c r="AC600" s="669" t="s">
        <v>744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0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113.4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81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124.19999999999999</v>
      </c>
      <c r="G602" s="50">
        <f>IFERROR(Y136*1,"0")+IFERROR(Y137*1,"0")+IFERROR(Y141*1,"0")+IFERROR(Y142*1,"0")+IFERROR(Y146*1,"0")+IFERROR(Y147*1,"0")</f>
        <v>32</v>
      </c>
      <c r="H602" s="50">
        <f>IFERROR(Y152*1,"0")+IFERROR(Y156*1,"0")+IFERROR(Y157*1,"0")+IFERROR(Y158*1,"0")+IFERROR(Y159*1,"0")+IFERROR(Y163*1,"0")+IFERROR(Y164*1,"0")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264.60000000000002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2782.7999999999997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40.32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285</v>
      </c>
      <c r="V602" s="50">
        <f>IFERROR(Y363*1,"0")+IFERROR(Y367*1,"0")+IFERROR(Y368*1,"0")+IFERROR(Y369*1,"0")</f>
        <v>24.299999999999997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12153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286.38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253.8</v>
      </c>
      <c r="Z602" s="50">
        <f>IFERROR(Y452*1,"0")+IFERROR(Y453*1,"0")+IFERROR(Y457*1,"0")+IFERROR(Y458*1,"0")+IFERROR(Y459*1,"0")+IFERROR(Y460*1,"0")</f>
        <v>172.8</v>
      </c>
      <c r="AA602" s="50">
        <f>IFERROR(Y465*1,"0")+IFERROR(Y466*1,"0")</f>
        <v>0</v>
      </c>
      <c r="AB602" s="50">
        <f>IFERROR(Y471*1,"0")+IFERROR(Y475*1,"0")</f>
        <v>21.060000000000002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1367.5200000000002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330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1218</vt:i4>
      </vt:variant>
    </vt:vector>
  </HeadingPairs>
  <TitlesOfParts>
    <vt:vector size="12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2025-04-08T08:26:27Z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