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WholesaleCustomers\"/>
    </mc:Choice>
  </mc:AlternateContent>
  <xr:revisionPtr revIDLastSave="0" documentId="13_ncr:1_{B6872B63-4D30-4EB3-B022-AE14C7044E5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заказа'!$B$47:$B$47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заказа'!$B$48:$B$48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заказа'!$B$408:$B$408</definedName>
    <definedName name="ProductId196">'Бланк заказа'!$B$412:$B$412</definedName>
    <definedName name="ProductId197">'Бланк заказа'!$B$413:$B$413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заказа'!$B$421:$B$421</definedName>
    <definedName name="ProductId203">'Бланк заказа'!$B$425:$B$425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заказа'!$B$452:$B$452</definedName>
    <definedName name="ProductId219">'Бланк заказа'!$B$453:$B$453</definedName>
    <definedName name="ProductId22">'Бланк заказа'!$B$64:$B$64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заказа'!$B$460:$B$460</definedName>
    <definedName name="ProductId224">'Бланк заказа'!$B$465:$B$465</definedName>
    <definedName name="ProductId225">'Бланк заказа'!$B$466:$B$466</definedName>
    <definedName name="ProductId226">'Бланк заказа'!$B$471:$B$471</definedName>
    <definedName name="ProductId227">'Бланк заказа'!$B$475:$B$475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заказа'!$B$70:$B$70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заказа'!$B$79:$B$79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заказа'!$B$29:$B$29</definedName>
    <definedName name="ProductId50">'Бланк заказа'!$B$112:$B$112</definedName>
    <definedName name="ProductId51">'Бланк заказа'!$B$113:$B$113</definedName>
    <definedName name="ProductId52">'Бланк заказа'!$B$114:$B$114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заказа'!$B$35:$B$35</definedName>
    <definedName name="ProductId60">'Бланк заказа'!$B$125:$B$125</definedName>
    <definedName name="ProductId61">'Бланк заказа'!$B$126:$B$126</definedName>
    <definedName name="ProductId62">'Бланк заказа'!$B$130:$B$130</definedName>
    <definedName name="ProductId63">'Бланк заказа'!$B$131:$B$131</definedName>
    <definedName name="ProductId64">'Бланк заказа'!$B$136:$B$136</definedName>
    <definedName name="ProductId65">'Бланк заказа'!$B$137:$B$137</definedName>
    <definedName name="ProductId66">'Бланк заказа'!$B$141:$B$141</definedName>
    <definedName name="ProductId67">'Бланк заказа'!$B$142:$B$142</definedName>
    <definedName name="ProductId68">'Бланк заказа'!$B$146:$B$146</definedName>
    <definedName name="ProductId69">'Бланк заказа'!$B$147:$B$147</definedName>
    <definedName name="ProductId7">'Бланк заказа'!$B$36:$B$36</definedName>
    <definedName name="ProductId70">'Бланк заказа'!$B$152:$B$152</definedName>
    <definedName name="ProductId71">'Бланк заказа'!$B$156:$B$156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заказа'!$B$163:$B$163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заказа'!$X$47:$X$47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заказа'!$X$48:$X$48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заказа'!$X$408:$X$408</definedName>
    <definedName name="SalesQty196">'Бланк заказа'!$X$412:$X$412</definedName>
    <definedName name="SalesQty197">'Бланк заказа'!$X$413:$X$413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заказа'!$X$421:$X$421</definedName>
    <definedName name="SalesQty203">'Бланк заказа'!$X$425:$X$425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заказа'!$X$452:$X$452</definedName>
    <definedName name="SalesQty219">'Бланк заказа'!$X$453:$X$453</definedName>
    <definedName name="SalesQty22">'Бланк заказа'!$X$64:$X$64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заказа'!$X$460:$X$460</definedName>
    <definedName name="SalesQty224">'Бланк заказа'!$X$465:$X$465</definedName>
    <definedName name="SalesQty225">'Бланк заказа'!$X$466:$X$466</definedName>
    <definedName name="SalesQty226">'Бланк заказа'!$X$471:$X$471</definedName>
    <definedName name="SalesQty227">'Бланк заказа'!$X$475:$X$475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заказа'!$X$70:$X$70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заказа'!$X$79:$X$79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заказа'!$X$29:$X$29</definedName>
    <definedName name="SalesQty50">'Бланк заказа'!$X$112:$X$112</definedName>
    <definedName name="SalesQty51">'Бланк заказа'!$X$113:$X$113</definedName>
    <definedName name="SalesQty52">'Бланк заказа'!$X$114:$X$114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заказа'!$X$35:$X$35</definedName>
    <definedName name="SalesQty60">'Бланк заказа'!$X$125:$X$125</definedName>
    <definedName name="SalesQty61">'Бланк заказа'!$X$126:$X$126</definedName>
    <definedName name="SalesQty62">'Бланк заказа'!$X$130:$X$130</definedName>
    <definedName name="SalesQty63">'Бланк заказа'!$X$131:$X$131</definedName>
    <definedName name="SalesQty64">'Бланк заказа'!$X$136:$X$136</definedName>
    <definedName name="SalesQty65">'Бланк заказа'!$X$137:$X$137</definedName>
    <definedName name="SalesQty66">'Бланк заказа'!$X$141:$X$141</definedName>
    <definedName name="SalesQty67">'Бланк заказа'!$X$142:$X$142</definedName>
    <definedName name="SalesQty68">'Бланк заказа'!$X$146:$X$146</definedName>
    <definedName name="SalesQty69">'Бланк заказа'!$X$147:$X$147</definedName>
    <definedName name="SalesQty7">'Бланк заказа'!$X$36:$X$36</definedName>
    <definedName name="SalesQty70">'Бланк заказа'!$X$152:$X$152</definedName>
    <definedName name="SalesQty71">'Бланк заказа'!$X$156:$X$156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заказа'!$X$163:$X$163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заказа'!$Y$47:$Y$47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заказа'!$Y$48:$Y$48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заказа'!$Y$408:$Y$408</definedName>
    <definedName name="SalesRoundBox196">'Бланк заказа'!$Y$412:$Y$412</definedName>
    <definedName name="SalesRoundBox197">'Бланк заказа'!$Y$413:$Y$413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заказа'!$Y$421:$Y$421</definedName>
    <definedName name="SalesRoundBox203">'Бланк заказа'!$Y$425:$Y$425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заказа'!$Y$452:$Y$452</definedName>
    <definedName name="SalesRoundBox219">'Бланк заказа'!$Y$453:$Y$453</definedName>
    <definedName name="SalesRoundBox22">'Бланк заказа'!$Y$64:$Y$64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заказа'!$Y$460:$Y$460</definedName>
    <definedName name="SalesRoundBox224">'Бланк заказа'!$Y$465:$Y$465</definedName>
    <definedName name="SalesRoundBox225">'Бланк заказа'!$Y$466:$Y$466</definedName>
    <definedName name="SalesRoundBox226">'Бланк заказа'!$Y$471:$Y$471</definedName>
    <definedName name="SalesRoundBox227">'Бланк заказа'!$Y$475:$Y$475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заказа'!$Y$70:$Y$70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заказа'!$Y$79:$Y$79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заказа'!$Y$29:$Y$29</definedName>
    <definedName name="SalesRoundBox50">'Бланк заказа'!$Y$112:$Y$112</definedName>
    <definedName name="SalesRoundBox51">'Бланк заказа'!$Y$113:$Y$113</definedName>
    <definedName name="SalesRoundBox52">'Бланк заказа'!$Y$114:$Y$114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заказа'!$Y$35:$Y$35</definedName>
    <definedName name="SalesRoundBox60">'Бланк заказа'!$Y$125:$Y$125</definedName>
    <definedName name="SalesRoundBox61">'Бланк заказа'!$Y$126:$Y$126</definedName>
    <definedName name="SalesRoundBox62">'Бланк заказа'!$Y$130:$Y$130</definedName>
    <definedName name="SalesRoundBox63">'Бланк заказа'!$Y$131:$Y$131</definedName>
    <definedName name="SalesRoundBox64">'Бланк заказа'!$Y$136:$Y$136</definedName>
    <definedName name="SalesRoundBox65">'Бланк заказа'!$Y$137:$Y$137</definedName>
    <definedName name="SalesRoundBox66">'Бланк заказа'!$Y$141:$Y$141</definedName>
    <definedName name="SalesRoundBox67">'Бланк заказа'!$Y$142:$Y$142</definedName>
    <definedName name="SalesRoundBox68">'Бланк заказа'!$Y$146:$Y$146</definedName>
    <definedName name="SalesRoundBox69">'Бланк заказа'!$Y$147:$Y$147</definedName>
    <definedName name="SalesRoundBox7">'Бланк заказа'!$Y$36:$Y$36</definedName>
    <definedName name="SalesRoundBox70">'Бланк заказа'!$Y$152:$Y$152</definedName>
    <definedName name="SalesRoundBox71">'Бланк заказа'!$Y$156:$Y$156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заказа'!$Y$163:$Y$163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заказа'!$W$47:$W$47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заказа'!$W$48:$W$48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заказа'!$W$408:$W$408</definedName>
    <definedName name="UnitOfMeasure196">'Бланк заказа'!$W$412:$W$412</definedName>
    <definedName name="UnitOfMeasure197">'Бланк заказа'!$W$413:$W$413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заказа'!$W$421:$W$421</definedName>
    <definedName name="UnitOfMeasure203">'Бланк заказа'!$W$425:$W$425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заказа'!$W$452:$W$452</definedName>
    <definedName name="UnitOfMeasure219">'Бланк заказа'!$W$453:$W$453</definedName>
    <definedName name="UnitOfMeasure22">'Бланк заказа'!$W$64:$W$64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заказа'!$W$460:$W$460</definedName>
    <definedName name="UnitOfMeasure224">'Бланк заказа'!$W$465:$W$465</definedName>
    <definedName name="UnitOfMeasure225">'Бланк заказа'!$W$466:$W$466</definedName>
    <definedName name="UnitOfMeasure226">'Бланк заказа'!$W$471:$W$471</definedName>
    <definedName name="UnitOfMeasure227">'Бланк заказа'!$W$475:$W$475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заказа'!$W$70:$W$70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заказа'!$W$79:$W$79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заказа'!$W$29:$W$29</definedName>
    <definedName name="UnitOfMeasure50">'Бланк заказа'!$W$112:$W$112</definedName>
    <definedName name="UnitOfMeasure51">'Бланк заказа'!$W$113:$W$113</definedName>
    <definedName name="UnitOfMeasure52">'Бланк заказа'!$W$114:$W$114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заказа'!$W$35:$W$35</definedName>
    <definedName name="UnitOfMeasure60">'Бланк заказа'!$W$125:$W$125</definedName>
    <definedName name="UnitOfMeasure61">'Бланк заказа'!$W$126:$W$126</definedName>
    <definedName name="UnitOfMeasure62">'Бланк заказа'!$W$130:$W$130</definedName>
    <definedName name="UnitOfMeasure63">'Бланк заказа'!$W$131:$W$131</definedName>
    <definedName name="UnitOfMeasure64">'Бланк заказа'!$W$136:$W$136</definedName>
    <definedName name="UnitOfMeasure65">'Бланк заказа'!$W$137:$W$137</definedName>
    <definedName name="UnitOfMeasure66">'Бланк заказа'!$W$141:$W$141</definedName>
    <definedName name="UnitOfMeasure67">'Бланк заказа'!$W$142:$W$142</definedName>
    <definedName name="UnitOfMeasure68">'Бланк заказа'!$W$146:$W$146</definedName>
    <definedName name="UnitOfMeasure69">'Бланк заказа'!$W$147:$W$147</definedName>
    <definedName name="UnitOfMeasure7">'Бланк заказа'!$W$36:$W$36</definedName>
    <definedName name="UnitOfMeasure70">'Бланк заказа'!$W$152:$W$152</definedName>
    <definedName name="UnitOfMeasure71">'Бланк заказа'!$W$156:$W$156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заказа'!$W$163:$W$163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X519" i="1"/>
  <c r="X518" i="1"/>
  <c r="BO517" i="1"/>
  <c r="BM517" i="1"/>
  <c r="Y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BO513" i="1"/>
  <c r="BM513" i="1"/>
  <c r="Y513" i="1"/>
  <c r="P513" i="1"/>
  <c r="BP512" i="1"/>
  <c r="BO512" i="1"/>
  <c r="BN512" i="1"/>
  <c r="BM512" i="1"/>
  <c r="Z512" i="1"/>
  <c r="Y512" i="1"/>
  <c r="BP511" i="1"/>
  <c r="BO511" i="1"/>
  <c r="BN511" i="1"/>
  <c r="BM511" i="1"/>
  <c r="Z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Y503" i="1"/>
  <c r="X503" i="1"/>
  <c r="BP502" i="1"/>
  <c r="BO502" i="1"/>
  <c r="BN502" i="1"/>
  <c r="BM502" i="1"/>
  <c r="Z502" i="1"/>
  <c r="Y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Z503" i="1" s="1"/>
  <c r="Y499" i="1"/>
  <c r="Y504" i="1" s="1"/>
  <c r="P499" i="1"/>
  <c r="X497" i="1"/>
  <c r="X496" i="1"/>
  <c r="BP495" i="1"/>
  <c r="BO495" i="1"/>
  <c r="BN495" i="1"/>
  <c r="BM495" i="1"/>
  <c r="Z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BP485" i="1"/>
  <c r="BO485" i="1"/>
  <c r="BN485" i="1"/>
  <c r="BM485" i="1"/>
  <c r="Z485" i="1"/>
  <c r="Y485" i="1"/>
  <c r="P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P481" i="1"/>
  <c r="BO481" i="1"/>
  <c r="BN481" i="1"/>
  <c r="BM481" i="1"/>
  <c r="Z481" i="1"/>
  <c r="Y481" i="1"/>
  <c r="P481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Z472" i="1" s="1"/>
  <c r="Y471" i="1"/>
  <c r="P471" i="1"/>
  <c r="X468" i="1"/>
  <c r="Y467" i="1"/>
  <c r="X467" i="1"/>
  <c r="BP466" i="1"/>
  <c r="BO466" i="1"/>
  <c r="BN466" i="1"/>
  <c r="BM466" i="1"/>
  <c r="Z466" i="1"/>
  <c r="Y466" i="1"/>
  <c r="BP465" i="1"/>
  <c r="BO465" i="1"/>
  <c r="BN465" i="1"/>
  <c r="BM465" i="1"/>
  <c r="Z465" i="1"/>
  <c r="Z467" i="1" s="1"/>
  <c r="Y465" i="1"/>
  <c r="AA602" i="1" s="1"/>
  <c r="P465" i="1"/>
  <c r="X462" i="1"/>
  <c r="X461" i="1"/>
  <c r="BP460" i="1"/>
  <c r="BO460" i="1"/>
  <c r="BN460" i="1"/>
  <c r="BM460" i="1"/>
  <c r="Z460" i="1"/>
  <c r="Y460" i="1"/>
  <c r="P460" i="1"/>
  <c r="BO459" i="1"/>
  <c r="BM459" i="1"/>
  <c r="Y459" i="1"/>
  <c r="BO458" i="1"/>
  <c r="BM458" i="1"/>
  <c r="Y458" i="1"/>
  <c r="P458" i="1"/>
  <c r="BP457" i="1"/>
  <c r="BO457" i="1"/>
  <c r="BN457" i="1"/>
  <c r="BM457" i="1"/>
  <c r="Z457" i="1"/>
  <c r="Y457" i="1"/>
  <c r="X455" i="1"/>
  <c r="X454" i="1"/>
  <c r="BO453" i="1"/>
  <c r="BM453" i="1"/>
  <c r="Y453" i="1"/>
  <c r="P453" i="1"/>
  <c r="BP452" i="1"/>
  <c r="BO452" i="1"/>
  <c r="BN452" i="1"/>
  <c r="BM452" i="1"/>
  <c r="Z452" i="1"/>
  <c r="Y452" i="1"/>
  <c r="P452" i="1"/>
  <c r="X449" i="1"/>
  <c r="Y448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BP435" i="1"/>
  <c r="BO435" i="1"/>
  <c r="BN435" i="1"/>
  <c r="BM435" i="1"/>
  <c r="Z435" i="1"/>
  <c r="Y435" i="1"/>
  <c r="P435" i="1"/>
  <c r="BO434" i="1"/>
  <c r="BM434" i="1"/>
  <c r="Y434" i="1"/>
  <c r="BO433" i="1"/>
  <c r="BM433" i="1"/>
  <c r="Y433" i="1"/>
  <c r="BO432" i="1"/>
  <c r="BM432" i="1"/>
  <c r="Y432" i="1"/>
  <c r="BO431" i="1"/>
  <c r="BM431" i="1"/>
  <c r="Y431" i="1"/>
  <c r="X427" i="1"/>
  <c r="Y426" i="1"/>
  <c r="X426" i="1"/>
  <c r="BP425" i="1"/>
  <c r="BO425" i="1"/>
  <c r="BN425" i="1"/>
  <c r="BM425" i="1"/>
  <c r="Z425" i="1"/>
  <c r="Z426" i="1" s="1"/>
  <c r="Y425" i="1"/>
  <c r="Y427" i="1" s="1"/>
  <c r="X423" i="1"/>
  <c r="X422" i="1"/>
  <c r="BO421" i="1"/>
  <c r="BM421" i="1"/>
  <c r="Y421" i="1"/>
  <c r="P421" i="1"/>
  <c r="BP420" i="1"/>
  <c r="BO420" i="1"/>
  <c r="BN420" i="1"/>
  <c r="BM420" i="1"/>
  <c r="Z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BP417" i="1"/>
  <c r="BO417" i="1"/>
  <c r="BN417" i="1"/>
  <c r="BM417" i="1"/>
  <c r="Z417" i="1"/>
  <c r="Y417" i="1"/>
  <c r="Y422" i="1" s="1"/>
  <c r="P417" i="1"/>
  <c r="X415" i="1"/>
  <c r="X414" i="1"/>
  <c r="BP413" i="1"/>
  <c r="BO413" i="1"/>
  <c r="BN413" i="1"/>
  <c r="BM413" i="1"/>
  <c r="Z413" i="1"/>
  <c r="Y413" i="1"/>
  <c r="P413" i="1"/>
  <c r="BO412" i="1"/>
  <c r="BM412" i="1"/>
  <c r="Y412" i="1"/>
  <c r="P412" i="1"/>
  <c r="X410" i="1"/>
  <c r="X409" i="1"/>
  <c r="BO408" i="1"/>
  <c r="BM408" i="1"/>
  <c r="Y408" i="1"/>
  <c r="P408" i="1"/>
  <c r="BP407" i="1"/>
  <c r="BO407" i="1"/>
  <c r="BN407" i="1"/>
  <c r="BM407" i="1"/>
  <c r="Z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BP403" i="1"/>
  <c r="BO403" i="1"/>
  <c r="BN403" i="1"/>
  <c r="BM403" i="1"/>
  <c r="Z403" i="1"/>
  <c r="Y403" i="1"/>
  <c r="P403" i="1"/>
  <c r="X400" i="1"/>
  <c r="Y399" i="1"/>
  <c r="X399" i="1"/>
  <c r="BP398" i="1"/>
  <c r="BO398" i="1"/>
  <c r="BN398" i="1"/>
  <c r="BM398" i="1"/>
  <c r="Z398" i="1"/>
  <c r="Z399" i="1" s="1"/>
  <c r="Y398" i="1"/>
  <c r="Y400" i="1" s="1"/>
  <c r="X396" i="1"/>
  <c r="X395" i="1"/>
  <c r="BO394" i="1"/>
  <c r="BM394" i="1"/>
  <c r="Y394" i="1"/>
  <c r="BO393" i="1"/>
  <c r="BM393" i="1"/>
  <c r="Y393" i="1"/>
  <c r="X391" i="1"/>
  <c r="X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X371" i="1"/>
  <c r="Y370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Y371" i="1" s="1"/>
  <c r="P367" i="1"/>
  <c r="X365" i="1"/>
  <c r="Y364" i="1"/>
  <c r="X364" i="1"/>
  <c r="BP363" i="1"/>
  <c r="BO363" i="1"/>
  <c r="BN363" i="1"/>
  <c r="BM363" i="1"/>
  <c r="Z363" i="1"/>
  <c r="Z364" i="1" s="1"/>
  <c r="Y363" i="1"/>
  <c r="V602" i="1" s="1"/>
  <c r="P363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P356" i="1"/>
  <c r="X354" i="1"/>
  <c r="Y353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BP349" i="1"/>
  <c r="BO349" i="1"/>
  <c r="BN349" i="1"/>
  <c r="BM349" i="1"/>
  <c r="Z349" i="1"/>
  <c r="Y349" i="1"/>
  <c r="Y354" i="1" s="1"/>
  <c r="X347" i="1"/>
  <c r="X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P338" i="1"/>
  <c r="BO338" i="1"/>
  <c r="BN338" i="1"/>
  <c r="BM338" i="1"/>
  <c r="Z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Y332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2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2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2" i="1" s="1"/>
  <c r="P265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BO241" i="1"/>
  <c r="BM241" i="1"/>
  <c r="Y241" i="1"/>
  <c r="P241" i="1"/>
  <c r="X239" i="1"/>
  <c r="X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Y209" i="1" s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Y183" i="1" s="1"/>
  <c r="P174" i="1"/>
  <c r="X172" i="1"/>
  <c r="Y171" i="1"/>
  <c r="X171" i="1"/>
  <c r="BP170" i="1"/>
  <c r="BO170" i="1"/>
  <c r="BN170" i="1"/>
  <c r="BM170" i="1"/>
  <c r="Z170" i="1"/>
  <c r="Z171" i="1" s="1"/>
  <c r="Y170" i="1"/>
  <c r="Y172" i="1" s="1"/>
  <c r="P170" i="1"/>
  <c r="X166" i="1"/>
  <c r="X165" i="1"/>
  <c r="BP164" i="1"/>
  <c r="BO164" i="1"/>
  <c r="BN164" i="1"/>
  <c r="BM164" i="1"/>
  <c r="Z164" i="1"/>
  <c r="Y164" i="1"/>
  <c r="P164" i="1"/>
  <c r="BO163" i="1"/>
  <c r="BM163" i="1"/>
  <c r="Y163" i="1"/>
  <c r="P163" i="1"/>
  <c r="X161" i="1"/>
  <c r="X160" i="1"/>
  <c r="BO159" i="1"/>
  <c r="BM159" i="1"/>
  <c r="Y159" i="1"/>
  <c r="P159" i="1"/>
  <c r="BP158" i="1"/>
  <c r="BO158" i="1"/>
  <c r="BN158" i="1"/>
  <c r="BM158" i="1"/>
  <c r="Z158" i="1"/>
  <c r="Y158" i="1"/>
  <c r="P158" i="1"/>
  <c r="BO157" i="1"/>
  <c r="BM157" i="1"/>
  <c r="Y157" i="1"/>
  <c r="P157" i="1"/>
  <c r="BP156" i="1"/>
  <c r="BO156" i="1"/>
  <c r="BN156" i="1"/>
  <c r="BM156" i="1"/>
  <c r="Z156" i="1"/>
  <c r="Y156" i="1"/>
  <c r="Y160" i="1" s="1"/>
  <c r="P156" i="1"/>
  <c r="X154" i="1"/>
  <c r="Y153" i="1"/>
  <c r="X153" i="1"/>
  <c r="BP152" i="1"/>
  <c r="BO152" i="1"/>
  <c r="BN152" i="1"/>
  <c r="BM152" i="1"/>
  <c r="Z152" i="1"/>
  <c r="Z153" i="1" s="1"/>
  <c r="Y152" i="1"/>
  <c r="P152" i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Y143" i="1" s="1"/>
  <c r="P141" i="1"/>
  <c r="X139" i="1"/>
  <c r="X138" i="1"/>
  <c r="BP137" i="1"/>
  <c r="BO137" i="1"/>
  <c r="BN137" i="1"/>
  <c r="BM137" i="1"/>
  <c r="Z137" i="1"/>
  <c r="Y137" i="1"/>
  <c r="P137" i="1"/>
  <c r="BO136" i="1"/>
  <c r="BM136" i="1"/>
  <c r="Y136" i="1"/>
  <c r="G602" i="1" s="1"/>
  <c r="P136" i="1"/>
  <c r="X133" i="1"/>
  <c r="X132" i="1"/>
  <c r="BO131" i="1"/>
  <c r="BM131" i="1"/>
  <c r="Y131" i="1"/>
  <c r="BP131" i="1" s="1"/>
  <c r="P131" i="1"/>
  <c r="BP130" i="1"/>
  <c r="BO130" i="1"/>
  <c r="BN130" i="1"/>
  <c r="BM130" i="1"/>
  <c r="Z130" i="1"/>
  <c r="Y130" i="1"/>
  <c r="Y132" i="1" s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Y125" i="1"/>
  <c r="BP125" i="1" s="1"/>
  <c r="P125" i="1"/>
  <c r="BP124" i="1"/>
  <c r="BO124" i="1"/>
  <c r="BN124" i="1"/>
  <c r="BM124" i="1"/>
  <c r="Z124" i="1"/>
  <c r="Y124" i="1"/>
  <c r="BP123" i="1"/>
  <c r="BO123" i="1"/>
  <c r="BN123" i="1"/>
  <c r="BM123" i="1"/>
  <c r="Z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BP119" i="1" s="1"/>
  <c r="BO118" i="1"/>
  <c r="BM118" i="1"/>
  <c r="Y118" i="1"/>
  <c r="Y128" i="1" s="1"/>
  <c r="P118" i="1"/>
  <c r="X116" i="1"/>
  <c r="X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5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X102" i="1"/>
  <c r="X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BO93" i="1"/>
  <c r="BM93" i="1"/>
  <c r="Y93" i="1"/>
  <c r="BP93" i="1" s="1"/>
  <c r="P93" i="1"/>
  <c r="BP92" i="1"/>
  <c r="BO92" i="1"/>
  <c r="BN92" i="1"/>
  <c r="BM92" i="1"/>
  <c r="Z92" i="1"/>
  <c r="Y92" i="1"/>
  <c r="Y102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X83" i="1"/>
  <c r="X82" i="1"/>
  <c r="BP81" i="1"/>
  <c r="BO81" i="1"/>
  <c r="BN81" i="1"/>
  <c r="BM81" i="1"/>
  <c r="Z81" i="1"/>
  <c r="Y81" i="1"/>
  <c r="P81" i="1"/>
  <c r="BO80" i="1"/>
  <c r="BM80" i="1"/>
  <c r="Y80" i="1"/>
  <c r="BP80" i="1" s="1"/>
  <c r="P80" i="1"/>
  <c r="BP79" i="1"/>
  <c r="BO79" i="1"/>
  <c r="BN79" i="1"/>
  <c r="BM79" i="1"/>
  <c r="Z79" i="1"/>
  <c r="Y79" i="1"/>
  <c r="Y83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Y77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Y67" i="1" s="1"/>
  <c r="P64" i="1"/>
  <c r="X62" i="1"/>
  <c r="X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Y61" i="1" s="1"/>
  <c r="P57" i="1"/>
  <c r="X55" i="1"/>
  <c r="X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X44" i="1"/>
  <c r="Y43" i="1"/>
  <c r="X43" i="1"/>
  <c r="BP42" i="1"/>
  <c r="BO42" i="1"/>
  <c r="BN42" i="1"/>
  <c r="BM42" i="1"/>
  <c r="Z42" i="1"/>
  <c r="Z43" i="1" s="1"/>
  <c r="Y42" i="1"/>
  <c r="Y44" i="1" s="1"/>
  <c r="P42" i="1"/>
  <c r="X40" i="1"/>
  <c r="X39" i="1"/>
  <c r="BP38" i="1"/>
  <c r="BO38" i="1"/>
  <c r="BN38" i="1"/>
  <c r="BM38" i="1"/>
  <c r="Z38" i="1"/>
  <c r="Y38" i="1"/>
  <c r="P38" i="1"/>
  <c r="BO37" i="1"/>
  <c r="BM37" i="1"/>
  <c r="Y37" i="1"/>
  <c r="BP37" i="1" s="1"/>
  <c r="P37" i="1"/>
  <c r="BP36" i="1"/>
  <c r="BO36" i="1"/>
  <c r="BN36" i="1"/>
  <c r="BM36" i="1"/>
  <c r="Z36" i="1"/>
  <c r="Y36" i="1"/>
  <c r="P36" i="1"/>
  <c r="BO35" i="1"/>
  <c r="BM35" i="1"/>
  <c r="Y35" i="1"/>
  <c r="C602" i="1" s="1"/>
  <c r="P35" i="1"/>
  <c r="X31" i="1"/>
  <c r="X30" i="1"/>
  <c r="BO29" i="1"/>
  <c r="BM29" i="1"/>
  <c r="Y29" i="1"/>
  <c r="Y30" i="1" s="1"/>
  <c r="P29" i="1"/>
  <c r="X27" i="1"/>
  <c r="X26" i="1"/>
  <c r="X596" i="1" s="1"/>
  <c r="BO25" i="1"/>
  <c r="BM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Y23" i="1"/>
  <c r="BP23" i="1" s="1"/>
  <c r="P23" i="1"/>
  <c r="BP22" i="1"/>
  <c r="BO22" i="1"/>
  <c r="BN22" i="1"/>
  <c r="BM22" i="1"/>
  <c r="X593" i="1" s="1"/>
  <c r="Z22" i="1"/>
  <c r="Y22" i="1"/>
  <c r="P22" i="1"/>
  <c r="H10" i="1"/>
  <c r="F10" i="1"/>
  <c r="J9" i="1"/>
  <c r="F9" i="1"/>
  <c r="A9" i="1"/>
  <c r="A10" i="1" s="1"/>
  <c r="D7" i="1"/>
  <c r="Q6" i="1"/>
  <c r="P2" i="1"/>
  <c r="Y31" i="1" l="1"/>
  <c r="Y39" i="1"/>
  <c r="Y54" i="1"/>
  <c r="Y62" i="1"/>
  <c r="Y68" i="1"/>
  <c r="Y27" i="1"/>
  <c r="Y76" i="1"/>
  <c r="Y82" i="1"/>
  <c r="Y89" i="1"/>
  <c r="Y101" i="1"/>
  <c r="Y110" i="1"/>
  <c r="Y116" i="1"/>
  <c r="Y127" i="1"/>
  <c r="Y133" i="1"/>
  <c r="Y138" i="1"/>
  <c r="Y144" i="1"/>
  <c r="Y149" i="1"/>
  <c r="BP146" i="1"/>
  <c r="BN146" i="1"/>
  <c r="Z146" i="1"/>
  <c r="Z148" i="1" s="1"/>
  <c r="BP159" i="1"/>
  <c r="BN159" i="1"/>
  <c r="Z159" i="1"/>
  <c r="Y161" i="1"/>
  <c r="Y166" i="1"/>
  <c r="BP163" i="1"/>
  <c r="BN163" i="1"/>
  <c r="Z163" i="1"/>
  <c r="Z165" i="1" s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Z198" i="1" s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Y243" i="1"/>
  <c r="BP241" i="1"/>
  <c r="BN241" i="1"/>
  <c r="Z241" i="1"/>
  <c r="BP257" i="1"/>
  <c r="BN257" i="1"/>
  <c r="Z257" i="1"/>
  <c r="Y261" i="1"/>
  <c r="BP271" i="1"/>
  <c r="BN271" i="1"/>
  <c r="Z271" i="1"/>
  <c r="Z273" i="1" s="1"/>
  <c r="BP280" i="1"/>
  <c r="BN280" i="1"/>
  <c r="Z280" i="1"/>
  <c r="BP331" i="1"/>
  <c r="BN331" i="1"/>
  <c r="Z331" i="1"/>
  <c r="Y333" i="1"/>
  <c r="Y340" i="1"/>
  <c r="BP335" i="1"/>
  <c r="BN335" i="1"/>
  <c r="Z335" i="1"/>
  <c r="BP339" i="1"/>
  <c r="BN339" i="1"/>
  <c r="Z339" i="1"/>
  <c r="Y341" i="1"/>
  <c r="Y346" i="1"/>
  <c r="BP343" i="1"/>
  <c r="BN343" i="1"/>
  <c r="Z343" i="1"/>
  <c r="Y347" i="1"/>
  <c r="Z359" i="1"/>
  <c r="BP357" i="1"/>
  <c r="BN357" i="1"/>
  <c r="Z357" i="1"/>
  <c r="Y359" i="1"/>
  <c r="BP394" i="1"/>
  <c r="BN394" i="1"/>
  <c r="Z394" i="1"/>
  <c r="Y396" i="1"/>
  <c r="BP404" i="1"/>
  <c r="BN404" i="1"/>
  <c r="Z404" i="1"/>
  <c r="Z409" i="1" s="1"/>
  <c r="BP408" i="1"/>
  <c r="BN408" i="1"/>
  <c r="Z408" i="1"/>
  <c r="Y410" i="1"/>
  <c r="Y415" i="1"/>
  <c r="BP412" i="1"/>
  <c r="BN412" i="1"/>
  <c r="Z412" i="1"/>
  <c r="Z414" i="1" s="1"/>
  <c r="Y414" i="1"/>
  <c r="I602" i="1"/>
  <c r="H9" i="1"/>
  <c r="B602" i="1"/>
  <c r="X594" i="1"/>
  <c r="X595" i="1" s="1"/>
  <c r="Z23" i="1"/>
  <c r="Z26" i="1" s="1"/>
  <c r="BN23" i="1"/>
  <c r="Y593" i="1" s="1"/>
  <c r="Z25" i="1"/>
  <c r="BN25" i="1"/>
  <c r="Y26" i="1"/>
  <c r="X592" i="1"/>
  <c r="Z29" i="1"/>
  <c r="Z30" i="1" s="1"/>
  <c r="BN29" i="1"/>
  <c r="BP29" i="1"/>
  <c r="Y594" i="1" s="1"/>
  <c r="Z35" i="1"/>
  <c r="Z39" i="1" s="1"/>
  <c r="BN35" i="1"/>
  <c r="BP35" i="1"/>
  <c r="Z37" i="1"/>
  <c r="BN37" i="1"/>
  <c r="Y40" i="1"/>
  <c r="D602" i="1"/>
  <c r="Z48" i="1"/>
  <c r="Z54" i="1" s="1"/>
  <c r="BN48" i="1"/>
  <c r="Z50" i="1"/>
  <c r="BN50" i="1"/>
  <c r="Z52" i="1"/>
  <c r="BN52" i="1"/>
  <c r="Y55" i="1"/>
  <c r="Z58" i="1"/>
  <c r="Z61" i="1" s="1"/>
  <c r="BN58" i="1"/>
  <c r="Z60" i="1"/>
  <c r="BN60" i="1"/>
  <c r="Z64" i="1"/>
  <c r="Z67" i="1" s="1"/>
  <c r="BN64" i="1"/>
  <c r="BP64" i="1"/>
  <c r="Z66" i="1"/>
  <c r="BN66" i="1"/>
  <c r="Z70" i="1"/>
  <c r="BN70" i="1"/>
  <c r="BP70" i="1"/>
  <c r="Z72" i="1"/>
  <c r="BN72" i="1"/>
  <c r="Z74" i="1"/>
  <c r="BN74" i="1"/>
  <c r="Z80" i="1"/>
  <c r="Z82" i="1" s="1"/>
  <c r="BN80" i="1"/>
  <c r="E602" i="1"/>
  <c r="Z87" i="1"/>
  <c r="Z89" i="1" s="1"/>
  <c r="BN87" i="1"/>
  <c r="Y90" i="1"/>
  <c r="Z93" i="1"/>
  <c r="Z101" i="1" s="1"/>
  <c r="BN93" i="1"/>
  <c r="Z94" i="1"/>
  <c r="BN94" i="1"/>
  <c r="Z95" i="1"/>
  <c r="BN95" i="1"/>
  <c r="Z96" i="1"/>
  <c r="BN96" i="1"/>
  <c r="Z97" i="1"/>
  <c r="BN97" i="1"/>
  <c r="Z99" i="1"/>
  <c r="BN99" i="1"/>
  <c r="F602" i="1"/>
  <c r="Z106" i="1"/>
  <c r="Z109" i="1" s="1"/>
  <c r="BN106" i="1"/>
  <c r="Z108" i="1"/>
  <c r="BN108" i="1"/>
  <c r="Y109" i="1"/>
  <c r="Z112" i="1"/>
  <c r="Z115" i="1" s="1"/>
  <c r="BN112" i="1"/>
  <c r="BP112" i="1"/>
  <c r="Z114" i="1"/>
  <c r="BN114" i="1"/>
  <c r="Z118" i="1"/>
  <c r="BN118" i="1"/>
  <c r="BP118" i="1"/>
  <c r="Z119" i="1"/>
  <c r="BN119" i="1"/>
  <c r="Z121" i="1"/>
  <c r="BN121" i="1"/>
  <c r="Z122" i="1"/>
  <c r="BN122" i="1"/>
  <c r="Z125" i="1"/>
  <c r="BN125" i="1"/>
  <c r="Z131" i="1"/>
  <c r="Z132" i="1" s="1"/>
  <c r="BN131" i="1"/>
  <c r="Z136" i="1"/>
  <c r="Z138" i="1" s="1"/>
  <c r="BN136" i="1"/>
  <c r="BP136" i="1"/>
  <c r="Y139" i="1"/>
  <c r="Z142" i="1"/>
  <c r="Z143" i="1" s="1"/>
  <c r="BN142" i="1"/>
  <c r="Y148" i="1"/>
  <c r="BP157" i="1"/>
  <c r="BN157" i="1"/>
  <c r="Z157" i="1"/>
  <c r="Z160" i="1" s="1"/>
  <c r="Y165" i="1"/>
  <c r="BP175" i="1"/>
  <c r="BN175" i="1"/>
  <c r="Z175" i="1"/>
  <c r="BP180" i="1"/>
  <c r="BN180" i="1"/>
  <c r="Z180" i="1"/>
  <c r="Y198" i="1"/>
  <c r="BP202" i="1"/>
  <c r="BN202" i="1"/>
  <c r="Z202" i="1"/>
  <c r="Z209" i="1" s="1"/>
  <c r="BP206" i="1"/>
  <c r="BN206" i="1"/>
  <c r="Z206" i="1"/>
  <c r="BP214" i="1"/>
  <c r="BN214" i="1"/>
  <c r="Z214" i="1"/>
  <c r="BP218" i="1"/>
  <c r="BN218" i="1"/>
  <c r="Z218" i="1"/>
  <c r="Y226" i="1"/>
  <c r="BP231" i="1"/>
  <c r="BN231" i="1"/>
  <c r="Z231" i="1"/>
  <c r="BP235" i="1"/>
  <c r="BN235" i="1"/>
  <c r="Z235" i="1"/>
  <c r="BP242" i="1"/>
  <c r="BN242" i="1"/>
  <c r="Z242" i="1"/>
  <c r="Y244" i="1"/>
  <c r="Y251" i="1"/>
  <c r="BP250" i="1"/>
  <c r="BN250" i="1"/>
  <c r="Z250" i="1"/>
  <c r="Z251" i="1" s="1"/>
  <c r="Y252" i="1"/>
  <c r="L602" i="1"/>
  <c r="Y262" i="1"/>
  <c r="BP255" i="1"/>
  <c r="BN255" i="1"/>
  <c r="Z255" i="1"/>
  <c r="Z261" i="1" s="1"/>
  <c r="BP259" i="1"/>
  <c r="BN259" i="1"/>
  <c r="Z259" i="1"/>
  <c r="Y273" i="1"/>
  <c r="BP278" i="1"/>
  <c r="BN278" i="1"/>
  <c r="Z278" i="1"/>
  <c r="Z282" i="1" s="1"/>
  <c r="Y282" i="1"/>
  <c r="BP309" i="1"/>
  <c r="BN309" i="1"/>
  <c r="Z309" i="1"/>
  <c r="Z310" i="1" s="1"/>
  <c r="Y311" i="1"/>
  <c r="T602" i="1"/>
  <c r="Y315" i="1"/>
  <c r="BP314" i="1"/>
  <c r="BN314" i="1"/>
  <c r="Z314" i="1"/>
  <c r="Z315" i="1" s="1"/>
  <c r="Y316" i="1"/>
  <c r="U602" i="1"/>
  <c r="Y326" i="1"/>
  <c r="BP319" i="1"/>
  <c r="BN319" i="1"/>
  <c r="Z319" i="1"/>
  <c r="Y325" i="1"/>
  <c r="BP323" i="1"/>
  <c r="BN323" i="1"/>
  <c r="Z323" i="1"/>
  <c r="BP376" i="1"/>
  <c r="BN376" i="1"/>
  <c r="Z376" i="1"/>
  <c r="Z385" i="1" s="1"/>
  <c r="BP380" i="1"/>
  <c r="BN380" i="1"/>
  <c r="Z380" i="1"/>
  <c r="BP384" i="1"/>
  <c r="BN384" i="1"/>
  <c r="Z384" i="1"/>
  <c r="Y386" i="1"/>
  <c r="Y391" i="1"/>
  <c r="BP388" i="1"/>
  <c r="BN388" i="1"/>
  <c r="Z388" i="1"/>
  <c r="Z390" i="1" s="1"/>
  <c r="Y390" i="1"/>
  <c r="BP421" i="1"/>
  <c r="BN421" i="1"/>
  <c r="Z421" i="1"/>
  <c r="Y423" i="1"/>
  <c r="Y602" i="1"/>
  <c r="Y443" i="1"/>
  <c r="BP431" i="1"/>
  <c r="BN431" i="1"/>
  <c r="Z431" i="1"/>
  <c r="Y444" i="1"/>
  <c r="BP433" i="1"/>
  <c r="BN433" i="1"/>
  <c r="Z433" i="1"/>
  <c r="BP437" i="1"/>
  <c r="BN437" i="1"/>
  <c r="Z437" i="1"/>
  <c r="BP440" i="1"/>
  <c r="BN440" i="1"/>
  <c r="Z440" i="1"/>
  <c r="BP453" i="1"/>
  <c r="BN453" i="1"/>
  <c r="Z453" i="1"/>
  <c r="Z454" i="1" s="1"/>
  <c r="Y455" i="1"/>
  <c r="BP458" i="1"/>
  <c r="BN458" i="1"/>
  <c r="Z458" i="1"/>
  <c r="Z461" i="1" s="1"/>
  <c r="Y461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496" i="1"/>
  <c r="Y518" i="1"/>
  <c r="Y519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17" i="1"/>
  <c r="BN517" i="1"/>
  <c r="Z517" i="1"/>
  <c r="Z602" i="1"/>
  <c r="H602" i="1"/>
  <c r="Y154" i="1"/>
  <c r="J602" i="1"/>
  <c r="Y193" i="1"/>
  <c r="K602" i="1"/>
  <c r="Y238" i="1"/>
  <c r="Y267" i="1"/>
  <c r="O602" i="1"/>
  <c r="Y274" i="1"/>
  <c r="P602" i="1"/>
  <c r="Y283" i="1"/>
  <c r="Y288" i="1"/>
  <c r="Y301" i="1"/>
  <c r="S602" i="1"/>
  <c r="Y306" i="1"/>
  <c r="Y310" i="1"/>
  <c r="BP321" i="1"/>
  <c r="BN321" i="1"/>
  <c r="Z321" i="1"/>
  <c r="BP329" i="1"/>
  <c r="BN329" i="1"/>
  <c r="Z329" i="1"/>
  <c r="Z332" i="1" s="1"/>
  <c r="BP337" i="1"/>
  <c r="BN337" i="1"/>
  <c r="Z337" i="1"/>
  <c r="BP345" i="1"/>
  <c r="BN345" i="1"/>
  <c r="Z345" i="1"/>
  <c r="Z353" i="1"/>
  <c r="BP351" i="1"/>
  <c r="BN351" i="1"/>
  <c r="Z351" i="1"/>
  <c r="Y360" i="1"/>
  <c r="BP368" i="1"/>
  <c r="BN368" i="1"/>
  <c r="Z368" i="1"/>
  <c r="Z370" i="1" s="1"/>
  <c r="BP378" i="1"/>
  <c r="BN378" i="1"/>
  <c r="Z378" i="1"/>
  <c r="BP382" i="1"/>
  <c r="BN382" i="1"/>
  <c r="Z382" i="1"/>
  <c r="Y395" i="1"/>
  <c r="BP393" i="1"/>
  <c r="BN393" i="1"/>
  <c r="Z393" i="1"/>
  <c r="Z395" i="1" s="1"/>
  <c r="BP406" i="1"/>
  <c r="BN406" i="1"/>
  <c r="Z406" i="1"/>
  <c r="BP419" i="1"/>
  <c r="BN419" i="1"/>
  <c r="Z419" i="1"/>
  <c r="Z422" i="1" s="1"/>
  <c r="BP432" i="1"/>
  <c r="BN432" i="1"/>
  <c r="Z432" i="1"/>
  <c r="BP434" i="1"/>
  <c r="BN434" i="1"/>
  <c r="Z434" i="1"/>
  <c r="BP439" i="1"/>
  <c r="BN439" i="1"/>
  <c r="Z439" i="1"/>
  <c r="BP442" i="1"/>
  <c r="BN442" i="1"/>
  <c r="Z442" i="1"/>
  <c r="Y449" i="1"/>
  <c r="BP446" i="1"/>
  <c r="BN446" i="1"/>
  <c r="Z446" i="1"/>
  <c r="Z448" i="1" s="1"/>
  <c r="Y454" i="1"/>
  <c r="Y462" i="1"/>
  <c r="BP459" i="1"/>
  <c r="BN459" i="1"/>
  <c r="Z459" i="1"/>
  <c r="Y365" i="1"/>
  <c r="W602" i="1"/>
  <c r="Y385" i="1"/>
  <c r="X602" i="1"/>
  <c r="Y409" i="1"/>
  <c r="Y468" i="1"/>
  <c r="AB602" i="1"/>
  <c r="Y473" i="1"/>
  <c r="BP484" i="1"/>
  <c r="BN484" i="1"/>
  <c r="Z484" i="1"/>
  <c r="Z496" i="1" s="1"/>
  <c r="BP489" i="1"/>
  <c r="BN489" i="1"/>
  <c r="Z489" i="1"/>
  <c r="BP491" i="1"/>
  <c r="BN491" i="1"/>
  <c r="Z491" i="1"/>
  <c r="BP494" i="1"/>
  <c r="BN494" i="1"/>
  <c r="Z494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BP523" i="1"/>
  <c r="BN523" i="1"/>
  <c r="Z523" i="1"/>
  <c r="Y525" i="1"/>
  <c r="Y529" i="1"/>
  <c r="BP527" i="1"/>
  <c r="BN527" i="1"/>
  <c r="Z527" i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AC602" i="1"/>
  <c r="Y497" i="1"/>
  <c r="Y524" i="1"/>
  <c r="BP521" i="1"/>
  <c r="BN521" i="1"/>
  <c r="Z521" i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Y595" i="1" l="1"/>
  <c r="Z548" i="1"/>
  <c r="Z518" i="1"/>
  <c r="Z443" i="1"/>
  <c r="Z325" i="1"/>
  <c r="Z346" i="1"/>
  <c r="Z340" i="1"/>
  <c r="Z566" i="1"/>
  <c r="Z524" i="1"/>
  <c r="Z529" i="1"/>
  <c r="Z238" i="1"/>
  <c r="Z183" i="1"/>
  <c r="Z127" i="1"/>
  <c r="Z76" i="1"/>
  <c r="Z597" i="1" s="1"/>
  <c r="Y596" i="1"/>
  <c r="Z243" i="1"/>
  <c r="Z221" i="1"/>
  <c r="Y592" i="1"/>
</calcChain>
</file>

<file path=xl/sharedStrings.xml><?xml version="1.0" encoding="utf-8"?>
<sst xmlns="http://schemas.openxmlformats.org/spreadsheetml/2006/main" count="2737" uniqueCount="969">
  <si>
    <t xml:space="preserve">  БЛАНК ЗАКАЗА </t>
  </si>
  <si>
    <t>КИ</t>
  </si>
  <si>
    <t>на отгрузку продукции с ООО Трейд-Сервис с</t>
  </si>
  <si>
    <t>07.04.2025</t>
  </si>
  <si>
    <t>бланк создан</t>
  </si>
  <si>
    <t>02.04.2025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</si>
  <si>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</si>
  <si>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</si>
  <si>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</si>
  <si>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</si>
  <si>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</si>
  <si>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</si>
  <si>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</si>
  <si>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</si>
  <si>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</si>
  <si>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</si>
  <si>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</si>
  <si>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</si>
  <si>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</si>
  <si>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</si>
  <si>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</si>
  <si>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</si>
  <si>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</si>
  <si>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</si>
  <si>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</si>
  <si>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</si>
  <si>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</si>
  <si>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</si>
  <si>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</si>
  <si>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</si>
  <si>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</si>
  <si>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</si>
  <si>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</si>
  <si>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</si>
  <si>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</si>
  <si>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</si>
  <si>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</si>
  <si>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</si>
  <si>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</si>
  <si>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</si>
  <si>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</si>
  <si>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</si>
  <si>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</si>
  <si>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</si>
  <si>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</si>
  <si>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</si>
  <si>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</si>
  <si>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</si>
  <si>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</si>
  <si>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</si>
  <si>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</si>
  <si>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</si>
  <si>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</si>
  <si>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</si>
  <si>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</si>
  <si>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</si>
  <si>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</si>
  <si>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</si>
  <si>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</si>
  <si>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</si>
  <si>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</si>
  <si>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</si>
  <si>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</si>
  <si>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</si>
  <si>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</si>
  <si>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</si>
  <si>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</si>
  <si>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</si>
  <si>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</si>
  <si>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</si>
  <si>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</si>
  <si>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</si>
  <si>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</si>
  <si>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</si>
  <si>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</si>
  <si>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</si>
  <si>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</si>
  <si>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</si>
  <si>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</si>
  <si>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</si>
  <si>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</si>
  <si>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</si>
  <si>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</si>
  <si>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</si>
  <si>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</si>
  <si>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</si>
  <si>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</si>
  <si>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</si>
  <si>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</si>
  <si>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</si>
  <si>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</si>
  <si>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</si>
  <si>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</si>
  <si>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</si>
  <si>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</si>
  <si>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</si>
  <si>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</si>
  <si>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</si>
  <si>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</si>
  <si>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</si>
  <si>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</si>
  <si>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</si>
  <si>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</si>
  <si>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</si>
  <si>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</si>
  <si>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</si>
  <si>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</si>
  <si>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</si>
  <si>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</si>
  <si>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</si>
  <si>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</si>
  <si>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</si>
  <si>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</si>
  <si>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</si>
  <si>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</si>
  <si>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</si>
  <si>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</si>
  <si>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</si>
  <si>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</si>
  <si>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</si>
  <si>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</si>
  <si>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</si>
  <si>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SU002785</t>
  </si>
  <si>
    <t>P003187</t>
  </si>
  <si>
    <t>ЕАЭС N RU Д-RU.РА05.В.44775/23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</si>
  <si>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</si>
  <si>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</si>
  <si>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</si>
  <si>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</si>
  <si>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</si>
  <si>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</si>
  <si>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</si>
  <si>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</si>
  <si>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</si>
  <si>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</si>
  <si>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</si>
  <si>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</si>
  <si>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</si>
  <si>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</si>
  <si>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</si>
  <si>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</si>
  <si>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</si>
  <si>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</si>
  <si>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</si>
  <si>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</si>
  <si>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</si>
  <si>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</si>
  <si>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</si>
  <si>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</si>
  <si>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</si>
  <si>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</si>
  <si>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</si>
  <si>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</si>
  <si>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</si>
  <si>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</si>
  <si>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</si>
  <si>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</si>
  <si>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</si>
  <si>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</si>
  <si>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</si>
  <si>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</si>
  <si>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</si>
  <si>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</si>
  <si>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</si>
  <si>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</si>
  <si>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</si>
  <si>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</si>
  <si>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</si>
  <si>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</si>
  <si>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</si>
  <si>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</si>
  <si>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</si>
  <si>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</si>
  <si>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</si>
  <si>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</si>
  <si>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</si>
  <si>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</si>
  <si>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</si>
  <si>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</si>
  <si>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</si>
  <si>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</si>
  <si>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</si>
  <si>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</si>
  <si>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</si>
  <si>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</si>
  <si>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</si>
  <si>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</si>
  <si>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</si>
  <si>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P003328</t>
  </si>
  <si>
    <t>ЕАЭС N RU Д-RU.РА01.В.20899/23, ЕАЭС N RU Д-RU.РА03.В.39392/23</t>
  </si>
  <si>
    <t>P003691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</si>
  <si>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</si>
  <si>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</si>
  <si>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</si>
  <si>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</si>
  <si>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</si>
  <si>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</si>
  <si>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</si>
  <si>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</si>
  <si>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</si>
  <si>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</si>
  <si>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</si>
  <si>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</si>
  <si>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</si>
  <si>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</si>
  <si>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</si>
  <si>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</si>
  <si>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</si>
  <si>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</si>
  <si>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</si>
  <si>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</si>
  <si>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</si>
  <si>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</si>
  <si>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</si>
  <si>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</si>
  <si>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</si>
  <si>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</si>
  <si>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</si>
  <si>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</si>
  <si>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</si>
  <si>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</si>
  <si>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</si>
  <si>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</si>
  <si>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</si>
  <si>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</si>
  <si>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</si>
  <si>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</si>
  <si>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</si>
  <si>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</si>
  <si>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</si>
  <si>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</si>
  <si>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</si>
  <si>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</si>
  <si>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</si>
  <si>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</si>
  <si>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</si>
  <si>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</si>
  <si>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</si>
  <si>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</si>
  <si>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</si>
  <si>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</si>
  <si>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</si>
  <si>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</si>
  <si>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</si>
  <si>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</si>
  <si>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</si>
  <si>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</si>
  <si>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</si>
  <si>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</si>
  <si>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</si>
  <si>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</si>
  <si>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</si>
  <si>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</si>
  <si>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</si>
  <si>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</si>
  <si>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</si>
  <si>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</si>
  <si>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</si>
  <si>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</si>
  <si>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</si>
  <si>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</si>
  <si>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</si>
  <si>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</si>
  <si>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</si>
  <si>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</si>
  <si>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</si>
  <si>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</si>
  <si>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</si>
  <si>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</si>
  <si>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</si>
  <si>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</si>
  <si>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</si>
  <si>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</si>
  <si>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</si>
  <si>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Д-RU.РА02.В.62668/22</t>
  </si>
  <si>
    <t>SU000097</t>
  </si>
  <si>
    <t>P002179</t>
  </si>
  <si>
    <t>ЕАЭС N RU Д-RU.РА02.В.56867/22</t>
  </si>
  <si>
    <t>SU000665</t>
  </si>
  <si>
    <t>P002178</t>
  </si>
  <si>
    <t>SU001527</t>
  </si>
  <si>
    <t>P003992</t>
  </si>
  <si>
    <t>ЕАЭС N RU Д-RU.РА07.В.08947/22</t>
  </si>
  <si>
    <t>SU001354</t>
  </si>
  <si>
    <t>P003030</t>
  </si>
  <si>
    <t>ЕАЭС N RU Д-RU.РА01.В.25957/22, ЕАЭС N RU Д-RU.РА10.В.03533/24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</si>
  <si>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</si>
  <si>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</si>
  <si>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</si>
  <si>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</si>
  <si>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</si>
  <si>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</si>
  <si>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</si>
  <si>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</si>
  <si>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</si>
  <si>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</si>
  <si>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</si>
  <si>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</si>
  <si>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</si>
  <si>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</si>
  <si>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</si>
  <si>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</si>
  <si>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</si>
  <si>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</si>
  <si>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</si>
  <si>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</si>
  <si>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</si>
  <si>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</si>
  <si>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</si>
  <si>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</si>
  <si>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</si>
  <si>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</si>
  <si>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</si>
  <si>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</si>
  <si>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</si>
  <si>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</si>
  <si>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</si>
  <si>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</si>
  <si>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</si>
  <si>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</si>
  <si>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</si>
  <si>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</si>
  <si>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</si>
  <si>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</si>
  <si>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</si>
  <si>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</si>
  <si>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</si>
  <si>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</si>
  <si>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</si>
  <si>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</si>
  <si>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</si>
  <si>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</si>
  <si>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</si>
  <si>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</si>
  <si>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</si>
  <si>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</si>
  <si>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</si>
  <si>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</si>
  <si>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</si>
  <si>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</si>
  <si>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</si>
  <si>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</si>
  <si>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</si>
  <si>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</si>
  <si>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</si>
  <si>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</si>
  <si>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</si>
  <si>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</si>
  <si>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</si>
  <si>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</si>
  <si>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</si>
  <si>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</si>
  <si>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</si>
  <si>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</si>
  <si>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</si>
  <si>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</si>
  <si>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</si>
  <si>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</si>
  <si>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</si>
  <si>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</si>
  <si>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</si>
  <si>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</si>
  <si>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</si>
  <si>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</si>
  <si>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</si>
  <si>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</si>
  <si>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</si>
  <si>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</si>
  <si>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</si>
  <si>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</si>
  <si>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</si>
  <si>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</si>
  <si>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</si>
  <si>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</si>
  <si>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</si>
  <si>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</si>
  <si>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</si>
  <si>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</si>
  <si>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</si>
  <si>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</si>
  <si>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</si>
  <si>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</si>
  <si>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</si>
  <si>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</si>
  <si>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</si>
  <si>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</si>
  <si>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</si>
  <si>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</si>
  <si>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</si>
  <si>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</si>
  <si>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</si>
  <si>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</si>
  <si>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</si>
  <si>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</si>
  <si>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</si>
  <si>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</si>
  <si>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Д-RU.РА02.В.59666/22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</si>
  <si>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</si>
  <si>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</si>
  <si>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</si>
  <si>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</si>
  <si>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</si>
  <si>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</si>
  <si>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</si>
  <si>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</si>
  <si>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</si>
  <si>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</si>
  <si>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</si>
  <si>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</si>
  <si>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</si>
  <si>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</si>
  <si>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</si>
  <si>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</si>
  <si>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</si>
  <si>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</si>
  <si>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</si>
  <si>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</si>
  <si>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</si>
  <si>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</si>
  <si>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</si>
  <si>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</si>
  <si>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</si>
  <si>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</si>
  <si>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</si>
  <si>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</si>
  <si>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</si>
  <si>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</si>
  <si>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</si>
  <si>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</si>
  <si>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</si>
  <si>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</si>
  <si>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</si>
  <si>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</si>
  <si>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</si>
  <si>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</si>
  <si>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</si>
  <si>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</si>
  <si>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</si>
  <si>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</si>
  <si>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</si>
  <si>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</si>
  <si>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</si>
  <si>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</si>
  <si>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</si>
  <si>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</si>
  <si>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</si>
  <si>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</si>
  <si>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</si>
  <si>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</si>
  <si>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</si>
  <si>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</si>
  <si>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</si>
  <si>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</si>
  <si>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</si>
  <si>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</si>
  <si>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</si>
  <si>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</si>
  <si>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</si>
  <si>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</si>
  <si>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</si>
  <si>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</si>
  <si>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</si>
  <si>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</si>
  <si>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</si>
  <si>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</si>
  <si>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</si>
  <si>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</si>
  <si>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</si>
  <si>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</si>
  <si>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</si>
  <si>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</si>
  <si>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</si>
  <si>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</si>
  <si>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</si>
  <si>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</si>
  <si>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</si>
  <si>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</si>
  <si>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</si>
  <si>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</si>
  <si>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</si>
  <si>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</si>
  <si>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</si>
  <si>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</si>
  <si>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</si>
  <si>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</si>
  <si>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</si>
  <si>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</si>
  <si>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</si>
  <si>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</si>
  <si>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</si>
  <si>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</si>
  <si>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</si>
  <si>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</si>
  <si>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</si>
  <si>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</si>
  <si>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</si>
  <si>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</si>
  <si>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</si>
  <si>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</si>
  <si>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</si>
  <si>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</si>
  <si>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</si>
  <si>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</si>
  <si>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</si>
  <si>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</si>
  <si>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</si>
  <si>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</si>
  <si>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</si>
  <si>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</si>
  <si>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Д-RU.РА02.В.56858/22</t>
  </si>
  <si>
    <t>SU001822</t>
  </si>
  <si>
    <t>P003013</t>
  </si>
  <si>
    <t>ЕАЭС N RU Д-RU.РА02.В.56859/22</t>
  </si>
  <si>
    <t>SU001801</t>
  </si>
  <si>
    <t>P003014</t>
  </si>
  <si>
    <t>ЕАЭС N RU Д-RU.РА02.В.56862/22</t>
  </si>
  <si>
    <t>SU002579</t>
  </si>
  <si>
    <t>P003012</t>
  </si>
  <si>
    <t>SU001340</t>
  </si>
  <si>
    <t>P002209</t>
  </si>
  <si>
    <t>ЕАЭС N RU Д-RU.РА02.В.59556/22, ЕАЭС N RU Д-RU.РА04.В.49333/24, ЕАЭС № RU Д-RU.АБ75.В.00705/19</t>
  </si>
  <si>
    <t>SU001727</t>
  </si>
  <si>
    <t>P002205</t>
  </si>
  <si>
    <t>ЕАЭС N RU Д-RU.РА02.В.59549/22, ЕАЭС N RU Д-RU.РА10.В.03664/24</t>
  </si>
  <si>
    <t>SU001728</t>
  </si>
  <si>
    <t>P002207</t>
  </si>
  <si>
    <t>ЕАЭС N RU Д-RU.РА02.В.59684/22, ЕАЭС N RU Д-RU.РА10.В.11265/24</t>
  </si>
  <si>
    <t>SU003333</t>
  </si>
  <si>
    <t>P004082</t>
  </si>
  <si>
    <t>ЕАЭС N RU Д-RU.РА02.В.59556/22, ЕАЭС N RU Д-RU.РА04.В.49333/24</t>
  </si>
  <si>
    <t>SU001762</t>
  </si>
  <si>
    <t>P002208</t>
  </si>
  <si>
    <t>ЕАЭС N RU Д-RU.РА02.В.59684/22, 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</si>
  <si>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</si>
  <si>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</si>
  <si>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</si>
  <si>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</si>
  <si>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</si>
  <si>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</si>
  <si>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</si>
  <si>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</si>
  <si>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</si>
  <si>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</si>
  <si>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</si>
  <si>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</si>
  <si>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</si>
  <si>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</si>
  <si>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</si>
  <si>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</si>
  <si>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</si>
  <si>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</si>
  <si>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</si>
  <si>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</si>
  <si>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</si>
  <si>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</si>
  <si>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</si>
  <si>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</si>
  <si>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</si>
  <si>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</si>
  <si>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</si>
  <si>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</si>
  <si>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</si>
  <si>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</si>
  <si>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</si>
  <si>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</si>
  <si>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</si>
  <si>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</si>
  <si>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</si>
  <si>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</si>
  <si>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</si>
  <si>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</si>
  <si>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</si>
  <si>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</si>
  <si>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</si>
  <si>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</si>
  <si>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</si>
  <si>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</si>
  <si>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</si>
  <si>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</si>
  <si>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</si>
  <si>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</si>
  <si>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</si>
  <si>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</si>
  <si>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</si>
  <si>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</si>
  <si>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</si>
  <si>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</si>
  <si>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</si>
  <si>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SU000251</t>
  </si>
  <si>
    <t>P002584</t>
  </si>
  <si>
    <t>ЕАЭС N RU Д-RU.РА09.В.35957/22</t>
  </si>
  <si>
    <t>SU003420</t>
  </si>
  <si>
    <t>P004293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</si>
  <si>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</si>
  <si>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</si>
  <si>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</si>
  <si>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</si>
  <si>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</si>
  <si>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</si>
  <si>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</si>
  <si>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</si>
  <si>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</si>
  <si>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</si>
  <si>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</si>
  <si>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</si>
  <si>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</si>
  <si>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</si>
  <si>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</si>
  <si>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</si>
  <si>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</si>
  <si>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</si>
  <si>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</si>
  <si>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</si>
  <si>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</si>
  <si>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</si>
  <si>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</si>
  <si>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</si>
  <si>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</si>
  <si>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</si>
  <si>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</si>
  <si>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</si>
  <si>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</si>
  <si>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</si>
  <si>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</si>
  <si>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</si>
  <si>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SU002187</t>
  </si>
  <si>
    <t>P002559</t>
  </si>
  <si>
    <t>ЕАЭС N RU Д-RU.РА01.В.58959/20, ЕАЭС N RU Д-RU.РА01.В.58970/20, ЕАЭС N RU Д-RU.РА09.В.43414/22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</si>
  <si>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</si>
  <si>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</si>
  <si>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</si>
  <si>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</si>
  <si>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</si>
  <si>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</si>
  <si>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</si>
  <si>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</si>
  <si>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</si>
  <si>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</si>
  <si>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</si>
  <si>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</si>
  <si>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</si>
  <si>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</si>
  <si>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</si>
  <si>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</si>
  <si>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</si>
  <si>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</si>
  <si>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</si>
  <si>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</si>
  <si>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</si>
  <si>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</si>
  <si>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</si>
  <si>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</si>
  <si>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</si>
  <si>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</si>
  <si>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</si>
  <si>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</si>
  <si>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</si>
  <si>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</si>
  <si>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</si>
  <si>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</si>
  <si>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</si>
  <si>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</si>
  <si>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</si>
  <si>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</si>
  <si>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</si>
  <si>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</si>
  <si>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</si>
  <si>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</si>
  <si>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</si>
  <si>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</si>
  <si>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</si>
  <si>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</si>
  <si>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</si>
  <si>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</si>
  <si>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</si>
  <si>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</si>
  <si>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</si>
  <si>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</si>
  <si>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</si>
  <si>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</si>
  <si>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</si>
  <si>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</si>
  <si>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</si>
  <si>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</si>
  <si>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</si>
  <si>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</si>
  <si>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</si>
  <si>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</si>
  <si>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</si>
  <si>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</si>
  <si>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</si>
  <si>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</si>
  <si>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</si>
  <si>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</si>
  <si>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</si>
  <si>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</si>
  <si>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</si>
  <si>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</si>
  <si>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</si>
  <si>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</si>
  <si>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</si>
  <si>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</si>
  <si>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</si>
  <si>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</si>
  <si>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</si>
  <si>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</si>
  <si>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</si>
  <si>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</si>
  <si>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</si>
  <si>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</si>
  <si>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</si>
  <si>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</si>
  <si>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</si>
  <si>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</si>
  <si>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</si>
  <si>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</si>
  <si>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</si>
  <si>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</si>
  <si>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</si>
  <si>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</si>
  <si>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</si>
  <si>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</si>
  <si>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</si>
  <si>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</si>
  <si>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</si>
  <si>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</si>
  <si>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</si>
  <si>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</si>
  <si>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</si>
  <si>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</si>
  <si>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</si>
  <si>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</si>
  <si>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</si>
  <si>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</si>
  <si>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</si>
  <si>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</si>
  <si>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Д-RU.РА02.В.62622/22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</si>
  <si>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</si>
  <si>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</si>
  <si>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</si>
  <si>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</si>
  <si>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</si>
  <si>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</si>
  <si>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</si>
  <si>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</si>
  <si>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</si>
  <si>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</si>
  <si>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</si>
  <si>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</si>
  <si>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</si>
  <si>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</si>
  <si>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</si>
  <si>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</si>
  <si>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</si>
  <si>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</si>
  <si>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</si>
  <si>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</si>
  <si>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</si>
  <si>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</si>
  <si>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</si>
  <si>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</si>
  <si>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</si>
  <si>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</si>
  <si>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</si>
  <si>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</si>
  <si>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</si>
  <si>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</si>
  <si>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ЕАЭС N RU Д-RU.РА02.В.59575/22, ЕАЭС N RU Д-RU.РА07.В.78433/22</t>
  </si>
  <si>
    <t>SU002631</t>
  </si>
  <si>
    <t>P004688</t>
  </si>
  <si>
    <t>P004048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</si>
  <si>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</si>
  <si>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</si>
  <si>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</si>
  <si>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</si>
  <si>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</si>
  <si>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</si>
  <si>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</si>
  <si>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</si>
  <si>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</si>
  <si>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</si>
  <si>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</si>
  <si>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</si>
  <si>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</si>
  <si>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</si>
  <si>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</si>
  <si>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</si>
  <si>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</si>
  <si>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</si>
  <si>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</si>
  <si>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</si>
  <si>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</si>
  <si>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</si>
  <si>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</si>
  <si>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</si>
  <si>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</si>
  <si>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</si>
  <si>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</si>
  <si>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</si>
  <si>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</si>
  <si>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</si>
  <si>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</si>
  <si>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</si>
  <si>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</si>
  <si>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</si>
  <si>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</si>
  <si>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</si>
  <si>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</si>
  <si>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</si>
  <si>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</si>
  <si>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</si>
  <si>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</si>
  <si>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</si>
  <si>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</si>
  <si>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</si>
  <si>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P004693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</si>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</sst>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63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0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6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8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A582" zoomScaleNormal="100" zoomScaleSheetLayoutView="100" workbookViewId="0">
      <selection activeCell="AA598" sqref="AA598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46" t="s">
        <v>0</v>
      </c>
      <c r="E1" s="696"/>
      <c r="F1" s="696"/>
      <c r="G1" s="12" t="s">
        <v>1</v>
      </c>
      <c r="H1" s="746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80"/>
      <c r="R2" s="680"/>
      <c r="S2" s="680"/>
      <c r="T2" s="680"/>
      <c r="U2" s="680"/>
      <c r="V2" s="680"/>
      <c r="W2" s="680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80"/>
      <c r="Q3" s="680"/>
      <c r="R3" s="680"/>
      <c r="S3" s="680"/>
      <c r="T3" s="680"/>
      <c r="U3" s="680"/>
      <c r="V3" s="680"/>
      <c r="W3" s="680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8" t="s">
        <v>8</v>
      </c>
      <c r="B5" s="809"/>
      <c r="C5" s="810"/>
      <c r="D5" s="753"/>
      <c r="E5" s="754"/>
      <c r="F5" s="1000" t="s">
        <v>9</v>
      </c>
      <c r="G5" s="810"/>
      <c r="H5" s="753"/>
      <c r="I5" s="937"/>
      <c r="J5" s="937"/>
      <c r="K5" s="937"/>
      <c r="L5" s="937"/>
      <c r="M5" s="754"/>
      <c r="N5" s="58"/>
      <c r="P5" s="24" t="s">
        <v>10</v>
      </c>
      <c r="Q5" s="1019">
        <v>45757</v>
      </c>
      <c r="R5" s="805"/>
      <c r="T5" s="851" t="s">
        <v>11</v>
      </c>
      <c r="U5" s="762"/>
      <c r="V5" s="852" t="s">
        <v>12</v>
      </c>
      <c r="W5" s="805"/>
      <c r="AB5" s="51"/>
      <c r="AC5" s="51"/>
      <c r="AD5" s="51"/>
      <c r="AE5" s="51"/>
    </row>
    <row r="6" spans="1:32" s="659" customFormat="1" ht="24" customHeight="1" x14ac:dyDescent="0.2">
      <c r="A6" s="808" t="s">
        <v>13</v>
      </c>
      <c r="B6" s="809"/>
      <c r="C6" s="810"/>
      <c r="D6" s="939" t="s">
        <v>14</v>
      </c>
      <c r="E6" s="940"/>
      <c r="F6" s="940"/>
      <c r="G6" s="940"/>
      <c r="H6" s="940"/>
      <c r="I6" s="940"/>
      <c r="J6" s="940"/>
      <c r="K6" s="940"/>
      <c r="L6" s="940"/>
      <c r="M6" s="805"/>
      <c r="N6" s="59"/>
      <c r="P6" s="24" t="s">
        <v>15</v>
      </c>
      <c r="Q6" s="1028" t="str">
        <f>IF(Q5=0," ",CHOOSE(WEEKDAY(Q5,2),"Понедельник","Вторник","Среда","Четверг","Пятница","Суббота","Воскресенье"))</f>
        <v>Четверг</v>
      </c>
      <c r="R6" s="670"/>
      <c r="T6" s="856" t="s">
        <v>16</v>
      </c>
      <c r="U6" s="762"/>
      <c r="V6" s="921" t="s">
        <v>17</v>
      </c>
      <c r="W6" s="710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19" t="str">
        <f>IFERROR(VLOOKUP(DeliveryAddress,Table,3,0),1)</f>
        <v>1</v>
      </c>
      <c r="E7" s="720"/>
      <c r="F7" s="720"/>
      <c r="G7" s="720"/>
      <c r="H7" s="720"/>
      <c r="I7" s="720"/>
      <c r="J7" s="720"/>
      <c r="K7" s="720"/>
      <c r="L7" s="720"/>
      <c r="M7" s="721"/>
      <c r="N7" s="60"/>
      <c r="P7" s="24"/>
      <c r="Q7" s="42"/>
      <c r="R7" s="42"/>
      <c r="T7" s="680"/>
      <c r="U7" s="762"/>
      <c r="V7" s="922"/>
      <c r="W7" s="923"/>
      <c r="AB7" s="51"/>
      <c r="AC7" s="51"/>
      <c r="AD7" s="51"/>
      <c r="AE7" s="51"/>
    </row>
    <row r="8" spans="1:32" s="659" customFormat="1" ht="25.5" customHeight="1" x14ac:dyDescent="0.2">
      <c r="A8" s="1044" t="s">
        <v>18</v>
      </c>
      <c r="B8" s="686"/>
      <c r="C8" s="687"/>
      <c r="D8" s="734" t="s">
        <v>19</v>
      </c>
      <c r="E8" s="735"/>
      <c r="F8" s="735"/>
      <c r="G8" s="735"/>
      <c r="H8" s="735"/>
      <c r="I8" s="735"/>
      <c r="J8" s="735"/>
      <c r="K8" s="735"/>
      <c r="L8" s="735"/>
      <c r="M8" s="736"/>
      <c r="N8" s="61"/>
      <c r="P8" s="24" t="s">
        <v>20</v>
      </c>
      <c r="Q8" s="816">
        <v>0.41666666666666669</v>
      </c>
      <c r="R8" s="721"/>
      <c r="T8" s="680"/>
      <c r="U8" s="762"/>
      <c r="V8" s="922"/>
      <c r="W8" s="923"/>
      <c r="AB8" s="51"/>
      <c r="AC8" s="51"/>
      <c r="AD8" s="51"/>
      <c r="AE8" s="51"/>
    </row>
    <row r="9" spans="1:32" s="659" customFormat="1" ht="39.950000000000003" customHeight="1" x14ac:dyDescent="0.2">
      <c r="A9" s="83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831"/>
      <c r="E9" s="684"/>
      <c r="F9" s="83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4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4"/>
      <c r="L9" s="684"/>
      <c r="M9" s="684"/>
      <c r="N9" s="657"/>
      <c r="P9" s="26" t="s">
        <v>21</v>
      </c>
      <c r="Q9" s="798"/>
      <c r="R9" s="799"/>
      <c r="T9" s="680"/>
      <c r="U9" s="762"/>
      <c r="V9" s="924"/>
      <c r="W9" s="925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831"/>
      <c r="E10" s="684"/>
      <c r="F10" s="83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914" t="str">
        <f>IFERROR(VLOOKUP($D$10,Proxy,2,FALSE),"")</f>
        <v/>
      </c>
      <c r="I10" s="680"/>
      <c r="J10" s="680"/>
      <c r="K10" s="680"/>
      <c r="L10" s="680"/>
      <c r="M10" s="680"/>
      <c r="N10" s="658"/>
      <c r="P10" s="26" t="s">
        <v>22</v>
      </c>
      <c r="Q10" s="857"/>
      <c r="R10" s="858"/>
      <c r="U10" s="24" t="s">
        <v>23</v>
      </c>
      <c r="V10" s="709" t="s">
        <v>24</v>
      </c>
      <c r="W10" s="710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4"/>
      <c r="R11" s="805"/>
      <c r="U11" s="24" t="s">
        <v>27</v>
      </c>
      <c r="V11" s="964" t="s">
        <v>28</v>
      </c>
      <c r="W11" s="799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8" t="s">
        <v>29</v>
      </c>
      <c r="B12" s="809"/>
      <c r="C12" s="809"/>
      <c r="D12" s="809"/>
      <c r="E12" s="809"/>
      <c r="F12" s="809"/>
      <c r="G12" s="809"/>
      <c r="H12" s="809"/>
      <c r="I12" s="809"/>
      <c r="J12" s="809"/>
      <c r="K12" s="809"/>
      <c r="L12" s="809"/>
      <c r="M12" s="810"/>
      <c r="N12" s="62"/>
      <c r="P12" s="24" t="s">
        <v>30</v>
      </c>
      <c r="Q12" s="816"/>
      <c r="R12" s="721"/>
      <c r="S12" s="23"/>
      <c r="U12" s="24"/>
      <c r="V12" s="696"/>
      <c r="W12" s="680"/>
      <c r="AB12" s="51"/>
      <c r="AC12" s="51"/>
      <c r="AD12" s="51"/>
      <c r="AE12" s="51"/>
    </row>
    <row r="13" spans="1:32" s="659" customFormat="1" ht="23.25" customHeight="1" x14ac:dyDescent="0.2">
      <c r="A13" s="848" t="s">
        <v>31</v>
      </c>
      <c r="B13" s="809"/>
      <c r="C13" s="809"/>
      <c r="D13" s="809"/>
      <c r="E13" s="809"/>
      <c r="F13" s="809"/>
      <c r="G13" s="809"/>
      <c r="H13" s="809"/>
      <c r="I13" s="809"/>
      <c r="J13" s="809"/>
      <c r="K13" s="809"/>
      <c r="L13" s="809"/>
      <c r="M13" s="810"/>
      <c r="N13" s="62"/>
      <c r="O13" s="26"/>
      <c r="P13" s="26" t="s">
        <v>32</v>
      </c>
      <c r="Q13" s="964"/>
      <c r="R13" s="79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8" t="s">
        <v>33</v>
      </c>
      <c r="B14" s="809"/>
      <c r="C14" s="809"/>
      <c r="D14" s="809"/>
      <c r="E14" s="809"/>
      <c r="F14" s="809"/>
      <c r="G14" s="809"/>
      <c r="H14" s="809"/>
      <c r="I14" s="809"/>
      <c r="J14" s="809"/>
      <c r="K14" s="809"/>
      <c r="L14" s="809"/>
      <c r="M14" s="81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78" t="s">
        <v>34</v>
      </c>
      <c r="B15" s="809"/>
      <c r="C15" s="809"/>
      <c r="D15" s="809"/>
      <c r="E15" s="809"/>
      <c r="F15" s="809"/>
      <c r="G15" s="809"/>
      <c r="H15" s="809"/>
      <c r="I15" s="809"/>
      <c r="J15" s="809"/>
      <c r="K15" s="809"/>
      <c r="L15" s="809"/>
      <c r="M15" s="810"/>
      <c r="N15" s="63"/>
      <c r="P15" s="836" t="s">
        <v>35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7"/>
      <c r="Q16" s="837"/>
      <c r="R16" s="837"/>
      <c r="S16" s="837"/>
      <c r="T16" s="83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5" t="s">
        <v>36</v>
      </c>
      <c r="B17" s="705" t="s">
        <v>37</v>
      </c>
      <c r="C17" s="822" t="s">
        <v>38</v>
      </c>
      <c r="D17" s="705" t="s">
        <v>39</v>
      </c>
      <c r="E17" s="778"/>
      <c r="F17" s="705" t="s">
        <v>40</v>
      </c>
      <c r="G17" s="705" t="s">
        <v>41</v>
      </c>
      <c r="H17" s="705" t="s">
        <v>42</v>
      </c>
      <c r="I17" s="705" t="s">
        <v>43</v>
      </c>
      <c r="J17" s="705" t="s">
        <v>44</v>
      </c>
      <c r="K17" s="705" t="s">
        <v>45</v>
      </c>
      <c r="L17" s="705" t="s">
        <v>46</v>
      </c>
      <c r="M17" s="705" t="s">
        <v>47</v>
      </c>
      <c r="N17" s="705" t="s">
        <v>48</v>
      </c>
      <c r="O17" s="705" t="s">
        <v>49</v>
      </c>
      <c r="P17" s="705" t="s">
        <v>50</v>
      </c>
      <c r="Q17" s="777"/>
      <c r="R17" s="777"/>
      <c r="S17" s="777"/>
      <c r="T17" s="778"/>
      <c r="U17" s="1043" t="s">
        <v>51</v>
      </c>
      <c r="V17" s="810"/>
      <c r="W17" s="705" t="s">
        <v>52</v>
      </c>
      <c r="X17" s="705" t="s">
        <v>53</v>
      </c>
      <c r="Y17" s="1041" t="s">
        <v>54</v>
      </c>
      <c r="Z17" s="934" t="s">
        <v>55</v>
      </c>
      <c r="AA17" s="911" t="s">
        <v>56</v>
      </c>
      <c r="AB17" s="911" t="s">
        <v>57</v>
      </c>
      <c r="AC17" s="911" t="s">
        <v>58</v>
      </c>
      <c r="AD17" s="911" t="s">
        <v>59</v>
      </c>
      <c r="AE17" s="995"/>
      <c r="AF17" s="996"/>
      <c r="AG17" s="66"/>
      <c r="BD17" s="65" t="s">
        <v>60</v>
      </c>
    </row>
    <row r="18" spans="1:68" ht="14.25" customHeight="1" x14ac:dyDescent="0.2">
      <c r="A18" s="706"/>
      <c r="B18" s="706"/>
      <c r="C18" s="706"/>
      <c r="D18" s="779"/>
      <c r="E18" s="781"/>
      <c r="F18" s="706"/>
      <c r="G18" s="706"/>
      <c r="H18" s="706"/>
      <c r="I18" s="706"/>
      <c r="J18" s="706"/>
      <c r="K18" s="706"/>
      <c r="L18" s="706"/>
      <c r="M18" s="706"/>
      <c r="N18" s="706"/>
      <c r="O18" s="706"/>
      <c r="P18" s="779"/>
      <c r="Q18" s="780"/>
      <c r="R18" s="780"/>
      <c r="S18" s="780"/>
      <c r="T18" s="781"/>
      <c r="U18" s="67" t="s">
        <v>61</v>
      </c>
      <c r="V18" s="67" t="s">
        <v>62</v>
      </c>
      <c r="W18" s="706"/>
      <c r="X18" s="706"/>
      <c r="Y18" s="1042"/>
      <c r="Z18" s="935"/>
      <c r="AA18" s="912"/>
      <c r="AB18" s="912"/>
      <c r="AC18" s="912"/>
      <c r="AD18" s="997"/>
      <c r="AE18" s="998"/>
      <c r="AF18" s="999"/>
      <c r="AG18" s="66"/>
      <c r="BD18" s="65"/>
    </row>
    <row r="19" spans="1:68" ht="27.75" customHeight="1" x14ac:dyDescent="0.2">
      <c r="A19" s="800" t="s">
        <v>63</v>
      </c>
      <c r="B19" s="801"/>
      <c r="C19" s="801"/>
      <c r="D19" s="801"/>
      <c r="E19" s="801"/>
      <c r="F19" s="801"/>
      <c r="G19" s="801"/>
      <c r="H19" s="801"/>
      <c r="I19" s="801"/>
      <c r="J19" s="801"/>
      <c r="K19" s="801"/>
      <c r="L19" s="801"/>
      <c r="M19" s="801"/>
      <c r="N19" s="801"/>
      <c r="O19" s="801"/>
      <c r="P19" s="801"/>
      <c r="Q19" s="801"/>
      <c r="R19" s="801"/>
      <c r="S19" s="801"/>
      <c r="T19" s="801"/>
      <c r="U19" s="801"/>
      <c r="V19" s="801"/>
      <c r="W19" s="801"/>
      <c r="X19" s="801"/>
      <c r="Y19" s="801"/>
      <c r="Z19" s="801"/>
      <c r="AA19" s="48"/>
      <c r="AB19" s="48"/>
      <c r="AC19" s="48"/>
    </row>
    <row r="20" spans="1:68" ht="16.5" customHeight="1" x14ac:dyDescent="0.25">
      <c r="A20" s="716" t="s">
        <v>63</v>
      </c>
      <c r="B20" s="680"/>
      <c r="C20" s="680"/>
      <c r="D20" s="680"/>
      <c r="E20" s="680"/>
      <c r="F20" s="680"/>
      <c r="G20" s="680"/>
      <c r="H20" s="680"/>
      <c r="I20" s="680"/>
      <c r="J20" s="680"/>
      <c r="K20" s="680"/>
      <c r="L20" s="680"/>
      <c r="M20" s="680"/>
      <c r="N20" s="680"/>
      <c r="O20" s="680"/>
      <c r="P20" s="680"/>
      <c r="Q20" s="680"/>
      <c r="R20" s="680"/>
      <c r="S20" s="680"/>
      <c r="T20" s="680"/>
      <c r="U20" s="680"/>
      <c r="V20" s="680"/>
      <c r="W20" s="680"/>
      <c r="X20" s="680"/>
      <c r="Y20" s="680"/>
      <c r="Z20" s="680"/>
      <c r="AA20" s="660"/>
      <c r="AB20" s="660"/>
      <c r="AC20" s="660"/>
    </row>
    <row r="21" spans="1:68" ht="14.25" customHeight="1" x14ac:dyDescent="0.25">
      <c r="A21" s="682" t="s">
        <v>64</v>
      </c>
      <c r="B21" s="680"/>
      <c r="C21" s="680"/>
      <c r="D21" s="680"/>
      <c r="E21" s="680"/>
      <c r="F21" s="680"/>
      <c r="G21" s="680"/>
      <c r="H21" s="680"/>
      <c r="I21" s="680"/>
      <c r="J21" s="680"/>
      <c r="K21" s="680"/>
      <c r="L21" s="680"/>
      <c r="M21" s="680"/>
      <c r="N21" s="680"/>
      <c r="O21" s="680"/>
      <c r="P21" s="680"/>
      <c r="Q21" s="680"/>
      <c r="R21" s="680"/>
      <c r="S21" s="680"/>
      <c r="T21" s="680"/>
      <c r="U21" s="680"/>
      <c r="V21" s="680"/>
      <c r="W21" s="680"/>
      <c r="X21" s="680"/>
      <c r="Y21" s="680"/>
      <c r="Z21" s="680"/>
      <c r="AA21" s="661"/>
      <c r="AB21" s="661"/>
      <c r="AC21" s="661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2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4301051861</v>
      </c>
      <c r="D24" s="669">
        <v>4680115885905</v>
      </c>
      <c r="E24" s="670"/>
      <c r="F24" s="664">
        <v>0.3</v>
      </c>
      <c r="G24" s="32">
        <v>6</v>
      </c>
      <c r="H24" s="664">
        <v>1.8</v>
      </c>
      <c r="I24" s="664">
        <v>3.18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>IFERROR(IF(X24="",0,CEILING((X24/$H24),1)*$H24),"")</f>
        <v>0</v>
      </c>
      <c r="Z24" s="36" t="str">
        <f>IFERROR(IF(Y24=0,"",ROUNDUP(Y24/H24,0)*0.00651),"")</f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ht="37.5" customHeight="1" x14ac:dyDescent="0.25">
      <c r="A25" s="54" t="s">
        <v>77</v>
      </c>
      <c r="B25" s="54" t="s">
        <v>78</v>
      </c>
      <c r="C25" s="31">
        <v>4301051592</v>
      </c>
      <c r="D25" s="669">
        <v>4607091388244</v>
      </c>
      <c r="E25" s="670"/>
      <c r="F25" s="664">
        <v>0.42</v>
      </c>
      <c r="G25" s="32">
        <v>6</v>
      </c>
      <c r="H25" s="664">
        <v>2.52</v>
      </c>
      <c r="I25" s="664">
        <v>2.766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79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x14ac:dyDescent="0.2">
      <c r="A26" s="679"/>
      <c r="B26" s="680"/>
      <c r="C26" s="680"/>
      <c r="D26" s="680"/>
      <c r="E26" s="680"/>
      <c r="F26" s="680"/>
      <c r="G26" s="680"/>
      <c r="H26" s="680"/>
      <c r="I26" s="680"/>
      <c r="J26" s="680"/>
      <c r="K26" s="680"/>
      <c r="L26" s="680"/>
      <c r="M26" s="680"/>
      <c r="N26" s="680"/>
      <c r="O26" s="681"/>
      <c r="P26" s="685" t="s">
        <v>80</v>
      </c>
      <c r="Q26" s="686"/>
      <c r="R26" s="686"/>
      <c r="S26" s="686"/>
      <c r="T26" s="686"/>
      <c r="U26" s="686"/>
      <c r="V26" s="687"/>
      <c r="W26" s="37" t="s">
        <v>81</v>
      </c>
      <c r="X26" s="667">
        <f>IFERROR(X22/H22,"0")+IFERROR(X23/H23,"0")+IFERROR(X24/H24,"0")+IFERROR(X25/H25,"0")</f>
        <v>0</v>
      </c>
      <c r="Y26" s="667">
        <f>IFERROR(Y22/H22,"0")+IFERROR(Y23/H23,"0")+IFERROR(Y24/H24,"0")+IFERROR(Y25/H25,"0")</f>
        <v>0</v>
      </c>
      <c r="Z26" s="667">
        <f>IFERROR(IF(Z22="",0,Z22),"0")+IFERROR(IF(Z23="",0,Z23),"0")+IFERROR(IF(Z24="",0,Z24),"0")+IFERROR(IF(Z25="",0,Z25),"0")</f>
        <v>0</v>
      </c>
      <c r="AA26" s="668"/>
      <c r="AB26" s="668"/>
      <c r="AC26" s="668"/>
    </row>
    <row r="27" spans="1:68" x14ac:dyDescent="0.2">
      <c r="A27" s="680"/>
      <c r="B27" s="680"/>
      <c r="C27" s="680"/>
      <c r="D27" s="680"/>
      <c r="E27" s="680"/>
      <c r="F27" s="680"/>
      <c r="G27" s="680"/>
      <c r="H27" s="680"/>
      <c r="I27" s="680"/>
      <c r="J27" s="680"/>
      <c r="K27" s="680"/>
      <c r="L27" s="680"/>
      <c r="M27" s="680"/>
      <c r="N27" s="680"/>
      <c r="O27" s="681"/>
      <c r="P27" s="685" t="s">
        <v>80</v>
      </c>
      <c r="Q27" s="686"/>
      <c r="R27" s="686"/>
      <c r="S27" s="686"/>
      <c r="T27" s="686"/>
      <c r="U27" s="686"/>
      <c r="V27" s="687"/>
      <c r="W27" s="37" t="s">
        <v>69</v>
      </c>
      <c r="X27" s="667">
        <f>IFERROR(SUM(X22:X25),"0")</f>
        <v>0</v>
      </c>
      <c r="Y27" s="667">
        <f>IFERROR(SUM(Y22:Y25),"0")</f>
        <v>0</v>
      </c>
      <c r="Z27" s="37"/>
      <c r="AA27" s="668"/>
      <c r="AB27" s="668"/>
      <c r="AC27" s="668"/>
    </row>
    <row r="28" spans="1:68" ht="14.25" customHeight="1" x14ac:dyDescent="0.25">
      <c r="A28" s="682" t="s">
        <v>82</v>
      </c>
      <c r="B28" s="680"/>
      <c r="C28" s="680"/>
      <c r="D28" s="680"/>
      <c r="E28" s="680"/>
      <c r="F28" s="680"/>
      <c r="G28" s="680"/>
      <c r="H28" s="680"/>
      <c r="I28" s="680"/>
      <c r="J28" s="680"/>
      <c r="K28" s="680"/>
      <c r="L28" s="680"/>
      <c r="M28" s="680"/>
      <c r="N28" s="680"/>
      <c r="O28" s="680"/>
      <c r="P28" s="680"/>
      <c r="Q28" s="680"/>
      <c r="R28" s="680"/>
      <c r="S28" s="680"/>
      <c r="T28" s="680"/>
      <c r="U28" s="680"/>
      <c r="V28" s="680"/>
      <c r="W28" s="680"/>
      <c r="X28" s="680"/>
      <c r="Y28" s="680"/>
      <c r="Z28" s="680"/>
      <c r="AA28" s="661"/>
      <c r="AB28" s="661"/>
      <c r="AC28" s="661"/>
    </row>
    <row r="29" spans="1:68" ht="27" customHeight="1" x14ac:dyDescent="0.25">
      <c r="A29" s="54" t="s">
        <v>83</v>
      </c>
      <c r="B29" s="54" t="s">
        <v>84</v>
      </c>
      <c r="C29" s="31">
        <v>4301032013</v>
      </c>
      <c r="D29" s="669">
        <v>4607091388503</v>
      </c>
      <c r="E29" s="670"/>
      <c r="F29" s="664">
        <v>0.05</v>
      </c>
      <c r="G29" s="32">
        <v>12</v>
      </c>
      <c r="H29" s="664">
        <v>0.6</v>
      </c>
      <c r="I29" s="664">
        <v>0.82199999999999995</v>
      </c>
      <c r="J29" s="32">
        <v>182</v>
      </c>
      <c r="K29" s="32" t="s">
        <v>67</v>
      </c>
      <c r="L29" s="32"/>
      <c r="M29" s="33" t="s">
        <v>85</v>
      </c>
      <c r="N29" s="33"/>
      <c r="O29" s="32">
        <v>120</v>
      </c>
      <c r="P29" s="72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9" s="672"/>
      <c r="R29" s="672"/>
      <c r="S29" s="672"/>
      <c r="T29" s="673"/>
      <c r="U29" s="34"/>
      <c r="V29" s="34"/>
      <c r="W29" s="35" t="s">
        <v>69</v>
      </c>
      <c r="X29" s="665">
        <v>0</v>
      </c>
      <c r="Y29" s="66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86</v>
      </c>
      <c r="AG29" s="64"/>
      <c r="AJ29" s="68"/>
      <c r="AK29" s="68">
        <v>0</v>
      </c>
      <c r="BB29" s="78" t="s">
        <v>87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x14ac:dyDescent="0.2">
      <c r="A30" s="679"/>
      <c r="B30" s="680"/>
      <c r="C30" s="680"/>
      <c r="D30" s="680"/>
      <c r="E30" s="680"/>
      <c r="F30" s="680"/>
      <c r="G30" s="680"/>
      <c r="H30" s="680"/>
      <c r="I30" s="680"/>
      <c r="J30" s="680"/>
      <c r="K30" s="680"/>
      <c r="L30" s="680"/>
      <c r="M30" s="680"/>
      <c r="N30" s="680"/>
      <c r="O30" s="681"/>
      <c r="P30" s="685" t="s">
        <v>80</v>
      </c>
      <c r="Q30" s="686"/>
      <c r="R30" s="686"/>
      <c r="S30" s="686"/>
      <c r="T30" s="686"/>
      <c r="U30" s="686"/>
      <c r="V30" s="687"/>
      <c r="W30" s="37" t="s">
        <v>81</v>
      </c>
      <c r="X30" s="667">
        <f>IFERROR(X29/H29,"0")</f>
        <v>0</v>
      </c>
      <c r="Y30" s="667">
        <f>IFERROR(Y29/H29,"0")</f>
        <v>0</v>
      </c>
      <c r="Z30" s="667">
        <f>IFERROR(IF(Z29="",0,Z29),"0")</f>
        <v>0</v>
      </c>
      <c r="AA30" s="668"/>
      <c r="AB30" s="668"/>
      <c r="AC30" s="668"/>
    </row>
    <row r="31" spans="1:68" x14ac:dyDescent="0.2">
      <c r="A31" s="680"/>
      <c r="B31" s="680"/>
      <c r="C31" s="680"/>
      <c r="D31" s="680"/>
      <c r="E31" s="680"/>
      <c r="F31" s="680"/>
      <c r="G31" s="680"/>
      <c r="H31" s="680"/>
      <c r="I31" s="680"/>
      <c r="J31" s="680"/>
      <c r="K31" s="680"/>
      <c r="L31" s="680"/>
      <c r="M31" s="680"/>
      <c r="N31" s="680"/>
      <c r="O31" s="681"/>
      <c r="P31" s="685" t="s">
        <v>80</v>
      </c>
      <c r="Q31" s="686"/>
      <c r="R31" s="686"/>
      <c r="S31" s="686"/>
      <c r="T31" s="686"/>
      <c r="U31" s="686"/>
      <c r="V31" s="687"/>
      <c r="W31" s="37" t="s">
        <v>69</v>
      </c>
      <c r="X31" s="667">
        <f>IFERROR(SUM(X29:X29),"0")</f>
        <v>0</v>
      </c>
      <c r="Y31" s="667">
        <f>IFERROR(SUM(Y29:Y29),"0")</f>
        <v>0</v>
      </c>
      <c r="Z31" s="37"/>
      <c r="AA31" s="668"/>
      <c r="AB31" s="668"/>
      <c r="AC31" s="668"/>
    </row>
    <row r="32" spans="1:68" ht="27.75" customHeight="1" x14ac:dyDescent="0.2">
      <c r="A32" s="800" t="s">
        <v>88</v>
      </c>
      <c r="B32" s="801"/>
      <c r="C32" s="801"/>
      <c r="D32" s="801"/>
      <c r="E32" s="801"/>
      <c r="F32" s="801"/>
      <c r="G32" s="801"/>
      <c r="H32" s="801"/>
      <c r="I32" s="801"/>
      <c r="J32" s="801"/>
      <c r="K32" s="801"/>
      <c r="L32" s="801"/>
      <c r="M32" s="801"/>
      <c r="N32" s="801"/>
      <c r="O32" s="801"/>
      <c r="P32" s="801"/>
      <c r="Q32" s="801"/>
      <c r="R32" s="801"/>
      <c r="S32" s="801"/>
      <c r="T32" s="801"/>
      <c r="U32" s="801"/>
      <c r="V32" s="801"/>
      <c r="W32" s="801"/>
      <c r="X32" s="801"/>
      <c r="Y32" s="801"/>
      <c r="Z32" s="801"/>
      <c r="AA32" s="48"/>
      <c r="AB32" s="48"/>
      <c r="AC32" s="48"/>
    </row>
    <row r="33" spans="1:68" ht="16.5" customHeight="1" x14ac:dyDescent="0.25">
      <c r="A33" s="716" t="s">
        <v>89</v>
      </c>
      <c r="B33" s="680"/>
      <c r="C33" s="680"/>
      <c r="D33" s="680"/>
      <c r="E33" s="680"/>
      <c r="F33" s="680"/>
      <c r="G33" s="680"/>
      <c r="H33" s="680"/>
      <c r="I33" s="680"/>
      <c r="J33" s="680"/>
      <c r="K33" s="680"/>
      <c r="L33" s="680"/>
      <c r="M33" s="680"/>
      <c r="N33" s="680"/>
      <c r="O33" s="680"/>
      <c r="P33" s="680"/>
      <c r="Q33" s="680"/>
      <c r="R33" s="680"/>
      <c r="S33" s="680"/>
      <c r="T33" s="680"/>
      <c r="U33" s="680"/>
      <c r="V33" s="680"/>
      <c r="W33" s="680"/>
      <c r="X33" s="680"/>
      <c r="Y33" s="680"/>
      <c r="Z33" s="680"/>
      <c r="AA33" s="660"/>
      <c r="AB33" s="660"/>
      <c r="AC33" s="660"/>
    </row>
    <row r="34" spans="1:68" ht="14.25" customHeight="1" x14ac:dyDescent="0.25">
      <c r="A34" s="682" t="s">
        <v>90</v>
      </c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680"/>
      <c r="Y34" s="680"/>
      <c r="Z34" s="680"/>
      <c r="AA34" s="661"/>
      <c r="AB34" s="661"/>
      <c r="AC34" s="661"/>
    </row>
    <row r="35" spans="1:68" ht="16.5" customHeight="1" x14ac:dyDescent="0.25">
      <c r="A35" s="54" t="s">
        <v>91</v>
      </c>
      <c r="B35" s="54" t="s">
        <v>92</v>
      </c>
      <c r="C35" s="31">
        <v>4301011380</v>
      </c>
      <c r="D35" s="669">
        <v>4607091385670</v>
      </c>
      <c r="E35" s="670"/>
      <c r="F35" s="664">
        <v>1.35</v>
      </c>
      <c r="G35" s="32">
        <v>8</v>
      </c>
      <c r="H35" s="664">
        <v>10.8</v>
      </c>
      <c r="I35" s="664">
        <v>11.234999999999999</v>
      </c>
      <c r="J35" s="32">
        <v>64</v>
      </c>
      <c r="K35" s="32" t="s">
        <v>93</v>
      </c>
      <c r="L35" s="32"/>
      <c r="M35" s="33" t="s">
        <v>94</v>
      </c>
      <c r="N35" s="33"/>
      <c r="O35" s="32">
        <v>50</v>
      </c>
      <c r="P35" s="95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5" s="672"/>
      <c r="R35" s="672"/>
      <c r="S35" s="672"/>
      <c r="T35" s="673"/>
      <c r="U35" s="34"/>
      <c r="V35" s="34"/>
      <c r="W35" s="35" t="s">
        <v>69</v>
      </c>
      <c r="X35" s="665">
        <v>20</v>
      </c>
      <c r="Y35" s="666">
        <f>IFERROR(IF(X35="",0,CEILING((X35/$H35),1)*$H35),"")</f>
        <v>21.6</v>
      </c>
      <c r="Z35" s="36">
        <f>IFERROR(IF(Y35=0,"",ROUNDUP(Y35/H35,0)*0.01898),"")</f>
        <v>3.7960000000000001E-2</v>
      </c>
      <c r="AA35" s="56"/>
      <c r="AB35" s="57"/>
      <c r="AC35" s="79" t="s">
        <v>95</v>
      </c>
      <c r="AG35" s="64"/>
      <c r="AJ35" s="68"/>
      <c r="AK35" s="68">
        <v>0</v>
      </c>
      <c r="BB35" s="80" t="s">
        <v>1</v>
      </c>
      <c r="BM35" s="64">
        <f>IFERROR(X35*I35/H35,"0")</f>
        <v>20.805555555555554</v>
      </c>
      <c r="BN35" s="64">
        <f>IFERROR(Y35*I35/H35,"0")</f>
        <v>22.47</v>
      </c>
      <c r="BO35" s="64">
        <f>IFERROR(1/J35*(X35/H35),"0")</f>
        <v>2.8935185185185182E-2</v>
      </c>
      <c r="BP35" s="64">
        <f>IFERROR(1/J35*(Y35/H35),"0")</f>
        <v>3.125E-2</v>
      </c>
    </row>
    <row r="36" spans="1:68" ht="27" customHeight="1" x14ac:dyDescent="0.25">
      <c r="A36" s="54" t="s">
        <v>96</v>
      </c>
      <c r="B36" s="54" t="s">
        <v>97</v>
      </c>
      <c r="C36" s="31">
        <v>4301011382</v>
      </c>
      <c r="D36" s="669">
        <v>4607091385687</v>
      </c>
      <c r="E36" s="670"/>
      <c r="F36" s="664">
        <v>0.4</v>
      </c>
      <c r="G36" s="32">
        <v>10</v>
      </c>
      <c r="H36" s="664">
        <v>4</v>
      </c>
      <c r="I36" s="664">
        <v>4.21</v>
      </c>
      <c r="J36" s="32">
        <v>132</v>
      </c>
      <c r="K36" s="32" t="s">
        <v>98</v>
      </c>
      <c r="L36" s="32" t="s">
        <v>99</v>
      </c>
      <c r="M36" s="33" t="s">
        <v>100</v>
      </c>
      <c r="N36" s="33"/>
      <c r="O36" s="32">
        <v>50</v>
      </c>
      <c r="P36" s="97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6" s="672"/>
      <c r="R36" s="672"/>
      <c r="S36" s="672"/>
      <c r="T36" s="673"/>
      <c r="U36" s="34"/>
      <c r="V36" s="34"/>
      <c r="W36" s="35" t="s">
        <v>69</v>
      </c>
      <c r="X36" s="665">
        <v>0</v>
      </c>
      <c r="Y36" s="666">
        <f>IFERROR(IF(X36="",0,CEILING((X36/$H36),1)*$H36),"")</f>
        <v>0</v>
      </c>
      <c r="Z36" s="36" t="str">
        <f>IFERROR(IF(Y36=0,"",ROUNDUP(Y36/H36,0)*0.00902),"")</f>
        <v/>
      </c>
      <c r="AA36" s="56"/>
      <c r="AB36" s="57"/>
      <c r="AC36" s="81" t="s">
        <v>95</v>
      </c>
      <c r="AG36" s="64"/>
      <c r="AJ36" s="68" t="s">
        <v>101</v>
      </c>
      <c r="AK36" s="68">
        <v>48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customHeight="1" x14ac:dyDescent="0.25">
      <c r="A37" s="54" t="s">
        <v>102</v>
      </c>
      <c r="B37" s="54" t="s">
        <v>103</v>
      </c>
      <c r="C37" s="31">
        <v>4301011565</v>
      </c>
      <c r="D37" s="669">
        <v>4680115882539</v>
      </c>
      <c r="E37" s="670"/>
      <c r="F37" s="664">
        <v>0.37</v>
      </c>
      <c r="G37" s="32">
        <v>10</v>
      </c>
      <c r="H37" s="664">
        <v>3.7</v>
      </c>
      <c r="I37" s="664">
        <v>3.91</v>
      </c>
      <c r="J37" s="32">
        <v>132</v>
      </c>
      <c r="K37" s="32" t="s">
        <v>98</v>
      </c>
      <c r="L37" s="32"/>
      <c r="M37" s="33" t="s">
        <v>100</v>
      </c>
      <c r="N37" s="33"/>
      <c r="O37" s="32">
        <v>50</v>
      </c>
      <c r="P37" s="89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7" s="672"/>
      <c r="R37" s="672"/>
      <c r="S37" s="672"/>
      <c r="T37" s="673"/>
      <c r="U37" s="34"/>
      <c r="V37" s="34"/>
      <c r="W37" s="35" t="s">
        <v>69</v>
      </c>
      <c r="X37" s="665">
        <v>0</v>
      </c>
      <c r="Y37" s="666">
        <f>IFERROR(IF(X37="",0,CEILING((X37/$H37),1)*$H37),"")</f>
        <v>0</v>
      </c>
      <c r="Z37" s="36" t="str">
        <f>IFERROR(IF(Y37=0,"",ROUNDUP(Y37/H37,0)*0.00902),"")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104</v>
      </c>
      <c r="B38" s="54" t="s">
        <v>105</v>
      </c>
      <c r="C38" s="31">
        <v>4301011624</v>
      </c>
      <c r="D38" s="669">
        <v>4680115883949</v>
      </c>
      <c r="E38" s="670"/>
      <c r="F38" s="664">
        <v>0.37</v>
      </c>
      <c r="G38" s="32">
        <v>10</v>
      </c>
      <c r="H38" s="664">
        <v>3.7</v>
      </c>
      <c r="I38" s="664">
        <v>3.91</v>
      </c>
      <c r="J38" s="32">
        <v>132</v>
      </c>
      <c r="K38" s="32" t="s">
        <v>98</v>
      </c>
      <c r="L38" s="32"/>
      <c r="M38" s="33" t="s">
        <v>94</v>
      </c>
      <c r="N38" s="33"/>
      <c r="O38" s="32">
        <v>50</v>
      </c>
      <c r="P38" s="92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38" s="672"/>
      <c r="R38" s="672"/>
      <c r="S38" s="672"/>
      <c r="T38" s="673"/>
      <c r="U38" s="34"/>
      <c r="V38" s="34"/>
      <c r="W38" s="35" t="s">
        <v>69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106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x14ac:dyDescent="0.2">
      <c r="A39" s="679"/>
      <c r="B39" s="680"/>
      <c r="C39" s="680"/>
      <c r="D39" s="680"/>
      <c r="E39" s="680"/>
      <c r="F39" s="680"/>
      <c r="G39" s="680"/>
      <c r="H39" s="680"/>
      <c r="I39" s="680"/>
      <c r="J39" s="680"/>
      <c r="K39" s="680"/>
      <c r="L39" s="680"/>
      <c r="M39" s="680"/>
      <c r="N39" s="680"/>
      <c r="O39" s="681"/>
      <c r="P39" s="685" t="s">
        <v>80</v>
      </c>
      <c r="Q39" s="686"/>
      <c r="R39" s="686"/>
      <c r="S39" s="686"/>
      <c r="T39" s="686"/>
      <c r="U39" s="686"/>
      <c r="V39" s="687"/>
      <c r="W39" s="37" t="s">
        <v>81</v>
      </c>
      <c r="X39" s="667">
        <f>IFERROR(X35/H35,"0")+IFERROR(X36/H36,"0")+IFERROR(X37/H37,"0")+IFERROR(X38/H38,"0")</f>
        <v>1.8518518518518516</v>
      </c>
      <c r="Y39" s="667">
        <f>IFERROR(Y35/H35,"0")+IFERROR(Y36/H36,"0")+IFERROR(Y37/H37,"0")+IFERROR(Y38/H38,"0")</f>
        <v>2</v>
      </c>
      <c r="Z39" s="667">
        <f>IFERROR(IF(Z35="",0,Z35),"0")+IFERROR(IF(Z36="",0,Z36),"0")+IFERROR(IF(Z37="",0,Z37),"0")+IFERROR(IF(Z38="",0,Z38),"0")</f>
        <v>3.7960000000000001E-2</v>
      </c>
      <c r="AA39" s="668"/>
      <c r="AB39" s="668"/>
      <c r="AC39" s="668"/>
    </row>
    <row r="40" spans="1:68" x14ac:dyDescent="0.2">
      <c r="A40" s="680"/>
      <c r="B40" s="680"/>
      <c r="C40" s="680"/>
      <c r="D40" s="680"/>
      <c r="E40" s="680"/>
      <c r="F40" s="680"/>
      <c r="G40" s="680"/>
      <c r="H40" s="680"/>
      <c r="I40" s="680"/>
      <c r="J40" s="680"/>
      <c r="K40" s="680"/>
      <c r="L40" s="680"/>
      <c r="M40" s="680"/>
      <c r="N40" s="680"/>
      <c r="O40" s="681"/>
      <c r="P40" s="685" t="s">
        <v>80</v>
      </c>
      <c r="Q40" s="686"/>
      <c r="R40" s="686"/>
      <c r="S40" s="686"/>
      <c r="T40" s="686"/>
      <c r="U40" s="686"/>
      <c r="V40" s="687"/>
      <c r="W40" s="37" t="s">
        <v>69</v>
      </c>
      <c r="X40" s="667">
        <f>IFERROR(SUM(X35:X38),"0")</f>
        <v>20</v>
      </c>
      <c r="Y40" s="667">
        <f>IFERROR(SUM(Y35:Y38),"0")</f>
        <v>21.6</v>
      </c>
      <c r="Z40" s="37"/>
      <c r="AA40" s="668"/>
      <c r="AB40" s="668"/>
      <c r="AC40" s="668"/>
    </row>
    <row r="41" spans="1:68" ht="14.25" customHeight="1" x14ac:dyDescent="0.25">
      <c r="A41" s="682" t="s">
        <v>64</v>
      </c>
      <c r="B41" s="680"/>
      <c r="C41" s="680"/>
      <c r="D41" s="680"/>
      <c r="E41" s="680"/>
      <c r="F41" s="680"/>
      <c r="G41" s="680"/>
      <c r="H41" s="680"/>
      <c r="I41" s="680"/>
      <c r="J41" s="680"/>
      <c r="K41" s="680"/>
      <c r="L41" s="680"/>
      <c r="M41" s="680"/>
      <c r="N41" s="680"/>
      <c r="O41" s="680"/>
      <c r="P41" s="680"/>
      <c r="Q41" s="680"/>
      <c r="R41" s="680"/>
      <c r="S41" s="680"/>
      <c r="T41" s="680"/>
      <c r="U41" s="680"/>
      <c r="V41" s="680"/>
      <c r="W41" s="680"/>
      <c r="X41" s="680"/>
      <c r="Y41" s="680"/>
      <c r="Z41" s="680"/>
      <c r="AA41" s="661"/>
      <c r="AB41" s="661"/>
      <c r="AC41" s="661"/>
    </row>
    <row r="42" spans="1:68" ht="16.5" customHeight="1" x14ac:dyDescent="0.25">
      <c r="A42" s="54" t="s">
        <v>107</v>
      </c>
      <c r="B42" s="54" t="s">
        <v>108</v>
      </c>
      <c r="C42" s="31">
        <v>4301051820</v>
      </c>
      <c r="D42" s="669">
        <v>4680115884915</v>
      </c>
      <c r="E42" s="670"/>
      <c r="F42" s="664">
        <v>0.3</v>
      </c>
      <c r="G42" s="32">
        <v>6</v>
      </c>
      <c r="H42" s="664">
        <v>1.8</v>
      </c>
      <c r="I42" s="664">
        <v>1.98</v>
      </c>
      <c r="J42" s="32">
        <v>182</v>
      </c>
      <c r="K42" s="32" t="s">
        <v>67</v>
      </c>
      <c r="L42" s="32"/>
      <c r="M42" s="33" t="s">
        <v>100</v>
      </c>
      <c r="N42" s="33"/>
      <c r="O42" s="32">
        <v>40</v>
      </c>
      <c r="P42" s="7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2" s="672"/>
      <c r="R42" s="672"/>
      <c r="S42" s="672"/>
      <c r="T42" s="673"/>
      <c r="U42" s="34"/>
      <c r="V42" s="34"/>
      <c r="W42" s="35" t="s">
        <v>69</v>
      </c>
      <c r="X42" s="665">
        <v>0</v>
      </c>
      <c r="Y42" s="66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679"/>
      <c r="B43" s="680"/>
      <c r="C43" s="680"/>
      <c r="D43" s="680"/>
      <c r="E43" s="680"/>
      <c r="F43" s="680"/>
      <c r="G43" s="680"/>
      <c r="H43" s="680"/>
      <c r="I43" s="680"/>
      <c r="J43" s="680"/>
      <c r="K43" s="680"/>
      <c r="L43" s="680"/>
      <c r="M43" s="680"/>
      <c r="N43" s="680"/>
      <c r="O43" s="681"/>
      <c r="P43" s="685" t="s">
        <v>80</v>
      </c>
      <c r="Q43" s="686"/>
      <c r="R43" s="686"/>
      <c r="S43" s="686"/>
      <c r="T43" s="686"/>
      <c r="U43" s="686"/>
      <c r="V43" s="687"/>
      <c r="W43" s="37" t="s">
        <v>81</v>
      </c>
      <c r="X43" s="667">
        <f>IFERROR(X42/H42,"0")</f>
        <v>0</v>
      </c>
      <c r="Y43" s="667">
        <f>IFERROR(Y42/H42,"0")</f>
        <v>0</v>
      </c>
      <c r="Z43" s="667">
        <f>IFERROR(IF(Z42="",0,Z42),"0")</f>
        <v>0</v>
      </c>
      <c r="AA43" s="668"/>
      <c r="AB43" s="668"/>
      <c r="AC43" s="668"/>
    </row>
    <row r="44" spans="1:68" x14ac:dyDescent="0.2">
      <c r="A44" s="680"/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1"/>
      <c r="P44" s="685" t="s">
        <v>80</v>
      </c>
      <c r="Q44" s="686"/>
      <c r="R44" s="686"/>
      <c r="S44" s="686"/>
      <c r="T44" s="686"/>
      <c r="U44" s="686"/>
      <c r="V44" s="687"/>
      <c r="W44" s="37" t="s">
        <v>69</v>
      </c>
      <c r="X44" s="667">
        <f>IFERROR(SUM(X42:X42),"0")</f>
        <v>0</v>
      </c>
      <c r="Y44" s="667">
        <f>IFERROR(SUM(Y42:Y42),"0")</f>
        <v>0</v>
      </c>
      <c r="Z44" s="37"/>
      <c r="AA44" s="668"/>
      <c r="AB44" s="668"/>
      <c r="AC44" s="668"/>
    </row>
    <row r="45" spans="1:68" ht="16.5" customHeight="1" x14ac:dyDescent="0.25">
      <c r="A45" s="716" t="s">
        <v>110</v>
      </c>
      <c r="B45" s="680"/>
      <c r="C45" s="680"/>
      <c r="D45" s="680"/>
      <c r="E45" s="680"/>
      <c r="F45" s="680"/>
      <c r="G45" s="680"/>
      <c r="H45" s="680"/>
      <c r="I45" s="680"/>
      <c r="J45" s="680"/>
      <c r="K45" s="680"/>
      <c r="L45" s="680"/>
      <c r="M45" s="680"/>
      <c r="N45" s="680"/>
      <c r="O45" s="680"/>
      <c r="P45" s="680"/>
      <c r="Q45" s="680"/>
      <c r="R45" s="680"/>
      <c r="S45" s="680"/>
      <c r="T45" s="680"/>
      <c r="U45" s="680"/>
      <c r="V45" s="680"/>
      <c r="W45" s="680"/>
      <c r="X45" s="680"/>
      <c r="Y45" s="680"/>
      <c r="Z45" s="680"/>
      <c r="AA45" s="660"/>
      <c r="AB45" s="660"/>
      <c r="AC45" s="660"/>
    </row>
    <row r="46" spans="1:68" ht="14.25" customHeight="1" x14ac:dyDescent="0.25">
      <c r="A46" s="682" t="s">
        <v>90</v>
      </c>
      <c r="B46" s="680"/>
      <c r="C46" s="680"/>
      <c r="D46" s="680"/>
      <c r="E46" s="680"/>
      <c r="F46" s="680"/>
      <c r="G46" s="680"/>
      <c r="H46" s="680"/>
      <c r="I46" s="680"/>
      <c r="J46" s="680"/>
      <c r="K46" s="680"/>
      <c r="L46" s="680"/>
      <c r="M46" s="680"/>
      <c r="N46" s="680"/>
      <c r="O46" s="680"/>
      <c r="P46" s="680"/>
      <c r="Q46" s="680"/>
      <c r="R46" s="680"/>
      <c r="S46" s="680"/>
      <c r="T46" s="680"/>
      <c r="U46" s="680"/>
      <c r="V46" s="680"/>
      <c r="W46" s="680"/>
      <c r="X46" s="680"/>
      <c r="Y46" s="680"/>
      <c r="Z46" s="680"/>
      <c r="AA46" s="661"/>
      <c r="AB46" s="661"/>
      <c r="AC46" s="661"/>
    </row>
    <row r="47" spans="1:68" ht="27" customHeight="1" x14ac:dyDescent="0.25">
      <c r="A47" s="54" t="s">
        <v>111</v>
      </c>
      <c r="B47" s="54" t="s">
        <v>112</v>
      </c>
      <c r="C47" s="31">
        <v>4301012030</v>
      </c>
      <c r="D47" s="669">
        <v>4680115885882</v>
      </c>
      <c r="E47" s="670"/>
      <c r="F47" s="664">
        <v>1.4</v>
      </c>
      <c r="G47" s="32">
        <v>8</v>
      </c>
      <c r="H47" s="664">
        <v>11.2</v>
      </c>
      <c r="I47" s="664">
        <v>11.635</v>
      </c>
      <c r="J47" s="32">
        <v>64</v>
      </c>
      <c r="K47" s="32" t="s">
        <v>93</v>
      </c>
      <c r="L47" s="32"/>
      <c r="M47" s="33" t="s">
        <v>100</v>
      </c>
      <c r="N47" s="33"/>
      <c r="O47" s="32">
        <v>50</v>
      </c>
      <c r="P47" s="77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7" s="672"/>
      <c r="R47" s="672"/>
      <c r="S47" s="672"/>
      <c r="T47" s="673"/>
      <c r="U47" s="34"/>
      <c r="V47" s="34"/>
      <c r="W47" s="35" t="s">
        <v>69</v>
      </c>
      <c r="X47" s="665">
        <v>0</v>
      </c>
      <c r="Y47" s="666">
        <f t="shared" ref="Y47:Y53" si="0"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89" t="s">
        <v>113</v>
      </c>
      <c r="AG47" s="64"/>
      <c r="AJ47" s="68"/>
      <c r="AK47" s="68">
        <v>0</v>
      </c>
      <c r="BB47" s="90" t="s">
        <v>1</v>
      </c>
      <c r="BM47" s="64">
        <f t="shared" ref="BM47:BM53" si="1">IFERROR(X47*I47/H47,"0")</f>
        <v>0</v>
      </c>
      <c r="BN47" s="64">
        <f t="shared" ref="BN47:BN53" si="2">IFERROR(Y47*I47/H47,"0")</f>
        <v>0</v>
      </c>
      <c r="BO47" s="64">
        <f t="shared" ref="BO47:BO53" si="3">IFERROR(1/J47*(X47/H47),"0")</f>
        <v>0</v>
      </c>
      <c r="BP47" s="64">
        <f t="shared" ref="BP47:BP53" si="4">IFERROR(1/J47*(Y47/H47),"0")</f>
        <v>0</v>
      </c>
    </row>
    <row r="48" spans="1:68" ht="27" customHeight="1" x14ac:dyDescent="0.25">
      <c r="A48" s="54" t="s">
        <v>114</v>
      </c>
      <c r="B48" s="54" t="s">
        <v>115</v>
      </c>
      <c r="C48" s="31">
        <v>4301011816</v>
      </c>
      <c r="D48" s="669">
        <v>4680115881426</v>
      </c>
      <c r="E48" s="670"/>
      <c r="F48" s="664">
        <v>1.35</v>
      </c>
      <c r="G48" s="32">
        <v>8</v>
      </c>
      <c r="H48" s="664">
        <v>10.8</v>
      </c>
      <c r="I48" s="664">
        <v>11.234999999999999</v>
      </c>
      <c r="J48" s="32">
        <v>64</v>
      </c>
      <c r="K48" s="32" t="s">
        <v>93</v>
      </c>
      <c r="L48" s="32" t="s">
        <v>116</v>
      </c>
      <c r="M48" s="33" t="s">
        <v>94</v>
      </c>
      <c r="N48" s="33"/>
      <c r="O48" s="32">
        <v>50</v>
      </c>
      <c r="P48" s="95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8" s="672"/>
      <c r="R48" s="672"/>
      <c r="S48" s="672"/>
      <c r="T48" s="673"/>
      <c r="U48" s="34"/>
      <c r="V48" s="34"/>
      <c r="W48" s="35" t="s">
        <v>69</v>
      </c>
      <c r="X48" s="665">
        <v>60</v>
      </c>
      <c r="Y48" s="666">
        <f t="shared" si="0"/>
        <v>64.800000000000011</v>
      </c>
      <c r="Z48" s="36">
        <f>IFERROR(IF(Y48=0,"",ROUNDUP(Y48/H48,0)*0.01898),"")</f>
        <v>0.11388000000000001</v>
      </c>
      <c r="AA48" s="56"/>
      <c r="AB48" s="57"/>
      <c r="AC48" s="91" t="s">
        <v>117</v>
      </c>
      <c r="AG48" s="64"/>
      <c r="AJ48" s="68" t="s">
        <v>118</v>
      </c>
      <c r="AK48" s="68">
        <v>691.2</v>
      </c>
      <c r="BB48" s="92" t="s">
        <v>1</v>
      </c>
      <c r="BM48" s="64">
        <f t="shared" si="1"/>
        <v>62.416666666666657</v>
      </c>
      <c r="BN48" s="64">
        <f t="shared" si="2"/>
        <v>67.410000000000011</v>
      </c>
      <c r="BO48" s="64">
        <f t="shared" si="3"/>
        <v>8.6805555555555552E-2</v>
      </c>
      <c r="BP48" s="64">
        <f t="shared" si="4"/>
        <v>9.3750000000000014E-2</v>
      </c>
    </row>
    <row r="49" spans="1:68" ht="27" customHeight="1" x14ac:dyDescent="0.25">
      <c r="A49" s="54" t="s">
        <v>119</v>
      </c>
      <c r="B49" s="54" t="s">
        <v>120</v>
      </c>
      <c r="C49" s="31">
        <v>4301011386</v>
      </c>
      <c r="D49" s="669">
        <v>4680115880283</v>
      </c>
      <c r="E49" s="670"/>
      <c r="F49" s="664">
        <v>0.6</v>
      </c>
      <c r="G49" s="32">
        <v>8</v>
      </c>
      <c r="H49" s="664">
        <v>4.8</v>
      </c>
      <c r="I49" s="664">
        <v>5.01</v>
      </c>
      <c r="J49" s="32">
        <v>132</v>
      </c>
      <c r="K49" s="32" t="s">
        <v>98</v>
      </c>
      <c r="L49" s="32"/>
      <c r="M49" s="33" t="s">
        <v>94</v>
      </c>
      <c r="N49" s="33"/>
      <c r="O49" s="32">
        <v>45</v>
      </c>
      <c r="P49" s="97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9" s="672"/>
      <c r="R49" s="672"/>
      <c r="S49" s="672"/>
      <c r="T49" s="673"/>
      <c r="U49" s="34"/>
      <c r="V49" s="34"/>
      <c r="W49" s="35" t="s">
        <v>69</v>
      </c>
      <c r="X49" s="665">
        <v>0</v>
      </c>
      <c r="Y49" s="666">
        <f t="shared" si="0"/>
        <v>0</v>
      </c>
      <c r="Z49" s="36" t="str">
        <f>IFERROR(IF(Y49=0,"",ROUNDUP(Y49/H49,0)*0.00902),"")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si="1"/>
        <v>0</v>
      </c>
      <c r="BN49" s="64">
        <f t="shared" si="2"/>
        <v>0</v>
      </c>
      <c r="BO49" s="64">
        <f t="shared" si="3"/>
        <v>0</v>
      </c>
      <c r="BP49" s="64">
        <f t="shared" si="4"/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4301011432</v>
      </c>
      <c r="D50" s="669">
        <v>4680115882720</v>
      </c>
      <c r="E50" s="670"/>
      <c r="F50" s="664">
        <v>0.45</v>
      </c>
      <c r="G50" s="32">
        <v>10</v>
      </c>
      <c r="H50" s="664">
        <v>4.5</v>
      </c>
      <c r="I50" s="664">
        <v>4.71</v>
      </c>
      <c r="J50" s="32">
        <v>132</v>
      </c>
      <c r="K50" s="32" t="s">
        <v>98</v>
      </c>
      <c r="L50" s="32"/>
      <c r="M50" s="33" t="s">
        <v>94</v>
      </c>
      <c r="N50" s="33"/>
      <c r="O50" s="32">
        <v>90</v>
      </c>
      <c r="P50" s="783" t="str">
        <f>HYPERLINK("https://abi.ru/products/Охлажденные/Вязанка/Филейская/Вареные колбасы/P003187/","Вареные колбасы «Филейская #Живой_пар» ф/в 0,45 п/а ТМ «Вязанка»")</f>
        <v>Вареные колбасы «Филейская #Живой_пар» ф/в 0,45 п/а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0</v>
      </c>
      <c r="Y50" s="666">
        <f t="shared" si="0"/>
        <v>0</v>
      </c>
      <c r="Z50" s="36" t="str">
        <f>IFERROR(IF(Y50=0,"",ROUNDUP(Y50/H50,0)*0.00902),"")</f>
        <v/>
      </c>
      <c r="AA50" s="56"/>
      <c r="AB50" s="57"/>
      <c r="AC50" s="95" t="s">
        <v>124</v>
      </c>
      <c r="AG50" s="64"/>
      <c r="AJ50" s="68"/>
      <c r="AK50" s="68">
        <v>0</v>
      </c>
      <c r="BB50" s="96" t="s">
        <v>1</v>
      </c>
      <c r="BM50" s="64">
        <f t="shared" si="1"/>
        <v>0</v>
      </c>
      <c r="BN50" s="64">
        <f t="shared" si="2"/>
        <v>0</v>
      </c>
      <c r="BO50" s="64">
        <f t="shared" si="3"/>
        <v>0</v>
      </c>
      <c r="BP50" s="64">
        <f t="shared" si="4"/>
        <v>0</v>
      </c>
    </row>
    <row r="51" spans="1:68" ht="16.5" customHeight="1" x14ac:dyDescent="0.25">
      <c r="A51" s="54" t="s">
        <v>125</v>
      </c>
      <c r="B51" s="54" t="s">
        <v>126</v>
      </c>
      <c r="C51" s="31">
        <v>4301011806</v>
      </c>
      <c r="D51" s="669">
        <v>4680115881525</v>
      </c>
      <c r="E51" s="670"/>
      <c r="F51" s="664">
        <v>0.4</v>
      </c>
      <c r="G51" s="32">
        <v>10</v>
      </c>
      <c r="H51" s="664">
        <v>4</v>
      </c>
      <c r="I51" s="664">
        <v>4.21</v>
      </c>
      <c r="J51" s="32">
        <v>132</v>
      </c>
      <c r="K51" s="32" t="s">
        <v>98</v>
      </c>
      <c r="L51" s="32"/>
      <c r="M51" s="33" t="s">
        <v>94</v>
      </c>
      <c r="N51" s="33"/>
      <c r="O51" s="32">
        <v>50</v>
      </c>
      <c r="P51" s="87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0"/>
        <v>0</v>
      </c>
      <c r="Z51" s="36" t="str">
        <f>IFERROR(IF(Y51=0,"",ROUNDUP(Y51/H51,0)*0.00902),"")</f>
        <v/>
      </c>
      <c r="AA51" s="56"/>
      <c r="AB51" s="57"/>
      <c r="AC51" s="97" t="s">
        <v>117</v>
      </c>
      <c r="AG51" s="64"/>
      <c r="AJ51" s="68"/>
      <c r="AK51" s="68">
        <v>0</v>
      </c>
      <c r="BB51" s="98" t="s">
        <v>1</v>
      </c>
      <c r="BM51" s="64">
        <f t="shared" si="1"/>
        <v>0</v>
      </c>
      <c r="BN51" s="64">
        <f t="shared" si="2"/>
        <v>0</v>
      </c>
      <c r="BO51" s="64">
        <f t="shared" si="3"/>
        <v>0</v>
      </c>
      <c r="BP51" s="64">
        <f t="shared" si="4"/>
        <v>0</v>
      </c>
    </row>
    <row r="52" spans="1:68" ht="27" customHeight="1" x14ac:dyDescent="0.25">
      <c r="A52" s="54" t="s">
        <v>127</v>
      </c>
      <c r="B52" s="54" t="s">
        <v>128</v>
      </c>
      <c r="C52" s="31">
        <v>4301011589</v>
      </c>
      <c r="D52" s="669">
        <v>4680115885899</v>
      </c>
      <c r="E52" s="670"/>
      <c r="F52" s="664">
        <v>0.35</v>
      </c>
      <c r="G52" s="32">
        <v>6</v>
      </c>
      <c r="H52" s="664">
        <v>2.1</v>
      </c>
      <c r="I52" s="664">
        <v>2.2799999999999998</v>
      </c>
      <c r="J52" s="32">
        <v>182</v>
      </c>
      <c r="K52" s="32" t="s">
        <v>67</v>
      </c>
      <c r="L52" s="32"/>
      <c r="M52" s="33" t="s">
        <v>129</v>
      </c>
      <c r="N52" s="33"/>
      <c r="O52" s="32">
        <v>50</v>
      </c>
      <c r="P52" s="79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0"/>
        <v>0</v>
      </c>
      <c r="Z52" s="36" t="str">
        <f>IFERROR(IF(Y52=0,"",ROUNDUP(Y52/H52,0)*0.00651),"")</f>
        <v/>
      </c>
      <c r="AA52" s="56"/>
      <c r="AB52" s="57"/>
      <c r="AC52" s="99" t="s">
        <v>130</v>
      </c>
      <c r="AG52" s="64"/>
      <c r="AJ52" s="68"/>
      <c r="AK52" s="68">
        <v>0</v>
      </c>
      <c r="BB52" s="100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131</v>
      </c>
      <c r="B53" s="54" t="s">
        <v>132</v>
      </c>
      <c r="C53" s="31">
        <v>4301011801</v>
      </c>
      <c r="D53" s="669">
        <v>4680115881419</v>
      </c>
      <c r="E53" s="670"/>
      <c r="F53" s="664">
        <v>0.45</v>
      </c>
      <c r="G53" s="32">
        <v>10</v>
      </c>
      <c r="H53" s="664">
        <v>4.5</v>
      </c>
      <c r="I53" s="664">
        <v>4.71</v>
      </c>
      <c r="J53" s="32">
        <v>132</v>
      </c>
      <c r="K53" s="32" t="s">
        <v>98</v>
      </c>
      <c r="L53" s="32" t="s">
        <v>116</v>
      </c>
      <c r="M53" s="33" t="s">
        <v>94</v>
      </c>
      <c r="N53" s="33"/>
      <c r="O53" s="32">
        <v>50</v>
      </c>
      <c r="P53" s="82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0</v>
      </c>
      <c r="Y53" s="666">
        <f t="shared" si="0"/>
        <v>0</v>
      </c>
      <c r="Z53" s="36" t="str">
        <f>IFERROR(IF(Y53=0,"",ROUNDUP(Y53/H53,0)*0.00902),"")</f>
        <v/>
      </c>
      <c r="AA53" s="56"/>
      <c r="AB53" s="57"/>
      <c r="AC53" s="101" t="s">
        <v>117</v>
      </c>
      <c r="AG53" s="64"/>
      <c r="AJ53" s="68" t="s">
        <v>118</v>
      </c>
      <c r="AK53" s="68">
        <v>594</v>
      </c>
      <c r="BB53" s="102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x14ac:dyDescent="0.2">
      <c r="A54" s="679"/>
      <c r="B54" s="680"/>
      <c r="C54" s="680"/>
      <c r="D54" s="680"/>
      <c r="E54" s="680"/>
      <c r="F54" s="680"/>
      <c r="G54" s="680"/>
      <c r="H54" s="680"/>
      <c r="I54" s="680"/>
      <c r="J54" s="680"/>
      <c r="K54" s="680"/>
      <c r="L54" s="680"/>
      <c r="M54" s="680"/>
      <c r="N54" s="680"/>
      <c r="O54" s="681"/>
      <c r="P54" s="685" t="s">
        <v>80</v>
      </c>
      <c r="Q54" s="686"/>
      <c r="R54" s="686"/>
      <c r="S54" s="686"/>
      <c r="T54" s="686"/>
      <c r="U54" s="686"/>
      <c r="V54" s="687"/>
      <c r="W54" s="37" t="s">
        <v>81</v>
      </c>
      <c r="X54" s="667">
        <f>IFERROR(X47/H47,"0")+IFERROR(X48/H48,"0")+IFERROR(X49/H49,"0")+IFERROR(X50/H50,"0")+IFERROR(X51/H51,"0")+IFERROR(X52/H52,"0")+IFERROR(X53/H53,"0")</f>
        <v>5.5555555555555554</v>
      </c>
      <c r="Y54" s="667">
        <f>IFERROR(Y47/H47,"0")+IFERROR(Y48/H48,"0")+IFERROR(Y49/H49,"0")+IFERROR(Y50/H50,"0")+IFERROR(Y51/H51,"0")+IFERROR(Y52/H52,"0")+IFERROR(Y53/H53,"0")</f>
        <v>6.0000000000000009</v>
      </c>
      <c r="Z54" s="667">
        <f>IFERROR(IF(Z47="",0,Z47),"0")+IFERROR(IF(Z48="",0,Z48),"0")+IFERROR(IF(Z49="",0,Z49),"0")+IFERROR(IF(Z50="",0,Z50),"0")+IFERROR(IF(Z51="",0,Z51),"0")+IFERROR(IF(Z52="",0,Z52),"0")+IFERROR(IF(Z53="",0,Z53),"0")</f>
        <v>0.11388000000000001</v>
      </c>
      <c r="AA54" s="668"/>
      <c r="AB54" s="668"/>
      <c r="AC54" s="668"/>
    </row>
    <row r="55" spans="1:68" x14ac:dyDescent="0.2">
      <c r="A55" s="680"/>
      <c r="B55" s="680"/>
      <c r="C55" s="680"/>
      <c r="D55" s="680"/>
      <c r="E55" s="680"/>
      <c r="F55" s="680"/>
      <c r="G55" s="680"/>
      <c r="H55" s="680"/>
      <c r="I55" s="680"/>
      <c r="J55" s="680"/>
      <c r="K55" s="680"/>
      <c r="L55" s="680"/>
      <c r="M55" s="680"/>
      <c r="N55" s="680"/>
      <c r="O55" s="681"/>
      <c r="P55" s="685" t="s">
        <v>80</v>
      </c>
      <c r="Q55" s="686"/>
      <c r="R55" s="686"/>
      <c r="S55" s="686"/>
      <c r="T55" s="686"/>
      <c r="U55" s="686"/>
      <c r="V55" s="687"/>
      <c r="W55" s="37" t="s">
        <v>69</v>
      </c>
      <c r="X55" s="667">
        <f>IFERROR(SUM(X47:X53),"0")</f>
        <v>60</v>
      </c>
      <c r="Y55" s="667">
        <f>IFERROR(SUM(Y47:Y53),"0")</f>
        <v>64.800000000000011</v>
      </c>
      <c r="Z55" s="37"/>
      <c r="AA55" s="668"/>
      <c r="AB55" s="668"/>
      <c r="AC55" s="668"/>
    </row>
    <row r="56" spans="1:68" ht="14.25" customHeight="1" x14ac:dyDescent="0.25">
      <c r="A56" s="682" t="s">
        <v>133</v>
      </c>
      <c r="B56" s="680"/>
      <c r="C56" s="680"/>
      <c r="D56" s="680"/>
      <c r="E56" s="680"/>
      <c r="F56" s="680"/>
      <c r="G56" s="680"/>
      <c r="H56" s="680"/>
      <c r="I56" s="680"/>
      <c r="J56" s="680"/>
      <c r="K56" s="680"/>
      <c r="L56" s="680"/>
      <c r="M56" s="680"/>
      <c r="N56" s="680"/>
      <c r="O56" s="680"/>
      <c r="P56" s="680"/>
      <c r="Q56" s="680"/>
      <c r="R56" s="680"/>
      <c r="S56" s="680"/>
      <c r="T56" s="680"/>
      <c r="U56" s="680"/>
      <c r="V56" s="680"/>
      <c r="W56" s="680"/>
      <c r="X56" s="680"/>
      <c r="Y56" s="680"/>
      <c r="Z56" s="680"/>
      <c r="AA56" s="661"/>
      <c r="AB56" s="661"/>
      <c r="AC56" s="661"/>
    </row>
    <row r="57" spans="1:68" ht="16.5" customHeight="1" x14ac:dyDescent="0.25">
      <c r="A57" s="54" t="s">
        <v>134</v>
      </c>
      <c r="B57" s="54" t="s">
        <v>135</v>
      </c>
      <c r="C57" s="31">
        <v>4301020298</v>
      </c>
      <c r="D57" s="669">
        <v>4680115881440</v>
      </c>
      <c r="E57" s="670"/>
      <c r="F57" s="664">
        <v>1.35</v>
      </c>
      <c r="G57" s="32">
        <v>8</v>
      </c>
      <c r="H57" s="664">
        <v>10.8</v>
      </c>
      <c r="I57" s="664">
        <v>11.234999999999999</v>
      </c>
      <c r="J57" s="32">
        <v>64</v>
      </c>
      <c r="K57" s="32" t="s">
        <v>93</v>
      </c>
      <c r="L57" s="32"/>
      <c r="M57" s="33" t="s">
        <v>94</v>
      </c>
      <c r="N57" s="33"/>
      <c r="O57" s="32">
        <v>50</v>
      </c>
      <c r="P57" s="100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7" s="672"/>
      <c r="R57" s="672"/>
      <c r="S57" s="672"/>
      <c r="T57" s="673"/>
      <c r="U57" s="34"/>
      <c r="V57" s="34"/>
      <c r="W57" s="35" t="s">
        <v>69</v>
      </c>
      <c r="X57" s="665">
        <v>40</v>
      </c>
      <c r="Y57" s="666">
        <f>IFERROR(IF(X57="",0,CEILING((X57/$H57),1)*$H57),"")</f>
        <v>43.2</v>
      </c>
      <c r="Z57" s="36">
        <f>IFERROR(IF(Y57=0,"",ROUNDUP(Y57/H57,0)*0.01898),"")</f>
        <v>7.5920000000000001E-2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>IFERROR(X57*I57/H57,"0")</f>
        <v>41.611111111111107</v>
      </c>
      <c r="BN57" s="64">
        <f>IFERROR(Y57*I57/H57,"0")</f>
        <v>44.94</v>
      </c>
      <c r="BO57" s="64">
        <f>IFERROR(1/J57*(X57/H57),"0")</f>
        <v>5.7870370370370364E-2</v>
      </c>
      <c r="BP57" s="64">
        <f>IFERROR(1/J57*(Y57/H57),"0")</f>
        <v>6.25E-2</v>
      </c>
    </row>
    <row r="58" spans="1:68" ht="27" customHeight="1" x14ac:dyDescent="0.25">
      <c r="A58" s="54" t="s">
        <v>137</v>
      </c>
      <c r="B58" s="54" t="s">
        <v>138</v>
      </c>
      <c r="C58" s="31">
        <v>4301020228</v>
      </c>
      <c r="D58" s="669">
        <v>4680115882751</v>
      </c>
      <c r="E58" s="670"/>
      <c r="F58" s="664">
        <v>0.45</v>
      </c>
      <c r="G58" s="32">
        <v>10</v>
      </c>
      <c r="H58" s="664">
        <v>4.5</v>
      </c>
      <c r="I58" s="664">
        <v>4.71</v>
      </c>
      <c r="J58" s="32">
        <v>132</v>
      </c>
      <c r="K58" s="32" t="s">
        <v>98</v>
      </c>
      <c r="L58" s="32"/>
      <c r="M58" s="33" t="s">
        <v>94</v>
      </c>
      <c r="N58" s="33"/>
      <c r="O58" s="32">
        <v>90</v>
      </c>
      <c r="P58" s="105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0</v>
      </c>
      <c r="Y58" s="666">
        <f>IFERROR(IF(X58="",0,CEILING((X58/$H58),1)*$H58),"")</f>
        <v>0</v>
      </c>
      <c r="Z58" s="36" t="str">
        <f>IFERROR(IF(Y58=0,"",ROUNDUP(Y58/H58,0)*0.00902),"")</f>
        <v/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16.5" customHeight="1" x14ac:dyDescent="0.25">
      <c r="A59" s="54" t="s">
        <v>140</v>
      </c>
      <c r="B59" s="54" t="s">
        <v>141</v>
      </c>
      <c r="C59" s="31">
        <v>4301020358</v>
      </c>
      <c r="D59" s="669">
        <v>4680115885950</v>
      </c>
      <c r="E59" s="670"/>
      <c r="F59" s="664">
        <v>0.37</v>
      </c>
      <c r="G59" s="32">
        <v>6</v>
      </c>
      <c r="H59" s="664">
        <v>2.2200000000000002</v>
      </c>
      <c r="I59" s="664">
        <v>2.4</v>
      </c>
      <c r="J59" s="32">
        <v>182</v>
      </c>
      <c r="K59" s="32" t="s">
        <v>67</v>
      </c>
      <c r="L59" s="32"/>
      <c r="M59" s="33" t="s">
        <v>100</v>
      </c>
      <c r="N59" s="33"/>
      <c r="O59" s="32">
        <v>50</v>
      </c>
      <c r="P59" s="95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IFERROR(IF(Y59=0,"",ROUNDUP(Y59/H59,0)*0.00651),"")</f>
        <v/>
      </c>
      <c r="AA59" s="56"/>
      <c r="AB59" s="57"/>
      <c r="AC59" s="107" t="s">
        <v>136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27" customHeight="1" x14ac:dyDescent="0.25">
      <c r="A60" s="54" t="s">
        <v>142</v>
      </c>
      <c r="B60" s="54" t="s">
        <v>143</v>
      </c>
      <c r="C60" s="31">
        <v>4301020296</v>
      </c>
      <c r="D60" s="669">
        <v>4680115881433</v>
      </c>
      <c r="E60" s="670"/>
      <c r="F60" s="664">
        <v>0.45</v>
      </c>
      <c r="G60" s="32">
        <v>6</v>
      </c>
      <c r="H60" s="664">
        <v>2.7</v>
      </c>
      <c r="I60" s="664">
        <v>2.88</v>
      </c>
      <c r="J60" s="32">
        <v>182</v>
      </c>
      <c r="K60" s="32" t="s">
        <v>67</v>
      </c>
      <c r="L60" s="32" t="s">
        <v>116</v>
      </c>
      <c r="M60" s="33" t="s">
        <v>94</v>
      </c>
      <c r="N60" s="33"/>
      <c r="O60" s="32">
        <v>50</v>
      </c>
      <c r="P60" s="10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 t="s">
        <v>118</v>
      </c>
      <c r="AK60" s="68">
        <v>491.4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x14ac:dyDescent="0.2">
      <c r="A61" s="679"/>
      <c r="B61" s="680"/>
      <c r="C61" s="680"/>
      <c r="D61" s="680"/>
      <c r="E61" s="680"/>
      <c r="F61" s="680"/>
      <c r="G61" s="680"/>
      <c r="H61" s="680"/>
      <c r="I61" s="680"/>
      <c r="J61" s="680"/>
      <c r="K61" s="680"/>
      <c r="L61" s="680"/>
      <c r="M61" s="680"/>
      <c r="N61" s="680"/>
      <c r="O61" s="681"/>
      <c r="P61" s="685" t="s">
        <v>80</v>
      </c>
      <c r="Q61" s="686"/>
      <c r="R61" s="686"/>
      <c r="S61" s="686"/>
      <c r="T61" s="686"/>
      <c r="U61" s="686"/>
      <c r="V61" s="687"/>
      <c r="W61" s="37" t="s">
        <v>81</v>
      </c>
      <c r="X61" s="667">
        <f>IFERROR(X57/H57,"0")+IFERROR(X58/H58,"0")+IFERROR(X59/H59,"0")+IFERROR(X60/H60,"0")</f>
        <v>3.7037037037037033</v>
      </c>
      <c r="Y61" s="667">
        <f>IFERROR(Y57/H57,"0")+IFERROR(Y58/H58,"0")+IFERROR(Y59/H59,"0")+IFERROR(Y60/H60,"0")</f>
        <v>4</v>
      </c>
      <c r="Z61" s="667">
        <f>IFERROR(IF(Z57="",0,Z57),"0")+IFERROR(IF(Z58="",0,Z58),"0")+IFERROR(IF(Z59="",0,Z59),"0")+IFERROR(IF(Z60="",0,Z60),"0")</f>
        <v>7.5920000000000001E-2</v>
      </c>
      <c r="AA61" s="668"/>
      <c r="AB61" s="668"/>
      <c r="AC61" s="668"/>
    </row>
    <row r="62" spans="1:68" x14ac:dyDescent="0.2">
      <c r="A62" s="680"/>
      <c r="B62" s="680"/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81"/>
      <c r="P62" s="685" t="s">
        <v>80</v>
      </c>
      <c r="Q62" s="686"/>
      <c r="R62" s="686"/>
      <c r="S62" s="686"/>
      <c r="T62" s="686"/>
      <c r="U62" s="686"/>
      <c r="V62" s="687"/>
      <c r="W62" s="37" t="s">
        <v>69</v>
      </c>
      <c r="X62" s="667">
        <f>IFERROR(SUM(X57:X60),"0")</f>
        <v>40</v>
      </c>
      <c r="Y62" s="667">
        <f>IFERROR(SUM(Y57:Y60),"0")</f>
        <v>43.2</v>
      </c>
      <c r="Z62" s="37"/>
      <c r="AA62" s="668"/>
      <c r="AB62" s="668"/>
      <c r="AC62" s="668"/>
    </row>
    <row r="63" spans="1:68" ht="14.25" customHeight="1" x14ac:dyDescent="0.25">
      <c r="A63" s="682" t="s">
        <v>144</v>
      </c>
      <c r="B63" s="680"/>
      <c r="C63" s="680"/>
      <c r="D63" s="680"/>
      <c r="E63" s="680"/>
      <c r="F63" s="680"/>
      <c r="G63" s="680"/>
      <c r="H63" s="680"/>
      <c r="I63" s="680"/>
      <c r="J63" s="680"/>
      <c r="K63" s="680"/>
      <c r="L63" s="680"/>
      <c r="M63" s="680"/>
      <c r="N63" s="680"/>
      <c r="O63" s="680"/>
      <c r="P63" s="680"/>
      <c r="Q63" s="680"/>
      <c r="R63" s="680"/>
      <c r="S63" s="680"/>
      <c r="T63" s="680"/>
      <c r="U63" s="680"/>
      <c r="V63" s="680"/>
      <c r="W63" s="680"/>
      <c r="X63" s="680"/>
      <c r="Y63" s="680"/>
      <c r="Z63" s="680"/>
      <c r="AA63" s="661"/>
      <c r="AB63" s="661"/>
      <c r="AC63" s="661"/>
    </row>
    <row r="64" spans="1:68" ht="27" customHeight="1" x14ac:dyDescent="0.25">
      <c r="A64" s="54" t="s">
        <v>145</v>
      </c>
      <c r="B64" s="54" t="s">
        <v>146</v>
      </c>
      <c r="C64" s="31">
        <v>4301031243</v>
      </c>
      <c r="D64" s="669">
        <v>4680115885073</v>
      </c>
      <c r="E64" s="670"/>
      <c r="F64" s="664">
        <v>0.3</v>
      </c>
      <c r="G64" s="32">
        <v>6</v>
      </c>
      <c r="H64" s="664">
        <v>1.8</v>
      </c>
      <c r="I64" s="664">
        <v>1.9</v>
      </c>
      <c r="J64" s="32">
        <v>234</v>
      </c>
      <c r="K64" s="32" t="s">
        <v>147</v>
      </c>
      <c r="L64" s="32"/>
      <c r="M64" s="33" t="s">
        <v>68</v>
      </c>
      <c r="N64" s="33"/>
      <c r="O64" s="32">
        <v>40</v>
      </c>
      <c r="P64" s="9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4" s="672"/>
      <c r="R64" s="672"/>
      <c r="S64" s="672"/>
      <c r="T64" s="673"/>
      <c r="U64" s="34"/>
      <c r="V64" s="34"/>
      <c r="W64" s="35" t="s">
        <v>69</v>
      </c>
      <c r="X64" s="665">
        <v>0</v>
      </c>
      <c r="Y64" s="666">
        <f>IFERROR(IF(X64="",0,CEILING((X64/$H64),1)*$H64),"")</f>
        <v>0</v>
      </c>
      <c r="Z64" s="36" t="str">
        <f>IFERROR(IF(Y64=0,"",ROUNDUP(Y64/H64,0)*0.00502),"")</f>
        <v/>
      </c>
      <c r="AA64" s="56"/>
      <c r="AB64" s="57"/>
      <c r="AC64" s="111" t="s">
        <v>148</v>
      </c>
      <c r="AG64" s="64"/>
      <c r="AJ64" s="68"/>
      <c r="AK64" s="68">
        <v>0</v>
      </c>
      <c r="BB64" s="112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27" customHeight="1" x14ac:dyDescent="0.25">
      <c r="A65" s="54" t="s">
        <v>149</v>
      </c>
      <c r="B65" s="54" t="s">
        <v>150</v>
      </c>
      <c r="C65" s="31">
        <v>4301031241</v>
      </c>
      <c r="D65" s="669">
        <v>4680115885059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147</v>
      </c>
      <c r="L65" s="32"/>
      <c r="M65" s="33" t="s">
        <v>68</v>
      </c>
      <c r="N65" s="33"/>
      <c r="O65" s="32">
        <v>40</v>
      </c>
      <c r="P65" s="10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4301031316</v>
      </c>
      <c r="D66" s="669">
        <v>4680115885097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147</v>
      </c>
      <c r="L66" s="32"/>
      <c r="M66" s="33" t="s">
        <v>68</v>
      </c>
      <c r="N66" s="33"/>
      <c r="O66" s="32">
        <v>40</v>
      </c>
      <c r="P66" s="82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x14ac:dyDescent="0.2">
      <c r="A67" s="679"/>
      <c r="B67" s="680"/>
      <c r="C67" s="680"/>
      <c r="D67" s="680"/>
      <c r="E67" s="680"/>
      <c r="F67" s="680"/>
      <c r="G67" s="680"/>
      <c r="H67" s="680"/>
      <c r="I67" s="680"/>
      <c r="J67" s="680"/>
      <c r="K67" s="680"/>
      <c r="L67" s="680"/>
      <c r="M67" s="680"/>
      <c r="N67" s="680"/>
      <c r="O67" s="681"/>
      <c r="P67" s="685" t="s">
        <v>80</v>
      </c>
      <c r="Q67" s="686"/>
      <c r="R67" s="686"/>
      <c r="S67" s="686"/>
      <c r="T67" s="686"/>
      <c r="U67" s="686"/>
      <c r="V67" s="687"/>
      <c r="W67" s="37" t="s">
        <v>81</v>
      </c>
      <c r="X67" s="667">
        <f>IFERROR(X64/H64,"0")+IFERROR(X65/H65,"0")+IFERROR(X66/H66,"0")</f>
        <v>0</v>
      </c>
      <c r="Y67" s="667">
        <f>IFERROR(Y64/H64,"0")+IFERROR(Y65/H65,"0")+IFERROR(Y66/H66,"0")</f>
        <v>0</v>
      </c>
      <c r="Z67" s="667">
        <f>IFERROR(IF(Z64="",0,Z64),"0")+IFERROR(IF(Z65="",0,Z65),"0")+IFERROR(IF(Z66="",0,Z66),"0")</f>
        <v>0</v>
      </c>
      <c r="AA67" s="668"/>
      <c r="AB67" s="668"/>
      <c r="AC67" s="668"/>
    </row>
    <row r="68" spans="1:68" x14ac:dyDescent="0.2">
      <c r="A68" s="680"/>
      <c r="B68" s="680"/>
      <c r="C68" s="680"/>
      <c r="D68" s="680"/>
      <c r="E68" s="680"/>
      <c r="F68" s="680"/>
      <c r="G68" s="680"/>
      <c r="H68" s="680"/>
      <c r="I68" s="680"/>
      <c r="J68" s="680"/>
      <c r="K68" s="680"/>
      <c r="L68" s="680"/>
      <c r="M68" s="680"/>
      <c r="N68" s="680"/>
      <c r="O68" s="681"/>
      <c r="P68" s="685" t="s">
        <v>80</v>
      </c>
      <c r="Q68" s="686"/>
      <c r="R68" s="686"/>
      <c r="S68" s="686"/>
      <c r="T68" s="686"/>
      <c r="U68" s="686"/>
      <c r="V68" s="687"/>
      <c r="W68" s="37" t="s">
        <v>69</v>
      </c>
      <c r="X68" s="667">
        <f>IFERROR(SUM(X64:X66),"0")</f>
        <v>0</v>
      </c>
      <c r="Y68" s="667">
        <f>IFERROR(SUM(Y64:Y66),"0")</f>
        <v>0</v>
      </c>
      <c r="Z68" s="37"/>
      <c r="AA68" s="668"/>
      <c r="AB68" s="668"/>
      <c r="AC68" s="668"/>
    </row>
    <row r="69" spans="1:68" ht="14.25" customHeight="1" x14ac:dyDescent="0.25">
      <c r="A69" s="682" t="s">
        <v>64</v>
      </c>
      <c r="B69" s="680"/>
      <c r="C69" s="680"/>
      <c r="D69" s="680"/>
      <c r="E69" s="680"/>
      <c r="F69" s="680"/>
      <c r="G69" s="680"/>
      <c r="H69" s="680"/>
      <c r="I69" s="680"/>
      <c r="J69" s="680"/>
      <c r="K69" s="680"/>
      <c r="L69" s="680"/>
      <c r="M69" s="680"/>
      <c r="N69" s="680"/>
      <c r="O69" s="680"/>
      <c r="P69" s="680"/>
      <c r="Q69" s="680"/>
      <c r="R69" s="680"/>
      <c r="S69" s="680"/>
      <c r="T69" s="680"/>
      <c r="U69" s="680"/>
      <c r="V69" s="680"/>
      <c r="W69" s="680"/>
      <c r="X69" s="680"/>
      <c r="Y69" s="680"/>
      <c r="Z69" s="680"/>
      <c r="AA69" s="661"/>
      <c r="AB69" s="661"/>
      <c r="AC69" s="661"/>
    </row>
    <row r="70" spans="1:68" ht="16.5" customHeight="1" x14ac:dyDescent="0.25">
      <c r="A70" s="54" t="s">
        <v>155</v>
      </c>
      <c r="B70" s="54" t="s">
        <v>156</v>
      </c>
      <c r="C70" s="31">
        <v>4301051838</v>
      </c>
      <c r="D70" s="669">
        <v>4680115881891</v>
      </c>
      <c r="E70" s="670"/>
      <c r="F70" s="664">
        <v>1.4</v>
      </c>
      <c r="G70" s="32">
        <v>6</v>
      </c>
      <c r="H70" s="664">
        <v>8.4</v>
      </c>
      <c r="I70" s="664">
        <v>8.9190000000000005</v>
      </c>
      <c r="J70" s="32">
        <v>64</v>
      </c>
      <c r="K70" s="32" t="s">
        <v>93</v>
      </c>
      <c r="L70" s="32"/>
      <c r="M70" s="33" t="s">
        <v>100</v>
      </c>
      <c r="N70" s="33"/>
      <c r="O70" s="32">
        <v>40</v>
      </c>
      <c r="P70" s="1025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0" s="672"/>
      <c r="R70" s="672"/>
      <c r="S70" s="672"/>
      <c r="T70" s="673"/>
      <c r="U70" s="34"/>
      <c r="V70" s="34"/>
      <c r="W70" s="35" t="s">
        <v>69</v>
      </c>
      <c r="X70" s="665">
        <v>0</v>
      </c>
      <c r="Y70" s="666">
        <f t="shared" ref="Y70:Y75" si="5"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7" t="s">
        <v>157</v>
      </c>
      <c r="AG70" s="64"/>
      <c r="AJ70" s="68"/>
      <c r="AK70" s="68">
        <v>0</v>
      </c>
      <c r="BB70" s="118" t="s">
        <v>1</v>
      </c>
      <c r="BM70" s="64">
        <f t="shared" ref="BM70:BM75" si="6">IFERROR(X70*I70/H70,"0")</f>
        <v>0</v>
      </c>
      <c r="BN70" s="64">
        <f t="shared" ref="BN70:BN75" si="7">IFERROR(Y70*I70/H70,"0")</f>
        <v>0</v>
      </c>
      <c r="BO70" s="64">
        <f t="shared" ref="BO70:BO75" si="8">IFERROR(1/J70*(X70/H70),"0")</f>
        <v>0</v>
      </c>
      <c r="BP70" s="64">
        <f t="shared" ref="BP70:BP75" si="9">IFERROR(1/J70*(Y70/H70),"0")</f>
        <v>0</v>
      </c>
    </row>
    <row r="71" spans="1:68" ht="27" customHeight="1" x14ac:dyDescent="0.25">
      <c r="A71" s="54" t="s">
        <v>158</v>
      </c>
      <c r="B71" s="54" t="s">
        <v>159</v>
      </c>
      <c r="C71" s="31">
        <v>4301051846</v>
      </c>
      <c r="D71" s="669">
        <v>4680115885769</v>
      </c>
      <c r="E71" s="670"/>
      <c r="F71" s="664">
        <v>1.4</v>
      </c>
      <c r="G71" s="32">
        <v>6</v>
      </c>
      <c r="H71" s="664">
        <v>8.4</v>
      </c>
      <c r="I71" s="664">
        <v>8.8350000000000009</v>
      </c>
      <c r="J71" s="32">
        <v>64</v>
      </c>
      <c r="K71" s="32" t="s">
        <v>93</v>
      </c>
      <c r="L71" s="32"/>
      <c r="M71" s="33" t="s">
        <v>100</v>
      </c>
      <c r="N71" s="33"/>
      <c r="O71" s="32">
        <v>45</v>
      </c>
      <c r="P71" s="10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si="5"/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37.5" customHeight="1" x14ac:dyDescent="0.25">
      <c r="A72" s="54" t="s">
        <v>161</v>
      </c>
      <c r="B72" s="54" t="s">
        <v>162</v>
      </c>
      <c r="C72" s="31">
        <v>4301051822</v>
      </c>
      <c r="D72" s="669">
        <v>4680115884410</v>
      </c>
      <c r="E72" s="670"/>
      <c r="F72" s="664">
        <v>1.4</v>
      </c>
      <c r="G72" s="32">
        <v>6</v>
      </c>
      <c r="H72" s="664">
        <v>8.4</v>
      </c>
      <c r="I72" s="664">
        <v>8.907</v>
      </c>
      <c r="J72" s="32">
        <v>64</v>
      </c>
      <c r="K72" s="32" t="s">
        <v>93</v>
      </c>
      <c r="L72" s="32"/>
      <c r="M72" s="33" t="s">
        <v>68</v>
      </c>
      <c r="N72" s="33"/>
      <c r="O72" s="32">
        <v>40</v>
      </c>
      <c r="P72" s="1018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10</v>
      </c>
      <c r="Y72" s="666">
        <f t="shared" si="5"/>
        <v>16.8</v>
      </c>
      <c r="Z72" s="36">
        <f>IFERROR(IF(Y72=0,"",ROUNDUP(Y72/H72,0)*0.01898),"")</f>
        <v>3.7960000000000001E-2</v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6"/>
        <v>10.603571428571428</v>
      </c>
      <c r="BN72" s="64">
        <f t="shared" si="7"/>
        <v>17.814</v>
      </c>
      <c r="BO72" s="64">
        <f t="shared" si="8"/>
        <v>1.8601190476190476E-2</v>
      </c>
      <c r="BP72" s="64">
        <f t="shared" si="9"/>
        <v>3.125E-2</v>
      </c>
    </row>
    <row r="73" spans="1:68" ht="16.5" customHeight="1" x14ac:dyDescent="0.25">
      <c r="A73" s="54" t="s">
        <v>164</v>
      </c>
      <c r="B73" s="54" t="s">
        <v>165</v>
      </c>
      <c r="C73" s="31">
        <v>4301051837</v>
      </c>
      <c r="D73" s="669">
        <v>4680115884311</v>
      </c>
      <c r="E73" s="670"/>
      <c r="F73" s="664">
        <v>0.3</v>
      </c>
      <c r="G73" s="32">
        <v>6</v>
      </c>
      <c r="H73" s="664">
        <v>1.8</v>
      </c>
      <c r="I73" s="664">
        <v>2.0459999999999998</v>
      </c>
      <c r="J73" s="32">
        <v>182</v>
      </c>
      <c r="K73" s="32" t="s">
        <v>67</v>
      </c>
      <c r="L73" s="32"/>
      <c r="M73" s="33" t="s">
        <v>100</v>
      </c>
      <c r="N73" s="33"/>
      <c r="O73" s="32">
        <v>40</v>
      </c>
      <c r="P73" s="6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0</v>
      </c>
      <c r="Y73" s="666">
        <f t="shared" si="5"/>
        <v>0</v>
      </c>
      <c r="Z73" s="36" t="str">
        <f>IFERROR(IF(Y73=0,"",ROUNDUP(Y73/H73,0)*0.00651),"")</f>
        <v/>
      </c>
      <c r="AA73" s="56"/>
      <c r="AB73" s="57"/>
      <c r="AC73" s="123" t="s">
        <v>157</v>
      </c>
      <c r="AG73" s="64"/>
      <c r="AJ73" s="68"/>
      <c r="AK73" s="68">
        <v>0</v>
      </c>
      <c r="BB73" s="124" t="s">
        <v>1</v>
      </c>
      <c r="BM73" s="64">
        <f t="shared" si="6"/>
        <v>0</v>
      </c>
      <c r="BN73" s="64">
        <f t="shared" si="7"/>
        <v>0</v>
      </c>
      <c r="BO73" s="64">
        <f t="shared" si="8"/>
        <v>0</v>
      </c>
      <c r="BP73" s="64">
        <f t="shared" si="9"/>
        <v>0</v>
      </c>
    </row>
    <row r="74" spans="1:68" ht="27" customHeight="1" x14ac:dyDescent="0.25">
      <c r="A74" s="54" t="s">
        <v>166</v>
      </c>
      <c r="B74" s="54" t="s">
        <v>167</v>
      </c>
      <c r="C74" s="31">
        <v>4301051844</v>
      </c>
      <c r="D74" s="669">
        <v>4680115885929</v>
      </c>
      <c r="E74" s="670"/>
      <c r="F74" s="664">
        <v>0.42</v>
      </c>
      <c r="G74" s="32">
        <v>6</v>
      </c>
      <c r="H74" s="664">
        <v>2.52</v>
      </c>
      <c r="I74" s="664">
        <v>2.7</v>
      </c>
      <c r="J74" s="32">
        <v>182</v>
      </c>
      <c r="K74" s="32" t="s">
        <v>67</v>
      </c>
      <c r="L74" s="32"/>
      <c r="M74" s="33" t="s">
        <v>100</v>
      </c>
      <c r="N74" s="33"/>
      <c r="O74" s="32">
        <v>45</v>
      </c>
      <c r="P74" s="84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5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6"/>
        <v>0</v>
      </c>
      <c r="BN74" s="64">
        <f t="shared" si="7"/>
        <v>0</v>
      </c>
      <c r="BO74" s="64">
        <f t="shared" si="8"/>
        <v>0</v>
      </c>
      <c r="BP74" s="64">
        <f t="shared" si="9"/>
        <v>0</v>
      </c>
    </row>
    <row r="75" spans="1:68" ht="37.5" customHeight="1" x14ac:dyDescent="0.25">
      <c r="A75" s="54" t="s">
        <v>168</v>
      </c>
      <c r="B75" s="54" t="s">
        <v>169</v>
      </c>
      <c r="C75" s="31">
        <v>4301051827</v>
      </c>
      <c r="D75" s="669">
        <v>4680115884403</v>
      </c>
      <c r="E75" s="670"/>
      <c r="F75" s="664">
        <v>0.3</v>
      </c>
      <c r="G75" s="32">
        <v>6</v>
      </c>
      <c r="H75" s="664">
        <v>1.8</v>
      </c>
      <c r="I75" s="664">
        <v>1.98</v>
      </c>
      <c r="J75" s="32">
        <v>182</v>
      </c>
      <c r="K75" s="32" t="s">
        <v>67</v>
      </c>
      <c r="L75" s="32"/>
      <c r="M75" s="33" t="s">
        <v>68</v>
      </c>
      <c r="N75" s="33"/>
      <c r="O75" s="32">
        <v>40</v>
      </c>
      <c r="P75" s="100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5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6"/>
        <v>0</v>
      </c>
      <c r="BN75" s="64">
        <f t="shared" si="7"/>
        <v>0</v>
      </c>
      <c r="BO75" s="64">
        <f t="shared" si="8"/>
        <v>0</v>
      </c>
      <c r="BP75" s="64">
        <f t="shared" si="9"/>
        <v>0</v>
      </c>
    </row>
    <row r="76" spans="1:68" x14ac:dyDescent="0.2">
      <c r="A76" s="679"/>
      <c r="B76" s="680"/>
      <c r="C76" s="680"/>
      <c r="D76" s="680"/>
      <c r="E76" s="680"/>
      <c r="F76" s="680"/>
      <c r="G76" s="680"/>
      <c r="H76" s="680"/>
      <c r="I76" s="680"/>
      <c r="J76" s="680"/>
      <c r="K76" s="680"/>
      <c r="L76" s="680"/>
      <c r="M76" s="680"/>
      <c r="N76" s="680"/>
      <c r="O76" s="681"/>
      <c r="P76" s="685" t="s">
        <v>80</v>
      </c>
      <c r="Q76" s="686"/>
      <c r="R76" s="686"/>
      <c r="S76" s="686"/>
      <c r="T76" s="686"/>
      <c r="U76" s="686"/>
      <c r="V76" s="687"/>
      <c r="W76" s="37" t="s">
        <v>81</v>
      </c>
      <c r="X76" s="667">
        <f>IFERROR(X70/H70,"0")+IFERROR(X71/H71,"0")+IFERROR(X72/H72,"0")+IFERROR(X73/H73,"0")+IFERROR(X74/H74,"0")+IFERROR(X75/H75,"0")</f>
        <v>1.1904761904761905</v>
      </c>
      <c r="Y76" s="667">
        <f>IFERROR(Y70/H70,"0")+IFERROR(Y71/H71,"0")+IFERROR(Y72/H72,"0")+IFERROR(Y73/H73,"0")+IFERROR(Y74/H74,"0")+IFERROR(Y75/H75,"0")</f>
        <v>2</v>
      </c>
      <c r="Z76" s="667">
        <f>IFERROR(IF(Z70="",0,Z70),"0")+IFERROR(IF(Z71="",0,Z71),"0")+IFERROR(IF(Z72="",0,Z72),"0")+IFERROR(IF(Z73="",0,Z73),"0")+IFERROR(IF(Z74="",0,Z74),"0")+IFERROR(IF(Z75="",0,Z75),"0")</f>
        <v>3.7960000000000001E-2</v>
      </c>
      <c r="AA76" s="668"/>
      <c r="AB76" s="668"/>
      <c r="AC76" s="668"/>
    </row>
    <row r="77" spans="1:68" x14ac:dyDescent="0.2">
      <c r="A77" s="680"/>
      <c r="B77" s="680"/>
      <c r="C77" s="680"/>
      <c r="D77" s="680"/>
      <c r="E77" s="680"/>
      <c r="F77" s="680"/>
      <c r="G77" s="680"/>
      <c r="H77" s="680"/>
      <c r="I77" s="680"/>
      <c r="J77" s="680"/>
      <c r="K77" s="680"/>
      <c r="L77" s="680"/>
      <c r="M77" s="680"/>
      <c r="N77" s="680"/>
      <c r="O77" s="681"/>
      <c r="P77" s="685" t="s">
        <v>80</v>
      </c>
      <c r="Q77" s="686"/>
      <c r="R77" s="686"/>
      <c r="S77" s="686"/>
      <c r="T77" s="686"/>
      <c r="U77" s="686"/>
      <c r="V77" s="687"/>
      <c r="W77" s="37" t="s">
        <v>69</v>
      </c>
      <c r="X77" s="667">
        <f>IFERROR(SUM(X70:X75),"0")</f>
        <v>10</v>
      </c>
      <c r="Y77" s="667">
        <f>IFERROR(SUM(Y70:Y75),"0")</f>
        <v>16.8</v>
      </c>
      <c r="Z77" s="37"/>
      <c r="AA77" s="668"/>
      <c r="AB77" s="668"/>
      <c r="AC77" s="668"/>
    </row>
    <row r="78" spans="1:68" ht="14.25" customHeight="1" x14ac:dyDescent="0.25">
      <c r="A78" s="682" t="s">
        <v>170</v>
      </c>
      <c r="B78" s="680"/>
      <c r="C78" s="680"/>
      <c r="D78" s="680"/>
      <c r="E78" s="680"/>
      <c r="F78" s="680"/>
      <c r="G78" s="680"/>
      <c r="H78" s="680"/>
      <c r="I78" s="680"/>
      <c r="J78" s="680"/>
      <c r="K78" s="680"/>
      <c r="L78" s="680"/>
      <c r="M78" s="680"/>
      <c r="N78" s="680"/>
      <c r="O78" s="680"/>
      <c r="P78" s="680"/>
      <c r="Q78" s="680"/>
      <c r="R78" s="680"/>
      <c r="S78" s="680"/>
      <c r="T78" s="680"/>
      <c r="U78" s="680"/>
      <c r="V78" s="680"/>
      <c r="W78" s="680"/>
      <c r="X78" s="680"/>
      <c r="Y78" s="680"/>
      <c r="Z78" s="680"/>
      <c r="AA78" s="661"/>
      <c r="AB78" s="661"/>
      <c r="AC78" s="661"/>
    </row>
    <row r="79" spans="1:68" ht="37.5" customHeight="1" x14ac:dyDescent="0.25">
      <c r="A79" s="54" t="s">
        <v>171</v>
      </c>
      <c r="B79" s="54" t="s">
        <v>172</v>
      </c>
      <c r="C79" s="31">
        <v>4301060366</v>
      </c>
      <c r="D79" s="669">
        <v>4680115881532</v>
      </c>
      <c r="E79" s="670"/>
      <c r="F79" s="664">
        <v>1.3</v>
      </c>
      <c r="G79" s="32">
        <v>6</v>
      </c>
      <c r="H79" s="664">
        <v>7.8</v>
      </c>
      <c r="I79" s="664">
        <v>8.2349999999999994</v>
      </c>
      <c r="J79" s="32">
        <v>64</v>
      </c>
      <c r="K79" s="32" t="s">
        <v>93</v>
      </c>
      <c r="L79" s="32"/>
      <c r="M79" s="33" t="s">
        <v>68</v>
      </c>
      <c r="N79" s="33"/>
      <c r="O79" s="32">
        <v>30</v>
      </c>
      <c r="P79" s="6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72"/>
      <c r="R79" s="672"/>
      <c r="S79" s="672"/>
      <c r="T79" s="673"/>
      <c r="U79" s="34"/>
      <c r="V79" s="34"/>
      <c r="W79" s="35" t="s">
        <v>69</v>
      </c>
      <c r="X79" s="665">
        <v>0</v>
      </c>
      <c r="Y79" s="66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9" t="s">
        <v>173</v>
      </c>
      <c r="AG79" s="64"/>
      <c r="AJ79" s="68"/>
      <c r="AK79" s="68">
        <v>0</v>
      </c>
      <c r="BB79" s="130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37.5" customHeight="1" x14ac:dyDescent="0.25">
      <c r="A80" s="54" t="s">
        <v>171</v>
      </c>
      <c r="B80" s="54" t="s">
        <v>174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93</v>
      </c>
      <c r="L80" s="32"/>
      <c r="M80" s="33" t="s">
        <v>68</v>
      </c>
      <c r="N80" s="33"/>
      <c r="O80" s="32">
        <v>30</v>
      </c>
      <c r="P80" s="933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175</v>
      </c>
      <c r="B81" s="54" t="s">
        <v>176</v>
      </c>
      <c r="C81" s="31">
        <v>4301060351</v>
      </c>
      <c r="D81" s="669">
        <v>4680115881464</v>
      </c>
      <c r="E81" s="670"/>
      <c r="F81" s="664">
        <v>0.4</v>
      </c>
      <c r="G81" s="32">
        <v>6</v>
      </c>
      <c r="H81" s="664">
        <v>2.4</v>
      </c>
      <c r="I81" s="664">
        <v>2.61</v>
      </c>
      <c r="J81" s="32">
        <v>132</v>
      </c>
      <c r="K81" s="32" t="s">
        <v>98</v>
      </c>
      <c r="L81" s="32"/>
      <c r="M81" s="33" t="s">
        <v>100</v>
      </c>
      <c r="N81" s="33"/>
      <c r="O81" s="32">
        <v>30</v>
      </c>
      <c r="P81" s="7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33" t="s">
        <v>177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679"/>
      <c r="B82" s="680"/>
      <c r="C82" s="680"/>
      <c r="D82" s="680"/>
      <c r="E82" s="680"/>
      <c r="F82" s="680"/>
      <c r="G82" s="680"/>
      <c r="H82" s="680"/>
      <c r="I82" s="680"/>
      <c r="J82" s="680"/>
      <c r="K82" s="680"/>
      <c r="L82" s="680"/>
      <c r="M82" s="680"/>
      <c r="N82" s="680"/>
      <c r="O82" s="681"/>
      <c r="P82" s="685" t="s">
        <v>80</v>
      </c>
      <c r="Q82" s="686"/>
      <c r="R82" s="686"/>
      <c r="S82" s="686"/>
      <c r="T82" s="686"/>
      <c r="U82" s="686"/>
      <c r="V82" s="687"/>
      <c r="W82" s="37" t="s">
        <v>81</v>
      </c>
      <c r="X82" s="667">
        <f>IFERROR(X79/H79,"0")+IFERROR(X80/H80,"0")+IFERROR(X81/H81,"0")</f>
        <v>0</v>
      </c>
      <c r="Y82" s="667">
        <f>IFERROR(Y79/H79,"0")+IFERROR(Y80/H80,"0")+IFERROR(Y81/H81,"0")</f>
        <v>0</v>
      </c>
      <c r="Z82" s="667">
        <f>IFERROR(IF(Z79="",0,Z79),"0")+IFERROR(IF(Z80="",0,Z80),"0")+IFERROR(IF(Z81="",0,Z81),"0")</f>
        <v>0</v>
      </c>
      <c r="AA82" s="668"/>
      <c r="AB82" s="668"/>
      <c r="AC82" s="668"/>
    </row>
    <row r="83" spans="1:68" x14ac:dyDescent="0.2">
      <c r="A83" s="680"/>
      <c r="B83" s="680"/>
      <c r="C83" s="680"/>
      <c r="D83" s="680"/>
      <c r="E83" s="680"/>
      <c r="F83" s="680"/>
      <c r="G83" s="680"/>
      <c r="H83" s="680"/>
      <c r="I83" s="680"/>
      <c r="J83" s="680"/>
      <c r="K83" s="680"/>
      <c r="L83" s="680"/>
      <c r="M83" s="680"/>
      <c r="N83" s="680"/>
      <c r="O83" s="681"/>
      <c r="P83" s="685" t="s">
        <v>80</v>
      </c>
      <c r="Q83" s="686"/>
      <c r="R83" s="686"/>
      <c r="S83" s="686"/>
      <c r="T83" s="686"/>
      <c r="U83" s="686"/>
      <c r="V83" s="687"/>
      <c r="W83" s="37" t="s">
        <v>69</v>
      </c>
      <c r="X83" s="667">
        <f>IFERROR(SUM(X79:X81),"0")</f>
        <v>0</v>
      </c>
      <c r="Y83" s="667">
        <f>IFERROR(SUM(Y79:Y81),"0")</f>
        <v>0</v>
      </c>
      <c r="Z83" s="37"/>
      <c r="AA83" s="668"/>
      <c r="AB83" s="668"/>
      <c r="AC83" s="668"/>
    </row>
    <row r="84" spans="1:68" ht="16.5" customHeight="1" x14ac:dyDescent="0.25">
      <c r="A84" s="716" t="s">
        <v>178</v>
      </c>
      <c r="B84" s="680"/>
      <c r="C84" s="680"/>
      <c r="D84" s="680"/>
      <c r="E84" s="680"/>
      <c r="F84" s="680"/>
      <c r="G84" s="680"/>
      <c r="H84" s="680"/>
      <c r="I84" s="680"/>
      <c r="J84" s="680"/>
      <c r="K84" s="680"/>
      <c r="L84" s="680"/>
      <c r="M84" s="680"/>
      <c r="N84" s="680"/>
      <c r="O84" s="680"/>
      <c r="P84" s="680"/>
      <c r="Q84" s="680"/>
      <c r="R84" s="680"/>
      <c r="S84" s="680"/>
      <c r="T84" s="680"/>
      <c r="U84" s="680"/>
      <c r="V84" s="680"/>
      <c r="W84" s="680"/>
      <c r="X84" s="680"/>
      <c r="Y84" s="680"/>
      <c r="Z84" s="680"/>
      <c r="AA84" s="660"/>
      <c r="AB84" s="660"/>
      <c r="AC84" s="660"/>
    </row>
    <row r="85" spans="1:68" ht="14.25" customHeight="1" x14ac:dyDescent="0.25">
      <c r="A85" s="682" t="s">
        <v>90</v>
      </c>
      <c r="B85" s="680"/>
      <c r="C85" s="680"/>
      <c r="D85" s="680"/>
      <c r="E85" s="680"/>
      <c r="F85" s="680"/>
      <c r="G85" s="680"/>
      <c r="H85" s="680"/>
      <c r="I85" s="680"/>
      <c r="J85" s="680"/>
      <c r="K85" s="680"/>
      <c r="L85" s="680"/>
      <c r="M85" s="680"/>
      <c r="N85" s="680"/>
      <c r="O85" s="680"/>
      <c r="P85" s="680"/>
      <c r="Q85" s="680"/>
      <c r="R85" s="680"/>
      <c r="S85" s="680"/>
      <c r="T85" s="680"/>
      <c r="U85" s="680"/>
      <c r="V85" s="680"/>
      <c r="W85" s="680"/>
      <c r="X85" s="680"/>
      <c r="Y85" s="680"/>
      <c r="Z85" s="680"/>
      <c r="AA85" s="661"/>
      <c r="AB85" s="661"/>
      <c r="AC85" s="661"/>
    </row>
    <row r="86" spans="1:68" ht="27" customHeight="1" x14ac:dyDescent="0.25">
      <c r="A86" s="54" t="s">
        <v>179</v>
      </c>
      <c r="B86" s="54" t="s">
        <v>180</v>
      </c>
      <c r="C86" s="31">
        <v>4301011468</v>
      </c>
      <c r="D86" s="669">
        <v>4680115881327</v>
      </c>
      <c r="E86" s="670"/>
      <c r="F86" s="664">
        <v>1.35</v>
      </c>
      <c r="G86" s="32">
        <v>8</v>
      </c>
      <c r="H86" s="664">
        <v>10.8</v>
      </c>
      <c r="I86" s="664">
        <v>11.234999999999999</v>
      </c>
      <c r="J86" s="32">
        <v>64</v>
      </c>
      <c r="K86" s="32" t="s">
        <v>93</v>
      </c>
      <c r="L86" s="32"/>
      <c r="M86" s="33" t="s">
        <v>129</v>
      </c>
      <c r="N86" s="33"/>
      <c r="O86" s="32">
        <v>50</v>
      </c>
      <c r="P86" s="69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72"/>
      <c r="R86" s="672"/>
      <c r="S86" s="672"/>
      <c r="T86" s="673"/>
      <c r="U86" s="34"/>
      <c r="V86" s="34"/>
      <c r="W86" s="35" t="s">
        <v>69</v>
      </c>
      <c r="X86" s="665">
        <v>0</v>
      </c>
      <c r="Y86" s="66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35" t="s">
        <v>181</v>
      </c>
      <c r="AG86" s="64"/>
      <c r="AJ86" s="68"/>
      <c r="AK86" s="68">
        <v>0</v>
      </c>
      <c r="BB86" s="136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16.5" customHeight="1" x14ac:dyDescent="0.25">
      <c r="A87" s="54" t="s">
        <v>182</v>
      </c>
      <c r="B87" s="54" t="s">
        <v>183</v>
      </c>
      <c r="C87" s="31">
        <v>4301011476</v>
      </c>
      <c r="D87" s="669">
        <v>4680115881518</v>
      </c>
      <c r="E87" s="670"/>
      <c r="F87" s="664">
        <v>0.4</v>
      </c>
      <c r="G87" s="32">
        <v>10</v>
      </c>
      <c r="H87" s="664">
        <v>4</v>
      </c>
      <c r="I87" s="664">
        <v>4.21</v>
      </c>
      <c r="J87" s="32">
        <v>132</v>
      </c>
      <c r="K87" s="32" t="s">
        <v>98</v>
      </c>
      <c r="L87" s="32"/>
      <c r="M87" s="33" t="s">
        <v>100</v>
      </c>
      <c r="N87" s="33"/>
      <c r="O87" s="32">
        <v>50</v>
      </c>
      <c r="P87" s="86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0</v>
      </c>
      <c r="Y87" s="66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184</v>
      </c>
      <c r="B88" s="54" t="s">
        <v>185</v>
      </c>
      <c r="C88" s="31">
        <v>4301011443</v>
      </c>
      <c r="D88" s="669">
        <v>4680115881303</v>
      </c>
      <c r="E88" s="670"/>
      <c r="F88" s="664">
        <v>0.45</v>
      </c>
      <c r="G88" s="32">
        <v>10</v>
      </c>
      <c r="H88" s="664">
        <v>4.5</v>
      </c>
      <c r="I88" s="664">
        <v>4.71</v>
      </c>
      <c r="J88" s="32">
        <v>132</v>
      </c>
      <c r="K88" s="32" t="s">
        <v>98</v>
      </c>
      <c r="L88" s="32" t="s">
        <v>99</v>
      </c>
      <c r="M88" s="33" t="s">
        <v>129</v>
      </c>
      <c r="N88" s="33"/>
      <c r="O88" s="32">
        <v>50</v>
      </c>
      <c r="P88" s="87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 t="s">
        <v>101</v>
      </c>
      <c r="AK88" s="68">
        <v>54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679"/>
      <c r="B89" s="680"/>
      <c r="C89" s="680"/>
      <c r="D89" s="680"/>
      <c r="E89" s="680"/>
      <c r="F89" s="680"/>
      <c r="G89" s="680"/>
      <c r="H89" s="680"/>
      <c r="I89" s="680"/>
      <c r="J89" s="680"/>
      <c r="K89" s="680"/>
      <c r="L89" s="680"/>
      <c r="M89" s="680"/>
      <c r="N89" s="680"/>
      <c r="O89" s="681"/>
      <c r="P89" s="685" t="s">
        <v>80</v>
      </c>
      <c r="Q89" s="686"/>
      <c r="R89" s="686"/>
      <c r="S89" s="686"/>
      <c r="T89" s="686"/>
      <c r="U89" s="686"/>
      <c r="V89" s="687"/>
      <c r="W89" s="37" t="s">
        <v>81</v>
      </c>
      <c r="X89" s="667">
        <f>IFERROR(X86/H86,"0")+IFERROR(X87/H87,"0")+IFERROR(X88/H88,"0")</f>
        <v>0</v>
      </c>
      <c r="Y89" s="667">
        <f>IFERROR(Y86/H86,"0")+IFERROR(Y87/H87,"0")+IFERROR(Y88/H88,"0")</f>
        <v>0</v>
      </c>
      <c r="Z89" s="667">
        <f>IFERROR(IF(Z86="",0,Z86),"0")+IFERROR(IF(Z87="",0,Z87),"0")+IFERROR(IF(Z88="",0,Z88),"0")</f>
        <v>0</v>
      </c>
      <c r="AA89" s="668"/>
      <c r="AB89" s="668"/>
      <c r="AC89" s="668"/>
    </row>
    <row r="90" spans="1:68" x14ac:dyDescent="0.2">
      <c r="A90" s="680"/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  <c r="O90" s="681"/>
      <c r="P90" s="685" t="s">
        <v>80</v>
      </c>
      <c r="Q90" s="686"/>
      <c r="R90" s="686"/>
      <c r="S90" s="686"/>
      <c r="T90" s="686"/>
      <c r="U90" s="686"/>
      <c r="V90" s="687"/>
      <c r="W90" s="37" t="s">
        <v>69</v>
      </c>
      <c r="X90" s="667">
        <f>IFERROR(SUM(X86:X88),"0")</f>
        <v>0</v>
      </c>
      <c r="Y90" s="667">
        <f>IFERROR(SUM(Y86:Y88),"0")</f>
        <v>0</v>
      </c>
      <c r="Z90" s="37"/>
      <c r="AA90" s="668"/>
      <c r="AB90" s="668"/>
      <c r="AC90" s="668"/>
    </row>
    <row r="91" spans="1:68" ht="14.25" customHeight="1" x14ac:dyDescent="0.25">
      <c r="A91" s="682" t="s">
        <v>64</v>
      </c>
      <c r="B91" s="680"/>
      <c r="C91" s="680"/>
      <c r="D91" s="680"/>
      <c r="E91" s="680"/>
      <c r="F91" s="680"/>
      <c r="G91" s="680"/>
      <c r="H91" s="680"/>
      <c r="I91" s="680"/>
      <c r="J91" s="680"/>
      <c r="K91" s="680"/>
      <c r="L91" s="680"/>
      <c r="M91" s="680"/>
      <c r="N91" s="680"/>
      <c r="O91" s="680"/>
      <c r="P91" s="680"/>
      <c r="Q91" s="680"/>
      <c r="R91" s="680"/>
      <c r="S91" s="680"/>
      <c r="T91" s="680"/>
      <c r="U91" s="680"/>
      <c r="V91" s="680"/>
      <c r="W91" s="680"/>
      <c r="X91" s="680"/>
      <c r="Y91" s="680"/>
      <c r="Z91" s="680"/>
      <c r="AA91" s="661"/>
      <c r="AB91" s="661"/>
      <c r="AC91" s="661"/>
    </row>
    <row r="92" spans="1:68" ht="27" customHeight="1" x14ac:dyDescent="0.25">
      <c r="A92" s="54" t="s">
        <v>187</v>
      </c>
      <c r="B92" s="54" t="s">
        <v>188</v>
      </c>
      <c r="C92" s="31">
        <v>4301051437</v>
      </c>
      <c r="D92" s="669">
        <v>4607091386967</v>
      </c>
      <c r="E92" s="670"/>
      <c r="F92" s="664">
        <v>1.35</v>
      </c>
      <c r="G92" s="32">
        <v>6</v>
      </c>
      <c r="H92" s="664">
        <v>8.1</v>
      </c>
      <c r="I92" s="664">
        <v>8.6189999999999998</v>
      </c>
      <c r="J92" s="32">
        <v>64</v>
      </c>
      <c r="K92" s="32" t="s">
        <v>93</v>
      </c>
      <c r="L92" s="32"/>
      <c r="M92" s="33" t="s">
        <v>100</v>
      </c>
      <c r="N92" s="33"/>
      <c r="O92" s="32">
        <v>45</v>
      </c>
      <c r="P92" s="72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2" s="672"/>
      <c r="R92" s="672"/>
      <c r="S92" s="672"/>
      <c r="T92" s="673"/>
      <c r="U92" s="34"/>
      <c r="V92" s="34"/>
      <c r="W92" s="35" t="s">
        <v>69</v>
      </c>
      <c r="X92" s="665">
        <v>0</v>
      </c>
      <c r="Y92" s="666">
        <f t="shared" ref="Y92:Y100" si="10"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41" t="s">
        <v>189</v>
      </c>
      <c r="AG92" s="64"/>
      <c r="AJ92" s="68"/>
      <c r="AK92" s="68">
        <v>0</v>
      </c>
      <c r="BB92" s="142" t="s">
        <v>1</v>
      </c>
      <c r="BM92" s="64">
        <f t="shared" ref="BM92:BM100" si="11">IFERROR(X92*I92/H92,"0")</f>
        <v>0</v>
      </c>
      <c r="BN92" s="64">
        <f t="shared" ref="BN92:BN100" si="12">IFERROR(Y92*I92/H92,"0")</f>
        <v>0</v>
      </c>
      <c r="BO92" s="64">
        <f t="shared" ref="BO92:BO100" si="13">IFERROR(1/J92*(X92/H92),"0")</f>
        <v>0</v>
      </c>
      <c r="BP92" s="64">
        <f t="shared" ref="BP92:BP100" si="14">IFERROR(1/J92*(Y92/H92),"0")</f>
        <v>0</v>
      </c>
    </row>
    <row r="93" spans="1:68" ht="27" customHeight="1" x14ac:dyDescent="0.25">
      <c r="A93" s="54" t="s">
        <v>187</v>
      </c>
      <c r="B93" s="54" t="s">
        <v>190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93</v>
      </c>
      <c r="L93" s="32"/>
      <c r="M93" s="33" t="s">
        <v>100</v>
      </c>
      <c r="N93" s="33"/>
      <c r="O93" s="32">
        <v>45</v>
      </c>
      <c r="P93" s="948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10</v>
      </c>
      <c r="Y93" s="666">
        <f t="shared" si="10"/>
        <v>16.8</v>
      </c>
      <c r="Z93" s="36">
        <f>IFERROR(IF(Y93=0,"",ROUNDUP(Y93/H93,0)*0.01898),"")</f>
        <v>3.7960000000000001E-2</v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si="11"/>
        <v>10.617857142857142</v>
      </c>
      <c r="BN93" s="64">
        <f t="shared" si="12"/>
        <v>17.838000000000001</v>
      </c>
      <c r="BO93" s="64">
        <f t="shared" si="13"/>
        <v>1.8601190476190476E-2</v>
      </c>
      <c r="BP93" s="64">
        <f t="shared" si="14"/>
        <v>3.125E-2</v>
      </c>
    </row>
    <row r="94" spans="1:68" ht="16.5" customHeight="1" x14ac:dyDescent="0.25">
      <c r="A94" s="54" t="s">
        <v>187</v>
      </c>
      <c r="B94" s="54" t="s">
        <v>191</v>
      </c>
      <c r="C94" s="31">
        <v>4301051712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93</v>
      </c>
      <c r="L94" s="32"/>
      <c r="M94" s="33" t="s">
        <v>129</v>
      </c>
      <c r="N94" s="33"/>
      <c r="O94" s="32">
        <v>45</v>
      </c>
      <c r="P94" s="731" t="s">
        <v>192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0"/>
        <v>0</v>
      </c>
      <c r="Z94" s="36" t="str">
        <f>IFERROR(IF(Y94=0,"",ROUNDUP(Y94/H94,0)*0.01898),"")</f>
        <v/>
      </c>
      <c r="AA94" s="56"/>
      <c r="AB94" s="57"/>
      <c r="AC94" s="145" t="s">
        <v>193</v>
      </c>
      <c r="AG94" s="64"/>
      <c r="AJ94" s="68"/>
      <c r="AK94" s="68">
        <v>0</v>
      </c>
      <c r="BB94" s="146" t="s">
        <v>1</v>
      </c>
      <c r="BM94" s="64">
        <f t="shared" si="11"/>
        <v>0</v>
      </c>
      <c r="BN94" s="64">
        <f t="shared" si="12"/>
        <v>0</v>
      </c>
      <c r="BO94" s="64">
        <f t="shared" si="13"/>
        <v>0</v>
      </c>
      <c r="BP94" s="64">
        <f t="shared" si="14"/>
        <v>0</v>
      </c>
    </row>
    <row r="95" spans="1:68" ht="27" customHeight="1" x14ac:dyDescent="0.25">
      <c r="A95" s="54" t="s">
        <v>194</v>
      </c>
      <c r="B95" s="54" t="s">
        <v>195</v>
      </c>
      <c r="C95" s="31">
        <v>4301051788</v>
      </c>
      <c r="D95" s="669">
        <v>4680115884953</v>
      </c>
      <c r="E95" s="670"/>
      <c r="F95" s="664">
        <v>0.37</v>
      </c>
      <c r="G95" s="32">
        <v>6</v>
      </c>
      <c r="H95" s="664">
        <v>2.2200000000000002</v>
      </c>
      <c r="I95" s="664">
        <v>2.472</v>
      </c>
      <c r="J95" s="32">
        <v>182</v>
      </c>
      <c r="K95" s="32" t="s">
        <v>67</v>
      </c>
      <c r="L95" s="32"/>
      <c r="M95" s="33" t="s">
        <v>100</v>
      </c>
      <c r="N95" s="33"/>
      <c r="O95" s="32">
        <v>45</v>
      </c>
      <c r="P95" s="742" t="s">
        <v>196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0"/>
        <v>0</v>
      </c>
      <c r="Z95" s="36" t="str">
        <f>IFERROR(IF(Y95=0,"",ROUNDUP(Y95/H95,0)*0.00651),"")</f>
        <v/>
      </c>
      <c r="AA95" s="56"/>
      <c r="AB95" s="57"/>
      <c r="AC95" s="147" t="s">
        <v>197</v>
      </c>
      <c r="AG95" s="64"/>
      <c r="AJ95" s="68"/>
      <c r="AK95" s="68">
        <v>0</v>
      </c>
      <c r="BB95" s="148" t="s">
        <v>1</v>
      </c>
      <c r="BM95" s="64">
        <f t="shared" si="11"/>
        <v>0</v>
      </c>
      <c r="BN95" s="64">
        <f t="shared" si="12"/>
        <v>0</v>
      </c>
      <c r="BO95" s="64">
        <f t="shared" si="13"/>
        <v>0</v>
      </c>
      <c r="BP95" s="64">
        <f t="shared" si="14"/>
        <v>0</v>
      </c>
    </row>
    <row r="96" spans="1:68" ht="16.5" customHeight="1" x14ac:dyDescent="0.25">
      <c r="A96" s="54" t="s">
        <v>198</v>
      </c>
      <c r="B96" s="54" t="s">
        <v>199</v>
      </c>
      <c r="C96" s="31">
        <v>4301051718</v>
      </c>
      <c r="D96" s="669">
        <v>4607091385731</v>
      </c>
      <c r="E96" s="670"/>
      <c r="F96" s="664">
        <v>0.45</v>
      </c>
      <c r="G96" s="32">
        <v>6</v>
      </c>
      <c r="H96" s="664">
        <v>2.7</v>
      </c>
      <c r="I96" s="664">
        <v>2.952</v>
      </c>
      <c r="J96" s="32">
        <v>182</v>
      </c>
      <c r="K96" s="32" t="s">
        <v>67</v>
      </c>
      <c r="L96" s="32"/>
      <c r="M96" s="33" t="s">
        <v>129</v>
      </c>
      <c r="N96" s="33"/>
      <c r="O96" s="32">
        <v>45</v>
      </c>
      <c r="P96" s="902" t="s">
        <v>200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0"/>
        <v>0</v>
      </c>
      <c r="Z96" s="36" t="str">
        <f>IFERROR(IF(Y96=0,"",ROUNDUP(Y96/H96,0)*0.00651),"")</f>
        <v/>
      </c>
      <c r="AA96" s="56"/>
      <c r="AB96" s="57"/>
      <c r="AC96" s="149" t="s">
        <v>193</v>
      </c>
      <c r="AG96" s="64"/>
      <c r="AJ96" s="68"/>
      <c r="AK96" s="68">
        <v>0</v>
      </c>
      <c r="BB96" s="150" t="s">
        <v>1</v>
      </c>
      <c r="BM96" s="64">
        <f t="shared" si="11"/>
        <v>0</v>
      </c>
      <c r="BN96" s="64">
        <f t="shared" si="12"/>
        <v>0</v>
      </c>
      <c r="BO96" s="64">
        <f t="shared" si="13"/>
        <v>0</v>
      </c>
      <c r="BP96" s="64">
        <f t="shared" si="14"/>
        <v>0</v>
      </c>
    </row>
    <row r="97" spans="1:68" ht="27" customHeight="1" x14ac:dyDescent="0.25">
      <c r="A97" s="54" t="s">
        <v>198</v>
      </c>
      <c r="B97" s="54" t="s">
        <v>201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100</v>
      </c>
      <c r="N97" s="33"/>
      <c r="O97" s="32">
        <v>45</v>
      </c>
      <c r="P97" s="771" t="s">
        <v>202</v>
      </c>
      <c r="Q97" s="672"/>
      <c r="R97" s="672"/>
      <c r="S97" s="672"/>
      <c r="T97" s="673"/>
      <c r="U97" s="34"/>
      <c r="V97" s="34"/>
      <c r="W97" s="35" t="s">
        <v>69</v>
      </c>
      <c r="X97" s="665">
        <v>0</v>
      </c>
      <c r="Y97" s="666">
        <f t="shared" si="10"/>
        <v>0</v>
      </c>
      <c r="Z97" s="36" t="str">
        <f>IFERROR(IF(Y97=0,"",ROUNDUP(Y97/H97,0)*0.00651),"")</f>
        <v/>
      </c>
      <c r="AA97" s="56"/>
      <c r="AB97" s="57"/>
      <c r="AC97" s="151" t="s">
        <v>189</v>
      </c>
      <c r="AG97" s="64"/>
      <c r="AJ97" s="68"/>
      <c r="AK97" s="68">
        <v>0</v>
      </c>
      <c r="BB97" s="152" t="s">
        <v>1</v>
      </c>
      <c r="BM97" s="64">
        <f t="shared" si="11"/>
        <v>0</v>
      </c>
      <c r="BN97" s="64">
        <f t="shared" si="12"/>
        <v>0</v>
      </c>
      <c r="BO97" s="64">
        <f t="shared" si="13"/>
        <v>0</v>
      </c>
      <c r="BP97" s="64">
        <f t="shared" si="14"/>
        <v>0</v>
      </c>
    </row>
    <row r="98" spans="1:68" ht="16.5" customHeight="1" x14ac:dyDescent="0.25">
      <c r="A98" s="54" t="s">
        <v>203</v>
      </c>
      <c r="B98" s="54" t="s">
        <v>204</v>
      </c>
      <c r="C98" s="31">
        <v>4301051438</v>
      </c>
      <c r="D98" s="669">
        <v>4680115880894</v>
      </c>
      <c r="E98" s="670"/>
      <c r="F98" s="664">
        <v>0.33</v>
      </c>
      <c r="G98" s="32">
        <v>6</v>
      </c>
      <c r="H98" s="664">
        <v>1.98</v>
      </c>
      <c r="I98" s="664">
        <v>2.238</v>
      </c>
      <c r="J98" s="32">
        <v>182</v>
      </c>
      <c r="K98" s="32" t="s">
        <v>67</v>
      </c>
      <c r="L98" s="32"/>
      <c r="M98" s="33" t="s">
        <v>100</v>
      </c>
      <c r="N98" s="33"/>
      <c r="O98" s="32">
        <v>45</v>
      </c>
      <c r="P98" s="93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672"/>
      <c r="R98" s="672"/>
      <c r="S98" s="672"/>
      <c r="T98" s="673"/>
      <c r="U98" s="34"/>
      <c r="V98" s="34"/>
      <c r="W98" s="35" t="s">
        <v>69</v>
      </c>
      <c r="X98" s="665">
        <v>0</v>
      </c>
      <c r="Y98" s="666">
        <f t="shared" si="10"/>
        <v>0</v>
      </c>
      <c r="Z98" s="36" t="str">
        <f>IFERROR(IF(Y98=0,"",ROUNDUP(Y98/H98,0)*0.00651),"")</f>
        <v/>
      </c>
      <c r="AA98" s="56"/>
      <c r="AB98" s="57"/>
      <c r="AC98" s="153" t="s">
        <v>205</v>
      </c>
      <c r="AG98" s="64"/>
      <c r="AJ98" s="68"/>
      <c r="AK98" s="68">
        <v>0</v>
      </c>
      <c r="BB98" s="154" t="s">
        <v>1</v>
      </c>
      <c r="BM98" s="64">
        <f t="shared" si="11"/>
        <v>0</v>
      </c>
      <c r="BN98" s="64">
        <f t="shared" si="12"/>
        <v>0</v>
      </c>
      <c r="BO98" s="64">
        <f t="shared" si="13"/>
        <v>0</v>
      </c>
      <c r="BP98" s="64">
        <f t="shared" si="14"/>
        <v>0</v>
      </c>
    </row>
    <row r="99" spans="1:68" ht="27" customHeight="1" x14ac:dyDescent="0.25">
      <c r="A99" s="54" t="s">
        <v>206</v>
      </c>
      <c r="B99" s="54" t="s">
        <v>207</v>
      </c>
      <c r="C99" s="31">
        <v>4301051439</v>
      </c>
      <c r="D99" s="669">
        <v>4680115880214</v>
      </c>
      <c r="E99" s="670"/>
      <c r="F99" s="664">
        <v>0.45</v>
      </c>
      <c r="G99" s="32">
        <v>6</v>
      </c>
      <c r="H99" s="664">
        <v>2.7</v>
      </c>
      <c r="I99" s="664">
        <v>2.988</v>
      </c>
      <c r="J99" s="32">
        <v>132</v>
      </c>
      <c r="K99" s="32" t="s">
        <v>98</v>
      </c>
      <c r="L99" s="32"/>
      <c r="M99" s="33" t="s">
        <v>100</v>
      </c>
      <c r="N99" s="33"/>
      <c r="O99" s="32">
        <v>45</v>
      </c>
      <c r="P99" s="712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0"/>
        <v>0</v>
      </c>
      <c r="Z99" s="36" t="str">
        <f>IFERROR(IF(Y99=0,"",ROUNDUP(Y99/H99,0)*0.00902),"")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1"/>
        <v>0</v>
      </c>
      <c r="BN99" s="64">
        <f t="shared" si="12"/>
        <v>0</v>
      </c>
      <c r="BO99" s="64">
        <f t="shared" si="13"/>
        <v>0</v>
      </c>
      <c r="BP99" s="64">
        <f t="shared" si="14"/>
        <v>0</v>
      </c>
    </row>
    <row r="100" spans="1:68" ht="27" customHeight="1" x14ac:dyDescent="0.25">
      <c r="A100" s="54" t="s">
        <v>206</v>
      </c>
      <c r="B100" s="54" t="s">
        <v>208</v>
      </c>
      <c r="C100" s="31">
        <v>4301051687</v>
      </c>
      <c r="D100" s="669">
        <v>4680115880214</v>
      </c>
      <c r="E100" s="670"/>
      <c r="F100" s="664">
        <v>0.45</v>
      </c>
      <c r="G100" s="32">
        <v>4</v>
      </c>
      <c r="H100" s="664">
        <v>1.8</v>
      </c>
      <c r="I100" s="664">
        <v>2.032</v>
      </c>
      <c r="J100" s="32">
        <v>182</v>
      </c>
      <c r="K100" s="32" t="s">
        <v>67</v>
      </c>
      <c r="L100" s="32"/>
      <c r="M100" s="33" t="s">
        <v>100</v>
      </c>
      <c r="N100" s="33"/>
      <c r="O100" s="32">
        <v>45</v>
      </c>
      <c r="P100" s="729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0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1"/>
        <v>0</v>
      </c>
      <c r="BN100" s="64">
        <f t="shared" si="12"/>
        <v>0</v>
      </c>
      <c r="BO100" s="64">
        <f t="shared" si="13"/>
        <v>0</v>
      </c>
      <c r="BP100" s="64">
        <f t="shared" si="14"/>
        <v>0</v>
      </c>
    </row>
    <row r="101" spans="1:68" x14ac:dyDescent="0.2">
      <c r="A101" s="679"/>
      <c r="B101" s="680"/>
      <c r="C101" s="680"/>
      <c r="D101" s="680"/>
      <c r="E101" s="680"/>
      <c r="F101" s="680"/>
      <c r="G101" s="680"/>
      <c r="H101" s="680"/>
      <c r="I101" s="680"/>
      <c r="J101" s="680"/>
      <c r="K101" s="680"/>
      <c r="L101" s="680"/>
      <c r="M101" s="680"/>
      <c r="N101" s="680"/>
      <c r="O101" s="681"/>
      <c r="P101" s="685" t="s">
        <v>80</v>
      </c>
      <c r="Q101" s="686"/>
      <c r="R101" s="686"/>
      <c r="S101" s="686"/>
      <c r="T101" s="686"/>
      <c r="U101" s="686"/>
      <c r="V101" s="687"/>
      <c r="W101" s="37" t="s">
        <v>81</v>
      </c>
      <c r="X101" s="667">
        <f>IFERROR(X92/H92,"0")+IFERROR(X93/H93,"0")+IFERROR(X94/H94,"0")+IFERROR(X95/H95,"0")+IFERROR(X96/H96,"0")+IFERROR(X97/H97,"0")+IFERROR(X98/H98,"0")+IFERROR(X99/H99,"0")+IFERROR(X100/H100,"0")</f>
        <v>1.1904761904761905</v>
      </c>
      <c r="Y101" s="667">
        <f>IFERROR(Y92/H92,"0")+IFERROR(Y93/H93,"0")+IFERROR(Y94/H94,"0")+IFERROR(Y95/H95,"0")+IFERROR(Y96/H96,"0")+IFERROR(Y97/H97,"0")+IFERROR(Y98/H98,"0")+IFERROR(Y99/H99,"0")+IFERROR(Y100/H100,"0")</f>
        <v>2</v>
      </c>
      <c r="Z101" s="667">
        <f>IFERROR(IF(Z92="",0,Z92),"0")+IFERROR(IF(Z93="",0,Z93),"0")+IFERROR(IF(Z94="",0,Z94),"0")+IFERROR(IF(Z95="",0,Z95),"0")+IFERROR(IF(Z96="",0,Z96),"0")+IFERROR(IF(Z97="",0,Z97),"0")+IFERROR(IF(Z98="",0,Z98),"0")+IFERROR(IF(Z99="",0,Z99),"0")+IFERROR(IF(Z100="",0,Z100),"0")</f>
        <v>3.7960000000000001E-2</v>
      </c>
      <c r="AA101" s="668"/>
      <c r="AB101" s="668"/>
      <c r="AC101" s="668"/>
    </row>
    <row r="102" spans="1:68" x14ac:dyDescent="0.2">
      <c r="A102" s="680"/>
      <c r="B102" s="680"/>
      <c r="C102" s="680"/>
      <c r="D102" s="680"/>
      <c r="E102" s="680"/>
      <c r="F102" s="680"/>
      <c r="G102" s="680"/>
      <c r="H102" s="680"/>
      <c r="I102" s="680"/>
      <c r="J102" s="680"/>
      <c r="K102" s="680"/>
      <c r="L102" s="680"/>
      <c r="M102" s="680"/>
      <c r="N102" s="680"/>
      <c r="O102" s="681"/>
      <c r="P102" s="685" t="s">
        <v>80</v>
      </c>
      <c r="Q102" s="686"/>
      <c r="R102" s="686"/>
      <c r="S102" s="686"/>
      <c r="T102" s="686"/>
      <c r="U102" s="686"/>
      <c r="V102" s="687"/>
      <c r="W102" s="37" t="s">
        <v>69</v>
      </c>
      <c r="X102" s="667">
        <f>IFERROR(SUM(X92:X100),"0")</f>
        <v>10</v>
      </c>
      <c r="Y102" s="667">
        <f>IFERROR(SUM(Y92:Y100),"0")</f>
        <v>16.8</v>
      </c>
      <c r="Z102" s="37"/>
      <c r="AA102" s="668"/>
      <c r="AB102" s="668"/>
      <c r="AC102" s="668"/>
    </row>
    <row r="103" spans="1:68" ht="16.5" customHeight="1" x14ac:dyDescent="0.25">
      <c r="A103" s="716" t="s">
        <v>209</v>
      </c>
      <c r="B103" s="680"/>
      <c r="C103" s="680"/>
      <c r="D103" s="680"/>
      <c r="E103" s="680"/>
      <c r="F103" s="680"/>
      <c r="G103" s="680"/>
      <c r="H103" s="680"/>
      <c r="I103" s="680"/>
      <c r="J103" s="680"/>
      <c r="K103" s="680"/>
      <c r="L103" s="680"/>
      <c r="M103" s="680"/>
      <c r="N103" s="680"/>
      <c r="O103" s="680"/>
      <c r="P103" s="680"/>
      <c r="Q103" s="680"/>
      <c r="R103" s="680"/>
      <c r="S103" s="680"/>
      <c r="T103" s="680"/>
      <c r="U103" s="680"/>
      <c r="V103" s="680"/>
      <c r="W103" s="680"/>
      <c r="X103" s="680"/>
      <c r="Y103" s="680"/>
      <c r="Z103" s="680"/>
      <c r="AA103" s="660"/>
      <c r="AB103" s="660"/>
      <c r="AC103" s="660"/>
    </row>
    <row r="104" spans="1:68" ht="14.25" customHeight="1" x14ac:dyDescent="0.25">
      <c r="A104" s="682" t="s">
        <v>90</v>
      </c>
      <c r="B104" s="680"/>
      <c r="C104" s="680"/>
      <c r="D104" s="680"/>
      <c r="E104" s="680"/>
      <c r="F104" s="680"/>
      <c r="G104" s="680"/>
      <c r="H104" s="680"/>
      <c r="I104" s="680"/>
      <c r="J104" s="680"/>
      <c r="K104" s="680"/>
      <c r="L104" s="680"/>
      <c r="M104" s="680"/>
      <c r="N104" s="680"/>
      <c r="O104" s="680"/>
      <c r="P104" s="680"/>
      <c r="Q104" s="680"/>
      <c r="R104" s="680"/>
      <c r="S104" s="680"/>
      <c r="T104" s="680"/>
      <c r="U104" s="680"/>
      <c r="V104" s="680"/>
      <c r="W104" s="680"/>
      <c r="X104" s="680"/>
      <c r="Y104" s="680"/>
      <c r="Z104" s="680"/>
      <c r="AA104" s="661"/>
      <c r="AB104" s="661"/>
      <c r="AC104" s="661"/>
    </row>
    <row r="105" spans="1:68" ht="16.5" customHeight="1" x14ac:dyDescent="0.25">
      <c r="A105" s="54" t="s">
        <v>210</v>
      </c>
      <c r="B105" s="54" t="s">
        <v>211</v>
      </c>
      <c r="C105" s="31">
        <v>4301011514</v>
      </c>
      <c r="D105" s="669">
        <v>4680115882133</v>
      </c>
      <c r="E105" s="670"/>
      <c r="F105" s="664">
        <v>1.35</v>
      </c>
      <c r="G105" s="32">
        <v>8</v>
      </c>
      <c r="H105" s="664">
        <v>10.8</v>
      </c>
      <c r="I105" s="664">
        <v>11.234999999999999</v>
      </c>
      <c r="J105" s="32">
        <v>64</v>
      </c>
      <c r="K105" s="32" t="s">
        <v>93</v>
      </c>
      <c r="L105" s="32"/>
      <c r="M105" s="33" t="s">
        <v>94</v>
      </c>
      <c r="N105" s="33"/>
      <c r="O105" s="32">
        <v>50</v>
      </c>
      <c r="P105" s="97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5" s="672"/>
      <c r="R105" s="672"/>
      <c r="S105" s="672"/>
      <c r="T105" s="673"/>
      <c r="U105" s="34"/>
      <c r="V105" s="34"/>
      <c r="W105" s="35" t="s">
        <v>69</v>
      </c>
      <c r="X105" s="665">
        <v>0</v>
      </c>
      <c r="Y105" s="666">
        <f>IFERROR(IF(X105="",0,CEILING((X105/$H105),1)*$H105),"")</f>
        <v>0</v>
      </c>
      <c r="Z105" s="36" t="str">
        <f>IFERROR(IF(Y105=0,"",ROUNDUP(Y105/H105,0)*0.01898),"")</f>
        <v/>
      </c>
      <c r="AA105" s="56"/>
      <c r="AB105" s="57"/>
      <c r="AC105" s="159" t="s">
        <v>212</v>
      </c>
      <c r="AG105" s="64"/>
      <c r="AJ105" s="68"/>
      <c r="AK105" s="68">
        <v>0</v>
      </c>
      <c r="BB105" s="160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t="16.5" customHeight="1" x14ac:dyDescent="0.25">
      <c r="A106" s="54" t="s">
        <v>213</v>
      </c>
      <c r="B106" s="54" t="s">
        <v>214</v>
      </c>
      <c r="C106" s="31">
        <v>4301011417</v>
      </c>
      <c r="D106" s="669">
        <v>4680115880269</v>
      </c>
      <c r="E106" s="670"/>
      <c r="F106" s="664">
        <v>0.375</v>
      </c>
      <c r="G106" s="32">
        <v>10</v>
      </c>
      <c r="H106" s="664">
        <v>3.75</v>
      </c>
      <c r="I106" s="664">
        <v>3.96</v>
      </c>
      <c r="J106" s="32">
        <v>132</v>
      </c>
      <c r="K106" s="32" t="s">
        <v>98</v>
      </c>
      <c r="L106" s="32" t="s">
        <v>99</v>
      </c>
      <c r="M106" s="33" t="s">
        <v>100</v>
      </c>
      <c r="N106" s="33"/>
      <c r="O106" s="32">
        <v>50</v>
      </c>
      <c r="P106" s="94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IFERROR(IF(Y106=0,"",ROUNDUP(Y106/H106,0)*0.00902),"")</f>
        <v/>
      </c>
      <c r="AA106" s="56"/>
      <c r="AB106" s="57"/>
      <c r="AC106" s="161" t="s">
        <v>212</v>
      </c>
      <c r="AG106" s="64"/>
      <c r="AJ106" s="68" t="s">
        <v>101</v>
      </c>
      <c r="AK106" s="68">
        <v>45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215</v>
      </c>
      <c r="B107" s="54" t="s">
        <v>216</v>
      </c>
      <c r="C107" s="31">
        <v>4301011415</v>
      </c>
      <c r="D107" s="669">
        <v>4680115880429</v>
      </c>
      <c r="E107" s="670"/>
      <c r="F107" s="664">
        <v>0.45</v>
      </c>
      <c r="G107" s="32">
        <v>10</v>
      </c>
      <c r="H107" s="664">
        <v>4.5</v>
      </c>
      <c r="I107" s="664">
        <v>4.71</v>
      </c>
      <c r="J107" s="32">
        <v>132</v>
      </c>
      <c r="K107" s="32" t="s">
        <v>98</v>
      </c>
      <c r="L107" s="32"/>
      <c r="M107" s="33" t="s">
        <v>100</v>
      </c>
      <c r="N107" s="33"/>
      <c r="O107" s="32">
        <v>50</v>
      </c>
      <c r="P107" s="98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217</v>
      </c>
      <c r="B108" s="54" t="s">
        <v>218</v>
      </c>
      <c r="C108" s="31">
        <v>4301011462</v>
      </c>
      <c r="D108" s="669">
        <v>4680115881457</v>
      </c>
      <c r="E108" s="670"/>
      <c r="F108" s="664">
        <v>0.75</v>
      </c>
      <c r="G108" s="32">
        <v>6</v>
      </c>
      <c r="H108" s="664">
        <v>4.5</v>
      </c>
      <c r="I108" s="664">
        <v>4.71</v>
      </c>
      <c r="J108" s="32">
        <v>132</v>
      </c>
      <c r="K108" s="32" t="s">
        <v>98</v>
      </c>
      <c r="L108" s="32"/>
      <c r="M108" s="33" t="s">
        <v>100</v>
      </c>
      <c r="N108" s="33"/>
      <c r="O108" s="32">
        <v>50</v>
      </c>
      <c r="P108" s="91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679"/>
      <c r="B109" s="680"/>
      <c r="C109" s="680"/>
      <c r="D109" s="680"/>
      <c r="E109" s="680"/>
      <c r="F109" s="680"/>
      <c r="G109" s="680"/>
      <c r="H109" s="680"/>
      <c r="I109" s="680"/>
      <c r="J109" s="680"/>
      <c r="K109" s="680"/>
      <c r="L109" s="680"/>
      <c r="M109" s="680"/>
      <c r="N109" s="680"/>
      <c r="O109" s="681"/>
      <c r="P109" s="685" t="s">
        <v>80</v>
      </c>
      <c r="Q109" s="686"/>
      <c r="R109" s="686"/>
      <c r="S109" s="686"/>
      <c r="T109" s="686"/>
      <c r="U109" s="686"/>
      <c r="V109" s="687"/>
      <c r="W109" s="37" t="s">
        <v>81</v>
      </c>
      <c r="X109" s="667">
        <f>IFERROR(X105/H105,"0")+IFERROR(X106/H106,"0")+IFERROR(X107/H107,"0")+IFERROR(X108/H108,"0")</f>
        <v>0</v>
      </c>
      <c r="Y109" s="667">
        <f>IFERROR(Y105/H105,"0")+IFERROR(Y106/H106,"0")+IFERROR(Y107/H107,"0")+IFERROR(Y108/H108,"0")</f>
        <v>0</v>
      </c>
      <c r="Z109" s="667">
        <f>IFERROR(IF(Z105="",0,Z105),"0")+IFERROR(IF(Z106="",0,Z106),"0")+IFERROR(IF(Z107="",0,Z107),"0")+IFERROR(IF(Z108="",0,Z108),"0")</f>
        <v>0</v>
      </c>
      <c r="AA109" s="668"/>
      <c r="AB109" s="668"/>
      <c r="AC109" s="668"/>
    </row>
    <row r="110" spans="1:68" x14ac:dyDescent="0.2">
      <c r="A110" s="680"/>
      <c r="B110" s="680"/>
      <c r="C110" s="680"/>
      <c r="D110" s="680"/>
      <c r="E110" s="680"/>
      <c r="F110" s="680"/>
      <c r="G110" s="680"/>
      <c r="H110" s="680"/>
      <c r="I110" s="680"/>
      <c r="J110" s="680"/>
      <c r="K110" s="680"/>
      <c r="L110" s="680"/>
      <c r="M110" s="680"/>
      <c r="N110" s="680"/>
      <c r="O110" s="681"/>
      <c r="P110" s="685" t="s">
        <v>80</v>
      </c>
      <c r="Q110" s="686"/>
      <c r="R110" s="686"/>
      <c r="S110" s="686"/>
      <c r="T110" s="686"/>
      <c r="U110" s="686"/>
      <c r="V110" s="687"/>
      <c r="W110" s="37" t="s">
        <v>69</v>
      </c>
      <c r="X110" s="667">
        <f>IFERROR(SUM(X105:X108),"0")</f>
        <v>0</v>
      </c>
      <c r="Y110" s="667">
        <f>IFERROR(SUM(Y105:Y108),"0")</f>
        <v>0</v>
      </c>
      <c r="Z110" s="37"/>
      <c r="AA110" s="668"/>
      <c r="AB110" s="668"/>
      <c r="AC110" s="668"/>
    </row>
    <row r="111" spans="1:68" ht="14.25" customHeight="1" x14ac:dyDescent="0.25">
      <c r="A111" s="682" t="s">
        <v>133</v>
      </c>
      <c r="B111" s="680"/>
      <c r="C111" s="680"/>
      <c r="D111" s="680"/>
      <c r="E111" s="680"/>
      <c r="F111" s="680"/>
      <c r="G111" s="680"/>
      <c r="H111" s="680"/>
      <c r="I111" s="680"/>
      <c r="J111" s="680"/>
      <c r="K111" s="680"/>
      <c r="L111" s="680"/>
      <c r="M111" s="680"/>
      <c r="N111" s="680"/>
      <c r="O111" s="680"/>
      <c r="P111" s="680"/>
      <c r="Q111" s="680"/>
      <c r="R111" s="680"/>
      <c r="S111" s="680"/>
      <c r="T111" s="680"/>
      <c r="U111" s="680"/>
      <c r="V111" s="680"/>
      <c r="W111" s="680"/>
      <c r="X111" s="680"/>
      <c r="Y111" s="680"/>
      <c r="Z111" s="680"/>
      <c r="AA111" s="661"/>
      <c r="AB111" s="661"/>
      <c r="AC111" s="661"/>
    </row>
    <row r="112" spans="1:68" ht="16.5" customHeight="1" x14ac:dyDescent="0.25">
      <c r="A112" s="54" t="s">
        <v>219</v>
      </c>
      <c r="B112" s="54" t="s">
        <v>220</v>
      </c>
      <c r="C112" s="31">
        <v>4301020345</v>
      </c>
      <c r="D112" s="669">
        <v>4680115881488</v>
      </c>
      <c r="E112" s="670"/>
      <c r="F112" s="664">
        <v>1.35</v>
      </c>
      <c r="G112" s="32">
        <v>8</v>
      </c>
      <c r="H112" s="664">
        <v>10.8</v>
      </c>
      <c r="I112" s="664">
        <v>11.234999999999999</v>
      </c>
      <c r="J112" s="32">
        <v>64</v>
      </c>
      <c r="K112" s="32" t="s">
        <v>93</v>
      </c>
      <c r="L112" s="32"/>
      <c r="M112" s="33" t="s">
        <v>94</v>
      </c>
      <c r="N112" s="33"/>
      <c r="O112" s="32">
        <v>55</v>
      </c>
      <c r="P112" s="96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2"/>
      <c r="R112" s="672"/>
      <c r="S112" s="672"/>
      <c r="T112" s="673"/>
      <c r="U112" s="34"/>
      <c r="V112" s="34"/>
      <c r="W112" s="35" t="s">
        <v>69</v>
      </c>
      <c r="X112" s="665">
        <v>0</v>
      </c>
      <c r="Y112" s="66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7" t="s">
        <v>221</v>
      </c>
      <c r="AG112" s="64"/>
      <c r="AJ112" s="68"/>
      <c r="AK112" s="68">
        <v>0</v>
      </c>
      <c r="BB112" s="168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16.5" customHeight="1" x14ac:dyDescent="0.25">
      <c r="A113" s="54" t="s">
        <v>222</v>
      </c>
      <c r="B113" s="54" t="s">
        <v>223</v>
      </c>
      <c r="C113" s="31">
        <v>4301020346</v>
      </c>
      <c r="D113" s="669">
        <v>4680115882775</v>
      </c>
      <c r="E113" s="670"/>
      <c r="F113" s="664">
        <v>0.3</v>
      </c>
      <c r="G113" s="32">
        <v>8</v>
      </c>
      <c r="H113" s="664">
        <v>2.4</v>
      </c>
      <c r="I113" s="664">
        <v>2.5</v>
      </c>
      <c r="J113" s="32">
        <v>234</v>
      </c>
      <c r="K113" s="32" t="s">
        <v>147</v>
      </c>
      <c r="L113" s="32"/>
      <c r="M113" s="33" t="s">
        <v>94</v>
      </c>
      <c r="N113" s="33"/>
      <c r="O113" s="32">
        <v>55</v>
      </c>
      <c r="P113" s="77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224</v>
      </c>
      <c r="B114" s="54" t="s">
        <v>225</v>
      </c>
      <c r="C114" s="31">
        <v>4301020344</v>
      </c>
      <c r="D114" s="669">
        <v>4680115880658</v>
      </c>
      <c r="E114" s="670"/>
      <c r="F114" s="664">
        <v>0.4</v>
      </c>
      <c r="G114" s="32">
        <v>6</v>
      </c>
      <c r="H114" s="664">
        <v>2.4</v>
      </c>
      <c r="I114" s="664">
        <v>2.58</v>
      </c>
      <c r="J114" s="32">
        <v>182</v>
      </c>
      <c r="K114" s="32" t="s">
        <v>67</v>
      </c>
      <c r="L114" s="32"/>
      <c r="M114" s="33" t="s">
        <v>94</v>
      </c>
      <c r="N114" s="33"/>
      <c r="O114" s="32">
        <v>55</v>
      </c>
      <c r="P114" s="9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x14ac:dyDescent="0.2">
      <c r="A115" s="679"/>
      <c r="B115" s="680"/>
      <c r="C115" s="680"/>
      <c r="D115" s="680"/>
      <c r="E115" s="680"/>
      <c r="F115" s="680"/>
      <c r="G115" s="680"/>
      <c r="H115" s="680"/>
      <c r="I115" s="680"/>
      <c r="J115" s="680"/>
      <c r="K115" s="680"/>
      <c r="L115" s="680"/>
      <c r="M115" s="680"/>
      <c r="N115" s="680"/>
      <c r="O115" s="681"/>
      <c r="P115" s="685" t="s">
        <v>80</v>
      </c>
      <c r="Q115" s="686"/>
      <c r="R115" s="686"/>
      <c r="S115" s="686"/>
      <c r="T115" s="686"/>
      <c r="U115" s="686"/>
      <c r="V115" s="687"/>
      <c r="W115" s="37" t="s">
        <v>81</v>
      </c>
      <c r="X115" s="667">
        <f>IFERROR(X112/H112,"0")+IFERROR(X113/H113,"0")+IFERROR(X114/H114,"0")</f>
        <v>0</v>
      </c>
      <c r="Y115" s="667">
        <f>IFERROR(Y112/H112,"0")+IFERROR(Y113/H113,"0")+IFERROR(Y114/H114,"0")</f>
        <v>0</v>
      </c>
      <c r="Z115" s="667">
        <f>IFERROR(IF(Z112="",0,Z112),"0")+IFERROR(IF(Z113="",0,Z113),"0")+IFERROR(IF(Z114="",0,Z114),"0")</f>
        <v>0</v>
      </c>
      <c r="AA115" s="668"/>
      <c r="AB115" s="668"/>
      <c r="AC115" s="668"/>
    </row>
    <row r="116" spans="1:68" x14ac:dyDescent="0.2">
      <c r="A116" s="680"/>
      <c r="B116" s="680"/>
      <c r="C116" s="680"/>
      <c r="D116" s="680"/>
      <c r="E116" s="680"/>
      <c r="F116" s="680"/>
      <c r="G116" s="680"/>
      <c r="H116" s="680"/>
      <c r="I116" s="680"/>
      <c r="J116" s="680"/>
      <c r="K116" s="680"/>
      <c r="L116" s="680"/>
      <c r="M116" s="680"/>
      <c r="N116" s="680"/>
      <c r="O116" s="681"/>
      <c r="P116" s="685" t="s">
        <v>80</v>
      </c>
      <c r="Q116" s="686"/>
      <c r="R116" s="686"/>
      <c r="S116" s="686"/>
      <c r="T116" s="686"/>
      <c r="U116" s="686"/>
      <c r="V116" s="687"/>
      <c r="W116" s="37" t="s">
        <v>69</v>
      </c>
      <c r="X116" s="667">
        <f>IFERROR(SUM(X112:X114),"0")</f>
        <v>0</v>
      </c>
      <c r="Y116" s="667">
        <f>IFERROR(SUM(Y112:Y114),"0")</f>
        <v>0</v>
      </c>
      <c r="Z116" s="37"/>
      <c r="AA116" s="668"/>
      <c r="AB116" s="668"/>
      <c r="AC116" s="668"/>
    </row>
    <row r="117" spans="1:68" ht="14.25" customHeight="1" x14ac:dyDescent="0.25">
      <c r="A117" s="682" t="s">
        <v>64</v>
      </c>
      <c r="B117" s="680"/>
      <c r="C117" s="680"/>
      <c r="D117" s="680"/>
      <c r="E117" s="680"/>
      <c r="F117" s="680"/>
      <c r="G117" s="680"/>
      <c r="H117" s="680"/>
      <c r="I117" s="680"/>
      <c r="J117" s="680"/>
      <c r="K117" s="680"/>
      <c r="L117" s="680"/>
      <c r="M117" s="680"/>
      <c r="N117" s="680"/>
      <c r="O117" s="680"/>
      <c r="P117" s="680"/>
      <c r="Q117" s="680"/>
      <c r="R117" s="680"/>
      <c r="S117" s="680"/>
      <c r="T117" s="680"/>
      <c r="U117" s="680"/>
      <c r="V117" s="680"/>
      <c r="W117" s="680"/>
      <c r="X117" s="680"/>
      <c r="Y117" s="680"/>
      <c r="Z117" s="680"/>
      <c r="AA117" s="661"/>
      <c r="AB117" s="661"/>
      <c r="AC117" s="661"/>
    </row>
    <row r="118" spans="1:68" ht="37.5" customHeight="1" x14ac:dyDescent="0.25">
      <c r="A118" s="54" t="s">
        <v>226</v>
      </c>
      <c r="B118" s="54" t="s">
        <v>227</v>
      </c>
      <c r="C118" s="31">
        <v>4301051360</v>
      </c>
      <c r="D118" s="669">
        <v>4607091385168</v>
      </c>
      <c r="E118" s="670"/>
      <c r="F118" s="664">
        <v>1.35</v>
      </c>
      <c r="G118" s="32">
        <v>6</v>
      </c>
      <c r="H118" s="664">
        <v>8.1</v>
      </c>
      <c r="I118" s="664">
        <v>8.6129999999999995</v>
      </c>
      <c r="J118" s="32">
        <v>64</v>
      </c>
      <c r="K118" s="32" t="s">
        <v>93</v>
      </c>
      <c r="L118" s="32"/>
      <c r="M118" s="33" t="s">
        <v>100</v>
      </c>
      <c r="N118" s="33"/>
      <c r="O118" s="32">
        <v>45</v>
      </c>
      <c r="P118" s="807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8" s="672"/>
      <c r="R118" s="672"/>
      <c r="S118" s="672"/>
      <c r="T118" s="673"/>
      <c r="U118" s="34"/>
      <c r="V118" s="34"/>
      <c r="W118" s="35" t="s">
        <v>69</v>
      </c>
      <c r="X118" s="665">
        <v>0</v>
      </c>
      <c r="Y118" s="666">
        <f t="shared" ref="Y118:Y126" si="15">IFERROR(IF(X118="",0,CEILING((X118/$H118),1)*$H118),"")</f>
        <v>0</v>
      </c>
      <c r="Z118" s="36" t="str">
        <f>IFERROR(IF(Y118=0,"",ROUNDUP(Y118/H118,0)*0.01898),"")</f>
        <v/>
      </c>
      <c r="AA118" s="56"/>
      <c r="AB118" s="57"/>
      <c r="AC118" s="173" t="s">
        <v>228</v>
      </c>
      <c r="AG118" s="64"/>
      <c r="AJ118" s="68"/>
      <c r="AK118" s="68">
        <v>0</v>
      </c>
      <c r="BB118" s="174" t="s">
        <v>1</v>
      </c>
      <c r="BM118" s="64">
        <f t="shared" ref="BM118:BM126" si="16">IFERROR(X118*I118/H118,"0")</f>
        <v>0</v>
      </c>
      <c r="BN118" s="64">
        <f t="shared" ref="BN118:BN126" si="17">IFERROR(Y118*I118/H118,"0")</f>
        <v>0</v>
      </c>
      <c r="BO118" s="64">
        <f t="shared" ref="BO118:BO126" si="18">IFERROR(1/J118*(X118/H118),"0")</f>
        <v>0</v>
      </c>
      <c r="BP118" s="64">
        <f t="shared" ref="BP118:BP126" si="19">IFERROR(1/J118*(Y118/H118),"0")</f>
        <v>0</v>
      </c>
    </row>
    <row r="119" spans="1:68" ht="16.5" customHeight="1" x14ac:dyDescent="0.25">
      <c r="A119" s="54" t="s">
        <v>226</v>
      </c>
      <c r="B119" s="54" t="s">
        <v>229</v>
      </c>
      <c r="C119" s="31">
        <v>4301051724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93</v>
      </c>
      <c r="L119" s="32"/>
      <c r="M119" s="33" t="s">
        <v>129</v>
      </c>
      <c r="N119" s="33"/>
      <c r="O119" s="32">
        <v>45</v>
      </c>
      <c r="P119" s="818" t="s">
        <v>230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si="15"/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si="16"/>
        <v>0</v>
      </c>
      <c r="BN119" s="64">
        <f t="shared" si="17"/>
        <v>0</v>
      </c>
      <c r="BO119" s="64">
        <f t="shared" si="18"/>
        <v>0</v>
      </c>
      <c r="BP119" s="64">
        <f t="shared" si="19"/>
        <v>0</v>
      </c>
    </row>
    <row r="120" spans="1:68" ht="27" customHeight="1" x14ac:dyDescent="0.25">
      <c r="A120" s="54" t="s">
        <v>226</v>
      </c>
      <c r="B120" s="54" t="s">
        <v>232</v>
      </c>
      <c r="C120" s="31">
        <v>4301051625</v>
      </c>
      <c r="D120" s="669">
        <v>4607091385168</v>
      </c>
      <c r="E120" s="670"/>
      <c r="F120" s="664">
        <v>1.4</v>
      </c>
      <c r="G120" s="32">
        <v>6</v>
      </c>
      <c r="H120" s="664">
        <v>8.4</v>
      </c>
      <c r="I120" s="664">
        <v>8.9130000000000003</v>
      </c>
      <c r="J120" s="32">
        <v>64</v>
      </c>
      <c r="K120" s="32" t="s">
        <v>93</v>
      </c>
      <c r="L120" s="32"/>
      <c r="M120" s="33" t="s">
        <v>100</v>
      </c>
      <c r="N120" s="33"/>
      <c r="O120" s="32">
        <v>45</v>
      </c>
      <c r="P120" s="748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25</v>
      </c>
      <c r="Y120" s="666">
        <f t="shared" si="15"/>
        <v>25.200000000000003</v>
      </c>
      <c r="Z120" s="36">
        <f>IFERROR(IF(Y120=0,"",ROUNDUP(Y120/H120,0)*0.01898),"")</f>
        <v>5.6940000000000004E-2</v>
      </c>
      <c r="AA120" s="56"/>
      <c r="AB120" s="57"/>
      <c r="AC120" s="177" t="s">
        <v>233</v>
      </c>
      <c r="AG120" s="64"/>
      <c r="AJ120" s="68"/>
      <c r="AK120" s="68">
        <v>0</v>
      </c>
      <c r="BB120" s="178" t="s">
        <v>1</v>
      </c>
      <c r="BM120" s="64">
        <f t="shared" si="16"/>
        <v>26.526785714285715</v>
      </c>
      <c r="BN120" s="64">
        <f t="shared" si="17"/>
        <v>26.739000000000001</v>
      </c>
      <c r="BO120" s="64">
        <f t="shared" si="18"/>
        <v>4.6502976190476192E-2</v>
      </c>
      <c r="BP120" s="64">
        <f t="shared" si="19"/>
        <v>4.6875E-2</v>
      </c>
    </row>
    <row r="121" spans="1:68" ht="37.5" customHeight="1" x14ac:dyDescent="0.25">
      <c r="A121" s="54" t="s">
        <v>234</v>
      </c>
      <c r="B121" s="54" t="s">
        <v>235</v>
      </c>
      <c r="C121" s="31">
        <v>4301051362</v>
      </c>
      <c r="D121" s="669">
        <v>4607091383256</v>
      </c>
      <c r="E121" s="670"/>
      <c r="F121" s="664">
        <v>0.33</v>
      </c>
      <c r="G121" s="32">
        <v>6</v>
      </c>
      <c r="H121" s="664">
        <v>1.98</v>
      </c>
      <c r="I121" s="664">
        <v>2.226</v>
      </c>
      <c r="J121" s="32">
        <v>182</v>
      </c>
      <c r="K121" s="32" t="s">
        <v>67</v>
      </c>
      <c r="L121" s="32"/>
      <c r="M121" s="33" t="s">
        <v>100</v>
      </c>
      <c r="N121" s="33"/>
      <c r="O121" s="32">
        <v>45</v>
      </c>
      <c r="P121" s="1008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0</v>
      </c>
      <c r="Y121" s="666">
        <f t="shared" si="15"/>
        <v>0</v>
      </c>
      <c r="Z121" s="36" t="str">
        <f t="shared" ref="Z121:Z126" si="20">IFERROR(IF(Y121=0,"",ROUNDUP(Y121/H121,0)*0.00651),"")</f>
        <v/>
      </c>
      <c r="AA121" s="56"/>
      <c r="AB121" s="57"/>
      <c r="AC121" s="179" t="s">
        <v>228</v>
      </c>
      <c r="AG121" s="64"/>
      <c r="AJ121" s="68"/>
      <c r="AK121" s="68">
        <v>0</v>
      </c>
      <c r="BB121" s="180" t="s">
        <v>1</v>
      </c>
      <c r="BM121" s="64">
        <f t="shared" si="16"/>
        <v>0</v>
      </c>
      <c r="BN121" s="64">
        <f t="shared" si="17"/>
        <v>0</v>
      </c>
      <c r="BO121" s="64">
        <f t="shared" si="18"/>
        <v>0</v>
      </c>
      <c r="BP121" s="64">
        <f t="shared" si="19"/>
        <v>0</v>
      </c>
    </row>
    <row r="122" spans="1:68" ht="27" customHeight="1" x14ac:dyDescent="0.25">
      <c r="A122" s="54" t="s">
        <v>234</v>
      </c>
      <c r="B122" s="54" t="s">
        <v>236</v>
      </c>
      <c r="C122" s="31">
        <v>4301051730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129</v>
      </c>
      <c r="N122" s="33"/>
      <c r="O122" s="32">
        <v>45</v>
      </c>
      <c r="P122" s="846" t="s">
        <v>237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15"/>
        <v>0</v>
      </c>
      <c r="Z122" s="36" t="str">
        <f t="shared" si="20"/>
        <v/>
      </c>
      <c r="AA122" s="56"/>
      <c r="AB122" s="57"/>
      <c r="AC122" s="181" t="s">
        <v>231</v>
      </c>
      <c r="AG122" s="64"/>
      <c r="AJ122" s="68"/>
      <c r="AK122" s="68">
        <v>0</v>
      </c>
      <c r="BB122" s="182" t="s">
        <v>1</v>
      </c>
      <c r="BM122" s="64">
        <f t="shared" si="16"/>
        <v>0</v>
      </c>
      <c r="BN122" s="64">
        <f t="shared" si="17"/>
        <v>0</v>
      </c>
      <c r="BO122" s="64">
        <f t="shared" si="18"/>
        <v>0</v>
      </c>
      <c r="BP122" s="64">
        <f t="shared" si="19"/>
        <v>0</v>
      </c>
    </row>
    <row r="123" spans="1:68" ht="37.5" customHeight="1" x14ac:dyDescent="0.25">
      <c r="A123" s="54" t="s">
        <v>238</v>
      </c>
      <c r="B123" s="54" t="s">
        <v>239</v>
      </c>
      <c r="C123" s="31">
        <v>4301051358</v>
      </c>
      <c r="D123" s="669">
        <v>4607091385748</v>
      </c>
      <c r="E123" s="670"/>
      <c r="F123" s="664">
        <v>0.45</v>
      </c>
      <c r="G123" s="32">
        <v>6</v>
      </c>
      <c r="H123" s="664">
        <v>2.7</v>
      </c>
      <c r="I123" s="664">
        <v>2.952</v>
      </c>
      <c r="J123" s="32">
        <v>182</v>
      </c>
      <c r="K123" s="32" t="s">
        <v>67</v>
      </c>
      <c r="L123" s="32" t="s">
        <v>116</v>
      </c>
      <c r="M123" s="33" t="s">
        <v>100</v>
      </c>
      <c r="N123" s="33"/>
      <c r="O123" s="32">
        <v>45</v>
      </c>
      <c r="P123" s="101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0</v>
      </c>
      <c r="Y123" s="666">
        <f t="shared" si="15"/>
        <v>0</v>
      </c>
      <c r="Z123" s="36" t="str">
        <f t="shared" si="20"/>
        <v/>
      </c>
      <c r="AA123" s="56"/>
      <c r="AB123" s="57"/>
      <c r="AC123" s="183" t="s">
        <v>228</v>
      </c>
      <c r="AG123" s="64"/>
      <c r="AJ123" s="68" t="s">
        <v>118</v>
      </c>
      <c r="AK123" s="68">
        <v>491.4</v>
      </c>
      <c r="BB123" s="184" t="s">
        <v>1</v>
      </c>
      <c r="BM123" s="64">
        <f t="shared" si="16"/>
        <v>0</v>
      </c>
      <c r="BN123" s="64">
        <f t="shared" si="17"/>
        <v>0</v>
      </c>
      <c r="BO123" s="64">
        <f t="shared" si="18"/>
        <v>0</v>
      </c>
      <c r="BP123" s="64">
        <f t="shared" si="19"/>
        <v>0</v>
      </c>
    </row>
    <row r="124" spans="1:68" ht="27" customHeight="1" x14ac:dyDescent="0.25">
      <c r="A124" s="54" t="s">
        <v>238</v>
      </c>
      <c r="B124" s="54" t="s">
        <v>240</v>
      </c>
      <c r="C124" s="31">
        <v>4301051721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/>
      <c r="M124" s="33" t="s">
        <v>129</v>
      </c>
      <c r="N124" s="33"/>
      <c r="O124" s="32">
        <v>45</v>
      </c>
      <c r="P124" s="1040" t="s">
        <v>241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0</v>
      </c>
      <c r="Y124" s="666">
        <f t="shared" si="15"/>
        <v>0</v>
      </c>
      <c r="Z124" s="36" t="str">
        <f t="shared" si="20"/>
        <v/>
      </c>
      <c r="AA124" s="56"/>
      <c r="AB124" s="57"/>
      <c r="AC124" s="185" t="s">
        <v>231</v>
      </c>
      <c r="AG124" s="64"/>
      <c r="AJ124" s="68"/>
      <c r="AK124" s="68">
        <v>0</v>
      </c>
      <c r="BB124" s="186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customHeight="1" x14ac:dyDescent="0.25">
      <c r="A125" s="54" t="s">
        <v>242</v>
      </c>
      <c r="B125" s="54" t="s">
        <v>243</v>
      </c>
      <c r="C125" s="31">
        <v>4301051740</v>
      </c>
      <c r="D125" s="669">
        <v>4680115884533</v>
      </c>
      <c r="E125" s="670"/>
      <c r="F125" s="664">
        <v>0.3</v>
      </c>
      <c r="G125" s="32">
        <v>6</v>
      </c>
      <c r="H125" s="664">
        <v>1.8</v>
      </c>
      <c r="I125" s="664">
        <v>1.98</v>
      </c>
      <c r="J125" s="32">
        <v>182</v>
      </c>
      <c r="K125" s="32" t="s">
        <v>67</v>
      </c>
      <c r="L125" s="32"/>
      <c r="M125" s="33" t="s">
        <v>100</v>
      </c>
      <c r="N125" s="33"/>
      <c r="O125" s="32">
        <v>45</v>
      </c>
      <c r="P125" s="96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15"/>
        <v>0</v>
      </c>
      <c r="Z125" s="36" t="str">
        <f t="shared" si="20"/>
        <v/>
      </c>
      <c r="AA125" s="56"/>
      <c r="AB125" s="57"/>
      <c r="AC125" s="187" t="s">
        <v>244</v>
      </c>
      <c r="AG125" s="64"/>
      <c r="AJ125" s="68"/>
      <c r="AK125" s="68">
        <v>0</v>
      </c>
      <c r="BB125" s="188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37.5" customHeight="1" x14ac:dyDescent="0.25">
      <c r="A126" s="54" t="s">
        <v>245</v>
      </c>
      <c r="B126" s="54" t="s">
        <v>246</v>
      </c>
      <c r="C126" s="31">
        <v>4301051480</v>
      </c>
      <c r="D126" s="669">
        <v>4680115882645</v>
      </c>
      <c r="E126" s="670"/>
      <c r="F126" s="664">
        <v>0.3</v>
      </c>
      <c r="G126" s="32">
        <v>6</v>
      </c>
      <c r="H126" s="664">
        <v>1.8</v>
      </c>
      <c r="I126" s="664">
        <v>2.64</v>
      </c>
      <c r="J126" s="32">
        <v>182</v>
      </c>
      <c r="K126" s="32" t="s">
        <v>67</v>
      </c>
      <c r="L126" s="32"/>
      <c r="M126" s="33" t="s">
        <v>68</v>
      </c>
      <c r="N126" s="33"/>
      <c r="O126" s="32">
        <v>40</v>
      </c>
      <c r="P126" s="1045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0</v>
      </c>
      <c r="Y126" s="666">
        <f t="shared" si="15"/>
        <v>0</v>
      </c>
      <c r="Z126" s="36" t="str">
        <f t="shared" si="20"/>
        <v/>
      </c>
      <c r="AA126" s="56"/>
      <c r="AB126" s="57"/>
      <c r="AC126" s="189" t="s">
        <v>247</v>
      </c>
      <c r="AG126" s="64"/>
      <c r="AJ126" s="68"/>
      <c r="AK126" s="68">
        <v>0</v>
      </c>
      <c r="BB126" s="190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x14ac:dyDescent="0.2">
      <c r="A127" s="679"/>
      <c r="B127" s="680"/>
      <c r="C127" s="680"/>
      <c r="D127" s="680"/>
      <c r="E127" s="680"/>
      <c r="F127" s="680"/>
      <c r="G127" s="680"/>
      <c r="H127" s="680"/>
      <c r="I127" s="680"/>
      <c r="J127" s="680"/>
      <c r="K127" s="680"/>
      <c r="L127" s="680"/>
      <c r="M127" s="680"/>
      <c r="N127" s="680"/>
      <c r="O127" s="681"/>
      <c r="P127" s="685" t="s">
        <v>80</v>
      </c>
      <c r="Q127" s="686"/>
      <c r="R127" s="686"/>
      <c r="S127" s="686"/>
      <c r="T127" s="686"/>
      <c r="U127" s="686"/>
      <c r="V127" s="687"/>
      <c r="W127" s="37" t="s">
        <v>81</v>
      </c>
      <c r="X127" s="667">
        <f>IFERROR(X118/H118,"0")+IFERROR(X119/H119,"0")+IFERROR(X120/H120,"0")+IFERROR(X121/H121,"0")+IFERROR(X122/H122,"0")+IFERROR(X123/H123,"0")+IFERROR(X124/H124,"0")+IFERROR(X125/H125,"0")+IFERROR(X126/H126,"0")</f>
        <v>2.9761904761904763</v>
      </c>
      <c r="Y127" s="667">
        <f>IFERROR(Y118/H118,"0")+IFERROR(Y119/H119,"0")+IFERROR(Y120/H120,"0")+IFERROR(Y121/H121,"0")+IFERROR(Y122/H122,"0")+IFERROR(Y123/H123,"0")+IFERROR(Y124/H124,"0")+IFERROR(Y125/H125,"0")+IFERROR(Y126/H126,"0")</f>
        <v>3</v>
      </c>
      <c r="Z127" s="667">
        <f>IFERROR(IF(Z118="",0,Z118),"0")+IFERROR(IF(Z119="",0,Z119),"0")+IFERROR(IF(Z120="",0,Z120),"0")+IFERROR(IF(Z121="",0,Z121),"0")+IFERROR(IF(Z122="",0,Z122),"0")+IFERROR(IF(Z123="",0,Z123),"0")+IFERROR(IF(Z124="",0,Z124),"0")+IFERROR(IF(Z125="",0,Z125),"0")+IFERROR(IF(Z126="",0,Z126),"0")</f>
        <v>5.6940000000000004E-2</v>
      </c>
      <c r="AA127" s="668"/>
      <c r="AB127" s="668"/>
      <c r="AC127" s="668"/>
    </row>
    <row r="128" spans="1:68" x14ac:dyDescent="0.2">
      <c r="A128" s="680"/>
      <c r="B128" s="680"/>
      <c r="C128" s="680"/>
      <c r="D128" s="680"/>
      <c r="E128" s="680"/>
      <c r="F128" s="680"/>
      <c r="G128" s="680"/>
      <c r="H128" s="680"/>
      <c r="I128" s="680"/>
      <c r="J128" s="680"/>
      <c r="K128" s="680"/>
      <c r="L128" s="680"/>
      <c r="M128" s="680"/>
      <c r="N128" s="680"/>
      <c r="O128" s="681"/>
      <c r="P128" s="685" t="s">
        <v>80</v>
      </c>
      <c r="Q128" s="686"/>
      <c r="R128" s="686"/>
      <c r="S128" s="686"/>
      <c r="T128" s="686"/>
      <c r="U128" s="686"/>
      <c r="V128" s="687"/>
      <c r="W128" s="37" t="s">
        <v>69</v>
      </c>
      <c r="X128" s="667">
        <f>IFERROR(SUM(X118:X126),"0")</f>
        <v>25</v>
      </c>
      <c r="Y128" s="667">
        <f>IFERROR(SUM(Y118:Y126),"0")</f>
        <v>25.200000000000003</v>
      </c>
      <c r="Z128" s="37"/>
      <c r="AA128" s="668"/>
      <c r="AB128" s="668"/>
      <c r="AC128" s="668"/>
    </row>
    <row r="129" spans="1:68" ht="14.25" customHeight="1" x14ac:dyDescent="0.25">
      <c r="A129" s="682" t="s">
        <v>170</v>
      </c>
      <c r="B129" s="680"/>
      <c r="C129" s="680"/>
      <c r="D129" s="680"/>
      <c r="E129" s="680"/>
      <c r="F129" s="680"/>
      <c r="G129" s="680"/>
      <c r="H129" s="680"/>
      <c r="I129" s="680"/>
      <c r="J129" s="680"/>
      <c r="K129" s="680"/>
      <c r="L129" s="680"/>
      <c r="M129" s="680"/>
      <c r="N129" s="680"/>
      <c r="O129" s="680"/>
      <c r="P129" s="680"/>
      <c r="Q129" s="680"/>
      <c r="R129" s="680"/>
      <c r="S129" s="680"/>
      <c r="T129" s="680"/>
      <c r="U129" s="680"/>
      <c r="V129" s="680"/>
      <c r="W129" s="680"/>
      <c r="X129" s="680"/>
      <c r="Y129" s="680"/>
      <c r="Z129" s="680"/>
      <c r="AA129" s="661"/>
      <c r="AB129" s="661"/>
      <c r="AC129" s="661"/>
    </row>
    <row r="130" spans="1:68" ht="37.5" customHeight="1" x14ac:dyDescent="0.25">
      <c r="A130" s="54" t="s">
        <v>248</v>
      </c>
      <c r="B130" s="54" t="s">
        <v>249</v>
      </c>
      <c r="C130" s="31">
        <v>4301060356</v>
      </c>
      <c r="D130" s="669">
        <v>4680115882652</v>
      </c>
      <c r="E130" s="670"/>
      <c r="F130" s="664">
        <v>0.33</v>
      </c>
      <c r="G130" s="32">
        <v>6</v>
      </c>
      <c r="H130" s="664">
        <v>1.98</v>
      </c>
      <c r="I130" s="664">
        <v>2.82</v>
      </c>
      <c r="J130" s="32">
        <v>182</v>
      </c>
      <c r="K130" s="32" t="s">
        <v>67</v>
      </c>
      <c r="L130" s="32"/>
      <c r="M130" s="33" t="s">
        <v>68</v>
      </c>
      <c r="N130" s="33"/>
      <c r="O130" s="32">
        <v>40</v>
      </c>
      <c r="P130" s="954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0" s="672"/>
      <c r="R130" s="672"/>
      <c r="S130" s="672"/>
      <c r="T130" s="673"/>
      <c r="U130" s="34"/>
      <c r="V130" s="34"/>
      <c r="W130" s="35" t="s">
        <v>69</v>
      </c>
      <c r="X130" s="665">
        <v>0</v>
      </c>
      <c r="Y130" s="66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250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251</v>
      </c>
      <c r="B131" s="54" t="s">
        <v>252</v>
      </c>
      <c r="C131" s="31">
        <v>4301060317</v>
      </c>
      <c r="D131" s="669">
        <v>4680115880238</v>
      </c>
      <c r="E131" s="670"/>
      <c r="F131" s="664">
        <v>0.33</v>
      </c>
      <c r="G131" s="32">
        <v>6</v>
      </c>
      <c r="H131" s="664">
        <v>1.98</v>
      </c>
      <c r="I131" s="664">
        <v>2.238</v>
      </c>
      <c r="J131" s="32">
        <v>182</v>
      </c>
      <c r="K131" s="32" t="s">
        <v>67</v>
      </c>
      <c r="L131" s="32"/>
      <c r="M131" s="33" t="s">
        <v>100</v>
      </c>
      <c r="N131" s="33"/>
      <c r="O131" s="32">
        <v>40</v>
      </c>
      <c r="P131" s="78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253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79"/>
      <c r="B132" s="680"/>
      <c r="C132" s="680"/>
      <c r="D132" s="680"/>
      <c r="E132" s="680"/>
      <c r="F132" s="680"/>
      <c r="G132" s="680"/>
      <c r="H132" s="680"/>
      <c r="I132" s="680"/>
      <c r="J132" s="680"/>
      <c r="K132" s="680"/>
      <c r="L132" s="680"/>
      <c r="M132" s="680"/>
      <c r="N132" s="680"/>
      <c r="O132" s="681"/>
      <c r="P132" s="685" t="s">
        <v>80</v>
      </c>
      <c r="Q132" s="686"/>
      <c r="R132" s="686"/>
      <c r="S132" s="686"/>
      <c r="T132" s="686"/>
      <c r="U132" s="686"/>
      <c r="V132" s="687"/>
      <c r="W132" s="37" t="s">
        <v>81</v>
      </c>
      <c r="X132" s="667">
        <f>IFERROR(X130/H130,"0")+IFERROR(X131/H131,"0")</f>
        <v>0</v>
      </c>
      <c r="Y132" s="667">
        <f>IFERROR(Y130/H130,"0")+IFERROR(Y131/H131,"0")</f>
        <v>0</v>
      </c>
      <c r="Z132" s="667">
        <f>IFERROR(IF(Z130="",0,Z130),"0")+IFERROR(IF(Z131="",0,Z131),"0")</f>
        <v>0</v>
      </c>
      <c r="AA132" s="668"/>
      <c r="AB132" s="668"/>
      <c r="AC132" s="668"/>
    </row>
    <row r="133" spans="1:68" x14ac:dyDescent="0.2">
      <c r="A133" s="680"/>
      <c r="B133" s="680"/>
      <c r="C133" s="680"/>
      <c r="D133" s="680"/>
      <c r="E133" s="680"/>
      <c r="F133" s="680"/>
      <c r="G133" s="680"/>
      <c r="H133" s="680"/>
      <c r="I133" s="680"/>
      <c r="J133" s="680"/>
      <c r="K133" s="680"/>
      <c r="L133" s="680"/>
      <c r="M133" s="680"/>
      <c r="N133" s="680"/>
      <c r="O133" s="681"/>
      <c r="P133" s="685" t="s">
        <v>80</v>
      </c>
      <c r="Q133" s="686"/>
      <c r="R133" s="686"/>
      <c r="S133" s="686"/>
      <c r="T133" s="686"/>
      <c r="U133" s="686"/>
      <c r="V133" s="687"/>
      <c r="W133" s="37" t="s">
        <v>69</v>
      </c>
      <c r="X133" s="667">
        <f>IFERROR(SUM(X130:X131),"0")</f>
        <v>0</v>
      </c>
      <c r="Y133" s="667">
        <f>IFERROR(SUM(Y130:Y131),"0")</f>
        <v>0</v>
      </c>
      <c r="Z133" s="37"/>
      <c r="AA133" s="668"/>
      <c r="AB133" s="668"/>
      <c r="AC133" s="668"/>
    </row>
    <row r="134" spans="1:68" ht="16.5" customHeight="1" x14ac:dyDescent="0.25">
      <c r="A134" s="716" t="s">
        <v>254</v>
      </c>
      <c r="B134" s="680"/>
      <c r="C134" s="680"/>
      <c r="D134" s="680"/>
      <c r="E134" s="680"/>
      <c r="F134" s="680"/>
      <c r="G134" s="680"/>
      <c r="H134" s="680"/>
      <c r="I134" s="680"/>
      <c r="J134" s="680"/>
      <c r="K134" s="680"/>
      <c r="L134" s="680"/>
      <c r="M134" s="680"/>
      <c r="N134" s="680"/>
      <c r="O134" s="680"/>
      <c r="P134" s="680"/>
      <c r="Q134" s="680"/>
      <c r="R134" s="680"/>
      <c r="S134" s="680"/>
      <c r="T134" s="680"/>
      <c r="U134" s="680"/>
      <c r="V134" s="680"/>
      <c r="W134" s="680"/>
      <c r="X134" s="680"/>
      <c r="Y134" s="680"/>
      <c r="Z134" s="680"/>
      <c r="AA134" s="660"/>
      <c r="AB134" s="660"/>
      <c r="AC134" s="660"/>
    </row>
    <row r="135" spans="1:68" ht="14.25" customHeight="1" x14ac:dyDescent="0.25">
      <c r="A135" s="682" t="s">
        <v>90</v>
      </c>
      <c r="B135" s="680"/>
      <c r="C135" s="680"/>
      <c r="D135" s="680"/>
      <c r="E135" s="680"/>
      <c r="F135" s="680"/>
      <c r="G135" s="680"/>
      <c r="H135" s="680"/>
      <c r="I135" s="680"/>
      <c r="J135" s="680"/>
      <c r="K135" s="680"/>
      <c r="L135" s="680"/>
      <c r="M135" s="680"/>
      <c r="N135" s="680"/>
      <c r="O135" s="680"/>
      <c r="P135" s="680"/>
      <c r="Q135" s="680"/>
      <c r="R135" s="680"/>
      <c r="S135" s="680"/>
      <c r="T135" s="680"/>
      <c r="U135" s="680"/>
      <c r="V135" s="680"/>
      <c r="W135" s="680"/>
      <c r="X135" s="680"/>
      <c r="Y135" s="680"/>
      <c r="Z135" s="680"/>
      <c r="AA135" s="661"/>
      <c r="AB135" s="661"/>
      <c r="AC135" s="661"/>
    </row>
    <row r="136" spans="1:68" ht="27" customHeight="1" x14ac:dyDescent="0.25">
      <c r="A136" s="54" t="s">
        <v>255</v>
      </c>
      <c r="B136" s="54" t="s">
        <v>256</v>
      </c>
      <c r="C136" s="31">
        <v>4301011564</v>
      </c>
      <c r="D136" s="669">
        <v>4680115882577</v>
      </c>
      <c r="E136" s="670"/>
      <c r="F136" s="664">
        <v>0.4</v>
      </c>
      <c r="G136" s="32">
        <v>8</v>
      </c>
      <c r="H136" s="664">
        <v>3.2</v>
      </c>
      <c r="I136" s="664">
        <v>3.38</v>
      </c>
      <c r="J136" s="32">
        <v>182</v>
      </c>
      <c r="K136" s="32" t="s">
        <v>67</v>
      </c>
      <c r="L136" s="32"/>
      <c r="M136" s="33" t="s">
        <v>85</v>
      </c>
      <c r="N136" s="33"/>
      <c r="O136" s="32">
        <v>90</v>
      </c>
      <c r="P136" s="102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72"/>
      <c r="R136" s="672"/>
      <c r="S136" s="672"/>
      <c r="T136" s="673"/>
      <c r="U136" s="34"/>
      <c r="V136" s="34"/>
      <c r="W136" s="35" t="s">
        <v>69</v>
      </c>
      <c r="X136" s="665">
        <v>0</v>
      </c>
      <c r="Y136" s="66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257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customHeight="1" x14ac:dyDescent="0.25">
      <c r="A137" s="54" t="s">
        <v>255</v>
      </c>
      <c r="B137" s="54" t="s">
        <v>258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85</v>
      </c>
      <c r="N137" s="33"/>
      <c r="O137" s="32">
        <v>90</v>
      </c>
      <c r="P137" s="82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79"/>
      <c r="B138" s="680"/>
      <c r="C138" s="680"/>
      <c r="D138" s="680"/>
      <c r="E138" s="680"/>
      <c r="F138" s="680"/>
      <c r="G138" s="680"/>
      <c r="H138" s="680"/>
      <c r="I138" s="680"/>
      <c r="J138" s="680"/>
      <c r="K138" s="680"/>
      <c r="L138" s="680"/>
      <c r="M138" s="680"/>
      <c r="N138" s="680"/>
      <c r="O138" s="681"/>
      <c r="P138" s="685" t="s">
        <v>80</v>
      </c>
      <c r="Q138" s="686"/>
      <c r="R138" s="686"/>
      <c r="S138" s="686"/>
      <c r="T138" s="686"/>
      <c r="U138" s="686"/>
      <c r="V138" s="687"/>
      <c r="W138" s="37" t="s">
        <v>81</v>
      </c>
      <c r="X138" s="667">
        <f>IFERROR(X136/H136,"0")+IFERROR(X137/H137,"0")</f>
        <v>0</v>
      </c>
      <c r="Y138" s="667">
        <f>IFERROR(Y136/H136,"0")+IFERROR(Y137/H137,"0")</f>
        <v>0</v>
      </c>
      <c r="Z138" s="667">
        <f>IFERROR(IF(Z136="",0,Z136),"0")+IFERROR(IF(Z137="",0,Z137),"0")</f>
        <v>0</v>
      </c>
      <c r="AA138" s="668"/>
      <c r="AB138" s="668"/>
      <c r="AC138" s="668"/>
    </row>
    <row r="139" spans="1:68" x14ac:dyDescent="0.2">
      <c r="A139" s="680"/>
      <c r="B139" s="680"/>
      <c r="C139" s="680"/>
      <c r="D139" s="680"/>
      <c r="E139" s="680"/>
      <c r="F139" s="680"/>
      <c r="G139" s="680"/>
      <c r="H139" s="680"/>
      <c r="I139" s="680"/>
      <c r="J139" s="680"/>
      <c r="K139" s="680"/>
      <c r="L139" s="680"/>
      <c r="M139" s="680"/>
      <c r="N139" s="680"/>
      <c r="O139" s="681"/>
      <c r="P139" s="685" t="s">
        <v>80</v>
      </c>
      <c r="Q139" s="686"/>
      <c r="R139" s="686"/>
      <c r="S139" s="686"/>
      <c r="T139" s="686"/>
      <c r="U139" s="686"/>
      <c r="V139" s="687"/>
      <c r="W139" s="37" t="s">
        <v>69</v>
      </c>
      <c r="X139" s="667">
        <f>IFERROR(SUM(X136:X137),"0")</f>
        <v>0</v>
      </c>
      <c r="Y139" s="667">
        <f>IFERROR(SUM(Y136:Y137),"0")</f>
        <v>0</v>
      </c>
      <c r="Z139" s="37"/>
      <c r="AA139" s="668"/>
      <c r="AB139" s="668"/>
      <c r="AC139" s="668"/>
    </row>
    <row r="140" spans="1:68" ht="14.25" customHeight="1" x14ac:dyDescent="0.25">
      <c r="A140" s="682" t="s">
        <v>144</v>
      </c>
      <c r="B140" s="680"/>
      <c r="C140" s="680"/>
      <c r="D140" s="680"/>
      <c r="E140" s="680"/>
      <c r="F140" s="680"/>
      <c r="G140" s="680"/>
      <c r="H140" s="680"/>
      <c r="I140" s="680"/>
      <c r="J140" s="680"/>
      <c r="K140" s="680"/>
      <c r="L140" s="680"/>
      <c r="M140" s="680"/>
      <c r="N140" s="680"/>
      <c r="O140" s="680"/>
      <c r="P140" s="680"/>
      <c r="Q140" s="680"/>
      <c r="R140" s="680"/>
      <c r="S140" s="680"/>
      <c r="T140" s="680"/>
      <c r="U140" s="680"/>
      <c r="V140" s="680"/>
      <c r="W140" s="680"/>
      <c r="X140" s="680"/>
      <c r="Y140" s="680"/>
      <c r="Z140" s="680"/>
      <c r="AA140" s="661"/>
      <c r="AB140" s="661"/>
      <c r="AC140" s="661"/>
    </row>
    <row r="141" spans="1:68" ht="27" customHeight="1" x14ac:dyDescent="0.25">
      <c r="A141" s="54" t="s">
        <v>259</v>
      </c>
      <c r="B141" s="54" t="s">
        <v>260</v>
      </c>
      <c r="C141" s="31">
        <v>4301031234</v>
      </c>
      <c r="D141" s="669">
        <v>4680115883444</v>
      </c>
      <c r="E141" s="670"/>
      <c r="F141" s="664">
        <v>0.35</v>
      </c>
      <c r="G141" s="32">
        <v>8</v>
      </c>
      <c r="H141" s="664">
        <v>2.8</v>
      </c>
      <c r="I141" s="664">
        <v>3.0680000000000001</v>
      </c>
      <c r="J141" s="32">
        <v>182</v>
      </c>
      <c r="K141" s="32" t="s">
        <v>67</v>
      </c>
      <c r="L141" s="32"/>
      <c r="M141" s="33" t="s">
        <v>85</v>
      </c>
      <c r="N141" s="33"/>
      <c r="O141" s="32">
        <v>90</v>
      </c>
      <c r="P141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2"/>
      <c r="R141" s="672"/>
      <c r="S141" s="672"/>
      <c r="T141" s="673"/>
      <c r="U141" s="34"/>
      <c r="V141" s="34"/>
      <c r="W141" s="35" t="s">
        <v>69</v>
      </c>
      <c r="X141" s="665">
        <v>0</v>
      </c>
      <c r="Y141" s="66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261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259</v>
      </c>
      <c r="B142" s="54" t="s">
        <v>262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85</v>
      </c>
      <c r="N142" s="33"/>
      <c r="O142" s="32">
        <v>90</v>
      </c>
      <c r="P142" s="81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79"/>
      <c r="B143" s="680"/>
      <c r="C143" s="680"/>
      <c r="D143" s="680"/>
      <c r="E143" s="680"/>
      <c r="F143" s="680"/>
      <c r="G143" s="680"/>
      <c r="H143" s="680"/>
      <c r="I143" s="680"/>
      <c r="J143" s="680"/>
      <c r="K143" s="680"/>
      <c r="L143" s="680"/>
      <c r="M143" s="680"/>
      <c r="N143" s="680"/>
      <c r="O143" s="681"/>
      <c r="P143" s="685" t="s">
        <v>80</v>
      </c>
      <c r="Q143" s="686"/>
      <c r="R143" s="686"/>
      <c r="S143" s="686"/>
      <c r="T143" s="686"/>
      <c r="U143" s="686"/>
      <c r="V143" s="687"/>
      <c r="W143" s="37" t="s">
        <v>81</v>
      </c>
      <c r="X143" s="667">
        <f>IFERROR(X141/H141,"0")+IFERROR(X142/H142,"0")</f>
        <v>0</v>
      </c>
      <c r="Y143" s="667">
        <f>IFERROR(Y141/H141,"0")+IFERROR(Y142/H142,"0")</f>
        <v>0</v>
      </c>
      <c r="Z143" s="667">
        <f>IFERROR(IF(Z141="",0,Z141),"0")+IFERROR(IF(Z142="",0,Z142),"0")</f>
        <v>0</v>
      </c>
      <c r="AA143" s="668"/>
      <c r="AB143" s="668"/>
      <c r="AC143" s="668"/>
    </row>
    <row r="144" spans="1:68" x14ac:dyDescent="0.2">
      <c r="A144" s="680"/>
      <c r="B144" s="680"/>
      <c r="C144" s="680"/>
      <c r="D144" s="680"/>
      <c r="E144" s="680"/>
      <c r="F144" s="680"/>
      <c r="G144" s="680"/>
      <c r="H144" s="680"/>
      <c r="I144" s="680"/>
      <c r="J144" s="680"/>
      <c r="K144" s="680"/>
      <c r="L144" s="680"/>
      <c r="M144" s="680"/>
      <c r="N144" s="680"/>
      <c r="O144" s="681"/>
      <c r="P144" s="685" t="s">
        <v>80</v>
      </c>
      <c r="Q144" s="686"/>
      <c r="R144" s="686"/>
      <c r="S144" s="686"/>
      <c r="T144" s="686"/>
      <c r="U144" s="686"/>
      <c r="V144" s="687"/>
      <c r="W144" s="37" t="s">
        <v>69</v>
      </c>
      <c r="X144" s="667">
        <f>IFERROR(SUM(X141:X142),"0")</f>
        <v>0</v>
      </c>
      <c r="Y144" s="667">
        <f>IFERROR(SUM(Y141:Y142),"0")</f>
        <v>0</v>
      </c>
      <c r="Z144" s="37"/>
      <c r="AA144" s="668"/>
      <c r="AB144" s="668"/>
      <c r="AC144" s="668"/>
    </row>
    <row r="145" spans="1:68" ht="14.25" customHeight="1" x14ac:dyDescent="0.25">
      <c r="A145" s="682" t="s">
        <v>64</v>
      </c>
      <c r="B145" s="680"/>
      <c r="C145" s="680"/>
      <c r="D145" s="680"/>
      <c r="E145" s="680"/>
      <c r="F145" s="680"/>
      <c r="G145" s="680"/>
      <c r="H145" s="680"/>
      <c r="I145" s="680"/>
      <c r="J145" s="680"/>
      <c r="K145" s="680"/>
      <c r="L145" s="680"/>
      <c r="M145" s="680"/>
      <c r="N145" s="680"/>
      <c r="O145" s="680"/>
      <c r="P145" s="680"/>
      <c r="Q145" s="680"/>
      <c r="R145" s="680"/>
      <c r="S145" s="680"/>
      <c r="T145" s="680"/>
      <c r="U145" s="680"/>
      <c r="V145" s="680"/>
      <c r="W145" s="680"/>
      <c r="X145" s="680"/>
      <c r="Y145" s="680"/>
      <c r="Z145" s="680"/>
      <c r="AA145" s="661"/>
      <c r="AB145" s="661"/>
      <c r="AC145" s="661"/>
    </row>
    <row r="146" spans="1:68" ht="16.5" customHeight="1" x14ac:dyDescent="0.25">
      <c r="A146" s="54" t="s">
        <v>263</v>
      </c>
      <c r="B146" s="54" t="s">
        <v>264</v>
      </c>
      <c r="C146" s="31">
        <v>4301051477</v>
      </c>
      <c r="D146" s="669">
        <v>4680115882584</v>
      </c>
      <c r="E146" s="670"/>
      <c r="F146" s="664">
        <v>0.33</v>
      </c>
      <c r="G146" s="32">
        <v>8</v>
      </c>
      <c r="H146" s="664">
        <v>2.64</v>
      </c>
      <c r="I146" s="664">
        <v>2.9079999999999999</v>
      </c>
      <c r="J146" s="32">
        <v>182</v>
      </c>
      <c r="K146" s="32" t="s">
        <v>67</v>
      </c>
      <c r="L146" s="32"/>
      <c r="M146" s="33" t="s">
        <v>85</v>
      </c>
      <c r="N146" s="33"/>
      <c r="O146" s="32">
        <v>60</v>
      </c>
      <c r="P146" s="100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72"/>
      <c r="R146" s="672"/>
      <c r="S146" s="672"/>
      <c r="T146" s="673"/>
      <c r="U146" s="34"/>
      <c r="V146" s="34"/>
      <c r="W146" s="35" t="s">
        <v>69</v>
      </c>
      <c r="X146" s="665">
        <v>0</v>
      </c>
      <c r="Y146" s="66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257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263</v>
      </c>
      <c r="B147" s="54" t="s">
        <v>265</v>
      </c>
      <c r="C147" s="31">
        <v>4301051476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85</v>
      </c>
      <c r="N147" s="33"/>
      <c r="O147" s="32">
        <v>60</v>
      </c>
      <c r="P147" s="71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679"/>
      <c r="B148" s="680"/>
      <c r="C148" s="680"/>
      <c r="D148" s="680"/>
      <c r="E148" s="680"/>
      <c r="F148" s="680"/>
      <c r="G148" s="680"/>
      <c r="H148" s="680"/>
      <c r="I148" s="680"/>
      <c r="J148" s="680"/>
      <c r="K148" s="680"/>
      <c r="L148" s="680"/>
      <c r="M148" s="680"/>
      <c r="N148" s="680"/>
      <c r="O148" s="681"/>
      <c r="P148" s="685" t="s">
        <v>80</v>
      </c>
      <c r="Q148" s="686"/>
      <c r="R148" s="686"/>
      <c r="S148" s="686"/>
      <c r="T148" s="686"/>
      <c r="U148" s="686"/>
      <c r="V148" s="687"/>
      <c r="W148" s="37" t="s">
        <v>81</v>
      </c>
      <c r="X148" s="667">
        <f>IFERROR(X146/H146,"0")+IFERROR(X147/H147,"0")</f>
        <v>0</v>
      </c>
      <c r="Y148" s="667">
        <f>IFERROR(Y146/H146,"0")+IFERROR(Y147/H147,"0")</f>
        <v>0</v>
      </c>
      <c r="Z148" s="667">
        <f>IFERROR(IF(Z146="",0,Z146),"0")+IFERROR(IF(Z147="",0,Z147),"0")</f>
        <v>0</v>
      </c>
      <c r="AA148" s="668"/>
      <c r="AB148" s="668"/>
      <c r="AC148" s="668"/>
    </row>
    <row r="149" spans="1:68" x14ac:dyDescent="0.2">
      <c r="A149" s="680"/>
      <c r="B149" s="680"/>
      <c r="C149" s="680"/>
      <c r="D149" s="680"/>
      <c r="E149" s="680"/>
      <c r="F149" s="680"/>
      <c r="G149" s="680"/>
      <c r="H149" s="680"/>
      <c r="I149" s="680"/>
      <c r="J149" s="680"/>
      <c r="K149" s="680"/>
      <c r="L149" s="680"/>
      <c r="M149" s="680"/>
      <c r="N149" s="680"/>
      <c r="O149" s="681"/>
      <c r="P149" s="685" t="s">
        <v>80</v>
      </c>
      <c r="Q149" s="686"/>
      <c r="R149" s="686"/>
      <c r="S149" s="686"/>
      <c r="T149" s="686"/>
      <c r="U149" s="686"/>
      <c r="V149" s="687"/>
      <c r="W149" s="37" t="s">
        <v>69</v>
      </c>
      <c r="X149" s="667">
        <f>IFERROR(SUM(X146:X147),"0")</f>
        <v>0</v>
      </c>
      <c r="Y149" s="667">
        <f>IFERROR(SUM(Y146:Y147),"0")</f>
        <v>0</v>
      </c>
      <c r="Z149" s="37"/>
      <c r="AA149" s="668"/>
      <c r="AB149" s="668"/>
      <c r="AC149" s="668"/>
    </row>
    <row r="150" spans="1:68" ht="16.5" customHeight="1" x14ac:dyDescent="0.25">
      <c r="A150" s="716" t="s">
        <v>88</v>
      </c>
      <c r="B150" s="680"/>
      <c r="C150" s="680"/>
      <c r="D150" s="680"/>
      <c r="E150" s="680"/>
      <c r="F150" s="680"/>
      <c r="G150" s="680"/>
      <c r="H150" s="680"/>
      <c r="I150" s="680"/>
      <c r="J150" s="680"/>
      <c r="K150" s="680"/>
      <c r="L150" s="680"/>
      <c r="M150" s="680"/>
      <c r="N150" s="680"/>
      <c r="O150" s="680"/>
      <c r="P150" s="680"/>
      <c r="Q150" s="680"/>
      <c r="R150" s="680"/>
      <c r="S150" s="680"/>
      <c r="T150" s="680"/>
      <c r="U150" s="680"/>
      <c r="V150" s="680"/>
      <c r="W150" s="680"/>
      <c r="X150" s="680"/>
      <c r="Y150" s="680"/>
      <c r="Z150" s="680"/>
      <c r="AA150" s="660"/>
      <c r="AB150" s="660"/>
      <c r="AC150" s="660"/>
    </row>
    <row r="151" spans="1:68" ht="14.25" customHeight="1" x14ac:dyDescent="0.25">
      <c r="A151" s="682" t="s">
        <v>90</v>
      </c>
      <c r="B151" s="680"/>
      <c r="C151" s="680"/>
      <c r="D151" s="680"/>
      <c r="E151" s="680"/>
      <c r="F151" s="680"/>
      <c r="G151" s="680"/>
      <c r="H151" s="680"/>
      <c r="I151" s="680"/>
      <c r="J151" s="680"/>
      <c r="K151" s="680"/>
      <c r="L151" s="680"/>
      <c r="M151" s="680"/>
      <c r="N151" s="680"/>
      <c r="O151" s="680"/>
      <c r="P151" s="680"/>
      <c r="Q151" s="680"/>
      <c r="R151" s="680"/>
      <c r="S151" s="680"/>
      <c r="T151" s="680"/>
      <c r="U151" s="680"/>
      <c r="V151" s="680"/>
      <c r="W151" s="680"/>
      <c r="X151" s="680"/>
      <c r="Y151" s="680"/>
      <c r="Z151" s="680"/>
      <c r="AA151" s="661"/>
      <c r="AB151" s="661"/>
      <c r="AC151" s="661"/>
    </row>
    <row r="152" spans="1:68" ht="27" customHeight="1" x14ac:dyDescent="0.25">
      <c r="A152" s="54" t="s">
        <v>266</v>
      </c>
      <c r="B152" s="54" t="s">
        <v>267</v>
      </c>
      <c r="C152" s="31">
        <v>4301011705</v>
      </c>
      <c r="D152" s="669">
        <v>4607091384604</v>
      </c>
      <c r="E152" s="670"/>
      <c r="F152" s="664">
        <v>0.4</v>
      </c>
      <c r="G152" s="32">
        <v>10</v>
      </c>
      <c r="H152" s="664">
        <v>4</v>
      </c>
      <c r="I152" s="664">
        <v>4.21</v>
      </c>
      <c r="J152" s="32">
        <v>132</v>
      </c>
      <c r="K152" s="32" t="s">
        <v>98</v>
      </c>
      <c r="L152" s="32"/>
      <c r="M152" s="33" t="s">
        <v>94</v>
      </c>
      <c r="N152" s="33"/>
      <c r="O152" s="32">
        <v>50</v>
      </c>
      <c r="P152" s="7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2" s="672"/>
      <c r="R152" s="672"/>
      <c r="S152" s="672"/>
      <c r="T152" s="673"/>
      <c r="U152" s="34"/>
      <c r="V152" s="34"/>
      <c r="W152" s="35" t="s">
        <v>69</v>
      </c>
      <c r="X152" s="665">
        <v>0</v>
      </c>
      <c r="Y152" s="666">
        <f>IFERROR(IF(X152="",0,CEILING((X152/$H152),1)*$H152),"")</f>
        <v>0</v>
      </c>
      <c r="Z152" s="36" t="str">
        <f>IFERROR(IF(Y152=0,"",ROUNDUP(Y152/H152,0)*0.00902),"")</f>
        <v/>
      </c>
      <c r="AA152" s="56"/>
      <c r="AB152" s="57"/>
      <c r="AC152" s="207" t="s">
        <v>268</v>
      </c>
      <c r="AG152" s="64"/>
      <c r="AJ152" s="68"/>
      <c r="AK152" s="68">
        <v>0</v>
      </c>
      <c r="BB152" s="208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679"/>
      <c r="B153" s="680"/>
      <c r="C153" s="680"/>
      <c r="D153" s="680"/>
      <c r="E153" s="680"/>
      <c r="F153" s="680"/>
      <c r="G153" s="680"/>
      <c r="H153" s="680"/>
      <c r="I153" s="680"/>
      <c r="J153" s="680"/>
      <c r="K153" s="680"/>
      <c r="L153" s="680"/>
      <c r="M153" s="680"/>
      <c r="N153" s="680"/>
      <c r="O153" s="681"/>
      <c r="P153" s="685" t="s">
        <v>80</v>
      </c>
      <c r="Q153" s="686"/>
      <c r="R153" s="686"/>
      <c r="S153" s="686"/>
      <c r="T153" s="686"/>
      <c r="U153" s="686"/>
      <c r="V153" s="687"/>
      <c r="W153" s="37" t="s">
        <v>81</v>
      </c>
      <c r="X153" s="667">
        <f>IFERROR(X152/H152,"0")</f>
        <v>0</v>
      </c>
      <c r="Y153" s="667">
        <f>IFERROR(Y152/H152,"0")</f>
        <v>0</v>
      </c>
      <c r="Z153" s="667">
        <f>IFERROR(IF(Z152="",0,Z152),"0")</f>
        <v>0</v>
      </c>
      <c r="AA153" s="668"/>
      <c r="AB153" s="668"/>
      <c r="AC153" s="668"/>
    </row>
    <row r="154" spans="1:68" x14ac:dyDescent="0.2">
      <c r="A154" s="680"/>
      <c r="B154" s="680"/>
      <c r="C154" s="680"/>
      <c r="D154" s="680"/>
      <c r="E154" s="680"/>
      <c r="F154" s="680"/>
      <c r="G154" s="680"/>
      <c r="H154" s="680"/>
      <c r="I154" s="680"/>
      <c r="J154" s="680"/>
      <c r="K154" s="680"/>
      <c r="L154" s="680"/>
      <c r="M154" s="680"/>
      <c r="N154" s="680"/>
      <c r="O154" s="681"/>
      <c r="P154" s="685" t="s">
        <v>80</v>
      </c>
      <c r="Q154" s="686"/>
      <c r="R154" s="686"/>
      <c r="S154" s="686"/>
      <c r="T154" s="686"/>
      <c r="U154" s="686"/>
      <c r="V154" s="687"/>
      <c r="W154" s="37" t="s">
        <v>69</v>
      </c>
      <c r="X154" s="667">
        <f>IFERROR(SUM(X152:X152),"0")</f>
        <v>0</v>
      </c>
      <c r="Y154" s="667">
        <f>IFERROR(SUM(Y152:Y152),"0")</f>
        <v>0</v>
      </c>
      <c r="Z154" s="37"/>
      <c r="AA154" s="668"/>
      <c r="AB154" s="668"/>
      <c r="AC154" s="668"/>
    </row>
    <row r="155" spans="1:68" ht="14.25" customHeight="1" x14ac:dyDescent="0.25">
      <c r="A155" s="682" t="s">
        <v>144</v>
      </c>
      <c r="B155" s="680"/>
      <c r="C155" s="680"/>
      <c r="D155" s="680"/>
      <c r="E155" s="680"/>
      <c r="F155" s="680"/>
      <c r="G155" s="680"/>
      <c r="H155" s="680"/>
      <c r="I155" s="680"/>
      <c r="J155" s="680"/>
      <c r="K155" s="680"/>
      <c r="L155" s="680"/>
      <c r="M155" s="680"/>
      <c r="N155" s="680"/>
      <c r="O155" s="680"/>
      <c r="P155" s="680"/>
      <c r="Q155" s="680"/>
      <c r="R155" s="680"/>
      <c r="S155" s="680"/>
      <c r="T155" s="680"/>
      <c r="U155" s="680"/>
      <c r="V155" s="680"/>
      <c r="W155" s="680"/>
      <c r="X155" s="680"/>
      <c r="Y155" s="680"/>
      <c r="Z155" s="680"/>
      <c r="AA155" s="661"/>
      <c r="AB155" s="661"/>
      <c r="AC155" s="661"/>
    </row>
    <row r="156" spans="1:68" ht="16.5" customHeight="1" x14ac:dyDescent="0.25">
      <c r="A156" s="54" t="s">
        <v>269</v>
      </c>
      <c r="B156" s="54" t="s">
        <v>270</v>
      </c>
      <c r="C156" s="31">
        <v>4301030895</v>
      </c>
      <c r="D156" s="669">
        <v>4607091387667</v>
      </c>
      <c r="E156" s="670"/>
      <c r="F156" s="664">
        <v>0.9</v>
      </c>
      <c r="G156" s="32">
        <v>10</v>
      </c>
      <c r="H156" s="664">
        <v>9</v>
      </c>
      <c r="I156" s="664">
        <v>9.5850000000000009</v>
      </c>
      <c r="J156" s="32">
        <v>64</v>
      </c>
      <c r="K156" s="32" t="s">
        <v>93</v>
      </c>
      <c r="L156" s="32"/>
      <c r="M156" s="33" t="s">
        <v>94</v>
      </c>
      <c r="N156" s="33"/>
      <c r="O156" s="32">
        <v>40</v>
      </c>
      <c r="P156" s="90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6" s="672"/>
      <c r="R156" s="672"/>
      <c r="S156" s="672"/>
      <c r="T156" s="673"/>
      <c r="U156" s="34"/>
      <c r="V156" s="34"/>
      <c r="W156" s="35" t="s">
        <v>69</v>
      </c>
      <c r="X156" s="665">
        <v>0</v>
      </c>
      <c r="Y156" s="666">
        <f>IFERROR(IF(X156="",0,CEILING((X156/$H156),1)*$H156),"")</f>
        <v>0</v>
      </c>
      <c r="Z156" s="36" t="str">
        <f>IFERROR(IF(Y156=0,"",ROUNDUP(Y156/H156,0)*0.01898),"")</f>
        <v/>
      </c>
      <c r="AA156" s="56"/>
      <c r="AB156" s="57"/>
      <c r="AC156" s="209" t="s">
        <v>271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272</v>
      </c>
      <c r="B157" s="54" t="s">
        <v>273</v>
      </c>
      <c r="C157" s="31">
        <v>4301030961</v>
      </c>
      <c r="D157" s="669">
        <v>4607091387636</v>
      </c>
      <c r="E157" s="670"/>
      <c r="F157" s="664">
        <v>0.7</v>
      </c>
      <c r="G157" s="32">
        <v>6</v>
      </c>
      <c r="H157" s="664">
        <v>4.2</v>
      </c>
      <c r="I157" s="664">
        <v>4.5</v>
      </c>
      <c r="J157" s="32">
        <v>132</v>
      </c>
      <c r="K157" s="32" t="s">
        <v>98</v>
      </c>
      <c r="L157" s="32"/>
      <c r="M157" s="33" t="s">
        <v>68</v>
      </c>
      <c r="N157" s="33"/>
      <c r="O157" s="32">
        <v>40</v>
      </c>
      <c r="P157" s="97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IFERROR(IF(Y157=0,"",ROUNDUP(Y157/H157,0)*0.00902),"")</f>
        <v/>
      </c>
      <c r="AA157" s="56"/>
      <c r="AB157" s="57"/>
      <c r="AC157" s="211" t="s">
        <v>274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16.5" customHeight="1" x14ac:dyDescent="0.25">
      <c r="A158" s="54" t="s">
        <v>275</v>
      </c>
      <c r="B158" s="54" t="s">
        <v>276</v>
      </c>
      <c r="C158" s="31">
        <v>4301030963</v>
      </c>
      <c r="D158" s="669">
        <v>4607091382426</v>
      </c>
      <c r="E158" s="670"/>
      <c r="F158" s="664">
        <v>0.9</v>
      </c>
      <c r="G158" s="32">
        <v>10</v>
      </c>
      <c r="H158" s="664">
        <v>9</v>
      </c>
      <c r="I158" s="664">
        <v>9.5850000000000009</v>
      </c>
      <c r="J158" s="32">
        <v>64</v>
      </c>
      <c r="K158" s="32" t="s">
        <v>93</v>
      </c>
      <c r="L158" s="32"/>
      <c r="M158" s="33" t="s">
        <v>68</v>
      </c>
      <c r="N158" s="33"/>
      <c r="O158" s="32">
        <v>40</v>
      </c>
      <c r="P158" s="73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13" t="s">
        <v>277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customHeight="1" x14ac:dyDescent="0.25">
      <c r="A159" s="54" t="s">
        <v>278</v>
      </c>
      <c r="B159" s="54" t="s">
        <v>279</v>
      </c>
      <c r="C159" s="31">
        <v>4301030962</v>
      </c>
      <c r="D159" s="669">
        <v>4607091386547</v>
      </c>
      <c r="E159" s="670"/>
      <c r="F159" s="664">
        <v>0.35</v>
      </c>
      <c r="G159" s="32">
        <v>8</v>
      </c>
      <c r="H159" s="664">
        <v>2.8</v>
      </c>
      <c r="I159" s="664">
        <v>2.94</v>
      </c>
      <c r="J159" s="32">
        <v>234</v>
      </c>
      <c r="K159" s="32" t="s">
        <v>147</v>
      </c>
      <c r="L159" s="32"/>
      <c r="M159" s="33" t="s">
        <v>68</v>
      </c>
      <c r="N159" s="33"/>
      <c r="O159" s="32">
        <v>40</v>
      </c>
      <c r="P159" s="90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215" t="s">
        <v>274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79"/>
      <c r="B160" s="680"/>
      <c r="C160" s="680"/>
      <c r="D160" s="680"/>
      <c r="E160" s="680"/>
      <c r="F160" s="680"/>
      <c r="G160" s="680"/>
      <c r="H160" s="680"/>
      <c r="I160" s="680"/>
      <c r="J160" s="680"/>
      <c r="K160" s="680"/>
      <c r="L160" s="680"/>
      <c r="M160" s="680"/>
      <c r="N160" s="680"/>
      <c r="O160" s="681"/>
      <c r="P160" s="685" t="s">
        <v>80</v>
      </c>
      <c r="Q160" s="686"/>
      <c r="R160" s="686"/>
      <c r="S160" s="686"/>
      <c r="T160" s="686"/>
      <c r="U160" s="686"/>
      <c r="V160" s="687"/>
      <c r="W160" s="37" t="s">
        <v>81</v>
      </c>
      <c r="X160" s="667">
        <f>IFERROR(X156/H156,"0")+IFERROR(X157/H157,"0")+IFERROR(X158/H158,"0")+IFERROR(X159/H159,"0")</f>
        <v>0</v>
      </c>
      <c r="Y160" s="667">
        <f>IFERROR(Y156/H156,"0")+IFERROR(Y157/H157,"0")+IFERROR(Y158/H158,"0")+IFERROR(Y159/H159,"0")</f>
        <v>0</v>
      </c>
      <c r="Z160" s="667">
        <f>IFERROR(IF(Z156="",0,Z156),"0")+IFERROR(IF(Z157="",0,Z157),"0")+IFERROR(IF(Z158="",0,Z158),"0")+IFERROR(IF(Z159="",0,Z159),"0")</f>
        <v>0</v>
      </c>
      <c r="AA160" s="668"/>
      <c r="AB160" s="668"/>
      <c r="AC160" s="668"/>
    </row>
    <row r="161" spans="1:68" x14ac:dyDescent="0.2">
      <c r="A161" s="680"/>
      <c r="B161" s="680"/>
      <c r="C161" s="680"/>
      <c r="D161" s="680"/>
      <c r="E161" s="680"/>
      <c r="F161" s="680"/>
      <c r="G161" s="680"/>
      <c r="H161" s="680"/>
      <c r="I161" s="680"/>
      <c r="J161" s="680"/>
      <c r="K161" s="680"/>
      <c r="L161" s="680"/>
      <c r="M161" s="680"/>
      <c r="N161" s="680"/>
      <c r="O161" s="681"/>
      <c r="P161" s="685" t="s">
        <v>80</v>
      </c>
      <c r="Q161" s="686"/>
      <c r="R161" s="686"/>
      <c r="S161" s="686"/>
      <c r="T161" s="686"/>
      <c r="U161" s="686"/>
      <c r="V161" s="687"/>
      <c r="W161" s="37" t="s">
        <v>69</v>
      </c>
      <c r="X161" s="667">
        <f>IFERROR(SUM(X156:X159),"0")</f>
        <v>0</v>
      </c>
      <c r="Y161" s="667">
        <f>IFERROR(SUM(Y156:Y159),"0")</f>
        <v>0</v>
      </c>
      <c r="Z161" s="37"/>
      <c r="AA161" s="668"/>
      <c r="AB161" s="668"/>
      <c r="AC161" s="668"/>
    </row>
    <row r="162" spans="1:68" ht="14.25" customHeight="1" x14ac:dyDescent="0.25">
      <c r="A162" s="682" t="s">
        <v>64</v>
      </c>
      <c r="B162" s="680"/>
      <c r="C162" s="680"/>
      <c r="D162" s="680"/>
      <c r="E162" s="680"/>
      <c r="F162" s="680"/>
      <c r="G162" s="680"/>
      <c r="H162" s="680"/>
      <c r="I162" s="680"/>
      <c r="J162" s="680"/>
      <c r="K162" s="680"/>
      <c r="L162" s="680"/>
      <c r="M162" s="680"/>
      <c r="N162" s="680"/>
      <c r="O162" s="680"/>
      <c r="P162" s="680"/>
      <c r="Q162" s="680"/>
      <c r="R162" s="680"/>
      <c r="S162" s="680"/>
      <c r="T162" s="680"/>
      <c r="U162" s="680"/>
      <c r="V162" s="680"/>
      <c r="W162" s="680"/>
      <c r="X162" s="680"/>
      <c r="Y162" s="680"/>
      <c r="Z162" s="680"/>
      <c r="AA162" s="661"/>
      <c r="AB162" s="661"/>
      <c r="AC162" s="661"/>
    </row>
    <row r="163" spans="1:68" ht="16.5" customHeight="1" x14ac:dyDescent="0.25">
      <c r="A163" s="54" t="s">
        <v>280</v>
      </c>
      <c r="B163" s="54" t="s">
        <v>281</v>
      </c>
      <c r="C163" s="31">
        <v>4301051653</v>
      </c>
      <c r="D163" s="669">
        <v>4607091386264</v>
      </c>
      <c r="E163" s="670"/>
      <c r="F163" s="664">
        <v>0.5</v>
      </c>
      <c r="G163" s="32">
        <v>6</v>
      </c>
      <c r="H163" s="664">
        <v>3</v>
      </c>
      <c r="I163" s="664">
        <v>3.258</v>
      </c>
      <c r="J163" s="32">
        <v>182</v>
      </c>
      <c r="K163" s="32" t="s">
        <v>67</v>
      </c>
      <c r="L163" s="32"/>
      <c r="M163" s="33" t="s">
        <v>100</v>
      </c>
      <c r="N163" s="33"/>
      <c r="O163" s="32">
        <v>31</v>
      </c>
      <c r="P163" s="85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3" s="672"/>
      <c r="R163" s="672"/>
      <c r="S163" s="672"/>
      <c r="T163" s="673"/>
      <c r="U163" s="34"/>
      <c r="V163" s="34"/>
      <c r="W163" s="35" t="s">
        <v>69</v>
      </c>
      <c r="X163" s="665">
        <v>0</v>
      </c>
      <c r="Y163" s="666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282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customHeight="1" x14ac:dyDescent="0.25">
      <c r="A164" s="54" t="s">
        <v>283</v>
      </c>
      <c r="B164" s="54" t="s">
        <v>284</v>
      </c>
      <c r="C164" s="31">
        <v>4301051313</v>
      </c>
      <c r="D164" s="669">
        <v>4607091385427</v>
      </c>
      <c r="E164" s="670"/>
      <c r="F164" s="664">
        <v>0.5</v>
      </c>
      <c r="G164" s="32">
        <v>6</v>
      </c>
      <c r="H164" s="664">
        <v>3</v>
      </c>
      <c r="I164" s="664">
        <v>3.2519999999999998</v>
      </c>
      <c r="J164" s="32">
        <v>182</v>
      </c>
      <c r="K164" s="32" t="s">
        <v>67</v>
      </c>
      <c r="L164" s="32"/>
      <c r="M164" s="33" t="s">
        <v>68</v>
      </c>
      <c r="N164" s="33"/>
      <c r="O164" s="32">
        <v>40</v>
      </c>
      <c r="P164" s="950" t="str">
        <f>HYPERLINK("https://abi.ru/products/Охлажденные/Вязанка/Вязанка/Сосиски/P003030/","Сосиски Рубленые Вязанка Фикс.вес 0,5 п/а мгс Вязанка")</f>
        <v>Сосиски Рубленые Вязанка Фикс.вес 0,5 п/а мгс Вязанка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285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9"/>
      <c r="B165" s="680"/>
      <c r="C165" s="680"/>
      <c r="D165" s="680"/>
      <c r="E165" s="680"/>
      <c r="F165" s="680"/>
      <c r="G165" s="680"/>
      <c r="H165" s="680"/>
      <c r="I165" s="680"/>
      <c r="J165" s="680"/>
      <c r="K165" s="680"/>
      <c r="L165" s="680"/>
      <c r="M165" s="680"/>
      <c r="N165" s="680"/>
      <c r="O165" s="681"/>
      <c r="P165" s="685" t="s">
        <v>80</v>
      </c>
      <c r="Q165" s="686"/>
      <c r="R165" s="686"/>
      <c r="S165" s="686"/>
      <c r="T165" s="686"/>
      <c r="U165" s="686"/>
      <c r="V165" s="687"/>
      <c r="W165" s="37" t="s">
        <v>81</v>
      </c>
      <c r="X165" s="667">
        <f>IFERROR(X163/H163,"0")+IFERROR(X164/H164,"0")</f>
        <v>0</v>
      </c>
      <c r="Y165" s="667">
        <f>IFERROR(Y163/H163,"0")+IFERROR(Y164/H164,"0")</f>
        <v>0</v>
      </c>
      <c r="Z165" s="667">
        <f>IFERROR(IF(Z163="",0,Z163),"0")+IFERROR(IF(Z164="",0,Z164),"0")</f>
        <v>0</v>
      </c>
      <c r="AA165" s="668"/>
      <c r="AB165" s="668"/>
      <c r="AC165" s="668"/>
    </row>
    <row r="166" spans="1:68" x14ac:dyDescent="0.2">
      <c r="A166" s="680"/>
      <c r="B166" s="680"/>
      <c r="C166" s="680"/>
      <c r="D166" s="680"/>
      <c r="E166" s="680"/>
      <c r="F166" s="680"/>
      <c r="G166" s="680"/>
      <c r="H166" s="680"/>
      <c r="I166" s="680"/>
      <c r="J166" s="680"/>
      <c r="K166" s="680"/>
      <c r="L166" s="680"/>
      <c r="M166" s="680"/>
      <c r="N166" s="680"/>
      <c r="O166" s="681"/>
      <c r="P166" s="685" t="s">
        <v>80</v>
      </c>
      <c r="Q166" s="686"/>
      <c r="R166" s="686"/>
      <c r="S166" s="686"/>
      <c r="T166" s="686"/>
      <c r="U166" s="686"/>
      <c r="V166" s="687"/>
      <c r="W166" s="37" t="s">
        <v>69</v>
      </c>
      <c r="X166" s="667">
        <f>IFERROR(SUM(X163:X164),"0")</f>
        <v>0</v>
      </c>
      <c r="Y166" s="667">
        <f>IFERROR(SUM(Y163:Y164),"0")</f>
        <v>0</v>
      </c>
      <c r="Z166" s="37"/>
      <c r="AA166" s="668"/>
      <c r="AB166" s="668"/>
      <c r="AC166" s="668"/>
    </row>
    <row r="167" spans="1:68" ht="27.75" customHeight="1" x14ac:dyDescent="0.2">
      <c r="A167" s="800" t="s">
        <v>286</v>
      </c>
      <c r="B167" s="801"/>
      <c r="C167" s="801"/>
      <c r="D167" s="801"/>
      <c r="E167" s="801"/>
      <c r="F167" s="801"/>
      <c r="G167" s="801"/>
      <c r="H167" s="801"/>
      <c r="I167" s="801"/>
      <c r="J167" s="801"/>
      <c r="K167" s="801"/>
      <c r="L167" s="801"/>
      <c r="M167" s="801"/>
      <c r="N167" s="801"/>
      <c r="O167" s="801"/>
      <c r="P167" s="801"/>
      <c r="Q167" s="801"/>
      <c r="R167" s="801"/>
      <c r="S167" s="801"/>
      <c r="T167" s="801"/>
      <c r="U167" s="801"/>
      <c r="V167" s="801"/>
      <c r="W167" s="801"/>
      <c r="X167" s="801"/>
      <c r="Y167" s="801"/>
      <c r="Z167" s="801"/>
      <c r="AA167" s="48"/>
      <c r="AB167" s="48"/>
      <c r="AC167" s="48"/>
    </row>
    <row r="168" spans="1:68" ht="16.5" customHeight="1" x14ac:dyDescent="0.25">
      <c r="A168" s="716" t="s">
        <v>287</v>
      </c>
      <c r="B168" s="680"/>
      <c r="C168" s="680"/>
      <c r="D168" s="680"/>
      <c r="E168" s="680"/>
      <c r="F168" s="680"/>
      <c r="G168" s="680"/>
      <c r="H168" s="680"/>
      <c r="I168" s="680"/>
      <c r="J168" s="680"/>
      <c r="K168" s="680"/>
      <c r="L168" s="680"/>
      <c r="M168" s="680"/>
      <c r="N168" s="680"/>
      <c r="O168" s="680"/>
      <c r="P168" s="680"/>
      <c r="Q168" s="680"/>
      <c r="R168" s="680"/>
      <c r="S168" s="680"/>
      <c r="T168" s="680"/>
      <c r="U168" s="680"/>
      <c r="V168" s="680"/>
      <c r="W168" s="680"/>
      <c r="X168" s="680"/>
      <c r="Y168" s="680"/>
      <c r="Z168" s="680"/>
      <c r="AA168" s="660"/>
      <c r="AB168" s="660"/>
      <c r="AC168" s="660"/>
    </row>
    <row r="169" spans="1:68" ht="14.25" customHeight="1" x14ac:dyDescent="0.25">
      <c r="A169" s="682" t="s">
        <v>133</v>
      </c>
      <c r="B169" s="680"/>
      <c r="C169" s="680"/>
      <c r="D169" s="680"/>
      <c r="E169" s="680"/>
      <c r="F169" s="680"/>
      <c r="G169" s="680"/>
      <c r="H169" s="680"/>
      <c r="I169" s="680"/>
      <c r="J169" s="680"/>
      <c r="K169" s="680"/>
      <c r="L169" s="680"/>
      <c r="M169" s="680"/>
      <c r="N169" s="680"/>
      <c r="O169" s="680"/>
      <c r="P169" s="680"/>
      <c r="Q169" s="680"/>
      <c r="R169" s="680"/>
      <c r="S169" s="680"/>
      <c r="T169" s="680"/>
      <c r="U169" s="680"/>
      <c r="V169" s="680"/>
      <c r="W169" s="680"/>
      <c r="X169" s="680"/>
      <c r="Y169" s="680"/>
      <c r="Z169" s="680"/>
      <c r="AA169" s="661"/>
      <c r="AB169" s="661"/>
      <c r="AC169" s="661"/>
    </row>
    <row r="170" spans="1:68" ht="27" customHeight="1" x14ac:dyDescent="0.25">
      <c r="A170" s="54" t="s">
        <v>288</v>
      </c>
      <c r="B170" s="54" t="s">
        <v>289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147</v>
      </c>
      <c r="L170" s="32"/>
      <c r="M170" s="33" t="s">
        <v>68</v>
      </c>
      <c r="N170" s="33"/>
      <c r="O170" s="32">
        <v>40</v>
      </c>
      <c r="P170" s="7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290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9"/>
      <c r="B171" s="680"/>
      <c r="C171" s="680"/>
      <c r="D171" s="680"/>
      <c r="E171" s="680"/>
      <c r="F171" s="680"/>
      <c r="G171" s="680"/>
      <c r="H171" s="680"/>
      <c r="I171" s="680"/>
      <c r="J171" s="680"/>
      <c r="K171" s="680"/>
      <c r="L171" s="680"/>
      <c r="M171" s="680"/>
      <c r="N171" s="680"/>
      <c r="O171" s="681"/>
      <c r="P171" s="685" t="s">
        <v>80</v>
      </c>
      <c r="Q171" s="686"/>
      <c r="R171" s="686"/>
      <c r="S171" s="686"/>
      <c r="T171" s="686"/>
      <c r="U171" s="686"/>
      <c r="V171" s="687"/>
      <c r="W171" s="37" t="s">
        <v>81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x14ac:dyDescent="0.2">
      <c r="A172" s="680"/>
      <c r="B172" s="680"/>
      <c r="C172" s="680"/>
      <c r="D172" s="680"/>
      <c r="E172" s="680"/>
      <c r="F172" s="680"/>
      <c r="G172" s="680"/>
      <c r="H172" s="680"/>
      <c r="I172" s="680"/>
      <c r="J172" s="680"/>
      <c r="K172" s="680"/>
      <c r="L172" s="680"/>
      <c r="M172" s="680"/>
      <c r="N172" s="680"/>
      <c r="O172" s="681"/>
      <c r="P172" s="685" t="s">
        <v>80</v>
      </c>
      <c r="Q172" s="686"/>
      <c r="R172" s="686"/>
      <c r="S172" s="686"/>
      <c r="T172" s="686"/>
      <c r="U172" s="686"/>
      <c r="V172" s="687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customHeight="1" x14ac:dyDescent="0.25">
      <c r="A173" s="682" t="s">
        <v>144</v>
      </c>
      <c r="B173" s="680"/>
      <c r="C173" s="680"/>
      <c r="D173" s="680"/>
      <c r="E173" s="680"/>
      <c r="F173" s="680"/>
      <c r="G173" s="680"/>
      <c r="H173" s="680"/>
      <c r="I173" s="680"/>
      <c r="J173" s="680"/>
      <c r="K173" s="680"/>
      <c r="L173" s="680"/>
      <c r="M173" s="680"/>
      <c r="N173" s="680"/>
      <c r="O173" s="680"/>
      <c r="P173" s="680"/>
      <c r="Q173" s="680"/>
      <c r="R173" s="680"/>
      <c r="S173" s="680"/>
      <c r="T173" s="680"/>
      <c r="U173" s="680"/>
      <c r="V173" s="680"/>
      <c r="W173" s="680"/>
      <c r="X173" s="680"/>
      <c r="Y173" s="680"/>
      <c r="Z173" s="680"/>
      <c r="AA173" s="661"/>
      <c r="AB173" s="661"/>
      <c r="AC173" s="661"/>
    </row>
    <row r="174" spans="1:68" ht="27" customHeight="1" x14ac:dyDescent="0.25">
      <c r="A174" s="54" t="s">
        <v>291</v>
      </c>
      <c r="B174" s="54" t="s">
        <v>292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98</v>
      </c>
      <c r="L174" s="32"/>
      <c r="M174" s="33" t="s">
        <v>68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0</v>
      </c>
      <c r="Y174" s="666">
        <f t="shared" ref="Y174:Y182" si="21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293</v>
      </c>
      <c r="AG174" s="64"/>
      <c r="AJ174" s="68"/>
      <c r="AK174" s="68">
        <v>0</v>
      </c>
      <c r="BB174" s="224" t="s">
        <v>1</v>
      </c>
      <c r="BM174" s="64">
        <f t="shared" ref="BM174:BM182" si="22">IFERROR(X174*I174/H174,"0")</f>
        <v>0</v>
      </c>
      <c r="BN174" s="64">
        <f t="shared" ref="BN174:BN182" si="23">IFERROR(Y174*I174/H174,"0")</f>
        <v>0</v>
      </c>
      <c r="BO174" s="64">
        <f t="shared" ref="BO174:BO182" si="24">IFERROR(1/J174*(X174/H174),"0")</f>
        <v>0</v>
      </c>
      <c r="BP174" s="64">
        <f t="shared" ref="BP174:BP182" si="25">IFERROR(1/J174*(Y174/H174),"0")</f>
        <v>0</v>
      </c>
    </row>
    <row r="175" spans="1:68" ht="27" customHeight="1" x14ac:dyDescent="0.25">
      <c r="A175" s="54" t="s">
        <v>294</v>
      </c>
      <c r="B175" s="54" t="s">
        <v>295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98</v>
      </c>
      <c r="L175" s="32"/>
      <c r="M175" s="33" t="s">
        <v>68</v>
      </c>
      <c r="N175" s="33"/>
      <c r="O175" s="32">
        <v>40</v>
      </c>
      <c r="P175" s="9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0</v>
      </c>
      <c r="Y175" s="666">
        <f t="shared" si="21"/>
        <v>0</v>
      </c>
      <c r="Z175" s="36" t="str">
        <f>IFERROR(IF(Y175=0,"",ROUNDUP(Y175/H175,0)*0.00902),"")</f>
        <v/>
      </c>
      <c r="AA175" s="56"/>
      <c r="AB175" s="57"/>
      <c r="AC175" s="225" t="s">
        <v>296</v>
      </c>
      <c r="AG175" s="64"/>
      <c r="AJ175" s="68"/>
      <c r="AK175" s="68">
        <v>0</v>
      </c>
      <c r="BB175" s="226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98</v>
      </c>
      <c r="L176" s="32"/>
      <c r="M176" s="33" t="s">
        <v>68</v>
      </c>
      <c r="N176" s="33"/>
      <c r="O176" s="32">
        <v>40</v>
      </c>
      <c r="P176" s="96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0</v>
      </c>
      <c r="Y176" s="666">
        <f t="shared" si="21"/>
        <v>0</v>
      </c>
      <c r="Z176" s="36" t="str">
        <f>IFERROR(IF(Y176=0,"",ROUNDUP(Y176/H176,0)*0.00902),"")</f>
        <v/>
      </c>
      <c r="AA176" s="56"/>
      <c r="AB176" s="57"/>
      <c r="AC176" s="227" t="s">
        <v>299</v>
      </c>
      <c r="AG176" s="64"/>
      <c r="AJ176" s="68"/>
      <c r="AK176" s="68">
        <v>0</v>
      </c>
      <c r="BB176" s="228" t="s">
        <v>1</v>
      </c>
      <c r="BM176" s="64">
        <f t="shared" si="22"/>
        <v>0</v>
      </c>
      <c r="BN176" s="64">
        <f t="shared" si="23"/>
        <v>0</v>
      </c>
      <c r="BO176" s="64">
        <f t="shared" si="24"/>
        <v>0</v>
      </c>
      <c r="BP176" s="64">
        <f t="shared" si="25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147</v>
      </c>
      <c r="L177" s="32"/>
      <c r="M177" s="33" t="s">
        <v>68</v>
      </c>
      <c r="N177" s="33"/>
      <c r="O177" s="32">
        <v>40</v>
      </c>
      <c r="P177" s="94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0</v>
      </c>
      <c r="Y177" s="666">
        <f t="shared" si="21"/>
        <v>0</v>
      </c>
      <c r="Z177" s="36" t="str">
        <f>IFERROR(IF(Y177=0,"",ROUNDUP(Y177/H177,0)*0.00502),"")</f>
        <v/>
      </c>
      <c r="AA177" s="56"/>
      <c r="AB177" s="57"/>
      <c r="AC177" s="229" t="s">
        <v>293</v>
      </c>
      <c r="AG177" s="64"/>
      <c r="AJ177" s="68"/>
      <c r="AK177" s="68">
        <v>0</v>
      </c>
      <c r="BB177" s="230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customHeight="1" x14ac:dyDescent="0.25">
      <c r="A178" s="54" t="s">
        <v>302</v>
      </c>
      <c r="B178" s="54" t="s">
        <v>303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147</v>
      </c>
      <c r="L178" s="32"/>
      <c r="M178" s="33" t="s">
        <v>68</v>
      </c>
      <c r="N178" s="33"/>
      <c r="O178" s="32">
        <v>40</v>
      </c>
      <c r="P178" s="97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0</v>
      </c>
      <c r="Y178" s="666">
        <f t="shared" si="21"/>
        <v>0</v>
      </c>
      <c r="Z178" s="36" t="str">
        <f>IFERROR(IF(Y178=0,"",ROUNDUP(Y178/H178,0)*0.00502),"")</f>
        <v/>
      </c>
      <c r="AA178" s="56"/>
      <c r="AB178" s="57"/>
      <c r="AC178" s="231" t="s">
        <v>296</v>
      </c>
      <c r="AG178" s="64"/>
      <c r="AJ178" s="68"/>
      <c r="AK178" s="68">
        <v>0</v>
      </c>
      <c r="BB178" s="232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customHeight="1" x14ac:dyDescent="0.25">
      <c r="A179" s="54" t="s">
        <v>304</v>
      </c>
      <c r="B179" s="54" t="s">
        <v>305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147</v>
      </c>
      <c r="L179" s="32"/>
      <c r="M179" s="33" t="s">
        <v>68</v>
      </c>
      <c r="N179" s="33"/>
      <c r="O179" s="32">
        <v>40</v>
      </c>
      <c r="P179" s="882" t="s">
        <v>306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1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2"/>
        <v>0</v>
      </c>
      <c r="BN179" s="64">
        <f t="shared" si="23"/>
        <v>0</v>
      </c>
      <c r="BO179" s="64">
        <f t="shared" si="24"/>
        <v>0</v>
      </c>
      <c r="BP179" s="64">
        <f t="shared" si="25"/>
        <v>0</v>
      </c>
    </row>
    <row r="180" spans="1:68" ht="37.5" customHeight="1" x14ac:dyDescent="0.25">
      <c r="A180" s="54" t="s">
        <v>308</v>
      </c>
      <c r="B180" s="54" t="s">
        <v>309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147</v>
      </c>
      <c r="L180" s="32"/>
      <c r="M180" s="33" t="s">
        <v>68</v>
      </c>
      <c r="N180" s="33"/>
      <c r="O180" s="32">
        <v>40</v>
      </c>
      <c r="P180" s="80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0</v>
      </c>
      <c r="Y180" s="666">
        <f t="shared" si="21"/>
        <v>0</v>
      </c>
      <c r="Z180" s="36" t="str">
        <f>IFERROR(IF(Y180=0,"",ROUNDUP(Y180/H180,0)*0.00502),"")</f>
        <v/>
      </c>
      <c r="AA180" s="56"/>
      <c r="AB180" s="57"/>
      <c r="AC180" s="235" t="s">
        <v>299</v>
      </c>
      <c r="AG180" s="64"/>
      <c r="AJ180" s="68"/>
      <c r="AK180" s="68">
        <v>0</v>
      </c>
      <c r="BB180" s="236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27" customHeight="1" x14ac:dyDescent="0.25">
      <c r="A181" s="54" t="s">
        <v>310</v>
      </c>
      <c r="B181" s="54" t="s">
        <v>311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0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1"/>
        <v>0</v>
      </c>
      <c r="Z181" s="36" t="str">
        <f>IFERROR(IF(Y181=0,"",ROUNDUP(Y181/H181,0)*0.00651),"")</f>
        <v/>
      </c>
      <c r="AA181" s="56"/>
      <c r="AB181" s="57"/>
      <c r="AC181" s="237" t="s">
        <v>299</v>
      </c>
      <c r="AG181" s="64"/>
      <c r="AJ181" s="68"/>
      <c r="AK181" s="68">
        <v>0</v>
      </c>
      <c r="BB181" s="238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customHeight="1" x14ac:dyDescent="0.25">
      <c r="A182" s="54" t="s">
        <v>312</v>
      </c>
      <c r="B182" s="54" t="s">
        <v>313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147</v>
      </c>
      <c r="L182" s="32"/>
      <c r="M182" s="33" t="s">
        <v>68</v>
      </c>
      <c r="N182" s="33"/>
      <c r="O182" s="32">
        <v>40</v>
      </c>
      <c r="P182" s="81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1"/>
        <v>0</v>
      </c>
      <c r="Z182" s="36" t="str">
        <f>IFERROR(IF(Y182=0,"",ROUNDUP(Y182/H182,0)*0.00502),"")</f>
        <v/>
      </c>
      <c r="AA182" s="56"/>
      <c r="AB182" s="57"/>
      <c r="AC182" s="239" t="s">
        <v>314</v>
      </c>
      <c r="AG182" s="64"/>
      <c r="AJ182" s="68"/>
      <c r="AK182" s="68">
        <v>0</v>
      </c>
      <c r="BB182" s="240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x14ac:dyDescent="0.2">
      <c r="A183" s="679"/>
      <c r="B183" s="680"/>
      <c r="C183" s="680"/>
      <c r="D183" s="680"/>
      <c r="E183" s="680"/>
      <c r="F183" s="680"/>
      <c r="G183" s="680"/>
      <c r="H183" s="680"/>
      <c r="I183" s="680"/>
      <c r="J183" s="680"/>
      <c r="K183" s="680"/>
      <c r="L183" s="680"/>
      <c r="M183" s="680"/>
      <c r="N183" s="680"/>
      <c r="O183" s="681"/>
      <c r="P183" s="685" t="s">
        <v>80</v>
      </c>
      <c r="Q183" s="686"/>
      <c r="R183" s="686"/>
      <c r="S183" s="686"/>
      <c r="T183" s="686"/>
      <c r="U183" s="686"/>
      <c r="V183" s="687"/>
      <c r="W183" s="37" t="s">
        <v>81</v>
      </c>
      <c r="X183" s="667">
        <f>IFERROR(X174/H174,"0")+IFERROR(X175/H175,"0")+IFERROR(X176/H176,"0")+IFERROR(X177/H177,"0")+IFERROR(X178/H178,"0")+IFERROR(X179/H179,"0")+IFERROR(X180/H180,"0")+IFERROR(X181/H181,"0")+IFERROR(X182/H182,"0")</f>
        <v>0</v>
      </c>
      <c r="Y183" s="667">
        <f>IFERROR(Y174/H174,"0")+IFERROR(Y175/H175,"0")+IFERROR(Y176/H176,"0")+IFERROR(Y177/H177,"0")+IFERROR(Y178/H178,"0")+IFERROR(Y179/H179,"0")+IFERROR(Y180/H180,"0")+IFERROR(Y181/H181,"0")+IFERROR(Y182/H182,"0")</f>
        <v>0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8"/>
      <c r="AB183" s="668"/>
      <c r="AC183" s="668"/>
    </row>
    <row r="184" spans="1:68" x14ac:dyDescent="0.2">
      <c r="A184" s="680"/>
      <c r="B184" s="680"/>
      <c r="C184" s="680"/>
      <c r="D184" s="680"/>
      <c r="E184" s="680"/>
      <c r="F184" s="680"/>
      <c r="G184" s="680"/>
      <c r="H184" s="680"/>
      <c r="I184" s="680"/>
      <c r="J184" s="680"/>
      <c r="K184" s="680"/>
      <c r="L184" s="680"/>
      <c r="M184" s="680"/>
      <c r="N184" s="680"/>
      <c r="O184" s="681"/>
      <c r="P184" s="685" t="s">
        <v>80</v>
      </c>
      <c r="Q184" s="686"/>
      <c r="R184" s="686"/>
      <c r="S184" s="686"/>
      <c r="T184" s="686"/>
      <c r="U184" s="686"/>
      <c r="V184" s="687"/>
      <c r="W184" s="37" t="s">
        <v>69</v>
      </c>
      <c r="X184" s="667">
        <f>IFERROR(SUM(X174:X182),"0")</f>
        <v>0</v>
      </c>
      <c r="Y184" s="667">
        <f>IFERROR(SUM(Y174:Y182),"0")</f>
        <v>0</v>
      </c>
      <c r="Z184" s="37"/>
      <c r="AA184" s="668"/>
      <c r="AB184" s="668"/>
      <c r="AC184" s="668"/>
    </row>
    <row r="185" spans="1:68" ht="14.25" customHeight="1" x14ac:dyDescent="0.25">
      <c r="A185" s="682" t="s">
        <v>82</v>
      </c>
      <c r="B185" s="680"/>
      <c r="C185" s="680"/>
      <c r="D185" s="680"/>
      <c r="E185" s="680"/>
      <c r="F185" s="680"/>
      <c r="G185" s="680"/>
      <c r="H185" s="680"/>
      <c r="I185" s="680"/>
      <c r="J185" s="680"/>
      <c r="K185" s="680"/>
      <c r="L185" s="680"/>
      <c r="M185" s="680"/>
      <c r="N185" s="680"/>
      <c r="O185" s="680"/>
      <c r="P185" s="680"/>
      <c r="Q185" s="680"/>
      <c r="R185" s="680"/>
      <c r="S185" s="680"/>
      <c r="T185" s="680"/>
      <c r="U185" s="680"/>
      <c r="V185" s="680"/>
      <c r="W185" s="680"/>
      <c r="X185" s="680"/>
      <c r="Y185" s="680"/>
      <c r="Z185" s="680"/>
      <c r="AA185" s="661"/>
      <c r="AB185" s="661"/>
      <c r="AC185" s="661"/>
    </row>
    <row r="186" spans="1:68" ht="27" customHeight="1" x14ac:dyDescent="0.25">
      <c r="A186" s="54" t="s">
        <v>315</v>
      </c>
      <c r="B186" s="54" t="s">
        <v>316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317</v>
      </c>
      <c r="L186" s="32"/>
      <c r="M186" s="33" t="s">
        <v>318</v>
      </c>
      <c r="N186" s="33"/>
      <c r="O186" s="32">
        <v>60</v>
      </c>
      <c r="P186" s="1002" t="s">
        <v>319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320</v>
      </c>
      <c r="AC186" s="241" t="s">
        <v>321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9"/>
      <c r="B187" s="680"/>
      <c r="C187" s="680"/>
      <c r="D187" s="680"/>
      <c r="E187" s="680"/>
      <c r="F187" s="680"/>
      <c r="G187" s="680"/>
      <c r="H187" s="680"/>
      <c r="I187" s="680"/>
      <c r="J187" s="680"/>
      <c r="K187" s="680"/>
      <c r="L187" s="680"/>
      <c r="M187" s="680"/>
      <c r="N187" s="680"/>
      <c r="O187" s="681"/>
      <c r="P187" s="685" t="s">
        <v>80</v>
      </c>
      <c r="Q187" s="686"/>
      <c r="R187" s="686"/>
      <c r="S187" s="686"/>
      <c r="T187" s="686"/>
      <c r="U187" s="686"/>
      <c r="V187" s="687"/>
      <c r="W187" s="37" t="s">
        <v>81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x14ac:dyDescent="0.2">
      <c r="A188" s="680"/>
      <c r="B188" s="680"/>
      <c r="C188" s="680"/>
      <c r="D188" s="680"/>
      <c r="E188" s="680"/>
      <c r="F188" s="680"/>
      <c r="G188" s="680"/>
      <c r="H188" s="680"/>
      <c r="I188" s="680"/>
      <c r="J188" s="680"/>
      <c r="K188" s="680"/>
      <c r="L188" s="680"/>
      <c r="M188" s="680"/>
      <c r="N188" s="680"/>
      <c r="O188" s="681"/>
      <c r="P188" s="685" t="s">
        <v>80</v>
      </c>
      <c r="Q188" s="686"/>
      <c r="R188" s="686"/>
      <c r="S188" s="686"/>
      <c r="T188" s="686"/>
      <c r="U188" s="686"/>
      <c r="V188" s="687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customHeight="1" x14ac:dyDescent="0.25">
      <c r="A189" s="716" t="s">
        <v>322</v>
      </c>
      <c r="B189" s="680"/>
      <c r="C189" s="680"/>
      <c r="D189" s="680"/>
      <c r="E189" s="680"/>
      <c r="F189" s="680"/>
      <c r="G189" s="680"/>
      <c r="H189" s="680"/>
      <c r="I189" s="680"/>
      <c r="J189" s="680"/>
      <c r="K189" s="680"/>
      <c r="L189" s="680"/>
      <c r="M189" s="680"/>
      <c r="N189" s="680"/>
      <c r="O189" s="680"/>
      <c r="P189" s="680"/>
      <c r="Q189" s="680"/>
      <c r="R189" s="680"/>
      <c r="S189" s="680"/>
      <c r="T189" s="680"/>
      <c r="U189" s="680"/>
      <c r="V189" s="680"/>
      <c r="W189" s="680"/>
      <c r="X189" s="680"/>
      <c r="Y189" s="680"/>
      <c r="Z189" s="680"/>
      <c r="AA189" s="660"/>
      <c r="AB189" s="660"/>
      <c r="AC189" s="660"/>
    </row>
    <row r="190" spans="1:68" ht="14.25" customHeight="1" x14ac:dyDescent="0.25">
      <c r="A190" s="682" t="s">
        <v>90</v>
      </c>
      <c r="B190" s="680"/>
      <c r="C190" s="680"/>
      <c r="D190" s="680"/>
      <c r="E190" s="680"/>
      <c r="F190" s="680"/>
      <c r="G190" s="680"/>
      <c r="H190" s="680"/>
      <c r="I190" s="680"/>
      <c r="J190" s="680"/>
      <c r="K190" s="680"/>
      <c r="L190" s="680"/>
      <c r="M190" s="680"/>
      <c r="N190" s="680"/>
      <c r="O190" s="680"/>
      <c r="P190" s="680"/>
      <c r="Q190" s="680"/>
      <c r="R190" s="680"/>
      <c r="S190" s="680"/>
      <c r="T190" s="680"/>
      <c r="U190" s="680"/>
      <c r="V190" s="680"/>
      <c r="W190" s="680"/>
      <c r="X190" s="680"/>
      <c r="Y190" s="680"/>
      <c r="Z190" s="680"/>
      <c r="AA190" s="661"/>
      <c r="AB190" s="661"/>
      <c r="AC190" s="661"/>
    </row>
    <row r="191" spans="1:68" ht="16.5" customHeight="1" x14ac:dyDescent="0.25">
      <c r="A191" s="54" t="s">
        <v>323</v>
      </c>
      <c r="B191" s="54" t="s">
        <v>324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93</v>
      </c>
      <c r="L191" s="32"/>
      <c r="M191" s="33" t="s">
        <v>94</v>
      </c>
      <c r="N191" s="33"/>
      <c r="O191" s="32">
        <v>55</v>
      </c>
      <c r="P191" s="99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325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326</v>
      </c>
      <c r="B192" s="54" t="s">
        <v>327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94</v>
      </c>
      <c r="N192" s="33"/>
      <c r="O192" s="32">
        <v>55</v>
      </c>
      <c r="P192" s="77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9"/>
      <c r="B193" s="680"/>
      <c r="C193" s="680"/>
      <c r="D193" s="680"/>
      <c r="E193" s="680"/>
      <c r="F193" s="680"/>
      <c r="G193" s="680"/>
      <c r="H193" s="680"/>
      <c r="I193" s="680"/>
      <c r="J193" s="680"/>
      <c r="K193" s="680"/>
      <c r="L193" s="680"/>
      <c r="M193" s="680"/>
      <c r="N193" s="680"/>
      <c r="O193" s="681"/>
      <c r="P193" s="685" t="s">
        <v>80</v>
      </c>
      <c r="Q193" s="686"/>
      <c r="R193" s="686"/>
      <c r="S193" s="686"/>
      <c r="T193" s="686"/>
      <c r="U193" s="686"/>
      <c r="V193" s="687"/>
      <c r="W193" s="37" t="s">
        <v>81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x14ac:dyDescent="0.2">
      <c r="A194" s="680"/>
      <c r="B194" s="680"/>
      <c r="C194" s="680"/>
      <c r="D194" s="680"/>
      <c r="E194" s="680"/>
      <c r="F194" s="680"/>
      <c r="G194" s="680"/>
      <c r="H194" s="680"/>
      <c r="I194" s="680"/>
      <c r="J194" s="680"/>
      <c r="K194" s="680"/>
      <c r="L194" s="680"/>
      <c r="M194" s="680"/>
      <c r="N194" s="680"/>
      <c r="O194" s="681"/>
      <c r="P194" s="685" t="s">
        <v>80</v>
      </c>
      <c r="Q194" s="686"/>
      <c r="R194" s="686"/>
      <c r="S194" s="686"/>
      <c r="T194" s="686"/>
      <c r="U194" s="686"/>
      <c r="V194" s="687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customHeight="1" x14ac:dyDescent="0.25">
      <c r="A195" s="682" t="s">
        <v>133</v>
      </c>
      <c r="B195" s="680"/>
      <c r="C195" s="680"/>
      <c r="D195" s="680"/>
      <c r="E195" s="680"/>
      <c r="F195" s="680"/>
      <c r="G195" s="680"/>
      <c r="H195" s="680"/>
      <c r="I195" s="680"/>
      <c r="J195" s="680"/>
      <c r="K195" s="680"/>
      <c r="L195" s="680"/>
      <c r="M195" s="680"/>
      <c r="N195" s="680"/>
      <c r="O195" s="680"/>
      <c r="P195" s="680"/>
      <c r="Q195" s="680"/>
      <c r="R195" s="680"/>
      <c r="S195" s="680"/>
      <c r="T195" s="680"/>
      <c r="U195" s="680"/>
      <c r="V195" s="680"/>
      <c r="W195" s="680"/>
      <c r="X195" s="680"/>
      <c r="Y195" s="680"/>
      <c r="Z195" s="680"/>
      <c r="AA195" s="661"/>
      <c r="AB195" s="661"/>
      <c r="AC195" s="661"/>
    </row>
    <row r="196" spans="1:68" ht="16.5" customHeight="1" x14ac:dyDescent="0.25">
      <c r="A196" s="54" t="s">
        <v>328</v>
      </c>
      <c r="B196" s="54" t="s">
        <v>329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93</v>
      </c>
      <c r="L196" s="32"/>
      <c r="M196" s="33" t="s">
        <v>100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330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331</v>
      </c>
      <c r="B197" s="54" t="s">
        <v>332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94</v>
      </c>
      <c r="N197" s="33"/>
      <c r="O197" s="32">
        <v>50</v>
      </c>
      <c r="P197" s="8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330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9"/>
      <c r="B198" s="680"/>
      <c r="C198" s="680"/>
      <c r="D198" s="680"/>
      <c r="E198" s="680"/>
      <c r="F198" s="680"/>
      <c r="G198" s="680"/>
      <c r="H198" s="680"/>
      <c r="I198" s="680"/>
      <c r="J198" s="680"/>
      <c r="K198" s="680"/>
      <c r="L198" s="680"/>
      <c r="M198" s="680"/>
      <c r="N198" s="680"/>
      <c r="O198" s="681"/>
      <c r="P198" s="685" t="s">
        <v>80</v>
      </c>
      <c r="Q198" s="686"/>
      <c r="R198" s="686"/>
      <c r="S198" s="686"/>
      <c r="T198" s="686"/>
      <c r="U198" s="686"/>
      <c r="V198" s="687"/>
      <c r="W198" s="37" t="s">
        <v>81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x14ac:dyDescent="0.2">
      <c r="A199" s="680"/>
      <c r="B199" s="680"/>
      <c r="C199" s="680"/>
      <c r="D199" s="680"/>
      <c r="E199" s="680"/>
      <c r="F199" s="680"/>
      <c r="G199" s="680"/>
      <c r="H199" s="680"/>
      <c r="I199" s="680"/>
      <c r="J199" s="680"/>
      <c r="K199" s="680"/>
      <c r="L199" s="680"/>
      <c r="M199" s="680"/>
      <c r="N199" s="680"/>
      <c r="O199" s="681"/>
      <c r="P199" s="685" t="s">
        <v>80</v>
      </c>
      <c r="Q199" s="686"/>
      <c r="R199" s="686"/>
      <c r="S199" s="686"/>
      <c r="T199" s="686"/>
      <c r="U199" s="686"/>
      <c r="V199" s="687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customHeight="1" x14ac:dyDescent="0.25">
      <c r="A200" s="682" t="s">
        <v>144</v>
      </c>
      <c r="B200" s="680"/>
      <c r="C200" s="680"/>
      <c r="D200" s="680"/>
      <c r="E200" s="680"/>
      <c r="F200" s="680"/>
      <c r="G200" s="680"/>
      <c r="H200" s="680"/>
      <c r="I200" s="680"/>
      <c r="J200" s="680"/>
      <c r="K200" s="680"/>
      <c r="L200" s="680"/>
      <c r="M200" s="680"/>
      <c r="N200" s="680"/>
      <c r="O200" s="680"/>
      <c r="P200" s="680"/>
      <c r="Q200" s="680"/>
      <c r="R200" s="680"/>
      <c r="S200" s="680"/>
      <c r="T200" s="680"/>
      <c r="U200" s="680"/>
      <c r="V200" s="680"/>
      <c r="W200" s="680"/>
      <c r="X200" s="680"/>
      <c r="Y200" s="680"/>
      <c r="Z200" s="680"/>
      <c r="AA200" s="661"/>
      <c r="AB200" s="661"/>
      <c r="AC200" s="661"/>
    </row>
    <row r="201" spans="1:68" ht="27" customHeight="1" x14ac:dyDescent="0.25">
      <c r="A201" s="54" t="s">
        <v>333</v>
      </c>
      <c r="B201" s="54" t="s">
        <v>334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98</v>
      </c>
      <c r="L201" s="32"/>
      <c r="M201" s="33" t="s">
        <v>68</v>
      </c>
      <c r="N201" s="33"/>
      <c r="O201" s="32">
        <v>40</v>
      </c>
      <c r="P201" s="9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0</v>
      </c>
      <c r="Y201" s="666">
        <f t="shared" ref="Y201:Y208" si="26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335</v>
      </c>
      <c r="AG201" s="64"/>
      <c r="AJ201" s="68"/>
      <c r="AK201" s="68">
        <v>0</v>
      </c>
      <c r="BB201" s="252" t="s">
        <v>1</v>
      </c>
      <c r="BM201" s="64">
        <f t="shared" ref="BM201:BM208" si="27">IFERROR(X201*I201/H201,"0")</f>
        <v>0</v>
      </c>
      <c r="BN201" s="64">
        <f t="shared" ref="BN201:BN208" si="28">IFERROR(Y201*I201/H201,"0")</f>
        <v>0</v>
      </c>
      <c r="BO201" s="64">
        <f t="shared" ref="BO201:BO208" si="29">IFERROR(1/J201*(X201/H201),"0")</f>
        <v>0</v>
      </c>
      <c r="BP201" s="64">
        <f t="shared" ref="BP201:BP208" si="30">IFERROR(1/J201*(Y201/H201),"0")</f>
        <v>0</v>
      </c>
    </row>
    <row r="202" spans="1:68" ht="27" customHeight="1" x14ac:dyDescent="0.25">
      <c r="A202" s="54" t="s">
        <v>336</v>
      </c>
      <c r="B202" s="54" t="s">
        <v>337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98</v>
      </c>
      <c r="L202" s="32"/>
      <c r="M202" s="33" t="s">
        <v>68</v>
      </c>
      <c r="N202" s="33"/>
      <c r="O202" s="32">
        <v>40</v>
      </c>
      <c r="P202" s="105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0</v>
      </c>
      <c r="Y202" s="666">
        <f t="shared" si="26"/>
        <v>0</v>
      </c>
      <c r="Z202" s="36" t="str">
        <f>IFERROR(IF(Y202=0,"",ROUNDUP(Y202/H202,0)*0.00902),"")</f>
        <v/>
      </c>
      <c r="AA202" s="56"/>
      <c r="AB202" s="57"/>
      <c r="AC202" s="253" t="s">
        <v>338</v>
      </c>
      <c r="AG202" s="64"/>
      <c r="AJ202" s="68"/>
      <c r="AK202" s="68">
        <v>0</v>
      </c>
      <c r="BB202" s="254" t="s">
        <v>1</v>
      </c>
      <c r="BM202" s="64">
        <f t="shared" si="27"/>
        <v>0</v>
      </c>
      <c r="BN202" s="64">
        <f t="shared" si="28"/>
        <v>0</v>
      </c>
      <c r="BO202" s="64">
        <f t="shared" si="29"/>
        <v>0</v>
      </c>
      <c r="BP202" s="64">
        <f t="shared" si="30"/>
        <v>0</v>
      </c>
    </row>
    <row r="203" spans="1:68" ht="27" customHeight="1" x14ac:dyDescent="0.25">
      <c r="A203" s="54" t="s">
        <v>339</v>
      </c>
      <c r="B203" s="54" t="s">
        <v>340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98</v>
      </c>
      <c r="L203" s="32"/>
      <c r="M203" s="33" t="s">
        <v>68</v>
      </c>
      <c r="N203" s="33"/>
      <c r="O203" s="32">
        <v>40</v>
      </c>
      <c r="P203" s="85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0</v>
      </c>
      <c r="Y203" s="666">
        <f t="shared" si="26"/>
        <v>0</v>
      </c>
      <c r="Z203" s="36" t="str">
        <f>IFERROR(IF(Y203=0,"",ROUNDUP(Y203/H203,0)*0.00902),"")</f>
        <v/>
      </c>
      <c r="AA203" s="56"/>
      <c r="AB203" s="57"/>
      <c r="AC203" s="255" t="s">
        <v>341</v>
      </c>
      <c r="AG203" s="64"/>
      <c r="AJ203" s="68"/>
      <c r="AK203" s="68">
        <v>0</v>
      </c>
      <c r="BB203" s="256" t="s">
        <v>1</v>
      </c>
      <c r="BM203" s="64">
        <f t="shared" si="27"/>
        <v>0</v>
      </c>
      <c r="BN203" s="64">
        <f t="shared" si="28"/>
        <v>0</v>
      </c>
      <c r="BO203" s="64">
        <f t="shared" si="29"/>
        <v>0</v>
      </c>
      <c r="BP203" s="64">
        <f t="shared" si="30"/>
        <v>0</v>
      </c>
    </row>
    <row r="204" spans="1:68" ht="27" customHeight="1" x14ac:dyDescent="0.25">
      <c r="A204" s="54" t="s">
        <v>342</v>
      </c>
      <c r="B204" s="54" t="s">
        <v>343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98</v>
      </c>
      <c r="L204" s="32"/>
      <c r="M204" s="33" t="s">
        <v>68</v>
      </c>
      <c r="N204" s="33"/>
      <c r="O204" s="32">
        <v>40</v>
      </c>
      <c r="P204" s="88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0</v>
      </c>
      <c r="Y204" s="666">
        <f t="shared" si="26"/>
        <v>0</v>
      </c>
      <c r="Z204" s="36" t="str">
        <f>IFERROR(IF(Y204=0,"",ROUNDUP(Y204/H204,0)*0.00902),"")</f>
        <v/>
      </c>
      <c r="AA204" s="56"/>
      <c r="AB204" s="57"/>
      <c r="AC204" s="257" t="s">
        <v>344</v>
      </c>
      <c r="AG204" s="64"/>
      <c r="AJ204" s="68"/>
      <c r="AK204" s="68">
        <v>0</v>
      </c>
      <c r="BB204" s="258" t="s">
        <v>1</v>
      </c>
      <c r="BM204" s="64">
        <f t="shared" si="27"/>
        <v>0</v>
      </c>
      <c r="BN204" s="64">
        <f t="shared" si="28"/>
        <v>0</v>
      </c>
      <c r="BO204" s="64">
        <f t="shared" si="29"/>
        <v>0</v>
      </c>
      <c r="BP204" s="64">
        <f t="shared" si="30"/>
        <v>0</v>
      </c>
    </row>
    <row r="205" spans="1:68" ht="27" customHeight="1" x14ac:dyDescent="0.25">
      <c r="A205" s="54" t="s">
        <v>345</v>
      </c>
      <c r="B205" s="54" t="s">
        <v>346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147</v>
      </c>
      <c r="L205" s="32"/>
      <c r="M205" s="33" t="s">
        <v>68</v>
      </c>
      <c r="N205" s="33"/>
      <c r="O205" s="32">
        <v>40</v>
      </c>
      <c r="P205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0</v>
      </c>
      <c r="Y205" s="666">
        <f t="shared" si="26"/>
        <v>0</v>
      </c>
      <c r="Z205" s="36" t="str">
        <f>IFERROR(IF(Y205=0,"",ROUNDUP(Y205/H205,0)*0.00502),"")</f>
        <v/>
      </c>
      <c r="AA205" s="56"/>
      <c r="AB205" s="57"/>
      <c r="AC205" s="259" t="s">
        <v>335</v>
      </c>
      <c r="AG205" s="64"/>
      <c r="AJ205" s="68"/>
      <c r="AK205" s="68">
        <v>0</v>
      </c>
      <c r="BB205" s="260" t="s">
        <v>1</v>
      </c>
      <c r="BM205" s="64">
        <f t="shared" si="27"/>
        <v>0</v>
      </c>
      <c r="BN205" s="64">
        <f t="shared" si="28"/>
        <v>0</v>
      </c>
      <c r="BO205" s="64">
        <f t="shared" si="29"/>
        <v>0</v>
      </c>
      <c r="BP205" s="64">
        <f t="shared" si="30"/>
        <v>0</v>
      </c>
    </row>
    <row r="206" spans="1:68" ht="27" customHeight="1" x14ac:dyDescent="0.25">
      <c r="A206" s="54" t="s">
        <v>347</v>
      </c>
      <c r="B206" s="54" t="s">
        <v>348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147</v>
      </c>
      <c r="L206" s="32"/>
      <c r="M206" s="33" t="s">
        <v>68</v>
      </c>
      <c r="N206" s="33"/>
      <c r="O206" s="32">
        <v>40</v>
      </c>
      <c r="P206" s="88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0</v>
      </c>
      <c r="Y206" s="666">
        <f t="shared" si="26"/>
        <v>0</v>
      </c>
      <c r="Z206" s="36" t="str">
        <f>IFERROR(IF(Y206=0,"",ROUNDUP(Y206/H206,0)*0.00502),"")</f>
        <v/>
      </c>
      <c r="AA206" s="56"/>
      <c r="AB206" s="57"/>
      <c r="AC206" s="261" t="s">
        <v>338</v>
      </c>
      <c r="AG206" s="64"/>
      <c r="AJ206" s="68"/>
      <c r="AK206" s="68">
        <v>0</v>
      </c>
      <c r="BB206" s="262" t="s">
        <v>1</v>
      </c>
      <c r="BM206" s="64">
        <f t="shared" si="27"/>
        <v>0</v>
      </c>
      <c r="BN206" s="64">
        <f t="shared" si="28"/>
        <v>0</v>
      </c>
      <c r="BO206" s="64">
        <f t="shared" si="29"/>
        <v>0</v>
      </c>
      <c r="BP206" s="64">
        <f t="shared" si="30"/>
        <v>0</v>
      </c>
    </row>
    <row r="207" spans="1:68" ht="27" customHeight="1" x14ac:dyDescent="0.25">
      <c r="A207" s="54" t="s">
        <v>349</v>
      </c>
      <c r="B207" s="54" t="s">
        <v>350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147</v>
      </c>
      <c r="L207" s="32"/>
      <c r="M207" s="33" t="s">
        <v>68</v>
      </c>
      <c r="N207" s="33"/>
      <c r="O207" s="32">
        <v>40</v>
      </c>
      <c r="P207" s="89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0</v>
      </c>
      <c r="Y207" s="666">
        <f t="shared" si="26"/>
        <v>0</v>
      </c>
      <c r="Z207" s="36" t="str">
        <f>IFERROR(IF(Y207=0,"",ROUNDUP(Y207/H207,0)*0.00502),"")</f>
        <v/>
      </c>
      <c r="AA207" s="56"/>
      <c r="AB207" s="57"/>
      <c r="AC207" s="263" t="s">
        <v>341</v>
      </c>
      <c r="AG207" s="64"/>
      <c r="AJ207" s="68"/>
      <c r="AK207" s="68">
        <v>0</v>
      </c>
      <c r="BB207" s="264" t="s">
        <v>1</v>
      </c>
      <c r="BM207" s="64">
        <f t="shared" si="27"/>
        <v>0</v>
      </c>
      <c r="BN207" s="64">
        <f t="shared" si="28"/>
        <v>0</v>
      </c>
      <c r="BO207" s="64">
        <f t="shared" si="29"/>
        <v>0</v>
      </c>
      <c r="BP207" s="64">
        <f t="shared" si="30"/>
        <v>0</v>
      </c>
    </row>
    <row r="208" spans="1:68" ht="27" customHeight="1" x14ac:dyDescent="0.25">
      <c r="A208" s="54" t="s">
        <v>351</v>
      </c>
      <c r="B208" s="54" t="s">
        <v>352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147</v>
      </c>
      <c r="L208" s="32"/>
      <c r="M208" s="33" t="s">
        <v>68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0</v>
      </c>
      <c r="Y208" s="666">
        <f t="shared" si="26"/>
        <v>0</v>
      </c>
      <c r="Z208" s="36" t="str">
        <f>IFERROR(IF(Y208=0,"",ROUNDUP(Y208/H208,0)*0.00502),"")</f>
        <v/>
      </c>
      <c r="AA208" s="56"/>
      <c r="AB208" s="57"/>
      <c r="AC208" s="265" t="s">
        <v>344</v>
      </c>
      <c r="AG208" s="64"/>
      <c r="AJ208" s="68"/>
      <c r="AK208" s="68">
        <v>0</v>
      </c>
      <c r="BB208" s="266" t="s">
        <v>1</v>
      </c>
      <c r="BM208" s="64">
        <f t="shared" si="27"/>
        <v>0</v>
      </c>
      <c r="BN208" s="64">
        <f t="shared" si="28"/>
        <v>0</v>
      </c>
      <c r="BO208" s="64">
        <f t="shared" si="29"/>
        <v>0</v>
      </c>
      <c r="BP208" s="64">
        <f t="shared" si="30"/>
        <v>0</v>
      </c>
    </row>
    <row r="209" spans="1:68" x14ac:dyDescent="0.2">
      <c r="A209" s="679"/>
      <c r="B209" s="680"/>
      <c r="C209" s="680"/>
      <c r="D209" s="680"/>
      <c r="E209" s="680"/>
      <c r="F209" s="680"/>
      <c r="G209" s="680"/>
      <c r="H209" s="680"/>
      <c r="I209" s="680"/>
      <c r="J209" s="680"/>
      <c r="K209" s="680"/>
      <c r="L209" s="680"/>
      <c r="M209" s="680"/>
      <c r="N209" s="680"/>
      <c r="O209" s="681"/>
      <c r="P209" s="685" t="s">
        <v>80</v>
      </c>
      <c r="Q209" s="686"/>
      <c r="R209" s="686"/>
      <c r="S209" s="686"/>
      <c r="T209" s="686"/>
      <c r="U209" s="686"/>
      <c r="V209" s="687"/>
      <c r="W209" s="37" t="s">
        <v>81</v>
      </c>
      <c r="X209" s="667">
        <f>IFERROR(X201/H201,"0")+IFERROR(X202/H202,"0")+IFERROR(X203/H203,"0")+IFERROR(X204/H204,"0")+IFERROR(X205/H205,"0")+IFERROR(X206/H206,"0")+IFERROR(X207/H207,"0")+IFERROR(X208/H208,"0")</f>
        <v>0</v>
      </c>
      <c r="Y209" s="667">
        <f>IFERROR(Y201/H201,"0")+IFERROR(Y202/H202,"0")+IFERROR(Y203/H203,"0")+IFERROR(Y204/H204,"0")+IFERROR(Y205/H205,"0")+IFERROR(Y206/H206,"0")+IFERROR(Y207/H207,"0")+IFERROR(Y208/H208,"0")</f>
        <v>0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8"/>
      <c r="AB209" s="668"/>
      <c r="AC209" s="668"/>
    </row>
    <row r="210" spans="1:68" x14ac:dyDescent="0.2">
      <c r="A210" s="680"/>
      <c r="B210" s="680"/>
      <c r="C210" s="680"/>
      <c r="D210" s="680"/>
      <c r="E210" s="680"/>
      <c r="F210" s="680"/>
      <c r="G210" s="680"/>
      <c r="H210" s="680"/>
      <c r="I210" s="680"/>
      <c r="J210" s="680"/>
      <c r="K210" s="680"/>
      <c r="L210" s="680"/>
      <c r="M210" s="680"/>
      <c r="N210" s="680"/>
      <c r="O210" s="681"/>
      <c r="P210" s="685" t="s">
        <v>80</v>
      </c>
      <c r="Q210" s="686"/>
      <c r="R210" s="686"/>
      <c r="S210" s="686"/>
      <c r="T210" s="686"/>
      <c r="U210" s="686"/>
      <c r="V210" s="687"/>
      <c r="W210" s="37" t="s">
        <v>69</v>
      </c>
      <c r="X210" s="667">
        <f>IFERROR(SUM(X201:X208),"0")</f>
        <v>0</v>
      </c>
      <c r="Y210" s="667">
        <f>IFERROR(SUM(Y201:Y208),"0")</f>
        <v>0</v>
      </c>
      <c r="Z210" s="37"/>
      <c r="AA210" s="668"/>
      <c r="AB210" s="668"/>
      <c r="AC210" s="668"/>
    </row>
    <row r="211" spans="1:68" ht="14.25" customHeight="1" x14ac:dyDescent="0.25">
      <c r="A211" s="682" t="s">
        <v>64</v>
      </c>
      <c r="B211" s="680"/>
      <c r="C211" s="680"/>
      <c r="D211" s="680"/>
      <c r="E211" s="680"/>
      <c r="F211" s="680"/>
      <c r="G211" s="680"/>
      <c r="H211" s="680"/>
      <c r="I211" s="680"/>
      <c r="J211" s="680"/>
      <c r="K211" s="680"/>
      <c r="L211" s="680"/>
      <c r="M211" s="680"/>
      <c r="N211" s="680"/>
      <c r="O211" s="680"/>
      <c r="P211" s="680"/>
      <c r="Q211" s="680"/>
      <c r="R211" s="680"/>
      <c r="S211" s="680"/>
      <c r="T211" s="680"/>
      <c r="U211" s="680"/>
      <c r="V211" s="680"/>
      <c r="W211" s="680"/>
      <c r="X211" s="680"/>
      <c r="Y211" s="680"/>
      <c r="Z211" s="680"/>
      <c r="AA211" s="661"/>
      <c r="AB211" s="661"/>
      <c r="AC211" s="661"/>
    </row>
    <row r="212" spans="1:68" ht="27" customHeight="1" x14ac:dyDescent="0.25">
      <c r="A212" s="54" t="s">
        <v>353</v>
      </c>
      <c r="B212" s="54" t="s">
        <v>354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93</v>
      </c>
      <c r="L212" s="32"/>
      <c r="M212" s="33" t="s">
        <v>100</v>
      </c>
      <c r="N212" s="33"/>
      <c r="O212" s="32">
        <v>40</v>
      </c>
      <c r="P212" s="9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1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355</v>
      </c>
      <c r="AG212" s="64"/>
      <c r="AJ212" s="68"/>
      <c r="AK212" s="68">
        <v>0</v>
      </c>
      <c r="BB212" s="268" t="s">
        <v>1</v>
      </c>
      <c r="BM212" s="64">
        <f t="shared" ref="BM212:BM220" si="32">IFERROR(X212*I212/H212,"0")</f>
        <v>0</v>
      </c>
      <c r="BN212" s="64">
        <f t="shared" ref="BN212:BN220" si="33">IFERROR(Y212*I212/H212,"0")</f>
        <v>0</v>
      </c>
      <c r="BO212" s="64">
        <f t="shared" ref="BO212:BO220" si="34">IFERROR(1/J212*(X212/H212),"0")</f>
        <v>0</v>
      </c>
      <c r="BP212" s="64">
        <f t="shared" ref="BP212:BP220" si="35">IFERROR(1/J212*(Y212/H212),"0")</f>
        <v>0</v>
      </c>
    </row>
    <row r="213" spans="1:68" ht="27" customHeight="1" x14ac:dyDescent="0.25">
      <c r="A213" s="54" t="s">
        <v>356</v>
      </c>
      <c r="B213" s="54" t="s">
        <v>357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93</v>
      </c>
      <c r="L213" s="32"/>
      <c r="M213" s="33" t="s">
        <v>100</v>
      </c>
      <c r="N213" s="33"/>
      <c r="O213" s="32">
        <v>40</v>
      </c>
      <c r="P213" s="69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1"/>
        <v>0</v>
      </c>
      <c r="Z213" s="36" t="str">
        <f>IFERROR(IF(Y213=0,"",ROUNDUP(Y213/H213,0)*0.01898),"")</f>
        <v/>
      </c>
      <c r="AA213" s="56"/>
      <c r="AB213" s="57"/>
      <c r="AC213" s="269" t="s">
        <v>358</v>
      </c>
      <c r="AG213" s="64"/>
      <c r="AJ213" s="68"/>
      <c r="AK213" s="68">
        <v>0</v>
      </c>
      <c r="BB213" s="270" t="s">
        <v>1</v>
      </c>
      <c r="BM213" s="64">
        <f t="shared" si="32"/>
        <v>0</v>
      </c>
      <c r="BN213" s="64">
        <f t="shared" si="33"/>
        <v>0</v>
      </c>
      <c r="BO213" s="64">
        <f t="shared" si="34"/>
        <v>0</v>
      </c>
      <c r="BP213" s="64">
        <f t="shared" si="35"/>
        <v>0</v>
      </c>
    </row>
    <row r="214" spans="1:68" ht="16.5" customHeight="1" x14ac:dyDescent="0.25">
      <c r="A214" s="54" t="s">
        <v>359</v>
      </c>
      <c r="B214" s="54" t="s">
        <v>360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93</v>
      </c>
      <c r="L214" s="32"/>
      <c r="M214" s="33" t="s">
        <v>100</v>
      </c>
      <c r="N214" s="33"/>
      <c r="O214" s="32">
        <v>45</v>
      </c>
      <c r="P214" s="97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0</v>
      </c>
      <c r="Y214" s="666">
        <f t="shared" si="31"/>
        <v>0</v>
      </c>
      <c r="Z214" s="36" t="str">
        <f>IFERROR(IF(Y214=0,"",ROUNDUP(Y214/H214,0)*0.01898),"")</f>
        <v/>
      </c>
      <c r="AA214" s="56"/>
      <c r="AB214" s="57"/>
      <c r="AC214" s="271" t="s">
        <v>361</v>
      </c>
      <c r="AG214" s="64"/>
      <c r="AJ214" s="68"/>
      <c r="AK214" s="68">
        <v>0</v>
      </c>
      <c r="BB214" s="272" t="s">
        <v>1</v>
      </c>
      <c r="BM214" s="64">
        <f t="shared" si="32"/>
        <v>0</v>
      </c>
      <c r="BN214" s="64">
        <f t="shared" si="33"/>
        <v>0</v>
      </c>
      <c r="BO214" s="64">
        <f t="shared" si="34"/>
        <v>0</v>
      </c>
      <c r="BP214" s="64">
        <f t="shared" si="35"/>
        <v>0</v>
      </c>
    </row>
    <row r="215" spans="1:68" ht="27" customHeight="1" x14ac:dyDescent="0.25">
      <c r="A215" s="54" t="s">
        <v>362</v>
      </c>
      <c r="B215" s="54" t="s">
        <v>363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100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0</v>
      </c>
      <c r="Y215" s="666">
        <f t="shared" si="31"/>
        <v>0</v>
      </c>
      <c r="Z215" s="36" t="str">
        <f t="shared" ref="Z215:Z220" si="36">IFERROR(IF(Y215=0,"",ROUNDUP(Y215/H215,0)*0.00651),"")</f>
        <v/>
      </c>
      <c r="AA215" s="56"/>
      <c r="AB215" s="57"/>
      <c r="AC215" s="273" t="s">
        <v>355</v>
      </c>
      <c r="AG215" s="64"/>
      <c r="AJ215" s="68"/>
      <c r="AK215" s="68">
        <v>0</v>
      </c>
      <c r="BB215" s="274" t="s">
        <v>1</v>
      </c>
      <c r="BM215" s="64">
        <f t="shared" si="32"/>
        <v>0</v>
      </c>
      <c r="BN215" s="64">
        <f t="shared" si="33"/>
        <v>0</v>
      </c>
      <c r="BO215" s="64">
        <f t="shared" si="34"/>
        <v>0</v>
      </c>
      <c r="BP215" s="64">
        <f t="shared" si="35"/>
        <v>0</v>
      </c>
    </row>
    <row r="216" spans="1:68" ht="27" customHeight="1" x14ac:dyDescent="0.25">
      <c r="A216" s="54" t="s">
        <v>364</v>
      </c>
      <c r="B216" s="54" t="s">
        <v>365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129</v>
      </c>
      <c r="N216" s="33"/>
      <c r="O216" s="32">
        <v>45</v>
      </c>
      <c r="P216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1"/>
        <v>0</v>
      </c>
      <c r="Z216" s="36" t="str">
        <f t="shared" si="36"/>
        <v/>
      </c>
      <c r="AA216" s="56"/>
      <c r="AB216" s="57"/>
      <c r="AC216" s="275" t="s">
        <v>366</v>
      </c>
      <c r="AG216" s="64"/>
      <c r="AJ216" s="68"/>
      <c r="AK216" s="68">
        <v>0</v>
      </c>
      <c r="BB216" s="276" t="s">
        <v>1</v>
      </c>
      <c r="BM216" s="64">
        <f t="shared" si="32"/>
        <v>0</v>
      </c>
      <c r="BN216" s="64">
        <f t="shared" si="33"/>
        <v>0</v>
      </c>
      <c r="BO216" s="64">
        <f t="shared" si="34"/>
        <v>0</v>
      </c>
      <c r="BP216" s="64">
        <f t="shared" si="35"/>
        <v>0</v>
      </c>
    </row>
    <row r="217" spans="1:68" ht="27" customHeight="1" x14ac:dyDescent="0.25">
      <c r="A217" s="54" t="s">
        <v>367</v>
      </c>
      <c r="B217" s="54" t="s">
        <v>368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100</v>
      </c>
      <c r="N217" s="33"/>
      <c r="O217" s="32">
        <v>45</v>
      </c>
      <c r="P217" s="9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0</v>
      </c>
      <c r="Y217" s="666">
        <f t="shared" si="31"/>
        <v>0</v>
      </c>
      <c r="Z217" s="36" t="str">
        <f t="shared" si="36"/>
        <v/>
      </c>
      <c r="AA217" s="56"/>
      <c r="AB217" s="57"/>
      <c r="AC217" s="277" t="s">
        <v>361</v>
      </c>
      <c r="AG217" s="64"/>
      <c r="AJ217" s="68"/>
      <c r="AK217" s="68">
        <v>0</v>
      </c>
      <c r="BB217" s="278" t="s">
        <v>1</v>
      </c>
      <c r="BM217" s="64">
        <f t="shared" si="32"/>
        <v>0</v>
      </c>
      <c r="BN217" s="64">
        <f t="shared" si="33"/>
        <v>0</v>
      </c>
      <c r="BO217" s="64">
        <f t="shared" si="34"/>
        <v>0</v>
      </c>
      <c r="BP217" s="64">
        <f t="shared" si="35"/>
        <v>0</v>
      </c>
    </row>
    <row r="218" spans="1:68" ht="27" customHeight="1" x14ac:dyDescent="0.25">
      <c r="A218" s="54" t="s">
        <v>369</v>
      </c>
      <c r="B218" s="54" t="s">
        <v>370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100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0</v>
      </c>
      <c r="Y218" s="666">
        <f t="shared" si="31"/>
        <v>0</v>
      </c>
      <c r="Z218" s="36" t="str">
        <f t="shared" si="36"/>
        <v/>
      </c>
      <c r="AA218" s="56"/>
      <c r="AB218" s="57"/>
      <c r="AC218" s="279" t="s">
        <v>361</v>
      </c>
      <c r="AG218" s="64"/>
      <c r="AJ218" s="68"/>
      <c r="AK218" s="68">
        <v>0</v>
      </c>
      <c r="BB218" s="280" t="s">
        <v>1</v>
      </c>
      <c r="BM218" s="64">
        <f t="shared" si="32"/>
        <v>0</v>
      </c>
      <c r="BN218" s="64">
        <f t="shared" si="33"/>
        <v>0</v>
      </c>
      <c r="BO218" s="64">
        <f t="shared" si="34"/>
        <v>0</v>
      </c>
      <c r="BP218" s="64">
        <f t="shared" si="35"/>
        <v>0</v>
      </c>
    </row>
    <row r="219" spans="1:68" ht="27" customHeight="1" x14ac:dyDescent="0.25">
      <c r="A219" s="54" t="s">
        <v>371</v>
      </c>
      <c r="B219" s="54" t="s">
        <v>372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129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0</v>
      </c>
      <c r="Y219" s="666">
        <f t="shared" si="31"/>
        <v>0</v>
      </c>
      <c r="Z219" s="36" t="str">
        <f t="shared" si="36"/>
        <v/>
      </c>
      <c r="AA219" s="56"/>
      <c r="AB219" s="57"/>
      <c r="AC219" s="281" t="s">
        <v>373</v>
      </c>
      <c r="AG219" s="64"/>
      <c r="AJ219" s="68"/>
      <c r="AK219" s="68">
        <v>0</v>
      </c>
      <c r="BB219" s="282" t="s">
        <v>1</v>
      </c>
      <c r="BM219" s="64">
        <f t="shared" si="32"/>
        <v>0</v>
      </c>
      <c r="BN219" s="64">
        <f t="shared" si="33"/>
        <v>0</v>
      </c>
      <c r="BO219" s="64">
        <f t="shared" si="34"/>
        <v>0</v>
      </c>
      <c r="BP219" s="64">
        <f t="shared" si="35"/>
        <v>0</v>
      </c>
    </row>
    <row r="220" spans="1:68" ht="27" customHeight="1" x14ac:dyDescent="0.25">
      <c r="A220" s="54" t="s">
        <v>374</v>
      </c>
      <c r="B220" s="54" t="s">
        <v>375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100</v>
      </c>
      <c r="N220" s="33"/>
      <c r="O220" s="32">
        <v>40</v>
      </c>
      <c r="P220" s="6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0</v>
      </c>
      <c r="Y220" s="666">
        <f t="shared" si="31"/>
        <v>0</v>
      </c>
      <c r="Z220" s="36" t="str">
        <f t="shared" si="36"/>
        <v/>
      </c>
      <c r="AA220" s="56"/>
      <c r="AB220" s="57"/>
      <c r="AC220" s="283" t="s">
        <v>376</v>
      </c>
      <c r="AG220" s="64"/>
      <c r="AJ220" s="68"/>
      <c r="AK220" s="68">
        <v>0</v>
      </c>
      <c r="BB220" s="284" t="s">
        <v>1</v>
      </c>
      <c r="BM220" s="64">
        <f t="shared" si="32"/>
        <v>0</v>
      </c>
      <c r="BN220" s="64">
        <f t="shared" si="33"/>
        <v>0</v>
      </c>
      <c r="BO220" s="64">
        <f t="shared" si="34"/>
        <v>0</v>
      </c>
      <c r="BP220" s="64">
        <f t="shared" si="35"/>
        <v>0</v>
      </c>
    </row>
    <row r="221" spans="1:68" x14ac:dyDescent="0.2">
      <c r="A221" s="679"/>
      <c r="B221" s="680"/>
      <c r="C221" s="680"/>
      <c r="D221" s="680"/>
      <c r="E221" s="680"/>
      <c r="F221" s="680"/>
      <c r="G221" s="680"/>
      <c r="H221" s="680"/>
      <c r="I221" s="680"/>
      <c r="J221" s="680"/>
      <c r="K221" s="680"/>
      <c r="L221" s="680"/>
      <c r="M221" s="680"/>
      <c r="N221" s="680"/>
      <c r="O221" s="681"/>
      <c r="P221" s="685" t="s">
        <v>80</v>
      </c>
      <c r="Q221" s="686"/>
      <c r="R221" s="686"/>
      <c r="S221" s="686"/>
      <c r="T221" s="686"/>
      <c r="U221" s="686"/>
      <c r="V221" s="687"/>
      <c r="W221" s="37" t="s">
        <v>81</v>
      </c>
      <c r="X221" s="667">
        <f>IFERROR(X212/H212,"0")+IFERROR(X213/H213,"0")+IFERROR(X214/H214,"0")+IFERROR(X215/H215,"0")+IFERROR(X216/H216,"0")+IFERROR(X217/H217,"0")+IFERROR(X218/H218,"0")+IFERROR(X219/H219,"0")+IFERROR(X220/H220,"0")</f>
        <v>0</v>
      </c>
      <c r="Y221" s="667">
        <f>IFERROR(Y212/H212,"0")+IFERROR(Y213/H213,"0")+IFERROR(Y214/H214,"0")+IFERROR(Y215/H215,"0")+IFERROR(Y216/H216,"0")+IFERROR(Y217/H217,"0")+IFERROR(Y218/H218,"0")+IFERROR(Y219/H219,"0")+IFERROR(Y220/H220,"0")</f>
        <v>0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8"/>
      <c r="AB221" s="668"/>
      <c r="AC221" s="668"/>
    </row>
    <row r="222" spans="1:68" x14ac:dyDescent="0.2">
      <c r="A222" s="680"/>
      <c r="B222" s="680"/>
      <c r="C222" s="680"/>
      <c r="D222" s="680"/>
      <c r="E222" s="680"/>
      <c r="F222" s="680"/>
      <c r="G222" s="680"/>
      <c r="H222" s="680"/>
      <c r="I222" s="680"/>
      <c r="J222" s="680"/>
      <c r="K222" s="680"/>
      <c r="L222" s="680"/>
      <c r="M222" s="680"/>
      <c r="N222" s="680"/>
      <c r="O222" s="681"/>
      <c r="P222" s="685" t="s">
        <v>80</v>
      </c>
      <c r="Q222" s="686"/>
      <c r="R222" s="686"/>
      <c r="S222" s="686"/>
      <c r="T222" s="686"/>
      <c r="U222" s="686"/>
      <c r="V222" s="687"/>
      <c r="W222" s="37" t="s">
        <v>69</v>
      </c>
      <c r="X222" s="667">
        <f>IFERROR(SUM(X212:X220),"0")</f>
        <v>0</v>
      </c>
      <c r="Y222" s="667">
        <f>IFERROR(SUM(Y212:Y220),"0")</f>
        <v>0</v>
      </c>
      <c r="Z222" s="37"/>
      <c r="AA222" s="668"/>
      <c r="AB222" s="668"/>
      <c r="AC222" s="668"/>
    </row>
    <row r="223" spans="1:68" ht="14.25" customHeight="1" x14ac:dyDescent="0.25">
      <c r="A223" s="682" t="s">
        <v>170</v>
      </c>
      <c r="B223" s="680"/>
      <c r="C223" s="680"/>
      <c r="D223" s="680"/>
      <c r="E223" s="680"/>
      <c r="F223" s="680"/>
      <c r="G223" s="680"/>
      <c r="H223" s="680"/>
      <c r="I223" s="680"/>
      <c r="J223" s="680"/>
      <c r="K223" s="680"/>
      <c r="L223" s="680"/>
      <c r="M223" s="680"/>
      <c r="N223" s="680"/>
      <c r="O223" s="680"/>
      <c r="P223" s="680"/>
      <c r="Q223" s="680"/>
      <c r="R223" s="680"/>
      <c r="S223" s="680"/>
      <c r="T223" s="680"/>
      <c r="U223" s="680"/>
      <c r="V223" s="680"/>
      <c r="W223" s="680"/>
      <c r="X223" s="680"/>
      <c r="Y223" s="680"/>
      <c r="Z223" s="680"/>
      <c r="AA223" s="661"/>
      <c r="AB223" s="661"/>
      <c r="AC223" s="661"/>
    </row>
    <row r="224" spans="1:68" ht="27" customHeight="1" x14ac:dyDescent="0.25">
      <c r="A224" s="54" t="s">
        <v>377</v>
      </c>
      <c r="B224" s="54" t="s">
        <v>378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129</v>
      </c>
      <c r="N224" s="33"/>
      <c r="O224" s="32">
        <v>40</v>
      </c>
      <c r="P224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380</v>
      </c>
      <c r="B225" s="54" t="s">
        <v>381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100</v>
      </c>
      <c r="N225" s="33"/>
      <c r="O225" s="32">
        <v>40</v>
      </c>
      <c r="P225" s="93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382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9"/>
      <c r="B226" s="680"/>
      <c r="C226" s="680"/>
      <c r="D226" s="680"/>
      <c r="E226" s="680"/>
      <c r="F226" s="680"/>
      <c r="G226" s="680"/>
      <c r="H226" s="680"/>
      <c r="I226" s="680"/>
      <c r="J226" s="680"/>
      <c r="K226" s="680"/>
      <c r="L226" s="680"/>
      <c r="M226" s="680"/>
      <c r="N226" s="680"/>
      <c r="O226" s="681"/>
      <c r="P226" s="685" t="s">
        <v>80</v>
      </c>
      <c r="Q226" s="686"/>
      <c r="R226" s="686"/>
      <c r="S226" s="686"/>
      <c r="T226" s="686"/>
      <c r="U226" s="686"/>
      <c r="V226" s="687"/>
      <c r="W226" s="37" t="s">
        <v>81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x14ac:dyDescent="0.2">
      <c r="A227" s="680"/>
      <c r="B227" s="680"/>
      <c r="C227" s="680"/>
      <c r="D227" s="680"/>
      <c r="E227" s="680"/>
      <c r="F227" s="680"/>
      <c r="G227" s="680"/>
      <c r="H227" s="680"/>
      <c r="I227" s="680"/>
      <c r="J227" s="680"/>
      <c r="K227" s="680"/>
      <c r="L227" s="680"/>
      <c r="M227" s="680"/>
      <c r="N227" s="680"/>
      <c r="O227" s="681"/>
      <c r="P227" s="685" t="s">
        <v>80</v>
      </c>
      <c r="Q227" s="686"/>
      <c r="R227" s="686"/>
      <c r="S227" s="686"/>
      <c r="T227" s="686"/>
      <c r="U227" s="686"/>
      <c r="V227" s="687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customHeight="1" x14ac:dyDescent="0.25">
      <c r="A228" s="716" t="s">
        <v>383</v>
      </c>
      <c r="B228" s="680"/>
      <c r="C228" s="680"/>
      <c r="D228" s="680"/>
      <c r="E228" s="680"/>
      <c r="F228" s="680"/>
      <c r="G228" s="680"/>
      <c r="H228" s="680"/>
      <c r="I228" s="680"/>
      <c r="J228" s="680"/>
      <c r="K228" s="680"/>
      <c r="L228" s="680"/>
      <c r="M228" s="680"/>
      <c r="N228" s="680"/>
      <c r="O228" s="680"/>
      <c r="P228" s="680"/>
      <c r="Q228" s="680"/>
      <c r="R228" s="680"/>
      <c r="S228" s="680"/>
      <c r="T228" s="680"/>
      <c r="U228" s="680"/>
      <c r="V228" s="680"/>
      <c r="W228" s="680"/>
      <c r="X228" s="680"/>
      <c r="Y228" s="680"/>
      <c r="Z228" s="680"/>
      <c r="AA228" s="660"/>
      <c r="AB228" s="660"/>
      <c r="AC228" s="660"/>
    </row>
    <row r="229" spans="1:68" ht="14.25" customHeight="1" x14ac:dyDescent="0.25">
      <c r="A229" s="682" t="s">
        <v>90</v>
      </c>
      <c r="B229" s="680"/>
      <c r="C229" s="680"/>
      <c r="D229" s="680"/>
      <c r="E229" s="680"/>
      <c r="F229" s="680"/>
      <c r="G229" s="680"/>
      <c r="H229" s="680"/>
      <c r="I229" s="680"/>
      <c r="J229" s="680"/>
      <c r="K229" s="680"/>
      <c r="L229" s="680"/>
      <c r="M229" s="680"/>
      <c r="N229" s="680"/>
      <c r="O229" s="680"/>
      <c r="P229" s="680"/>
      <c r="Q229" s="680"/>
      <c r="R229" s="680"/>
      <c r="S229" s="680"/>
      <c r="T229" s="680"/>
      <c r="U229" s="680"/>
      <c r="V229" s="680"/>
      <c r="W229" s="680"/>
      <c r="X229" s="680"/>
      <c r="Y229" s="680"/>
      <c r="Z229" s="680"/>
      <c r="AA229" s="661"/>
      <c r="AB229" s="661"/>
      <c r="AC229" s="661"/>
    </row>
    <row r="230" spans="1:68" ht="27" customHeight="1" x14ac:dyDescent="0.25">
      <c r="A230" s="54" t="s">
        <v>384</v>
      </c>
      <c r="B230" s="54" t="s">
        <v>385</v>
      </c>
      <c r="C230" s="31">
        <v>4301011942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12.08</v>
      </c>
      <c r="J230" s="32">
        <v>48</v>
      </c>
      <c r="K230" s="32" t="s">
        <v>93</v>
      </c>
      <c r="L230" s="32"/>
      <c r="M230" s="33" t="s">
        <v>386</v>
      </c>
      <c r="N230" s="33"/>
      <c r="O230" s="32">
        <v>55</v>
      </c>
      <c r="P230" s="769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37">IFERROR(IF(X230="",0,CEILING((X230/$H230),1)*$H230),"")</f>
        <v>0</v>
      </c>
      <c r="Z230" s="36" t="str">
        <f>IFERROR(IF(Y230=0,"",ROUNDUP(Y230/H230,0)*0.02039),"")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38">IFERROR(X230*I230/H230,"0")</f>
        <v>0</v>
      </c>
      <c r="BN230" s="64">
        <f t="shared" ref="BN230:BN237" si="39">IFERROR(Y230*I230/H230,"0")</f>
        <v>0</v>
      </c>
      <c r="BO230" s="64">
        <f t="shared" ref="BO230:BO237" si="40">IFERROR(1/J230*(X230/H230),"0")</f>
        <v>0</v>
      </c>
      <c r="BP230" s="64">
        <f t="shared" ref="BP230:BP237" si="41">IFERROR(1/J230*(Y230/H230),"0")</f>
        <v>0</v>
      </c>
    </row>
    <row r="231" spans="1:68" ht="27" customHeight="1" x14ac:dyDescent="0.25">
      <c r="A231" s="54" t="s">
        <v>384</v>
      </c>
      <c r="B231" s="54" t="s">
        <v>388</v>
      </c>
      <c r="C231" s="31">
        <v>4301011826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12.035</v>
      </c>
      <c r="J231" s="32">
        <v>64</v>
      </c>
      <c r="K231" s="32" t="s">
        <v>93</v>
      </c>
      <c r="L231" s="32"/>
      <c r="M231" s="33" t="s">
        <v>94</v>
      </c>
      <c r="N231" s="33"/>
      <c r="O231" s="32">
        <v>55</v>
      </c>
      <c r="P231" s="6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37"/>
        <v>0</v>
      </c>
      <c r="Z231" s="36" t="str">
        <f>IFERROR(IF(Y231=0,"",ROUNDUP(Y231/H231,0)*0.01898),"")</f>
        <v/>
      </c>
      <c r="AA231" s="56"/>
      <c r="AB231" s="57"/>
      <c r="AC231" s="291" t="s">
        <v>389</v>
      </c>
      <c r="AG231" s="64"/>
      <c r="AJ231" s="68"/>
      <c r="AK231" s="68">
        <v>0</v>
      </c>
      <c r="BB231" s="292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customHeight="1" x14ac:dyDescent="0.25">
      <c r="A232" s="54" t="s">
        <v>390</v>
      </c>
      <c r="B232" s="54" t="s">
        <v>391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93</v>
      </c>
      <c r="L232" s="32"/>
      <c r="M232" s="33" t="s">
        <v>94</v>
      </c>
      <c r="N232" s="33"/>
      <c r="O232" s="32">
        <v>55</v>
      </c>
      <c r="P232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37"/>
        <v>0</v>
      </c>
      <c r="Z232" s="36" t="str">
        <f>IFERROR(IF(Y232=0,"",ROUNDUP(Y232/H232,0)*0.01898),"")</f>
        <v/>
      </c>
      <c r="AA232" s="56"/>
      <c r="AB232" s="57"/>
      <c r="AC232" s="293" t="s">
        <v>392</v>
      </c>
      <c r="AG232" s="64"/>
      <c r="AJ232" s="68"/>
      <c r="AK232" s="68">
        <v>0</v>
      </c>
      <c r="BB232" s="294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customHeight="1" x14ac:dyDescent="0.25">
      <c r="A233" s="54" t="s">
        <v>393</v>
      </c>
      <c r="B233" s="54" t="s">
        <v>394</v>
      </c>
      <c r="C233" s="31">
        <v>4301011941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12.08</v>
      </c>
      <c r="J233" s="32">
        <v>48</v>
      </c>
      <c r="K233" s="32" t="s">
        <v>93</v>
      </c>
      <c r="L233" s="32"/>
      <c r="M233" s="33" t="s">
        <v>386</v>
      </c>
      <c r="N233" s="33"/>
      <c r="O233" s="32">
        <v>55</v>
      </c>
      <c r="P233" s="888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0</v>
      </c>
      <c r="Y233" s="666">
        <f t="shared" si="37"/>
        <v>0</v>
      </c>
      <c r="Z233" s="36" t="str">
        <f>IFERROR(IF(Y233=0,"",ROUNDUP(Y233/H233,0)*0.02039),"")</f>
        <v/>
      </c>
      <c r="AA233" s="56"/>
      <c r="AB233" s="57"/>
      <c r="AC233" s="295" t="s">
        <v>387</v>
      </c>
      <c r="AG233" s="64"/>
      <c r="AJ233" s="68"/>
      <c r="AK233" s="68">
        <v>0</v>
      </c>
      <c r="BB233" s="296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customHeight="1" x14ac:dyDescent="0.25">
      <c r="A234" s="54" t="s">
        <v>393</v>
      </c>
      <c r="B234" s="54" t="s">
        <v>395</v>
      </c>
      <c r="C234" s="31">
        <v>4301011721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12.035</v>
      </c>
      <c r="J234" s="32">
        <v>64</v>
      </c>
      <c r="K234" s="32" t="s">
        <v>93</v>
      </c>
      <c r="L234" s="32"/>
      <c r="M234" s="33" t="s">
        <v>94</v>
      </c>
      <c r="N234" s="33"/>
      <c r="O234" s="32">
        <v>55</v>
      </c>
      <c r="P234" s="71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37"/>
        <v>0</v>
      </c>
      <c r="Z234" s="36" t="str">
        <f>IFERROR(IF(Y234=0,"",ROUNDUP(Y234/H234,0)*0.01898),"")</f>
        <v/>
      </c>
      <c r="AA234" s="56"/>
      <c r="AB234" s="57"/>
      <c r="AC234" s="297" t="s">
        <v>396</v>
      </c>
      <c r="AG234" s="64"/>
      <c r="AJ234" s="68"/>
      <c r="AK234" s="68">
        <v>0</v>
      </c>
      <c r="BB234" s="298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customHeight="1" x14ac:dyDescent="0.25">
      <c r="A235" s="54" t="s">
        <v>397</v>
      </c>
      <c r="B235" s="54" t="s">
        <v>398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98</v>
      </c>
      <c r="L235" s="32"/>
      <c r="M235" s="33" t="s">
        <v>94</v>
      </c>
      <c r="N235" s="33"/>
      <c r="O235" s="32">
        <v>55</v>
      </c>
      <c r="P235" s="8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0</v>
      </c>
      <c r="Y235" s="666">
        <f t="shared" si="37"/>
        <v>0</v>
      </c>
      <c r="Z235" s="36" t="str">
        <f>IFERROR(IF(Y235=0,"",ROUNDUP(Y235/H235,0)*0.00902),"")</f>
        <v/>
      </c>
      <c r="AA235" s="56"/>
      <c r="AB235" s="57"/>
      <c r="AC235" s="299" t="s">
        <v>389</v>
      </c>
      <c r="AG235" s="64"/>
      <c r="AJ235" s="68"/>
      <c r="AK235" s="68">
        <v>0</v>
      </c>
      <c r="BB235" s="300" t="s">
        <v>1</v>
      </c>
      <c r="BM235" s="64">
        <f t="shared" si="38"/>
        <v>0</v>
      </c>
      <c r="BN235" s="64">
        <f t="shared" si="39"/>
        <v>0</v>
      </c>
      <c r="BO235" s="64">
        <f t="shared" si="40"/>
        <v>0</v>
      </c>
      <c r="BP235" s="64">
        <f t="shared" si="41"/>
        <v>0</v>
      </c>
    </row>
    <row r="236" spans="1:68" ht="27" customHeight="1" x14ac:dyDescent="0.25">
      <c r="A236" s="54" t="s">
        <v>399</v>
      </c>
      <c r="B236" s="54" t="s">
        <v>400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98</v>
      </c>
      <c r="L236" s="32"/>
      <c r="M236" s="33" t="s">
        <v>94</v>
      </c>
      <c r="N236" s="33"/>
      <c r="O236" s="32">
        <v>55</v>
      </c>
      <c r="P236" s="72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37"/>
        <v>0</v>
      </c>
      <c r="Z236" s="36" t="str">
        <f>IFERROR(IF(Y236=0,"",ROUNDUP(Y236/H236,0)*0.00902),"")</f>
        <v/>
      </c>
      <c r="AA236" s="56"/>
      <c r="AB236" s="57"/>
      <c r="AC236" s="301" t="s">
        <v>392</v>
      </c>
      <c r="AG236" s="64"/>
      <c r="AJ236" s="68"/>
      <c r="AK236" s="68">
        <v>0</v>
      </c>
      <c r="BB236" s="302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27" customHeight="1" x14ac:dyDescent="0.25">
      <c r="A237" s="54" t="s">
        <v>401</v>
      </c>
      <c r="B237" s="54" t="s">
        <v>402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98</v>
      </c>
      <c r="L237" s="32"/>
      <c r="M237" s="33" t="s">
        <v>94</v>
      </c>
      <c r="N237" s="33"/>
      <c r="O237" s="32">
        <v>55</v>
      </c>
      <c r="P237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0</v>
      </c>
      <c r="Y237" s="666">
        <f t="shared" si="37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38"/>
        <v>0</v>
      </c>
      <c r="BN237" s="64">
        <f t="shared" si="39"/>
        <v>0</v>
      </c>
      <c r="BO237" s="64">
        <f t="shared" si="40"/>
        <v>0</v>
      </c>
      <c r="BP237" s="64">
        <f t="shared" si="41"/>
        <v>0</v>
      </c>
    </row>
    <row r="238" spans="1:68" x14ac:dyDescent="0.2">
      <c r="A238" s="679"/>
      <c r="B238" s="680"/>
      <c r="C238" s="680"/>
      <c r="D238" s="680"/>
      <c r="E238" s="680"/>
      <c r="F238" s="680"/>
      <c r="G238" s="680"/>
      <c r="H238" s="680"/>
      <c r="I238" s="680"/>
      <c r="J238" s="680"/>
      <c r="K238" s="680"/>
      <c r="L238" s="680"/>
      <c r="M238" s="680"/>
      <c r="N238" s="680"/>
      <c r="O238" s="681"/>
      <c r="P238" s="685" t="s">
        <v>80</v>
      </c>
      <c r="Q238" s="686"/>
      <c r="R238" s="686"/>
      <c r="S238" s="686"/>
      <c r="T238" s="686"/>
      <c r="U238" s="686"/>
      <c r="V238" s="687"/>
      <c r="W238" s="37" t="s">
        <v>81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x14ac:dyDescent="0.2">
      <c r="A239" s="680"/>
      <c r="B239" s="680"/>
      <c r="C239" s="680"/>
      <c r="D239" s="680"/>
      <c r="E239" s="680"/>
      <c r="F239" s="680"/>
      <c r="G239" s="680"/>
      <c r="H239" s="680"/>
      <c r="I239" s="680"/>
      <c r="J239" s="680"/>
      <c r="K239" s="680"/>
      <c r="L239" s="680"/>
      <c r="M239" s="680"/>
      <c r="N239" s="680"/>
      <c r="O239" s="681"/>
      <c r="P239" s="685" t="s">
        <v>80</v>
      </c>
      <c r="Q239" s="686"/>
      <c r="R239" s="686"/>
      <c r="S239" s="686"/>
      <c r="T239" s="686"/>
      <c r="U239" s="686"/>
      <c r="V239" s="687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customHeight="1" x14ac:dyDescent="0.25">
      <c r="A240" s="682" t="s">
        <v>133</v>
      </c>
      <c r="B240" s="680"/>
      <c r="C240" s="680"/>
      <c r="D240" s="680"/>
      <c r="E240" s="680"/>
      <c r="F240" s="680"/>
      <c r="G240" s="680"/>
      <c r="H240" s="680"/>
      <c r="I240" s="680"/>
      <c r="J240" s="680"/>
      <c r="K240" s="680"/>
      <c r="L240" s="680"/>
      <c r="M240" s="680"/>
      <c r="N240" s="680"/>
      <c r="O240" s="680"/>
      <c r="P240" s="680"/>
      <c r="Q240" s="680"/>
      <c r="R240" s="680"/>
      <c r="S240" s="680"/>
      <c r="T240" s="680"/>
      <c r="U240" s="680"/>
      <c r="V240" s="680"/>
      <c r="W240" s="680"/>
      <c r="X240" s="680"/>
      <c r="Y240" s="680"/>
      <c r="Z240" s="680"/>
      <c r="AA240" s="661"/>
      <c r="AB240" s="661"/>
      <c r="AC240" s="661"/>
    </row>
    <row r="241" spans="1:68" ht="27" customHeight="1" x14ac:dyDescent="0.25">
      <c r="A241" s="54" t="s">
        <v>403</v>
      </c>
      <c r="B241" s="54" t="s">
        <v>404</v>
      </c>
      <c r="C241" s="31">
        <v>4301020340</v>
      </c>
      <c r="D241" s="669">
        <v>4680115885721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147</v>
      </c>
      <c r="L241" s="32"/>
      <c r="M241" s="33" t="s">
        <v>100</v>
      </c>
      <c r="N241" s="33"/>
      <c r="O241" s="32">
        <v>50</v>
      </c>
      <c r="P241" s="968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405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403</v>
      </c>
      <c r="B242" s="54" t="s">
        <v>406</v>
      </c>
      <c r="C242" s="31">
        <v>4301020377</v>
      </c>
      <c r="D242" s="669">
        <v>4680115885981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147</v>
      </c>
      <c r="L242" s="32"/>
      <c r="M242" s="33" t="s">
        <v>100</v>
      </c>
      <c r="N242" s="33"/>
      <c r="O242" s="32">
        <v>50</v>
      </c>
      <c r="P242" s="751" t="s">
        <v>407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405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9"/>
      <c r="B243" s="680"/>
      <c r="C243" s="680"/>
      <c r="D243" s="680"/>
      <c r="E243" s="680"/>
      <c r="F243" s="680"/>
      <c r="G243" s="680"/>
      <c r="H243" s="680"/>
      <c r="I243" s="680"/>
      <c r="J243" s="680"/>
      <c r="K243" s="680"/>
      <c r="L243" s="680"/>
      <c r="M243" s="680"/>
      <c r="N243" s="680"/>
      <c r="O243" s="681"/>
      <c r="P243" s="685" t="s">
        <v>80</v>
      </c>
      <c r="Q243" s="686"/>
      <c r="R243" s="686"/>
      <c r="S243" s="686"/>
      <c r="T243" s="686"/>
      <c r="U243" s="686"/>
      <c r="V243" s="687"/>
      <c r="W243" s="37" t="s">
        <v>81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x14ac:dyDescent="0.2">
      <c r="A244" s="680"/>
      <c r="B244" s="680"/>
      <c r="C244" s="680"/>
      <c r="D244" s="680"/>
      <c r="E244" s="680"/>
      <c r="F244" s="680"/>
      <c r="G244" s="680"/>
      <c r="H244" s="680"/>
      <c r="I244" s="680"/>
      <c r="J244" s="680"/>
      <c r="K244" s="680"/>
      <c r="L244" s="680"/>
      <c r="M244" s="680"/>
      <c r="N244" s="680"/>
      <c r="O244" s="681"/>
      <c r="P244" s="685" t="s">
        <v>80</v>
      </c>
      <c r="Q244" s="686"/>
      <c r="R244" s="686"/>
      <c r="S244" s="686"/>
      <c r="T244" s="686"/>
      <c r="U244" s="686"/>
      <c r="V244" s="687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customHeight="1" x14ac:dyDescent="0.25">
      <c r="A245" s="682" t="s">
        <v>408</v>
      </c>
      <c r="B245" s="680"/>
      <c r="C245" s="680"/>
      <c r="D245" s="680"/>
      <c r="E245" s="680"/>
      <c r="F245" s="680"/>
      <c r="G245" s="680"/>
      <c r="H245" s="680"/>
      <c r="I245" s="680"/>
      <c r="J245" s="680"/>
      <c r="K245" s="680"/>
      <c r="L245" s="680"/>
      <c r="M245" s="680"/>
      <c r="N245" s="680"/>
      <c r="O245" s="680"/>
      <c r="P245" s="680"/>
      <c r="Q245" s="680"/>
      <c r="R245" s="680"/>
      <c r="S245" s="680"/>
      <c r="T245" s="680"/>
      <c r="U245" s="680"/>
      <c r="V245" s="680"/>
      <c r="W245" s="680"/>
      <c r="X245" s="680"/>
      <c r="Y245" s="680"/>
      <c r="Z245" s="680"/>
      <c r="AA245" s="661"/>
      <c r="AB245" s="661"/>
      <c r="AC245" s="661"/>
    </row>
    <row r="246" spans="1:68" ht="27" customHeight="1" x14ac:dyDescent="0.25">
      <c r="A246" s="54" t="s">
        <v>409</v>
      </c>
      <c r="B246" s="54" t="s">
        <v>410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317</v>
      </c>
      <c r="L246" s="32"/>
      <c r="M246" s="33" t="s">
        <v>318</v>
      </c>
      <c r="N246" s="33"/>
      <c r="O246" s="32">
        <v>45</v>
      </c>
      <c r="P246" s="819" t="s">
        <v>411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320</v>
      </c>
      <c r="AC246" s="309" t="s">
        <v>412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9"/>
      <c r="B247" s="680"/>
      <c r="C247" s="680"/>
      <c r="D247" s="680"/>
      <c r="E247" s="680"/>
      <c r="F247" s="680"/>
      <c r="G247" s="680"/>
      <c r="H247" s="680"/>
      <c r="I247" s="680"/>
      <c r="J247" s="680"/>
      <c r="K247" s="680"/>
      <c r="L247" s="680"/>
      <c r="M247" s="680"/>
      <c r="N247" s="680"/>
      <c r="O247" s="681"/>
      <c r="P247" s="685" t="s">
        <v>80</v>
      </c>
      <c r="Q247" s="686"/>
      <c r="R247" s="686"/>
      <c r="S247" s="686"/>
      <c r="T247" s="686"/>
      <c r="U247" s="686"/>
      <c r="V247" s="687"/>
      <c r="W247" s="37" t="s">
        <v>81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x14ac:dyDescent="0.2">
      <c r="A248" s="680"/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0"/>
      <c r="N248" s="680"/>
      <c r="O248" s="681"/>
      <c r="P248" s="685" t="s">
        <v>80</v>
      </c>
      <c r="Q248" s="686"/>
      <c r="R248" s="686"/>
      <c r="S248" s="686"/>
      <c r="T248" s="686"/>
      <c r="U248" s="686"/>
      <c r="V248" s="687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customHeight="1" x14ac:dyDescent="0.25">
      <c r="A249" s="682" t="s">
        <v>413</v>
      </c>
      <c r="B249" s="680"/>
      <c r="C249" s="680"/>
      <c r="D249" s="680"/>
      <c r="E249" s="680"/>
      <c r="F249" s="680"/>
      <c r="G249" s="680"/>
      <c r="H249" s="680"/>
      <c r="I249" s="680"/>
      <c r="J249" s="680"/>
      <c r="K249" s="680"/>
      <c r="L249" s="680"/>
      <c r="M249" s="680"/>
      <c r="N249" s="680"/>
      <c r="O249" s="680"/>
      <c r="P249" s="680"/>
      <c r="Q249" s="680"/>
      <c r="R249" s="680"/>
      <c r="S249" s="680"/>
      <c r="T249" s="680"/>
      <c r="U249" s="680"/>
      <c r="V249" s="680"/>
      <c r="W249" s="680"/>
      <c r="X249" s="680"/>
      <c r="Y249" s="680"/>
      <c r="Z249" s="680"/>
      <c r="AA249" s="661"/>
      <c r="AB249" s="661"/>
      <c r="AC249" s="661"/>
    </row>
    <row r="250" spans="1:68" ht="27" customHeight="1" x14ac:dyDescent="0.25">
      <c r="A250" s="54" t="s">
        <v>414</v>
      </c>
      <c r="B250" s="54" t="s">
        <v>415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317</v>
      </c>
      <c r="L250" s="32"/>
      <c r="M250" s="33" t="s">
        <v>318</v>
      </c>
      <c r="N250" s="33"/>
      <c r="O250" s="32">
        <v>90</v>
      </c>
      <c r="P250" s="782" t="s">
        <v>416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320</v>
      </c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9"/>
      <c r="B251" s="680"/>
      <c r="C251" s="680"/>
      <c r="D251" s="680"/>
      <c r="E251" s="680"/>
      <c r="F251" s="680"/>
      <c r="G251" s="680"/>
      <c r="H251" s="680"/>
      <c r="I251" s="680"/>
      <c r="J251" s="680"/>
      <c r="K251" s="680"/>
      <c r="L251" s="680"/>
      <c r="M251" s="680"/>
      <c r="N251" s="680"/>
      <c r="O251" s="681"/>
      <c r="P251" s="685" t="s">
        <v>80</v>
      </c>
      <c r="Q251" s="686"/>
      <c r="R251" s="686"/>
      <c r="S251" s="686"/>
      <c r="T251" s="686"/>
      <c r="U251" s="686"/>
      <c r="V251" s="687"/>
      <c r="W251" s="37" t="s">
        <v>81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x14ac:dyDescent="0.2">
      <c r="A252" s="680"/>
      <c r="B252" s="680"/>
      <c r="C252" s="680"/>
      <c r="D252" s="680"/>
      <c r="E252" s="680"/>
      <c r="F252" s="680"/>
      <c r="G252" s="680"/>
      <c r="H252" s="680"/>
      <c r="I252" s="680"/>
      <c r="J252" s="680"/>
      <c r="K252" s="680"/>
      <c r="L252" s="680"/>
      <c r="M252" s="680"/>
      <c r="N252" s="680"/>
      <c r="O252" s="681"/>
      <c r="P252" s="685" t="s">
        <v>80</v>
      </c>
      <c r="Q252" s="686"/>
      <c r="R252" s="686"/>
      <c r="S252" s="686"/>
      <c r="T252" s="686"/>
      <c r="U252" s="686"/>
      <c r="V252" s="687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customHeight="1" x14ac:dyDescent="0.25">
      <c r="A253" s="716" t="s">
        <v>418</v>
      </c>
      <c r="B253" s="680"/>
      <c r="C253" s="680"/>
      <c r="D253" s="680"/>
      <c r="E253" s="680"/>
      <c r="F253" s="680"/>
      <c r="G253" s="680"/>
      <c r="H253" s="680"/>
      <c r="I253" s="680"/>
      <c r="J253" s="680"/>
      <c r="K253" s="680"/>
      <c r="L253" s="680"/>
      <c r="M253" s="680"/>
      <c r="N253" s="680"/>
      <c r="O253" s="680"/>
      <c r="P253" s="680"/>
      <c r="Q253" s="680"/>
      <c r="R253" s="680"/>
      <c r="S253" s="680"/>
      <c r="T253" s="680"/>
      <c r="U253" s="680"/>
      <c r="V253" s="680"/>
      <c r="W253" s="680"/>
      <c r="X253" s="680"/>
      <c r="Y253" s="680"/>
      <c r="Z253" s="680"/>
      <c r="AA253" s="660"/>
      <c r="AB253" s="660"/>
      <c r="AC253" s="660"/>
    </row>
    <row r="254" spans="1:68" ht="14.25" customHeight="1" x14ac:dyDescent="0.25">
      <c r="A254" s="682" t="s">
        <v>90</v>
      </c>
      <c r="B254" s="680"/>
      <c r="C254" s="680"/>
      <c r="D254" s="680"/>
      <c r="E254" s="680"/>
      <c r="F254" s="680"/>
      <c r="G254" s="680"/>
      <c r="H254" s="680"/>
      <c r="I254" s="680"/>
      <c r="J254" s="680"/>
      <c r="K254" s="680"/>
      <c r="L254" s="680"/>
      <c r="M254" s="680"/>
      <c r="N254" s="680"/>
      <c r="O254" s="680"/>
      <c r="P254" s="680"/>
      <c r="Q254" s="680"/>
      <c r="R254" s="680"/>
      <c r="S254" s="680"/>
      <c r="T254" s="680"/>
      <c r="U254" s="680"/>
      <c r="V254" s="680"/>
      <c r="W254" s="680"/>
      <c r="X254" s="680"/>
      <c r="Y254" s="680"/>
      <c r="Z254" s="680"/>
      <c r="AA254" s="661"/>
      <c r="AB254" s="661"/>
      <c r="AC254" s="661"/>
    </row>
    <row r="255" spans="1:68" ht="27" customHeight="1" x14ac:dyDescent="0.25">
      <c r="A255" s="54" t="s">
        <v>419</v>
      </c>
      <c r="B255" s="54" t="s">
        <v>420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93</v>
      </c>
      <c r="L255" s="32"/>
      <c r="M255" s="33" t="s">
        <v>94</v>
      </c>
      <c r="N255" s="33"/>
      <c r="O255" s="32">
        <v>55</v>
      </c>
      <c r="P255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0</v>
      </c>
      <c r="Y255" s="666">
        <f t="shared" ref="Y255:Y260" si="42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421</v>
      </c>
      <c r="AG255" s="64"/>
      <c r="AJ255" s="68"/>
      <c r="AK255" s="68">
        <v>0</v>
      </c>
      <c r="BB255" s="314" t="s">
        <v>1</v>
      </c>
      <c r="BM255" s="64">
        <f t="shared" ref="BM255:BM260" si="43">IFERROR(X255*I255/H255,"0")</f>
        <v>0</v>
      </c>
      <c r="BN255" s="64">
        <f t="shared" ref="BN255:BN260" si="44">IFERROR(Y255*I255/H255,"0")</f>
        <v>0</v>
      </c>
      <c r="BO255" s="64">
        <f t="shared" ref="BO255:BO260" si="45">IFERROR(1/J255*(X255/H255),"0")</f>
        <v>0</v>
      </c>
      <c r="BP255" s="64">
        <f t="shared" ref="BP255:BP260" si="46"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4301011910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11.28</v>
      </c>
      <c r="J256" s="32">
        <v>48</v>
      </c>
      <c r="K256" s="32" t="s">
        <v>93</v>
      </c>
      <c r="L256" s="32"/>
      <c r="M256" s="33" t="s">
        <v>386</v>
      </c>
      <c r="N256" s="33"/>
      <c r="O256" s="32">
        <v>55</v>
      </c>
      <c r="P256" s="920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0</v>
      </c>
      <c r="Y256" s="666">
        <f t="shared" si="42"/>
        <v>0</v>
      </c>
      <c r="Z256" s="36" t="str">
        <f>IFERROR(IF(Y256=0,"",ROUNDUP(Y256/H256,0)*0.02039),"")</f>
        <v/>
      </c>
      <c r="AA256" s="56"/>
      <c r="AB256" s="57"/>
      <c r="AC256" s="315" t="s">
        <v>424</v>
      </c>
      <c r="AG256" s="64"/>
      <c r="AJ256" s="68"/>
      <c r="AK256" s="68">
        <v>0</v>
      </c>
      <c r="BB256" s="316" t="s">
        <v>1</v>
      </c>
      <c r="BM256" s="64">
        <f t="shared" si="43"/>
        <v>0</v>
      </c>
      <c r="BN256" s="64">
        <f t="shared" si="44"/>
        <v>0</v>
      </c>
      <c r="BO256" s="64">
        <f t="shared" si="45"/>
        <v>0</v>
      </c>
      <c r="BP256" s="64">
        <f t="shared" si="46"/>
        <v>0</v>
      </c>
    </row>
    <row r="257" spans="1:68" ht="27" customHeight="1" x14ac:dyDescent="0.25">
      <c r="A257" s="54" t="s">
        <v>422</v>
      </c>
      <c r="B257" s="54" t="s">
        <v>425</v>
      </c>
      <c r="C257" s="31">
        <v>4301011850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11.234999999999999</v>
      </c>
      <c r="J257" s="32">
        <v>64</v>
      </c>
      <c r="K257" s="32" t="s">
        <v>93</v>
      </c>
      <c r="L257" s="32"/>
      <c r="M257" s="33" t="s">
        <v>94</v>
      </c>
      <c r="N257" s="33"/>
      <c r="O257" s="32">
        <v>55</v>
      </c>
      <c r="P257" s="93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20</v>
      </c>
      <c r="Y257" s="666">
        <f t="shared" si="42"/>
        <v>21.6</v>
      </c>
      <c r="Z257" s="36">
        <f>IFERROR(IF(Y257=0,"",ROUNDUP(Y257/H257,0)*0.01898),"")</f>
        <v>3.7960000000000001E-2</v>
      </c>
      <c r="AA257" s="56"/>
      <c r="AB257" s="57"/>
      <c r="AC257" s="317" t="s">
        <v>426</v>
      </c>
      <c r="AG257" s="64"/>
      <c r="AJ257" s="68"/>
      <c r="AK257" s="68">
        <v>0</v>
      </c>
      <c r="BB257" s="318" t="s">
        <v>1</v>
      </c>
      <c r="BM257" s="64">
        <f t="shared" si="43"/>
        <v>20.805555555555554</v>
      </c>
      <c r="BN257" s="64">
        <f t="shared" si="44"/>
        <v>22.47</v>
      </c>
      <c r="BO257" s="64">
        <f t="shared" si="45"/>
        <v>2.8935185185185182E-2</v>
      </c>
      <c r="BP257" s="64">
        <f t="shared" si="46"/>
        <v>3.125E-2</v>
      </c>
    </row>
    <row r="258" spans="1:68" ht="37.5" customHeight="1" x14ac:dyDescent="0.25">
      <c r="A258" s="54" t="s">
        <v>427</v>
      </c>
      <c r="B258" s="54" t="s">
        <v>428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93</v>
      </c>
      <c r="L258" s="32"/>
      <c r="M258" s="33" t="s">
        <v>94</v>
      </c>
      <c r="N258" s="33"/>
      <c r="O258" s="32">
        <v>55</v>
      </c>
      <c r="P258" s="78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0</v>
      </c>
      <c r="Y258" s="666">
        <f t="shared" si="42"/>
        <v>0</v>
      </c>
      <c r="Z258" s="36" t="str">
        <f>IFERROR(IF(Y258=0,"",ROUNDUP(Y258/H258,0)*0.01898),"")</f>
        <v/>
      </c>
      <c r="AA258" s="56"/>
      <c r="AB258" s="57"/>
      <c r="AC258" s="319" t="s">
        <v>429</v>
      </c>
      <c r="AG258" s="64"/>
      <c r="AJ258" s="68"/>
      <c r="AK258" s="68">
        <v>0</v>
      </c>
      <c r="BB258" s="320" t="s">
        <v>1</v>
      </c>
      <c r="BM258" s="64">
        <f t="shared" si="43"/>
        <v>0</v>
      </c>
      <c r="BN258" s="64">
        <f t="shared" si="44"/>
        <v>0</v>
      </c>
      <c r="BO258" s="64">
        <f t="shared" si="45"/>
        <v>0</v>
      </c>
      <c r="BP258" s="64">
        <f t="shared" si="46"/>
        <v>0</v>
      </c>
    </row>
    <row r="259" spans="1:68" ht="27" customHeight="1" x14ac:dyDescent="0.25">
      <c r="A259" s="54" t="s">
        <v>430</v>
      </c>
      <c r="B259" s="54" t="s">
        <v>431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98</v>
      </c>
      <c r="L259" s="32"/>
      <c r="M259" s="33" t="s">
        <v>94</v>
      </c>
      <c r="N259" s="33"/>
      <c r="O259" s="32">
        <v>55</v>
      </c>
      <c r="P259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2"/>
        <v>0</v>
      </c>
      <c r="Z259" s="36" t="str">
        <f>IFERROR(IF(Y259=0,"",ROUNDUP(Y259/H259,0)*0.00902),"")</f>
        <v/>
      </c>
      <c r="AA259" s="56"/>
      <c r="AB259" s="57"/>
      <c r="AC259" s="321" t="s">
        <v>432</v>
      </c>
      <c r="AG259" s="64"/>
      <c r="AJ259" s="68"/>
      <c r="AK259" s="68">
        <v>0</v>
      </c>
      <c r="BB259" s="322" t="s">
        <v>1</v>
      </c>
      <c r="BM259" s="64">
        <f t="shared" si="43"/>
        <v>0</v>
      </c>
      <c r="BN259" s="64">
        <f t="shared" si="44"/>
        <v>0</v>
      </c>
      <c r="BO259" s="64">
        <f t="shared" si="45"/>
        <v>0</v>
      </c>
      <c r="BP259" s="64">
        <f t="shared" si="46"/>
        <v>0</v>
      </c>
    </row>
    <row r="260" spans="1:68" ht="27" customHeight="1" x14ac:dyDescent="0.25">
      <c r="A260" s="54" t="s">
        <v>433</v>
      </c>
      <c r="B260" s="54" t="s">
        <v>434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98</v>
      </c>
      <c r="L260" s="32"/>
      <c r="M260" s="33" t="s">
        <v>94</v>
      </c>
      <c r="N260" s="33"/>
      <c r="O260" s="32">
        <v>55</v>
      </c>
      <c r="P260" s="8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0</v>
      </c>
      <c r="Y260" s="666">
        <f t="shared" si="42"/>
        <v>0</v>
      </c>
      <c r="Z260" s="36" t="str">
        <f>IFERROR(IF(Y260=0,"",ROUNDUP(Y260/H260,0)*0.00902),"")</f>
        <v/>
      </c>
      <c r="AA260" s="56"/>
      <c r="AB260" s="57"/>
      <c r="AC260" s="323" t="s">
        <v>435</v>
      </c>
      <c r="AG260" s="64"/>
      <c r="AJ260" s="68"/>
      <c r="AK260" s="68">
        <v>0</v>
      </c>
      <c r="BB260" s="324" t="s">
        <v>1</v>
      </c>
      <c r="BM260" s="64">
        <f t="shared" si="43"/>
        <v>0</v>
      </c>
      <c r="BN260" s="64">
        <f t="shared" si="44"/>
        <v>0</v>
      </c>
      <c r="BO260" s="64">
        <f t="shared" si="45"/>
        <v>0</v>
      </c>
      <c r="BP260" s="64">
        <f t="shared" si="46"/>
        <v>0</v>
      </c>
    </row>
    <row r="261" spans="1:68" x14ac:dyDescent="0.2">
      <c r="A261" s="679"/>
      <c r="B261" s="680"/>
      <c r="C261" s="680"/>
      <c r="D261" s="680"/>
      <c r="E261" s="680"/>
      <c r="F261" s="680"/>
      <c r="G261" s="680"/>
      <c r="H261" s="680"/>
      <c r="I261" s="680"/>
      <c r="J261" s="680"/>
      <c r="K261" s="680"/>
      <c r="L261" s="680"/>
      <c r="M261" s="680"/>
      <c r="N261" s="680"/>
      <c r="O261" s="681"/>
      <c r="P261" s="685" t="s">
        <v>80</v>
      </c>
      <c r="Q261" s="686"/>
      <c r="R261" s="686"/>
      <c r="S261" s="686"/>
      <c r="T261" s="686"/>
      <c r="U261" s="686"/>
      <c r="V261" s="687"/>
      <c r="W261" s="37" t="s">
        <v>81</v>
      </c>
      <c r="X261" s="667">
        <f>IFERROR(X255/H255,"0")+IFERROR(X256/H256,"0")+IFERROR(X257/H257,"0")+IFERROR(X258/H258,"0")+IFERROR(X259/H259,"0")+IFERROR(X260/H260,"0")</f>
        <v>1.8518518518518516</v>
      </c>
      <c r="Y261" s="667">
        <f>IFERROR(Y255/H255,"0")+IFERROR(Y256/H256,"0")+IFERROR(Y257/H257,"0")+IFERROR(Y258/H258,"0")+IFERROR(Y259/H259,"0")+IFERROR(Y260/H260,"0")</f>
        <v>2</v>
      </c>
      <c r="Z261" s="667">
        <f>IFERROR(IF(Z255="",0,Z255),"0")+IFERROR(IF(Z256="",0,Z256),"0")+IFERROR(IF(Z257="",0,Z257),"0")+IFERROR(IF(Z258="",0,Z258),"0")+IFERROR(IF(Z259="",0,Z259),"0")+IFERROR(IF(Z260="",0,Z260),"0")</f>
        <v>3.7960000000000001E-2</v>
      </c>
      <c r="AA261" s="668"/>
      <c r="AB261" s="668"/>
      <c r="AC261" s="668"/>
    </row>
    <row r="262" spans="1:68" x14ac:dyDescent="0.2">
      <c r="A262" s="680"/>
      <c r="B262" s="680"/>
      <c r="C262" s="680"/>
      <c r="D262" s="680"/>
      <c r="E262" s="680"/>
      <c r="F262" s="680"/>
      <c r="G262" s="680"/>
      <c r="H262" s="680"/>
      <c r="I262" s="680"/>
      <c r="J262" s="680"/>
      <c r="K262" s="680"/>
      <c r="L262" s="680"/>
      <c r="M262" s="680"/>
      <c r="N262" s="680"/>
      <c r="O262" s="681"/>
      <c r="P262" s="685" t="s">
        <v>80</v>
      </c>
      <c r="Q262" s="686"/>
      <c r="R262" s="686"/>
      <c r="S262" s="686"/>
      <c r="T262" s="686"/>
      <c r="U262" s="686"/>
      <c r="V262" s="687"/>
      <c r="W262" s="37" t="s">
        <v>69</v>
      </c>
      <c r="X262" s="667">
        <f>IFERROR(SUM(X255:X260),"0")</f>
        <v>20</v>
      </c>
      <c r="Y262" s="667">
        <f>IFERROR(SUM(Y255:Y260),"0")</f>
        <v>21.6</v>
      </c>
      <c r="Z262" s="37"/>
      <c r="AA262" s="668"/>
      <c r="AB262" s="668"/>
      <c r="AC262" s="668"/>
    </row>
    <row r="263" spans="1:68" ht="16.5" customHeight="1" x14ac:dyDescent="0.25">
      <c r="A263" s="716" t="s">
        <v>436</v>
      </c>
      <c r="B263" s="680"/>
      <c r="C263" s="680"/>
      <c r="D263" s="680"/>
      <c r="E263" s="680"/>
      <c r="F263" s="680"/>
      <c r="G263" s="680"/>
      <c r="H263" s="680"/>
      <c r="I263" s="680"/>
      <c r="J263" s="680"/>
      <c r="K263" s="680"/>
      <c r="L263" s="680"/>
      <c r="M263" s="680"/>
      <c r="N263" s="680"/>
      <c r="O263" s="680"/>
      <c r="P263" s="680"/>
      <c r="Q263" s="680"/>
      <c r="R263" s="680"/>
      <c r="S263" s="680"/>
      <c r="T263" s="680"/>
      <c r="U263" s="680"/>
      <c r="V263" s="680"/>
      <c r="W263" s="680"/>
      <c r="X263" s="680"/>
      <c r="Y263" s="680"/>
      <c r="Z263" s="680"/>
      <c r="AA263" s="660"/>
      <c r="AB263" s="660"/>
      <c r="AC263" s="660"/>
    </row>
    <row r="264" spans="1:68" ht="14.25" customHeight="1" x14ac:dyDescent="0.25">
      <c r="A264" s="682" t="s">
        <v>90</v>
      </c>
      <c r="B264" s="680"/>
      <c r="C264" s="680"/>
      <c r="D264" s="680"/>
      <c r="E264" s="680"/>
      <c r="F264" s="680"/>
      <c r="G264" s="680"/>
      <c r="H264" s="680"/>
      <c r="I264" s="680"/>
      <c r="J264" s="680"/>
      <c r="K264" s="680"/>
      <c r="L264" s="680"/>
      <c r="M264" s="680"/>
      <c r="N264" s="680"/>
      <c r="O264" s="680"/>
      <c r="P264" s="680"/>
      <c r="Q264" s="680"/>
      <c r="R264" s="680"/>
      <c r="S264" s="680"/>
      <c r="T264" s="680"/>
      <c r="U264" s="680"/>
      <c r="V264" s="680"/>
      <c r="W264" s="680"/>
      <c r="X264" s="680"/>
      <c r="Y264" s="680"/>
      <c r="Z264" s="680"/>
      <c r="AA264" s="661"/>
      <c r="AB264" s="661"/>
      <c r="AC264" s="661"/>
    </row>
    <row r="265" spans="1:68" ht="37.5" customHeight="1" x14ac:dyDescent="0.25">
      <c r="A265" s="54" t="s">
        <v>437</v>
      </c>
      <c r="B265" s="54" t="s">
        <v>438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93</v>
      </c>
      <c r="L265" s="32"/>
      <c r="M265" s="33" t="s">
        <v>94</v>
      </c>
      <c r="N265" s="33"/>
      <c r="O265" s="32">
        <v>31</v>
      </c>
      <c r="P265" s="73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439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9"/>
      <c r="B266" s="680"/>
      <c r="C266" s="680"/>
      <c r="D266" s="680"/>
      <c r="E266" s="680"/>
      <c r="F266" s="680"/>
      <c r="G266" s="680"/>
      <c r="H266" s="680"/>
      <c r="I266" s="680"/>
      <c r="J266" s="680"/>
      <c r="K266" s="680"/>
      <c r="L266" s="680"/>
      <c r="M266" s="680"/>
      <c r="N266" s="680"/>
      <c r="O266" s="681"/>
      <c r="P266" s="685" t="s">
        <v>80</v>
      </c>
      <c r="Q266" s="686"/>
      <c r="R266" s="686"/>
      <c r="S266" s="686"/>
      <c r="T266" s="686"/>
      <c r="U266" s="686"/>
      <c r="V266" s="687"/>
      <c r="W266" s="37" t="s">
        <v>81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x14ac:dyDescent="0.2">
      <c r="A267" s="680"/>
      <c r="B267" s="680"/>
      <c r="C267" s="680"/>
      <c r="D267" s="680"/>
      <c r="E267" s="680"/>
      <c r="F267" s="680"/>
      <c r="G267" s="680"/>
      <c r="H267" s="680"/>
      <c r="I267" s="680"/>
      <c r="J267" s="680"/>
      <c r="K267" s="680"/>
      <c r="L267" s="680"/>
      <c r="M267" s="680"/>
      <c r="N267" s="680"/>
      <c r="O267" s="681"/>
      <c r="P267" s="685" t="s">
        <v>80</v>
      </c>
      <c r="Q267" s="686"/>
      <c r="R267" s="686"/>
      <c r="S267" s="686"/>
      <c r="T267" s="686"/>
      <c r="U267" s="686"/>
      <c r="V267" s="687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customHeight="1" x14ac:dyDescent="0.25">
      <c r="A268" s="716" t="s">
        <v>440</v>
      </c>
      <c r="B268" s="680"/>
      <c r="C268" s="680"/>
      <c r="D268" s="680"/>
      <c r="E268" s="680"/>
      <c r="F268" s="680"/>
      <c r="G268" s="680"/>
      <c r="H268" s="680"/>
      <c r="I268" s="680"/>
      <c r="J268" s="680"/>
      <c r="K268" s="680"/>
      <c r="L268" s="680"/>
      <c r="M268" s="680"/>
      <c r="N268" s="680"/>
      <c r="O268" s="680"/>
      <c r="P268" s="680"/>
      <c r="Q268" s="680"/>
      <c r="R268" s="680"/>
      <c r="S268" s="680"/>
      <c r="T268" s="680"/>
      <c r="U268" s="680"/>
      <c r="V268" s="680"/>
      <c r="W268" s="680"/>
      <c r="X268" s="680"/>
      <c r="Y268" s="680"/>
      <c r="Z268" s="680"/>
      <c r="AA268" s="660"/>
      <c r="AB268" s="660"/>
      <c r="AC268" s="660"/>
    </row>
    <row r="269" spans="1:68" ht="14.25" customHeight="1" x14ac:dyDescent="0.25">
      <c r="A269" s="682" t="s">
        <v>90</v>
      </c>
      <c r="B269" s="680"/>
      <c r="C269" s="680"/>
      <c r="D269" s="680"/>
      <c r="E269" s="680"/>
      <c r="F269" s="680"/>
      <c r="G269" s="680"/>
      <c r="H269" s="680"/>
      <c r="I269" s="680"/>
      <c r="J269" s="680"/>
      <c r="K269" s="680"/>
      <c r="L269" s="680"/>
      <c r="M269" s="680"/>
      <c r="N269" s="680"/>
      <c r="O269" s="680"/>
      <c r="P269" s="680"/>
      <c r="Q269" s="680"/>
      <c r="R269" s="680"/>
      <c r="S269" s="680"/>
      <c r="T269" s="680"/>
      <c r="U269" s="680"/>
      <c r="V269" s="680"/>
      <c r="W269" s="680"/>
      <c r="X269" s="680"/>
      <c r="Y269" s="680"/>
      <c r="Z269" s="680"/>
      <c r="AA269" s="661"/>
      <c r="AB269" s="661"/>
      <c r="AC269" s="661"/>
    </row>
    <row r="270" spans="1:68" ht="27" customHeight="1" x14ac:dyDescent="0.25">
      <c r="A270" s="54" t="s">
        <v>441</v>
      </c>
      <c r="B270" s="54" t="s">
        <v>442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93</v>
      </c>
      <c r="L270" s="32"/>
      <c r="M270" s="33" t="s">
        <v>100</v>
      </c>
      <c r="N270" s="33"/>
      <c r="O270" s="32">
        <v>35</v>
      </c>
      <c r="P270" s="97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95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443</v>
      </c>
      <c r="B271" s="54" t="s">
        <v>444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93</v>
      </c>
      <c r="L271" s="32"/>
      <c r="M271" s="33" t="s">
        <v>100</v>
      </c>
      <c r="N271" s="33"/>
      <c r="O271" s="32">
        <v>30</v>
      </c>
      <c r="P271" s="728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445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446</v>
      </c>
      <c r="B272" s="54" t="s">
        <v>447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93</v>
      </c>
      <c r="L272" s="32"/>
      <c r="M272" s="33" t="s">
        <v>100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448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9"/>
      <c r="B273" s="680"/>
      <c r="C273" s="680"/>
      <c r="D273" s="680"/>
      <c r="E273" s="680"/>
      <c r="F273" s="680"/>
      <c r="G273" s="680"/>
      <c r="H273" s="680"/>
      <c r="I273" s="680"/>
      <c r="J273" s="680"/>
      <c r="K273" s="680"/>
      <c r="L273" s="680"/>
      <c r="M273" s="680"/>
      <c r="N273" s="680"/>
      <c r="O273" s="681"/>
      <c r="P273" s="685" t="s">
        <v>80</v>
      </c>
      <c r="Q273" s="686"/>
      <c r="R273" s="686"/>
      <c r="S273" s="686"/>
      <c r="T273" s="686"/>
      <c r="U273" s="686"/>
      <c r="V273" s="687"/>
      <c r="W273" s="37" t="s">
        <v>81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x14ac:dyDescent="0.2">
      <c r="A274" s="680"/>
      <c r="B274" s="680"/>
      <c r="C274" s="680"/>
      <c r="D274" s="680"/>
      <c r="E274" s="680"/>
      <c r="F274" s="680"/>
      <c r="G274" s="680"/>
      <c r="H274" s="680"/>
      <c r="I274" s="680"/>
      <c r="J274" s="680"/>
      <c r="K274" s="680"/>
      <c r="L274" s="680"/>
      <c r="M274" s="680"/>
      <c r="N274" s="680"/>
      <c r="O274" s="681"/>
      <c r="P274" s="685" t="s">
        <v>80</v>
      </c>
      <c r="Q274" s="686"/>
      <c r="R274" s="686"/>
      <c r="S274" s="686"/>
      <c r="T274" s="686"/>
      <c r="U274" s="686"/>
      <c r="V274" s="687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customHeight="1" x14ac:dyDescent="0.25">
      <c r="A275" s="716" t="s">
        <v>449</v>
      </c>
      <c r="B275" s="680"/>
      <c r="C275" s="680"/>
      <c r="D275" s="680"/>
      <c r="E275" s="680"/>
      <c r="F275" s="680"/>
      <c r="G275" s="680"/>
      <c r="H275" s="680"/>
      <c r="I275" s="680"/>
      <c r="J275" s="680"/>
      <c r="K275" s="680"/>
      <c r="L275" s="680"/>
      <c r="M275" s="680"/>
      <c r="N275" s="680"/>
      <c r="O275" s="680"/>
      <c r="P275" s="680"/>
      <c r="Q275" s="680"/>
      <c r="R275" s="680"/>
      <c r="S275" s="680"/>
      <c r="T275" s="680"/>
      <c r="U275" s="680"/>
      <c r="V275" s="680"/>
      <c r="W275" s="680"/>
      <c r="X275" s="680"/>
      <c r="Y275" s="680"/>
      <c r="Z275" s="680"/>
      <c r="AA275" s="660"/>
      <c r="AB275" s="660"/>
      <c r="AC275" s="660"/>
    </row>
    <row r="276" spans="1:68" ht="14.25" customHeight="1" x14ac:dyDescent="0.25">
      <c r="A276" s="682" t="s">
        <v>64</v>
      </c>
      <c r="B276" s="680"/>
      <c r="C276" s="680"/>
      <c r="D276" s="680"/>
      <c r="E276" s="680"/>
      <c r="F276" s="680"/>
      <c r="G276" s="680"/>
      <c r="H276" s="680"/>
      <c r="I276" s="680"/>
      <c r="J276" s="680"/>
      <c r="K276" s="680"/>
      <c r="L276" s="680"/>
      <c r="M276" s="680"/>
      <c r="N276" s="680"/>
      <c r="O276" s="680"/>
      <c r="P276" s="680"/>
      <c r="Q276" s="680"/>
      <c r="R276" s="680"/>
      <c r="S276" s="680"/>
      <c r="T276" s="680"/>
      <c r="U276" s="680"/>
      <c r="V276" s="680"/>
      <c r="W276" s="680"/>
      <c r="X276" s="680"/>
      <c r="Y276" s="680"/>
      <c r="Z276" s="680"/>
      <c r="AA276" s="661"/>
      <c r="AB276" s="661"/>
      <c r="AC276" s="661"/>
    </row>
    <row r="277" spans="1:68" ht="37.5" customHeight="1" x14ac:dyDescent="0.25">
      <c r="A277" s="54" t="s">
        <v>450</v>
      </c>
      <c r="B277" s="54" t="s">
        <v>451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98</v>
      </c>
      <c r="L277" s="32"/>
      <c r="M277" s="33" t="s">
        <v>129</v>
      </c>
      <c r="N277" s="33"/>
      <c r="O277" s="32">
        <v>40</v>
      </c>
      <c r="P277" s="84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452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453</v>
      </c>
      <c r="B278" s="54" t="s">
        <v>454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100</v>
      </c>
      <c r="N278" s="33"/>
      <c r="O278" s="32">
        <v>45</v>
      </c>
      <c r="P278" s="97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455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456</v>
      </c>
      <c r="B279" s="54" t="s">
        <v>457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129</v>
      </c>
      <c r="N279" s="33"/>
      <c r="O279" s="32">
        <v>40</v>
      </c>
      <c r="P279" s="91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452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458</v>
      </c>
      <c r="B280" s="54" t="s">
        <v>459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99</v>
      </c>
      <c r="M280" s="33" t="s">
        <v>100</v>
      </c>
      <c r="N280" s="33"/>
      <c r="O280" s="32">
        <v>45</v>
      </c>
      <c r="P280" s="81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460</v>
      </c>
      <c r="AG280" s="64"/>
      <c r="AJ280" s="68" t="s">
        <v>101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461</v>
      </c>
      <c r="B281" s="54" t="s">
        <v>462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98</v>
      </c>
      <c r="L281" s="32"/>
      <c r="M281" s="33" t="s">
        <v>100</v>
      </c>
      <c r="N281" s="33"/>
      <c r="O281" s="32">
        <v>45</v>
      </c>
      <c r="P281" s="795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455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9"/>
      <c r="B282" s="680"/>
      <c r="C282" s="680"/>
      <c r="D282" s="680"/>
      <c r="E282" s="680"/>
      <c r="F282" s="680"/>
      <c r="G282" s="680"/>
      <c r="H282" s="680"/>
      <c r="I282" s="680"/>
      <c r="J282" s="680"/>
      <c r="K282" s="680"/>
      <c r="L282" s="680"/>
      <c r="M282" s="680"/>
      <c r="N282" s="680"/>
      <c r="O282" s="681"/>
      <c r="P282" s="685" t="s">
        <v>80</v>
      </c>
      <c r="Q282" s="686"/>
      <c r="R282" s="686"/>
      <c r="S282" s="686"/>
      <c r="T282" s="686"/>
      <c r="U282" s="686"/>
      <c r="V282" s="687"/>
      <c r="W282" s="37" t="s">
        <v>81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x14ac:dyDescent="0.2">
      <c r="A283" s="680"/>
      <c r="B283" s="680"/>
      <c r="C283" s="680"/>
      <c r="D283" s="680"/>
      <c r="E283" s="680"/>
      <c r="F283" s="680"/>
      <c r="G283" s="680"/>
      <c r="H283" s="680"/>
      <c r="I283" s="680"/>
      <c r="J283" s="680"/>
      <c r="K283" s="680"/>
      <c r="L283" s="680"/>
      <c r="M283" s="680"/>
      <c r="N283" s="680"/>
      <c r="O283" s="681"/>
      <c r="P283" s="685" t="s">
        <v>80</v>
      </c>
      <c r="Q283" s="686"/>
      <c r="R283" s="686"/>
      <c r="S283" s="686"/>
      <c r="T283" s="686"/>
      <c r="U283" s="686"/>
      <c r="V283" s="687"/>
      <c r="W283" s="37" t="s">
        <v>69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customHeight="1" x14ac:dyDescent="0.25">
      <c r="A284" s="716" t="s">
        <v>463</v>
      </c>
      <c r="B284" s="680"/>
      <c r="C284" s="680"/>
      <c r="D284" s="680"/>
      <c r="E284" s="680"/>
      <c r="F284" s="680"/>
      <c r="G284" s="680"/>
      <c r="H284" s="680"/>
      <c r="I284" s="680"/>
      <c r="J284" s="680"/>
      <c r="K284" s="680"/>
      <c r="L284" s="680"/>
      <c r="M284" s="680"/>
      <c r="N284" s="680"/>
      <c r="O284" s="680"/>
      <c r="P284" s="680"/>
      <c r="Q284" s="680"/>
      <c r="R284" s="680"/>
      <c r="S284" s="680"/>
      <c r="T284" s="680"/>
      <c r="U284" s="680"/>
      <c r="V284" s="680"/>
      <c r="W284" s="680"/>
      <c r="X284" s="680"/>
      <c r="Y284" s="680"/>
      <c r="Z284" s="680"/>
      <c r="AA284" s="660"/>
      <c r="AB284" s="660"/>
      <c r="AC284" s="660"/>
    </row>
    <row r="285" spans="1:68" ht="14.25" customHeight="1" x14ac:dyDescent="0.25">
      <c r="A285" s="682" t="s">
        <v>90</v>
      </c>
      <c r="B285" s="680"/>
      <c r="C285" s="680"/>
      <c r="D285" s="680"/>
      <c r="E285" s="680"/>
      <c r="F285" s="680"/>
      <c r="G285" s="680"/>
      <c r="H285" s="680"/>
      <c r="I285" s="680"/>
      <c r="J285" s="680"/>
      <c r="K285" s="680"/>
      <c r="L285" s="680"/>
      <c r="M285" s="680"/>
      <c r="N285" s="680"/>
      <c r="O285" s="680"/>
      <c r="P285" s="680"/>
      <c r="Q285" s="680"/>
      <c r="R285" s="680"/>
      <c r="S285" s="680"/>
      <c r="T285" s="680"/>
      <c r="U285" s="680"/>
      <c r="V285" s="680"/>
      <c r="W285" s="680"/>
      <c r="X285" s="680"/>
      <c r="Y285" s="680"/>
      <c r="Z285" s="680"/>
      <c r="AA285" s="661"/>
      <c r="AB285" s="661"/>
      <c r="AC285" s="661"/>
    </row>
    <row r="286" spans="1:68" ht="27" customHeight="1" x14ac:dyDescent="0.25">
      <c r="A286" s="54" t="s">
        <v>464</v>
      </c>
      <c r="B286" s="54" t="s">
        <v>465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98</v>
      </c>
      <c r="L286" s="32"/>
      <c r="M286" s="33" t="s">
        <v>100</v>
      </c>
      <c r="N286" s="33"/>
      <c r="O286" s="32">
        <v>45</v>
      </c>
      <c r="P286" s="785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466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9"/>
      <c r="B287" s="680"/>
      <c r="C287" s="680"/>
      <c r="D287" s="680"/>
      <c r="E287" s="680"/>
      <c r="F287" s="680"/>
      <c r="G287" s="680"/>
      <c r="H287" s="680"/>
      <c r="I287" s="680"/>
      <c r="J287" s="680"/>
      <c r="K287" s="680"/>
      <c r="L287" s="680"/>
      <c r="M287" s="680"/>
      <c r="N287" s="680"/>
      <c r="O287" s="681"/>
      <c r="P287" s="685" t="s">
        <v>80</v>
      </c>
      <c r="Q287" s="686"/>
      <c r="R287" s="686"/>
      <c r="S287" s="686"/>
      <c r="T287" s="686"/>
      <c r="U287" s="686"/>
      <c r="V287" s="687"/>
      <c r="W287" s="37" t="s">
        <v>81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x14ac:dyDescent="0.2">
      <c r="A288" s="680"/>
      <c r="B288" s="680"/>
      <c r="C288" s="680"/>
      <c r="D288" s="680"/>
      <c r="E288" s="680"/>
      <c r="F288" s="680"/>
      <c r="G288" s="680"/>
      <c r="H288" s="680"/>
      <c r="I288" s="680"/>
      <c r="J288" s="680"/>
      <c r="K288" s="680"/>
      <c r="L288" s="680"/>
      <c r="M288" s="680"/>
      <c r="N288" s="680"/>
      <c r="O288" s="681"/>
      <c r="P288" s="685" t="s">
        <v>80</v>
      </c>
      <c r="Q288" s="686"/>
      <c r="R288" s="686"/>
      <c r="S288" s="686"/>
      <c r="T288" s="686"/>
      <c r="U288" s="686"/>
      <c r="V288" s="687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customHeight="1" x14ac:dyDescent="0.25">
      <c r="A289" s="682" t="s">
        <v>144</v>
      </c>
      <c r="B289" s="680"/>
      <c r="C289" s="680"/>
      <c r="D289" s="680"/>
      <c r="E289" s="680"/>
      <c r="F289" s="680"/>
      <c r="G289" s="680"/>
      <c r="H289" s="680"/>
      <c r="I289" s="680"/>
      <c r="J289" s="680"/>
      <c r="K289" s="680"/>
      <c r="L289" s="680"/>
      <c r="M289" s="680"/>
      <c r="N289" s="680"/>
      <c r="O289" s="680"/>
      <c r="P289" s="680"/>
      <c r="Q289" s="680"/>
      <c r="R289" s="680"/>
      <c r="S289" s="680"/>
      <c r="T289" s="680"/>
      <c r="U289" s="680"/>
      <c r="V289" s="680"/>
      <c r="W289" s="680"/>
      <c r="X289" s="680"/>
      <c r="Y289" s="680"/>
      <c r="Z289" s="680"/>
      <c r="AA289" s="661"/>
      <c r="AB289" s="661"/>
      <c r="AC289" s="661"/>
    </row>
    <row r="290" spans="1:68" ht="27" customHeight="1" x14ac:dyDescent="0.25">
      <c r="A290" s="54" t="s">
        <v>467</v>
      </c>
      <c r="B290" s="54" t="s">
        <v>468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147</v>
      </c>
      <c r="L290" s="32"/>
      <c r="M290" s="33" t="s">
        <v>68</v>
      </c>
      <c r="N290" s="33"/>
      <c r="O290" s="32">
        <v>40</v>
      </c>
      <c r="P290" s="70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469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9"/>
      <c r="B291" s="680"/>
      <c r="C291" s="680"/>
      <c r="D291" s="680"/>
      <c r="E291" s="680"/>
      <c r="F291" s="680"/>
      <c r="G291" s="680"/>
      <c r="H291" s="680"/>
      <c r="I291" s="680"/>
      <c r="J291" s="680"/>
      <c r="K291" s="680"/>
      <c r="L291" s="680"/>
      <c r="M291" s="680"/>
      <c r="N291" s="680"/>
      <c r="O291" s="681"/>
      <c r="P291" s="685" t="s">
        <v>80</v>
      </c>
      <c r="Q291" s="686"/>
      <c r="R291" s="686"/>
      <c r="S291" s="686"/>
      <c r="T291" s="686"/>
      <c r="U291" s="686"/>
      <c r="V291" s="687"/>
      <c r="W291" s="37" t="s">
        <v>81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x14ac:dyDescent="0.2">
      <c r="A292" s="680"/>
      <c r="B292" s="680"/>
      <c r="C292" s="680"/>
      <c r="D292" s="680"/>
      <c r="E292" s="680"/>
      <c r="F292" s="680"/>
      <c r="G292" s="680"/>
      <c r="H292" s="680"/>
      <c r="I292" s="680"/>
      <c r="J292" s="680"/>
      <c r="K292" s="680"/>
      <c r="L292" s="680"/>
      <c r="M292" s="680"/>
      <c r="N292" s="680"/>
      <c r="O292" s="681"/>
      <c r="P292" s="685" t="s">
        <v>80</v>
      </c>
      <c r="Q292" s="686"/>
      <c r="R292" s="686"/>
      <c r="S292" s="686"/>
      <c r="T292" s="686"/>
      <c r="U292" s="686"/>
      <c r="V292" s="687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customHeight="1" x14ac:dyDescent="0.25">
      <c r="A293" s="682" t="s">
        <v>64</v>
      </c>
      <c r="B293" s="680"/>
      <c r="C293" s="680"/>
      <c r="D293" s="680"/>
      <c r="E293" s="680"/>
      <c r="F293" s="680"/>
      <c r="G293" s="680"/>
      <c r="H293" s="680"/>
      <c r="I293" s="680"/>
      <c r="J293" s="680"/>
      <c r="K293" s="680"/>
      <c r="L293" s="680"/>
      <c r="M293" s="680"/>
      <c r="N293" s="680"/>
      <c r="O293" s="680"/>
      <c r="P293" s="680"/>
      <c r="Q293" s="680"/>
      <c r="R293" s="680"/>
      <c r="S293" s="680"/>
      <c r="T293" s="680"/>
      <c r="U293" s="680"/>
      <c r="V293" s="680"/>
      <c r="W293" s="680"/>
      <c r="X293" s="680"/>
      <c r="Y293" s="680"/>
      <c r="Z293" s="680"/>
      <c r="AA293" s="661"/>
      <c r="AB293" s="661"/>
      <c r="AC293" s="661"/>
    </row>
    <row r="294" spans="1:68" ht="27" customHeight="1" x14ac:dyDescent="0.25">
      <c r="A294" s="54" t="s">
        <v>470</v>
      </c>
      <c r="B294" s="54" t="s">
        <v>471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98</v>
      </c>
      <c r="L294" s="32"/>
      <c r="M294" s="33" t="s">
        <v>100</v>
      </c>
      <c r="N294" s="33"/>
      <c r="O294" s="32">
        <v>45</v>
      </c>
      <c r="P294" s="103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3.6</v>
      </c>
      <c r="Y294" s="666">
        <f>IFERROR(IF(X294="",0,CEILING((X294/$H294),1)*$H294),"")</f>
        <v>3.6</v>
      </c>
      <c r="Z294" s="36">
        <f>IFERROR(IF(Y294=0,"",ROUNDUP(Y294/H294,0)*0.00902),"")</f>
        <v>9.0200000000000002E-3</v>
      </c>
      <c r="AA294" s="56"/>
      <c r="AB294" s="57"/>
      <c r="AC294" s="347" t="s">
        <v>472</v>
      </c>
      <c r="AG294" s="64"/>
      <c r="AJ294" s="68"/>
      <c r="AK294" s="68">
        <v>0</v>
      </c>
      <c r="BB294" s="348" t="s">
        <v>1</v>
      </c>
      <c r="BM294" s="64">
        <f>IFERROR(X294*I294/H294,"0")</f>
        <v>3.81</v>
      </c>
      <c r="BN294" s="64">
        <f>IFERROR(Y294*I294/H294,"0")</f>
        <v>3.81</v>
      </c>
      <c r="BO294" s="64">
        <f>IFERROR(1/J294*(X294/H294),"0")</f>
        <v>7.575757575757576E-3</v>
      </c>
      <c r="BP294" s="64">
        <f>IFERROR(1/J294*(Y294/H294),"0")</f>
        <v>7.575757575757576E-3</v>
      </c>
    </row>
    <row r="295" spans="1:68" x14ac:dyDescent="0.2">
      <c r="A295" s="679"/>
      <c r="B295" s="680"/>
      <c r="C295" s="680"/>
      <c r="D295" s="680"/>
      <c r="E295" s="680"/>
      <c r="F295" s="680"/>
      <c r="G295" s="680"/>
      <c r="H295" s="680"/>
      <c r="I295" s="680"/>
      <c r="J295" s="680"/>
      <c r="K295" s="680"/>
      <c r="L295" s="680"/>
      <c r="M295" s="680"/>
      <c r="N295" s="680"/>
      <c r="O295" s="681"/>
      <c r="P295" s="685" t="s">
        <v>80</v>
      </c>
      <c r="Q295" s="686"/>
      <c r="R295" s="686"/>
      <c r="S295" s="686"/>
      <c r="T295" s="686"/>
      <c r="U295" s="686"/>
      <c r="V295" s="687"/>
      <c r="W295" s="37" t="s">
        <v>81</v>
      </c>
      <c r="X295" s="667">
        <f>IFERROR(X294/H294,"0")</f>
        <v>1</v>
      </c>
      <c r="Y295" s="667">
        <f>IFERROR(Y294/H294,"0")</f>
        <v>1</v>
      </c>
      <c r="Z295" s="667">
        <f>IFERROR(IF(Z294="",0,Z294),"0")</f>
        <v>9.0200000000000002E-3</v>
      </c>
      <c r="AA295" s="668"/>
      <c r="AB295" s="668"/>
      <c r="AC295" s="668"/>
    </row>
    <row r="296" spans="1:68" x14ac:dyDescent="0.2">
      <c r="A296" s="680"/>
      <c r="B296" s="680"/>
      <c r="C296" s="680"/>
      <c r="D296" s="680"/>
      <c r="E296" s="680"/>
      <c r="F296" s="680"/>
      <c r="G296" s="680"/>
      <c r="H296" s="680"/>
      <c r="I296" s="680"/>
      <c r="J296" s="680"/>
      <c r="K296" s="680"/>
      <c r="L296" s="680"/>
      <c r="M296" s="680"/>
      <c r="N296" s="680"/>
      <c r="O296" s="681"/>
      <c r="P296" s="685" t="s">
        <v>80</v>
      </c>
      <c r="Q296" s="686"/>
      <c r="R296" s="686"/>
      <c r="S296" s="686"/>
      <c r="T296" s="686"/>
      <c r="U296" s="686"/>
      <c r="V296" s="687"/>
      <c r="W296" s="37" t="s">
        <v>69</v>
      </c>
      <c r="X296" s="667">
        <f>IFERROR(SUM(X294:X294),"0")</f>
        <v>3.6</v>
      </c>
      <c r="Y296" s="667">
        <f>IFERROR(SUM(Y294:Y294),"0")</f>
        <v>3.6</v>
      </c>
      <c r="Z296" s="37"/>
      <c r="AA296" s="668"/>
      <c r="AB296" s="668"/>
      <c r="AC296" s="668"/>
    </row>
    <row r="297" spans="1:68" ht="16.5" customHeight="1" x14ac:dyDescent="0.25">
      <c r="A297" s="716" t="s">
        <v>473</v>
      </c>
      <c r="B297" s="680"/>
      <c r="C297" s="680"/>
      <c r="D297" s="680"/>
      <c r="E297" s="680"/>
      <c r="F297" s="680"/>
      <c r="G297" s="680"/>
      <c r="H297" s="680"/>
      <c r="I297" s="680"/>
      <c r="J297" s="680"/>
      <c r="K297" s="680"/>
      <c r="L297" s="680"/>
      <c r="M297" s="680"/>
      <c r="N297" s="680"/>
      <c r="O297" s="680"/>
      <c r="P297" s="680"/>
      <c r="Q297" s="680"/>
      <c r="R297" s="680"/>
      <c r="S297" s="680"/>
      <c r="T297" s="680"/>
      <c r="U297" s="680"/>
      <c r="V297" s="680"/>
      <c r="W297" s="680"/>
      <c r="X297" s="680"/>
      <c r="Y297" s="680"/>
      <c r="Z297" s="680"/>
      <c r="AA297" s="660"/>
      <c r="AB297" s="660"/>
      <c r="AC297" s="660"/>
    </row>
    <row r="298" spans="1:68" ht="14.25" customHeight="1" x14ac:dyDescent="0.25">
      <c r="A298" s="682" t="s">
        <v>64</v>
      </c>
      <c r="B298" s="680"/>
      <c r="C298" s="680"/>
      <c r="D298" s="680"/>
      <c r="E298" s="680"/>
      <c r="F298" s="680"/>
      <c r="G298" s="680"/>
      <c r="H298" s="680"/>
      <c r="I298" s="680"/>
      <c r="J298" s="680"/>
      <c r="K298" s="680"/>
      <c r="L298" s="680"/>
      <c r="M298" s="680"/>
      <c r="N298" s="680"/>
      <c r="O298" s="680"/>
      <c r="P298" s="680"/>
      <c r="Q298" s="680"/>
      <c r="R298" s="680"/>
      <c r="S298" s="680"/>
      <c r="T298" s="680"/>
      <c r="U298" s="680"/>
      <c r="V298" s="680"/>
      <c r="W298" s="680"/>
      <c r="X298" s="680"/>
      <c r="Y298" s="680"/>
      <c r="Z298" s="680"/>
      <c r="AA298" s="661"/>
      <c r="AB298" s="661"/>
      <c r="AC298" s="661"/>
    </row>
    <row r="299" spans="1:68" ht="27" customHeight="1" x14ac:dyDescent="0.25">
      <c r="A299" s="54" t="s">
        <v>474</v>
      </c>
      <c r="B299" s="54" t="s">
        <v>475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100</v>
      </c>
      <c r="N299" s="33"/>
      <c r="O299" s="32">
        <v>40</v>
      </c>
      <c r="P299" s="895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476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9"/>
      <c r="B300" s="680"/>
      <c r="C300" s="680"/>
      <c r="D300" s="680"/>
      <c r="E300" s="680"/>
      <c r="F300" s="680"/>
      <c r="G300" s="680"/>
      <c r="H300" s="680"/>
      <c r="I300" s="680"/>
      <c r="J300" s="680"/>
      <c r="K300" s="680"/>
      <c r="L300" s="680"/>
      <c r="M300" s="680"/>
      <c r="N300" s="680"/>
      <c r="O300" s="681"/>
      <c r="P300" s="685" t="s">
        <v>80</v>
      </c>
      <c r="Q300" s="686"/>
      <c r="R300" s="686"/>
      <c r="S300" s="686"/>
      <c r="T300" s="686"/>
      <c r="U300" s="686"/>
      <c r="V300" s="687"/>
      <c r="W300" s="37" t="s">
        <v>81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x14ac:dyDescent="0.2">
      <c r="A301" s="680"/>
      <c r="B301" s="680"/>
      <c r="C301" s="680"/>
      <c r="D301" s="680"/>
      <c r="E301" s="680"/>
      <c r="F301" s="680"/>
      <c r="G301" s="680"/>
      <c r="H301" s="680"/>
      <c r="I301" s="680"/>
      <c r="J301" s="680"/>
      <c r="K301" s="680"/>
      <c r="L301" s="680"/>
      <c r="M301" s="680"/>
      <c r="N301" s="680"/>
      <c r="O301" s="681"/>
      <c r="P301" s="685" t="s">
        <v>80</v>
      </c>
      <c r="Q301" s="686"/>
      <c r="R301" s="686"/>
      <c r="S301" s="686"/>
      <c r="T301" s="686"/>
      <c r="U301" s="686"/>
      <c r="V301" s="687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customHeight="1" x14ac:dyDescent="0.25">
      <c r="A302" s="716" t="s">
        <v>477</v>
      </c>
      <c r="B302" s="680"/>
      <c r="C302" s="680"/>
      <c r="D302" s="680"/>
      <c r="E302" s="680"/>
      <c r="F302" s="680"/>
      <c r="G302" s="680"/>
      <c r="H302" s="680"/>
      <c r="I302" s="680"/>
      <c r="J302" s="680"/>
      <c r="K302" s="680"/>
      <c r="L302" s="680"/>
      <c r="M302" s="680"/>
      <c r="N302" s="680"/>
      <c r="O302" s="680"/>
      <c r="P302" s="680"/>
      <c r="Q302" s="680"/>
      <c r="R302" s="680"/>
      <c r="S302" s="680"/>
      <c r="T302" s="680"/>
      <c r="U302" s="680"/>
      <c r="V302" s="680"/>
      <c r="W302" s="680"/>
      <c r="X302" s="680"/>
      <c r="Y302" s="680"/>
      <c r="Z302" s="680"/>
      <c r="AA302" s="660"/>
      <c r="AB302" s="660"/>
      <c r="AC302" s="660"/>
    </row>
    <row r="303" spans="1:68" ht="14.25" customHeight="1" x14ac:dyDescent="0.25">
      <c r="A303" s="682" t="s">
        <v>90</v>
      </c>
      <c r="B303" s="680"/>
      <c r="C303" s="680"/>
      <c r="D303" s="680"/>
      <c r="E303" s="680"/>
      <c r="F303" s="680"/>
      <c r="G303" s="680"/>
      <c r="H303" s="680"/>
      <c r="I303" s="680"/>
      <c r="J303" s="680"/>
      <c r="K303" s="680"/>
      <c r="L303" s="680"/>
      <c r="M303" s="680"/>
      <c r="N303" s="680"/>
      <c r="O303" s="680"/>
      <c r="P303" s="680"/>
      <c r="Q303" s="680"/>
      <c r="R303" s="680"/>
      <c r="S303" s="680"/>
      <c r="T303" s="680"/>
      <c r="U303" s="680"/>
      <c r="V303" s="680"/>
      <c r="W303" s="680"/>
      <c r="X303" s="680"/>
      <c r="Y303" s="680"/>
      <c r="Z303" s="680"/>
      <c r="AA303" s="661"/>
      <c r="AB303" s="661"/>
      <c r="AC303" s="661"/>
    </row>
    <row r="304" spans="1:68" ht="27" customHeight="1" x14ac:dyDescent="0.25">
      <c r="A304" s="54" t="s">
        <v>478</v>
      </c>
      <c r="B304" s="54" t="s">
        <v>479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98</v>
      </c>
      <c r="L304" s="32"/>
      <c r="M304" s="33" t="s">
        <v>94</v>
      </c>
      <c r="N304" s="33"/>
      <c r="O304" s="32">
        <v>55</v>
      </c>
      <c r="P304" s="889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439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9"/>
      <c r="B305" s="680"/>
      <c r="C305" s="680"/>
      <c r="D305" s="680"/>
      <c r="E305" s="680"/>
      <c r="F305" s="680"/>
      <c r="G305" s="680"/>
      <c r="H305" s="680"/>
      <c r="I305" s="680"/>
      <c r="J305" s="680"/>
      <c r="K305" s="680"/>
      <c r="L305" s="680"/>
      <c r="M305" s="680"/>
      <c r="N305" s="680"/>
      <c r="O305" s="681"/>
      <c r="P305" s="685" t="s">
        <v>80</v>
      </c>
      <c r="Q305" s="686"/>
      <c r="R305" s="686"/>
      <c r="S305" s="686"/>
      <c r="T305" s="686"/>
      <c r="U305" s="686"/>
      <c r="V305" s="687"/>
      <c r="W305" s="37" t="s">
        <v>81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x14ac:dyDescent="0.2">
      <c r="A306" s="680"/>
      <c r="B306" s="680"/>
      <c r="C306" s="680"/>
      <c r="D306" s="680"/>
      <c r="E306" s="680"/>
      <c r="F306" s="680"/>
      <c r="G306" s="680"/>
      <c r="H306" s="680"/>
      <c r="I306" s="680"/>
      <c r="J306" s="680"/>
      <c r="K306" s="680"/>
      <c r="L306" s="680"/>
      <c r="M306" s="680"/>
      <c r="N306" s="680"/>
      <c r="O306" s="681"/>
      <c r="P306" s="685" t="s">
        <v>80</v>
      </c>
      <c r="Q306" s="686"/>
      <c r="R306" s="686"/>
      <c r="S306" s="686"/>
      <c r="T306" s="686"/>
      <c r="U306" s="686"/>
      <c r="V306" s="687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customHeight="1" x14ac:dyDescent="0.25">
      <c r="A307" s="682" t="s">
        <v>144</v>
      </c>
      <c r="B307" s="680"/>
      <c r="C307" s="680"/>
      <c r="D307" s="680"/>
      <c r="E307" s="680"/>
      <c r="F307" s="680"/>
      <c r="G307" s="680"/>
      <c r="H307" s="680"/>
      <c r="I307" s="680"/>
      <c r="J307" s="680"/>
      <c r="K307" s="680"/>
      <c r="L307" s="680"/>
      <c r="M307" s="680"/>
      <c r="N307" s="680"/>
      <c r="O307" s="680"/>
      <c r="P307" s="680"/>
      <c r="Q307" s="680"/>
      <c r="R307" s="680"/>
      <c r="S307" s="680"/>
      <c r="T307" s="680"/>
      <c r="U307" s="680"/>
      <c r="V307" s="680"/>
      <c r="W307" s="680"/>
      <c r="X307" s="680"/>
      <c r="Y307" s="680"/>
      <c r="Z307" s="680"/>
      <c r="AA307" s="661"/>
      <c r="AB307" s="661"/>
      <c r="AC307" s="661"/>
    </row>
    <row r="308" spans="1:68" ht="27" customHeight="1" x14ac:dyDescent="0.25">
      <c r="A308" s="54" t="s">
        <v>480</v>
      </c>
      <c r="B308" s="54" t="s">
        <v>481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147</v>
      </c>
      <c r="L308" s="32"/>
      <c r="M308" s="33" t="s">
        <v>68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482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483</v>
      </c>
      <c r="B309" s="54" t="s">
        <v>484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147</v>
      </c>
      <c r="L309" s="32"/>
      <c r="M309" s="33" t="s">
        <v>68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482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9"/>
      <c r="B310" s="680"/>
      <c r="C310" s="680"/>
      <c r="D310" s="680"/>
      <c r="E310" s="680"/>
      <c r="F310" s="680"/>
      <c r="G310" s="680"/>
      <c r="H310" s="680"/>
      <c r="I310" s="680"/>
      <c r="J310" s="680"/>
      <c r="K310" s="680"/>
      <c r="L310" s="680"/>
      <c r="M310" s="680"/>
      <c r="N310" s="680"/>
      <c r="O310" s="681"/>
      <c r="P310" s="685" t="s">
        <v>80</v>
      </c>
      <c r="Q310" s="686"/>
      <c r="R310" s="686"/>
      <c r="S310" s="686"/>
      <c r="T310" s="686"/>
      <c r="U310" s="686"/>
      <c r="V310" s="687"/>
      <c r="W310" s="37" t="s">
        <v>81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x14ac:dyDescent="0.2">
      <c r="A311" s="680"/>
      <c r="B311" s="680"/>
      <c r="C311" s="680"/>
      <c r="D311" s="680"/>
      <c r="E311" s="680"/>
      <c r="F311" s="680"/>
      <c r="G311" s="680"/>
      <c r="H311" s="680"/>
      <c r="I311" s="680"/>
      <c r="J311" s="680"/>
      <c r="K311" s="680"/>
      <c r="L311" s="680"/>
      <c r="M311" s="680"/>
      <c r="N311" s="680"/>
      <c r="O311" s="681"/>
      <c r="P311" s="685" t="s">
        <v>80</v>
      </c>
      <c r="Q311" s="686"/>
      <c r="R311" s="686"/>
      <c r="S311" s="686"/>
      <c r="T311" s="686"/>
      <c r="U311" s="686"/>
      <c r="V311" s="687"/>
      <c r="W311" s="37" t="s">
        <v>69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customHeight="1" x14ac:dyDescent="0.25">
      <c r="A312" s="716" t="s">
        <v>485</v>
      </c>
      <c r="B312" s="680"/>
      <c r="C312" s="680"/>
      <c r="D312" s="680"/>
      <c r="E312" s="680"/>
      <c r="F312" s="680"/>
      <c r="G312" s="680"/>
      <c r="H312" s="680"/>
      <c r="I312" s="680"/>
      <c r="J312" s="680"/>
      <c r="K312" s="680"/>
      <c r="L312" s="680"/>
      <c r="M312" s="680"/>
      <c r="N312" s="680"/>
      <c r="O312" s="680"/>
      <c r="P312" s="680"/>
      <c r="Q312" s="680"/>
      <c r="R312" s="680"/>
      <c r="S312" s="680"/>
      <c r="T312" s="680"/>
      <c r="U312" s="680"/>
      <c r="V312" s="680"/>
      <c r="W312" s="680"/>
      <c r="X312" s="680"/>
      <c r="Y312" s="680"/>
      <c r="Z312" s="680"/>
      <c r="AA312" s="660"/>
      <c r="AB312" s="660"/>
      <c r="AC312" s="660"/>
    </row>
    <row r="313" spans="1:68" ht="14.25" customHeight="1" x14ac:dyDescent="0.25">
      <c r="A313" s="682" t="s">
        <v>90</v>
      </c>
      <c r="B313" s="680"/>
      <c r="C313" s="680"/>
      <c r="D313" s="680"/>
      <c r="E313" s="680"/>
      <c r="F313" s="680"/>
      <c r="G313" s="680"/>
      <c r="H313" s="680"/>
      <c r="I313" s="680"/>
      <c r="J313" s="680"/>
      <c r="K313" s="680"/>
      <c r="L313" s="680"/>
      <c r="M313" s="680"/>
      <c r="N313" s="680"/>
      <c r="O313" s="680"/>
      <c r="P313" s="680"/>
      <c r="Q313" s="680"/>
      <c r="R313" s="680"/>
      <c r="S313" s="680"/>
      <c r="T313" s="680"/>
      <c r="U313" s="680"/>
      <c r="V313" s="680"/>
      <c r="W313" s="680"/>
      <c r="X313" s="680"/>
      <c r="Y313" s="680"/>
      <c r="Z313" s="680"/>
      <c r="AA313" s="661"/>
      <c r="AB313" s="661"/>
      <c r="AC313" s="661"/>
    </row>
    <row r="314" spans="1:68" ht="27" customHeight="1" x14ac:dyDescent="0.25">
      <c r="A314" s="54" t="s">
        <v>486</v>
      </c>
      <c r="B314" s="54" t="s">
        <v>487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93</v>
      </c>
      <c r="L314" s="32"/>
      <c r="M314" s="33" t="s">
        <v>94</v>
      </c>
      <c r="N314" s="33"/>
      <c r="O314" s="32">
        <v>55</v>
      </c>
      <c r="P314" s="93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488</v>
      </c>
      <c r="AB314" s="57"/>
      <c r="AC314" s="357" t="s">
        <v>489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9"/>
      <c r="B315" s="680"/>
      <c r="C315" s="680"/>
      <c r="D315" s="680"/>
      <c r="E315" s="680"/>
      <c r="F315" s="680"/>
      <c r="G315" s="680"/>
      <c r="H315" s="680"/>
      <c r="I315" s="680"/>
      <c r="J315" s="680"/>
      <c r="K315" s="680"/>
      <c r="L315" s="680"/>
      <c r="M315" s="680"/>
      <c r="N315" s="680"/>
      <c r="O315" s="681"/>
      <c r="P315" s="685" t="s">
        <v>80</v>
      </c>
      <c r="Q315" s="686"/>
      <c r="R315" s="686"/>
      <c r="S315" s="686"/>
      <c r="T315" s="686"/>
      <c r="U315" s="686"/>
      <c r="V315" s="687"/>
      <c r="W315" s="37" t="s">
        <v>81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x14ac:dyDescent="0.2">
      <c r="A316" s="680"/>
      <c r="B316" s="680"/>
      <c r="C316" s="680"/>
      <c r="D316" s="680"/>
      <c r="E316" s="680"/>
      <c r="F316" s="680"/>
      <c r="G316" s="680"/>
      <c r="H316" s="680"/>
      <c r="I316" s="680"/>
      <c r="J316" s="680"/>
      <c r="K316" s="680"/>
      <c r="L316" s="680"/>
      <c r="M316" s="680"/>
      <c r="N316" s="680"/>
      <c r="O316" s="681"/>
      <c r="P316" s="685" t="s">
        <v>80</v>
      </c>
      <c r="Q316" s="686"/>
      <c r="R316" s="686"/>
      <c r="S316" s="686"/>
      <c r="T316" s="686"/>
      <c r="U316" s="686"/>
      <c r="V316" s="687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customHeight="1" x14ac:dyDescent="0.25">
      <c r="A317" s="716" t="s">
        <v>490</v>
      </c>
      <c r="B317" s="680"/>
      <c r="C317" s="680"/>
      <c r="D317" s="680"/>
      <c r="E317" s="680"/>
      <c r="F317" s="680"/>
      <c r="G317" s="680"/>
      <c r="H317" s="680"/>
      <c r="I317" s="680"/>
      <c r="J317" s="680"/>
      <c r="K317" s="680"/>
      <c r="L317" s="680"/>
      <c r="M317" s="680"/>
      <c r="N317" s="680"/>
      <c r="O317" s="680"/>
      <c r="P317" s="680"/>
      <c r="Q317" s="680"/>
      <c r="R317" s="680"/>
      <c r="S317" s="680"/>
      <c r="T317" s="680"/>
      <c r="U317" s="680"/>
      <c r="V317" s="680"/>
      <c r="W317" s="680"/>
      <c r="X317" s="680"/>
      <c r="Y317" s="680"/>
      <c r="Z317" s="680"/>
      <c r="AA317" s="660"/>
      <c r="AB317" s="660"/>
      <c r="AC317" s="660"/>
    </row>
    <row r="318" spans="1:68" ht="14.25" customHeight="1" x14ac:dyDescent="0.25">
      <c r="A318" s="682" t="s">
        <v>90</v>
      </c>
      <c r="B318" s="680"/>
      <c r="C318" s="680"/>
      <c r="D318" s="680"/>
      <c r="E318" s="680"/>
      <c r="F318" s="680"/>
      <c r="G318" s="680"/>
      <c r="H318" s="680"/>
      <c r="I318" s="680"/>
      <c r="J318" s="680"/>
      <c r="K318" s="680"/>
      <c r="L318" s="680"/>
      <c r="M318" s="680"/>
      <c r="N318" s="680"/>
      <c r="O318" s="680"/>
      <c r="P318" s="680"/>
      <c r="Q318" s="680"/>
      <c r="R318" s="680"/>
      <c r="S318" s="680"/>
      <c r="T318" s="680"/>
      <c r="U318" s="680"/>
      <c r="V318" s="680"/>
      <c r="W318" s="680"/>
      <c r="X318" s="680"/>
      <c r="Y318" s="680"/>
      <c r="Z318" s="680"/>
      <c r="AA318" s="661"/>
      <c r="AB318" s="661"/>
      <c r="AC318" s="661"/>
    </row>
    <row r="319" spans="1:68" ht="27" customHeight="1" x14ac:dyDescent="0.25">
      <c r="A319" s="54" t="s">
        <v>491</v>
      </c>
      <c r="B319" s="54" t="s">
        <v>492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93</v>
      </c>
      <c r="L319" s="32"/>
      <c r="M319" s="33" t="s">
        <v>100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20</v>
      </c>
      <c r="Y319" s="666">
        <f t="shared" ref="Y319:Y324" si="47">IFERROR(IF(X319="",0,CEILING((X319/$H319),1)*$H319),"")</f>
        <v>21.6</v>
      </c>
      <c r="Z319" s="36">
        <f>IFERROR(IF(Y319=0,"",ROUNDUP(Y319/H319,0)*0.01898),"")</f>
        <v>3.7960000000000001E-2</v>
      </c>
      <c r="AA319" s="56"/>
      <c r="AB319" s="57"/>
      <c r="AC319" s="359" t="s">
        <v>493</v>
      </c>
      <c r="AG319" s="64"/>
      <c r="AJ319" s="68"/>
      <c r="AK319" s="68">
        <v>0</v>
      </c>
      <c r="BB319" s="360" t="s">
        <v>1</v>
      </c>
      <c r="BM319" s="64">
        <f t="shared" ref="BM319:BM324" si="48">IFERROR(X319*I319/H319,"0")</f>
        <v>20.805555555555554</v>
      </c>
      <c r="BN319" s="64">
        <f t="shared" ref="BN319:BN324" si="49">IFERROR(Y319*I319/H319,"0")</f>
        <v>22.47</v>
      </c>
      <c r="BO319" s="64">
        <f t="shared" ref="BO319:BO324" si="50">IFERROR(1/J319*(X319/H319),"0")</f>
        <v>2.8935185185185182E-2</v>
      </c>
      <c r="BP319" s="64">
        <f t="shared" ref="BP319:BP324" si="51">IFERROR(1/J319*(Y319/H319),"0")</f>
        <v>3.125E-2</v>
      </c>
    </row>
    <row r="320" spans="1:68" ht="27" customHeight="1" x14ac:dyDescent="0.25">
      <c r="A320" s="54" t="s">
        <v>494</v>
      </c>
      <c r="B320" s="54" t="s">
        <v>495</v>
      </c>
      <c r="C320" s="31">
        <v>4301011911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11.28</v>
      </c>
      <c r="J320" s="32">
        <v>48</v>
      </c>
      <c r="K320" s="32" t="s">
        <v>93</v>
      </c>
      <c r="L320" s="32"/>
      <c r="M320" s="33" t="s">
        <v>386</v>
      </c>
      <c r="N320" s="33"/>
      <c r="O320" s="32">
        <v>55</v>
      </c>
      <c r="P320" s="930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0</v>
      </c>
      <c r="Y320" s="666">
        <f t="shared" si="47"/>
        <v>0</v>
      </c>
      <c r="Z320" s="36" t="str">
        <f>IFERROR(IF(Y320=0,"",ROUNDUP(Y320/H320,0)*0.02039),"")</f>
        <v/>
      </c>
      <c r="AA320" s="56"/>
      <c r="AB320" s="57"/>
      <c r="AC320" s="361" t="s">
        <v>496</v>
      </c>
      <c r="AG320" s="64"/>
      <c r="AJ320" s="68"/>
      <c r="AK320" s="68">
        <v>0</v>
      </c>
      <c r="BB320" s="362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customHeight="1" x14ac:dyDescent="0.25">
      <c r="A321" s="54" t="s">
        <v>494</v>
      </c>
      <c r="B321" s="54" t="s">
        <v>497</v>
      </c>
      <c r="C321" s="31">
        <v>4301012016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11.234999999999999</v>
      </c>
      <c r="J321" s="32">
        <v>64</v>
      </c>
      <c r="K321" s="32" t="s">
        <v>93</v>
      </c>
      <c r="L321" s="32" t="s">
        <v>116</v>
      </c>
      <c r="M321" s="33" t="s">
        <v>100</v>
      </c>
      <c r="N321" s="33"/>
      <c r="O321" s="32">
        <v>55</v>
      </c>
      <c r="P321" s="9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60</v>
      </c>
      <c r="Y321" s="666">
        <f t="shared" si="47"/>
        <v>64.800000000000011</v>
      </c>
      <c r="Z321" s="36">
        <f>IFERROR(IF(Y321=0,"",ROUNDUP(Y321/H321,0)*0.01898),"")</f>
        <v>0.11388000000000001</v>
      </c>
      <c r="AA321" s="56"/>
      <c r="AB321" s="57"/>
      <c r="AC321" s="363" t="s">
        <v>498</v>
      </c>
      <c r="AG321" s="64"/>
      <c r="AJ321" s="68" t="s">
        <v>118</v>
      </c>
      <c r="AK321" s="68">
        <v>691.2</v>
      </c>
      <c r="BB321" s="364" t="s">
        <v>1</v>
      </c>
      <c r="BM321" s="64">
        <f t="shared" si="48"/>
        <v>62.416666666666657</v>
      </c>
      <c r="BN321" s="64">
        <f t="shared" si="49"/>
        <v>67.410000000000011</v>
      </c>
      <c r="BO321" s="64">
        <f t="shared" si="50"/>
        <v>8.6805555555555552E-2</v>
      </c>
      <c r="BP321" s="64">
        <f t="shared" si="51"/>
        <v>9.3750000000000014E-2</v>
      </c>
    </row>
    <row r="322" spans="1:68" ht="37.5" customHeight="1" x14ac:dyDescent="0.25">
      <c r="A322" s="54" t="s">
        <v>499</v>
      </c>
      <c r="B322" s="54" t="s">
        <v>500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93</v>
      </c>
      <c r="L322" s="32"/>
      <c r="M322" s="33" t="s">
        <v>94</v>
      </c>
      <c r="N322" s="33"/>
      <c r="O322" s="32">
        <v>55</v>
      </c>
      <c r="P322" s="8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0</v>
      </c>
      <c r="Y322" s="666">
        <f t="shared" si="47"/>
        <v>0</v>
      </c>
      <c r="Z322" s="36" t="str">
        <f>IFERROR(IF(Y322=0,"",ROUNDUP(Y322/H322,0)*0.01898),"")</f>
        <v/>
      </c>
      <c r="AA322" s="56"/>
      <c r="AB322" s="57"/>
      <c r="AC322" s="365" t="s">
        <v>501</v>
      </c>
      <c r="AG322" s="64"/>
      <c r="AJ322" s="68"/>
      <c r="AK322" s="68">
        <v>0</v>
      </c>
      <c r="BB322" s="366" t="s">
        <v>1</v>
      </c>
      <c r="BM322" s="64">
        <f t="shared" si="48"/>
        <v>0</v>
      </c>
      <c r="BN322" s="64">
        <f t="shared" si="49"/>
        <v>0</v>
      </c>
      <c r="BO322" s="64">
        <f t="shared" si="50"/>
        <v>0</v>
      </c>
      <c r="BP322" s="64">
        <f t="shared" si="51"/>
        <v>0</v>
      </c>
    </row>
    <row r="323" spans="1:68" ht="27" customHeight="1" x14ac:dyDescent="0.25">
      <c r="A323" s="54" t="s">
        <v>502</v>
      </c>
      <c r="B323" s="54" t="s">
        <v>503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98</v>
      </c>
      <c r="L323" s="32"/>
      <c r="M323" s="33" t="s">
        <v>94</v>
      </c>
      <c r="N323" s="33"/>
      <c r="O323" s="32">
        <v>55</v>
      </c>
      <c r="P323" s="96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0</v>
      </c>
      <c r="Y323" s="666">
        <f t="shared" si="47"/>
        <v>0</v>
      </c>
      <c r="Z323" s="36" t="str">
        <f>IFERROR(IF(Y323=0,"",ROUNDUP(Y323/H323,0)*0.00902),"")</f>
        <v/>
      </c>
      <c r="AA323" s="56"/>
      <c r="AB323" s="57"/>
      <c r="AC323" s="367" t="s">
        <v>504</v>
      </c>
      <c r="AG323" s="64"/>
      <c r="AJ323" s="68"/>
      <c r="AK323" s="68">
        <v>0</v>
      </c>
      <c r="BB323" s="368" t="s">
        <v>1</v>
      </c>
      <c r="BM323" s="64">
        <f t="shared" si="48"/>
        <v>0</v>
      </c>
      <c r="BN323" s="64">
        <f t="shared" si="49"/>
        <v>0</v>
      </c>
      <c r="BO323" s="64">
        <f t="shared" si="50"/>
        <v>0</v>
      </c>
      <c r="BP323" s="64">
        <f t="shared" si="51"/>
        <v>0</v>
      </c>
    </row>
    <row r="324" spans="1:68" ht="27" customHeight="1" x14ac:dyDescent="0.25">
      <c r="A324" s="54" t="s">
        <v>505</v>
      </c>
      <c r="B324" s="54" t="s">
        <v>506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98</v>
      </c>
      <c r="L324" s="32"/>
      <c r="M324" s="33" t="s">
        <v>94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0</v>
      </c>
      <c r="Y324" s="666">
        <f t="shared" si="47"/>
        <v>0</v>
      </c>
      <c r="Z324" s="36" t="str">
        <f>IFERROR(IF(Y324=0,"",ROUNDUP(Y324/H324,0)*0.00902),"")</f>
        <v/>
      </c>
      <c r="AA324" s="56"/>
      <c r="AB324" s="57"/>
      <c r="AC324" s="369" t="s">
        <v>498</v>
      </c>
      <c r="AG324" s="64"/>
      <c r="AJ324" s="68"/>
      <c r="AK324" s="68">
        <v>0</v>
      </c>
      <c r="BB324" s="370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x14ac:dyDescent="0.2">
      <c r="A325" s="679"/>
      <c r="B325" s="680"/>
      <c r="C325" s="680"/>
      <c r="D325" s="680"/>
      <c r="E325" s="680"/>
      <c r="F325" s="680"/>
      <c r="G325" s="680"/>
      <c r="H325" s="680"/>
      <c r="I325" s="680"/>
      <c r="J325" s="680"/>
      <c r="K325" s="680"/>
      <c r="L325" s="680"/>
      <c r="M325" s="680"/>
      <c r="N325" s="680"/>
      <c r="O325" s="681"/>
      <c r="P325" s="685" t="s">
        <v>80</v>
      </c>
      <c r="Q325" s="686"/>
      <c r="R325" s="686"/>
      <c r="S325" s="686"/>
      <c r="T325" s="686"/>
      <c r="U325" s="686"/>
      <c r="V325" s="687"/>
      <c r="W325" s="37" t="s">
        <v>81</v>
      </c>
      <c r="X325" s="667">
        <f>IFERROR(X319/H319,"0")+IFERROR(X320/H320,"0")+IFERROR(X321/H321,"0")+IFERROR(X322/H322,"0")+IFERROR(X323/H323,"0")+IFERROR(X324/H324,"0")</f>
        <v>7.4074074074074066</v>
      </c>
      <c r="Y325" s="667">
        <f>IFERROR(Y319/H319,"0")+IFERROR(Y320/H320,"0")+IFERROR(Y321/H321,"0")+IFERROR(Y322/H322,"0")+IFERROR(Y323/H323,"0")+IFERROR(Y324/H324,"0")</f>
        <v>8</v>
      </c>
      <c r="Z325" s="667">
        <f>IFERROR(IF(Z319="",0,Z319),"0")+IFERROR(IF(Z320="",0,Z320),"0")+IFERROR(IF(Z321="",0,Z321),"0")+IFERROR(IF(Z322="",0,Z322),"0")+IFERROR(IF(Z323="",0,Z323),"0")+IFERROR(IF(Z324="",0,Z324),"0")</f>
        <v>0.15184</v>
      </c>
      <c r="AA325" s="668"/>
      <c r="AB325" s="668"/>
      <c r="AC325" s="668"/>
    </row>
    <row r="326" spans="1:68" x14ac:dyDescent="0.2">
      <c r="A326" s="680"/>
      <c r="B326" s="680"/>
      <c r="C326" s="680"/>
      <c r="D326" s="680"/>
      <c r="E326" s="680"/>
      <c r="F326" s="680"/>
      <c r="G326" s="680"/>
      <c r="H326" s="680"/>
      <c r="I326" s="680"/>
      <c r="J326" s="680"/>
      <c r="K326" s="680"/>
      <c r="L326" s="680"/>
      <c r="M326" s="680"/>
      <c r="N326" s="680"/>
      <c r="O326" s="681"/>
      <c r="P326" s="685" t="s">
        <v>80</v>
      </c>
      <c r="Q326" s="686"/>
      <c r="R326" s="686"/>
      <c r="S326" s="686"/>
      <c r="T326" s="686"/>
      <c r="U326" s="686"/>
      <c r="V326" s="687"/>
      <c r="W326" s="37" t="s">
        <v>69</v>
      </c>
      <c r="X326" s="667">
        <f>IFERROR(SUM(X319:X324),"0")</f>
        <v>80</v>
      </c>
      <c r="Y326" s="667">
        <f>IFERROR(SUM(Y319:Y324),"0")</f>
        <v>86.4</v>
      </c>
      <c r="Z326" s="37"/>
      <c r="AA326" s="668"/>
      <c r="AB326" s="668"/>
      <c r="AC326" s="668"/>
    </row>
    <row r="327" spans="1:68" ht="14.25" customHeight="1" x14ac:dyDescent="0.25">
      <c r="A327" s="682" t="s">
        <v>144</v>
      </c>
      <c r="B327" s="680"/>
      <c r="C327" s="680"/>
      <c r="D327" s="680"/>
      <c r="E327" s="680"/>
      <c r="F327" s="680"/>
      <c r="G327" s="680"/>
      <c r="H327" s="680"/>
      <c r="I327" s="680"/>
      <c r="J327" s="680"/>
      <c r="K327" s="680"/>
      <c r="L327" s="680"/>
      <c r="M327" s="680"/>
      <c r="N327" s="680"/>
      <c r="O327" s="680"/>
      <c r="P327" s="680"/>
      <c r="Q327" s="680"/>
      <c r="R327" s="680"/>
      <c r="S327" s="680"/>
      <c r="T327" s="680"/>
      <c r="U327" s="680"/>
      <c r="V327" s="680"/>
      <c r="W327" s="680"/>
      <c r="X327" s="680"/>
      <c r="Y327" s="680"/>
      <c r="Z327" s="680"/>
      <c r="AA327" s="661"/>
      <c r="AB327" s="661"/>
      <c r="AC327" s="661"/>
    </row>
    <row r="328" spans="1:68" ht="27" customHeight="1" x14ac:dyDescent="0.25">
      <c r="A328" s="54" t="s">
        <v>507</v>
      </c>
      <c r="B328" s="54" t="s">
        <v>508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98</v>
      </c>
      <c r="L328" s="32"/>
      <c r="M328" s="33" t="s">
        <v>68</v>
      </c>
      <c r="N328" s="33"/>
      <c r="O328" s="32">
        <v>35</v>
      </c>
      <c r="P328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15</v>
      </c>
      <c r="Y328" s="666">
        <f>IFERROR(IF(X328="",0,CEILING((X328/$H328),1)*$H328),"")</f>
        <v>16.8</v>
      </c>
      <c r="Z328" s="36">
        <f>IFERROR(IF(Y328=0,"",ROUNDUP(Y328/H328,0)*0.00902),"")</f>
        <v>3.6080000000000001E-2</v>
      </c>
      <c r="AA328" s="56"/>
      <c r="AB328" s="57"/>
      <c r="AC328" s="371" t="s">
        <v>509</v>
      </c>
      <c r="AG328" s="64"/>
      <c r="AJ328" s="68"/>
      <c r="AK328" s="68">
        <v>0</v>
      </c>
      <c r="BB328" s="372" t="s">
        <v>1</v>
      </c>
      <c r="BM328" s="64">
        <f>IFERROR(X328*I328/H328,"0")</f>
        <v>15.964285714285714</v>
      </c>
      <c r="BN328" s="64">
        <f>IFERROR(Y328*I328/H328,"0")</f>
        <v>17.88</v>
      </c>
      <c r="BO328" s="64">
        <f>IFERROR(1/J328*(X328/H328),"0")</f>
        <v>2.7056277056277056E-2</v>
      </c>
      <c r="BP328" s="64">
        <f>IFERROR(1/J328*(Y328/H328),"0")</f>
        <v>3.0303030303030304E-2</v>
      </c>
    </row>
    <row r="329" spans="1:68" ht="27" customHeight="1" x14ac:dyDescent="0.25">
      <c r="A329" s="54" t="s">
        <v>510</v>
      </c>
      <c r="B329" s="54" t="s">
        <v>511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98</v>
      </c>
      <c r="L329" s="32"/>
      <c r="M329" s="33" t="s">
        <v>68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512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513</v>
      </c>
      <c r="B330" s="54" t="s">
        <v>514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98</v>
      </c>
      <c r="L330" s="32"/>
      <c r="M330" s="33" t="s">
        <v>68</v>
      </c>
      <c r="N330" s="33"/>
      <c r="O330" s="32">
        <v>45</v>
      </c>
      <c r="P330" s="89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515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516</v>
      </c>
      <c r="B331" s="54" t="s">
        <v>517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147</v>
      </c>
      <c r="L331" s="32"/>
      <c r="M331" s="33" t="s">
        <v>68</v>
      </c>
      <c r="N331" s="33"/>
      <c r="O331" s="32">
        <v>40</v>
      </c>
      <c r="P331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512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9"/>
      <c r="B332" s="680"/>
      <c r="C332" s="680"/>
      <c r="D332" s="680"/>
      <c r="E332" s="680"/>
      <c r="F332" s="680"/>
      <c r="G332" s="680"/>
      <c r="H332" s="680"/>
      <c r="I332" s="680"/>
      <c r="J332" s="680"/>
      <c r="K332" s="680"/>
      <c r="L332" s="680"/>
      <c r="M332" s="680"/>
      <c r="N332" s="680"/>
      <c r="O332" s="681"/>
      <c r="P332" s="685" t="s">
        <v>80</v>
      </c>
      <c r="Q332" s="686"/>
      <c r="R332" s="686"/>
      <c r="S332" s="686"/>
      <c r="T332" s="686"/>
      <c r="U332" s="686"/>
      <c r="V332" s="687"/>
      <c r="W332" s="37" t="s">
        <v>81</v>
      </c>
      <c r="X332" s="667">
        <f>IFERROR(X328/H328,"0")+IFERROR(X329/H329,"0")+IFERROR(X330/H330,"0")+IFERROR(X331/H331,"0")</f>
        <v>3.5714285714285712</v>
      </c>
      <c r="Y332" s="667">
        <f>IFERROR(Y328/H328,"0")+IFERROR(Y329/H329,"0")+IFERROR(Y330/H330,"0")+IFERROR(Y331/H331,"0")</f>
        <v>4</v>
      </c>
      <c r="Z332" s="667">
        <f>IFERROR(IF(Z328="",0,Z328),"0")+IFERROR(IF(Z329="",0,Z329),"0")+IFERROR(IF(Z330="",0,Z330),"0")+IFERROR(IF(Z331="",0,Z331),"0")</f>
        <v>3.6080000000000001E-2</v>
      </c>
      <c r="AA332" s="668"/>
      <c r="AB332" s="668"/>
      <c r="AC332" s="668"/>
    </row>
    <row r="333" spans="1:68" x14ac:dyDescent="0.2">
      <c r="A333" s="680"/>
      <c r="B333" s="680"/>
      <c r="C333" s="680"/>
      <c r="D333" s="680"/>
      <c r="E333" s="680"/>
      <c r="F333" s="680"/>
      <c r="G333" s="680"/>
      <c r="H333" s="680"/>
      <c r="I333" s="680"/>
      <c r="J333" s="680"/>
      <c r="K333" s="680"/>
      <c r="L333" s="680"/>
      <c r="M333" s="680"/>
      <c r="N333" s="680"/>
      <c r="O333" s="681"/>
      <c r="P333" s="685" t="s">
        <v>80</v>
      </c>
      <c r="Q333" s="686"/>
      <c r="R333" s="686"/>
      <c r="S333" s="686"/>
      <c r="T333" s="686"/>
      <c r="U333" s="686"/>
      <c r="V333" s="687"/>
      <c r="W333" s="37" t="s">
        <v>69</v>
      </c>
      <c r="X333" s="667">
        <f>IFERROR(SUM(X328:X331),"0")</f>
        <v>15</v>
      </c>
      <c r="Y333" s="667">
        <f>IFERROR(SUM(Y328:Y331),"0")</f>
        <v>16.8</v>
      </c>
      <c r="Z333" s="37"/>
      <c r="AA333" s="668"/>
      <c r="AB333" s="668"/>
      <c r="AC333" s="668"/>
    </row>
    <row r="334" spans="1:68" ht="14.25" customHeight="1" x14ac:dyDescent="0.25">
      <c r="A334" s="682" t="s">
        <v>64</v>
      </c>
      <c r="B334" s="680"/>
      <c r="C334" s="680"/>
      <c r="D334" s="680"/>
      <c r="E334" s="680"/>
      <c r="F334" s="680"/>
      <c r="G334" s="680"/>
      <c r="H334" s="680"/>
      <c r="I334" s="680"/>
      <c r="J334" s="680"/>
      <c r="K334" s="680"/>
      <c r="L334" s="680"/>
      <c r="M334" s="680"/>
      <c r="N334" s="680"/>
      <c r="O334" s="680"/>
      <c r="P334" s="680"/>
      <c r="Q334" s="680"/>
      <c r="R334" s="680"/>
      <c r="S334" s="680"/>
      <c r="T334" s="680"/>
      <c r="U334" s="680"/>
      <c r="V334" s="680"/>
      <c r="W334" s="680"/>
      <c r="X334" s="680"/>
      <c r="Y334" s="680"/>
      <c r="Z334" s="680"/>
      <c r="AA334" s="661"/>
      <c r="AB334" s="661"/>
      <c r="AC334" s="661"/>
    </row>
    <row r="335" spans="1:68" ht="37.5" customHeight="1" x14ac:dyDescent="0.25">
      <c r="A335" s="54" t="s">
        <v>518</v>
      </c>
      <c r="B335" s="54" t="s">
        <v>519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93</v>
      </c>
      <c r="L335" s="32"/>
      <c r="M335" s="33" t="s">
        <v>100</v>
      </c>
      <c r="N335" s="33"/>
      <c r="O335" s="32">
        <v>40</v>
      </c>
      <c r="P335" s="94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100</v>
      </c>
      <c r="Y335" s="666">
        <f>IFERROR(IF(X335="",0,CEILING((X335/$H335),1)*$H335),"")</f>
        <v>101.39999999999999</v>
      </c>
      <c r="Z335" s="36">
        <f>IFERROR(IF(Y335=0,"",ROUNDUP(Y335/H335,0)*0.01898),"")</f>
        <v>0.24674000000000001</v>
      </c>
      <c r="AA335" s="56"/>
      <c r="AB335" s="57"/>
      <c r="AC335" s="379" t="s">
        <v>520</v>
      </c>
      <c r="AG335" s="64"/>
      <c r="AJ335" s="68"/>
      <c r="AK335" s="68">
        <v>0</v>
      </c>
      <c r="BB335" s="380" t="s">
        <v>1</v>
      </c>
      <c r="BM335" s="64">
        <f>IFERROR(X335*I335/H335,"0")</f>
        <v>106.57692307692309</v>
      </c>
      <c r="BN335" s="64">
        <f>IFERROR(Y335*I335/H335,"0")</f>
        <v>108.06899999999999</v>
      </c>
      <c r="BO335" s="64">
        <f>IFERROR(1/J335*(X335/H335),"0")</f>
        <v>0.20032051282051283</v>
      </c>
      <c r="BP335" s="64">
        <f>IFERROR(1/J335*(Y335/H335),"0")</f>
        <v>0.203125</v>
      </c>
    </row>
    <row r="336" spans="1:68" ht="27" customHeight="1" x14ac:dyDescent="0.25">
      <c r="A336" s="54" t="s">
        <v>521</v>
      </c>
      <c r="B336" s="54" t="s">
        <v>522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93</v>
      </c>
      <c r="L336" s="32"/>
      <c r="M336" s="33" t="s">
        <v>100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523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524</v>
      </c>
      <c r="B337" s="54" t="s">
        <v>525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93</v>
      </c>
      <c r="L337" s="32"/>
      <c r="M337" s="33" t="s">
        <v>100</v>
      </c>
      <c r="N337" s="33"/>
      <c r="O337" s="32">
        <v>40</v>
      </c>
      <c r="P337" s="76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526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527</v>
      </c>
      <c r="B338" s="54" t="s">
        <v>528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100</v>
      </c>
      <c r="N338" s="33"/>
      <c r="O338" s="32">
        <v>40</v>
      </c>
      <c r="P338" s="10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529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37.5" customHeight="1" x14ac:dyDescent="0.25">
      <c r="A339" s="54" t="s">
        <v>530</v>
      </c>
      <c r="B339" s="54" t="s">
        <v>531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129</v>
      </c>
      <c r="N339" s="33"/>
      <c r="O339" s="32">
        <v>40</v>
      </c>
      <c r="P339" s="770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9"/>
      <c r="B340" s="680"/>
      <c r="C340" s="680"/>
      <c r="D340" s="680"/>
      <c r="E340" s="680"/>
      <c r="F340" s="680"/>
      <c r="G340" s="680"/>
      <c r="H340" s="680"/>
      <c r="I340" s="680"/>
      <c r="J340" s="680"/>
      <c r="K340" s="680"/>
      <c r="L340" s="680"/>
      <c r="M340" s="680"/>
      <c r="N340" s="680"/>
      <c r="O340" s="681"/>
      <c r="P340" s="685" t="s">
        <v>80</v>
      </c>
      <c r="Q340" s="686"/>
      <c r="R340" s="686"/>
      <c r="S340" s="686"/>
      <c r="T340" s="686"/>
      <c r="U340" s="686"/>
      <c r="V340" s="687"/>
      <c r="W340" s="37" t="s">
        <v>81</v>
      </c>
      <c r="X340" s="667">
        <f>IFERROR(X335/H335,"0")+IFERROR(X336/H336,"0")+IFERROR(X337/H337,"0")+IFERROR(X338/H338,"0")+IFERROR(X339/H339,"0")</f>
        <v>12.820512820512821</v>
      </c>
      <c r="Y340" s="667">
        <f>IFERROR(Y335/H335,"0")+IFERROR(Y336/H336,"0")+IFERROR(Y337/H337,"0")+IFERROR(Y338/H338,"0")+IFERROR(Y339/H339,"0")</f>
        <v>13</v>
      </c>
      <c r="Z340" s="667">
        <f>IFERROR(IF(Z335="",0,Z335),"0")+IFERROR(IF(Z336="",0,Z336),"0")+IFERROR(IF(Z337="",0,Z337),"0")+IFERROR(IF(Z338="",0,Z338),"0")+IFERROR(IF(Z339="",0,Z339),"0")</f>
        <v>0.24674000000000001</v>
      </c>
      <c r="AA340" s="668"/>
      <c r="AB340" s="668"/>
      <c r="AC340" s="668"/>
    </row>
    <row r="341" spans="1:68" x14ac:dyDescent="0.2">
      <c r="A341" s="680"/>
      <c r="B341" s="680"/>
      <c r="C341" s="680"/>
      <c r="D341" s="680"/>
      <c r="E341" s="680"/>
      <c r="F341" s="680"/>
      <c r="G341" s="680"/>
      <c r="H341" s="680"/>
      <c r="I341" s="680"/>
      <c r="J341" s="680"/>
      <c r="K341" s="680"/>
      <c r="L341" s="680"/>
      <c r="M341" s="680"/>
      <c r="N341" s="680"/>
      <c r="O341" s="681"/>
      <c r="P341" s="685" t="s">
        <v>80</v>
      </c>
      <c r="Q341" s="686"/>
      <c r="R341" s="686"/>
      <c r="S341" s="686"/>
      <c r="T341" s="686"/>
      <c r="U341" s="686"/>
      <c r="V341" s="687"/>
      <c r="W341" s="37" t="s">
        <v>69</v>
      </c>
      <c r="X341" s="667">
        <f>IFERROR(SUM(X335:X339),"0")</f>
        <v>100</v>
      </c>
      <c r="Y341" s="667">
        <f>IFERROR(SUM(Y335:Y339),"0")</f>
        <v>101.39999999999999</v>
      </c>
      <c r="Z341" s="37"/>
      <c r="AA341" s="668"/>
      <c r="AB341" s="668"/>
      <c r="AC341" s="668"/>
    </row>
    <row r="342" spans="1:68" ht="14.25" customHeight="1" x14ac:dyDescent="0.25">
      <c r="A342" s="682" t="s">
        <v>170</v>
      </c>
      <c r="B342" s="680"/>
      <c r="C342" s="680"/>
      <c r="D342" s="680"/>
      <c r="E342" s="680"/>
      <c r="F342" s="680"/>
      <c r="G342" s="680"/>
      <c r="H342" s="680"/>
      <c r="I342" s="680"/>
      <c r="J342" s="680"/>
      <c r="K342" s="680"/>
      <c r="L342" s="680"/>
      <c r="M342" s="680"/>
      <c r="N342" s="680"/>
      <c r="O342" s="680"/>
      <c r="P342" s="680"/>
      <c r="Q342" s="680"/>
      <c r="R342" s="680"/>
      <c r="S342" s="680"/>
      <c r="T342" s="680"/>
      <c r="U342" s="680"/>
      <c r="V342" s="680"/>
      <c r="W342" s="680"/>
      <c r="X342" s="680"/>
      <c r="Y342" s="680"/>
      <c r="Z342" s="680"/>
      <c r="AA342" s="661"/>
      <c r="AB342" s="661"/>
      <c r="AC342" s="661"/>
    </row>
    <row r="343" spans="1:68" ht="27" customHeight="1" x14ac:dyDescent="0.25">
      <c r="A343" s="54" t="s">
        <v>533</v>
      </c>
      <c r="B343" s="54" t="s">
        <v>534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93</v>
      </c>
      <c r="L343" s="32"/>
      <c r="M343" s="33" t="s">
        <v>100</v>
      </c>
      <c r="N343" s="33"/>
      <c r="O343" s="32">
        <v>30</v>
      </c>
      <c r="P343" s="9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535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536</v>
      </c>
      <c r="B344" s="54" t="s">
        <v>537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93</v>
      </c>
      <c r="L344" s="32"/>
      <c r="M344" s="33" t="s">
        <v>100</v>
      </c>
      <c r="N344" s="33"/>
      <c r="O344" s="32">
        <v>30</v>
      </c>
      <c r="P344" s="101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50</v>
      </c>
      <c r="Y344" s="666">
        <f>IFERROR(IF(X344="",0,CEILING((X344/$H344),1)*$H344),"")</f>
        <v>54.6</v>
      </c>
      <c r="Z344" s="36">
        <f>IFERROR(IF(Y344=0,"",ROUNDUP(Y344/H344,0)*0.01898),"")</f>
        <v>0.13286000000000001</v>
      </c>
      <c r="AA344" s="56"/>
      <c r="AB344" s="57"/>
      <c r="AC344" s="391" t="s">
        <v>538</v>
      </c>
      <c r="AG344" s="64"/>
      <c r="AJ344" s="68"/>
      <c r="AK344" s="68">
        <v>0</v>
      </c>
      <c r="BB344" s="392" t="s">
        <v>1</v>
      </c>
      <c r="BM344" s="64">
        <f>IFERROR(X344*I344/H344,"0")</f>
        <v>53.326923076923087</v>
      </c>
      <c r="BN344" s="64">
        <f>IFERROR(Y344*I344/H344,"0")</f>
        <v>58.233000000000011</v>
      </c>
      <c r="BO344" s="64">
        <f>IFERROR(1/J344*(X344/H344),"0")</f>
        <v>0.10016025641025642</v>
      </c>
      <c r="BP344" s="64">
        <f>IFERROR(1/J344*(Y344/H344),"0")</f>
        <v>0.109375</v>
      </c>
    </row>
    <row r="345" spans="1:68" ht="16.5" customHeight="1" x14ac:dyDescent="0.25">
      <c r="A345" s="54" t="s">
        <v>539</v>
      </c>
      <c r="B345" s="54" t="s">
        <v>540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93</v>
      </c>
      <c r="L345" s="32"/>
      <c r="M345" s="33" t="s">
        <v>129</v>
      </c>
      <c r="N345" s="33"/>
      <c r="O345" s="32">
        <v>30</v>
      </c>
      <c r="P345" s="92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541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9"/>
      <c r="B346" s="680"/>
      <c r="C346" s="680"/>
      <c r="D346" s="680"/>
      <c r="E346" s="680"/>
      <c r="F346" s="680"/>
      <c r="G346" s="680"/>
      <c r="H346" s="680"/>
      <c r="I346" s="680"/>
      <c r="J346" s="680"/>
      <c r="K346" s="680"/>
      <c r="L346" s="680"/>
      <c r="M346" s="680"/>
      <c r="N346" s="680"/>
      <c r="O346" s="681"/>
      <c r="P346" s="685" t="s">
        <v>80</v>
      </c>
      <c r="Q346" s="686"/>
      <c r="R346" s="686"/>
      <c r="S346" s="686"/>
      <c r="T346" s="686"/>
      <c r="U346" s="686"/>
      <c r="V346" s="687"/>
      <c r="W346" s="37" t="s">
        <v>81</v>
      </c>
      <c r="X346" s="667">
        <f>IFERROR(X343/H343,"0")+IFERROR(X344/H344,"0")+IFERROR(X345/H345,"0")</f>
        <v>6.4102564102564106</v>
      </c>
      <c r="Y346" s="667">
        <f>IFERROR(Y343/H343,"0")+IFERROR(Y344/H344,"0")+IFERROR(Y345/H345,"0")</f>
        <v>7</v>
      </c>
      <c r="Z346" s="667">
        <f>IFERROR(IF(Z343="",0,Z343),"0")+IFERROR(IF(Z344="",0,Z344),"0")+IFERROR(IF(Z345="",0,Z345),"0")</f>
        <v>0.13286000000000001</v>
      </c>
      <c r="AA346" s="668"/>
      <c r="AB346" s="668"/>
      <c r="AC346" s="668"/>
    </row>
    <row r="347" spans="1:68" x14ac:dyDescent="0.2">
      <c r="A347" s="680"/>
      <c r="B347" s="680"/>
      <c r="C347" s="680"/>
      <c r="D347" s="680"/>
      <c r="E347" s="680"/>
      <c r="F347" s="680"/>
      <c r="G347" s="680"/>
      <c r="H347" s="680"/>
      <c r="I347" s="680"/>
      <c r="J347" s="680"/>
      <c r="K347" s="680"/>
      <c r="L347" s="680"/>
      <c r="M347" s="680"/>
      <c r="N347" s="680"/>
      <c r="O347" s="681"/>
      <c r="P347" s="685" t="s">
        <v>80</v>
      </c>
      <c r="Q347" s="686"/>
      <c r="R347" s="686"/>
      <c r="S347" s="686"/>
      <c r="T347" s="686"/>
      <c r="U347" s="686"/>
      <c r="V347" s="687"/>
      <c r="W347" s="37" t="s">
        <v>69</v>
      </c>
      <c r="X347" s="667">
        <f>IFERROR(SUM(X343:X345),"0")</f>
        <v>50</v>
      </c>
      <c r="Y347" s="667">
        <f>IFERROR(SUM(Y343:Y345),"0")</f>
        <v>54.6</v>
      </c>
      <c r="Z347" s="37"/>
      <c r="AA347" s="668"/>
      <c r="AB347" s="668"/>
      <c r="AC347" s="668"/>
    </row>
    <row r="348" spans="1:68" ht="14.25" customHeight="1" x14ac:dyDescent="0.25">
      <c r="A348" s="682" t="s">
        <v>82</v>
      </c>
      <c r="B348" s="680"/>
      <c r="C348" s="680"/>
      <c r="D348" s="680"/>
      <c r="E348" s="680"/>
      <c r="F348" s="680"/>
      <c r="G348" s="680"/>
      <c r="H348" s="680"/>
      <c r="I348" s="680"/>
      <c r="J348" s="680"/>
      <c r="K348" s="680"/>
      <c r="L348" s="680"/>
      <c r="M348" s="680"/>
      <c r="N348" s="680"/>
      <c r="O348" s="680"/>
      <c r="P348" s="680"/>
      <c r="Q348" s="680"/>
      <c r="R348" s="680"/>
      <c r="S348" s="680"/>
      <c r="T348" s="680"/>
      <c r="U348" s="680"/>
      <c r="V348" s="680"/>
      <c r="W348" s="680"/>
      <c r="X348" s="680"/>
      <c r="Y348" s="680"/>
      <c r="Z348" s="680"/>
      <c r="AA348" s="661"/>
      <c r="AB348" s="661"/>
      <c r="AC348" s="661"/>
    </row>
    <row r="349" spans="1:68" ht="27" customHeight="1" x14ac:dyDescent="0.25">
      <c r="A349" s="54" t="s">
        <v>542</v>
      </c>
      <c r="B349" s="54" t="s">
        <v>543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98</v>
      </c>
      <c r="L349" s="32"/>
      <c r="M349" s="33" t="s">
        <v>85</v>
      </c>
      <c r="N349" s="33"/>
      <c r="O349" s="32">
        <v>180</v>
      </c>
      <c r="P349" s="993" t="s">
        <v>544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545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546</v>
      </c>
      <c r="B350" s="54" t="s">
        <v>547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98</v>
      </c>
      <c r="L350" s="32"/>
      <c r="M350" s="33" t="s">
        <v>85</v>
      </c>
      <c r="N350" s="33"/>
      <c r="O350" s="32">
        <v>180</v>
      </c>
      <c r="P350" s="791" t="s">
        <v>548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549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550</v>
      </c>
      <c r="B351" s="54" t="s">
        <v>551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85</v>
      </c>
      <c r="N351" s="33"/>
      <c r="O351" s="32">
        <v>180</v>
      </c>
      <c r="P351" s="8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552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553</v>
      </c>
      <c r="B352" s="54" t="s">
        <v>554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85</v>
      </c>
      <c r="N352" s="33"/>
      <c r="O352" s="32">
        <v>180</v>
      </c>
      <c r="P352" s="7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549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9"/>
      <c r="B353" s="680"/>
      <c r="C353" s="680"/>
      <c r="D353" s="680"/>
      <c r="E353" s="680"/>
      <c r="F353" s="680"/>
      <c r="G353" s="680"/>
      <c r="H353" s="680"/>
      <c r="I353" s="680"/>
      <c r="J353" s="680"/>
      <c r="K353" s="680"/>
      <c r="L353" s="680"/>
      <c r="M353" s="680"/>
      <c r="N353" s="680"/>
      <c r="O353" s="681"/>
      <c r="P353" s="685" t="s">
        <v>80</v>
      </c>
      <c r="Q353" s="686"/>
      <c r="R353" s="686"/>
      <c r="S353" s="686"/>
      <c r="T353" s="686"/>
      <c r="U353" s="686"/>
      <c r="V353" s="687"/>
      <c r="W353" s="37" t="s">
        <v>81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x14ac:dyDescent="0.2">
      <c r="A354" s="680"/>
      <c r="B354" s="680"/>
      <c r="C354" s="680"/>
      <c r="D354" s="680"/>
      <c r="E354" s="680"/>
      <c r="F354" s="680"/>
      <c r="G354" s="680"/>
      <c r="H354" s="680"/>
      <c r="I354" s="680"/>
      <c r="J354" s="680"/>
      <c r="K354" s="680"/>
      <c r="L354" s="680"/>
      <c r="M354" s="680"/>
      <c r="N354" s="680"/>
      <c r="O354" s="681"/>
      <c r="P354" s="685" t="s">
        <v>80</v>
      </c>
      <c r="Q354" s="686"/>
      <c r="R354" s="686"/>
      <c r="S354" s="686"/>
      <c r="T354" s="686"/>
      <c r="U354" s="686"/>
      <c r="V354" s="687"/>
      <c r="W354" s="37" t="s">
        <v>69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customHeight="1" x14ac:dyDescent="0.25">
      <c r="A355" s="682" t="s">
        <v>555</v>
      </c>
      <c r="B355" s="680"/>
      <c r="C355" s="680"/>
      <c r="D355" s="680"/>
      <c r="E355" s="680"/>
      <c r="F355" s="680"/>
      <c r="G355" s="680"/>
      <c r="H355" s="680"/>
      <c r="I355" s="680"/>
      <c r="J355" s="680"/>
      <c r="K355" s="680"/>
      <c r="L355" s="680"/>
      <c r="M355" s="680"/>
      <c r="N355" s="680"/>
      <c r="O355" s="680"/>
      <c r="P355" s="680"/>
      <c r="Q355" s="680"/>
      <c r="R355" s="680"/>
      <c r="S355" s="680"/>
      <c r="T355" s="680"/>
      <c r="U355" s="680"/>
      <c r="V355" s="680"/>
      <c r="W355" s="680"/>
      <c r="X355" s="680"/>
      <c r="Y355" s="680"/>
      <c r="Z355" s="680"/>
      <c r="AA355" s="661"/>
      <c r="AB355" s="661"/>
      <c r="AC355" s="661"/>
    </row>
    <row r="356" spans="1:68" ht="16.5" customHeight="1" x14ac:dyDescent="0.25">
      <c r="A356" s="54" t="s">
        <v>556</v>
      </c>
      <c r="B356" s="54" t="s">
        <v>557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558</v>
      </c>
      <c r="N356" s="33"/>
      <c r="O356" s="32">
        <v>730</v>
      </c>
      <c r="P356" s="8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559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560</v>
      </c>
      <c r="B357" s="54" t="s">
        <v>561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558</v>
      </c>
      <c r="N357" s="33"/>
      <c r="O357" s="32">
        <v>730</v>
      </c>
      <c r="P357" s="101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559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562</v>
      </c>
      <c r="B358" s="54" t="s">
        <v>563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558</v>
      </c>
      <c r="N358" s="33"/>
      <c r="O358" s="32">
        <v>730</v>
      </c>
      <c r="P358" s="8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9"/>
      <c r="B359" s="680"/>
      <c r="C359" s="680"/>
      <c r="D359" s="680"/>
      <c r="E359" s="680"/>
      <c r="F359" s="680"/>
      <c r="G359" s="680"/>
      <c r="H359" s="680"/>
      <c r="I359" s="680"/>
      <c r="J359" s="680"/>
      <c r="K359" s="680"/>
      <c r="L359" s="680"/>
      <c r="M359" s="680"/>
      <c r="N359" s="680"/>
      <c r="O359" s="681"/>
      <c r="P359" s="685" t="s">
        <v>80</v>
      </c>
      <c r="Q359" s="686"/>
      <c r="R359" s="686"/>
      <c r="S359" s="686"/>
      <c r="T359" s="686"/>
      <c r="U359" s="686"/>
      <c r="V359" s="687"/>
      <c r="W359" s="37" t="s">
        <v>81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x14ac:dyDescent="0.2">
      <c r="A360" s="680"/>
      <c r="B360" s="680"/>
      <c r="C360" s="680"/>
      <c r="D360" s="680"/>
      <c r="E360" s="680"/>
      <c r="F360" s="680"/>
      <c r="G360" s="680"/>
      <c r="H360" s="680"/>
      <c r="I360" s="680"/>
      <c r="J360" s="680"/>
      <c r="K360" s="680"/>
      <c r="L360" s="680"/>
      <c r="M360" s="680"/>
      <c r="N360" s="680"/>
      <c r="O360" s="681"/>
      <c r="P360" s="685" t="s">
        <v>80</v>
      </c>
      <c r="Q360" s="686"/>
      <c r="R360" s="686"/>
      <c r="S360" s="686"/>
      <c r="T360" s="686"/>
      <c r="U360" s="686"/>
      <c r="V360" s="687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customHeight="1" x14ac:dyDescent="0.25">
      <c r="A361" s="716" t="s">
        <v>564</v>
      </c>
      <c r="B361" s="680"/>
      <c r="C361" s="680"/>
      <c r="D361" s="680"/>
      <c r="E361" s="680"/>
      <c r="F361" s="680"/>
      <c r="G361" s="680"/>
      <c r="H361" s="680"/>
      <c r="I361" s="680"/>
      <c r="J361" s="680"/>
      <c r="K361" s="680"/>
      <c r="L361" s="680"/>
      <c r="M361" s="680"/>
      <c r="N361" s="680"/>
      <c r="O361" s="680"/>
      <c r="P361" s="680"/>
      <c r="Q361" s="680"/>
      <c r="R361" s="680"/>
      <c r="S361" s="680"/>
      <c r="T361" s="680"/>
      <c r="U361" s="680"/>
      <c r="V361" s="680"/>
      <c r="W361" s="680"/>
      <c r="X361" s="680"/>
      <c r="Y361" s="680"/>
      <c r="Z361" s="680"/>
      <c r="AA361" s="660"/>
      <c r="AB361" s="660"/>
      <c r="AC361" s="660"/>
    </row>
    <row r="362" spans="1:68" ht="14.25" customHeight="1" x14ac:dyDescent="0.25">
      <c r="A362" s="682" t="s">
        <v>144</v>
      </c>
      <c r="B362" s="680"/>
      <c r="C362" s="680"/>
      <c r="D362" s="680"/>
      <c r="E362" s="680"/>
      <c r="F362" s="680"/>
      <c r="G362" s="680"/>
      <c r="H362" s="680"/>
      <c r="I362" s="680"/>
      <c r="J362" s="680"/>
      <c r="K362" s="680"/>
      <c r="L362" s="680"/>
      <c r="M362" s="680"/>
      <c r="N362" s="680"/>
      <c r="O362" s="680"/>
      <c r="P362" s="680"/>
      <c r="Q362" s="680"/>
      <c r="R362" s="680"/>
      <c r="S362" s="680"/>
      <c r="T362" s="680"/>
      <c r="U362" s="680"/>
      <c r="V362" s="680"/>
      <c r="W362" s="680"/>
      <c r="X362" s="680"/>
      <c r="Y362" s="680"/>
      <c r="Z362" s="680"/>
      <c r="AA362" s="661"/>
      <c r="AB362" s="661"/>
      <c r="AC362" s="661"/>
    </row>
    <row r="363" spans="1:68" ht="27" customHeight="1" x14ac:dyDescent="0.25">
      <c r="A363" s="54" t="s">
        <v>565</v>
      </c>
      <c r="B363" s="54" t="s">
        <v>566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49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567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9"/>
      <c r="B364" s="680"/>
      <c r="C364" s="680"/>
      <c r="D364" s="680"/>
      <c r="E364" s="680"/>
      <c r="F364" s="680"/>
      <c r="G364" s="680"/>
      <c r="H364" s="680"/>
      <c r="I364" s="680"/>
      <c r="J364" s="680"/>
      <c r="K364" s="680"/>
      <c r="L364" s="680"/>
      <c r="M364" s="680"/>
      <c r="N364" s="680"/>
      <c r="O364" s="681"/>
      <c r="P364" s="685" t="s">
        <v>80</v>
      </c>
      <c r="Q364" s="686"/>
      <c r="R364" s="686"/>
      <c r="S364" s="686"/>
      <c r="T364" s="686"/>
      <c r="U364" s="686"/>
      <c r="V364" s="687"/>
      <c r="W364" s="37" t="s">
        <v>81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x14ac:dyDescent="0.2">
      <c r="A365" s="680"/>
      <c r="B365" s="680"/>
      <c r="C365" s="680"/>
      <c r="D365" s="680"/>
      <c r="E365" s="680"/>
      <c r="F365" s="680"/>
      <c r="G365" s="680"/>
      <c r="H365" s="680"/>
      <c r="I365" s="680"/>
      <c r="J365" s="680"/>
      <c r="K365" s="680"/>
      <c r="L365" s="680"/>
      <c r="M365" s="680"/>
      <c r="N365" s="680"/>
      <c r="O365" s="681"/>
      <c r="P365" s="685" t="s">
        <v>80</v>
      </c>
      <c r="Q365" s="686"/>
      <c r="R365" s="686"/>
      <c r="S365" s="686"/>
      <c r="T365" s="686"/>
      <c r="U365" s="686"/>
      <c r="V365" s="687"/>
      <c r="W365" s="37" t="s">
        <v>69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customHeight="1" x14ac:dyDescent="0.25">
      <c r="A366" s="682" t="s">
        <v>64</v>
      </c>
      <c r="B366" s="680"/>
      <c r="C366" s="680"/>
      <c r="D366" s="680"/>
      <c r="E366" s="680"/>
      <c r="F366" s="680"/>
      <c r="G366" s="680"/>
      <c r="H366" s="680"/>
      <c r="I366" s="680"/>
      <c r="J366" s="680"/>
      <c r="K366" s="680"/>
      <c r="L366" s="680"/>
      <c r="M366" s="680"/>
      <c r="N366" s="680"/>
      <c r="O366" s="680"/>
      <c r="P366" s="680"/>
      <c r="Q366" s="680"/>
      <c r="R366" s="680"/>
      <c r="S366" s="680"/>
      <c r="T366" s="680"/>
      <c r="U366" s="680"/>
      <c r="V366" s="680"/>
      <c r="W366" s="680"/>
      <c r="X366" s="680"/>
      <c r="Y366" s="680"/>
      <c r="Z366" s="680"/>
      <c r="AA366" s="661"/>
      <c r="AB366" s="661"/>
      <c r="AC366" s="661"/>
    </row>
    <row r="367" spans="1:68" ht="27" customHeight="1" x14ac:dyDescent="0.25">
      <c r="A367" s="54" t="s">
        <v>568</v>
      </c>
      <c r="B367" s="54" t="s">
        <v>569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93</v>
      </c>
      <c r="L367" s="32"/>
      <c r="M367" s="33" t="s">
        <v>129</v>
      </c>
      <c r="N367" s="33"/>
      <c r="O367" s="32">
        <v>45</v>
      </c>
      <c r="P367" s="100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570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571</v>
      </c>
      <c r="B368" s="54" t="s">
        <v>572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100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573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574</v>
      </c>
      <c r="B369" s="54" t="s">
        <v>575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129</v>
      </c>
      <c r="N369" s="33"/>
      <c r="O369" s="32">
        <v>40</v>
      </c>
      <c r="P369" s="98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576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9"/>
      <c r="B370" s="680"/>
      <c r="C370" s="680"/>
      <c r="D370" s="680"/>
      <c r="E370" s="680"/>
      <c r="F370" s="680"/>
      <c r="G370" s="680"/>
      <c r="H370" s="680"/>
      <c r="I370" s="680"/>
      <c r="J370" s="680"/>
      <c r="K370" s="680"/>
      <c r="L370" s="680"/>
      <c r="M370" s="680"/>
      <c r="N370" s="680"/>
      <c r="O370" s="681"/>
      <c r="P370" s="685" t="s">
        <v>80</v>
      </c>
      <c r="Q370" s="686"/>
      <c r="R370" s="686"/>
      <c r="S370" s="686"/>
      <c r="T370" s="686"/>
      <c r="U370" s="686"/>
      <c r="V370" s="687"/>
      <c r="W370" s="37" t="s">
        <v>81</v>
      </c>
      <c r="X370" s="667">
        <f>IFERROR(X367/H367,"0")+IFERROR(X368/H368,"0")+IFERROR(X369/H369,"0")</f>
        <v>0</v>
      </c>
      <c r="Y370" s="667">
        <f>IFERROR(Y367/H367,"0")+IFERROR(Y368/H368,"0")+IFERROR(Y369/H369,"0")</f>
        <v>0</v>
      </c>
      <c r="Z370" s="667">
        <f>IFERROR(IF(Z367="",0,Z367),"0")+IFERROR(IF(Z368="",0,Z368),"0")+IFERROR(IF(Z369="",0,Z369),"0")</f>
        <v>0</v>
      </c>
      <c r="AA370" s="668"/>
      <c r="AB370" s="668"/>
      <c r="AC370" s="668"/>
    </row>
    <row r="371" spans="1:68" x14ac:dyDescent="0.2">
      <c r="A371" s="680"/>
      <c r="B371" s="680"/>
      <c r="C371" s="680"/>
      <c r="D371" s="680"/>
      <c r="E371" s="680"/>
      <c r="F371" s="680"/>
      <c r="G371" s="680"/>
      <c r="H371" s="680"/>
      <c r="I371" s="680"/>
      <c r="J371" s="680"/>
      <c r="K371" s="680"/>
      <c r="L371" s="680"/>
      <c r="M371" s="680"/>
      <c r="N371" s="680"/>
      <c r="O371" s="681"/>
      <c r="P371" s="685" t="s">
        <v>80</v>
      </c>
      <c r="Q371" s="686"/>
      <c r="R371" s="686"/>
      <c r="S371" s="686"/>
      <c r="T371" s="686"/>
      <c r="U371" s="686"/>
      <c r="V371" s="687"/>
      <c r="W371" s="37" t="s">
        <v>69</v>
      </c>
      <c r="X371" s="667">
        <f>IFERROR(SUM(X367:X369),"0")</f>
        <v>0</v>
      </c>
      <c r="Y371" s="667">
        <f>IFERROR(SUM(Y367:Y369),"0")</f>
        <v>0</v>
      </c>
      <c r="Z371" s="37"/>
      <c r="AA371" s="668"/>
      <c r="AB371" s="668"/>
      <c r="AC371" s="668"/>
    </row>
    <row r="372" spans="1:68" ht="27.75" customHeight="1" x14ac:dyDescent="0.2">
      <c r="A372" s="800" t="s">
        <v>577</v>
      </c>
      <c r="B372" s="801"/>
      <c r="C372" s="801"/>
      <c r="D372" s="801"/>
      <c r="E372" s="801"/>
      <c r="F372" s="801"/>
      <c r="G372" s="801"/>
      <c r="H372" s="801"/>
      <c r="I372" s="801"/>
      <c r="J372" s="801"/>
      <c r="K372" s="801"/>
      <c r="L372" s="801"/>
      <c r="M372" s="801"/>
      <c r="N372" s="801"/>
      <c r="O372" s="801"/>
      <c r="P372" s="801"/>
      <c r="Q372" s="801"/>
      <c r="R372" s="801"/>
      <c r="S372" s="801"/>
      <c r="T372" s="801"/>
      <c r="U372" s="801"/>
      <c r="V372" s="801"/>
      <c r="W372" s="801"/>
      <c r="X372" s="801"/>
      <c r="Y372" s="801"/>
      <c r="Z372" s="801"/>
      <c r="AA372" s="48"/>
      <c r="AB372" s="48"/>
      <c r="AC372" s="48"/>
    </row>
    <row r="373" spans="1:68" ht="16.5" customHeight="1" x14ac:dyDescent="0.25">
      <c r="A373" s="716" t="s">
        <v>578</v>
      </c>
      <c r="B373" s="680"/>
      <c r="C373" s="680"/>
      <c r="D373" s="680"/>
      <c r="E373" s="680"/>
      <c r="F373" s="680"/>
      <c r="G373" s="680"/>
      <c r="H373" s="680"/>
      <c r="I373" s="680"/>
      <c r="J373" s="680"/>
      <c r="K373" s="680"/>
      <c r="L373" s="680"/>
      <c r="M373" s="680"/>
      <c r="N373" s="680"/>
      <c r="O373" s="680"/>
      <c r="P373" s="680"/>
      <c r="Q373" s="680"/>
      <c r="R373" s="680"/>
      <c r="S373" s="680"/>
      <c r="T373" s="680"/>
      <c r="U373" s="680"/>
      <c r="V373" s="680"/>
      <c r="W373" s="680"/>
      <c r="X373" s="680"/>
      <c r="Y373" s="680"/>
      <c r="Z373" s="680"/>
      <c r="AA373" s="660"/>
      <c r="AB373" s="660"/>
      <c r="AC373" s="660"/>
    </row>
    <row r="374" spans="1:68" ht="14.25" customHeight="1" x14ac:dyDescent="0.25">
      <c r="A374" s="682" t="s">
        <v>90</v>
      </c>
      <c r="B374" s="680"/>
      <c r="C374" s="680"/>
      <c r="D374" s="680"/>
      <c r="E374" s="680"/>
      <c r="F374" s="680"/>
      <c r="G374" s="680"/>
      <c r="H374" s="680"/>
      <c r="I374" s="680"/>
      <c r="J374" s="680"/>
      <c r="K374" s="680"/>
      <c r="L374" s="680"/>
      <c r="M374" s="680"/>
      <c r="N374" s="680"/>
      <c r="O374" s="680"/>
      <c r="P374" s="680"/>
      <c r="Q374" s="680"/>
      <c r="R374" s="680"/>
      <c r="S374" s="680"/>
      <c r="T374" s="680"/>
      <c r="U374" s="680"/>
      <c r="V374" s="680"/>
      <c r="W374" s="680"/>
      <c r="X374" s="680"/>
      <c r="Y374" s="680"/>
      <c r="Z374" s="680"/>
      <c r="AA374" s="661"/>
      <c r="AB374" s="661"/>
      <c r="AC374" s="661"/>
    </row>
    <row r="375" spans="1:68" ht="27" customHeight="1" x14ac:dyDescent="0.25">
      <c r="A375" s="54" t="s">
        <v>579</v>
      </c>
      <c r="B375" s="54" t="s">
        <v>580</v>
      </c>
      <c r="C375" s="31">
        <v>4301011946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93</v>
      </c>
      <c r="L375" s="32"/>
      <c r="M375" s="33" t="s">
        <v>386</v>
      </c>
      <c r="N375" s="33"/>
      <c r="O375" s="32">
        <v>60</v>
      </c>
      <c r="P375" s="87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0</v>
      </c>
      <c r="Y375" s="666">
        <f t="shared" ref="Y375:Y384" si="52">IFERROR(IF(X375="",0,CEILING((X375/$H375),1)*$H375),"")</f>
        <v>0</v>
      </c>
      <c r="Z375" s="36" t="str">
        <f>IFERROR(IF(Y375=0,"",ROUNDUP(Y375/H375,0)*0.02039),"")</f>
        <v/>
      </c>
      <c r="AA375" s="56"/>
      <c r="AB375" s="57"/>
      <c r="AC375" s="417" t="s">
        <v>581</v>
      </c>
      <c r="AG375" s="64"/>
      <c r="AJ375" s="68"/>
      <c r="AK375" s="68">
        <v>0</v>
      </c>
      <c r="BB375" s="418" t="s">
        <v>1</v>
      </c>
      <c r="BM375" s="64">
        <f t="shared" ref="BM375:BM384" si="53">IFERROR(X375*I375/H375,"0")</f>
        <v>0</v>
      </c>
      <c r="BN375" s="64">
        <f t="shared" ref="BN375:BN384" si="54">IFERROR(Y375*I375/H375,"0")</f>
        <v>0</v>
      </c>
      <c r="BO375" s="64">
        <f t="shared" ref="BO375:BO384" si="55">IFERROR(1/J375*(X375/H375),"0")</f>
        <v>0</v>
      </c>
      <c r="BP375" s="64">
        <f t="shared" ref="BP375:BP384" si="56">IFERROR(1/J375*(Y375/H375),"0")</f>
        <v>0</v>
      </c>
    </row>
    <row r="376" spans="1:68" ht="37.5" customHeight="1" x14ac:dyDescent="0.25">
      <c r="A376" s="54" t="s">
        <v>579</v>
      </c>
      <c r="B376" s="54" t="s">
        <v>582</v>
      </c>
      <c r="C376" s="31">
        <v>4301011869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93</v>
      </c>
      <c r="L376" s="32" t="s">
        <v>116</v>
      </c>
      <c r="M376" s="33" t="s">
        <v>68</v>
      </c>
      <c r="N376" s="33"/>
      <c r="O376" s="32">
        <v>60</v>
      </c>
      <c r="P376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0</v>
      </c>
      <c r="Y376" s="666">
        <f t="shared" si="52"/>
        <v>0</v>
      </c>
      <c r="Z376" s="36" t="str">
        <f>IFERROR(IF(Y376=0,"",ROUNDUP(Y376/H376,0)*0.02175),"")</f>
        <v/>
      </c>
      <c r="AA376" s="56"/>
      <c r="AB376" s="57"/>
      <c r="AC376" s="419" t="s">
        <v>583</v>
      </c>
      <c r="AG376" s="64"/>
      <c r="AJ376" s="68" t="s">
        <v>118</v>
      </c>
      <c r="AK376" s="68">
        <v>720</v>
      </c>
      <c r="BB376" s="420" t="s">
        <v>1</v>
      </c>
      <c r="BM376" s="64">
        <f t="shared" si="53"/>
        <v>0</v>
      </c>
      <c r="BN376" s="64">
        <f t="shared" si="54"/>
        <v>0</v>
      </c>
      <c r="BO376" s="64">
        <f t="shared" si="55"/>
        <v>0</v>
      </c>
      <c r="BP376" s="64">
        <f t="shared" si="56"/>
        <v>0</v>
      </c>
    </row>
    <row r="377" spans="1:68" ht="27" customHeight="1" x14ac:dyDescent="0.25">
      <c r="A377" s="54" t="s">
        <v>584</v>
      </c>
      <c r="B377" s="54" t="s">
        <v>585</v>
      </c>
      <c r="C377" s="31">
        <v>4301011947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93</v>
      </c>
      <c r="L377" s="32"/>
      <c r="M377" s="33" t="s">
        <v>386</v>
      </c>
      <c r="N377" s="33"/>
      <c r="O377" s="32">
        <v>60</v>
      </c>
      <c r="P377" s="886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0</v>
      </c>
      <c r="Y377" s="666">
        <f t="shared" si="52"/>
        <v>0</v>
      </c>
      <c r="Z377" s="36" t="str">
        <f>IFERROR(IF(Y377=0,"",ROUNDUP(Y377/H377,0)*0.02039),"")</f>
        <v/>
      </c>
      <c r="AA377" s="56"/>
      <c r="AB377" s="57"/>
      <c r="AC377" s="421" t="s">
        <v>581</v>
      </c>
      <c r="AG377" s="64"/>
      <c r="AJ377" s="68"/>
      <c r="AK377" s="68">
        <v>0</v>
      </c>
      <c r="BB377" s="422" t="s">
        <v>1</v>
      </c>
      <c r="BM377" s="64">
        <f t="shared" si="53"/>
        <v>0</v>
      </c>
      <c r="BN377" s="64">
        <f t="shared" si="54"/>
        <v>0</v>
      </c>
      <c r="BO377" s="64">
        <f t="shared" si="55"/>
        <v>0</v>
      </c>
      <c r="BP377" s="64">
        <f t="shared" si="56"/>
        <v>0</v>
      </c>
    </row>
    <row r="378" spans="1:68" ht="27" customHeight="1" x14ac:dyDescent="0.25">
      <c r="A378" s="54" t="s">
        <v>584</v>
      </c>
      <c r="B378" s="54" t="s">
        <v>586</v>
      </c>
      <c r="C378" s="31">
        <v>4301011870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93</v>
      </c>
      <c r="L378" s="32" t="s">
        <v>116</v>
      </c>
      <c r="M378" s="33" t="s">
        <v>68</v>
      </c>
      <c r="N378" s="33"/>
      <c r="O378" s="32">
        <v>60</v>
      </c>
      <c r="P378" s="8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15</v>
      </c>
      <c r="Y378" s="666">
        <f t="shared" si="52"/>
        <v>15</v>
      </c>
      <c r="Z378" s="36">
        <f>IFERROR(IF(Y378=0,"",ROUNDUP(Y378/H378,0)*0.02175),"")</f>
        <v>2.1749999999999999E-2</v>
      </c>
      <c r="AA378" s="56"/>
      <c r="AB378" s="57"/>
      <c r="AC378" s="423" t="s">
        <v>587</v>
      </c>
      <c r="AG378" s="64"/>
      <c r="AJ378" s="68" t="s">
        <v>118</v>
      </c>
      <c r="AK378" s="68">
        <v>720</v>
      </c>
      <c r="BB378" s="424" t="s">
        <v>1</v>
      </c>
      <c r="BM378" s="64">
        <f t="shared" si="53"/>
        <v>15.48</v>
      </c>
      <c r="BN378" s="64">
        <f t="shared" si="54"/>
        <v>15.48</v>
      </c>
      <c r="BO378" s="64">
        <f t="shared" si="55"/>
        <v>2.0833333333333332E-2</v>
      </c>
      <c r="BP378" s="64">
        <f t="shared" si="56"/>
        <v>2.0833333333333332E-2</v>
      </c>
    </row>
    <row r="379" spans="1:68" ht="27" customHeight="1" x14ac:dyDescent="0.25">
      <c r="A379" s="54" t="s">
        <v>588</v>
      </c>
      <c r="B379" s="54" t="s">
        <v>589</v>
      </c>
      <c r="C379" s="31">
        <v>4301011832</v>
      </c>
      <c r="D379" s="669">
        <v>4607091383997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93</v>
      </c>
      <c r="L379" s="32"/>
      <c r="M379" s="33" t="s">
        <v>129</v>
      </c>
      <c r="N379" s="33"/>
      <c r="O379" s="32">
        <v>60</v>
      </c>
      <c r="P379" s="71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75</v>
      </c>
      <c r="Y379" s="666">
        <f t="shared" si="52"/>
        <v>75</v>
      </c>
      <c r="Z379" s="36">
        <f>IFERROR(IF(Y379=0,"",ROUNDUP(Y379/H379,0)*0.02175),"")</f>
        <v>0.10874999999999999</v>
      </c>
      <c r="AA379" s="56"/>
      <c r="AB379" s="57"/>
      <c r="AC379" s="425" t="s">
        <v>590</v>
      </c>
      <c r="AG379" s="64"/>
      <c r="AJ379" s="68"/>
      <c r="AK379" s="68">
        <v>0</v>
      </c>
      <c r="BB379" s="426" t="s">
        <v>1</v>
      </c>
      <c r="BM379" s="64">
        <f t="shared" si="53"/>
        <v>77.400000000000006</v>
      </c>
      <c r="BN379" s="64">
        <f t="shared" si="54"/>
        <v>77.400000000000006</v>
      </c>
      <c r="BO379" s="64">
        <f t="shared" si="55"/>
        <v>0.10416666666666666</v>
      </c>
      <c r="BP379" s="64">
        <f t="shared" si="56"/>
        <v>0.10416666666666666</v>
      </c>
    </row>
    <row r="380" spans="1:68" ht="27" customHeight="1" x14ac:dyDescent="0.25">
      <c r="A380" s="54" t="s">
        <v>591</v>
      </c>
      <c r="B380" s="54" t="s">
        <v>592</v>
      </c>
      <c r="C380" s="31">
        <v>4301011943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93</v>
      </c>
      <c r="L380" s="32"/>
      <c r="M380" s="33" t="s">
        <v>386</v>
      </c>
      <c r="N380" s="33"/>
      <c r="O380" s="32">
        <v>60</v>
      </c>
      <c r="P380" s="877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0</v>
      </c>
      <c r="Y380" s="666">
        <f t="shared" si="52"/>
        <v>0</v>
      </c>
      <c r="Z380" s="36" t="str">
        <f>IFERROR(IF(Y380=0,"",ROUNDUP(Y380/H380,0)*0.02039),"")</f>
        <v/>
      </c>
      <c r="AA380" s="56"/>
      <c r="AB380" s="57"/>
      <c r="AC380" s="427" t="s">
        <v>581</v>
      </c>
      <c r="AG380" s="64"/>
      <c r="AJ380" s="68"/>
      <c r="AK380" s="68">
        <v>0</v>
      </c>
      <c r="BB380" s="428" t="s">
        <v>1</v>
      </c>
      <c r="BM380" s="64">
        <f t="shared" si="53"/>
        <v>0</v>
      </c>
      <c r="BN380" s="64">
        <f t="shared" si="54"/>
        <v>0</v>
      </c>
      <c r="BO380" s="64">
        <f t="shared" si="55"/>
        <v>0</v>
      </c>
      <c r="BP380" s="64">
        <f t="shared" si="56"/>
        <v>0</v>
      </c>
    </row>
    <row r="381" spans="1:68" ht="37.5" customHeight="1" x14ac:dyDescent="0.25">
      <c r="A381" s="54" t="s">
        <v>591</v>
      </c>
      <c r="B381" s="54" t="s">
        <v>593</v>
      </c>
      <c r="C381" s="31">
        <v>4301011867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93</v>
      </c>
      <c r="L381" s="32" t="s">
        <v>116</v>
      </c>
      <c r="M381" s="33" t="s">
        <v>68</v>
      </c>
      <c r="N381" s="33"/>
      <c r="O381" s="32">
        <v>60</v>
      </c>
      <c r="P381" s="71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0</v>
      </c>
      <c r="Y381" s="666">
        <f t="shared" si="52"/>
        <v>0</v>
      </c>
      <c r="Z381" s="36" t="str">
        <f>IFERROR(IF(Y381=0,"",ROUNDUP(Y381/H381,0)*0.02175),"")</f>
        <v/>
      </c>
      <c r="AA381" s="56"/>
      <c r="AB381" s="57"/>
      <c r="AC381" s="429" t="s">
        <v>594</v>
      </c>
      <c r="AG381" s="64"/>
      <c r="AJ381" s="68" t="s">
        <v>118</v>
      </c>
      <c r="AK381" s="68">
        <v>720</v>
      </c>
      <c r="BB381" s="430" t="s">
        <v>1</v>
      </c>
      <c r="BM381" s="64">
        <f t="shared" si="53"/>
        <v>0</v>
      </c>
      <c r="BN381" s="64">
        <f t="shared" si="54"/>
        <v>0</v>
      </c>
      <c r="BO381" s="64">
        <f t="shared" si="55"/>
        <v>0</v>
      </c>
      <c r="BP381" s="64">
        <f t="shared" si="56"/>
        <v>0</v>
      </c>
    </row>
    <row r="382" spans="1:68" ht="27" customHeight="1" x14ac:dyDescent="0.25">
      <c r="A382" s="54" t="s">
        <v>595</v>
      </c>
      <c r="B382" s="54" t="s">
        <v>596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98</v>
      </c>
      <c r="L382" s="32"/>
      <c r="M382" s="33" t="s">
        <v>94</v>
      </c>
      <c r="N382" s="33"/>
      <c r="O382" s="32">
        <v>90</v>
      </c>
      <c r="P382" s="7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2"/>
        <v>0</v>
      </c>
      <c r="Z382" s="36" t="str">
        <f>IFERROR(IF(Y382=0,"",ROUNDUP(Y382/H382,0)*0.00902),"")</f>
        <v/>
      </c>
      <c r="AA382" s="56"/>
      <c r="AB382" s="57"/>
      <c r="AC382" s="431" t="s">
        <v>597</v>
      </c>
      <c r="AG382" s="64"/>
      <c r="AJ382" s="68"/>
      <c r="AK382" s="68">
        <v>0</v>
      </c>
      <c r="BB382" s="432" t="s">
        <v>1</v>
      </c>
      <c r="BM382" s="64">
        <f t="shared" si="53"/>
        <v>0</v>
      </c>
      <c r="BN382" s="64">
        <f t="shared" si="54"/>
        <v>0</v>
      </c>
      <c r="BO382" s="64">
        <f t="shared" si="55"/>
        <v>0</v>
      </c>
      <c r="BP382" s="64">
        <f t="shared" si="56"/>
        <v>0</v>
      </c>
    </row>
    <row r="383" spans="1:68" ht="27" customHeight="1" x14ac:dyDescent="0.25">
      <c r="A383" s="54" t="s">
        <v>598</v>
      </c>
      <c r="B383" s="54" t="s">
        <v>599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98</v>
      </c>
      <c r="L383" s="32"/>
      <c r="M383" s="33" t="s">
        <v>68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0</v>
      </c>
      <c r="Y383" s="666">
        <f t="shared" si="52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3"/>
        <v>0</v>
      </c>
      <c r="BN383" s="64">
        <f t="shared" si="54"/>
        <v>0</v>
      </c>
      <c r="BO383" s="64">
        <f t="shared" si="55"/>
        <v>0</v>
      </c>
      <c r="BP383" s="64">
        <f t="shared" si="56"/>
        <v>0</v>
      </c>
    </row>
    <row r="384" spans="1:68" ht="37.5" customHeight="1" x14ac:dyDescent="0.25">
      <c r="A384" s="54" t="s">
        <v>600</v>
      </c>
      <c r="B384" s="54" t="s">
        <v>601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98</v>
      </c>
      <c r="L384" s="32"/>
      <c r="M384" s="33" t="s">
        <v>68</v>
      </c>
      <c r="N384" s="33"/>
      <c r="O384" s="32">
        <v>60</v>
      </c>
      <c r="P384" s="69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0</v>
      </c>
      <c r="Y384" s="666">
        <f t="shared" si="52"/>
        <v>0</v>
      </c>
      <c r="Z384" s="36" t="str">
        <f>IFERROR(IF(Y384=0,"",ROUNDUP(Y384/H384,0)*0.00902),"")</f>
        <v/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3"/>
        <v>0</v>
      </c>
      <c r="BN384" s="64">
        <f t="shared" si="54"/>
        <v>0</v>
      </c>
      <c r="BO384" s="64">
        <f t="shared" si="55"/>
        <v>0</v>
      </c>
      <c r="BP384" s="64">
        <f t="shared" si="56"/>
        <v>0</v>
      </c>
    </row>
    <row r="385" spans="1:68" x14ac:dyDescent="0.2">
      <c r="A385" s="679"/>
      <c r="B385" s="680"/>
      <c r="C385" s="680"/>
      <c r="D385" s="680"/>
      <c r="E385" s="680"/>
      <c r="F385" s="680"/>
      <c r="G385" s="680"/>
      <c r="H385" s="680"/>
      <c r="I385" s="680"/>
      <c r="J385" s="680"/>
      <c r="K385" s="680"/>
      <c r="L385" s="680"/>
      <c r="M385" s="680"/>
      <c r="N385" s="680"/>
      <c r="O385" s="681"/>
      <c r="P385" s="685" t="s">
        <v>80</v>
      </c>
      <c r="Q385" s="686"/>
      <c r="R385" s="686"/>
      <c r="S385" s="686"/>
      <c r="T385" s="686"/>
      <c r="U385" s="686"/>
      <c r="V385" s="687"/>
      <c r="W385" s="37" t="s">
        <v>81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6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6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0.13049999999999998</v>
      </c>
      <c r="AA385" s="668"/>
      <c r="AB385" s="668"/>
      <c r="AC385" s="668"/>
    </row>
    <row r="386" spans="1:68" x14ac:dyDescent="0.2">
      <c r="A386" s="680"/>
      <c r="B386" s="680"/>
      <c r="C386" s="680"/>
      <c r="D386" s="680"/>
      <c r="E386" s="680"/>
      <c r="F386" s="680"/>
      <c r="G386" s="680"/>
      <c r="H386" s="680"/>
      <c r="I386" s="680"/>
      <c r="J386" s="680"/>
      <c r="K386" s="680"/>
      <c r="L386" s="680"/>
      <c r="M386" s="680"/>
      <c r="N386" s="680"/>
      <c r="O386" s="681"/>
      <c r="P386" s="685" t="s">
        <v>80</v>
      </c>
      <c r="Q386" s="686"/>
      <c r="R386" s="686"/>
      <c r="S386" s="686"/>
      <c r="T386" s="686"/>
      <c r="U386" s="686"/>
      <c r="V386" s="687"/>
      <c r="W386" s="37" t="s">
        <v>69</v>
      </c>
      <c r="X386" s="667">
        <f>IFERROR(SUM(X375:X384),"0")</f>
        <v>90</v>
      </c>
      <c r="Y386" s="667">
        <f>IFERROR(SUM(Y375:Y384),"0")</f>
        <v>90</v>
      </c>
      <c r="Z386" s="37"/>
      <c r="AA386" s="668"/>
      <c r="AB386" s="668"/>
      <c r="AC386" s="668"/>
    </row>
    <row r="387" spans="1:68" ht="14.25" customHeight="1" x14ac:dyDescent="0.25">
      <c r="A387" s="682" t="s">
        <v>133</v>
      </c>
      <c r="B387" s="680"/>
      <c r="C387" s="680"/>
      <c r="D387" s="680"/>
      <c r="E387" s="680"/>
      <c r="F387" s="680"/>
      <c r="G387" s="680"/>
      <c r="H387" s="680"/>
      <c r="I387" s="680"/>
      <c r="J387" s="680"/>
      <c r="K387" s="680"/>
      <c r="L387" s="680"/>
      <c r="M387" s="680"/>
      <c r="N387" s="680"/>
      <c r="O387" s="680"/>
      <c r="P387" s="680"/>
      <c r="Q387" s="680"/>
      <c r="R387" s="680"/>
      <c r="S387" s="680"/>
      <c r="T387" s="680"/>
      <c r="U387" s="680"/>
      <c r="V387" s="680"/>
      <c r="W387" s="680"/>
      <c r="X387" s="680"/>
      <c r="Y387" s="680"/>
      <c r="Z387" s="680"/>
      <c r="AA387" s="661"/>
      <c r="AB387" s="661"/>
      <c r="AC387" s="661"/>
    </row>
    <row r="388" spans="1:68" ht="27" customHeight="1" x14ac:dyDescent="0.25">
      <c r="A388" s="54" t="s">
        <v>602</v>
      </c>
      <c r="B388" s="54" t="s">
        <v>603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93</v>
      </c>
      <c r="L388" s="32" t="s">
        <v>116</v>
      </c>
      <c r="M388" s="33" t="s">
        <v>94</v>
      </c>
      <c r="N388" s="33"/>
      <c r="O388" s="32">
        <v>50</v>
      </c>
      <c r="P388" s="9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0</v>
      </c>
      <c r="Y388" s="666">
        <f>IFERROR(IF(X388="",0,CEILING((X388/$H388),1)*$H388),"")</f>
        <v>0</v>
      </c>
      <c r="Z388" s="36" t="str">
        <f>IFERROR(IF(Y388=0,"",ROUNDUP(Y388/H388,0)*0.02175),"")</f>
        <v/>
      </c>
      <c r="AA388" s="56"/>
      <c r="AB388" s="57"/>
      <c r="AC388" s="437" t="s">
        <v>604</v>
      </c>
      <c r="AG388" s="64"/>
      <c r="AJ388" s="68" t="s">
        <v>118</v>
      </c>
      <c r="AK388" s="68">
        <v>720</v>
      </c>
      <c r="BB388" s="43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605</v>
      </c>
      <c r="B389" s="54" t="s">
        <v>606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98</v>
      </c>
      <c r="L389" s="32"/>
      <c r="M389" s="33" t="s">
        <v>94</v>
      </c>
      <c r="N389" s="33"/>
      <c r="O389" s="32">
        <v>50</v>
      </c>
      <c r="P389" s="68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604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9"/>
      <c r="B390" s="680"/>
      <c r="C390" s="680"/>
      <c r="D390" s="680"/>
      <c r="E390" s="680"/>
      <c r="F390" s="680"/>
      <c r="G390" s="680"/>
      <c r="H390" s="680"/>
      <c r="I390" s="680"/>
      <c r="J390" s="680"/>
      <c r="K390" s="680"/>
      <c r="L390" s="680"/>
      <c r="M390" s="680"/>
      <c r="N390" s="680"/>
      <c r="O390" s="681"/>
      <c r="P390" s="685" t="s">
        <v>80</v>
      </c>
      <c r="Q390" s="686"/>
      <c r="R390" s="686"/>
      <c r="S390" s="686"/>
      <c r="T390" s="686"/>
      <c r="U390" s="686"/>
      <c r="V390" s="687"/>
      <c r="W390" s="37" t="s">
        <v>81</v>
      </c>
      <c r="X390" s="667">
        <f>IFERROR(X388/H388,"0")+IFERROR(X389/H389,"0")</f>
        <v>0</v>
      </c>
      <c r="Y390" s="667">
        <f>IFERROR(Y388/H388,"0")+IFERROR(Y389/H389,"0")</f>
        <v>0</v>
      </c>
      <c r="Z390" s="667">
        <f>IFERROR(IF(Z388="",0,Z388),"0")+IFERROR(IF(Z389="",0,Z389),"0")</f>
        <v>0</v>
      </c>
      <c r="AA390" s="668"/>
      <c r="AB390" s="668"/>
      <c r="AC390" s="668"/>
    </row>
    <row r="391" spans="1:68" x14ac:dyDescent="0.2">
      <c r="A391" s="680"/>
      <c r="B391" s="680"/>
      <c r="C391" s="680"/>
      <c r="D391" s="680"/>
      <c r="E391" s="680"/>
      <c r="F391" s="680"/>
      <c r="G391" s="680"/>
      <c r="H391" s="680"/>
      <c r="I391" s="680"/>
      <c r="J391" s="680"/>
      <c r="K391" s="680"/>
      <c r="L391" s="680"/>
      <c r="M391" s="680"/>
      <c r="N391" s="680"/>
      <c r="O391" s="681"/>
      <c r="P391" s="685" t="s">
        <v>80</v>
      </c>
      <c r="Q391" s="686"/>
      <c r="R391" s="686"/>
      <c r="S391" s="686"/>
      <c r="T391" s="686"/>
      <c r="U391" s="686"/>
      <c r="V391" s="687"/>
      <c r="W391" s="37" t="s">
        <v>69</v>
      </c>
      <c r="X391" s="667">
        <f>IFERROR(SUM(X388:X389),"0")</f>
        <v>0</v>
      </c>
      <c r="Y391" s="667">
        <f>IFERROR(SUM(Y388:Y389),"0")</f>
        <v>0</v>
      </c>
      <c r="Z391" s="37"/>
      <c r="AA391" s="668"/>
      <c r="AB391" s="668"/>
      <c r="AC391" s="668"/>
    </row>
    <row r="392" spans="1:68" ht="14.25" customHeight="1" x14ac:dyDescent="0.25">
      <c r="A392" s="682" t="s">
        <v>64</v>
      </c>
      <c r="B392" s="680"/>
      <c r="C392" s="680"/>
      <c r="D392" s="680"/>
      <c r="E392" s="680"/>
      <c r="F392" s="680"/>
      <c r="G392" s="680"/>
      <c r="H392" s="680"/>
      <c r="I392" s="680"/>
      <c r="J392" s="680"/>
      <c r="K392" s="680"/>
      <c r="L392" s="680"/>
      <c r="M392" s="680"/>
      <c r="N392" s="680"/>
      <c r="O392" s="680"/>
      <c r="P392" s="680"/>
      <c r="Q392" s="680"/>
      <c r="R392" s="680"/>
      <c r="S392" s="680"/>
      <c r="T392" s="680"/>
      <c r="U392" s="680"/>
      <c r="V392" s="680"/>
      <c r="W392" s="680"/>
      <c r="X392" s="680"/>
      <c r="Y392" s="680"/>
      <c r="Z392" s="680"/>
      <c r="AA392" s="661"/>
      <c r="AB392" s="661"/>
      <c r="AC392" s="661"/>
    </row>
    <row r="393" spans="1:68" ht="27" customHeight="1" x14ac:dyDescent="0.25">
      <c r="A393" s="54" t="s">
        <v>607</v>
      </c>
      <c r="B393" s="54" t="s">
        <v>608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93</v>
      </c>
      <c r="L393" s="32"/>
      <c r="M393" s="33" t="s">
        <v>100</v>
      </c>
      <c r="N393" s="33"/>
      <c r="O393" s="32">
        <v>40</v>
      </c>
      <c r="P393" s="897" t="s">
        <v>609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610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611</v>
      </c>
      <c r="B394" s="54" t="s">
        <v>612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93</v>
      </c>
      <c r="L394" s="32"/>
      <c r="M394" s="33" t="s">
        <v>100</v>
      </c>
      <c r="N394" s="33"/>
      <c r="O394" s="32">
        <v>40</v>
      </c>
      <c r="P394" s="724" t="s">
        <v>613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614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9"/>
      <c r="B395" s="680"/>
      <c r="C395" s="680"/>
      <c r="D395" s="680"/>
      <c r="E395" s="680"/>
      <c r="F395" s="680"/>
      <c r="G395" s="680"/>
      <c r="H395" s="680"/>
      <c r="I395" s="680"/>
      <c r="J395" s="680"/>
      <c r="K395" s="680"/>
      <c r="L395" s="680"/>
      <c r="M395" s="680"/>
      <c r="N395" s="680"/>
      <c r="O395" s="681"/>
      <c r="P395" s="685" t="s">
        <v>80</v>
      </c>
      <c r="Q395" s="686"/>
      <c r="R395" s="686"/>
      <c r="S395" s="686"/>
      <c r="T395" s="686"/>
      <c r="U395" s="686"/>
      <c r="V395" s="687"/>
      <c r="W395" s="37" t="s">
        <v>81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x14ac:dyDescent="0.2">
      <c r="A396" s="680"/>
      <c r="B396" s="680"/>
      <c r="C396" s="680"/>
      <c r="D396" s="680"/>
      <c r="E396" s="680"/>
      <c r="F396" s="680"/>
      <c r="G396" s="680"/>
      <c r="H396" s="680"/>
      <c r="I396" s="680"/>
      <c r="J396" s="680"/>
      <c r="K396" s="680"/>
      <c r="L396" s="680"/>
      <c r="M396" s="680"/>
      <c r="N396" s="680"/>
      <c r="O396" s="681"/>
      <c r="P396" s="685" t="s">
        <v>80</v>
      </c>
      <c r="Q396" s="686"/>
      <c r="R396" s="686"/>
      <c r="S396" s="686"/>
      <c r="T396" s="686"/>
      <c r="U396" s="686"/>
      <c r="V396" s="687"/>
      <c r="W396" s="37" t="s">
        <v>69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customHeight="1" x14ac:dyDescent="0.25">
      <c r="A397" s="682" t="s">
        <v>170</v>
      </c>
      <c r="B397" s="680"/>
      <c r="C397" s="680"/>
      <c r="D397" s="680"/>
      <c r="E397" s="680"/>
      <c r="F397" s="680"/>
      <c r="G397" s="680"/>
      <c r="H397" s="680"/>
      <c r="I397" s="680"/>
      <c r="J397" s="680"/>
      <c r="K397" s="680"/>
      <c r="L397" s="680"/>
      <c r="M397" s="680"/>
      <c r="N397" s="680"/>
      <c r="O397" s="680"/>
      <c r="P397" s="680"/>
      <c r="Q397" s="680"/>
      <c r="R397" s="680"/>
      <c r="S397" s="680"/>
      <c r="T397" s="680"/>
      <c r="U397" s="680"/>
      <c r="V397" s="680"/>
      <c r="W397" s="680"/>
      <c r="X397" s="680"/>
      <c r="Y397" s="680"/>
      <c r="Z397" s="680"/>
      <c r="AA397" s="661"/>
      <c r="AB397" s="661"/>
      <c r="AC397" s="661"/>
    </row>
    <row r="398" spans="1:68" ht="27" customHeight="1" x14ac:dyDescent="0.25">
      <c r="A398" s="54" t="s">
        <v>615</v>
      </c>
      <c r="B398" s="54" t="s">
        <v>616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93</v>
      </c>
      <c r="L398" s="32"/>
      <c r="M398" s="33" t="s">
        <v>100</v>
      </c>
      <c r="N398" s="33"/>
      <c r="O398" s="32">
        <v>30</v>
      </c>
      <c r="P398" s="944" t="s">
        <v>617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618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9"/>
      <c r="B399" s="680"/>
      <c r="C399" s="680"/>
      <c r="D399" s="680"/>
      <c r="E399" s="680"/>
      <c r="F399" s="680"/>
      <c r="G399" s="680"/>
      <c r="H399" s="680"/>
      <c r="I399" s="680"/>
      <c r="J399" s="680"/>
      <c r="K399" s="680"/>
      <c r="L399" s="680"/>
      <c r="M399" s="680"/>
      <c r="N399" s="680"/>
      <c r="O399" s="681"/>
      <c r="P399" s="685" t="s">
        <v>80</v>
      </c>
      <c r="Q399" s="686"/>
      <c r="R399" s="686"/>
      <c r="S399" s="686"/>
      <c r="T399" s="686"/>
      <c r="U399" s="686"/>
      <c r="V399" s="687"/>
      <c r="W399" s="37" t="s">
        <v>81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x14ac:dyDescent="0.2">
      <c r="A400" s="680"/>
      <c r="B400" s="680"/>
      <c r="C400" s="680"/>
      <c r="D400" s="680"/>
      <c r="E400" s="680"/>
      <c r="F400" s="680"/>
      <c r="G400" s="680"/>
      <c r="H400" s="680"/>
      <c r="I400" s="680"/>
      <c r="J400" s="680"/>
      <c r="K400" s="680"/>
      <c r="L400" s="680"/>
      <c r="M400" s="680"/>
      <c r="N400" s="680"/>
      <c r="O400" s="681"/>
      <c r="P400" s="685" t="s">
        <v>80</v>
      </c>
      <c r="Q400" s="686"/>
      <c r="R400" s="686"/>
      <c r="S400" s="686"/>
      <c r="T400" s="686"/>
      <c r="U400" s="686"/>
      <c r="V400" s="687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customHeight="1" x14ac:dyDescent="0.25">
      <c r="A401" s="716" t="s">
        <v>619</v>
      </c>
      <c r="B401" s="680"/>
      <c r="C401" s="680"/>
      <c r="D401" s="680"/>
      <c r="E401" s="680"/>
      <c r="F401" s="680"/>
      <c r="G401" s="680"/>
      <c r="H401" s="680"/>
      <c r="I401" s="680"/>
      <c r="J401" s="680"/>
      <c r="K401" s="680"/>
      <c r="L401" s="680"/>
      <c r="M401" s="680"/>
      <c r="N401" s="680"/>
      <c r="O401" s="680"/>
      <c r="P401" s="680"/>
      <c r="Q401" s="680"/>
      <c r="R401" s="680"/>
      <c r="S401" s="680"/>
      <c r="T401" s="680"/>
      <c r="U401" s="680"/>
      <c r="V401" s="680"/>
      <c r="W401" s="680"/>
      <c r="X401" s="680"/>
      <c r="Y401" s="680"/>
      <c r="Z401" s="680"/>
      <c r="AA401" s="660"/>
      <c r="AB401" s="660"/>
      <c r="AC401" s="660"/>
    </row>
    <row r="402" spans="1:68" ht="14.25" customHeight="1" x14ac:dyDescent="0.25">
      <c r="A402" s="682" t="s">
        <v>90</v>
      </c>
      <c r="B402" s="680"/>
      <c r="C402" s="680"/>
      <c r="D402" s="680"/>
      <c r="E402" s="680"/>
      <c r="F402" s="680"/>
      <c r="G402" s="680"/>
      <c r="H402" s="680"/>
      <c r="I402" s="680"/>
      <c r="J402" s="680"/>
      <c r="K402" s="680"/>
      <c r="L402" s="680"/>
      <c r="M402" s="680"/>
      <c r="N402" s="680"/>
      <c r="O402" s="680"/>
      <c r="P402" s="680"/>
      <c r="Q402" s="680"/>
      <c r="R402" s="680"/>
      <c r="S402" s="680"/>
      <c r="T402" s="680"/>
      <c r="U402" s="680"/>
      <c r="V402" s="680"/>
      <c r="W402" s="680"/>
      <c r="X402" s="680"/>
      <c r="Y402" s="680"/>
      <c r="Z402" s="680"/>
      <c r="AA402" s="661"/>
      <c r="AB402" s="661"/>
      <c r="AC402" s="661"/>
    </row>
    <row r="403" spans="1:68" ht="27" customHeight="1" x14ac:dyDescent="0.25">
      <c r="A403" s="54" t="s">
        <v>620</v>
      </c>
      <c r="B403" s="54" t="s">
        <v>621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93</v>
      </c>
      <c r="L403" s="32"/>
      <c r="M403" s="33" t="s">
        <v>68</v>
      </c>
      <c r="N403" s="33"/>
      <c r="O403" s="32">
        <v>60</v>
      </c>
      <c r="P403" s="81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 t="shared" ref="Y403:Y408" si="57"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622</v>
      </c>
      <c r="AG403" s="64"/>
      <c r="AJ403" s="68"/>
      <c r="AK403" s="68">
        <v>0</v>
      </c>
      <c r="BB403" s="448" t="s">
        <v>1</v>
      </c>
      <c r="BM403" s="64">
        <f t="shared" ref="BM403:BM408" si="58">IFERROR(X403*I403/H403,"0")</f>
        <v>0</v>
      </c>
      <c r="BN403" s="64">
        <f t="shared" ref="BN403:BN408" si="59">IFERROR(Y403*I403/H403,"0")</f>
        <v>0</v>
      </c>
      <c r="BO403" s="64">
        <f t="shared" ref="BO403:BO408" si="60">IFERROR(1/J403*(X403/H403),"0")</f>
        <v>0</v>
      </c>
      <c r="BP403" s="64">
        <f t="shared" ref="BP403:BP408" si="61">IFERROR(1/J403*(Y403/H403),"0")</f>
        <v>0</v>
      </c>
    </row>
    <row r="404" spans="1:68" ht="37.5" customHeight="1" x14ac:dyDescent="0.25">
      <c r="A404" s="54" t="s">
        <v>620</v>
      </c>
      <c r="B404" s="54" t="s">
        <v>623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93</v>
      </c>
      <c r="L404" s="32"/>
      <c r="M404" s="33" t="s">
        <v>68</v>
      </c>
      <c r="N404" s="33"/>
      <c r="O404" s="32">
        <v>60</v>
      </c>
      <c r="P404" s="707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 t="shared" si="57"/>
        <v>0</v>
      </c>
      <c r="Z404" s="36" t="str">
        <f>IFERROR(IF(Y404=0,"",ROUNDUP(Y404/H404,0)*0.01898),"")</f>
        <v/>
      </c>
      <c r="AA404" s="56"/>
      <c r="AB404" s="57"/>
      <c r="AC404" s="449" t="s">
        <v>624</v>
      </c>
      <c r="AG404" s="64"/>
      <c r="AJ404" s="68"/>
      <c r="AK404" s="68">
        <v>0</v>
      </c>
      <c r="BB404" s="450" t="s">
        <v>1</v>
      </c>
      <c r="BM404" s="64">
        <f t="shared" si="58"/>
        <v>0</v>
      </c>
      <c r="BN404" s="64">
        <f t="shared" si="59"/>
        <v>0</v>
      </c>
      <c r="BO404" s="64">
        <f t="shared" si="60"/>
        <v>0</v>
      </c>
      <c r="BP404" s="64">
        <f t="shared" si="61"/>
        <v>0</v>
      </c>
    </row>
    <row r="405" spans="1:68" ht="37.5" customHeight="1" x14ac:dyDescent="0.25">
      <c r="A405" s="54" t="s">
        <v>625</v>
      </c>
      <c r="B405" s="54" t="s">
        <v>626</v>
      </c>
      <c r="C405" s="31">
        <v>4301011312</v>
      </c>
      <c r="D405" s="669">
        <v>4607091384192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93</v>
      </c>
      <c r="L405" s="32"/>
      <c r="M405" s="33" t="s">
        <v>94</v>
      </c>
      <c r="N405" s="33"/>
      <c r="O405" s="32">
        <v>60</v>
      </c>
      <c r="P405" s="749" t="str">
        <f>HYPERLINK("https://abi.ru/products/Охлажденные/Особый рецепт/Особая Без свинины/Вареные колбасы/P002559/","Вареные колбасы Докторская оригинальная Особая Без свинины Весовые П/а Особый рецепт большой батон")</f>
        <v>Вареные колбасы Докторская оригинальная Особая Без свинины Весовые П/а Особый рецепт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 t="shared" si="57"/>
        <v>0</v>
      </c>
      <c r="Z405" s="36" t="str">
        <f>IFERROR(IF(Y405=0,"",ROUNDUP(Y405/H405,0)*0.01898),"")</f>
        <v/>
      </c>
      <c r="AA405" s="56"/>
      <c r="AB405" s="57"/>
      <c r="AC405" s="451" t="s">
        <v>627</v>
      </c>
      <c r="AG405" s="64"/>
      <c r="AJ405" s="68"/>
      <c r="AK405" s="68">
        <v>0</v>
      </c>
      <c r="BB405" s="452" t="s">
        <v>1</v>
      </c>
      <c r="BM405" s="64">
        <f t="shared" si="58"/>
        <v>0</v>
      </c>
      <c r="BN405" s="64">
        <f t="shared" si="59"/>
        <v>0</v>
      </c>
      <c r="BO405" s="64">
        <f t="shared" si="60"/>
        <v>0</v>
      </c>
      <c r="BP405" s="64">
        <f t="shared" si="61"/>
        <v>0</v>
      </c>
    </row>
    <row r="406" spans="1:68" ht="37.5" customHeight="1" x14ac:dyDescent="0.25">
      <c r="A406" s="54" t="s">
        <v>628</v>
      </c>
      <c r="B406" s="54" t="s">
        <v>629</v>
      </c>
      <c r="C406" s="31">
        <v>4301011874</v>
      </c>
      <c r="D406" s="669">
        <v>4680115884892</v>
      </c>
      <c r="E406" s="670"/>
      <c r="F406" s="664">
        <v>1.8</v>
      </c>
      <c r="G406" s="32">
        <v>6</v>
      </c>
      <c r="H406" s="664">
        <v>10.8</v>
      </c>
      <c r="I406" s="664">
        <v>11.234999999999999</v>
      </c>
      <c r="J406" s="32">
        <v>64</v>
      </c>
      <c r="K406" s="32" t="s">
        <v>93</v>
      </c>
      <c r="L406" s="32"/>
      <c r="M406" s="33" t="s">
        <v>68</v>
      </c>
      <c r="N406" s="33"/>
      <c r="O406" s="32">
        <v>60</v>
      </c>
      <c r="P406" s="820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0</v>
      </c>
      <c r="Y406" s="666">
        <f t="shared" si="57"/>
        <v>0</v>
      </c>
      <c r="Z406" s="36" t="str">
        <f>IFERROR(IF(Y406=0,"",ROUNDUP(Y406/H406,0)*0.01898),"")</f>
        <v/>
      </c>
      <c r="AA406" s="56"/>
      <c r="AB406" s="57"/>
      <c r="AC406" s="453" t="s">
        <v>630</v>
      </c>
      <c r="AG406" s="64"/>
      <c r="AJ406" s="68"/>
      <c r="AK406" s="68">
        <v>0</v>
      </c>
      <c r="BB406" s="454" t="s">
        <v>1</v>
      </c>
      <c r="BM406" s="64">
        <f t="shared" si="58"/>
        <v>0</v>
      </c>
      <c r="BN406" s="64">
        <f t="shared" si="59"/>
        <v>0</v>
      </c>
      <c r="BO406" s="64">
        <f t="shared" si="60"/>
        <v>0</v>
      </c>
      <c r="BP406" s="64">
        <f t="shared" si="61"/>
        <v>0</v>
      </c>
    </row>
    <row r="407" spans="1:68" ht="37.5" customHeight="1" x14ac:dyDescent="0.25">
      <c r="A407" s="54" t="s">
        <v>631</v>
      </c>
      <c r="B407" s="54" t="s">
        <v>632</v>
      </c>
      <c r="C407" s="31">
        <v>4301011875</v>
      </c>
      <c r="D407" s="669">
        <v>4680115884885</v>
      </c>
      <c r="E407" s="670"/>
      <c r="F407" s="664">
        <v>0.8</v>
      </c>
      <c r="G407" s="32">
        <v>15</v>
      </c>
      <c r="H407" s="664">
        <v>12</v>
      </c>
      <c r="I407" s="664">
        <v>12.435</v>
      </c>
      <c r="J407" s="32">
        <v>64</v>
      </c>
      <c r="K407" s="32" t="s">
        <v>93</v>
      </c>
      <c r="L407" s="32"/>
      <c r="M407" s="33" t="s">
        <v>68</v>
      </c>
      <c r="N407" s="33"/>
      <c r="O407" s="32">
        <v>60</v>
      </c>
      <c r="P407" s="75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0</v>
      </c>
      <c r="Y407" s="666">
        <f t="shared" si="57"/>
        <v>0</v>
      </c>
      <c r="Z407" s="36" t="str">
        <f>IFERROR(IF(Y407=0,"",ROUNDUP(Y407/H407,0)*0.01898),"")</f>
        <v/>
      </c>
      <c r="AA407" s="56"/>
      <c r="AB407" s="57"/>
      <c r="AC407" s="455" t="s">
        <v>630</v>
      </c>
      <c r="AG407" s="64"/>
      <c r="AJ407" s="68"/>
      <c r="AK407" s="68">
        <v>0</v>
      </c>
      <c r="BB407" s="456" t="s">
        <v>1</v>
      </c>
      <c r="BM407" s="64">
        <f t="shared" si="58"/>
        <v>0</v>
      </c>
      <c r="BN407" s="64">
        <f t="shared" si="59"/>
        <v>0</v>
      </c>
      <c r="BO407" s="64">
        <f t="shared" si="60"/>
        <v>0</v>
      </c>
      <c r="BP407" s="64">
        <f t="shared" si="61"/>
        <v>0</v>
      </c>
    </row>
    <row r="408" spans="1:68" ht="37.5" customHeight="1" x14ac:dyDescent="0.25">
      <c r="A408" s="54" t="s">
        <v>633</v>
      </c>
      <c r="B408" s="54" t="s">
        <v>634</v>
      </c>
      <c r="C408" s="31">
        <v>4301011871</v>
      </c>
      <c r="D408" s="669">
        <v>4680115884908</v>
      </c>
      <c r="E408" s="670"/>
      <c r="F408" s="664">
        <v>0.4</v>
      </c>
      <c r="G408" s="32">
        <v>10</v>
      </c>
      <c r="H408" s="664">
        <v>4</v>
      </c>
      <c r="I408" s="664">
        <v>4.21</v>
      </c>
      <c r="J408" s="32">
        <v>132</v>
      </c>
      <c r="K408" s="32" t="s">
        <v>98</v>
      </c>
      <c r="L408" s="32"/>
      <c r="M408" s="33" t="s">
        <v>68</v>
      </c>
      <c r="N408" s="33"/>
      <c r="O408" s="32">
        <v>60</v>
      </c>
      <c r="P408" s="101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8" s="672"/>
      <c r="R408" s="672"/>
      <c r="S408" s="672"/>
      <c r="T408" s="673"/>
      <c r="U408" s="34"/>
      <c r="V408" s="34"/>
      <c r="W408" s="35" t="s">
        <v>69</v>
      </c>
      <c r="X408" s="665">
        <v>0</v>
      </c>
      <c r="Y408" s="666">
        <f t="shared" si="57"/>
        <v>0</v>
      </c>
      <c r="Z408" s="36" t="str">
        <f>IFERROR(IF(Y408=0,"",ROUNDUP(Y408/H408,0)*0.00902),"")</f>
        <v/>
      </c>
      <c r="AA408" s="56"/>
      <c r="AB408" s="57"/>
      <c r="AC408" s="457" t="s">
        <v>630</v>
      </c>
      <c r="AG408" s="64"/>
      <c r="AJ408" s="68"/>
      <c r="AK408" s="68">
        <v>0</v>
      </c>
      <c r="BB408" s="458" t="s">
        <v>1</v>
      </c>
      <c r="BM408" s="64">
        <f t="shared" si="58"/>
        <v>0</v>
      </c>
      <c r="BN408" s="64">
        <f t="shared" si="59"/>
        <v>0</v>
      </c>
      <c r="BO408" s="64">
        <f t="shared" si="60"/>
        <v>0</v>
      </c>
      <c r="BP408" s="64">
        <f t="shared" si="61"/>
        <v>0</v>
      </c>
    </row>
    <row r="409" spans="1:68" x14ac:dyDescent="0.2">
      <c r="A409" s="679"/>
      <c r="B409" s="680"/>
      <c r="C409" s="680"/>
      <c r="D409" s="680"/>
      <c r="E409" s="680"/>
      <c r="F409" s="680"/>
      <c r="G409" s="680"/>
      <c r="H409" s="680"/>
      <c r="I409" s="680"/>
      <c r="J409" s="680"/>
      <c r="K409" s="680"/>
      <c r="L409" s="680"/>
      <c r="M409" s="680"/>
      <c r="N409" s="680"/>
      <c r="O409" s="681"/>
      <c r="P409" s="685" t="s">
        <v>80</v>
      </c>
      <c r="Q409" s="686"/>
      <c r="R409" s="686"/>
      <c r="S409" s="686"/>
      <c r="T409" s="686"/>
      <c r="U409" s="686"/>
      <c r="V409" s="687"/>
      <c r="W409" s="37" t="s">
        <v>81</v>
      </c>
      <c r="X409" s="667">
        <f>IFERROR(X403/H403,"0")+IFERROR(X404/H404,"0")+IFERROR(X405/H405,"0")+IFERROR(X406/H406,"0")+IFERROR(X407/H407,"0")+IFERROR(X408/H408,"0")</f>
        <v>0</v>
      </c>
      <c r="Y409" s="667">
        <f>IFERROR(Y403/H403,"0")+IFERROR(Y404/H404,"0")+IFERROR(Y405/H405,"0")+IFERROR(Y406/H406,"0")+IFERROR(Y407/H407,"0")+IFERROR(Y408/H408,"0")</f>
        <v>0</v>
      </c>
      <c r="Z409" s="667">
        <f>IFERROR(IF(Z403="",0,Z403),"0")+IFERROR(IF(Z404="",0,Z404),"0")+IFERROR(IF(Z405="",0,Z405),"0")+IFERROR(IF(Z406="",0,Z406),"0")+IFERROR(IF(Z407="",0,Z407),"0")+IFERROR(IF(Z408="",0,Z408),"0")</f>
        <v>0</v>
      </c>
      <c r="AA409" s="668"/>
      <c r="AB409" s="668"/>
      <c r="AC409" s="668"/>
    </row>
    <row r="410" spans="1:68" x14ac:dyDescent="0.2">
      <c r="A410" s="680"/>
      <c r="B410" s="680"/>
      <c r="C410" s="680"/>
      <c r="D410" s="680"/>
      <c r="E410" s="680"/>
      <c r="F410" s="680"/>
      <c r="G410" s="680"/>
      <c r="H410" s="680"/>
      <c r="I410" s="680"/>
      <c r="J410" s="680"/>
      <c r="K410" s="680"/>
      <c r="L410" s="680"/>
      <c r="M410" s="680"/>
      <c r="N410" s="680"/>
      <c r="O410" s="681"/>
      <c r="P410" s="685" t="s">
        <v>80</v>
      </c>
      <c r="Q410" s="686"/>
      <c r="R410" s="686"/>
      <c r="S410" s="686"/>
      <c r="T410" s="686"/>
      <c r="U410" s="686"/>
      <c r="V410" s="687"/>
      <c r="W410" s="37" t="s">
        <v>69</v>
      </c>
      <c r="X410" s="667">
        <f>IFERROR(SUM(X403:X408),"0")</f>
        <v>0</v>
      </c>
      <c r="Y410" s="667">
        <f>IFERROR(SUM(Y403:Y408),"0")</f>
        <v>0</v>
      </c>
      <c r="Z410" s="37"/>
      <c r="AA410" s="668"/>
      <c r="AB410" s="668"/>
      <c r="AC410" s="668"/>
    </row>
    <row r="411" spans="1:68" ht="14.25" customHeight="1" x14ac:dyDescent="0.25">
      <c r="A411" s="682" t="s">
        <v>144</v>
      </c>
      <c r="B411" s="680"/>
      <c r="C411" s="680"/>
      <c r="D411" s="680"/>
      <c r="E411" s="680"/>
      <c r="F411" s="680"/>
      <c r="G411" s="680"/>
      <c r="H411" s="680"/>
      <c r="I411" s="680"/>
      <c r="J411" s="680"/>
      <c r="K411" s="680"/>
      <c r="L411" s="680"/>
      <c r="M411" s="680"/>
      <c r="N411" s="680"/>
      <c r="O411" s="680"/>
      <c r="P411" s="680"/>
      <c r="Q411" s="680"/>
      <c r="R411" s="680"/>
      <c r="S411" s="680"/>
      <c r="T411" s="680"/>
      <c r="U411" s="680"/>
      <c r="V411" s="680"/>
      <c r="W411" s="680"/>
      <c r="X411" s="680"/>
      <c r="Y411" s="680"/>
      <c r="Z411" s="680"/>
      <c r="AA411" s="661"/>
      <c r="AB411" s="661"/>
      <c r="AC411" s="661"/>
    </row>
    <row r="412" spans="1:68" ht="27" customHeight="1" x14ac:dyDescent="0.25">
      <c r="A412" s="54" t="s">
        <v>635</v>
      </c>
      <c r="B412" s="54" t="s">
        <v>636</v>
      </c>
      <c r="C412" s="31">
        <v>4301031303</v>
      </c>
      <c r="D412" s="669">
        <v>4607091384802</v>
      </c>
      <c r="E412" s="670"/>
      <c r="F412" s="664">
        <v>0.73</v>
      </c>
      <c r="G412" s="32">
        <v>6</v>
      </c>
      <c r="H412" s="664">
        <v>4.38</v>
      </c>
      <c r="I412" s="664">
        <v>4.6500000000000004</v>
      </c>
      <c r="J412" s="32">
        <v>132</v>
      </c>
      <c r="K412" s="32" t="s">
        <v>98</v>
      </c>
      <c r="L412" s="32"/>
      <c r="M412" s="33" t="s">
        <v>68</v>
      </c>
      <c r="N412" s="33"/>
      <c r="O412" s="32">
        <v>35</v>
      </c>
      <c r="P412" s="9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59" t="s">
        <v>637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638</v>
      </c>
      <c r="B413" s="54" t="s">
        <v>639</v>
      </c>
      <c r="C413" s="31">
        <v>4301031304</v>
      </c>
      <c r="D413" s="669">
        <v>4607091384826</v>
      </c>
      <c r="E413" s="670"/>
      <c r="F413" s="664">
        <v>0.35</v>
      </c>
      <c r="G413" s="32">
        <v>8</v>
      </c>
      <c r="H413" s="664">
        <v>2.8</v>
      </c>
      <c r="I413" s="664">
        <v>2.98</v>
      </c>
      <c r="J413" s="32">
        <v>234</v>
      </c>
      <c r="K413" s="32" t="s">
        <v>147</v>
      </c>
      <c r="L413" s="32"/>
      <c r="M413" s="33" t="s">
        <v>68</v>
      </c>
      <c r="N413" s="33"/>
      <c r="O413" s="32">
        <v>35</v>
      </c>
      <c r="P413" s="75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3" s="672"/>
      <c r="R413" s="672"/>
      <c r="S413" s="672"/>
      <c r="T413" s="673"/>
      <c r="U413" s="34"/>
      <c r="V413" s="34"/>
      <c r="W413" s="35" t="s">
        <v>69</v>
      </c>
      <c r="X413" s="665">
        <v>0</v>
      </c>
      <c r="Y413" s="66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1" t="s">
        <v>637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79"/>
      <c r="B414" s="680"/>
      <c r="C414" s="680"/>
      <c r="D414" s="680"/>
      <c r="E414" s="680"/>
      <c r="F414" s="680"/>
      <c r="G414" s="680"/>
      <c r="H414" s="680"/>
      <c r="I414" s="680"/>
      <c r="J414" s="680"/>
      <c r="K414" s="680"/>
      <c r="L414" s="680"/>
      <c r="M414" s="680"/>
      <c r="N414" s="680"/>
      <c r="O414" s="681"/>
      <c r="P414" s="685" t="s">
        <v>80</v>
      </c>
      <c r="Q414" s="686"/>
      <c r="R414" s="686"/>
      <c r="S414" s="686"/>
      <c r="T414" s="686"/>
      <c r="U414" s="686"/>
      <c r="V414" s="687"/>
      <c r="W414" s="37" t="s">
        <v>81</v>
      </c>
      <c r="X414" s="667">
        <f>IFERROR(X412/H412,"0")+IFERROR(X413/H413,"0")</f>
        <v>0</v>
      </c>
      <c r="Y414" s="667">
        <f>IFERROR(Y412/H412,"0")+IFERROR(Y413/H413,"0")</f>
        <v>0</v>
      </c>
      <c r="Z414" s="667">
        <f>IFERROR(IF(Z412="",0,Z412),"0")+IFERROR(IF(Z413="",0,Z413),"0")</f>
        <v>0</v>
      </c>
      <c r="AA414" s="668"/>
      <c r="AB414" s="668"/>
      <c r="AC414" s="668"/>
    </row>
    <row r="415" spans="1:68" x14ac:dyDescent="0.2">
      <c r="A415" s="680"/>
      <c r="B415" s="680"/>
      <c r="C415" s="680"/>
      <c r="D415" s="680"/>
      <c r="E415" s="680"/>
      <c r="F415" s="680"/>
      <c r="G415" s="680"/>
      <c r="H415" s="680"/>
      <c r="I415" s="680"/>
      <c r="J415" s="680"/>
      <c r="K415" s="680"/>
      <c r="L415" s="680"/>
      <c r="M415" s="680"/>
      <c r="N415" s="680"/>
      <c r="O415" s="681"/>
      <c r="P415" s="685" t="s">
        <v>80</v>
      </c>
      <c r="Q415" s="686"/>
      <c r="R415" s="686"/>
      <c r="S415" s="686"/>
      <c r="T415" s="686"/>
      <c r="U415" s="686"/>
      <c r="V415" s="687"/>
      <c r="W415" s="37" t="s">
        <v>69</v>
      </c>
      <c r="X415" s="667">
        <f>IFERROR(SUM(X412:X413),"0")</f>
        <v>0</v>
      </c>
      <c r="Y415" s="667">
        <f>IFERROR(SUM(Y412:Y413),"0")</f>
        <v>0</v>
      </c>
      <c r="Z415" s="37"/>
      <c r="AA415" s="668"/>
      <c r="AB415" s="668"/>
      <c r="AC415" s="668"/>
    </row>
    <row r="416" spans="1:68" ht="14.25" customHeight="1" x14ac:dyDescent="0.25">
      <c r="A416" s="682" t="s">
        <v>64</v>
      </c>
      <c r="B416" s="680"/>
      <c r="C416" s="680"/>
      <c r="D416" s="680"/>
      <c r="E416" s="680"/>
      <c r="F416" s="680"/>
      <c r="G416" s="680"/>
      <c r="H416" s="680"/>
      <c r="I416" s="680"/>
      <c r="J416" s="680"/>
      <c r="K416" s="680"/>
      <c r="L416" s="680"/>
      <c r="M416" s="680"/>
      <c r="N416" s="680"/>
      <c r="O416" s="680"/>
      <c r="P416" s="680"/>
      <c r="Q416" s="680"/>
      <c r="R416" s="680"/>
      <c r="S416" s="680"/>
      <c r="T416" s="680"/>
      <c r="U416" s="680"/>
      <c r="V416" s="680"/>
      <c r="W416" s="680"/>
      <c r="X416" s="680"/>
      <c r="Y416" s="680"/>
      <c r="Z416" s="680"/>
      <c r="AA416" s="661"/>
      <c r="AB416" s="661"/>
      <c r="AC416" s="661"/>
    </row>
    <row r="417" spans="1:68" ht="27" customHeight="1" x14ac:dyDescent="0.25">
      <c r="A417" s="54" t="s">
        <v>640</v>
      </c>
      <c r="B417" s="54" t="s">
        <v>641</v>
      </c>
      <c r="C417" s="31">
        <v>4301051899</v>
      </c>
      <c r="D417" s="669">
        <v>4607091384246</v>
      </c>
      <c r="E417" s="670"/>
      <c r="F417" s="664">
        <v>1.5</v>
      </c>
      <c r="G417" s="32">
        <v>6</v>
      </c>
      <c r="H417" s="664">
        <v>9</v>
      </c>
      <c r="I417" s="664">
        <v>9.5190000000000001</v>
      </c>
      <c r="J417" s="32">
        <v>64</v>
      </c>
      <c r="K417" s="32" t="s">
        <v>93</v>
      </c>
      <c r="L417" s="32"/>
      <c r="M417" s="33" t="s">
        <v>100</v>
      </c>
      <c r="N417" s="33"/>
      <c r="O417" s="32">
        <v>40</v>
      </c>
      <c r="P417" s="98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642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37.5" customHeight="1" x14ac:dyDescent="0.25">
      <c r="A418" s="54" t="s">
        <v>643</v>
      </c>
      <c r="B418" s="54" t="s">
        <v>644</v>
      </c>
      <c r="C418" s="31">
        <v>4301051901</v>
      </c>
      <c r="D418" s="669">
        <v>4680115881976</v>
      </c>
      <c r="E418" s="670"/>
      <c r="F418" s="664">
        <v>1.5</v>
      </c>
      <c r="G418" s="32">
        <v>6</v>
      </c>
      <c r="H418" s="664">
        <v>9</v>
      </c>
      <c r="I418" s="664">
        <v>9.4350000000000005</v>
      </c>
      <c r="J418" s="32">
        <v>64</v>
      </c>
      <c r="K418" s="32" t="s">
        <v>93</v>
      </c>
      <c r="L418" s="32"/>
      <c r="M418" s="33" t="s">
        <v>100</v>
      </c>
      <c r="N418" s="33"/>
      <c r="O418" s="32">
        <v>40</v>
      </c>
      <c r="P418" s="989" t="s">
        <v>645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65" t="s">
        <v>646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647</v>
      </c>
      <c r="B419" s="54" t="s">
        <v>648</v>
      </c>
      <c r="C419" s="31">
        <v>4301051297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647</v>
      </c>
      <c r="B420" s="54" t="s">
        <v>650</v>
      </c>
      <c r="C420" s="31">
        <v>4301051660</v>
      </c>
      <c r="D420" s="669">
        <v>4607091384253</v>
      </c>
      <c r="E420" s="670"/>
      <c r="F420" s="664">
        <v>0.4</v>
      </c>
      <c r="G420" s="32">
        <v>6</v>
      </c>
      <c r="H420" s="664">
        <v>2.4</v>
      </c>
      <c r="I420" s="664">
        <v>2.6640000000000001</v>
      </c>
      <c r="J420" s="32">
        <v>182</v>
      </c>
      <c r="K420" s="32" t="s">
        <v>67</v>
      </c>
      <c r="L420" s="32"/>
      <c r="M420" s="33" t="s">
        <v>100</v>
      </c>
      <c r="N420" s="33"/>
      <c r="O420" s="32">
        <v>40</v>
      </c>
      <c r="P420" s="99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27" customHeight="1" x14ac:dyDescent="0.25">
      <c r="A421" s="54" t="s">
        <v>651</v>
      </c>
      <c r="B421" s="54" t="s">
        <v>652</v>
      </c>
      <c r="C421" s="31">
        <v>4301051444</v>
      </c>
      <c r="D421" s="669">
        <v>4680115881969</v>
      </c>
      <c r="E421" s="670"/>
      <c r="F421" s="664">
        <v>0.4</v>
      </c>
      <c r="G421" s="32">
        <v>6</v>
      </c>
      <c r="H421" s="664">
        <v>2.4</v>
      </c>
      <c r="I421" s="664">
        <v>2.58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40</v>
      </c>
      <c r="P421" s="1014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1" s="672"/>
      <c r="R421" s="672"/>
      <c r="S421" s="672"/>
      <c r="T421" s="673"/>
      <c r="U421" s="34"/>
      <c r="V421" s="34"/>
      <c r="W421" s="35" t="s">
        <v>69</v>
      </c>
      <c r="X421" s="665">
        <v>0</v>
      </c>
      <c r="Y421" s="66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653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679"/>
      <c r="B422" s="680"/>
      <c r="C422" s="680"/>
      <c r="D422" s="680"/>
      <c r="E422" s="680"/>
      <c r="F422" s="680"/>
      <c r="G422" s="680"/>
      <c r="H422" s="680"/>
      <c r="I422" s="680"/>
      <c r="J422" s="680"/>
      <c r="K422" s="680"/>
      <c r="L422" s="680"/>
      <c r="M422" s="680"/>
      <c r="N422" s="680"/>
      <c r="O422" s="681"/>
      <c r="P422" s="685" t="s">
        <v>80</v>
      </c>
      <c r="Q422" s="686"/>
      <c r="R422" s="686"/>
      <c r="S422" s="686"/>
      <c r="T422" s="686"/>
      <c r="U422" s="686"/>
      <c r="V422" s="687"/>
      <c r="W422" s="37" t="s">
        <v>81</v>
      </c>
      <c r="X422" s="667">
        <f>IFERROR(X417/H417,"0")+IFERROR(X418/H418,"0")+IFERROR(X419/H419,"0")+IFERROR(X420/H420,"0")+IFERROR(X421/H421,"0")</f>
        <v>0</v>
      </c>
      <c r="Y422" s="667">
        <f>IFERROR(Y417/H417,"0")+IFERROR(Y418/H418,"0")+IFERROR(Y419/H419,"0")+IFERROR(Y420/H420,"0")+IFERROR(Y421/H421,"0")</f>
        <v>0</v>
      </c>
      <c r="Z422" s="667">
        <f>IFERROR(IF(Z417="",0,Z417),"0")+IFERROR(IF(Z418="",0,Z418),"0")+IFERROR(IF(Z419="",0,Z419),"0")+IFERROR(IF(Z420="",0,Z420),"0")+IFERROR(IF(Z421="",0,Z421),"0")</f>
        <v>0</v>
      </c>
      <c r="AA422" s="668"/>
      <c r="AB422" s="668"/>
      <c r="AC422" s="668"/>
    </row>
    <row r="423" spans="1:68" x14ac:dyDescent="0.2">
      <c r="A423" s="680"/>
      <c r="B423" s="680"/>
      <c r="C423" s="680"/>
      <c r="D423" s="680"/>
      <c r="E423" s="680"/>
      <c r="F423" s="680"/>
      <c r="G423" s="680"/>
      <c r="H423" s="680"/>
      <c r="I423" s="680"/>
      <c r="J423" s="680"/>
      <c r="K423" s="680"/>
      <c r="L423" s="680"/>
      <c r="M423" s="680"/>
      <c r="N423" s="680"/>
      <c r="O423" s="681"/>
      <c r="P423" s="685" t="s">
        <v>80</v>
      </c>
      <c r="Q423" s="686"/>
      <c r="R423" s="686"/>
      <c r="S423" s="686"/>
      <c r="T423" s="686"/>
      <c r="U423" s="686"/>
      <c r="V423" s="687"/>
      <c r="W423" s="37" t="s">
        <v>69</v>
      </c>
      <c r="X423" s="667">
        <f>IFERROR(SUM(X417:X421),"0")</f>
        <v>0</v>
      </c>
      <c r="Y423" s="667">
        <f>IFERROR(SUM(Y417:Y421),"0")</f>
        <v>0</v>
      </c>
      <c r="Z423" s="37"/>
      <c r="AA423" s="668"/>
      <c r="AB423" s="668"/>
      <c r="AC423" s="668"/>
    </row>
    <row r="424" spans="1:68" ht="14.25" customHeight="1" x14ac:dyDescent="0.25">
      <c r="A424" s="682" t="s">
        <v>170</v>
      </c>
      <c r="B424" s="680"/>
      <c r="C424" s="680"/>
      <c r="D424" s="680"/>
      <c r="E424" s="680"/>
      <c r="F424" s="680"/>
      <c r="G424" s="680"/>
      <c r="H424" s="680"/>
      <c r="I424" s="680"/>
      <c r="J424" s="680"/>
      <c r="K424" s="680"/>
      <c r="L424" s="680"/>
      <c r="M424" s="680"/>
      <c r="N424" s="680"/>
      <c r="O424" s="680"/>
      <c r="P424" s="680"/>
      <c r="Q424" s="680"/>
      <c r="R424" s="680"/>
      <c r="S424" s="680"/>
      <c r="T424" s="680"/>
      <c r="U424" s="680"/>
      <c r="V424" s="680"/>
      <c r="W424" s="680"/>
      <c r="X424" s="680"/>
      <c r="Y424" s="680"/>
      <c r="Z424" s="680"/>
      <c r="AA424" s="661"/>
      <c r="AB424" s="661"/>
      <c r="AC424" s="661"/>
    </row>
    <row r="425" spans="1:68" ht="27" customHeight="1" x14ac:dyDescent="0.25">
      <c r="A425" s="54" t="s">
        <v>654</v>
      </c>
      <c r="B425" s="54" t="s">
        <v>655</v>
      </c>
      <c r="C425" s="31">
        <v>4301060441</v>
      </c>
      <c r="D425" s="669">
        <v>4607091389357</v>
      </c>
      <c r="E425" s="670"/>
      <c r="F425" s="664">
        <v>1.5</v>
      </c>
      <c r="G425" s="32">
        <v>6</v>
      </c>
      <c r="H425" s="664">
        <v>9</v>
      </c>
      <c r="I425" s="664">
        <v>9.4350000000000005</v>
      </c>
      <c r="J425" s="32">
        <v>64</v>
      </c>
      <c r="K425" s="32" t="s">
        <v>93</v>
      </c>
      <c r="L425" s="32"/>
      <c r="M425" s="33" t="s">
        <v>100</v>
      </c>
      <c r="N425" s="33"/>
      <c r="O425" s="32">
        <v>40</v>
      </c>
      <c r="P425" s="855" t="s">
        <v>656</v>
      </c>
      <c r="Q425" s="672"/>
      <c r="R425" s="672"/>
      <c r="S425" s="672"/>
      <c r="T425" s="673"/>
      <c r="U425" s="34"/>
      <c r="V425" s="34"/>
      <c r="W425" s="35" t="s">
        <v>69</v>
      </c>
      <c r="X425" s="665">
        <v>0</v>
      </c>
      <c r="Y425" s="66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79"/>
      <c r="B426" s="680"/>
      <c r="C426" s="680"/>
      <c r="D426" s="680"/>
      <c r="E426" s="680"/>
      <c r="F426" s="680"/>
      <c r="G426" s="680"/>
      <c r="H426" s="680"/>
      <c r="I426" s="680"/>
      <c r="J426" s="680"/>
      <c r="K426" s="680"/>
      <c r="L426" s="680"/>
      <c r="M426" s="680"/>
      <c r="N426" s="680"/>
      <c r="O426" s="681"/>
      <c r="P426" s="685" t="s">
        <v>80</v>
      </c>
      <c r="Q426" s="686"/>
      <c r="R426" s="686"/>
      <c r="S426" s="686"/>
      <c r="T426" s="686"/>
      <c r="U426" s="686"/>
      <c r="V426" s="687"/>
      <c r="W426" s="37" t="s">
        <v>81</v>
      </c>
      <c r="X426" s="667">
        <f>IFERROR(X425/H425,"0")</f>
        <v>0</v>
      </c>
      <c r="Y426" s="667">
        <f>IFERROR(Y425/H425,"0")</f>
        <v>0</v>
      </c>
      <c r="Z426" s="667">
        <f>IFERROR(IF(Z425="",0,Z425),"0")</f>
        <v>0</v>
      </c>
      <c r="AA426" s="668"/>
      <c r="AB426" s="668"/>
      <c r="AC426" s="668"/>
    </row>
    <row r="427" spans="1:68" x14ac:dyDescent="0.2">
      <c r="A427" s="680"/>
      <c r="B427" s="680"/>
      <c r="C427" s="680"/>
      <c r="D427" s="680"/>
      <c r="E427" s="680"/>
      <c r="F427" s="680"/>
      <c r="G427" s="680"/>
      <c r="H427" s="680"/>
      <c r="I427" s="680"/>
      <c r="J427" s="680"/>
      <c r="K427" s="680"/>
      <c r="L427" s="680"/>
      <c r="M427" s="680"/>
      <c r="N427" s="680"/>
      <c r="O427" s="681"/>
      <c r="P427" s="685" t="s">
        <v>80</v>
      </c>
      <c r="Q427" s="686"/>
      <c r="R427" s="686"/>
      <c r="S427" s="686"/>
      <c r="T427" s="686"/>
      <c r="U427" s="686"/>
      <c r="V427" s="687"/>
      <c r="W427" s="37" t="s">
        <v>69</v>
      </c>
      <c r="X427" s="667">
        <f>IFERROR(SUM(X425:X425),"0")</f>
        <v>0</v>
      </c>
      <c r="Y427" s="667">
        <f>IFERROR(SUM(Y425:Y425),"0")</f>
        <v>0</v>
      </c>
      <c r="Z427" s="37"/>
      <c r="AA427" s="668"/>
      <c r="AB427" s="668"/>
      <c r="AC427" s="668"/>
    </row>
    <row r="428" spans="1:68" ht="27.75" customHeight="1" x14ac:dyDescent="0.2">
      <c r="A428" s="800" t="s">
        <v>658</v>
      </c>
      <c r="B428" s="801"/>
      <c r="C428" s="801"/>
      <c r="D428" s="801"/>
      <c r="E428" s="801"/>
      <c r="F428" s="801"/>
      <c r="G428" s="801"/>
      <c r="H428" s="801"/>
      <c r="I428" s="801"/>
      <c r="J428" s="801"/>
      <c r="K428" s="801"/>
      <c r="L428" s="801"/>
      <c r="M428" s="801"/>
      <c r="N428" s="801"/>
      <c r="O428" s="801"/>
      <c r="P428" s="801"/>
      <c r="Q428" s="801"/>
      <c r="R428" s="801"/>
      <c r="S428" s="801"/>
      <c r="T428" s="801"/>
      <c r="U428" s="801"/>
      <c r="V428" s="801"/>
      <c r="W428" s="801"/>
      <c r="X428" s="801"/>
      <c r="Y428" s="801"/>
      <c r="Z428" s="801"/>
      <c r="AA428" s="48"/>
      <c r="AB428" s="48"/>
      <c r="AC428" s="48"/>
    </row>
    <row r="429" spans="1:68" ht="16.5" customHeight="1" x14ac:dyDescent="0.25">
      <c r="A429" s="716" t="s">
        <v>659</v>
      </c>
      <c r="B429" s="680"/>
      <c r="C429" s="680"/>
      <c r="D429" s="680"/>
      <c r="E429" s="680"/>
      <c r="F429" s="680"/>
      <c r="G429" s="680"/>
      <c r="H429" s="680"/>
      <c r="I429" s="680"/>
      <c r="J429" s="680"/>
      <c r="K429" s="680"/>
      <c r="L429" s="680"/>
      <c r="M429" s="680"/>
      <c r="N429" s="680"/>
      <c r="O429" s="680"/>
      <c r="P429" s="680"/>
      <c r="Q429" s="680"/>
      <c r="R429" s="680"/>
      <c r="S429" s="680"/>
      <c r="T429" s="680"/>
      <c r="U429" s="680"/>
      <c r="V429" s="680"/>
      <c r="W429" s="680"/>
      <c r="X429" s="680"/>
      <c r="Y429" s="680"/>
      <c r="Z429" s="680"/>
      <c r="AA429" s="660"/>
      <c r="AB429" s="660"/>
      <c r="AC429" s="660"/>
    </row>
    <row r="430" spans="1:68" ht="14.25" customHeight="1" x14ac:dyDescent="0.25">
      <c r="A430" s="682" t="s">
        <v>144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661"/>
      <c r="AB430" s="661"/>
      <c r="AC430" s="661"/>
    </row>
    <row r="431" spans="1:68" ht="27" customHeight="1" x14ac:dyDescent="0.25">
      <c r="A431" s="54" t="s">
        <v>660</v>
      </c>
      <c r="B431" s="54" t="s">
        <v>661</v>
      </c>
      <c r="C431" s="31">
        <v>4301031405</v>
      </c>
      <c r="D431" s="669">
        <v>4680115886100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98</v>
      </c>
      <c r="L431" s="32"/>
      <c r="M431" s="33" t="s">
        <v>68</v>
      </c>
      <c r="N431" s="33"/>
      <c r="O431" s="32">
        <v>50</v>
      </c>
      <c r="P431" s="823" t="s">
        <v>662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0</v>
      </c>
      <c r="Y431" s="666">
        <f t="shared" ref="Y431:Y442" si="62">IFERROR(IF(X431="",0,CEILING((X431/$H431),1)*$H431),"")</f>
        <v>0</v>
      </c>
      <c r="Z431" s="36" t="str">
        <f>IFERROR(IF(Y431=0,"",ROUNDUP(Y431/H431,0)*0.00902),"")</f>
        <v/>
      </c>
      <c r="AA431" s="56"/>
      <c r="AB431" s="57"/>
      <c r="AC431" s="475" t="s">
        <v>663</v>
      </c>
      <c r="AG431" s="64"/>
      <c r="AJ431" s="68"/>
      <c r="AK431" s="68">
        <v>0</v>
      </c>
      <c r="BB431" s="476" t="s">
        <v>1</v>
      </c>
      <c r="BM431" s="64">
        <f t="shared" ref="BM431:BM442" si="63">IFERROR(X431*I431/H431,"0")</f>
        <v>0</v>
      </c>
      <c r="BN431" s="64">
        <f t="shared" ref="BN431:BN442" si="64">IFERROR(Y431*I431/H431,"0")</f>
        <v>0</v>
      </c>
      <c r="BO431" s="64">
        <f t="shared" ref="BO431:BO442" si="65">IFERROR(1/J431*(X431/H431),"0")</f>
        <v>0</v>
      </c>
      <c r="BP431" s="64">
        <f t="shared" ref="BP431:BP442" si="66">IFERROR(1/J431*(Y431/H431),"0")</f>
        <v>0</v>
      </c>
    </row>
    <row r="432" spans="1:68" ht="27" customHeight="1" x14ac:dyDescent="0.25">
      <c r="A432" s="54" t="s">
        <v>664</v>
      </c>
      <c r="B432" s="54" t="s">
        <v>665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98</v>
      </c>
      <c r="L432" s="32"/>
      <c r="M432" s="33" t="s">
        <v>68</v>
      </c>
      <c r="N432" s="33"/>
      <c r="O432" s="32">
        <v>50</v>
      </c>
      <c r="P432" s="701" t="s">
        <v>666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2"/>
        <v>0</v>
      </c>
      <c r="Z432" s="36" t="str">
        <f>IFERROR(IF(Y432=0,"",ROUNDUP(Y432/H432,0)*0.00902),"")</f>
        <v/>
      </c>
      <c r="AA432" s="56"/>
      <c r="AB432" s="57"/>
      <c r="AC432" s="477" t="s">
        <v>667</v>
      </c>
      <c r="AG432" s="64"/>
      <c r="AJ432" s="68"/>
      <c r="AK432" s="68">
        <v>0</v>
      </c>
      <c r="BB432" s="478" t="s">
        <v>1</v>
      </c>
      <c r="BM432" s="64">
        <f t="shared" si="63"/>
        <v>0</v>
      </c>
      <c r="BN432" s="64">
        <f t="shared" si="64"/>
        <v>0</v>
      </c>
      <c r="BO432" s="64">
        <f t="shared" si="65"/>
        <v>0</v>
      </c>
      <c r="BP432" s="64">
        <f t="shared" si="66"/>
        <v>0</v>
      </c>
    </row>
    <row r="433" spans="1:68" ht="27" customHeight="1" x14ac:dyDescent="0.25">
      <c r="A433" s="54" t="s">
        <v>664</v>
      </c>
      <c r="B433" s="54" t="s">
        <v>668</v>
      </c>
      <c r="C433" s="31">
        <v>4301031406</v>
      </c>
      <c r="D433" s="669">
        <v>4680115886117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98</v>
      </c>
      <c r="L433" s="32"/>
      <c r="M433" s="33" t="s">
        <v>68</v>
      </c>
      <c r="N433" s="33"/>
      <c r="O433" s="32">
        <v>50</v>
      </c>
      <c r="P433" s="1017" t="s">
        <v>666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0</v>
      </c>
      <c r="Y433" s="666">
        <f t="shared" si="62"/>
        <v>0</v>
      </c>
      <c r="Z433" s="36" t="str">
        <f>IFERROR(IF(Y433=0,"",ROUNDUP(Y433/H433,0)*0.00902),"")</f>
        <v/>
      </c>
      <c r="AA433" s="56"/>
      <c r="AB433" s="57"/>
      <c r="AC433" s="479" t="s">
        <v>667</v>
      </c>
      <c r="AG433" s="64"/>
      <c r="AJ433" s="68"/>
      <c r="AK433" s="68">
        <v>0</v>
      </c>
      <c r="BB433" s="480" t="s">
        <v>1</v>
      </c>
      <c r="BM433" s="64">
        <f t="shared" si="63"/>
        <v>0</v>
      </c>
      <c r="BN433" s="64">
        <f t="shared" si="64"/>
        <v>0</v>
      </c>
      <c r="BO433" s="64">
        <f t="shared" si="65"/>
        <v>0</v>
      </c>
      <c r="BP433" s="64">
        <f t="shared" si="66"/>
        <v>0</v>
      </c>
    </row>
    <row r="434" spans="1:68" ht="27" customHeight="1" x14ac:dyDescent="0.25">
      <c r="A434" s="54" t="s">
        <v>669</v>
      </c>
      <c r="B434" s="54" t="s">
        <v>670</v>
      </c>
      <c r="C434" s="31">
        <v>4301031402</v>
      </c>
      <c r="D434" s="669">
        <v>4680115886124</v>
      </c>
      <c r="E434" s="670"/>
      <c r="F434" s="664">
        <v>0.9</v>
      </c>
      <c r="G434" s="32">
        <v>6</v>
      </c>
      <c r="H434" s="664">
        <v>5.4</v>
      </c>
      <c r="I434" s="664">
        <v>5.61</v>
      </c>
      <c r="J434" s="32">
        <v>132</v>
      </c>
      <c r="K434" s="32" t="s">
        <v>98</v>
      </c>
      <c r="L434" s="32"/>
      <c r="M434" s="33" t="s">
        <v>68</v>
      </c>
      <c r="N434" s="33"/>
      <c r="O434" s="32">
        <v>50</v>
      </c>
      <c r="P434" s="1026" t="s">
        <v>671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0</v>
      </c>
      <c r="Y434" s="666">
        <f t="shared" si="62"/>
        <v>0</v>
      </c>
      <c r="Z434" s="36" t="str">
        <f>IFERROR(IF(Y434=0,"",ROUNDUP(Y434/H434,0)*0.00902),"")</f>
        <v/>
      </c>
      <c r="AA434" s="56"/>
      <c r="AB434" s="57"/>
      <c r="AC434" s="481" t="s">
        <v>672</v>
      </c>
      <c r="AG434" s="64"/>
      <c r="AJ434" s="68"/>
      <c r="AK434" s="68">
        <v>0</v>
      </c>
      <c r="BB434" s="482" t="s">
        <v>1</v>
      </c>
      <c r="BM434" s="64">
        <f t="shared" si="63"/>
        <v>0</v>
      </c>
      <c r="BN434" s="64">
        <f t="shared" si="64"/>
        <v>0</v>
      </c>
      <c r="BO434" s="64">
        <f t="shared" si="65"/>
        <v>0</v>
      </c>
      <c r="BP434" s="64">
        <f t="shared" si="66"/>
        <v>0</v>
      </c>
    </row>
    <row r="435" spans="1:68" ht="27" customHeight="1" x14ac:dyDescent="0.25">
      <c r="A435" s="54" t="s">
        <v>673</v>
      </c>
      <c r="B435" s="54" t="s">
        <v>674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147</v>
      </c>
      <c r="L435" s="32"/>
      <c r="M435" s="33" t="s">
        <v>68</v>
      </c>
      <c r="N435" s="33"/>
      <c r="O435" s="32">
        <v>50</v>
      </c>
      <c r="P435" s="1020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2"/>
        <v>0</v>
      </c>
      <c r="Z435" s="36" t="str">
        <f t="shared" ref="Z435:Z442" si="67">IFERROR(IF(Y435=0,"",ROUNDUP(Y435/H435,0)*0.00502),"")</f>
        <v/>
      </c>
      <c r="AA435" s="56"/>
      <c r="AB435" s="57"/>
      <c r="AC435" s="483" t="s">
        <v>663</v>
      </c>
      <c r="AG435" s="64"/>
      <c r="AJ435" s="68"/>
      <c r="AK435" s="68">
        <v>0</v>
      </c>
      <c r="BB435" s="484" t="s">
        <v>1</v>
      </c>
      <c r="BM435" s="64">
        <f t="shared" si="63"/>
        <v>0</v>
      </c>
      <c r="BN435" s="64">
        <f t="shared" si="64"/>
        <v>0</v>
      </c>
      <c r="BO435" s="64">
        <f t="shared" si="65"/>
        <v>0</v>
      </c>
      <c r="BP435" s="64">
        <f t="shared" si="66"/>
        <v>0</v>
      </c>
    </row>
    <row r="436" spans="1:68" ht="27" customHeight="1" x14ac:dyDescent="0.25">
      <c r="A436" s="54" t="s">
        <v>673</v>
      </c>
      <c r="B436" s="54" t="s">
        <v>675</v>
      </c>
      <c r="C436" s="31">
        <v>4301031366</v>
      </c>
      <c r="D436" s="669">
        <v>4680115883147</v>
      </c>
      <c r="E436" s="670"/>
      <c r="F436" s="664">
        <v>0.28000000000000003</v>
      </c>
      <c r="G436" s="32">
        <v>6</v>
      </c>
      <c r="H436" s="664">
        <v>1.68</v>
      </c>
      <c r="I436" s="664">
        <v>1.81</v>
      </c>
      <c r="J436" s="32">
        <v>234</v>
      </c>
      <c r="K436" s="32" t="s">
        <v>147</v>
      </c>
      <c r="L436" s="32"/>
      <c r="M436" s="33" t="s">
        <v>68</v>
      </c>
      <c r="N436" s="33"/>
      <c r="O436" s="32">
        <v>50</v>
      </c>
      <c r="P436" s="1029" t="s">
        <v>676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0</v>
      </c>
      <c r="Y436" s="666">
        <f t="shared" si="62"/>
        <v>0</v>
      </c>
      <c r="Z436" s="36" t="str">
        <f t="shared" si="67"/>
        <v/>
      </c>
      <c r="AA436" s="56"/>
      <c r="AB436" s="57"/>
      <c r="AC436" s="485" t="s">
        <v>663</v>
      </c>
      <c r="AG436" s="64"/>
      <c r="AJ436" s="68"/>
      <c r="AK436" s="68">
        <v>0</v>
      </c>
      <c r="BB436" s="486" t="s">
        <v>1</v>
      </c>
      <c r="BM436" s="64">
        <f t="shared" si="63"/>
        <v>0</v>
      </c>
      <c r="BN436" s="64">
        <f t="shared" si="64"/>
        <v>0</v>
      </c>
      <c r="BO436" s="64">
        <f t="shared" si="65"/>
        <v>0</v>
      </c>
      <c r="BP436" s="64">
        <f t="shared" si="66"/>
        <v>0</v>
      </c>
    </row>
    <row r="437" spans="1:68" ht="27" customHeight="1" x14ac:dyDescent="0.25">
      <c r="A437" s="54" t="s">
        <v>677</v>
      </c>
      <c r="B437" s="54" t="s">
        <v>678</v>
      </c>
      <c r="C437" s="31">
        <v>4301031362</v>
      </c>
      <c r="D437" s="669">
        <v>4607091384338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147</v>
      </c>
      <c r="L437" s="32"/>
      <c r="M437" s="33" t="s">
        <v>68</v>
      </c>
      <c r="N437" s="33"/>
      <c r="O437" s="32">
        <v>50</v>
      </c>
      <c r="P437" s="67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0</v>
      </c>
      <c r="Y437" s="666">
        <f t="shared" si="62"/>
        <v>0</v>
      </c>
      <c r="Z437" s="36" t="str">
        <f t="shared" si="67"/>
        <v/>
      </c>
      <c r="AA437" s="56"/>
      <c r="AB437" s="57"/>
      <c r="AC437" s="487" t="s">
        <v>663</v>
      </c>
      <c r="AG437" s="64"/>
      <c r="AJ437" s="68"/>
      <c r="AK437" s="68">
        <v>0</v>
      </c>
      <c r="BB437" s="488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37.5" customHeight="1" x14ac:dyDescent="0.25">
      <c r="A438" s="54" t="s">
        <v>679</v>
      </c>
      <c r="B438" s="54" t="s">
        <v>680</v>
      </c>
      <c r="C438" s="31">
        <v>4301031361</v>
      </c>
      <c r="D438" s="669">
        <v>4607091389524</v>
      </c>
      <c r="E438" s="670"/>
      <c r="F438" s="664">
        <v>0.35</v>
      </c>
      <c r="G438" s="32">
        <v>6</v>
      </c>
      <c r="H438" s="664">
        <v>2.1</v>
      </c>
      <c r="I438" s="664">
        <v>2.23</v>
      </c>
      <c r="J438" s="32">
        <v>234</v>
      </c>
      <c r="K438" s="32" t="s">
        <v>147</v>
      </c>
      <c r="L438" s="32"/>
      <c r="M438" s="33" t="s">
        <v>68</v>
      </c>
      <c r="N438" s="33"/>
      <c r="O438" s="32">
        <v>50</v>
      </c>
      <c r="P438" s="85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0</v>
      </c>
      <c r="Y438" s="666">
        <f t="shared" si="62"/>
        <v>0</v>
      </c>
      <c r="Z438" s="36" t="str">
        <f t="shared" si="67"/>
        <v/>
      </c>
      <c r="AA438" s="56"/>
      <c r="AB438" s="57"/>
      <c r="AC438" s="489" t="s">
        <v>681</v>
      </c>
      <c r="AG438" s="64"/>
      <c r="AJ438" s="68"/>
      <c r="AK438" s="68">
        <v>0</v>
      </c>
      <c r="BB438" s="490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customHeight="1" x14ac:dyDescent="0.25">
      <c r="A439" s="54" t="s">
        <v>682</v>
      </c>
      <c r="B439" s="54" t="s">
        <v>683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147</v>
      </c>
      <c r="L439" s="32"/>
      <c r="M439" s="33" t="s">
        <v>68</v>
      </c>
      <c r="N439" s="33"/>
      <c r="O439" s="32">
        <v>50</v>
      </c>
      <c r="P439" s="1016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2"/>
        <v>0</v>
      </c>
      <c r="Z439" s="36" t="str">
        <f t="shared" si="67"/>
        <v/>
      </c>
      <c r="AA439" s="56"/>
      <c r="AB439" s="57"/>
      <c r="AC439" s="491" t="s">
        <v>684</v>
      </c>
      <c r="AG439" s="64"/>
      <c r="AJ439" s="68"/>
      <c r="AK439" s="68">
        <v>0</v>
      </c>
      <c r="BB439" s="492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customHeight="1" x14ac:dyDescent="0.25">
      <c r="A440" s="54" t="s">
        <v>682</v>
      </c>
      <c r="B440" s="54" t="s">
        <v>685</v>
      </c>
      <c r="C440" s="31">
        <v>4301031364</v>
      </c>
      <c r="D440" s="669">
        <v>4680115883161</v>
      </c>
      <c r="E440" s="670"/>
      <c r="F440" s="664">
        <v>0.28000000000000003</v>
      </c>
      <c r="G440" s="32">
        <v>6</v>
      </c>
      <c r="H440" s="664">
        <v>1.68</v>
      </c>
      <c r="I440" s="664">
        <v>1.81</v>
      </c>
      <c r="J440" s="32">
        <v>234</v>
      </c>
      <c r="K440" s="32" t="s">
        <v>147</v>
      </c>
      <c r="L440" s="32"/>
      <c r="M440" s="33" t="s">
        <v>68</v>
      </c>
      <c r="N440" s="33"/>
      <c r="O440" s="32">
        <v>50</v>
      </c>
      <c r="P440" s="883" t="s">
        <v>686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0</v>
      </c>
      <c r="Y440" s="666">
        <f t="shared" si="62"/>
        <v>0</v>
      </c>
      <c r="Z440" s="36" t="str">
        <f t="shared" si="67"/>
        <v/>
      </c>
      <c r="AA440" s="56"/>
      <c r="AB440" s="57"/>
      <c r="AC440" s="493" t="s">
        <v>684</v>
      </c>
      <c r="AG440" s="64"/>
      <c r="AJ440" s="68"/>
      <c r="AK440" s="68">
        <v>0</v>
      </c>
      <c r="BB440" s="494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687</v>
      </c>
      <c r="B441" s="54" t="s">
        <v>688</v>
      </c>
      <c r="C441" s="31">
        <v>4301031358</v>
      </c>
      <c r="D441" s="669">
        <v>4607091389531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147</v>
      </c>
      <c r="L441" s="32"/>
      <c r="M441" s="33" t="s">
        <v>68</v>
      </c>
      <c r="N441" s="33"/>
      <c r="O441" s="32">
        <v>50</v>
      </c>
      <c r="P441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0</v>
      </c>
      <c r="Y441" s="666">
        <f t="shared" si="62"/>
        <v>0</v>
      </c>
      <c r="Z441" s="36" t="str">
        <f t="shared" si="67"/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37.5" customHeight="1" x14ac:dyDescent="0.25">
      <c r="A442" s="54" t="s">
        <v>690</v>
      </c>
      <c r="B442" s="54" t="s">
        <v>691</v>
      </c>
      <c r="C442" s="31">
        <v>4301031360</v>
      </c>
      <c r="D442" s="669">
        <v>4607091384345</v>
      </c>
      <c r="E442" s="670"/>
      <c r="F442" s="664">
        <v>0.35</v>
      </c>
      <c r="G442" s="32">
        <v>6</v>
      </c>
      <c r="H442" s="664">
        <v>2.1</v>
      </c>
      <c r="I442" s="664">
        <v>2.23</v>
      </c>
      <c r="J442" s="32">
        <v>234</v>
      </c>
      <c r="K442" s="32" t="s">
        <v>147</v>
      </c>
      <c r="L442" s="32"/>
      <c r="M442" s="33" t="s">
        <v>68</v>
      </c>
      <c r="N442" s="33"/>
      <c r="O442" s="32">
        <v>50</v>
      </c>
      <c r="P442" s="81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2" s="672"/>
      <c r="R442" s="672"/>
      <c r="S442" s="672"/>
      <c r="T442" s="673"/>
      <c r="U442" s="34"/>
      <c r="V442" s="34"/>
      <c r="W442" s="35" t="s">
        <v>69</v>
      </c>
      <c r="X442" s="665">
        <v>0</v>
      </c>
      <c r="Y442" s="666">
        <f t="shared" si="62"/>
        <v>0</v>
      </c>
      <c r="Z442" s="36" t="str">
        <f t="shared" si="67"/>
        <v/>
      </c>
      <c r="AA442" s="56"/>
      <c r="AB442" s="57"/>
      <c r="AC442" s="497" t="s">
        <v>684</v>
      </c>
      <c r="AG442" s="64"/>
      <c r="AJ442" s="68"/>
      <c r="AK442" s="68">
        <v>0</v>
      </c>
      <c r="BB442" s="498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x14ac:dyDescent="0.2">
      <c r="A443" s="679"/>
      <c r="B443" s="680"/>
      <c r="C443" s="680"/>
      <c r="D443" s="680"/>
      <c r="E443" s="680"/>
      <c r="F443" s="680"/>
      <c r="G443" s="680"/>
      <c r="H443" s="680"/>
      <c r="I443" s="680"/>
      <c r="J443" s="680"/>
      <c r="K443" s="680"/>
      <c r="L443" s="680"/>
      <c r="M443" s="680"/>
      <c r="N443" s="680"/>
      <c r="O443" s="681"/>
      <c r="P443" s="685" t="s">
        <v>80</v>
      </c>
      <c r="Q443" s="686"/>
      <c r="R443" s="686"/>
      <c r="S443" s="686"/>
      <c r="T443" s="686"/>
      <c r="U443" s="686"/>
      <c r="V443" s="687"/>
      <c r="W443" s="37" t="s">
        <v>81</v>
      </c>
      <c r="X443" s="667">
        <f>IFERROR(X431/H431,"0")+IFERROR(X432/H432,"0")+IFERROR(X433/H433,"0")+IFERROR(X434/H434,"0")+IFERROR(X435/H435,"0")+IFERROR(X436/H436,"0")+IFERROR(X437/H437,"0")+IFERROR(X438/H438,"0")+IFERROR(X439/H439,"0")+IFERROR(X440/H440,"0")+IFERROR(X441/H441,"0")+IFERROR(X442/H442,"0")</f>
        <v>0</v>
      </c>
      <c r="Y443" s="667">
        <f>IFERROR(Y431/H431,"0")+IFERROR(Y432/H432,"0")+IFERROR(Y433/H433,"0")+IFERROR(Y434/H434,"0")+IFERROR(Y435/H435,"0")+IFERROR(Y436/H436,"0")+IFERROR(Y437/H437,"0")+IFERROR(Y438/H438,"0")+IFERROR(Y439/H439,"0")+IFERROR(Y440/H440,"0")+IFERROR(Y441/H441,"0")+IFERROR(Y442/H442,"0")</f>
        <v>0</v>
      </c>
      <c r="Z443" s="667">
        <f>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+IFERROR(IF(Z442="",0,Z442),"0")</f>
        <v>0</v>
      </c>
      <c r="AA443" s="668"/>
      <c r="AB443" s="668"/>
      <c r="AC443" s="668"/>
    </row>
    <row r="444" spans="1:68" x14ac:dyDescent="0.2">
      <c r="A444" s="680"/>
      <c r="B444" s="680"/>
      <c r="C444" s="680"/>
      <c r="D444" s="680"/>
      <c r="E444" s="680"/>
      <c r="F444" s="680"/>
      <c r="G444" s="680"/>
      <c r="H444" s="680"/>
      <c r="I444" s="680"/>
      <c r="J444" s="680"/>
      <c r="K444" s="680"/>
      <c r="L444" s="680"/>
      <c r="M444" s="680"/>
      <c r="N444" s="680"/>
      <c r="O444" s="681"/>
      <c r="P444" s="685" t="s">
        <v>80</v>
      </c>
      <c r="Q444" s="686"/>
      <c r="R444" s="686"/>
      <c r="S444" s="686"/>
      <c r="T444" s="686"/>
      <c r="U444" s="686"/>
      <c r="V444" s="687"/>
      <c r="W444" s="37" t="s">
        <v>69</v>
      </c>
      <c r="X444" s="667">
        <f>IFERROR(SUM(X431:X442),"0")</f>
        <v>0</v>
      </c>
      <c r="Y444" s="667">
        <f>IFERROR(SUM(Y431:Y442),"0")</f>
        <v>0</v>
      </c>
      <c r="Z444" s="37"/>
      <c r="AA444" s="668"/>
      <c r="AB444" s="668"/>
      <c r="AC444" s="668"/>
    </row>
    <row r="445" spans="1:68" ht="14.25" customHeight="1" x14ac:dyDescent="0.25">
      <c r="A445" s="682" t="s">
        <v>64</v>
      </c>
      <c r="B445" s="680"/>
      <c r="C445" s="680"/>
      <c r="D445" s="680"/>
      <c r="E445" s="680"/>
      <c r="F445" s="680"/>
      <c r="G445" s="680"/>
      <c r="H445" s="680"/>
      <c r="I445" s="680"/>
      <c r="J445" s="680"/>
      <c r="K445" s="680"/>
      <c r="L445" s="680"/>
      <c r="M445" s="680"/>
      <c r="N445" s="680"/>
      <c r="O445" s="680"/>
      <c r="P445" s="680"/>
      <c r="Q445" s="680"/>
      <c r="R445" s="680"/>
      <c r="S445" s="680"/>
      <c r="T445" s="680"/>
      <c r="U445" s="680"/>
      <c r="V445" s="680"/>
      <c r="W445" s="680"/>
      <c r="X445" s="680"/>
      <c r="Y445" s="680"/>
      <c r="Z445" s="680"/>
      <c r="AA445" s="661"/>
      <c r="AB445" s="661"/>
      <c r="AC445" s="661"/>
    </row>
    <row r="446" spans="1:68" ht="27" customHeight="1" x14ac:dyDescent="0.25">
      <c r="A446" s="54" t="s">
        <v>692</v>
      </c>
      <c r="B446" s="54" t="s">
        <v>693</v>
      </c>
      <c r="C446" s="31">
        <v>4301051284</v>
      </c>
      <c r="D446" s="669">
        <v>4607091384352</v>
      </c>
      <c r="E446" s="670"/>
      <c r="F446" s="664">
        <v>0.6</v>
      </c>
      <c r="G446" s="32">
        <v>4</v>
      </c>
      <c r="H446" s="664">
        <v>2.4</v>
      </c>
      <c r="I446" s="664">
        <v>2.6459999999999999</v>
      </c>
      <c r="J446" s="32">
        <v>132</v>
      </c>
      <c r="K446" s="32" t="s">
        <v>98</v>
      </c>
      <c r="L446" s="32"/>
      <c r="M446" s="33" t="s">
        <v>100</v>
      </c>
      <c r="N446" s="33"/>
      <c r="O446" s="32">
        <v>45</v>
      </c>
      <c r="P446" s="88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499" t="s">
        <v>694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customHeight="1" x14ac:dyDescent="0.25">
      <c r="A447" s="54" t="s">
        <v>695</v>
      </c>
      <c r="B447" s="54" t="s">
        <v>696</v>
      </c>
      <c r="C447" s="31">
        <v>4301051431</v>
      </c>
      <c r="D447" s="669">
        <v>4607091389654</v>
      </c>
      <c r="E447" s="670"/>
      <c r="F447" s="664">
        <v>0.33</v>
      </c>
      <c r="G447" s="32">
        <v>6</v>
      </c>
      <c r="H447" s="664">
        <v>1.98</v>
      </c>
      <c r="I447" s="664">
        <v>2.238</v>
      </c>
      <c r="J447" s="32">
        <v>182</v>
      </c>
      <c r="K447" s="32" t="s">
        <v>67</v>
      </c>
      <c r="L447" s="32"/>
      <c r="M447" s="33" t="s">
        <v>100</v>
      </c>
      <c r="N447" s="33"/>
      <c r="O447" s="32">
        <v>45</v>
      </c>
      <c r="P447" s="103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7" s="672"/>
      <c r="R447" s="672"/>
      <c r="S447" s="672"/>
      <c r="T447" s="673"/>
      <c r="U447" s="34"/>
      <c r="V447" s="34"/>
      <c r="W447" s="35" t="s">
        <v>69</v>
      </c>
      <c r="X447" s="665">
        <v>0</v>
      </c>
      <c r="Y447" s="666">
        <f>IFERROR(IF(X447="",0,CEILING((X447/$H447),1)*$H447),"")</f>
        <v>0</v>
      </c>
      <c r="Z447" s="36" t="str">
        <f>IFERROR(IF(Y447=0,"",ROUNDUP(Y447/H447,0)*0.00651),"")</f>
        <v/>
      </c>
      <c r="AA447" s="56"/>
      <c r="AB447" s="57"/>
      <c r="AC447" s="501" t="s">
        <v>697</v>
      </c>
      <c r="AG447" s="64"/>
      <c r="AJ447" s="68"/>
      <c r="AK447" s="68">
        <v>0</v>
      </c>
      <c r="BB447" s="50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679"/>
      <c r="B448" s="680"/>
      <c r="C448" s="680"/>
      <c r="D448" s="680"/>
      <c r="E448" s="680"/>
      <c r="F448" s="680"/>
      <c r="G448" s="680"/>
      <c r="H448" s="680"/>
      <c r="I448" s="680"/>
      <c r="J448" s="680"/>
      <c r="K448" s="680"/>
      <c r="L448" s="680"/>
      <c r="M448" s="680"/>
      <c r="N448" s="680"/>
      <c r="O448" s="681"/>
      <c r="P448" s="685" t="s">
        <v>80</v>
      </c>
      <c r="Q448" s="686"/>
      <c r="R448" s="686"/>
      <c r="S448" s="686"/>
      <c r="T448" s="686"/>
      <c r="U448" s="686"/>
      <c r="V448" s="687"/>
      <c r="W448" s="37" t="s">
        <v>81</v>
      </c>
      <c r="X448" s="667">
        <f>IFERROR(X446/H446,"0")+IFERROR(X447/H447,"0")</f>
        <v>0</v>
      </c>
      <c r="Y448" s="667">
        <f>IFERROR(Y446/H446,"0")+IFERROR(Y447/H447,"0")</f>
        <v>0</v>
      </c>
      <c r="Z448" s="667">
        <f>IFERROR(IF(Z446="",0,Z446),"0")+IFERROR(IF(Z447="",0,Z447),"0")</f>
        <v>0</v>
      </c>
      <c r="AA448" s="668"/>
      <c r="AB448" s="668"/>
      <c r="AC448" s="668"/>
    </row>
    <row r="449" spans="1:68" x14ac:dyDescent="0.2">
      <c r="A449" s="680"/>
      <c r="B449" s="680"/>
      <c r="C449" s="680"/>
      <c r="D449" s="680"/>
      <c r="E449" s="680"/>
      <c r="F449" s="680"/>
      <c r="G449" s="680"/>
      <c r="H449" s="680"/>
      <c r="I449" s="680"/>
      <c r="J449" s="680"/>
      <c r="K449" s="680"/>
      <c r="L449" s="680"/>
      <c r="M449" s="680"/>
      <c r="N449" s="680"/>
      <c r="O449" s="681"/>
      <c r="P449" s="685" t="s">
        <v>80</v>
      </c>
      <c r="Q449" s="686"/>
      <c r="R449" s="686"/>
      <c r="S449" s="686"/>
      <c r="T449" s="686"/>
      <c r="U449" s="686"/>
      <c r="V449" s="687"/>
      <c r="W449" s="37" t="s">
        <v>69</v>
      </c>
      <c r="X449" s="667">
        <f>IFERROR(SUM(X446:X447),"0")</f>
        <v>0</v>
      </c>
      <c r="Y449" s="667">
        <f>IFERROR(SUM(Y446:Y447),"0")</f>
        <v>0</v>
      </c>
      <c r="Z449" s="37"/>
      <c r="AA449" s="668"/>
      <c r="AB449" s="668"/>
      <c r="AC449" s="668"/>
    </row>
    <row r="450" spans="1:68" ht="16.5" customHeight="1" x14ac:dyDescent="0.25">
      <c r="A450" s="716" t="s">
        <v>698</v>
      </c>
      <c r="B450" s="680"/>
      <c r="C450" s="680"/>
      <c r="D450" s="680"/>
      <c r="E450" s="680"/>
      <c r="F450" s="680"/>
      <c r="G450" s="680"/>
      <c r="H450" s="680"/>
      <c r="I450" s="680"/>
      <c r="J450" s="680"/>
      <c r="K450" s="680"/>
      <c r="L450" s="680"/>
      <c r="M450" s="680"/>
      <c r="N450" s="680"/>
      <c r="O450" s="680"/>
      <c r="P450" s="680"/>
      <c r="Q450" s="680"/>
      <c r="R450" s="680"/>
      <c r="S450" s="680"/>
      <c r="T450" s="680"/>
      <c r="U450" s="680"/>
      <c r="V450" s="680"/>
      <c r="W450" s="680"/>
      <c r="X450" s="680"/>
      <c r="Y450" s="680"/>
      <c r="Z450" s="680"/>
      <c r="AA450" s="660"/>
      <c r="AB450" s="660"/>
      <c r="AC450" s="660"/>
    </row>
    <row r="451" spans="1:68" ht="14.25" customHeight="1" x14ac:dyDescent="0.25">
      <c r="A451" s="682" t="s">
        <v>133</v>
      </c>
      <c r="B451" s="680"/>
      <c r="C451" s="680"/>
      <c r="D451" s="680"/>
      <c r="E451" s="680"/>
      <c r="F451" s="680"/>
      <c r="G451" s="680"/>
      <c r="H451" s="680"/>
      <c r="I451" s="680"/>
      <c r="J451" s="680"/>
      <c r="K451" s="680"/>
      <c r="L451" s="680"/>
      <c r="M451" s="680"/>
      <c r="N451" s="680"/>
      <c r="O451" s="680"/>
      <c r="P451" s="680"/>
      <c r="Q451" s="680"/>
      <c r="R451" s="680"/>
      <c r="S451" s="680"/>
      <c r="T451" s="680"/>
      <c r="U451" s="680"/>
      <c r="V451" s="680"/>
      <c r="W451" s="680"/>
      <c r="X451" s="680"/>
      <c r="Y451" s="680"/>
      <c r="Z451" s="680"/>
      <c r="AA451" s="661"/>
      <c r="AB451" s="661"/>
      <c r="AC451" s="661"/>
    </row>
    <row r="452" spans="1:68" ht="27" customHeight="1" x14ac:dyDescent="0.25">
      <c r="A452" s="54" t="s">
        <v>699</v>
      </c>
      <c r="B452" s="54" t="s">
        <v>700</v>
      </c>
      <c r="C452" s="31">
        <v>4301020319</v>
      </c>
      <c r="D452" s="669">
        <v>4680115885240</v>
      </c>
      <c r="E452" s="670"/>
      <c r="F452" s="664">
        <v>0.35</v>
      </c>
      <c r="G452" s="32">
        <v>6</v>
      </c>
      <c r="H452" s="664">
        <v>2.1</v>
      </c>
      <c r="I452" s="664">
        <v>2.31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701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702</v>
      </c>
      <c r="B453" s="54" t="s">
        <v>703</v>
      </c>
      <c r="C453" s="31">
        <v>4301020315</v>
      </c>
      <c r="D453" s="669">
        <v>4607091389364</v>
      </c>
      <c r="E453" s="670"/>
      <c r="F453" s="664">
        <v>0.42</v>
      </c>
      <c r="G453" s="32">
        <v>6</v>
      </c>
      <c r="H453" s="664">
        <v>2.52</v>
      </c>
      <c r="I453" s="664">
        <v>2.73</v>
      </c>
      <c r="J453" s="32">
        <v>182</v>
      </c>
      <c r="K453" s="32" t="s">
        <v>67</v>
      </c>
      <c r="L453" s="32"/>
      <c r="M453" s="33" t="s">
        <v>68</v>
      </c>
      <c r="N453" s="33"/>
      <c r="O453" s="32">
        <v>40</v>
      </c>
      <c r="P453" s="757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3" s="672"/>
      <c r="R453" s="672"/>
      <c r="S453" s="672"/>
      <c r="T453" s="673"/>
      <c r="U453" s="34"/>
      <c r="V453" s="34"/>
      <c r="W453" s="35" t="s">
        <v>69</v>
      </c>
      <c r="X453" s="665">
        <v>0</v>
      </c>
      <c r="Y453" s="666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5" t="s">
        <v>704</v>
      </c>
      <c r="AG453" s="64"/>
      <c r="AJ453" s="68"/>
      <c r="AK453" s="68">
        <v>0</v>
      </c>
      <c r="BB453" s="506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679"/>
      <c r="B454" s="680"/>
      <c r="C454" s="680"/>
      <c r="D454" s="680"/>
      <c r="E454" s="680"/>
      <c r="F454" s="680"/>
      <c r="G454" s="680"/>
      <c r="H454" s="680"/>
      <c r="I454" s="680"/>
      <c r="J454" s="680"/>
      <c r="K454" s="680"/>
      <c r="L454" s="680"/>
      <c r="M454" s="680"/>
      <c r="N454" s="680"/>
      <c r="O454" s="681"/>
      <c r="P454" s="685" t="s">
        <v>80</v>
      </c>
      <c r="Q454" s="686"/>
      <c r="R454" s="686"/>
      <c r="S454" s="686"/>
      <c r="T454" s="686"/>
      <c r="U454" s="686"/>
      <c r="V454" s="687"/>
      <c r="W454" s="37" t="s">
        <v>81</v>
      </c>
      <c r="X454" s="667">
        <f>IFERROR(X452/H452,"0")+IFERROR(X453/H453,"0")</f>
        <v>0</v>
      </c>
      <c r="Y454" s="667">
        <f>IFERROR(Y452/H452,"0")+IFERROR(Y453/H453,"0")</f>
        <v>0</v>
      </c>
      <c r="Z454" s="667">
        <f>IFERROR(IF(Z452="",0,Z452),"0")+IFERROR(IF(Z453="",0,Z453),"0")</f>
        <v>0</v>
      </c>
      <c r="AA454" s="668"/>
      <c r="AB454" s="668"/>
      <c r="AC454" s="668"/>
    </row>
    <row r="455" spans="1:68" x14ac:dyDescent="0.2">
      <c r="A455" s="680"/>
      <c r="B455" s="680"/>
      <c r="C455" s="680"/>
      <c r="D455" s="680"/>
      <c r="E455" s="680"/>
      <c r="F455" s="680"/>
      <c r="G455" s="680"/>
      <c r="H455" s="680"/>
      <c r="I455" s="680"/>
      <c r="J455" s="680"/>
      <c r="K455" s="680"/>
      <c r="L455" s="680"/>
      <c r="M455" s="680"/>
      <c r="N455" s="680"/>
      <c r="O455" s="681"/>
      <c r="P455" s="685" t="s">
        <v>80</v>
      </c>
      <c r="Q455" s="686"/>
      <c r="R455" s="686"/>
      <c r="S455" s="686"/>
      <c r="T455" s="686"/>
      <c r="U455" s="686"/>
      <c r="V455" s="687"/>
      <c r="W455" s="37" t="s">
        <v>69</v>
      </c>
      <c r="X455" s="667">
        <f>IFERROR(SUM(X452:X453),"0")</f>
        <v>0</v>
      </c>
      <c r="Y455" s="667">
        <f>IFERROR(SUM(Y452:Y453),"0")</f>
        <v>0</v>
      </c>
      <c r="Z455" s="37"/>
      <c r="AA455" s="668"/>
      <c r="AB455" s="668"/>
      <c r="AC455" s="668"/>
    </row>
    <row r="456" spans="1:68" ht="14.25" customHeight="1" x14ac:dyDescent="0.25">
      <c r="A456" s="682" t="s">
        <v>144</v>
      </c>
      <c r="B456" s="680"/>
      <c r="C456" s="680"/>
      <c r="D456" s="680"/>
      <c r="E456" s="680"/>
      <c r="F456" s="680"/>
      <c r="G456" s="680"/>
      <c r="H456" s="680"/>
      <c r="I456" s="680"/>
      <c r="J456" s="680"/>
      <c r="K456" s="680"/>
      <c r="L456" s="680"/>
      <c r="M456" s="680"/>
      <c r="N456" s="680"/>
      <c r="O456" s="680"/>
      <c r="P456" s="680"/>
      <c r="Q456" s="680"/>
      <c r="R456" s="680"/>
      <c r="S456" s="680"/>
      <c r="T456" s="680"/>
      <c r="U456" s="680"/>
      <c r="V456" s="680"/>
      <c r="W456" s="680"/>
      <c r="X456" s="680"/>
      <c r="Y456" s="680"/>
      <c r="Z456" s="680"/>
      <c r="AA456" s="661"/>
      <c r="AB456" s="661"/>
      <c r="AC456" s="661"/>
    </row>
    <row r="457" spans="1:68" ht="27" customHeight="1" x14ac:dyDescent="0.25">
      <c r="A457" s="54" t="s">
        <v>705</v>
      </c>
      <c r="B457" s="54" t="s">
        <v>706</v>
      </c>
      <c r="C457" s="31">
        <v>4301031403</v>
      </c>
      <c r="D457" s="669">
        <v>4680115886094</v>
      </c>
      <c r="E457" s="670"/>
      <c r="F457" s="664">
        <v>0.9</v>
      </c>
      <c r="G457" s="32">
        <v>6</v>
      </c>
      <c r="H457" s="664">
        <v>5.4</v>
      </c>
      <c r="I457" s="664">
        <v>5.61</v>
      </c>
      <c r="J457" s="32">
        <v>132</v>
      </c>
      <c r="K457" s="32" t="s">
        <v>98</v>
      </c>
      <c r="L457" s="32"/>
      <c r="M457" s="33" t="s">
        <v>94</v>
      </c>
      <c r="N457" s="33"/>
      <c r="O457" s="32">
        <v>50</v>
      </c>
      <c r="P457" s="700" t="s">
        <v>707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IFERROR(IF(Y457=0,"",ROUNDUP(Y457/H457,0)*0.00902),"")</f>
        <v/>
      </c>
      <c r="AA457" s="56"/>
      <c r="AB457" s="57"/>
      <c r="AC457" s="507" t="s">
        <v>708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709</v>
      </c>
      <c r="B458" s="54" t="s">
        <v>710</v>
      </c>
      <c r="C458" s="31">
        <v>4301031363</v>
      </c>
      <c r="D458" s="669">
        <v>4607091389425</v>
      </c>
      <c r="E458" s="670"/>
      <c r="F458" s="664">
        <v>0.35</v>
      </c>
      <c r="G458" s="32">
        <v>6</v>
      </c>
      <c r="H458" s="664">
        <v>2.1</v>
      </c>
      <c r="I458" s="664">
        <v>2.23</v>
      </c>
      <c r="J458" s="32">
        <v>234</v>
      </c>
      <c r="K458" s="32" t="s">
        <v>147</v>
      </c>
      <c r="L458" s="32"/>
      <c r="M458" s="33" t="s">
        <v>68</v>
      </c>
      <c r="N458" s="33"/>
      <c r="O458" s="32">
        <v>50</v>
      </c>
      <c r="P458" s="73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711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712</v>
      </c>
      <c r="B459" s="54" t="s">
        <v>713</v>
      </c>
      <c r="C459" s="31">
        <v>4301031373</v>
      </c>
      <c r="D459" s="669">
        <v>4680115880771</v>
      </c>
      <c r="E459" s="670"/>
      <c r="F459" s="664">
        <v>0.28000000000000003</v>
      </c>
      <c r="G459" s="32">
        <v>6</v>
      </c>
      <c r="H459" s="664">
        <v>1.68</v>
      </c>
      <c r="I459" s="664">
        <v>1.81</v>
      </c>
      <c r="J459" s="32">
        <v>234</v>
      </c>
      <c r="K459" s="32" t="s">
        <v>147</v>
      </c>
      <c r="L459" s="32"/>
      <c r="M459" s="33" t="s">
        <v>68</v>
      </c>
      <c r="N459" s="33"/>
      <c r="O459" s="32">
        <v>50</v>
      </c>
      <c r="P459" s="905" t="s">
        <v>714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715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716</v>
      </c>
      <c r="B460" s="54" t="s">
        <v>717</v>
      </c>
      <c r="C460" s="31">
        <v>4301031359</v>
      </c>
      <c r="D460" s="669">
        <v>4607091389500</v>
      </c>
      <c r="E460" s="670"/>
      <c r="F460" s="664">
        <v>0.35</v>
      </c>
      <c r="G460" s="32">
        <v>6</v>
      </c>
      <c r="H460" s="664">
        <v>2.1</v>
      </c>
      <c r="I460" s="664">
        <v>2.23</v>
      </c>
      <c r="J460" s="32">
        <v>234</v>
      </c>
      <c r="K460" s="32" t="s">
        <v>147</v>
      </c>
      <c r="L460" s="32"/>
      <c r="M460" s="33" t="s">
        <v>68</v>
      </c>
      <c r="N460" s="33"/>
      <c r="O460" s="32">
        <v>50</v>
      </c>
      <c r="P460" s="94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0" s="672"/>
      <c r="R460" s="672"/>
      <c r="S460" s="672"/>
      <c r="T460" s="673"/>
      <c r="U460" s="34"/>
      <c r="V460" s="34"/>
      <c r="W460" s="35" t="s">
        <v>69</v>
      </c>
      <c r="X460" s="665">
        <v>0</v>
      </c>
      <c r="Y460" s="666">
        <f>IFERROR(IF(X460="",0,CEILING((X460/$H460),1)*$H460),"")</f>
        <v>0</v>
      </c>
      <c r="Z460" s="36" t="str">
        <f>IFERROR(IF(Y460=0,"",ROUNDUP(Y460/H460,0)*0.00502),"")</f>
        <v/>
      </c>
      <c r="AA460" s="56"/>
      <c r="AB460" s="57"/>
      <c r="AC460" s="513" t="s">
        <v>715</v>
      </c>
      <c r="AG460" s="64"/>
      <c r="AJ460" s="68"/>
      <c r="AK460" s="68">
        <v>0</v>
      </c>
      <c r="BB460" s="51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79"/>
      <c r="B461" s="680"/>
      <c r="C461" s="680"/>
      <c r="D461" s="680"/>
      <c r="E461" s="680"/>
      <c r="F461" s="680"/>
      <c r="G461" s="680"/>
      <c r="H461" s="680"/>
      <c r="I461" s="680"/>
      <c r="J461" s="680"/>
      <c r="K461" s="680"/>
      <c r="L461" s="680"/>
      <c r="M461" s="680"/>
      <c r="N461" s="680"/>
      <c r="O461" s="681"/>
      <c r="P461" s="685" t="s">
        <v>80</v>
      </c>
      <c r="Q461" s="686"/>
      <c r="R461" s="686"/>
      <c r="S461" s="686"/>
      <c r="T461" s="686"/>
      <c r="U461" s="686"/>
      <c r="V461" s="687"/>
      <c r="W461" s="37" t="s">
        <v>81</v>
      </c>
      <c r="X461" s="667">
        <f>IFERROR(X457/H457,"0")+IFERROR(X458/H458,"0")+IFERROR(X459/H459,"0")+IFERROR(X460/H460,"0")</f>
        <v>0</v>
      </c>
      <c r="Y461" s="667">
        <f>IFERROR(Y457/H457,"0")+IFERROR(Y458/H458,"0")+IFERROR(Y459/H459,"0")+IFERROR(Y460/H460,"0")</f>
        <v>0</v>
      </c>
      <c r="Z461" s="667">
        <f>IFERROR(IF(Z457="",0,Z457),"0")+IFERROR(IF(Z458="",0,Z458),"0")+IFERROR(IF(Z459="",0,Z459),"0")+IFERROR(IF(Z460="",0,Z460),"0")</f>
        <v>0</v>
      </c>
      <c r="AA461" s="668"/>
      <c r="AB461" s="668"/>
      <c r="AC461" s="668"/>
    </row>
    <row r="462" spans="1:68" x14ac:dyDescent="0.2">
      <c r="A462" s="680"/>
      <c r="B462" s="680"/>
      <c r="C462" s="680"/>
      <c r="D462" s="680"/>
      <c r="E462" s="680"/>
      <c r="F462" s="680"/>
      <c r="G462" s="680"/>
      <c r="H462" s="680"/>
      <c r="I462" s="680"/>
      <c r="J462" s="680"/>
      <c r="K462" s="680"/>
      <c r="L462" s="680"/>
      <c r="M462" s="680"/>
      <c r="N462" s="680"/>
      <c r="O462" s="681"/>
      <c r="P462" s="685" t="s">
        <v>80</v>
      </c>
      <c r="Q462" s="686"/>
      <c r="R462" s="686"/>
      <c r="S462" s="686"/>
      <c r="T462" s="686"/>
      <c r="U462" s="686"/>
      <c r="V462" s="687"/>
      <c r="W462" s="37" t="s">
        <v>69</v>
      </c>
      <c r="X462" s="667">
        <f>IFERROR(SUM(X457:X460),"0")</f>
        <v>0</v>
      </c>
      <c r="Y462" s="667">
        <f>IFERROR(SUM(Y457:Y460),"0")</f>
        <v>0</v>
      </c>
      <c r="Z462" s="37"/>
      <c r="AA462" s="668"/>
      <c r="AB462" s="668"/>
      <c r="AC462" s="668"/>
    </row>
    <row r="463" spans="1:68" ht="16.5" customHeight="1" x14ac:dyDescent="0.25">
      <c r="A463" s="716" t="s">
        <v>718</v>
      </c>
      <c r="B463" s="680"/>
      <c r="C463" s="680"/>
      <c r="D463" s="680"/>
      <c r="E463" s="680"/>
      <c r="F463" s="680"/>
      <c r="G463" s="680"/>
      <c r="H463" s="680"/>
      <c r="I463" s="680"/>
      <c r="J463" s="680"/>
      <c r="K463" s="680"/>
      <c r="L463" s="680"/>
      <c r="M463" s="680"/>
      <c r="N463" s="680"/>
      <c r="O463" s="680"/>
      <c r="P463" s="680"/>
      <c r="Q463" s="680"/>
      <c r="R463" s="680"/>
      <c r="S463" s="680"/>
      <c r="T463" s="680"/>
      <c r="U463" s="680"/>
      <c r="V463" s="680"/>
      <c r="W463" s="680"/>
      <c r="X463" s="680"/>
      <c r="Y463" s="680"/>
      <c r="Z463" s="680"/>
      <c r="AA463" s="660"/>
      <c r="AB463" s="660"/>
      <c r="AC463" s="660"/>
    </row>
    <row r="464" spans="1:68" ht="14.25" customHeight="1" x14ac:dyDescent="0.25">
      <c r="A464" s="682" t="s">
        <v>144</v>
      </c>
      <c r="B464" s="680"/>
      <c r="C464" s="680"/>
      <c r="D464" s="680"/>
      <c r="E464" s="680"/>
      <c r="F464" s="680"/>
      <c r="G464" s="680"/>
      <c r="H464" s="680"/>
      <c r="I464" s="680"/>
      <c r="J464" s="680"/>
      <c r="K464" s="680"/>
      <c r="L464" s="680"/>
      <c r="M464" s="680"/>
      <c r="N464" s="680"/>
      <c r="O464" s="680"/>
      <c r="P464" s="680"/>
      <c r="Q464" s="680"/>
      <c r="R464" s="680"/>
      <c r="S464" s="680"/>
      <c r="T464" s="680"/>
      <c r="U464" s="680"/>
      <c r="V464" s="680"/>
      <c r="W464" s="680"/>
      <c r="X464" s="680"/>
      <c r="Y464" s="680"/>
      <c r="Z464" s="680"/>
      <c r="AA464" s="661"/>
      <c r="AB464" s="661"/>
      <c r="AC464" s="661"/>
    </row>
    <row r="465" spans="1:68" ht="27" customHeight="1" x14ac:dyDescent="0.25">
      <c r="A465" s="54" t="s">
        <v>719</v>
      </c>
      <c r="B465" s="54" t="s">
        <v>720</v>
      </c>
      <c r="C465" s="31">
        <v>4301031294</v>
      </c>
      <c r="D465" s="669">
        <v>4680115885189</v>
      </c>
      <c r="E465" s="670"/>
      <c r="F465" s="664">
        <v>0.2</v>
      </c>
      <c r="G465" s="32">
        <v>6</v>
      </c>
      <c r="H465" s="664">
        <v>1.2</v>
      </c>
      <c r="I465" s="664">
        <v>1.3720000000000001</v>
      </c>
      <c r="J465" s="32">
        <v>234</v>
      </c>
      <c r="K465" s="32" t="s">
        <v>147</v>
      </c>
      <c r="L465" s="32"/>
      <c r="M465" s="33" t="s">
        <v>68</v>
      </c>
      <c r="N465" s="33"/>
      <c r="O465" s="32">
        <v>40</v>
      </c>
      <c r="P465" s="981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5" t="s">
        <v>721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722</v>
      </c>
      <c r="B466" s="54" t="s">
        <v>723</v>
      </c>
      <c r="C466" s="31">
        <v>4301031347</v>
      </c>
      <c r="D466" s="669">
        <v>4680115885110</v>
      </c>
      <c r="E466" s="670"/>
      <c r="F466" s="664">
        <v>0.2</v>
      </c>
      <c r="G466" s="32">
        <v>6</v>
      </c>
      <c r="H466" s="664">
        <v>1.2</v>
      </c>
      <c r="I466" s="664">
        <v>2.1</v>
      </c>
      <c r="J466" s="32">
        <v>182</v>
      </c>
      <c r="K466" s="32" t="s">
        <v>67</v>
      </c>
      <c r="L466" s="32"/>
      <c r="M466" s="33" t="s">
        <v>68</v>
      </c>
      <c r="N466" s="33"/>
      <c r="O466" s="32">
        <v>50</v>
      </c>
      <c r="P466" s="772" t="s">
        <v>724</v>
      </c>
      <c r="Q466" s="672"/>
      <c r="R466" s="672"/>
      <c r="S466" s="672"/>
      <c r="T466" s="673"/>
      <c r="U466" s="34"/>
      <c r="V466" s="34"/>
      <c r="W466" s="35" t="s">
        <v>69</v>
      </c>
      <c r="X466" s="665">
        <v>0</v>
      </c>
      <c r="Y466" s="666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17" t="s">
        <v>725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79"/>
      <c r="B467" s="680"/>
      <c r="C467" s="680"/>
      <c r="D467" s="680"/>
      <c r="E467" s="680"/>
      <c r="F467" s="680"/>
      <c r="G467" s="680"/>
      <c r="H467" s="680"/>
      <c r="I467" s="680"/>
      <c r="J467" s="680"/>
      <c r="K467" s="680"/>
      <c r="L467" s="680"/>
      <c r="M467" s="680"/>
      <c r="N467" s="680"/>
      <c r="O467" s="681"/>
      <c r="P467" s="685" t="s">
        <v>80</v>
      </c>
      <c r="Q467" s="686"/>
      <c r="R467" s="686"/>
      <c r="S467" s="686"/>
      <c r="T467" s="686"/>
      <c r="U467" s="686"/>
      <c r="V467" s="687"/>
      <c r="W467" s="37" t="s">
        <v>81</v>
      </c>
      <c r="X467" s="667">
        <f>IFERROR(X465/H465,"0")+IFERROR(X466/H466,"0")</f>
        <v>0</v>
      </c>
      <c r="Y467" s="667">
        <f>IFERROR(Y465/H465,"0")+IFERROR(Y466/H466,"0")</f>
        <v>0</v>
      </c>
      <c r="Z467" s="667">
        <f>IFERROR(IF(Z465="",0,Z465),"0")+IFERROR(IF(Z466="",0,Z466),"0")</f>
        <v>0</v>
      </c>
      <c r="AA467" s="668"/>
      <c r="AB467" s="668"/>
      <c r="AC467" s="668"/>
    </row>
    <row r="468" spans="1:68" x14ac:dyDescent="0.2">
      <c r="A468" s="680"/>
      <c r="B468" s="680"/>
      <c r="C468" s="680"/>
      <c r="D468" s="680"/>
      <c r="E468" s="680"/>
      <c r="F468" s="680"/>
      <c r="G468" s="680"/>
      <c r="H468" s="680"/>
      <c r="I468" s="680"/>
      <c r="J468" s="680"/>
      <c r="K468" s="680"/>
      <c r="L468" s="680"/>
      <c r="M468" s="680"/>
      <c r="N468" s="680"/>
      <c r="O468" s="681"/>
      <c r="P468" s="685" t="s">
        <v>80</v>
      </c>
      <c r="Q468" s="686"/>
      <c r="R468" s="686"/>
      <c r="S468" s="686"/>
      <c r="T468" s="686"/>
      <c r="U468" s="686"/>
      <c r="V468" s="687"/>
      <c r="W468" s="37" t="s">
        <v>69</v>
      </c>
      <c r="X468" s="667">
        <f>IFERROR(SUM(X465:X466),"0")</f>
        <v>0</v>
      </c>
      <c r="Y468" s="667">
        <f>IFERROR(SUM(Y465:Y466),"0")</f>
        <v>0</v>
      </c>
      <c r="Z468" s="37"/>
      <c r="AA468" s="668"/>
      <c r="AB468" s="668"/>
      <c r="AC468" s="668"/>
    </row>
    <row r="469" spans="1:68" ht="16.5" customHeight="1" x14ac:dyDescent="0.25">
      <c r="A469" s="716" t="s">
        <v>726</v>
      </c>
      <c r="B469" s="680"/>
      <c r="C469" s="680"/>
      <c r="D469" s="680"/>
      <c r="E469" s="680"/>
      <c r="F469" s="680"/>
      <c r="G469" s="680"/>
      <c r="H469" s="680"/>
      <c r="I469" s="680"/>
      <c r="J469" s="680"/>
      <c r="K469" s="680"/>
      <c r="L469" s="680"/>
      <c r="M469" s="680"/>
      <c r="N469" s="680"/>
      <c r="O469" s="680"/>
      <c r="P469" s="680"/>
      <c r="Q469" s="680"/>
      <c r="R469" s="680"/>
      <c r="S469" s="680"/>
      <c r="T469" s="680"/>
      <c r="U469" s="680"/>
      <c r="V469" s="680"/>
      <c r="W469" s="680"/>
      <c r="X469" s="680"/>
      <c r="Y469" s="680"/>
      <c r="Z469" s="680"/>
      <c r="AA469" s="660"/>
      <c r="AB469" s="660"/>
      <c r="AC469" s="660"/>
    </row>
    <row r="470" spans="1:68" ht="14.25" customHeight="1" x14ac:dyDescent="0.25">
      <c r="A470" s="682" t="s">
        <v>144</v>
      </c>
      <c r="B470" s="680"/>
      <c r="C470" s="680"/>
      <c r="D470" s="680"/>
      <c r="E470" s="680"/>
      <c r="F470" s="680"/>
      <c r="G470" s="680"/>
      <c r="H470" s="680"/>
      <c r="I470" s="680"/>
      <c r="J470" s="680"/>
      <c r="K470" s="680"/>
      <c r="L470" s="680"/>
      <c r="M470" s="680"/>
      <c r="N470" s="680"/>
      <c r="O470" s="680"/>
      <c r="P470" s="680"/>
      <c r="Q470" s="680"/>
      <c r="R470" s="680"/>
      <c r="S470" s="680"/>
      <c r="T470" s="680"/>
      <c r="U470" s="680"/>
      <c r="V470" s="680"/>
      <c r="W470" s="680"/>
      <c r="X470" s="680"/>
      <c r="Y470" s="680"/>
      <c r="Z470" s="680"/>
      <c r="AA470" s="661"/>
      <c r="AB470" s="661"/>
      <c r="AC470" s="661"/>
    </row>
    <row r="471" spans="1:68" ht="27" customHeight="1" x14ac:dyDescent="0.25">
      <c r="A471" s="54" t="s">
        <v>727</v>
      </c>
      <c r="B471" s="54" t="s">
        <v>728</v>
      </c>
      <c r="C471" s="31">
        <v>4301031261</v>
      </c>
      <c r="D471" s="669">
        <v>4680115885103</v>
      </c>
      <c r="E471" s="670"/>
      <c r="F471" s="664">
        <v>0.27</v>
      </c>
      <c r="G471" s="32">
        <v>6</v>
      </c>
      <c r="H471" s="664">
        <v>1.62</v>
      </c>
      <c r="I471" s="664">
        <v>1.8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40</v>
      </c>
      <c r="P471" s="759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1" s="672"/>
      <c r="R471" s="672"/>
      <c r="S471" s="672"/>
      <c r="T471" s="673"/>
      <c r="U471" s="34"/>
      <c r="V471" s="34"/>
      <c r="W471" s="35" t="s">
        <v>69</v>
      </c>
      <c r="X471" s="665">
        <v>0</v>
      </c>
      <c r="Y471" s="666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19" t="s">
        <v>729</v>
      </c>
      <c r="AG471" s="64"/>
      <c r="AJ471" s="68"/>
      <c r="AK471" s="68">
        <v>0</v>
      </c>
      <c r="BB471" s="520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79"/>
      <c r="B472" s="680"/>
      <c r="C472" s="680"/>
      <c r="D472" s="680"/>
      <c r="E472" s="680"/>
      <c r="F472" s="680"/>
      <c r="G472" s="680"/>
      <c r="H472" s="680"/>
      <c r="I472" s="680"/>
      <c r="J472" s="680"/>
      <c r="K472" s="680"/>
      <c r="L472" s="680"/>
      <c r="M472" s="680"/>
      <c r="N472" s="680"/>
      <c r="O472" s="681"/>
      <c r="P472" s="685" t="s">
        <v>80</v>
      </c>
      <c r="Q472" s="686"/>
      <c r="R472" s="686"/>
      <c r="S472" s="686"/>
      <c r="T472" s="686"/>
      <c r="U472" s="686"/>
      <c r="V472" s="687"/>
      <c r="W472" s="37" t="s">
        <v>81</v>
      </c>
      <c r="X472" s="667">
        <f>IFERROR(X471/H471,"0")</f>
        <v>0</v>
      </c>
      <c r="Y472" s="667">
        <f>IFERROR(Y471/H471,"0")</f>
        <v>0</v>
      </c>
      <c r="Z472" s="667">
        <f>IFERROR(IF(Z471="",0,Z471),"0")</f>
        <v>0</v>
      </c>
      <c r="AA472" s="668"/>
      <c r="AB472" s="668"/>
      <c r="AC472" s="668"/>
    </row>
    <row r="473" spans="1:68" x14ac:dyDescent="0.2">
      <c r="A473" s="680"/>
      <c r="B473" s="680"/>
      <c r="C473" s="680"/>
      <c r="D473" s="680"/>
      <c r="E473" s="680"/>
      <c r="F473" s="680"/>
      <c r="G473" s="680"/>
      <c r="H473" s="680"/>
      <c r="I473" s="680"/>
      <c r="J473" s="680"/>
      <c r="K473" s="680"/>
      <c r="L473" s="680"/>
      <c r="M473" s="680"/>
      <c r="N473" s="680"/>
      <c r="O473" s="681"/>
      <c r="P473" s="685" t="s">
        <v>80</v>
      </c>
      <c r="Q473" s="686"/>
      <c r="R473" s="686"/>
      <c r="S473" s="686"/>
      <c r="T473" s="686"/>
      <c r="U473" s="686"/>
      <c r="V473" s="687"/>
      <c r="W473" s="37" t="s">
        <v>69</v>
      </c>
      <c r="X473" s="667">
        <f>IFERROR(SUM(X471:X471),"0")</f>
        <v>0</v>
      </c>
      <c r="Y473" s="667">
        <f>IFERROR(SUM(Y471:Y471),"0")</f>
        <v>0</v>
      </c>
      <c r="Z473" s="37"/>
      <c r="AA473" s="668"/>
      <c r="AB473" s="668"/>
      <c r="AC473" s="668"/>
    </row>
    <row r="474" spans="1:68" ht="14.25" customHeight="1" x14ac:dyDescent="0.25">
      <c r="A474" s="682" t="s">
        <v>170</v>
      </c>
      <c r="B474" s="680"/>
      <c r="C474" s="680"/>
      <c r="D474" s="680"/>
      <c r="E474" s="680"/>
      <c r="F474" s="680"/>
      <c r="G474" s="680"/>
      <c r="H474" s="680"/>
      <c r="I474" s="680"/>
      <c r="J474" s="680"/>
      <c r="K474" s="680"/>
      <c r="L474" s="680"/>
      <c r="M474" s="680"/>
      <c r="N474" s="680"/>
      <c r="O474" s="680"/>
      <c r="P474" s="680"/>
      <c r="Q474" s="680"/>
      <c r="R474" s="680"/>
      <c r="S474" s="680"/>
      <c r="T474" s="680"/>
      <c r="U474" s="680"/>
      <c r="V474" s="680"/>
      <c r="W474" s="680"/>
      <c r="X474" s="680"/>
      <c r="Y474" s="680"/>
      <c r="Z474" s="680"/>
      <c r="AA474" s="661"/>
      <c r="AB474" s="661"/>
      <c r="AC474" s="661"/>
    </row>
    <row r="475" spans="1:68" ht="27" customHeight="1" x14ac:dyDescent="0.25">
      <c r="A475" s="54" t="s">
        <v>730</v>
      </c>
      <c r="B475" s="54" t="s">
        <v>731</v>
      </c>
      <c r="C475" s="31">
        <v>4301060412</v>
      </c>
      <c r="D475" s="669">
        <v>4680115885509</v>
      </c>
      <c r="E475" s="670"/>
      <c r="F475" s="664">
        <v>0.27</v>
      </c>
      <c r="G475" s="32">
        <v>6</v>
      </c>
      <c r="H475" s="664">
        <v>1.62</v>
      </c>
      <c r="I475" s="664">
        <v>1.8660000000000001</v>
      </c>
      <c r="J475" s="32">
        <v>182</v>
      </c>
      <c r="K475" s="32" t="s">
        <v>67</v>
      </c>
      <c r="L475" s="32"/>
      <c r="M475" s="33" t="s">
        <v>68</v>
      </c>
      <c r="N475" s="33"/>
      <c r="O475" s="32">
        <v>35</v>
      </c>
      <c r="P475" s="947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5" s="672"/>
      <c r="R475" s="672"/>
      <c r="S475" s="672"/>
      <c r="T475" s="673"/>
      <c r="U475" s="34"/>
      <c r="V475" s="34"/>
      <c r="W475" s="35" t="s">
        <v>69</v>
      </c>
      <c r="X475" s="665">
        <v>0</v>
      </c>
      <c r="Y475" s="666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21" t="s">
        <v>732</v>
      </c>
      <c r="AG475" s="64"/>
      <c r="AJ475" s="68"/>
      <c r="AK475" s="68">
        <v>0</v>
      </c>
      <c r="BB475" s="522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679"/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1"/>
      <c r="P476" s="685" t="s">
        <v>80</v>
      </c>
      <c r="Q476" s="686"/>
      <c r="R476" s="686"/>
      <c r="S476" s="686"/>
      <c r="T476" s="686"/>
      <c r="U476" s="686"/>
      <c r="V476" s="687"/>
      <c r="W476" s="37" t="s">
        <v>81</v>
      </c>
      <c r="X476" s="667">
        <f>IFERROR(X475/H475,"0")</f>
        <v>0</v>
      </c>
      <c r="Y476" s="667">
        <f>IFERROR(Y475/H475,"0")</f>
        <v>0</v>
      </c>
      <c r="Z476" s="667">
        <f>IFERROR(IF(Z475="",0,Z475),"0")</f>
        <v>0</v>
      </c>
      <c r="AA476" s="668"/>
      <c r="AB476" s="668"/>
      <c r="AC476" s="668"/>
    </row>
    <row r="477" spans="1:68" x14ac:dyDescent="0.2">
      <c r="A477" s="680"/>
      <c r="B477" s="680"/>
      <c r="C477" s="680"/>
      <c r="D477" s="680"/>
      <c r="E477" s="680"/>
      <c r="F477" s="680"/>
      <c r="G477" s="680"/>
      <c r="H477" s="680"/>
      <c r="I477" s="680"/>
      <c r="J477" s="680"/>
      <c r="K477" s="680"/>
      <c r="L477" s="680"/>
      <c r="M477" s="680"/>
      <c r="N477" s="680"/>
      <c r="O477" s="681"/>
      <c r="P477" s="685" t="s">
        <v>80</v>
      </c>
      <c r="Q477" s="686"/>
      <c r="R477" s="686"/>
      <c r="S477" s="686"/>
      <c r="T477" s="686"/>
      <c r="U477" s="686"/>
      <c r="V477" s="687"/>
      <c r="W477" s="37" t="s">
        <v>69</v>
      </c>
      <c r="X477" s="667">
        <f>IFERROR(SUM(X475:X475),"0")</f>
        <v>0</v>
      </c>
      <c r="Y477" s="667">
        <f>IFERROR(SUM(Y475:Y475),"0")</f>
        <v>0</v>
      </c>
      <c r="Z477" s="37"/>
      <c r="AA477" s="668"/>
      <c r="AB477" s="668"/>
      <c r="AC477" s="668"/>
    </row>
    <row r="478" spans="1:68" ht="27.75" customHeight="1" x14ac:dyDescent="0.2">
      <c r="A478" s="800" t="s">
        <v>733</v>
      </c>
      <c r="B478" s="801"/>
      <c r="C478" s="801"/>
      <c r="D478" s="801"/>
      <c r="E478" s="801"/>
      <c r="F478" s="801"/>
      <c r="G478" s="801"/>
      <c r="H478" s="801"/>
      <c r="I478" s="801"/>
      <c r="J478" s="801"/>
      <c r="K478" s="801"/>
      <c r="L478" s="801"/>
      <c r="M478" s="801"/>
      <c r="N478" s="801"/>
      <c r="O478" s="801"/>
      <c r="P478" s="801"/>
      <c r="Q478" s="801"/>
      <c r="R478" s="801"/>
      <c r="S478" s="801"/>
      <c r="T478" s="801"/>
      <c r="U478" s="801"/>
      <c r="V478" s="801"/>
      <c r="W478" s="801"/>
      <c r="X478" s="801"/>
      <c r="Y478" s="801"/>
      <c r="Z478" s="801"/>
      <c r="AA478" s="48"/>
      <c r="AB478" s="48"/>
      <c r="AC478" s="48"/>
    </row>
    <row r="479" spans="1:68" ht="16.5" customHeight="1" x14ac:dyDescent="0.25">
      <c r="A479" s="716" t="s">
        <v>733</v>
      </c>
      <c r="B479" s="680"/>
      <c r="C479" s="680"/>
      <c r="D479" s="680"/>
      <c r="E479" s="680"/>
      <c r="F479" s="680"/>
      <c r="G479" s="680"/>
      <c r="H479" s="680"/>
      <c r="I479" s="680"/>
      <c r="J479" s="680"/>
      <c r="K479" s="680"/>
      <c r="L479" s="680"/>
      <c r="M479" s="680"/>
      <c r="N479" s="680"/>
      <c r="O479" s="680"/>
      <c r="P479" s="680"/>
      <c r="Q479" s="680"/>
      <c r="R479" s="680"/>
      <c r="S479" s="680"/>
      <c r="T479" s="680"/>
      <c r="U479" s="680"/>
      <c r="V479" s="680"/>
      <c r="W479" s="680"/>
      <c r="X479" s="680"/>
      <c r="Y479" s="680"/>
      <c r="Z479" s="680"/>
      <c r="AA479" s="660"/>
      <c r="AB479" s="660"/>
      <c r="AC479" s="660"/>
    </row>
    <row r="480" spans="1:68" ht="14.25" customHeight="1" x14ac:dyDescent="0.25">
      <c r="A480" s="682" t="s">
        <v>90</v>
      </c>
      <c r="B480" s="680"/>
      <c r="C480" s="680"/>
      <c r="D480" s="680"/>
      <c r="E480" s="680"/>
      <c r="F480" s="680"/>
      <c r="G480" s="680"/>
      <c r="H480" s="680"/>
      <c r="I480" s="680"/>
      <c r="J480" s="680"/>
      <c r="K480" s="680"/>
      <c r="L480" s="680"/>
      <c r="M480" s="680"/>
      <c r="N480" s="680"/>
      <c r="O480" s="680"/>
      <c r="P480" s="680"/>
      <c r="Q480" s="680"/>
      <c r="R480" s="680"/>
      <c r="S480" s="680"/>
      <c r="T480" s="680"/>
      <c r="U480" s="680"/>
      <c r="V480" s="680"/>
      <c r="W480" s="680"/>
      <c r="X480" s="680"/>
      <c r="Y480" s="680"/>
      <c r="Z480" s="680"/>
      <c r="AA480" s="661"/>
      <c r="AB480" s="661"/>
      <c r="AC480" s="661"/>
    </row>
    <row r="481" spans="1:68" ht="27" customHeight="1" x14ac:dyDescent="0.25">
      <c r="A481" s="54" t="s">
        <v>734</v>
      </c>
      <c r="B481" s="54" t="s">
        <v>735</v>
      </c>
      <c r="C481" s="31">
        <v>4301011795</v>
      </c>
      <c r="D481" s="669">
        <v>4607091389067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93</v>
      </c>
      <c r="L481" s="32"/>
      <c r="M481" s="33" t="s">
        <v>94</v>
      </c>
      <c r="N481" s="33"/>
      <c r="O481" s="32">
        <v>60</v>
      </c>
      <c r="P481" s="79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0</v>
      </c>
      <c r="Y481" s="666">
        <f t="shared" ref="Y481:Y495" si="68">IFERROR(IF(X481="",0,CEILING((X481/$H481),1)*$H481),"")</f>
        <v>0</v>
      </c>
      <c r="Z481" s="36" t="str">
        <f>IFERROR(IF(Y481=0,"",ROUNDUP(Y481/H481,0)*0.01196),"")</f>
        <v/>
      </c>
      <c r="AA481" s="56"/>
      <c r="AB481" s="57"/>
      <c r="AC481" s="523" t="s">
        <v>736</v>
      </c>
      <c r="AG481" s="64"/>
      <c r="AJ481" s="68"/>
      <c r="AK481" s="68">
        <v>0</v>
      </c>
      <c r="BB481" s="524" t="s">
        <v>1</v>
      </c>
      <c r="BM481" s="64">
        <f t="shared" ref="BM481:BM495" si="69">IFERROR(X481*I481/H481,"0")</f>
        <v>0</v>
      </c>
      <c r="BN481" s="64">
        <f t="shared" ref="BN481:BN495" si="70">IFERROR(Y481*I481/H481,"0")</f>
        <v>0</v>
      </c>
      <c r="BO481" s="64">
        <f t="shared" ref="BO481:BO495" si="71">IFERROR(1/J481*(X481/H481),"0")</f>
        <v>0</v>
      </c>
      <c r="BP481" s="64">
        <f t="shared" ref="BP481:BP495" si="72">IFERROR(1/J481*(Y481/H481),"0")</f>
        <v>0</v>
      </c>
    </row>
    <row r="482" spans="1:68" ht="27" customHeight="1" x14ac:dyDescent="0.25">
      <c r="A482" s="54" t="s">
        <v>737</v>
      </c>
      <c r="B482" s="54" t="s">
        <v>738</v>
      </c>
      <c r="C482" s="31">
        <v>4301011961</v>
      </c>
      <c r="D482" s="669">
        <v>4680115885271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93</v>
      </c>
      <c r="L482" s="32"/>
      <c r="M482" s="33" t="s">
        <v>94</v>
      </c>
      <c r="N482" s="33"/>
      <c r="O482" s="32">
        <v>60</v>
      </c>
      <c r="P482" s="7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0</v>
      </c>
      <c r="Y482" s="666">
        <f t="shared" si="68"/>
        <v>0</v>
      </c>
      <c r="Z482" s="36" t="str">
        <f>IFERROR(IF(Y482=0,"",ROUNDUP(Y482/H482,0)*0.01196),"")</f>
        <v/>
      </c>
      <c r="AA482" s="56"/>
      <c r="AB482" s="57"/>
      <c r="AC482" s="525" t="s">
        <v>739</v>
      </c>
      <c r="AG482" s="64"/>
      <c r="AJ482" s="68"/>
      <c r="AK482" s="68">
        <v>0</v>
      </c>
      <c r="BB482" s="526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ht="27" customHeight="1" x14ac:dyDescent="0.25">
      <c r="A483" s="54" t="s">
        <v>740</v>
      </c>
      <c r="B483" s="54" t="s">
        <v>741</v>
      </c>
      <c r="C483" s="31">
        <v>4301011376</v>
      </c>
      <c r="D483" s="669">
        <v>4680115885226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93</v>
      </c>
      <c r="L483" s="32"/>
      <c r="M483" s="33" t="s">
        <v>100</v>
      </c>
      <c r="N483" s="33"/>
      <c r="O483" s="32">
        <v>60</v>
      </c>
      <c r="P483" s="96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3" s="672"/>
      <c r="R483" s="672"/>
      <c r="S483" s="672"/>
      <c r="T483" s="673"/>
      <c r="U483" s="34"/>
      <c r="V483" s="34"/>
      <c r="W483" s="35" t="s">
        <v>69</v>
      </c>
      <c r="X483" s="665">
        <v>0</v>
      </c>
      <c r="Y483" s="666">
        <f t="shared" si="68"/>
        <v>0</v>
      </c>
      <c r="Z483" s="36" t="str">
        <f>IFERROR(IF(Y483=0,"",ROUNDUP(Y483/H483,0)*0.01196),"")</f>
        <v/>
      </c>
      <c r="AA483" s="56"/>
      <c r="AB483" s="57"/>
      <c r="AC483" s="527" t="s">
        <v>742</v>
      </c>
      <c r="AG483" s="64"/>
      <c r="AJ483" s="68"/>
      <c r="AK483" s="68">
        <v>0</v>
      </c>
      <c r="BB483" s="528" t="s">
        <v>1</v>
      </c>
      <c r="BM483" s="64">
        <f t="shared" si="69"/>
        <v>0</v>
      </c>
      <c r="BN483" s="64">
        <f t="shared" si="70"/>
        <v>0</v>
      </c>
      <c r="BO483" s="64">
        <f t="shared" si="71"/>
        <v>0</v>
      </c>
      <c r="BP483" s="64">
        <f t="shared" si="72"/>
        <v>0</v>
      </c>
    </row>
    <row r="484" spans="1:68" ht="27" customHeight="1" x14ac:dyDescent="0.25">
      <c r="A484" s="54" t="s">
        <v>743</v>
      </c>
      <c r="B484" s="54" t="s">
        <v>744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93</v>
      </c>
      <c r="L484" s="32"/>
      <c r="M484" s="33" t="s">
        <v>94</v>
      </c>
      <c r="N484" s="33"/>
      <c r="O484" s="32">
        <v>60</v>
      </c>
      <c r="P484" s="102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0</v>
      </c>
      <c r="Y484" s="666">
        <f t="shared" si="68"/>
        <v>0</v>
      </c>
      <c r="Z484" s="36" t="str">
        <f>IFERROR(IF(Y484=0,"",ROUNDUP(Y484/H484,0)*0.01196),"")</f>
        <v/>
      </c>
      <c r="AA484" s="56"/>
      <c r="AB484" s="57"/>
      <c r="AC484" s="529" t="s">
        <v>745</v>
      </c>
      <c r="AG484" s="64"/>
      <c r="AJ484" s="68"/>
      <c r="AK484" s="68">
        <v>0</v>
      </c>
      <c r="BB484" s="530" t="s">
        <v>1</v>
      </c>
      <c r="BM484" s="64">
        <f t="shared" si="69"/>
        <v>0</v>
      </c>
      <c r="BN484" s="64">
        <f t="shared" si="70"/>
        <v>0</v>
      </c>
      <c r="BO484" s="64">
        <f t="shared" si="71"/>
        <v>0</v>
      </c>
      <c r="BP484" s="64">
        <f t="shared" si="72"/>
        <v>0</v>
      </c>
    </row>
    <row r="485" spans="1:68" ht="16.5" customHeight="1" x14ac:dyDescent="0.25">
      <c r="A485" s="54" t="s">
        <v>746</v>
      </c>
      <c r="B485" s="54" t="s">
        <v>747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93</v>
      </c>
      <c r="L485" s="32"/>
      <c r="M485" s="33" t="s">
        <v>100</v>
      </c>
      <c r="N485" s="33"/>
      <c r="O485" s="32">
        <v>60</v>
      </c>
      <c r="P485" s="913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8"/>
        <v>0</v>
      </c>
      <c r="Z485" s="36" t="str">
        <f>IFERROR(IF(Y485=0,"",ROUNDUP(Y485/H485,0)*0.01196),"")</f>
        <v/>
      </c>
      <c r="AA485" s="56"/>
      <c r="AB485" s="57"/>
      <c r="AC485" s="531" t="s">
        <v>748</v>
      </c>
      <c r="AG485" s="64"/>
      <c r="AJ485" s="68"/>
      <c r="AK485" s="68">
        <v>0</v>
      </c>
      <c r="BB485" s="532" t="s">
        <v>1</v>
      </c>
      <c r="BM485" s="64">
        <f t="shared" si="69"/>
        <v>0</v>
      </c>
      <c r="BN485" s="64">
        <f t="shared" si="70"/>
        <v>0</v>
      </c>
      <c r="BO485" s="64">
        <f t="shared" si="71"/>
        <v>0</v>
      </c>
      <c r="BP485" s="64">
        <f t="shared" si="72"/>
        <v>0</v>
      </c>
    </row>
    <row r="486" spans="1:68" ht="27" customHeight="1" x14ac:dyDescent="0.25">
      <c r="A486" s="54" t="s">
        <v>749</v>
      </c>
      <c r="B486" s="54" t="s">
        <v>750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100</v>
      </c>
      <c r="N486" s="33"/>
      <c r="O486" s="32">
        <v>60</v>
      </c>
      <c r="P486" s="1005" t="s">
        <v>751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8"/>
        <v>0</v>
      </c>
      <c r="Z486" s="36" t="str">
        <f>IFERROR(IF(Y486=0,"",ROUNDUP(Y486/H486,0)*0.00651),"")</f>
        <v/>
      </c>
      <c r="AA486" s="56"/>
      <c r="AB486" s="57"/>
      <c r="AC486" s="533" t="s">
        <v>736</v>
      </c>
      <c r="AG486" s="64"/>
      <c r="AJ486" s="68"/>
      <c r="AK486" s="68">
        <v>0</v>
      </c>
      <c r="BB486" s="534" t="s">
        <v>1</v>
      </c>
      <c r="BM486" s="64">
        <f t="shared" si="69"/>
        <v>0</v>
      </c>
      <c r="BN486" s="64">
        <f t="shared" si="70"/>
        <v>0</v>
      </c>
      <c r="BO486" s="64">
        <f t="shared" si="71"/>
        <v>0</v>
      </c>
      <c r="BP486" s="64">
        <f t="shared" si="72"/>
        <v>0</v>
      </c>
    </row>
    <row r="487" spans="1:68" ht="27" customHeight="1" x14ac:dyDescent="0.25">
      <c r="A487" s="54" t="s">
        <v>752</v>
      </c>
      <c r="B487" s="54" t="s">
        <v>753</v>
      </c>
      <c r="C487" s="31">
        <v>4301012035</v>
      </c>
      <c r="D487" s="669">
        <v>4680115880603</v>
      </c>
      <c r="E487" s="670"/>
      <c r="F487" s="664">
        <v>0.6</v>
      </c>
      <c r="G487" s="32">
        <v>8</v>
      </c>
      <c r="H487" s="664">
        <v>4.8</v>
      </c>
      <c r="I487" s="664">
        <v>6.96</v>
      </c>
      <c r="J487" s="32">
        <v>120</v>
      </c>
      <c r="K487" s="32" t="s">
        <v>98</v>
      </c>
      <c r="L487" s="32"/>
      <c r="M487" s="33" t="s">
        <v>94</v>
      </c>
      <c r="N487" s="33"/>
      <c r="O487" s="32">
        <v>60</v>
      </c>
      <c r="P487" s="91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0</v>
      </c>
      <c r="Y487" s="666">
        <f t="shared" si="68"/>
        <v>0</v>
      </c>
      <c r="Z487" s="36" t="str">
        <f>IFERROR(IF(Y487=0,"",ROUNDUP(Y487/H487,0)*0.00937),"")</f>
        <v/>
      </c>
      <c r="AA487" s="56"/>
      <c r="AB487" s="57"/>
      <c r="AC487" s="535" t="s">
        <v>736</v>
      </c>
      <c r="AG487" s="64"/>
      <c r="AJ487" s="68"/>
      <c r="AK487" s="68">
        <v>0</v>
      </c>
      <c r="BB487" s="536" t="s">
        <v>1</v>
      </c>
      <c r="BM487" s="64">
        <f t="shared" si="69"/>
        <v>0</v>
      </c>
      <c r="BN487" s="64">
        <f t="shared" si="70"/>
        <v>0</v>
      </c>
      <c r="BO487" s="64">
        <f t="shared" si="71"/>
        <v>0</v>
      </c>
      <c r="BP487" s="64">
        <f t="shared" si="72"/>
        <v>0</v>
      </c>
    </row>
    <row r="488" spans="1:68" ht="27" customHeight="1" x14ac:dyDescent="0.25">
      <c r="A488" s="54" t="s">
        <v>752</v>
      </c>
      <c r="B488" s="54" t="s">
        <v>754</v>
      </c>
      <c r="C488" s="31">
        <v>4301011778</v>
      </c>
      <c r="D488" s="669">
        <v>4680115880603</v>
      </c>
      <c r="E488" s="670"/>
      <c r="F488" s="664">
        <v>0.6</v>
      </c>
      <c r="G488" s="32">
        <v>6</v>
      </c>
      <c r="H488" s="664">
        <v>3.6</v>
      </c>
      <c r="I488" s="664">
        <v>3.81</v>
      </c>
      <c r="J488" s="32">
        <v>132</v>
      </c>
      <c r="K488" s="32" t="s">
        <v>98</v>
      </c>
      <c r="L488" s="32"/>
      <c r="M488" s="33" t="s">
        <v>94</v>
      </c>
      <c r="N488" s="33"/>
      <c r="O488" s="32">
        <v>60</v>
      </c>
      <c r="P488" s="95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8"/>
        <v>0</v>
      </c>
      <c r="Z488" s="36" t="str">
        <f>IFERROR(IF(Y488=0,"",ROUNDUP(Y488/H488,0)*0.00902),"")</f>
        <v/>
      </c>
      <c r="AA488" s="56"/>
      <c r="AB488" s="57"/>
      <c r="AC488" s="537" t="s">
        <v>736</v>
      </c>
      <c r="AG488" s="64"/>
      <c r="AJ488" s="68"/>
      <c r="AK488" s="68">
        <v>0</v>
      </c>
      <c r="BB488" s="538" t="s">
        <v>1</v>
      </c>
      <c r="BM488" s="64">
        <f t="shared" si="69"/>
        <v>0</v>
      </c>
      <c r="BN488" s="64">
        <f t="shared" si="70"/>
        <v>0</v>
      </c>
      <c r="BO488" s="64">
        <f t="shared" si="71"/>
        <v>0</v>
      </c>
      <c r="BP488" s="64">
        <f t="shared" si="72"/>
        <v>0</v>
      </c>
    </row>
    <row r="489" spans="1:68" ht="27" customHeight="1" x14ac:dyDescent="0.25">
      <c r="A489" s="54" t="s">
        <v>755</v>
      </c>
      <c r="B489" s="54" t="s">
        <v>756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98</v>
      </c>
      <c r="L489" s="32"/>
      <c r="M489" s="33" t="s">
        <v>94</v>
      </c>
      <c r="N489" s="33"/>
      <c r="O489" s="32">
        <v>60</v>
      </c>
      <c r="P48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8"/>
        <v>0</v>
      </c>
      <c r="Z489" s="36" t="str">
        <f>IFERROR(IF(Y489=0,"",ROUNDUP(Y489/H489,0)*0.00937),"")</f>
        <v/>
      </c>
      <c r="AA489" s="56"/>
      <c r="AB489" s="57"/>
      <c r="AC489" s="539" t="s">
        <v>739</v>
      </c>
      <c r="AG489" s="64"/>
      <c r="AJ489" s="68"/>
      <c r="AK489" s="68">
        <v>0</v>
      </c>
      <c r="BB489" s="540" t="s">
        <v>1</v>
      </c>
      <c r="BM489" s="64">
        <f t="shared" si="69"/>
        <v>0</v>
      </c>
      <c r="BN489" s="64">
        <f t="shared" si="70"/>
        <v>0</v>
      </c>
      <c r="BO489" s="64">
        <f t="shared" si="71"/>
        <v>0</v>
      </c>
      <c r="BP489" s="64">
        <f t="shared" si="72"/>
        <v>0</v>
      </c>
    </row>
    <row r="490" spans="1:68" ht="27" customHeight="1" x14ac:dyDescent="0.25">
      <c r="A490" s="54" t="s">
        <v>757</v>
      </c>
      <c r="B490" s="54" t="s">
        <v>758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98</v>
      </c>
      <c r="L490" s="32"/>
      <c r="M490" s="33" t="s">
        <v>94</v>
      </c>
      <c r="N490" s="33"/>
      <c r="O490" s="32">
        <v>60</v>
      </c>
      <c r="P490" s="957" t="s">
        <v>759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8"/>
        <v>0</v>
      </c>
      <c r="Z490" s="36" t="str">
        <f>IFERROR(IF(Y490=0,"",ROUNDUP(Y490/H490,0)*0.00902),"")</f>
        <v/>
      </c>
      <c r="AA490" s="56"/>
      <c r="AB490" s="57"/>
      <c r="AC490" s="541" t="s">
        <v>742</v>
      </c>
      <c r="AG490" s="64"/>
      <c r="AJ490" s="68"/>
      <c r="AK490" s="68">
        <v>0</v>
      </c>
      <c r="BB490" s="542" t="s">
        <v>1</v>
      </c>
      <c r="BM490" s="64">
        <f t="shared" si="69"/>
        <v>0</v>
      </c>
      <c r="BN490" s="64">
        <f t="shared" si="70"/>
        <v>0</v>
      </c>
      <c r="BO490" s="64">
        <f t="shared" si="71"/>
        <v>0</v>
      </c>
      <c r="BP490" s="64">
        <f t="shared" si="72"/>
        <v>0</v>
      </c>
    </row>
    <row r="491" spans="1:68" ht="27" customHeight="1" x14ac:dyDescent="0.25">
      <c r="A491" s="54" t="s">
        <v>760</v>
      </c>
      <c r="B491" s="54" t="s">
        <v>761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98</v>
      </c>
      <c r="L491" s="32"/>
      <c r="M491" s="33" t="s">
        <v>94</v>
      </c>
      <c r="N491" s="33"/>
      <c r="O491" s="32">
        <v>60</v>
      </c>
      <c r="P491" s="867" t="s">
        <v>762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8"/>
        <v>0</v>
      </c>
      <c r="Z491" s="36" t="str">
        <f>IFERROR(IF(Y491=0,"",ROUNDUP(Y491/H491,0)*0.00902),"")</f>
        <v/>
      </c>
      <c r="AA491" s="56"/>
      <c r="AB491" s="57"/>
      <c r="AC491" s="543" t="s">
        <v>763</v>
      </c>
      <c r="AG491" s="64"/>
      <c r="AJ491" s="68"/>
      <c r="AK491" s="68">
        <v>0</v>
      </c>
      <c r="BB491" s="544" t="s">
        <v>1</v>
      </c>
      <c r="BM491" s="64">
        <f t="shared" si="69"/>
        <v>0</v>
      </c>
      <c r="BN491" s="64">
        <f t="shared" si="70"/>
        <v>0</v>
      </c>
      <c r="BO491" s="64">
        <f t="shared" si="71"/>
        <v>0</v>
      </c>
      <c r="BP491" s="64">
        <f t="shared" si="72"/>
        <v>0</v>
      </c>
    </row>
    <row r="492" spans="1:68" ht="27" customHeight="1" x14ac:dyDescent="0.25">
      <c r="A492" s="54" t="s">
        <v>764</v>
      </c>
      <c r="B492" s="54" t="s">
        <v>765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94</v>
      </c>
      <c r="N492" s="33"/>
      <c r="O492" s="32">
        <v>60</v>
      </c>
      <c r="P492" s="784" t="s">
        <v>766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8"/>
        <v>0</v>
      </c>
      <c r="Z492" s="36" t="str">
        <f>IFERROR(IF(Y492=0,"",ROUNDUP(Y492/H492,0)*0.00651),"")</f>
        <v/>
      </c>
      <c r="AA492" s="56"/>
      <c r="AB492" s="57"/>
      <c r="AC492" s="545" t="s">
        <v>767</v>
      </c>
      <c r="AG492" s="64"/>
      <c r="AJ492" s="68"/>
      <c r="AK492" s="68">
        <v>0</v>
      </c>
      <c r="BB492" s="546" t="s">
        <v>1</v>
      </c>
      <c r="BM492" s="64">
        <f t="shared" si="69"/>
        <v>0</v>
      </c>
      <c r="BN492" s="64">
        <f t="shared" si="70"/>
        <v>0</v>
      </c>
      <c r="BO492" s="64">
        <f t="shared" si="71"/>
        <v>0</v>
      </c>
      <c r="BP492" s="64">
        <f t="shared" si="72"/>
        <v>0</v>
      </c>
    </row>
    <row r="493" spans="1:68" ht="27" customHeight="1" x14ac:dyDescent="0.25">
      <c r="A493" s="54" t="s">
        <v>768</v>
      </c>
      <c r="B493" s="54" t="s">
        <v>769</v>
      </c>
      <c r="C493" s="31">
        <v>4301012034</v>
      </c>
      <c r="D493" s="669">
        <v>4607091389982</v>
      </c>
      <c r="E493" s="670"/>
      <c r="F493" s="664">
        <v>0.6</v>
      </c>
      <c r="G493" s="32">
        <v>8</v>
      </c>
      <c r="H493" s="664">
        <v>4.8</v>
      </c>
      <c r="I493" s="664">
        <v>6.96</v>
      </c>
      <c r="J493" s="32">
        <v>120</v>
      </c>
      <c r="K493" s="32" t="s">
        <v>98</v>
      </c>
      <c r="L493" s="32"/>
      <c r="M493" s="33" t="s">
        <v>94</v>
      </c>
      <c r="N493" s="33"/>
      <c r="O493" s="32">
        <v>60</v>
      </c>
      <c r="P493" s="82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0</v>
      </c>
      <c r="Y493" s="666">
        <f t="shared" si="68"/>
        <v>0</v>
      </c>
      <c r="Z493" s="36" t="str">
        <f>IFERROR(IF(Y493=0,"",ROUNDUP(Y493/H493,0)*0.00937),"")</f>
        <v/>
      </c>
      <c r="AA493" s="56"/>
      <c r="AB493" s="57"/>
      <c r="AC493" s="547" t="s">
        <v>745</v>
      </c>
      <c r="AG493" s="64"/>
      <c r="AJ493" s="68"/>
      <c r="AK493" s="68">
        <v>0</v>
      </c>
      <c r="BB493" s="548" t="s">
        <v>1</v>
      </c>
      <c r="BM493" s="64">
        <f t="shared" si="69"/>
        <v>0</v>
      </c>
      <c r="BN493" s="64">
        <f t="shared" si="70"/>
        <v>0</v>
      </c>
      <c r="BO493" s="64">
        <f t="shared" si="71"/>
        <v>0</v>
      </c>
      <c r="BP493" s="64">
        <f t="shared" si="72"/>
        <v>0</v>
      </c>
    </row>
    <row r="494" spans="1:68" ht="27" customHeight="1" x14ac:dyDescent="0.25">
      <c r="A494" s="54" t="s">
        <v>768</v>
      </c>
      <c r="B494" s="54" t="s">
        <v>770</v>
      </c>
      <c r="C494" s="31">
        <v>4301011784</v>
      </c>
      <c r="D494" s="669">
        <v>4607091389982</v>
      </c>
      <c r="E494" s="670"/>
      <c r="F494" s="664">
        <v>0.6</v>
      </c>
      <c r="G494" s="32">
        <v>6</v>
      </c>
      <c r="H494" s="664">
        <v>3.6</v>
      </c>
      <c r="I494" s="664">
        <v>3.81</v>
      </c>
      <c r="J494" s="32">
        <v>132</v>
      </c>
      <c r="K494" s="32" t="s">
        <v>98</v>
      </c>
      <c r="L494" s="32"/>
      <c r="M494" s="33" t="s">
        <v>94</v>
      </c>
      <c r="N494" s="33"/>
      <c r="O494" s="32">
        <v>60</v>
      </c>
      <c r="P494" s="78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8"/>
        <v>0</v>
      </c>
      <c r="Z494" s="36" t="str">
        <f>IFERROR(IF(Y494=0,"",ROUNDUP(Y494/H494,0)*0.00902),"")</f>
        <v/>
      </c>
      <c r="AA494" s="56"/>
      <c r="AB494" s="57"/>
      <c r="AC494" s="549" t="s">
        <v>745</v>
      </c>
      <c r="AG494" s="64"/>
      <c r="AJ494" s="68"/>
      <c r="AK494" s="68">
        <v>0</v>
      </c>
      <c r="BB494" s="550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t="27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98</v>
      </c>
      <c r="L495" s="32"/>
      <c r="M495" s="33" t="s">
        <v>94</v>
      </c>
      <c r="N495" s="33"/>
      <c r="O495" s="32">
        <v>60</v>
      </c>
      <c r="P495" s="828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8"/>
        <v>0</v>
      </c>
      <c r="Z495" s="36" t="str">
        <f>IFERROR(IF(Y495=0,"",ROUNDUP(Y495/H495,0)*0.00902),"")</f>
        <v/>
      </c>
      <c r="AA495" s="56"/>
      <c r="AB495" s="57"/>
      <c r="AC495" s="551" t="s">
        <v>748</v>
      </c>
      <c r="AG495" s="64"/>
      <c r="AJ495" s="68"/>
      <c r="AK495" s="68">
        <v>0</v>
      </c>
      <c r="BB495" s="552" t="s">
        <v>1</v>
      </c>
      <c r="BM495" s="64">
        <f t="shared" si="69"/>
        <v>0</v>
      </c>
      <c r="BN495" s="64">
        <f t="shared" si="70"/>
        <v>0</v>
      </c>
      <c r="BO495" s="64">
        <f t="shared" si="71"/>
        <v>0</v>
      </c>
      <c r="BP495" s="64">
        <f t="shared" si="72"/>
        <v>0</v>
      </c>
    </row>
    <row r="496" spans="1:68" x14ac:dyDescent="0.2">
      <c r="A496" s="679"/>
      <c r="B496" s="680"/>
      <c r="C496" s="680"/>
      <c r="D496" s="680"/>
      <c r="E496" s="680"/>
      <c r="F496" s="680"/>
      <c r="G496" s="680"/>
      <c r="H496" s="680"/>
      <c r="I496" s="680"/>
      <c r="J496" s="680"/>
      <c r="K496" s="680"/>
      <c r="L496" s="680"/>
      <c r="M496" s="680"/>
      <c r="N496" s="680"/>
      <c r="O496" s="681"/>
      <c r="P496" s="685" t="s">
        <v>80</v>
      </c>
      <c r="Q496" s="686"/>
      <c r="R496" s="686"/>
      <c r="S496" s="686"/>
      <c r="T496" s="686"/>
      <c r="U496" s="686"/>
      <c r="V496" s="687"/>
      <c r="W496" s="37" t="s">
        <v>81</v>
      </c>
      <c r="X496" s="667">
        <f>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0</v>
      </c>
      <c r="Y496" s="667">
        <f>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0</v>
      </c>
      <c r="Z496" s="667">
        <f>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</v>
      </c>
      <c r="AA496" s="668"/>
      <c r="AB496" s="668"/>
      <c r="AC496" s="668"/>
    </row>
    <row r="497" spans="1:68" x14ac:dyDescent="0.2">
      <c r="A497" s="680"/>
      <c r="B497" s="680"/>
      <c r="C497" s="680"/>
      <c r="D497" s="680"/>
      <c r="E497" s="680"/>
      <c r="F497" s="680"/>
      <c r="G497" s="680"/>
      <c r="H497" s="680"/>
      <c r="I497" s="680"/>
      <c r="J497" s="680"/>
      <c r="K497" s="680"/>
      <c r="L497" s="680"/>
      <c r="M497" s="680"/>
      <c r="N497" s="680"/>
      <c r="O497" s="681"/>
      <c r="P497" s="685" t="s">
        <v>80</v>
      </c>
      <c r="Q497" s="686"/>
      <c r="R497" s="686"/>
      <c r="S497" s="686"/>
      <c r="T497" s="686"/>
      <c r="U497" s="686"/>
      <c r="V497" s="687"/>
      <c r="W497" s="37" t="s">
        <v>69</v>
      </c>
      <c r="X497" s="667">
        <f>IFERROR(SUM(X481:X495),"0")</f>
        <v>0</v>
      </c>
      <c r="Y497" s="667">
        <f>IFERROR(SUM(Y481:Y495),"0")</f>
        <v>0</v>
      </c>
      <c r="Z497" s="37"/>
      <c r="AA497" s="668"/>
      <c r="AB497" s="668"/>
      <c r="AC497" s="668"/>
    </row>
    <row r="498" spans="1:68" ht="14.25" customHeight="1" x14ac:dyDescent="0.25">
      <c r="A498" s="682" t="s">
        <v>133</v>
      </c>
      <c r="B498" s="680"/>
      <c r="C498" s="680"/>
      <c r="D498" s="680"/>
      <c r="E498" s="680"/>
      <c r="F498" s="680"/>
      <c r="G498" s="680"/>
      <c r="H498" s="680"/>
      <c r="I498" s="680"/>
      <c r="J498" s="680"/>
      <c r="K498" s="680"/>
      <c r="L498" s="680"/>
      <c r="M498" s="680"/>
      <c r="N498" s="680"/>
      <c r="O498" s="680"/>
      <c r="P498" s="680"/>
      <c r="Q498" s="680"/>
      <c r="R498" s="680"/>
      <c r="S498" s="680"/>
      <c r="T498" s="680"/>
      <c r="U498" s="680"/>
      <c r="V498" s="680"/>
      <c r="W498" s="680"/>
      <c r="X498" s="680"/>
      <c r="Y498" s="680"/>
      <c r="Z498" s="680"/>
      <c r="AA498" s="661"/>
      <c r="AB498" s="661"/>
      <c r="AC498" s="661"/>
    </row>
    <row r="499" spans="1:68" ht="16.5" customHeight="1" x14ac:dyDescent="0.25">
      <c r="A499" s="54" t="s">
        <v>773</v>
      </c>
      <c r="B499" s="54" t="s">
        <v>774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93</v>
      </c>
      <c r="L499" s="32"/>
      <c r="M499" s="33" t="s">
        <v>94</v>
      </c>
      <c r="N499" s="33"/>
      <c r="O499" s="32">
        <v>55</v>
      </c>
      <c r="P499" s="1027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0</v>
      </c>
      <c r="Y499" s="666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773</v>
      </c>
      <c r="B500" s="54" t="s">
        <v>776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93</v>
      </c>
      <c r="L500" s="32"/>
      <c r="M500" s="33" t="s">
        <v>100</v>
      </c>
      <c r="N500" s="33"/>
      <c r="O500" s="32">
        <v>70</v>
      </c>
      <c r="P500" s="908" t="s">
        <v>777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100</v>
      </c>
      <c r="N501" s="33"/>
      <c r="O501" s="32">
        <v>70</v>
      </c>
      <c r="P501" s="847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98</v>
      </c>
      <c r="L502" s="32"/>
      <c r="M502" s="33" t="s">
        <v>94</v>
      </c>
      <c r="N502" s="33"/>
      <c r="O502" s="32">
        <v>70</v>
      </c>
      <c r="P502" s="744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9"/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1"/>
      <c r="P503" s="685" t="s">
        <v>80</v>
      </c>
      <c r="Q503" s="686"/>
      <c r="R503" s="686"/>
      <c r="S503" s="686"/>
      <c r="T503" s="686"/>
      <c r="U503" s="686"/>
      <c r="V503" s="687"/>
      <c r="W503" s="37" t="s">
        <v>81</v>
      </c>
      <c r="X503" s="667">
        <f>IFERROR(X499/H499,"0")+IFERROR(X500/H500,"0")+IFERROR(X501/H501,"0")+IFERROR(X502/H502,"0")</f>
        <v>0</v>
      </c>
      <c r="Y503" s="667">
        <f>IFERROR(Y499/H499,"0")+IFERROR(Y500/H500,"0")+IFERROR(Y501/H501,"0")+IFERROR(Y502/H502,"0")</f>
        <v>0</v>
      </c>
      <c r="Z503" s="667">
        <f>IFERROR(IF(Z499="",0,Z499),"0")+IFERROR(IF(Z500="",0,Z500),"0")+IFERROR(IF(Z501="",0,Z501),"0")+IFERROR(IF(Z502="",0,Z502),"0")</f>
        <v>0</v>
      </c>
      <c r="AA503" s="668"/>
      <c r="AB503" s="668"/>
      <c r="AC503" s="668"/>
    </row>
    <row r="504" spans="1:68" x14ac:dyDescent="0.2">
      <c r="A504" s="680"/>
      <c r="B504" s="680"/>
      <c r="C504" s="680"/>
      <c r="D504" s="680"/>
      <c r="E504" s="680"/>
      <c r="F504" s="680"/>
      <c r="G504" s="680"/>
      <c r="H504" s="680"/>
      <c r="I504" s="680"/>
      <c r="J504" s="680"/>
      <c r="K504" s="680"/>
      <c r="L504" s="680"/>
      <c r="M504" s="680"/>
      <c r="N504" s="680"/>
      <c r="O504" s="681"/>
      <c r="P504" s="685" t="s">
        <v>80</v>
      </c>
      <c r="Q504" s="686"/>
      <c r="R504" s="686"/>
      <c r="S504" s="686"/>
      <c r="T504" s="686"/>
      <c r="U504" s="686"/>
      <c r="V504" s="687"/>
      <c r="W504" s="37" t="s">
        <v>69</v>
      </c>
      <c r="X504" s="667">
        <f>IFERROR(SUM(X499:X502),"0")</f>
        <v>0</v>
      </c>
      <c r="Y504" s="667">
        <f>IFERROR(SUM(Y499:Y502),"0")</f>
        <v>0</v>
      </c>
      <c r="Z504" s="37"/>
      <c r="AA504" s="668"/>
      <c r="AB504" s="668"/>
      <c r="AC504" s="668"/>
    </row>
    <row r="505" spans="1:68" ht="14.25" customHeight="1" x14ac:dyDescent="0.25">
      <c r="A505" s="682" t="s">
        <v>144</v>
      </c>
      <c r="B505" s="680"/>
      <c r="C505" s="680"/>
      <c r="D505" s="680"/>
      <c r="E505" s="680"/>
      <c r="F505" s="680"/>
      <c r="G505" s="680"/>
      <c r="H505" s="680"/>
      <c r="I505" s="680"/>
      <c r="J505" s="680"/>
      <c r="K505" s="680"/>
      <c r="L505" s="680"/>
      <c r="M505" s="680"/>
      <c r="N505" s="680"/>
      <c r="O505" s="680"/>
      <c r="P505" s="680"/>
      <c r="Q505" s="680"/>
      <c r="R505" s="680"/>
      <c r="S505" s="680"/>
      <c r="T505" s="680"/>
      <c r="U505" s="680"/>
      <c r="V505" s="680"/>
      <c r="W505" s="680"/>
      <c r="X505" s="680"/>
      <c r="Y505" s="680"/>
      <c r="Z505" s="680"/>
      <c r="AA505" s="661"/>
      <c r="AB505" s="661"/>
      <c r="AC505" s="661"/>
    </row>
    <row r="506" spans="1:68" ht="27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93</v>
      </c>
      <c r="L506" s="32"/>
      <c r="M506" s="33" t="s">
        <v>94</v>
      </c>
      <c r="N506" s="33"/>
      <c r="O506" s="32">
        <v>70</v>
      </c>
      <c r="P506" s="893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0</v>
      </c>
      <c r="Y506" s="666">
        <f t="shared" ref="Y506:Y517" si="73"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4">IFERROR(X506*I506/H506,"0")</f>
        <v>0</v>
      </c>
      <c r="BN506" s="64">
        <f t="shared" ref="BN506:BN517" si="75">IFERROR(Y506*I506/H506,"0")</f>
        <v>0</v>
      </c>
      <c r="BO506" s="64">
        <f t="shared" ref="BO506:BO517" si="76">IFERROR(1/J506*(X506/H506),"0")</f>
        <v>0</v>
      </c>
      <c r="BP506" s="64">
        <f t="shared" ref="BP506:BP517" si="77">IFERROR(1/J506*(Y506/H506),"0")</f>
        <v>0</v>
      </c>
    </row>
    <row r="507" spans="1:68" ht="27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93</v>
      </c>
      <c r="L507" s="32"/>
      <c r="M507" s="33" t="s">
        <v>68</v>
      </c>
      <c r="N507" s="33"/>
      <c r="O507" s="32">
        <v>70</v>
      </c>
      <c r="P507" s="1047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0</v>
      </c>
      <c r="Y507" s="666">
        <f t="shared" si="73"/>
        <v>0</v>
      </c>
      <c r="Z507" s="36" t="str">
        <f>IFERROR(IF(Y507=0,"",ROUNDUP(Y507/H507,0)*0.01196),"")</f>
        <v/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4"/>
        <v>0</v>
      </c>
      <c r="BN507" s="64">
        <f t="shared" si="75"/>
        <v>0</v>
      </c>
      <c r="BO507" s="64">
        <f t="shared" si="76"/>
        <v>0</v>
      </c>
      <c r="BP507" s="64">
        <f t="shared" si="77"/>
        <v>0</v>
      </c>
    </row>
    <row r="508" spans="1:68" ht="27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93</v>
      </c>
      <c r="L508" s="32"/>
      <c r="M508" s="33" t="s">
        <v>68</v>
      </c>
      <c r="N508" s="33"/>
      <c r="O508" s="32">
        <v>70</v>
      </c>
      <c r="P508" s="766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0</v>
      </c>
      <c r="Y508" s="666">
        <f t="shared" si="73"/>
        <v>0</v>
      </c>
      <c r="Z508" s="36" t="str">
        <f>IFERROR(IF(Y508=0,"",ROUNDUP(Y508/H508,0)*0.01196),"")</f>
        <v/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4"/>
        <v>0</v>
      </c>
      <c r="BN508" s="64">
        <f t="shared" si="75"/>
        <v>0</v>
      </c>
      <c r="BO508" s="64">
        <f t="shared" si="76"/>
        <v>0</v>
      </c>
      <c r="BP508" s="64">
        <f t="shared" si="77"/>
        <v>0</v>
      </c>
    </row>
    <row r="509" spans="1:68" ht="27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94</v>
      </c>
      <c r="N509" s="33"/>
      <c r="O509" s="32">
        <v>70</v>
      </c>
      <c r="P509" s="1001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3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4"/>
        <v>0</v>
      </c>
      <c r="BN509" s="64">
        <f t="shared" si="75"/>
        <v>0</v>
      </c>
      <c r="BO509" s="64">
        <f t="shared" si="76"/>
        <v>0</v>
      </c>
      <c r="BP509" s="64">
        <f t="shared" si="77"/>
        <v>0</v>
      </c>
    </row>
    <row r="510" spans="1:68" ht="27" customHeight="1" x14ac:dyDescent="0.25">
      <c r="A510" s="54" t="s">
        <v>800</v>
      </c>
      <c r="B510" s="54" t="s">
        <v>801</v>
      </c>
      <c r="C510" s="31">
        <v>4301031351</v>
      </c>
      <c r="D510" s="669">
        <v>4680115882072</v>
      </c>
      <c r="E510" s="670"/>
      <c r="F510" s="664">
        <v>0.6</v>
      </c>
      <c r="G510" s="32">
        <v>6</v>
      </c>
      <c r="H510" s="664">
        <v>3.6</v>
      </c>
      <c r="I510" s="664">
        <v>3.81</v>
      </c>
      <c r="J510" s="32">
        <v>132</v>
      </c>
      <c r="K510" s="32" t="s">
        <v>98</v>
      </c>
      <c r="L510" s="32"/>
      <c r="M510" s="33" t="s">
        <v>94</v>
      </c>
      <c r="N510" s="33"/>
      <c r="O510" s="32">
        <v>70</v>
      </c>
      <c r="P510" s="1032" t="s">
        <v>802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0</v>
      </c>
      <c r="Y510" s="666">
        <f t="shared" si="73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4"/>
        <v>0</v>
      </c>
      <c r="BN510" s="64">
        <f t="shared" si="75"/>
        <v>0</v>
      </c>
      <c r="BO510" s="64">
        <f t="shared" si="76"/>
        <v>0</v>
      </c>
      <c r="BP510" s="64">
        <f t="shared" si="77"/>
        <v>0</v>
      </c>
    </row>
    <row r="511" spans="1:68" ht="27" customHeight="1" x14ac:dyDescent="0.25">
      <c r="A511" s="54" t="s">
        <v>800</v>
      </c>
      <c r="B511" s="54" t="s">
        <v>803</v>
      </c>
      <c r="C511" s="31">
        <v>4301031383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98</v>
      </c>
      <c r="L511" s="32"/>
      <c r="M511" s="33" t="s">
        <v>94</v>
      </c>
      <c r="N511" s="33"/>
      <c r="O511" s="32">
        <v>60</v>
      </c>
      <c r="P511" s="876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0</v>
      </c>
      <c r="Y511" s="666">
        <f t="shared" si="73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4"/>
        <v>0</v>
      </c>
      <c r="BN511" s="64">
        <f t="shared" si="75"/>
        <v>0</v>
      </c>
      <c r="BO511" s="64">
        <f t="shared" si="76"/>
        <v>0</v>
      </c>
      <c r="BP511" s="64">
        <f t="shared" si="77"/>
        <v>0</v>
      </c>
    </row>
    <row r="512" spans="1:68" ht="27" customHeight="1" x14ac:dyDescent="0.25">
      <c r="A512" s="54" t="s">
        <v>800</v>
      </c>
      <c r="B512" s="54" t="s">
        <v>805</v>
      </c>
      <c r="C512" s="31">
        <v>4301031419</v>
      </c>
      <c r="D512" s="669">
        <v>4680115882072</v>
      </c>
      <c r="E512" s="670"/>
      <c r="F512" s="664">
        <v>0.6</v>
      </c>
      <c r="G512" s="32">
        <v>8</v>
      </c>
      <c r="H512" s="664">
        <v>4.8</v>
      </c>
      <c r="I512" s="664">
        <v>6.93</v>
      </c>
      <c r="J512" s="32">
        <v>132</v>
      </c>
      <c r="K512" s="32" t="s">
        <v>98</v>
      </c>
      <c r="L512" s="32"/>
      <c r="M512" s="33" t="s">
        <v>94</v>
      </c>
      <c r="N512" s="33"/>
      <c r="O512" s="32">
        <v>70</v>
      </c>
      <c r="P512" s="917" t="s">
        <v>806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3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4"/>
        <v>0</v>
      </c>
      <c r="BN512" s="64">
        <f t="shared" si="75"/>
        <v>0</v>
      </c>
      <c r="BO512" s="64">
        <f t="shared" si="76"/>
        <v>0</v>
      </c>
      <c r="BP512" s="64">
        <f t="shared" si="77"/>
        <v>0</v>
      </c>
    </row>
    <row r="513" spans="1:68" ht="27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98</v>
      </c>
      <c r="L513" s="32"/>
      <c r="M513" s="33" t="s">
        <v>68</v>
      </c>
      <c r="N513" s="33"/>
      <c r="O513" s="32">
        <v>60</v>
      </c>
      <c r="P513" s="83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0</v>
      </c>
      <c r="Y513" s="666">
        <f t="shared" si="73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4"/>
        <v>0</v>
      </c>
      <c r="BN513" s="64">
        <f t="shared" si="75"/>
        <v>0</v>
      </c>
      <c r="BO513" s="64">
        <f t="shared" si="76"/>
        <v>0</v>
      </c>
      <c r="BP513" s="64">
        <f t="shared" si="77"/>
        <v>0</v>
      </c>
    </row>
    <row r="514" spans="1:68" ht="27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98</v>
      </c>
      <c r="L514" s="32"/>
      <c r="M514" s="33" t="s">
        <v>68</v>
      </c>
      <c r="N514" s="33"/>
      <c r="O514" s="32">
        <v>70</v>
      </c>
      <c r="P514" s="861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3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4"/>
        <v>0</v>
      </c>
      <c r="BN514" s="64">
        <f t="shared" si="75"/>
        <v>0</v>
      </c>
      <c r="BO514" s="64">
        <f t="shared" si="76"/>
        <v>0</v>
      </c>
      <c r="BP514" s="64">
        <f t="shared" si="77"/>
        <v>0</v>
      </c>
    </row>
    <row r="515" spans="1:68" ht="27" customHeight="1" x14ac:dyDescent="0.25">
      <c r="A515" s="54" t="s">
        <v>812</v>
      </c>
      <c r="B515" s="54" t="s">
        <v>813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98</v>
      </c>
      <c r="L515" s="32"/>
      <c r="M515" s="33" t="s">
        <v>68</v>
      </c>
      <c r="N515" s="33"/>
      <c r="O515" s="32">
        <v>60</v>
      </c>
      <c r="P515" s="1011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0</v>
      </c>
      <c r="Y515" s="666">
        <f t="shared" si="73"/>
        <v>0</v>
      </c>
      <c r="Z515" s="36" t="str">
        <f>IFERROR(IF(Y515=0,"",ROUNDUP(Y515/H515,0)*0.00902),"")</f>
        <v/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4"/>
        <v>0</v>
      </c>
      <c r="BN515" s="64">
        <f t="shared" si="75"/>
        <v>0</v>
      </c>
      <c r="BO515" s="64">
        <f t="shared" si="76"/>
        <v>0</v>
      </c>
      <c r="BP515" s="64">
        <f t="shared" si="77"/>
        <v>0</v>
      </c>
    </row>
    <row r="516" spans="1:68" ht="27" customHeight="1" x14ac:dyDescent="0.25">
      <c r="A516" s="54" t="s">
        <v>812</v>
      </c>
      <c r="B516" s="54" t="s">
        <v>815</v>
      </c>
      <c r="C516" s="31">
        <v>4301031384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120</v>
      </c>
      <c r="K516" s="32" t="s">
        <v>98</v>
      </c>
      <c r="L516" s="32"/>
      <c r="M516" s="33" t="s">
        <v>68</v>
      </c>
      <c r="N516" s="33"/>
      <c r="O516" s="32">
        <v>60</v>
      </c>
      <c r="P516" s="864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3"/>
        <v>0</v>
      </c>
      <c r="Z516" s="36" t="str">
        <f>IFERROR(IF(Y516=0,"",ROUNDUP(Y516/H516,0)*0.00937),"")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4"/>
        <v>0</v>
      </c>
      <c r="BN516" s="64">
        <f t="shared" si="75"/>
        <v>0</v>
      </c>
      <c r="BO516" s="64">
        <f t="shared" si="76"/>
        <v>0</v>
      </c>
      <c r="BP516" s="64">
        <f t="shared" si="77"/>
        <v>0</v>
      </c>
    </row>
    <row r="517" spans="1:68" ht="27" customHeight="1" x14ac:dyDescent="0.25">
      <c r="A517" s="54" t="s">
        <v>812</v>
      </c>
      <c r="B517" s="54" t="s">
        <v>816</v>
      </c>
      <c r="C517" s="31">
        <v>4301031417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132</v>
      </c>
      <c r="K517" s="32" t="s">
        <v>98</v>
      </c>
      <c r="L517" s="32"/>
      <c r="M517" s="33" t="s">
        <v>68</v>
      </c>
      <c r="N517" s="33"/>
      <c r="O517" s="32">
        <v>70</v>
      </c>
      <c r="P517" s="901" t="s">
        <v>817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3"/>
        <v>0</v>
      </c>
      <c r="Z517" s="36" t="str">
        <f>IFERROR(IF(Y517=0,"",ROUNDUP(Y517/H517,0)*0.00902),"")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4"/>
        <v>0</v>
      </c>
      <c r="BN517" s="64">
        <f t="shared" si="75"/>
        <v>0</v>
      </c>
      <c r="BO517" s="64">
        <f t="shared" si="76"/>
        <v>0</v>
      </c>
      <c r="BP517" s="64">
        <f t="shared" si="77"/>
        <v>0</v>
      </c>
    </row>
    <row r="518" spans="1:68" x14ac:dyDescent="0.2">
      <c r="A518" s="679"/>
      <c r="B518" s="680"/>
      <c r="C518" s="680"/>
      <c r="D518" s="680"/>
      <c r="E518" s="680"/>
      <c r="F518" s="680"/>
      <c r="G518" s="680"/>
      <c r="H518" s="680"/>
      <c r="I518" s="680"/>
      <c r="J518" s="680"/>
      <c r="K518" s="680"/>
      <c r="L518" s="680"/>
      <c r="M518" s="680"/>
      <c r="N518" s="680"/>
      <c r="O518" s="681"/>
      <c r="P518" s="685" t="s">
        <v>80</v>
      </c>
      <c r="Q518" s="686"/>
      <c r="R518" s="686"/>
      <c r="S518" s="686"/>
      <c r="T518" s="686"/>
      <c r="U518" s="686"/>
      <c r="V518" s="687"/>
      <c r="W518" s="37" t="s">
        <v>81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0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0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68"/>
      <c r="AB518" s="668"/>
      <c r="AC518" s="668"/>
    </row>
    <row r="519" spans="1:68" x14ac:dyDescent="0.2">
      <c r="A519" s="680"/>
      <c r="B519" s="680"/>
      <c r="C519" s="680"/>
      <c r="D519" s="680"/>
      <c r="E519" s="680"/>
      <c r="F519" s="680"/>
      <c r="G519" s="680"/>
      <c r="H519" s="680"/>
      <c r="I519" s="680"/>
      <c r="J519" s="680"/>
      <c r="K519" s="680"/>
      <c r="L519" s="680"/>
      <c r="M519" s="680"/>
      <c r="N519" s="680"/>
      <c r="O519" s="681"/>
      <c r="P519" s="685" t="s">
        <v>80</v>
      </c>
      <c r="Q519" s="686"/>
      <c r="R519" s="686"/>
      <c r="S519" s="686"/>
      <c r="T519" s="686"/>
      <c r="U519" s="686"/>
      <c r="V519" s="687"/>
      <c r="W519" s="37" t="s">
        <v>69</v>
      </c>
      <c r="X519" s="667">
        <f>IFERROR(SUM(X506:X517),"0")</f>
        <v>0</v>
      </c>
      <c r="Y519" s="667">
        <f>IFERROR(SUM(Y506:Y517),"0")</f>
        <v>0</v>
      </c>
      <c r="Z519" s="37"/>
      <c r="AA519" s="668"/>
      <c r="AB519" s="668"/>
      <c r="AC519" s="668"/>
    </row>
    <row r="520" spans="1:68" ht="14.25" customHeight="1" x14ac:dyDescent="0.25">
      <c r="A520" s="682" t="s">
        <v>64</v>
      </c>
      <c r="B520" s="680"/>
      <c r="C520" s="680"/>
      <c r="D520" s="680"/>
      <c r="E520" s="680"/>
      <c r="F520" s="680"/>
      <c r="G520" s="680"/>
      <c r="H520" s="680"/>
      <c r="I520" s="680"/>
      <c r="J520" s="680"/>
      <c r="K520" s="680"/>
      <c r="L520" s="680"/>
      <c r="M520" s="680"/>
      <c r="N520" s="680"/>
      <c r="O520" s="680"/>
      <c r="P520" s="680"/>
      <c r="Q520" s="680"/>
      <c r="R520" s="680"/>
      <c r="S520" s="680"/>
      <c r="T520" s="680"/>
      <c r="U520" s="680"/>
      <c r="V520" s="680"/>
      <c r="W520" s="680"/>
      <c r="X520" s="680"/>
      <c r="Y520" s="680"/>
      <c r="Z520" s="680"/>
      <c r="AA520" s="661"/>
      <c r="AB520" s="661"/>
      <c r="AC520" s="661"/>
    </row>
    <row r="521" spans="1:68" ht="16.5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93</v>
      </c>
      <c r="L521" s="32"/>
      <c r="M521" s="33" t="s">
        <v>100</v>
      </c>
      <c r="N521" s="33"/>
      <c r="O521" s="32">
        <v>45</v>
      </c>
      <c r="P521" s="72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93</v>
      </c>
      <c r="L522" s="32"/>
      <c r="M522" s="33" t="s">
        <v>68</v>
      </c>
      <c r="N522" s="33"/>
      <c r="O522" s="32">
        <v>45</v>
      </c>
      <c r="P522" s="74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100</v>
      </c>
      <c r="N523" s="33"/>
      <c r="O523" s="32">
        <v>45</v>
      </c>
      <c r="P523" s="79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79"/>
      <c r="B524" s="680"/>
      <c r="C524" s="680"/>
      <c r="D524" s="680"/>
      <c r="E524" s="680"/>
      <c r="F524" s="680"/>
      <c r="G524" s="680"/>
      <c r="H524" s="680"/>
      <c r="I524" s="680"/>
      <c r="J524" s="680"/>
      <c r="K524" s="680"/>
      <c r="L524" s="680"/>
      <c r="M524" s="680"/>
      <c r="N524" s="680"/>
      <c r="O524" s="681"/>
      <c r="P524" s="685" t="s">
        <v>80</v>
      </c>
      <c r="Q524" s="686"/>
      <c r="R524" s="686"/>
      <c r="S524" s="686"/>
      <c r="T524" s="686"/>
      <c r="U524" s="686"/>
      <c r="V524" s="687"/>
      <c r="W524" s="37" t="s">
        <v>81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x14ac:dyDescent="0.2">
      <c r="A525" s="680"/>
      <c r="B525" s="680"/>
      <c r="C525" s="680"/>
      <c r="D525" s="680"/>
      <c r="E525" s="680"/>
      <c r="F525" s="680"/>
      <c r="G525" s="680"/>
      <c r="H525" s="680"/>
      <c r="I525" s="680"/>
      <c r="J525" s="680"/>
      <c r="K525" s="680"/>
      <c r="L525" s="680"/>
      <c r="M525" s="680"/>
      <c r="N525" s="680"/>
      <c r="O525" s="681"/>
      <c r="P525" s="685" t="s">
        <v>80</v>
      </c>
      <c r="Q525" s="686"/>
      <c r="R525" s="686"/>
      <c r="S525" s="686"/>
      <c r="T525" s="686"/>
      <c r="U525" s="686"/>
      <c r="V525" s="687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customHeight="1" x14ac:dyDescent="0.25">
      <c r="A526" s="682" t="s">
        <v>170</v>
      </c>
      <c r="B526" s="680"/>
      <c r="C526" s="680"/>
      <c r="D526" s="680"/>
      <c r="E526" s="680"/>
      <c r="F526" s="680"/>
      <c r="G526" s="680"/>
      <c r="H526" s="680"/>
      <c r="I526" s="680"/>
      <c r="J526" s="680"/>
      <c r="K526" s="680"/>
      <c r="L526" s="680"/>
      <c r="M526" s="680"/>
      <c r="N526" s="680"/>
      <c r="O526" s="680"/>
      <c r="P526" s="680"/>
      <c r="Q526" s="680"/>
      <c r="R526" s="680"/>
      <c r="S526" s="680"/>
      <c r="T526" s="680"/>
      <c r="U526" s="680"/>
      <c r="V526" s="680"/>
      <c r="W526" s="680"/>
      <c r="X526" s="680"/>
      <c r="Y526" s="680"/>
      <c r="Z526" s="680"/>
      <c r="AA526" s="661"/>
      <c r="AB526" s="661"/>
      <c r="AC526" s="661"/>
    </row>
    <row r="527" spans="1:68" ht="37.5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93</v>
      </c>
      <c r="L527" s="32"/>
      <c r="M527" s="33" t="s">
        <v>68</v>
      </c>
      <c r="N527" s="33"/>
      <c r="O527" s="32">
        <v>35</v>
      </c>
      <c r="P527" s="743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93</v>
      </c>
      <c r="L528" s="32"/>
      <c r="M528" s="33" t="s">
        <v>68</v>
      </c>
      <c r="N528" s="33"/>
      <c r="O528" s="32">
        <v>35</v>
      </c>
      <c r="P528" s="1030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9"/>
      <c r="B529" s="680"/>
      <c r="C529" s="680"/>
      <c r="D529" s="680"/>
      <c r="E529" s="680"/>
      <c r="F529" s="680"/>
      <c r="G529" s="680"/>
      <c r="H529" s="680"/>
      <c r="I529" s="680"/>
      <c r="J529" s="680"/>
      <c r="K529" s="680"/>
      <c r="L529" s="680"/>
      <c r="M529" s="680"/>
      <c r="N529" s="680"/>
      <c r="O529" s="681"/>
      <c r="P529" s="685" t="s">
        <v>80</v>
      </c>
      <c r="Q529" s="686"/>
      <c r="R529" s="686"/>
      <c r="S529" s="686"/>
      <c r="T529" s="686"/>
      <c r="U529" s="686"/>
      <c r="V529" s="687"/>
      <c r="W529" s="37" t="s">
        <v>81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x14ac:dyDescent="0.2">
      <c r="A530" s="680"/>
      <c r="B530" s="680"/>
      <c r="C530" s="680"/>
      <c r="D530" s="680"/>
      <c r="E530" s="680"/>
      <c r="F530" s="680"/>
      <c r="G530" s="680"/>
      <c r="H530" s="680"/>
      <c r="I530" s="680"/>
      <c r="J530" s="680"/>
      <c r="K530" s="680"/>
      <c r="L530" s="680"/>
      <c r="M530" s="680"/>
      <c r="N530" s="680"/>
      <c r="O530" s="681"/>
      <c r="P530" s="685" t="s">
        <v>80</v>
      </c>
      <c r="Q530" s="686"/>
      <c r="R530" s="686"/>
      <c r="S530" s="686"/>
      <c r="T530" s="686"/>
      <c r="U530" s="686"/>
      <c r="V530" s="687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customHeight="1" x14ac:dyDescent="0.2">
      <c r="A531" s="800" t="s">
        <v>833</v>
      </c>
      <c r="B531" s="801"/>
      <c r="C531" s="801"/>
      <c r="D531" s="801"/>
      <c r="E531" s="801"/>
      <c r="F531" s="801"/>
      <c r="G531" s="801"/>
      <c r="H531" s="801"/>
      <c r="I531" s="801"/>
      <c r="J531" s="801"/>
      <c r="K531" s="801"/>
      <c r="L531" s="801"/>
      <c r="M531" s="801"/>
      <c r="N531" s="801"/>
      <c r="O531" s="801"/>
      <c r="P531" s="801"/>
      <c r="Q531" s="801"/>
      <c r="R531" s="801"/>
      <c r="S531" s="801"/>
      <c r="T531" s="801"/>
      <c r="U531" s="801"/>
      <c r="V531" s="801"/>
      <c r="W531" s="801"/>
      <c r="X531" s="801"/>
      <c r="Y531" s="801"/>
      <c r="Z531" s="801"/>
      <c r="AA531" s="48"/>
      <c r="AB531" s="48"/>
      <c r="AC531" s="48"/>
    </row>
    <row r="532" spans="1:68" ht="16.5" customHeight="1" x14ac:dyDescent="0.25">
      <c r="A532" s="716" t="s">
        <v>833</v>
      </c>
      <c r="B532" s="680"/>
      <c r="C532" s="680"/>
      <c r="D532" s="680"/>
      <c r="E532" s="680"/>
      <c r="F532" s="680"/>
      <c r="G532" s="680"/>
      <c r="H532" s="680"/>
      <c r="I532" s="680"/>
      <c r="J532" s="680"/>
      <c r="K532" s="680"/>
      <c r="L532" s="680"/>
      <c r="M532" s="680"/>
      <c r="N532" s="680"/>
      <c r="O532" s="680"/>
      <c r="P532" s="680"/>
      <c r="Q532" s="680"/>
      <c r="R532" s="680"/>
      <c r="S532" s="680"/>
      <c r="T532" s="680"/>
      <c r="U532" s="680"/>
      <c r="V532" s="680"/>
      <c r="W532" s="680"/>
      <c r="X532" s="680"/>
      <c r="Y532" s="680"/>
      <c r="Z532" s="680"/>
      <c r="AA532" s="660"/>
      <c r="AB532" s="660"/>
      <c r="AC532" s="660"/>
    </row>
    <row r="533" spans="1:68" ht="14.25" customHeight="1" x14ac:dyDescent="0.25">
      <c r="A533" s="682" t="s">
        <v>90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661"/>
      <c r="AB533" s="661"/>
      <c r="AC533" s="661"/>
    </row>
    <row r="534" spans="1:68" ht="27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93</v>
      </c>
      <c r="L534" s="32"/>
      <c r="M534" s="33" t="s">
        <v>100</v>
      </c>
      <c r="N534" s="33"/>
      <c r="O534" s="32">
        <v>55</v>
      </c>
      <c r="P534" s="1048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78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79">IFERROR(X534*I534/H534,"0")</f>
        <v>0</v>
      </c>
      <c r="BN534" s="64">
        <f t="shared" ref="BN534:BN539" si="80">IFERROR(Y534*I534/H534,"0")</f>
        <v>0</v>
      </c>
      <c r="BO534" s="64">
        <f t="shared" ref="BO534:BO539" si="81">IFERROR(1/J534*(X534/H534),"0")</f>
        <v>0</v>
      </c>
      <c r="BP534" s="64">
        <f t="shared" ref="BP534:BP539" si="82">IFERROR(1/J534*(Y534/H534),"0")</f>
        <v>0</v>
      </c>
    </row>
    <row r="535" spans="1:68" ht="27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93</v>
      </c>
      <c r="L535" s="32"/>
      <c r="M535" s="33" t="s">
        <v>94</v>
      </c>
      <c r="N535" s="33"/>
      <c r="O535" s="32">
        <v>50</v>
      </c>
      <c r="P535" s="909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78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79"/>
        <v>0</v>
      </c>
      <c r="BN535" s="64">
        <f t="shared" si="80"/>
        <v>0</v>
      </c>
      <c r="BO535" s="64">
        <f t="shared" si="81"/>
        <v>0</v>
      </c>
      <c r="BP535" s="64">
        <f t="shared" si="82"/>
        <v>0</v>
      </c>
    </row>
    <row r="536" spans="1:68" ht="27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93</v>
      </c>
      <c r="L536" s="32"/>
      <c r="M536" s="33" t="s">
        <v>94</v>
      </c>
      <c r="N536" s="33"/>
      <c r="O536" s="32">
        <v>50</v>
      </c>
      <c r="P536" s="1052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0</v>
      </c>
      <c r="Y536" s="666">
        <f t="shared" si="78"/>
        <v>0</v>
      </c>
      <c r="Z536" s="36" t="str">
        <f>IFERROR(IF(Y536=0,"",ROUNDUP(Y536/H536,0)*0.01898),"")</f>
        <v/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79"/>
        <v>0</v>
      </c>
      <c r="BN536" s="64">
        <f t="shared" si="80"/>
        <v>0</v>
      </c>
      <c r="BO536" s="64">
        <f t="shared" si="81"/>
        <v>0</v>
      </c>
      <c r="BP536" s="64">
        <f t="shared" si="82"/>
        <v>0</v>
      </c>
    </row>
    <row r="537" spans="1:68" ht="27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93</v>
      </c>
      <c r="L537" s="32"/>
      <c r="M537" s="33" t="s">
        <v>94</v>
      </c>
      <c r="N537" s="33"/>
      <c r="O537" s="32">
        <v>55</v>
      </c>
      <c r="P537" s="765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78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79"/>
        <v>0</v>
      </c>
      <c r="BN537" s="64">
        <f t="shared" si="80"/>
        <v>0</v>
      </c>
      <c r="BO537" s="64">
        <f t="shared" si="81"/>
        <v>0</v>
      </c>
      <c r="BP537" s="64">
        <f t="shared" si="82"/>
        <v>0</v>
      </c>
    </row>
    <row r="538" spans="1:68" ht="27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98</v>
      </c>
      <c r="L538" s="32"/>
      <c r="M538" s="33" t="s">
        <v>94</v>
      </c>
      <c r="N538" s="33"/>
      <c r="O538" s="32">
        <v>50</v>
      </c>
      <c r="P538" s="884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78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79"/>
        <v>0</v>
      </c>
      <c r="BN538" s="64">
        <f t="shared" si="80"/>
        <v>0</v>
      </c>
      <c r="BO538" s="64">
        <f t="shared" si="81"/>
        <v>0</v>
      </c>
      <c r="BP538" s="64">
        <f t="shared" si="82"/>
        <v>0</v>
      </c>
    </row>
    <row r="539" spans="1:68" ht="27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98</v>
      </c>
      <c r="L539" s="32"/>
      <c r="M539" s="33" t="s">
        <v>94</v>
      </c>
      <c r="N539" s="33"/>
      <c r="O539" s="32">
        <v>55</v>
      </c>
      <c r="P539" s="747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78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79"/>
        <v>0</v>
      </c>
      <c r="BN539" s="64">
        <f t="shared" si="80"/>
        <v>0</v>
      </c>
      <c r="BO539" s="64">
        <f t="shared" si="81"/>
        <v>0</v>
      </c>
      <c r="BP539" s="64">
        <f t="shared" si="82"/>
        <v>0</v>
      </c>
    </row>
    <row r="540" spans="1:68" x14ac:dyDescent="0.2">
      <c r="A540" s="679"/>
      <c r="B540" s="680"/>
      <c r="C540" s="680"/>
      <c r="D540" s="680"/>
      <c r="E540" s="680"/>
      <c r="F540" s="680"/>
      <c r="G540" s="680"/>
      <c r="H540" s="680"/>
      <c r="I540" s="680"/>
      <c r="J540" s="680"/>
      <c r="K540" s="680"/>
      <c r="L540" s="680"/>
      <c r="M540" s="680"/>
      <c r="N540" s="680"/>
      <c r="O540" s="681"/>
      <c r="P540" s="685" t="s">
        <v>80</v>
      </c>
      <c r="Q540" s="686"/>
      <c r="R540" s="686"/>
      <c r="S540" s="686"/>
      <c r="T540" s="686"/>
      <c r="U540" s="686"/>
      <c r="V540" s="687"/>
      <c r="W540" s="37" t="s">
        <v>81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x14ac:dyDescent="0.2">
      <c r="A541" s="680"/>
      <c r="B541" s="680"/>
      <c r="C541" s="680"/>
      <c r="D541" s="680"/>
      <c r="E541" s="680"/>
      <c r="F541" s="680"/>
      <c r="G541" s="680"/>
      <c r="H541" s="680"/>
      <c r="I541" s="680"/>
      <c r="J541" s="680"/>
      <c r="K541" s="680"/>
      <c r="L541" s="680"/>
      <c r="M541" s="680"/>
      <c r="N541" s="680"/>
      <c r="O541" s="681"/>
      <c r="P541" s="685" t="s">
        <v>80</v>
      </c>
      <c r="Q541" s="686"/>
      <c r="R541" s="686"/>
      <c r="S541" s="686"/>
      <c r="T541" s="686"/>
      <c r="U541" s="686"/>
      <c r="V541" s="687"/>
      <c r="W541" s="37" t="s">
        <v>69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customHeight="1" x14ac:dyDescent="0.25">
      <c r="A542" s="682" t="s">
        <v>133</v>
      </c>
      <c r="B542" s="680"/>
      <c r="C542" s="680"/>
      <c r="D542" s="680"/>
      <c r="E542" s="680"/>
      <c r="F542" s="680"/>
      <c r="G542" s="680"/>
      <c r="H542" s="680"/>
      <c r="I542" s="680"/>
      <c r="J542" s="680"/>
      <c r="K542" s="680"/>
      <c r="L542" s="680"/>
      <c r="M542" s="680"/>
      <c r="N542" s="680"/>
      <c r="O542" s="680"/>
      <c r="P542" s="680"/>
      <c r="Q542" s="680"/>
      <c r="R542" s="680"/>
      <c r="S542" s="680"/>
      <c r="T542" s="680"/>
      <c r="U542" s="680"/>
      <c r="V542" s="680"/>
      <c r="W542" s="680"/>
      <c r="X542" s="680"/>
      <c r="Y542" s="680"/>
      <c r="Z542" s="680"/>
      <c r="AA542" s="661"/>
      <c r="AB542" s="661"/>
      <c r="AC542" s="661"/>
    </row>
    <row r="543" spans="1:68" ht="27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93</v>
      </c>
      <c r="L543" s="32"/>
      <c r="M543" s="33" t="s">
        <v>100</v>
      </c>
      <c r="N543" s="33"/>
      <c r="O543" s="32">
        <v>50</v>
      </c>
      <c r="P543" s="865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93</v>
      </c>
      <c r="L544" s="32"/>
      <c r="M544" s="33" t="s">
        <v>94</v>
      </c>
      <c r="N544" s="33"/>
      <c r="O544" s="32">
        <v>50</v>
      </c>
      <c r="P544" s="843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93</v>
      </c>
      <c r="L545" s="32"/>
      <c r="M545" s="33" t="s">
        <v>94</v>
      </c>
      <c r="N545" s="33"/>
      <c r="O545" s="32">
        <v>50</v>
      </c>
      <c r="P545" s="872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93</v>
      </c>
      <c r="L546" s="32"/>
      <c r="M546" s="33" t="s">
        <v>94</v>
      </c>
      <c r="N546" s="33"/>
      <c r="O546" s="32">
        <v>50</v>
      </c>
      <c r="P546" s="790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98</v>
      </c>
      <c r="L547" s="32"/>
      <c r="M547" s="33" t="s">
        <v>94</v>
      </c>
      <c r="N547" s="33"/>
      <c r="O547" s="32">
        <v>50</v>
      </c>
      <c r="P547" s="972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79"/>
      <c r="B548" s="680"/>
      <c r="C548" s="680"/>
      <c r="D548" s="680"/>
      <c r="E548" s="680"/>
      <c r="F548" s="680"/>
      <c r="G548" s="680"/>
      <c r="H548" s="680"/>
      <c r="I548" s="680"/>
      <c r="J548" s="680"/>
      <c r="K548" s="680"/>
      <c r="L548" s="680"/>
      <c r="M548" s="680"/>
      <c r="N548" s="680"/>
      <c r="O548" s="681"/>
      <c r="P548" s="685" t="s">
        <v>80</v>
      </c>
      <c r="Q548" s="686"/>
      <c r="R548" s="686"/>
      <c r="S548" s="686"/>
      <c r="T548" s="686"/>
      <c r="U548" s="686"/>
      <c r="V548" s="687"/>
      <c r="W548" s="37" t="s">
        <v>81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x14ac:dyDescent="0.2">
      <c r="A549" s="680"/>
      <c r="B549" s="680"/>
      <c r="C549" s="680"/>
      <c r="D549" s="680"/>
      <c r="E549" s="680"/>
      <c r="F549" s="680"/>
      <c r="G549" s="680"/>
      <c r="H549" s="680"/>
      <c r="I549" s="680"/>
      <c r="J549" s="680"/>
      <c r="K549" s="680"/>
      <c r="L549" s="680"/>
      <c r="M549" s="680"/>
      <c r="N549" s="680"/>
      <c r="O549" s="681"/>
      <c r="P549" s="685" t="s">
        <v>80</v>
      </c>
      <c r="Q549" s="686"/>
      <c r="R549" s="686"/>
      <c r="S549" s="686"/>
      <c r="T549" s="686"/>
      <c r="U549" s="686"/>
      <c r="V549" s="687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customHeight="1" x14ac:dyDescent="0.25">
      <c r="A550" s="682" t="s">
        <v>144</v>
      </c>
      <c r="B550" s="680"/>
      <c r="C550" s="680"/>
      <c r="D550" s="680"/>
      <c r="E550" s="680"/>
      <c r="F550" s="680"/>
      <c r="G550" s="680"/>
      <c r="H550" s="680"/>
      <c r="I550" s="680"/>
      <c r="J550" s="680"/>
      <c r="K550" s="680"/>
      <c r="L550" s="680"/>
      <c r="M550" s="680"/>
      <c r="N550" s="680"/>
      <c r="O550" s="680"/>
      <c r="P550" s="680"/>
      <c r="Q550" s="680"/>
      <c r="R550" s="680"/>
      <c r="S550" s="680"/>
      <c r="T550" s="680"/>
      <c r="U550" s="680"/>
      <c r="V550" s="680"/>
      <c r="W550" s="680"/>
      <c r="X550" s="680"/>
      <c r="Y550" s="680"/>
      <c r="Z550" s="680"/>
      <c r="AA550" s="661"/>
      <c r="AB550" s="661"/>
      <c r="AC550" s="661"/>
    </row>
    <row r="551" spans="1:68" ht="27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98</v>
      </c>
      <c r="L551" s="32"/>
      <c r="M551" s="33" t="s">
        <v>68</v>
      </c>
      <c r="N551" s="33"/>
      <c r="O551" s="32">
        <v>40</v>
      </c>
      <c r="P551" s="952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0</v>
      </c>
      <c r="Y551" s="666">
        <f t="shared" ref="Y551:Y557" si="83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4">IFERROR(X551*I551/H551,"0")</f>
        <v>0</v>
      </c>
      <c r="BN551" s="64">
        <f t="shared" ref="BN551:BN557" si="85">IFERROR(Y551*I551/H551,"0")</f>
        <v>0</v>
      </c>
      <c r="BO551" s="64">
        <f t="shared" ref="BO551:BO557" si="86">IFERROR(1/J551*(X551/H551),"0")</f>
        <v>0</v>
      </c>
      <c r="BP551" s="64">
        <f t="shared" ref="BP551:BP557" si="87">IFERROR(1/J551*(Y551/H551),"0")</f>
        <v>0</v>
      </c>
    </row>
    <row r="552" spans="1:68" ht="27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98</v>
      </c>
      <c r="L552" s="32"/>
      <c r="M552" s="33" t="s">
        <v>68</v>
      </c>
      <c r="N552" s="33"/>
      <c r="O552" s="32">
        <v>40</v>
      </c>
      <c r="P552" s="714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0</v>
      </c>
      <c r="Y552" s="666">
        <f t="shared" si="83"/>
        <v>0</v>
      </c>
      <c r="Z552" s="36" t="str">
        <f>IFERROR(IF(Y552=0,"",ROUNDUP(Y552/H552,0)*0.00902),"")</f>
        <v/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4"/>
        <v>0</v>
      </c>
      <c r="BN552" s="64">
        <f t="shared" si="85"/>
        <v>0</v>
      </c>
      <c r="BO552" s="64">
        <f t="shared" si="86"/>
        <v>0</v>
      </c>
      <c r="BP552" s="64">
        <f t="shared" si="87"/>
        <v>0</v>
      </c>
    </row>
    <row r="553" spans="1:68" ht="27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98</v>
      </c>
      <c r="L553" s="32"/>
      <c r="M553" s="33" t="s">
        <v>68</v>
      </c>
      <c r="N553" s="33"/>
      <c r="O553" s="32">
        <v>45</v>
      </c>
      <c r="P553" s="755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3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4"/>
        <v>0</v>
      </c>
      <c r="BN553" s="64">
        <f t="shared" si="85"/>
        <v>0</v>
      </c>
      <c r="BO553" s="64">
        <f t="shared" si="86"/>
        <v>0</v>
      </c>
      <c r="BP553" s="64">
        <f t="shared" si="87"/>
        <v>0</v>
      </c>
    </row>
    <row r="554" spans="1:68" ht="27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98</v>
      </c>
      <c r="L554" s="32"/>
      <c r="M554" s="33" t="s">
        <v>68</v>
      </c>
      <c r="N554" s="33"/>
      <c r="O554" s="32">
        <v>45</v>
      </c>
      <c r="P554" s="926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3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4"/>
        <v>0</v>
      </c>
      <c r="BN554" s="64">
        <f t="shared" si="85"/>
        <v>0</v>
      </c>
      <c r="BO554" s="64">
        <f t="shared" si="86"/>
        <v>0</v>
      </c>
      <c r="BP554" s="64">
        <f t="shared" si="87"/>
        <v>0</v>
      </c>
    </row>
    <row r="555" spans="1:68" ht="27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98</v>
      </c>
      <c r="L555" s="32"/>
      <c r="M555" s="33" t="s">
        <v>68</v>
      </c>
      <c r="N555" s="33"/>
      <c r="O555" s="32">
        <v>45</v>
      </c>
      <c r="P555" s="956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3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4"/>
        <v>0</v>
      </c>
      <c r="BN555" s="64">
        <f t="shared" si="85"/>
        <v>0</v>
      </c>
      <c r="BO555" s="64">
        <f t="shared" si="86"/>
        <v>0</v>
      </c>
      <c r="BP555" s="64">
        <f t="shared" si="87"/>
        <v>0</v>
      </c>
    </row>
    <row r="556" spans="1:68" ht="27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147</v>
      </c>
      <c r="L556" s="32"/>
      <c r="M556" s="33" t="s">
        <v>68</v>
      </c>
      <c r="N556" s="33"/>
      <c r="O556" s="32">
        <v>40</v>
      </c>
      <c r="P556" s="788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3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4"/>
        <v>0</v>
      </c>
      <c r="BN556" s="64">
        <f t="shared" si="85"/>
        <v>0</v>
      </c>
      <c r="BO556" s="64">
        <f t="shared" si="86"/>
        <v>0</v>
      </c>
      <c r="BP556" s="64">
        <f t="shared" si="87"/>
        <v>0</v>
      </c>
    </row>
    <row r="557" spans="1:68" ht="27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147</v>
      </c>
      <c r="L557" s="32"/>
      <c r="M557" s="33" t="s">
        <v>68</v>
      </c>
      <c r="N557" s="33"/>
      <c r="O557" s="32">
        <v>40</v>
      </c>
      <c r="P557" s="961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3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4"/>
        <v>0</v>
      </c>
      <c r="BN557" s="64">
        <f t="shared" si="85"/>
        <v>0</v>
      </c>
      <c r="BO557" s="64">
        <f t="shared" si="86"/>
        <v>0</v>
      </c>
      <c r="BP557" s="64">
        <f t="shared" si="87"/>
        <v>0</v>
      </c>
    </row>
    <row r="558" spans="1:68" x14ac:dyDescent="0.2">
      <c r="A558" s="679"/>
      <c r="B558" s="680"/>
      <c r="C558" s="680"/>
      <c r="D558" s="680"/>
      <c r="E558" s="680"/>
      <c r="F558" s="680"/>
      <c r="G558" s="680"/>
      <c r="H558" s="680"/>
      <c r="I558" s="680"/>
      <c r="J558" s="680"/>
      <c r="K558" s="680"/>
      <c r="L558" s="680"/>
      <c r="M558" s="680"/>
      <c r="N558" s="680"/>
      <c r="O558" s="681"/>
      <c r="P558" s="685" t="s">
        <v>80</v>
      </c>
      <c r="Q558" s="686"/>
      <c r="R558" s="686"/>
      <c r="S558" s="686"/>
      <c r="T558" s="686"/>
      <c r="U558" s="686"/>
      <c r="V558" s="687"/>
      <c r="W558" s="37" t="s">
        <v>81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x14ac:dyDescent="0.2">
      <c r="A559" s="680"/>
      <c r="B559" s="680"/>
      <c r="C559" s="680"/>
      <c r="D559" s="680"/>
      <c r="E559" s="680"/>
      <c r="F559" s="680"/>
      <c r="G559" s="680"/>
      <c r="H559" s="680"/>
      <c r="I559" s="680"/>
      <c r="J559" s="680"/>
      <c r="K559" s="680"/>
      <c r="L559" s="680"/>
      <c r="M559" s="680"/>
      <c r="N559" s="680"/>
      <c r="O559" s="681"/>
      <c r="P559" s="685" t="s">
        <v>80</v>
      </c>
      <c r="Q559" s="686"/>
      <c r="R559" s="686"/>
      <c r="S559" s="686"/>
      <c r="T559" s="686"/>
      <c r="U559" s="686"/>
      <c r="V559" s="687"/>
      <c r="W559" s="37" t="s">
        <v>69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customHeight="1" x14ac:dyDescent="0.25">
      <c r="A560" s="682" t="s">
        <v>64</v>
      </c>
      <c r="B560" s="680"/>
      <c r="C560" s="680"/>
      <c r="D560" s="680"/>
      <c r="E560" s="680"/>
      <c r="F560" s="680"/>
      <c r="G560" s="680"/>
      <c r="H560" s="680"/>
      <c r="I560" s="680"/>
      <c r="J560" s="680"/>
      <c r="K560" s="680"/>
      <c r="L560" s="680"/>
      <c r="M560" s="680"/>
      <c r="N560" s="680"/>
      <c r="O560" s="680"/>
      <c r="P560" s="680"/>
      <c r="Q560" s="680"/>
      <c r="R560" s="680"/>
      <c r="S560" s="680"/>
      <c r="T560" s="680"/>
      <c r="U560" s="680"/>
      <c r="V560" s="680"/>
      <c r="W560" s="680"/>
      <c r="X560" s="680"/>
      <c r="Y560" s="680"/>
      <c r="Z560" s="680"/>
      <c r="AA560" s="661"/>
      <c r="AB560" s="661"/>
      <c r="AC560" s="661"/>
    </row>
    <row r="561" spans="1:68" ht="27" customHeight="1" x14ac:dyDescent="0.25">
      <c r="A561" s="54" t="s">
        <v>899</v>
      </c>
      <c r="B561" s="54" t="s">
        <v>900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93</v>
      </c>
      <c r="L561" s="32"/>
      <c r="M561" s="33" t="s">
        <v>129</v>
      </c>
      <c r="N561" s="33"/>
      <c r="O561" s="32">
        <v>45</v>
      </c>
      <c r="P561" s="906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899</v>
      </c>
      <c r="B562" s="54" t="s">
        <v>903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93</v>
      </c>
      <c r="L562" s="32"/>
      <c r="M562" s="33" t="s">
        <v>100</v>
      </c>
      <c r="N562" s="33"/>
      <c r="O562" s="32">
        <v>45</v>
      </c>
      <c r="P562" s="689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93</v>
      </c>
      <c r="L563" s="32"/>
      <c r="M563" s="33" t="s">
        <v>100</v>
      </c>
      <c r="N563" s="33"/>
      <c r="O563" s="32">
        <v>45</v>
      </c>
      <c r="P563" s="733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129</v>
      </c>
      <c r="N564" s="33"/>
      <c r="O564" s="32">
        <v>45</v>
      </c>
      <c r="P564" s="896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129</v>
      </c>
      <c r="N565" s="33"/>
      <c r="O565" s="32">
        <v>45</v>
      </c>
      <c r="P565" s="741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79"/>
      <c r="B566" s="680"/>
      <c r="C566" s="680"/>
      <c r="D566" s="680"/>
      <c r="E566" s="680"/>
      <c r="F566" s="680"/>
      <c r="G566" s="680"/>
      <c r="H566" s="680"/>
      <c r="I566" s="680"/>
      <c r="J566" s="680"/>
      <c r="K566" s="680"/>
      <c r="L566" s="680"/>
      <c r="M566" s="680"/>
      <c r="N566" s="680"/>
      <c r="O566" s="681"/>
      <c r="P566" s="685" t="s">
        <v>80</v>
      </c>
      <c r="Q566" s="686"/>
      <c r="R566" s="686"/>
      <c r="S566" s="686"/>
      <c r="T566" s="686"/>
      <c r="U566" s="686"/>
      <c r="V566" s="687"/>
      <c r="W566" s="37" t="s">
        <v>81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x14ac:dyDescent="0.2">
      <c r="A567" s="680"/>
      <c r="B567" s="680"/>
      <c r="C567" s="680"/>
      <c r="D567" s="680"/>
      <c r="E567" s="680"/>
      <c r="F567" s="680"/>
      <c r="G567" s="680"/>
      <c r="H567" s="680"/>
      <c r="I567" s="680"/>
      <c r="J567" s="680"/>
      <c r="K567" s="680"/>
      <c r="L567" s="680"/>
      <c r="M567" s="680"/>
      <c r="N567" s="680"/>
      <c r="O567" s="681"/>
      <c r="P567" s="685" t="s">
        <v>80</v>
      </c>
      <c r="Q567" s="686"/>
      <c r="R567" s="686"/>
      <c r="S567" s="686"/>
      <c r="T567" s="686"/>
      <c r="U567" s="686"/>
      <c r="V567" s="687"/>
      <c r="W567" s="37" t="s">
        <v>69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customHeight="1" x14ac:dyDescent="0.25">
      <c r="A568" s="682" t="s">
        <v>170</v>
      </c>
      <c r="B568" s="680"/>
      <c r="C568" s="680"/>
      <c r="D568" s="680"/>
      <c r="E568" s="680"/>
      <c r="F568" s="680"/>
      <c r="G568" s="680"/>
      <c r="H568" s="680"/>
      <c r="I568" s="680"/>
      <c r="J568" s="680"/>
      <c r="K568" s="680"/>
      <c r="L568" s="680"/>
      <c r="M568" s="680"/>
      <c r="N568" s="680"/>
      <c r="O568" s="680"/>
      <c r="P568" s="680"/>
      <c r="Q568" s="680"/>
      <c r="R568" s="680"/>
      <c r="S568" s="680"/>
      <c r="T568" s="680"/>
      <c r="U568" s="680"/>
      <c r="V568" s="680"/>
      <c r="W568" s="680"/>
      <c r="X568" s="680"/>
      <c r="Y568" s="680"/>
      <c r="Z568" s="680"/>
      <c r="AA568" s="661"/>
      <c r="AB568" s="661"/>
      <c r="AC568" s="661"/>
    </row>
    <row r="569" spans="1:68" ht="27" customHeight="1" x14ac:dyDescent="0.25">
      <c r="A569" s="54" t="s">
        <v>914</v>
      </c>
      <c r="B569" s="54" t="s">
        <v>915</v>
      </c>
      <c r="C569" s="31">
        <v>4301060485</v>
      </c>
      <c r="D569" s="669">
        <v>4640242180120</v>
      </c>
      <c r="E569" s="670"/>
      <c r="F569" s="664">
        <v>1.3</v>
      </c>
      <c r="G569" s="32">
        <v>6</v>
      </c>
      <c r="H569" s="664">
        <v>7.8</v>
      </c>
      <c r="I569" s="664">
        <v>8.2349999999999994</v>
      </c>
      <c r="J569" s="32">
        <v>64</v>
      </c>
      <c r="K569" s="32" t="s">
        <v>93</v>
      </c>
      <c r="L569" s="32"/>
      <c r="M569" s="33" t="s">
        <v>100</v>
      </c>
      <c r="N569" s="33"/>
      <c r="O569" s="32">
        <v>40</v>
      </c>
      <c r="P569" s="943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914</v>
      </c>
      <c r="B570" s="54" t="s">
        <v>918</v>
      </c>
      <c r="C570" s="31">
        <v>4301060496</v>
      </c>
      <c r="D570" s="669">
        <v>4640242180120</v>
      </c>
      <c r="E570" s="670"/>
      <c r="F570" s="664">
        <v>1.5</v>
      </c>
      <c r="G570" s="32">
        <v>6</v>
      </c>
      <c r="H570" s="664">
        <v>9</v>
      </c>
      <c r="I570" s="664">
        <v>9.4350000000000005</v>
      </c>
      <c r="J570" s="32">
        <v>64</v>
      </c>
      <c r="K570" s="32" t="s">
        <v>93</v>
      </c>
      <c r="L570" s="32"/>
      <c r="M570" s="33" t="s">
        <v>129</v>
      </c>
      <c r="N570" s="33"/>
      <c r="O570" s="32">
        <v>40</v>
      </c>
      <c r="P570" s="725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920</v>
      </c>
      <c r="B571" s="54" t="s">
        <v>921</v>
      </c>
      <c r="C571" s="31">
        <v>4301060486</v>
      </c>
      <c r="D571" s="669">
        <v>4640242180137</v>
      </c>
      <c r="E571" s="670"/>
      <c r="F571" s="664">
        <v>1.3</v>
      </c>
      <c r="G571" s="32">
        <v>6</v>
      </c>
      <c r="H571" s="664">
        <v>7.8</v>
      </c>
      <c r="I571" s="664">
        <v>8.2349999999999994</v>
      </c>
      <c r="J571" s="32">
        <v>64</v>
      </c>
      <c r="K571" s="32" t="s">
        <v>93</v>
      </c>
      <c r="L571" s="32"/>
      <c r="M571" s="33" t="s">
        <v>100</v>
      </c>
      <c r="N571" s="33"/>
      <c r="O571" s="32">
        <v>40</v>
      </c>
      <c r="P571" s="764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customHeight="1" x14ac:dyDescent="0.25">
      <c r="A572" s="54" t="s">
        <v>920</v>
      </c>
      <c r="B572" s="54" t="s">
        <v>924</v>
      </c>
      <c r="C572" s="31">
        <v>4301060498</v>
      </c>
      <c r="D572" s="669">
        <v>4640242180137</v>
      </c>
      <c r="E572" s="670"/>
      <c r="F572" s="664">
        <v>1.5</v>
      </c>
      <c r="G572" s="32">
        <v>6</v>
      </c>
      <c r="H572" s="664">
        <v>9</v>
      </c>
      <c r="I572" s="664">
        <v>9.4350000000000005</v>
      </c>
      <c r="J572" s="32">
        <v>64</v>
      </c>
      <c r="K572" s="32" t="s">
        <v>93</v>
      </c>
      <c r="L572" s="32"/>
      <c r="M572" s="33" t="s">
        <v>129</v>
      </c>
      <c r="N572" s="33"/>
      <c r="O572" s="32">
        <v>40</v>
      </c>
      <c r="P572" s="768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x14ac:dyDescent="0.2">
      <c r="A573" s="679"/>
      <c r="B573" s="680"/>
      <c r="C573" s="680"/>
      <c r="D573" s="680"/>
      <c r="E573" s="680"/>
      <c r="F573" s="680"/>
      <c r="G573" s="680"/>
      <c r="H573" s="680"/>
      <c r="I573" s="680"/>
      <c r="J573" s="680"/>
      <c r="K573" s="680"/>
      <c r="L573" s="680"/>
      <c r="M573" s="680"/>
      <c r="N573" s="680"/>
      <c r="O573" s="681"/>
      <c r="P573" s="685" t="s">
        <v>80</v>
      </c>
      <c r="Q573" s="686"/>
      <c r="R573" s="686"/>
      <c r="S573" s="686"/>
      <c r="T573" s="686"/>
      <c r="U573" s="686"/>
      <c r="V573" s="687"/>
      <c r="W573" s="37" t="s">
        <v>81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x14ac:dyDescent="0.2">
      <c r="A574" s="680"/>
      <c r="B574" s="680"/>
      <c r="C574" s="680"/>
      <c r="D574" s="680"/>
      <c r="E574" s="680"/>
      <c r="F574" s="680"/>
      <c r="G574" s="680"/>
      <c r="H574" s="680"/>
      <c r="I574" s="680"/>
      <c r="J574" s="680"/>
      <c r="K574" s="680"/>
      <c r="L574" s="680"/>
      <c r="M574" s="680"/>
      <c r="N574" s="680"/>
      <c r="O574" s="681"/>
      <c r="P574" s="685" t="s">
        <v>80</v>
      </c>
      <c r="Q574" s="686"/>
      <c r="R574" s="686"/>
      <c r="S574" s="686"/>
      <c r="T574" s="686"/>
      <c r="U574" s="686"/>
      <c r="V574" s="687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customHeight="1" x14ac:dyDescent="0.25">
      <c r="A575" s="716" t="s">
        <v>926</v>
      </c>
      <c r="B575" s="680"/>
      <c r="C575" s="680"/>
      <c r="D575" s="680"/>
      <c r="E575" s="680"/>
      <c r="F575" s="680"/>
      <c r="G575" s="680"/>
      <c r="H575" s="680"/>
      <c r="I575" s="680"/>
      <c r="J575" s="680"/>
      <c r="K575" s="680"/>
      <c r="L575" s="680"/>
      <c r="M575" s="680"/>
      <c r="N575" s="680"/>
      <c r="O575" s="680"/>
      <c r="P575" s="680"/>
      <c r="Q575" s="680"/>
      <c r="R575" s="680"/>
      <c r="S575" s="680"/>
      <c r="T575" s="680"/>
      <c r="U575" s="680"/>
      <c r="V575" s="680"/>
      <c r="W575" s="680"/>
      <c r="X575" s="680"/>
      <c r="Y575" s="680"/>
      <c r="Z575" s="680"/>
      <c r="AA575" s="660"/>
      <c r="AB575" s="660"/>
      <c r="AC575" s="660"/>
    </row>
    <row r="576" spans="1:68" ht="14.25" customHeight="1" x14ac:dyDescent="0.25">
      <c r="A576" s="682" t="s">
        <v>90</v>
      </c>
      <c r="B576" s="680"/>
      <c r="C576" s="680"/>
      <c r="D576" s="680"/>
      <c r="E576" s="680"/>
      <c r="F576" s="680"/>
      <c r="G576" s="680"/>
      <c r="H576" s="680"/>
      <c r="I576" s="680"/>
      <c r="J576" s="680"/>
      <c r="K576" s="680"/>
      <c r="L576" s="680"/>
      <c r="M576" s="680"/>
      <c r="N576" s="680"/>
      <c r="O576" s="680"/>
      <c r="P576" s="680"/>
      <c r="Q576" s="680"/>
      <c r="R576" s="680"/>
      <c r="S576" s="680"/>
      <c r="T576" s="680"/>
      <c r="U576" s="680"/>
      <c r="V576" s="680"/>
      <c r="W576" s="680"/>
      <c r="X576" s="680"/>
      <c r="Y576" s="680"/>
      <c r="Z576" s="680"/>
      <c r="AA576" s="661"/>
      <c r="AB576" s="661"/>
      <c r="AC576" s="661"/>
    </row>
    <row r="577" spans="1:68" ht="27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93</v>
      </c>
      <c r="L577" s="32"/>
      <c r="M577" s="33" t="s">
        <v>94</v>
      </c>
      <c r="N577" s="33"/>
      <c r="O577" s="32">
        <v>55</v>
      </c>
      <c r="P577" s="976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x14ac:dyDescent="0.2">
      <c r="A578" s="679"/>
      <c r="B578" s="680"/>
      <c r="C578" s="680"/>
      <c r="D578" s="680"/>
      <c r="E578" s="680"/>
      <c r="F578" s="680"/>
      <c r="G578" s="680"/>
      <c r="H578" s="680"/>
      <c r="I578" s="680"/>
      <c r="J578" s="680"/>
      <c r="K578" s="680"/>
      <c r="L578" s="680"/>
      <c r="M578" s="680"/>
      <c r="N578" s="680"/>
      <c r="O578" s="681"/>
      <c r="P578" s="685" t="s">
        <v>80</v>
      </c>
      <c r="Q578" s="686"/>
      <c r="R578" s="686"/>
      <c r="S578" s="686"/>
      <c r="T578" s="686"/>
      <c r="U578" s="686"/>
      <c r="V578" s="687"/>
      <c r="W578" s="37" t="s">
        <v>81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x14ac:dyDescent="0.2">
      <c r="A579" s="680"/>
      <c r="B579" s="680"/>
      <c r="C579" s="680"/>
      <c r="D579" s="680"/>
      <c r="E579" s="680"/>
      <c r="F579" s="680"/>
      <c r="G579" s="680"/>
      <c r="H579" s="680"/>
      <c r="I579" s="680"/>
      <c r="J579" s="680"/>
      <c r="K579" s="680"/>
      <c r="L579" s="680"/>
      <c r="M579" s="680"/>
      <c r="N579" s="680"/>
      <c r="O579" s="681"/>
      <c r="P579" s="685" t="s">
        <v>80</v>
      </c>
      <c r="Q579" s="686"/>
      <c r="R579" s="686"/>
      <c r="S579" s="686"/>
      <c r="T579" s="686"/>
      <c r="U579" s="686"/>
      <c r="V579" s="687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customHeight="1" x14ac:dyDescent="0.25">
      <c r="A580" s="682" t="s">
        <v>133</v>
      </c>
      <c r="B580" s="680"/>
      <c r="C580" s="680"/>
      <c r="D580" s="680"/>
      <c r="E580" s="680"/>
      <c r="F580" s="680"/>
      <c r="G580" s="680"/>
      <c r="H580" s="680"/>
      <c r="I580" s="680"/>
      <c r="J580" s="680"/>
      <c r="K580" s="680"/>
      <c r="L580" s="680"/>
      <c r="M580" s="680"/>
      <c r="N580" s="680"/>
      <c r="O580" s="680"/>
      <c r="P580" s="680"/>
      <c r="Q580" s="680"/>
      <c r="R580" s="680"/>
      <c r="S580" s="680"/>
      <c r="T580" s="680"/>
      <c r="U580" s="680"/>
      <c r="V580" s="680"/>
      <c r="W580" s="680"/>
      <c r="X580" s="680"/>
      <c r="Y580" s="680"/>
      <c r="Z580" s="680"/>
      <c r="AA580" s="661"/>
      <c r="AB580" s="661"/>
      <c r="AC580" s="661"/>
    </row>
    <row r="581" spans="1:68" ht="27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93</v>
      </c>
      <c r="L581" s="32"/>
      <c r="M581" s="33" t="s">
        <v>94</v>
      </c>
      <c r="N581" s="33"/>
      <c r="O581" s="32">
        <v>50</v>
      </c>
      <c r="P581" s="844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9"/>
      <c r="B582" s="680"/>
      <c r="C582" s="680"/>
      <c r="D582" s="680"/>
      <c r="E582" s="680"/>
      <c r="F582" s="680"/>
      <c r="G582" s="680"/>
      <c r="H582" s="680"/>
      <c r="I582" s="680"/>
      <c r="J582" s="680"/>
      <c r="K582" s="680"/>
      <c r="L582" s="680"/>
      <c r="M582" s="680"/>
      <c r="N582" s="680"/>
      <c r="O582" s="681"/>
      <c r="P582" s="685" t="s">
        <v>80</v>
      </c>
      <c r="Q582" s="686"/>
      <c r="R582" s="686"/>
      <c r="S582" s="686"/>
      <c r="T582" s="686"/>
      <c r="U582" s="686"/>
      <c r="V582" s="687"/>
      <c r="W582" s="37" t="s">
        <v>81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x14ac:dyDescent="0.2">
      <c r="A583" s="680"/>
      <c r="B583" s="680"/>
      <c r="C583" s="680"/>
      <c r="D583" s="680"/>
      <c r="E583" s="680"/>
      <c r="F583" s="680"/>
      <c r="G583" s="680"/>
      <c r="H583" s="680"/>
      <c r="I583" s="680"/>
      <c r="J583" s="680"/>
      <c r="K583" s="680"/>
      <c r="L583" s="680"/>
      <c r="M583" s="680"/>
      <c r="N583" s="680"/>
      <c r="O583" s="681"/>
      <c r="P583" s="685" t="s">
        <v>80</v>
      </c>
      <c r="Q583" s="686"/>
      <c r="R583" s="686"/>
      <c r="S583" s="686"/>
      <c r="T583" s="686"/>
      <c r="U583" s="686"/>
      <c r="V583" s="687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customHeight="1" x14ac:dyDescent="0.25">
      <c r="A584" s="682" t="s">
        <v>144</v>
      </c>
      <c r="B584" s="680"/>
      <c r="C584" s="680"/>
      <c r="D584" s="680"/>
      <c r="E584" s="680"/>
      <c r="F584" s="680"/>
      <c r="G584" s="680"/>
      <c r="H584" s="680"/>
      <c r="I584" s="680"/>
      <c r="J584" s="680"/>
      <c r="K584" s="680"/>
      <c r="L584" s="680"/>
      <c r="M584" s="680"/>
      <c r="N584" s="680"/>
      <c r="O584" s="680"/>
      <c r="P584" s="680"/>
      <c r="Q584" s="680"/>
      <c r="R584" s="680"/>
      <c r="S584" s="680"/>
      <c r="T584" s="680"/>
      <c r="U584" s="680"/>
      <c r="V584" s="680"/>
      <c r="W584" s="680"/>
      <c r="X584" s="680"/>
      <c r="Y584" s="680"/>
      <c r="Z584" s="680"/>
      <c r="AA584" s="661"/>
      <c r="AB584" s="661"/>
      <c r="AC584" s="661"/>
    </row>
    <row r="585" spans="1:68" ht="27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98</v>
      </c>
      <c r="L585" s="32"/>
      <c r="M585" s="33" t="s">
        <v>68</v>
      </c>
      <c r="N585" s="33"/>
      <c r="O585" s="32">
        <v>40</v>
      </c>
      <c r="P585" s="794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9"/>
      <c r="B586" s="680"/>
      <c r="C586" s="680"/>
      <c r="D586" s="680"/>
      <c r="E586" s="680"/>
      <c r="F586" s="680"/>
      <c r="G586" s="680"/>
      <c r="H586" s="680"/>
      <c r="I586" s="680"/>
      <c r="J586" s="680"/>
      <c r="K586" s="680"/>
      <c r="L586" s="680"/>
      <c r="M586" s="680"/>
      <c r="N586" s="680"/>
      <c r="O586" s="681"/>
      <c r="P586" s="685" t="s">
        <v>80</v>
      </c>
      <c r="Q586" s="686"/>
      <c r="R586" s="686"/>
      <c r="S586" s="686"/>
      <c r="T586" s="686"/>
      <c r="U586" s="686"/>
      <c r="V586" s="687"/>
      <c r="W586" s="37" t="s">
        <v>81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x14ac:dyDescent="0.2">
      <c r="A587" s="680"/>
      <c r="B587" s="680"/>
      <c r="C587" s="680"/>
      <c r="D587" s="680"/>
      <c r="E587" s="680"/>
      <c r="F587" s="680"/>
      <c r="G587" s="680"/>
      <c r="H587" s="680"/>
      <c r="I587" s="680"/>
      <c r="J587" s="680"/>
      <c r="K587" s="680"/>
      <c r="L587" s="680"/>
      <c r="M587" s="680"/>
      <c r="N587" s="680"/>
      <c r="O587" s="681"/>
      <c r="P587" s="685" t="s">
        <v>80</v>
      </c>
      <c r="Q587" s="686"/>
      <c r="R587" s="686"/>
      <c r="S587" s="686"/>
      <c r="T587" s="686"/>
      <c r="U587" s="686"/>
      <c r="V587" s="687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customHeight="1" x14ac:dyDescent="0.25">
      <c r="A588" s="682" t="s">
        <v>64</v>
      </c>
      <c r="B588" s="680"/>
      <c r="C588" s="680"/>
      <c r="D588" s="680"/>
      <c r="E588" s="680"/>
      <c r="F588" s="680"/>
      <c r="G588" s="680"/>
      <c r="H588" s="680"/>
      <c r="I588" s="680"/>
      <c r="J588" s="680"/>
      <c r="K588" s="680"/>
      <c r="L588" s="680"/>
      <c r="M588" s="680"/>
      <c r="N588" s="680"/>
      <c r="O588" s="680"/>
      <c r="P588" s="680"/>
      <c r="Q588" s="680"/>
      <c r="R588" s="680"/>
      <c r="S588" s="680"/>
      <c r="T588" s="680"/>
      <c r="U588" s="680"/>
      <c r="V588" s="680"/>
      <c r="W588" s="680"/>
      <c r="X588" s="680"/>
      <c r="Y588" s="680"/>
      <c r="Z588" s="680"/>
      <c r="AA588" s="661"/>
      <c r="AB588" s="661"/>
      <c r="AC588" s="661"/>
    </row>
    <row r="589" spans="1:68" ht="27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93</v>
      </c>
      <c r="L589" s="32"/>
      <c r="M589" s="33" t="s">
        <v>129</v>
      </c>
      <c r="N589" s="33"/>
      <c r="O589" s="32">
        <v>45</v>
      </c>
      <c r="P589" s="1022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9"/>
      <c r="B590" s="680"/>
      <c r="C590" s="680"/>
      <c r="D590" s="680"/>
      <c r="E590" s="680"/>
      <c r="F590" s="680"/>
      <c r="G590" s="680"/>
      <c r="H590" s="680"/>
      <c r="I590" s="680"/>
      <c r="J590" s="680"/>
      <c r="K590" s="680"/>
      <c r="L590" s="680"/>
      <c r="M590" s="680"/>
      <c r="N590" s="680"/>
      <c r="O590" s="681"/>
      <c r="P590" s="685" t="s">
        <v>80</v>
      </c>
      <c r="Q590" s="686"/>
      <c r="R590" s="686"/>
      <c r="S590" s="686"/>
      <c r="T590" s="686"/>
      <c r="U590" s="686"/>
      <c r="V590" s="687"/>
      <c r="W590" s="37" t="s">
        <v>81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x14ac:dyDescent="0.2">
      <c r="A591" s="680"/>
      <c r="B591" s="680"/>
      <c r="C591" s="680"/>
      <c r="D591" s="680"/>
      <c r="E591" s="680"/>
      <c r="F591" s="680"/>
      <c r="G591" s="680"/>
      <c r="H591" s="680"/>
      <c r="I591" s="680"/>
      <c r="J591" s="680"/>
      <c r="K591" s="680"/>
      <c r="L591" s="680"/>
      <c r="M591" s="680"/>
      <c r="N591" s="680"/>
      <c r="O591" s="681"/>
      <c r="P591" s="685" t="s">
        <v>80</v>
      </c>
      <c r="Q591" s="686"/>
      <c r="R591" s="686"/>
      <c r="S591" s="686"/>
      <c r="T591" s="686"/>
      <c r="U591" s="686"/>
      <c r="V591" s="687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61"/>
      <c r="B592" s="680"/>
      <c r="C592" s="680"/>
      <c r="D592" s="680"/>
      <c r="E592" s="680"/>
      <c r="F592" s="680"/>
      <c r="G592" s="680"/>
      <c r="H592" s="680"/>
      <c r="I592" s="680"/>
      <c r="J592" s="680"/>
      <c r="K592" s="680"/>
      <c r="L592" s="680"/>
      <c r="M592" s="680"/>
      <c r="N592" s="680"/>
      <c r="O592" s="762"/>
      <c r="P592" s="833" t="s">
        <v>943</v>
      </c>
      <c r="Q592" s="809"/>
      <c r="R592" s="809"/>
      <c r="S592" s="809"/>
      <c r="T592" s="809"/>
      <c r="U592" s="809"/>
      <c r="V592" s="810"/>
      <c r="W592" s="37" t="s">
        <v>69</v>
      </c>
      <c r="X592" s="667">
        <f>IFERROR(X27+X31+X40+X44+X55+X62+X68+X77+X83+X90+X102+X110+X116+X128+X133+X139+X144+X149+X154+X161+X166+X172+X184+X188+X194+X199+X210+X222+X227+X239+X244+X248+X252+X262+X267+X274+X283+X288+X292+X296+X301+X306+X311+X316+X326+X333+X341+X347+X354+X360+X365+X371+X386+X391+X396+X400+X410+X415+X423+X427+X444+X449+X455+X462+X468+X473+X477+X497+X504+X519+X525+X530+X541+X549+X559+X567+X574+X579+X583+X587+X591,"0")</f>
        <v>523.6</v>
      </c>
      <c r="Y592" s="667">
        <f>IFERROR(Y27+Y31+Y40+Y44+Y55+Y62+Y68+Y77+Y83+Y90+Y102+Y110+Y116+Y128+Y133+Y139+Y144+Y149+Y154+Y161+Y166+Y172+Y184+Y188+Y194+Y199+Y210+Y222+Y227+Y239+Y244+Y248+Y252+Y262+Y267+Y274+Y283+Y288+Y292+Y296+Y301+Y306+Y311+Y316+Y326+Y333+Y341+Y347+Y354+Y360+Y365+Y371+Y386+Y391+Y396+Y400+Y410+Y415+Y423+Y427+Y444+Y449+Y455+Y462+Y468+Y473+Y477+Y497+Y504+Y519+Y525+Y530+Y541+Y549+Y559+Y567+Y574+Y579+Y583+Y587+Y591,"0")</f>
        <v>562.79999999999995</v>
      </c>
      <c r="Z592" s="37"/>
      <c r="AA592" s="668"/>
      <c r="AB592" s="668"/>
      <c r="AC592" s="668"/>
    </row>
    <row r="593" spans="1:32" x14ac:dyDescent="0.2">
      <c r="A593" s="680"/>
      <c r="B593" s="680"/>
      <c r="C593" s="680"/>
      <c r="D593" s="680"/>
      <c r="E593" s="680"/>
      <c r="F593" s="680"/>
      <c r="G593" s="680"/>
      <c r="H593" s="680"/>
      <c r="I593" s="680"/>
      <c r="J593" s="680"/>
      <c r="K593" s="680"/>
      <c r="L593" s="680"/>
      <c r="M593" s="680"/>
      <c r="N593" s="680"/>
      <c r="O593" s="762"/>
      <c r="P593" s="833" t="s">
        <v>944</v>
      </c>
      <c r="Q593" s="809"/>
      <c r="R593" s="809"/>
      <c r="S593" s="809"/>
      <c r="T593" s="809"/>
      <c r="U593" s="809"/>
      <c r="V593" s="810"/>
      <c r="W593" s="37" t="s">
        <v>69</v>
      </c>
      <c r="X593" s="667">
        <f>IFERROR(SUM(BM22:BM589),"0")</f>
        <v>549.16745726495731</v>
      </c>
      <c r="Y593" s="667">
        <f>IFERROR(SUM(BN22:BN589),"0")</f>
        <v>590.43299999999988</v>
      </c>
      <c r="Z593" s="37"/>
      <c r="AA593" s="668"/>
      <c r="AB593" s="668"/>
      <c r="AC593" s="668"/>
    </row>
    <row r="594" spans="1:32" x14ac:dyDescent="0.2">
      <c r="A594" s="680"/>
      <c r="B594" s="680"/>
      <c r="C594" s="680"/>
      <c r="D594" s="680"/>
      <c r="E594" s="680"/>
      <c r="F594" s="680"/>
      <c r="G594" s="680"/>
      <c r="H594" s="680"/>
      <c r="I594" s="680"/>
      <c r="J594" s="680"/>
      <c r="K594" s="680"/>
      <c r="L594" s="680"/>
      <c r="M594" s="680"/>
      <c r="N594" s="680"/>
      <c r="O594" s="762"/>
      <c r="P594" s="833" t="s">
        <v>945</v>
      </c>
      <c r="Q594" s="809"/>
      <c r="R594" s="809"/>
      <c r="S594" s="809"/>
      <c r="T594" s="809"/>
      <c r="U594" s="809"/>
      <c r="V594" s="810"/>
      <c r="W594" s="37" t="s">
        <v>946</v>
      </c>
      <c r="X594" s="38">
        <f>ROUNDUP(SUM(BO22:BO589),0)</f>
        <v>1</v>
      </c>
      <c r="Y594" s="38">
        <f>ROUNDUP(SUM(BP22:BP589),0)</f>
        <v>1</v>
      </c>
      <c r="Z594" s="37"/>
      <c r="AA594" s="668"/>
      <c r="AB594" s="668"/>
      <c r="AC594" s="668"/>
    </row>
    <row r="595" spans="1:32" x14ac:dyDescent="0.2">
      <c r="A595" s="680"/>
      <c r="B595" s="680"/>
      <c r="C595" s="680"/>
      <c r="D595" s="680"/>
      <c r="E595" s="680"/>
      <c r="F595" s="680"/>
      <c r="G595" s="680"/>
      <c r="H595" s="680"/>
      <c r="I595" s="680"/>
      <c r="J595" s="680"/>
      <c r="K595" s="680"/>
      <c r="L595" s="680"/>
      <c r="M595" s="680"/>
      <c r="N595" s="680"/>
      <c r="O595" s="762"/>
      <c r="P595" s="833" t="s">
        <v>947</v>
      </c>
      <c r="Q595" s="809"/>
      <c r="R595" s="809"/>
      <c r="S595" s="809"/>
      <c r="T595" s="809"/>
      <c r="U595" s="809"/>
      <c r="V595" s="810"/>
      <c r="W595" s="37" t="s">
        <v>69</v>
      </c>
      <c r="X595" s="667">
        <f>GrossWeightTotal+PalletQtyTotal*25</f>
        <v>574.16745726495731</v>
      </c>
      <c r="Y595" s="667">
        <f>GrossWeightTotalR+PalletQtyTotalR*25</f>
        <v>615.43299999999988</v>
      </c>
      <c r="Z595" s="37"/>
      <c r="AA595" s="668"/>
      <c r="AB595" s="668"/>
      <c r="AC595" s="668"/>
    </row>
    <row r="596" spans="1:32" x14ac:dyDescent="0.2">
      <c r="A596" s="680"/>
      <c r="B596" s="680"/>
      <c r="C596" s="680"/>
      <c r="D596" s="680"/>
      <c r="E596" s="680"/>
      <c r="F596" s="680"/>
      <c r="G596" s="680"/>
      <c r="H596" s="680"/>
      <c r="I596" s="680"/>
      <c r="J596" s="680"/>
      <c r="K596" s="680"/>
      <c r="L596" s="680"/>
      <c r="M596" s="680"/>
      <c r="N596" s="680"/>
      <c r="O596" s="762"/>
      <c r="P596" s="833" t="s">
        <v>948</v>
      </c>
      <c r="Q596" s="809"/>
      <c r="R596" s="809"/>
      <c r="S596" s="809"/>
      <c r="T596" s="809"/>
      <c r="U596" s="809"/>
      <c r="V596" s="810"/>
      <c r="W596" s="37" t="s">
        <v>946</v>
      </c>
      <c r="X596" s="667">
        <f>IFERROR(X26+X30+X39+X43+X54+X61+X67+X76+X82+X89+X101+X109+X115+X127+X132+X138+X143+X148+X153+X160+X165+X171+X183+X187+X193+X198+X209+X221+X226+X238+X243+X247+X251+X261+X266+X273+X282+X287+X291+X295+X300+X305+X310+X315+X325+X332+X340+X346+X353+X359+X364+X370+X385+X390+X395+X399+X409+X414+X422+X426+X443+X448+X454+X461+X467+X472+X476+X496+X503+X518+X524+X529+X540+X548+X558+X566+X573+X578+X582+X586+X590,"0")</f>
        <v>55.529711029711024</v>
      </c>
      <c r="Y596" s="667">
        <f>IFERROR(Y26+Y30+Y39+Y43+Y54+Y61+Y67+Y76+Y82+Y89+Y101+Y109+Y115+Y127+Y132+Y138+Y143+Y148+Y153+Y160+Y165+Y171+Y183+Y187+Y193+Y198+Y209+Y221+Y226+Y238+Y243+Y247+Y251+Y261+Y266+Y273+Y282+Y287+Y291+Y295+Y300+Y305+Y310+Y315+Y325+Y332+Y340+Y346+Y353+Y359+Y364+Y370+Y385+Y390+Y395+Y399+Y409+Y414+Y422+Y426+Y443+Y448+Y454+Y461+Y467+Y472+Y476+Y496+Y503+Y518+Y524+Y529+Y540+Y548+Y558+Y566+Y573+Y578+Y582+Y586+Y590,"0")</f>
        <v>60</v>
      </c>
      <c r="Z596" s="37"/>
      <c r="AA596" s="668"/>
      <c r="AB596" s="668"/>
      <c r="AC596" s="668"/>
    </row>
    <row r="597" spans="1:32" ht="14.25" customHeight="1" x14ac:dyDescent="0.2">
      <c r="A597" s="680"/>
      <c r="B597" s="680"/>
      <c r="C597" s="680"/>
      <c r="D597" s="680"/>
      <c r="E597" s="680"/>
      <c r="F597" s="680"/>
      <c r="G597" s="680"/>
      <c r="H597" s="680"/>
      <c r="I597" s="680"/>
      <c r="J597" s="680"/>
      <c r="K597" s="680"/>
      <c r="L597" s="680"/>
      <c r="M597" s="680"/>
      <c r="N597" s="680"/>
      <c r="O597" s="762"/>
      <c r="P597" s="833" t="s">
        <v>949</v>
      </c>
      <c r="Q597" s="809"/>
      <c r="R597" s="809"/>
      <c r="S597" s="809"/>
      <c r="T597" s="809"/>
      <c r="U597" s="809"/>
      <c r="V597" s="810"/>
      <c r="W597" s="39" t="s">
        <v>950</v>
      </c>
      <c r="X597" s="37"/>
      <c r="Y597" s="37"/>
      <c r="Z597" s="37">
        <f>IFERROR(Z26+Z30+Z39+Z43+Z54+Z61+Z67+Z76+Z82+Z89+Z101+Z109+Z115+Z127+Z132+Z138+Z143+Z148+Z153+Z160+Z165+Z171+Z183+Z187+Z193+Z198+Z209+Z221+Z226+Z238+Z243+Z247+Z251+Z261+Z266+Z273+Z282+Z287+Z291+Z295+Z300+Z305+Z310+Z315+Z325+Z332+Z340+Z346+Z353+Z359+Z364+Z370+Z385+Z390+Z395+Z399+Z409+Z414+Z422+Z426+Z443+Z448+Z454+Z461+Z467+Z472+Z476+Z496+Z503+Z518+Z524+Z529+Z540+Z548+Z558+Z566+Z573+Z578+Z582+Z586+Z590,"0")</f>
        <v>1.10562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6" t="s">
        <v>88</v>
      </c>
      <c r="D599" s="698"/>
      <c r="E599" s="698"/>
      <c r="F599" s="698"/>
      <c r="G599" s="698"/>
      <c r="H599" s="699"/>
      <c r="I599" s="676" t="s">
        <v>286</v>
      </c>
      <c r="J599" s="698"/>
      <c r="K599" s="698"/>
      <c r="L599" s="698"/>
      <c r="M599" s="698"/>
      <c r="N599" s="698"/>
      <c r="O599" s="698"/>
      <c r="P599" s="698"/>
      <c r="Q599" s="698"/>
      <c r="R599" s="698"/>
      <c r="S599" s="698"/>
      <c r="T599" s="698"/>
      <c r="U599" s="698"/>
      <c r="V599" s="699"/>
      <c r="W599" s="676" t="s">
        <v>577</v>
      </c>
      <c r="X599" s="699"/>
      <c r="Y599" s="676" t="s">
        <v>658</v>
      </c>
      <c r="Z599" s="698"/>
      <c r="AA599" s="698"/>
      <c r="AB599" s="699"/>
      <c r="AC599" s="662" t="s">
        <v>733</v>
      </c>
      <c r="AD599" s="676" t="s">
        <v>833</v>
      </c>
      <c r="AE599" s="699"/>
      <c r="AF599" s="663"/>
    </row>
    <row r="600" spans="1:32" ht="14.25" customHeight="1" thickTop="1" x14ac:dyDescent="0.2">
      <c r="A600" s="984" t="s">
        <v>952</v>
      </c>
      <c r="B600" s="676" t="s">
        <v>63</v>
      </c>
      <c r="C600" s="676" t="s">
        <v>89</v>
      </c>
      <c r="D600" s="676" t="s">
        <v>110</v>
      </c>
      <c r="E600" s="676" t="s">
        <v>178</v>
      </c>
      <c r="F600" s="676" t="s">
        <v>209</v>
      </c>
      <c r="G600" s="676" t="s">
        <v>254</v>
      </c>
      <c r="H600" s="676" t="s">
        <v>88</v>
      </c>
      <c r="I600" s="676" t="s">
        <v>287</v>
      </c>
      <c r="J600" s="676" t="s">
        <v>322</v>
      </c>
      <c r="K600" s="676" t="s">
        <v>383</v>
      </c>
      <c r="L600" s="676" t="s">
        <v>418</v>
      </c>
      <c r="M600" s="676" t="s">
        <v>436</v>
      </c>
      <c r="N600" s="663"/>
      <c r="O600" s="676" t="s">
        <v>440</v>
      </c>
      <c r="P600" s="676" t="s">
        <v>449</v>
      </c>
      <c r="Q600" s="676" t="s">
        <v>463</v>
      </c>
      <c r="R600" s="676" t="s">
        <v>473</v>
      </c>
      <c r="S600" s="676" t="s">
        <v>477</v>
      </c>
      <c r="T600" s="676" t="s">
        <v>485</v>
      </c>
      <c r="U600" s="676" t="s">
        <v>490</v>
      </c>
      <c r="V600" s="676" t="s">
        <v>564</v>
      </c>
      <c r="W600" s="676" t="s">
        <v>578</v>
      </c>
      <c r="X600" s="676" t="s">
        <v>619</v>
      </c>
      <c r="Y600" s="676" t="s">
        <v>659</v>
      </c>
      <c r="Z600" s="676" t="s">
        <v>698</v>
      </c>
      <c r="AA600" s="676" t="s">
        <v>718</v>
      </c>
      <c r="AB600" s="676" t="s">
        <v>726</v>
      </c>
      <c r="AC600" s="676" t="s">
        <v>733</v>
      </c>
      <c r="AD600" s="676" t="s">
        <v>833</v>
      </c>
      <c r="AE600" s="676" t="s">
        <v>926</v>
      </c>
      <c r="AF600" s="663"/>
    </row>
    <row r="601" spans="1:32" ht="13.5" customHeight="1" thickBot="1" x14ac:dyDescent="0.25">
      <c r="A601" s="985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63"/>
      <c r="O601" s="677"/>
      <c r="P601" s="677"/>
      <c r="Q601" s="677"/>
      <c r="R601" s="677"/>
      <c r="S601" s="677"/>
      <c r="T601" s="677"/>
      <c r="U601" s="677"/>
      <c r="V601" s="677"/>
      <c r="W601" s="677"/>
      <c r="X601" s="677"/>
      <c r="Y601" s="677"/>
      <c r="Z601" s="677"/>
      <c r="AA601" s="677"/>
      <c r="AB601" s="677"/>
      <c r="AC601" s="677"/>
      <c r="AD601" s="677"/>
      <c r="AE601" s="677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IFERROR(Y22*1,"0")+IFERROR(Y23*1,"0")+IFERROR(Y24*1,"0")+IFERROR(Y25*1,"0")+IFERROR(Y29*1,"0")</f>
        <v>0</v>
      </c>
      <c r="C602" s="46">
        <f>IFERROR(Y35*1,"0")+IFERROR(Y36*1,"0")+IFERROR(Y37*1,"0")+IFERROR(Y38*1,"0")+IFERROR(Y42*1,"0")</f>
        <v>21.6</v>
      </c>
      <c r="D602" s="46">
        <f>IFERROR(Y47*1,"0")+IFERROR(Y48*1,"0")+IFERROR(Y49*1,"0")+IFERROR(Y50*1,"0")+IFERROR(Y51*1,"0")+IFERROR(Y52*1,"0")+IFERROR(Y53*1,"0")+IFERROR(Y57*1,"0")+IFERROR(Y58*1,"0")+IFERROR(Y59*1,"0")+IFERROR(Y60*1,"0")+IFERROR(Y64*1,"0")+IFERROR(Y65*1,"0")+IFERROR(Y66*1,"0")+IFERROR(Y70*1,"0")+IFERROR(Y71*1,"0")+IFERROR(Y72*1,"0")+IFERROR(Y73*1,"0")+IFERROR(Y74*1,"0")+IFERROR(Y75*1,"0")+IFERROR(Y79*1,"0")+IFERROR(Y80*1,"0")+IFERROR(Y81*1,"0")</f>
        <v>124.80000000000001</v>
      </c>
      <c r="E602" s="46">
        <f>IFERROR(Y86*1,"0")+IFERROR(Y87*1,"0")+IFERROR(Y88*1,"0")+IFERROR(Y92*1,"0")+IFERROR(Y93*1,"0")+IFERROR(Y94*1,"0")+IFERROR(Y95*1,"0")+IFERROR(Y96*1,"0")+IFERROR(Y97*1,"0")+IFERROR(Y98*1,"0")+IFERROR(Y99*1,"0")+IFERROR(Y100*1,"0")</f>
        <v>16.8</v>
      </c>
      <c r="F602" s="46">
        <f>IFERROR(Y105*1,"0")+IFERROR(Y106*1,"0")+IFERROR(Y107*1,"0")+IFERROR(Y108*1,"0")+IFERROR(Y112*1,"0")+IFERROR(Y113*1,"0")+IFERROR(Y114*1,"0")+IFERROR(Y118*1,"0")+IFERROR(Y119*1,"0")+IFERROR(Y120*1,"0")+IFERROR(Y121*1,"0")+IFERROR(Y122*1,"0")+IFERROR(Y123*1,"0")+IFERROR(Y124*1,"0")+IFERROR(Y125*1,"0")+IFERROR(Y126*1,"0")+IFERROR(Y130*1,"0")+IFERROR(Y131*1,"0")</f>
        <v>25.200000000000003</v>
      </c>
      <c r="G602" s="46">
        <f>IFERROR(Y136*1,"0")+IFERROR(Y137*1,"0")+IFERROR(Y141*1,"0")+IFERROR(Y142*1,"0")+IFERROR(Y146*1,"0")+IFERROR(Y147*1,"0")</f>
        <v>0</v>
      </c>
      <c r="H602" s="46">
        <f>IFERROR(Y152*1,"0")+IFERROR(Y156*1,"0")+IFERROR(Y157*1,"0")+IFERROR(Y158*1,"0")+IFERROR(Y159*1,"0")+IFERROR(Y163*1,"0")+IFERROR(Y164*1,"0")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21.6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3.6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259.2</v>
      </c>
      <c r="V602" s="46">
        <f>IFERROR(Y363*1,"0")+IFERROR(Y367*1,"0")+IFERROR(Y368*1,"0")+IFERROR(Y369*1,"0")</f>
        <v>0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90</v>
      </c>
      <c r="X602" s="46">
        <f>IFERROR(Y403*1,"0")+IFERROR(Y404*1,"0")+IFERROR(Y405*1,"0")+IFERROR(Y406*1,"0")+IFERROR(Y407*1,"0")+IFERROR(Y408*1,"0")+IFERROR(Y412*1,"0")+IFERROR(Y413*1,"0")+IFERROR(Y417*1,"0")+IFERROR(Y418*1,"0")+IFERROR(Y419*1,"0")+IFERROR(Y420*1,"0")+IFERROR(Y421*1,"0")+IFERROR(Y425*1,"0")</f>
        <v>0</v>
      </c>
      <c r="Y602" s="46">
        <f>IFERROR(Y431*1,"0")+IFERROR(Y432*1,"0")+IFERROR(Y433*1,"0")+IFERROR(Y434*1,"0")+IFERROR(Y435*1,"0")+IFERROR(Y436*1,"0")+IFERROR(Y437*1,"0")+IFERROR(Y438*1,"0")+IFERROR(Y439*1,"0")+IFERROR(Y440*1,"0")+IFERROR(Y441*1,"0")+IFERROR(Y442*1,"0")+IFERROR(Y446*1,"0")+IFERROR(Y447*1,"0")</f>
        <v>0</v>
      </c>
      <c r="Z602" s="46">
        <f>IFERROR(Y452*1,"0")+IFERROR(Y453*1,"0")+IFERROR(Y457*1,"0")+IFERROR(Y458*1,"0")+IFERROR(Y459*1,"0")+IFERROR(Y460*1,"0")</f>
        <v>0</v>
      </c>
      <c r="AA602" s="46">
        <f>IFERROR(Y465*1,"0")+IFERROR(Y466*1,"0")</f>
        <v>0</v>
      </c>
      <c r="AB602" s="46">
        <f>IFERROR(Y471*1,"0")+IFERROR(Y475*1,"0")</f>
        <v>0</v>
      </c>
      <c r="AC602" s="46">
        <f>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0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46">
        <f>IFERROR(Y577*1,"0")+IFERROR(Y581*1,"0")+IFERROR(Y585*1,"0")+IFERROR(Y589*1,"0")</f>
        <v>0</v>
      </c>
      <c r="AF602" s="663"/>
    </row>
  </sheetData>
  <sheetProtection algorithmName="SHA-512" hashValue="Gizq+YB/GdJhi8SSX1IWps+pcNcEgZdPCUioweuE7E08DbHexVOiAOVEG19CsnQYZ5X4IHRkS3nff/rX2aaQaw==" saltValue="qvsePk8wlVKqwiGgYFLVv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6">
    <mergeCell ref="X17:X18"/>
    <mergeCell ref="D286:E286"/>
    <mergeCell ref="A8:C8"/>
    <mergeCell ref="AD599:AE599"/>
    <mergeCell ref="P595:V595"/>
    <mergeCell ref="P138:V138"/>
    <mergeCell ref="D97:E97"/>
    <mergeCell ref="P76:V76"/>
    <mergeCell ref="P496:V496"/>
    <mergeCell ref="A10:C10"/>
    <mergeCell ref="A566:O567"/>
    <mergeCell ref="D553:E553"/>
    <mergeCell ref="P126:T126"/>
    <mergeCell ref="P218:T218"/>
    <mergeCell ref="P311:V311"/>
    <mergeCell ref="A21:Z21"/>
    <mergeCell ref="T600:T601"/>
    <mergeCell ref="A428:Z428"/>
    <mergeCell ref="P590:V590"/>
    <mergeCell ref="A129:Z129"/>
    <mergeCell ref="D121:E121"/>
    <mergeCell ref="D192:E192"/>
    <mergeCell ref="P296:V296"/>
    <mergeCell ref="P507:T507"/>
    <mergeCell ref="D42:E42"/>
    <mergeCell ref="P534:T534"/>
    <mergeCell ref="P363:T363"/>
    <mergeCell ref="D515:E515"/>
    <mergeCell ref="A479:Z479"/>
    <mergeCell ref="D344:E344"/>
    <mergeCell ref="D471:E471"/>
    <mergeCell ref="P338:T338"/>
    <mergeCell ref="P71:T71"/>
    <mergeCell ref="D17:E18"/>
    <mergeCell ref="A28:Z2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43:V43"/>
    <mergeCell ref="P25:T25"/>
    <mergeCell ref="P383:T383"/>
    <mergeCell ref="D571:E571"/>
    <mergeCell ref="D522:E522"/>
    <mergeCell ref="P60:T60"/>
    <mergeCell ref="D552:E552"/>
    <mergeCell ref="A103:Z103"/>
    <mergeCell ref="P174:T174"/>
    <mergeCell ref="D537:E537"/>
    <mergeCell ref="D95:E95"/>
    <mergeCell ref="P447:T447"/>
    <mergeCell ref="D331:E331"/>
    <mergeCell ref="A266:O267"/>
    <mergeCell ref="P310:V310"/>
    <mergeCell ref="D57:E57"/>
    <mergeCell ref="P124:T124"/>
    <mergeCell ref="Y17:Y18"/>
    <mergeCell ref="U17:V17"/>
    <mergeCell ref="P536:T536"/>
    <mergeCell ref="P202:T202"/>
    <mergeCell ref="D123:E123"/>
    <mergeCell ref="F17:F18"/>
    <mergeCell ref="N17:N18"/>
    <mergeCell ref="Q5:R5"/>
    <mergeCell ref="P435:T435"/>
    <mergeCell ref="D278:E278"/>
    <mergeCell ref="D163:E163"/>
    <mergeCell ref="D107:E107"/>
    <mergeCell ref="P484:T484"/>
    <mergeCell ref="P589:T589"/>
    <mergeCell ref="A478:Z478"/>
    <mergeCell ref="D405:E405"/>
    <mergeCell ref="D234:E234"/>
    <mergeCell ref="P65:T65"/>
    <mergeCell ref="P136:T136"/>
    <mergeCell ref="P70:T70"/>
    <mergeCell ref="P434:T434"/>
    <mergeCell ref="P305:V305"/>
    <mergeCell ref="P499:T499"/>
    <mergeCell ref="D336:E336"/>
    <mergeCell ref="D407:E407"/>
    <mergeCell ref="Q6:R6"/>
    <mergeCell ref="A385:O386"/>
    <mergeCell ref="P436:T436"/>
    <mergeCell ref="A422:O423"/>
    <mergeCell ref="A251:O252"/>
    <mergeCell ref="P528:T528"/>
    <mergeCell ref="A33:Z33"/>
    <mergeCell ref="D196:E196"/>
    <mergeCell ref="D25:E25"/>
    <mergeCell ref="A269:Z269"/>
    <mergeCell ref="P294:T294"/>
    <mergeCell ref="P443:V443"/>
    <mergeCell ref="P593:V593"/>
    <mergeCell ref="P422:V422"/>
    <mergeCell ref="P587:V587"/>
    <mergeCell ref="P239:V239"/>
    <mergeCell ref="P68:V68"/>
    <mergeCell ref="A101:O102"/>
    <mergeCell ref="P439:T439"/>
    <mergeCell ref="P433:T433"/>
    <mergeCell ref="D105:E105"/>
    <mergeCell ref="D547:E547"/>
    <mergeCell ref="P524:V524"/>
    <mergeCell ref="P353:V353"/>
    <mergeCell ref="D170:E170"/>
    <mergeCell ref="D577:E577"/>
    <mergeCell ref="P132:V132"/>
    <mergeCell ref="P72:T72"/>
    <mergeCell ref="D49:E49"/>
    <mergeCell ref="D242:E242"/>
    <mergeCell ref="D120:E120"/>
    <mergeCell ref="P210:V210"/>
    <mergeCell ref="P510:T510"/>
    <mergeCell ref="P160:V160"/>
    <mergeCell ref="P427:V427"/>
    <mergeCell ref="P283:V283"/>
    <mergeCell ref="D483:E483"/>
    <mergeCell ref="D271:E271"/>
    <mergeCell ref="P519:V519"/>
    <mergeCell ref="P58:T58"/>
    <mergeCell ref="D250:E250"/>
    <mergeCell ref="D50:E50"/>
    <mergeCell ref="AD17:AF18"/>
    <mergeCell ref="A39:O40"/>
    <mergeCell ref="A310:O311"/>
    <mergeCell ref="V600:V601"/>
    <mergeCell ref="D570:E570"/>
    <mergeCell ref="P574:V574"/>
    <mergeCell ref="A430:Z430"/>
    <mergeCell ref="F5:G5"/>
    <mergeCell ref="P55:V55"/>
    <mergeCell ref="P365:V365"/>
    <mergeCell ref="P144:V144"/>
    <mergeCell ref="P467:V467"/>
    <mergeCell ref="A463:Z463"/>
    <mergeCell ref="P509:T509"/>
    <mergeCell ref="D175:E175"/>
    <mergeCell ref="P186:T186"/>
    <mergeCell ref="A223:Z223"/>
    <mergeCell ref="V11:W11"/>
    <mergeCell ref="A370:O371"/>
    <mergeCell ref="D457:E457"/>
    <mergeCell ref="P57:T57"/>
    <mergeCell ref="P367:T367"/>
    <mergeCell ref="D475:E475"/>
    <mergeCell ref="P486:T486"/>
    <mergeCell ref="P75:T75"/>
    <mergeCell ref="P146:T146"/>
    <mergeCell ref="D323:E323"/>
    <mergeCell ref="D152:E152"/>
    <mergeCell ref="D394:E394"/>
    <mergeCell ref="D279:E279"/>
    <mergeCell ref="D521:E521"/>
    <mergeCell ref="A254:Z254"/>
    <mergeCell ref="P2:W3"/>
    <mergeCell ref="D437:E437"/>
    <mergeCell ref="P369:T369"/>
    <mergeCell ref="D508:E508"/>
    <mergeCell ref="D241:E241"/>
    <mergeCell ref="D539:E539"/>
    <mergeCell ref="P418:T418"/>
    <mergeCell ref="D35:E35"/>
    <mergeCell ref="P412:T412"/>
    <mergeCell ref="D404:E404"/>
    <mergeCell ref="A289:Z289"/>
    <mergeCell ref="D10:E10"/>
    <mergeCell ref="P64:T64"/>
    <mergeCell ref="D562:E562"/>
    <mergeCell ref="P191:T191"/>
    <mergeCell ref="F10:G10"/>
    <mergeCell ref="A115:O116"/>
    <mergeCell ref="D544:E544"/>
    <mergeCell ref="P349:T349"/>
    <mergeCell ref="D270:E270"/>
    <mergeCell ref="P420:T420"/>
    <mergeCell ref="D99:E99"/>
    <mergeCell ref="D528:E528"/>
    <mergeCell ref="P121:T121"/>
    <mergeCell ref="P181:T181"/>
    <mergeCell ref="P357:T357"/>
    <mergeCell ref="D29:E29"/>
    <mergeCell ref="D23:E23"/>
    <mergeCell ref="P515:T515"/>
    <mergeCell ref="P344:T344"/>
    <mergeCell ref="P300:V300"/>
    <mergeCell ref="D265:E265"/>
    <mergeCell ref="M17:M18"/>
    <mergeCell ref="A531:Z531"/>
    <mergeCell ref="A469:Z469"/>
    <mergeCell ref="P336:T336"/>
    <mergeCell ref="O17:O18"/>
    <mergeCell ref="P187:V187"/>
    <mergeCell ref="P423:V423"/>
    <mergeCell ref="A104:Z104"/>
    <mergeCell ref="A297:Z297"/>
    <mergeCell ref="P410:V410"/>
    <mergeCell ref="P417:T417"/>
    <mergeCell ref="A533:Z533"/>
    <mergeCell ref="A26:O27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592:V592"/>
    <mergeCell ref="S600:S601"/>
    <mergeCell ref="U600:U601"/>
    <mergeCell ref="D452:E452"/>
    <mergeCell ref="P371:V371"/>
    <mergeCell ref="A318:Z318"/>
    <mergeCell ref="D216:E216"/>
    <mergeCell ref="P123:T123"/>
    <mergeCell ref="A20:Z20"/>
    <mergeCell ref="P529:V529"/>
    <mergeCell ref="P426:V426"/>
    <mergeCell ref="P178:T178"/>
    <mergeCell ref="P105:T105"/>
    <mergeCell ref="P547:T547"/>
    <mergeCell ref="D257:E257"/>
    <mergeCell ref="K600:K601"/>
    <mergeCell ref="P270:T270"/>
    <mergeCell ref="D384:E384"/>
    <mergeCell ref="M600:M601"/>
    <mergeCell ref="D213:E213"/>
    <mergeCell ref="P214:T214"/>
    <mergeCell ref="P157:T157"/>
    <mergeCell ref="P577:T577"/>
    <mergeCell ref="D86:E86"/>
    <mergeCell ref="P49:T49"/>
    <mergeCell ref="P36:T36"/>
    <mergeCell ref="D321:E321"/>
    <mergeCell ref="P278:T278"/>
    <mergeCell ref="P107:T107"/>
    <mergeCell ref="D557:E557"/>
    <mergeCell ref="P465:T465"/>
    <mergeCell ref="A426:O427"/>
    <mergeCell ref="D513:E513"/>
    <mergeCell ref="A364:O365"/>
    <mergeCell ref="D215:E215"/>
    <mergeCell ref="A317:Z317"/>
    <mergeCell ref="P194:V194"/>
    <mergeCell ref="P421:T421"/>
    <mergeCell ref="A348:Z348"/>
    <mergeCell ref="P408:T408"/>
    <mergeCell ref="D218:E218"/>
    <mergeCell ref="A249:Z249"/>
    <mergeCell ref="A9:C9"/>
    <mergeCell ref="D202:E202"/>
    <mergeCell ref="P557:T557"/>
    <mergeCell ref="D58:E58"/>
    <mergeCell ref="D500:E500"/>
    <mergeCell ref="A302:Z302"/>
    <mergeCell ref="P112:T112"/>
    <mergeCell ref="D294:E294"/>
    <mergeCell ref="A298:Z298"/>
    <mergeCell ref="P273:V273"/>
    <mergeCell ref="P323:T323"/>
    <mergeCell ref="D231:E231"/>
    <mergeCell ref="P39:V39"/>
    <mergeCell ref="D358:E358"/>
    <mergeCell ref="A91:Z91"/>
    <mergeCell ref="D408:E408"/>
    <mergeCell ref="A327:Z327"/>
    <mergeCell ref="P116:V116"/>
    <mergeCell ref="A155:Z155"/>
    <mergeCell ref="A293:Z293"/>
    <mergeCell ref="Q13:R13"/>
    <mergeCell ref="P201:T201"/>
    <mergeCell ref="D389:E389"/>
    <mergeCell ref="P176:T176"/>
    <mergeCell ref="P114:T114"/>
    <mergeCell ref="P241:T241"/>
    <mergeCell ref="P483:T483"/>
    <mergeCell ref="D22:E22"/>
    <mergeCell ref="D320:E320"/>
    <mergeCell ref="A284:Z284"/>
    <mergeCell ref="D447:E447"/>
    <mergeCell ref="A127:O128"/>
    <mergeCell ref="AE600:AE601"/>
    <mergeCell ref="P184:V184"/>
    <mergeCell ref="P171:V171"/>
    <mergeCell ref="A167:Z167"/>
    <mergeCell ref="D159:E159"/>
    <mergeCell ref="D80:E80"/>
    <mergeCell ref="A505:Z505"/>
    <mergeCell ref="P551:T551"/>
    <mergeCell ref="A169:Z169"/>
    <mergeCell ref="D459:E459"/>
    <mergeCell ref="P148:V148"/>
    <mergeCell ref="A532:Z532"/>
    <mergeCell ref="P59:T59"/>
    <mergeCell ref="P130:T130"/>
    <mergeCell ref="D136:E136"/>
    <mergeCell ref="D434:E434"/>
    <mergeCell ref="P488:T488"/>
    <mergeCell ref="D225:E225"/>
    <mergeCell ref="A399:O400"/>
    <mergeCell ref="P555:T555"/>
    <mergeCell ref="D436:E436"/>
    <mergeCell ref="P490:T490"/>
    <mergeCell ref="A476:O477"/>
    <mergeCell ref="A305:O306"/>
    <mergeCell ref="D534:E534"/>
    <mergeCell ref="A243:O244"/>
    <mergeCell ref="P262:V262"/>
    <mergeCell ref="P321:T321"/>
    <mergeCell ref="P125:T125"/>
    <mergeCell ref="P573:V573"/>
    <mergeCell ref="W599:X599"/>
    <mergeCell ref="A520:Z520"/>
    <mergeCell ref="J600:J601"/>
    <mergeCell ref="D367:E367"/>
    <mergeCell ref="A56:Z56"/>
    <mergeCell ref="L600:L601"/>
    <mergeCell ref="P473:V473"/>
    <mergeCell ref="P31:V31"/>
    <mergeCell ref="P98:T98"/>
    <mergeCell ref="H5:M5"/>
    <mergeCell ref="D212:E212"/>
    <mergeCell ref="D439:E439"/>
    <mergeCell ref="A456:Z456"/>
    <mergeCell ref="D510:E510"/>
    <mergeCell ref="A285:Z285"/>
    <mergeCell ref="P225:T225"/>
    <mergeCell ref="D146:E146"/>
    <mergeCell ref="D304:E304"/>
    <mergeCell ref="D6:M6"/>
    <mergeCell ref="P175:T175"/>
    <mergeCell ref="P266:V266"/>
    <mergeCell ref="A85:Z85"/>
    <mergeCell ref="P460:T460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475:T475"/>
    <mergeCell ref="D481:E481"/>
    <mergeCell ref="AC17:AC18"/>
    <mergeCell ref="P485:T485"/>
    <mergeCell ref="H10:M10"/>
    <mergeCell ref="P101:V101"/>
    <mergeCell ref="A409:O410"/>
    <mergeCell ref="P279:T279"/>
    <mergeCell ref="D418:E418"/>
    <mergeCell ref="D393:E393"/>
    <mergeCell ref="P108:T108"/>
    <mergeCell ref="P209:V209"/>
    <mergeCell ref="P512:T512"/>
    <mergeCell ref="P487:T487"/>
    <mergeCell ref="P343:T343"/>
    <mergeCell ref="D420:E420"/>
    <mergeCell ref="P256:T256"/>
    <mergeCell ref="V6:W9"/>
    <mergeCell ref="P554:T554"/>
    <mergeCell ref="P38:T38"/>
    <mergeCell ref="D435:E435"/>
    <mergeCell ref="D186:E186"/>
    <mergeCell ref="D413:E413"/>
    <mergeCell ref="P345:T345"/>
    <mergeCell ref="D484:E484"/>
    <mergeCell ref="A226:O227"/>
    <mergeCell ref="D217:E217"/>
    <mergeCell ref="D65:E65"/>
    <mergeCell ref="P22:T22"/>
    <mergeCell ref="P320:T320"/>
    <mergeCell ref="P314:T314"/>
    <mergeCell ref="P257:T257"/>
    <mergeCell ref="P54:V54"/>
    <mergeCell ref="P80:T80"/>
    <mergeCell ref="P561:T561"/>
    <mergeCell ref="Y599:AB599"/>
    <mergeCell ref="D206:E206"/>
    <mergeCell ref="A578:O579"/>
    <mergeCell ref="D181:E181"/>
    <mergeCell ref="A221:O222"/>
    <mergeCell ref="P156:T156"/>
    <mergeCell ref="P252:V252"/>
    <mergeCell ref="P500:T500"/>
    <mergeCell ref="P341:V341"/>
    <mergeCell ref="P468:V468"/>
    <mergeCell ref="A464:Z464"/>
    <mergeCell ref="P535:T535"/>
    <mergeCell ref="P316:V316"/>
    <mergeCell ref="P212:T212"/>
    <mergeCell ref="A135:Z135"/>
    <mergeCell ref="AA17:AA18"/>
    <mergeCell ref="A580:Z580"/>
    <mergeCell ref="Z17:Z18"/>
    <mergeCell ref="AB17:AB18"/>
    <mergeCell ref="A41:Z41"/>
    <mergeCell ref="D446:E446"/>
    <mergeCell ref="A575:Z575"/>
    <mergeCell ref="P44:V44"/>
    <mergeCell ref="P93:T93"/>
    <mergeCell ref="P335:T335"/>
    <mergeCell ref="D256:E256"/>
    <mergeCell ref="D207:E207"/>
    <mergeCell ref="D383:E383"/>
    <mergeCell ref="P164:T164"/>
    <mergeCell ref="D299:E299"/>
    <mergeCell ref="A401:Z401"/>
    <mergeCell ref="P393:T393"/>
    <mergeCell ref="D203:E203"/>
    <mergeCell ref="P549:V549"/>
    <mergeCell ref="P165:V165"/>
    <mergeCell ref="P232:T232"/>
    <mergeCell ref="P30:V30"/>
    <mergeCell ref="P330:T330"/>
    <mergeCell ref="P159:T159"/>
    <mergeCell ref="A275:Z275"/>
    <mergeCell ref="P517:T517"/>
    <mergeCell ref="D438:E438"/>
    <mergeCell ref="D509:E509"/>
    <mergeCell ref="D425:E425"/>
    <mergeCell ref="P96:T96"/>
    <mergeCell ref="H17:H18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D75:E75"/>
    <mergeCell ref="P247:V247"/>
    <mergeCell ref="P476:V476"/>
    <mergeCell ref="P35:T35"/>
    <mergeCell ref="A529:O530"/>
    <mergeCell ref="G17:G18"/>
    <mergeCell ref="D314:E314"/>
    <mergeCell ref="P48:T48"/>
    <mergeCell ref="J9:M9"/>
    <mergeCell ref="P141:T141"/>
    <mergeCell ref="P454:V454"/>
    <mergeCell ref="P377:T377"/>
    <mergeCell ref="P206:T206"/>
    <mergeCell ref="D491:E491"/>
    <mergeCell ref="P233:T233"/>
    <mergeCell ref="P304:T304"/>
    <mergeCell ref="D176:E176"/>
    <mergeCell ref="D114:E114"/>
    <mergeCell ref="P37:T37"/>
    <mergeCell ref="D412:E412"/>
    <mergeCell ref="P391:V391"/>
    <mergeCell ref="A390:O391"/>
    <mergeCell ref="P518:V518"/>
    <mergeCell ref="A273:O274"/>
    <mergeCell ref="D64:E64"/>
    <mergeCell ref="P441:T441"/>
    <mergeCell ref="D51:E51"/>
    <mergeCell ref="P235:T235"/>
    <mergeCell ref="P506:T506"/>
    <mergeCell ref="D349:E349"/>
    <mergeCell ref="P455:V455"/>
    <mergeCell ref="A451:Z451"/>
    <mergeCell ref="A454:O455"/>
    <mergeCell ref="A445:Z445"/>
    <mergeCell ref="P207:T207"/>
    <mergeCell ref="A372:Z372"/>
    <mergeCell ref="P299:T299"/>
    <mergeCell ref="P172:V172"/>
    <mergeCell ref="P221:V221"/>
    <mergeCell ref="P326:V326"/>
    <mergeCell ref="A13:M13"/>
    <mergeCell ref="P244:V244"/>
    <mergeCell ref="A69:Z69"/>
    <mergeCell ref="W600:W601"/>
    <mergeCell ref="P315:V315"/>
    <mergeCell ref="Y600:Y601"/>
    <mergeCell ref="A560:Z560"/>
    <mergeCell ref="A15:M15"/>
    <mergeCell ref="A498:Z498"/>
    <mergeCell ref="A61:O62"/>
    <mergeCell ref="D490:E490"/>
    <mergeCell ref="D48:E48"/>
    <mergeCell ref="A359:O360"/>
    <mergeCell ref="P594:V594"/>
    <mergeCell ref="A153:O15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D112:E112"/>
    <mergeCell ref="D581:E581"/>
    <mergeCell ref="P538:T538"/>
    <mergeCell ref="A54:O55"/>
    <mergeCell ref="A573:O574"/>
    <mergeCell ref="B600:B601"/>
    <mergeCell ref="D600:D601"/>
    <mergeCell ref="P386:V386"/>
    <mergeCell ref="A211:Z211"/>
    <mergeCell ref="X600:X601"/>
    <mergeCell ref="P449:V449"/>
    <mergeCell ref="A470:Z470"/>
    <mergeCell ref="Z600:Z601"/>
    <mergeCell ref="D335:E335"/>
    <mergeCell ref="P516:T516"/>
    <mergeCell ref="D201:E201"/>
    <mergeCell ref="P543:T543"/>
    <mergeCell ref="P224:T224"/>
    <mergeCell ref="P491:T491"/>
    <mergeCell ref="P24:T24"/>
    <mergeCell ref="P322:T322"/>
    <mergeCell ref="P260:T260"/>
    <mergeCell ref="P309:T309"/>
    <mergeCell ref="D59:E59"/>
    <mergeCell ref="A63:Z63"/>
    <mergeCell ref="P545:T545"/>
    <mergeCell ref="D178:E178"/>
    <mergeCell ref="P88:T88"/>
    <mergeCell ref="P51:T51"/>
    <mergeCell ref="P461:V461"/>
    <mergeCell ref="P324:T324"/>
    <mergeCell ref="A584:Z584"/>
    <mergeCell ref="A143:O144"/>
    <mergeCell ref="P511:T511"/>
    <mergeCell ref="D555:E555"/>
    <mergeCell ref="P227:V227"/>
    <mergeCell ref="D36:E36"/>
    <mergeCell ref="P525:V525"/>
    <mergeCell ref="P444:V444"/>
    <mergeCell ref="P380:T380"/>
    <mergeCell ref="P564:T564"/>
    <mergeCell ref="T5:U5"/>
    <mergeCell ref="D119:E119"/>
    <mergeCell ref="V5:W5"/>
    <mergeCell ref="D246:E246"/>
    <mergeCell ref="P203:T203"/>
    <mergeCell ref="D488:E488"/>
    <mergeCell ref="A295:O296"/>
    <mergeCell ref="D338:E338"/>
    <mergeCell ref="D233:E233"/>
    <mergeCell ref="Q8:R8"/>
    <mergeCell ref="C600:C601"/>
    <mergeCell ref="P438:T438"/>
    <mergeCell ref="D419:E419"/>
    <mergeCell ref="E600:E601"/>
    <mergeCell ref="D219:E219"/>
    <mergeCell ref="P425:T425"/>
    <mergeCell ref="P83:V83"/>
    <mergeCell ref="A82:O83"/>
    <mergeCell ref="T6:U9"/>
    <mergeCell ref="A30:O31"/>
    <mergeCell ref="Q10:R10"/>
    <mergeCell ref="A429:Z429"/>
    <mergeCell ref="A315:O316"/>
    <mergeCell ref="P356:T356"/>
    <mergeCell ref="D277:E277"/>
    <mergeCell ref="D564:E564"/>
    <mergeCell ref="D485:E485"/>
    <mergeCell ref="P149:V149"/>
    <mergeCell ref="A145:Z145"/>
    <mergeCell ref="A586:O587"/>
    <mergeCell ref="A346:O347"/>
    <mergeCell ref="P385:V385"/>
    <mergeCell ref="A12:M12"/>
    <mergeCell ref="P597:V597"/>
    <mergeCell ref="D487:E487"/>
    <mergeCell ref="A411:Z411"/>
    <mergeCell ref="D343:E343"/>
    <mergeCell ref="A416:Z416"/>
    <mergeCell ref="A240:Z240"/>
    <mergeCell ref="P74:T74"/>
    <mergeCell ref="P243:V243"/>
    <mergeCell ref="A190:Z190"/>
    <mergeCell ref="A19:Z19"/>
    <mergeCell ref="P292:V292"/>
    <mergeCell ref="D182:E182"/>
    <mergeCell ref="A117:Z117"/>
    <mergeCell ref="A14:M14"/>
    <mergeCell ref="D280:E280"/>
    <mergeCell ref="D551:E551"/>
    <mergeCell ref="P163:T163"/>
    <mergeCell ref="A160:O161"/>
    <mergeCell ref="A111:Z111"/>
    <mergeCell ref="A480:Z480"/>
    <mergeCell ref="D345:E345"/>
    <mergeCell ref="D538:E538"/>
    <mergeCell ref="P216:T216"/>
    <mergeCell ref="P514:T514"/>
    <mergeCell ref="A582:O583"/>
    <mergeCell ref="D137:E137"/>
    <mergeCell ref="P360:V360"/>
    <mergeCell ref="P489:T489"/>
    <mergeCell ref="D74:E74"/>
    <mergeCell ref="D130:E130"/>
    <mergeCell ref="P87:T87"/>
    <mergeCell ref="I599:V599"/>
    <mergeCell ref="A134:Z134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A162:Z162"/>
    <mergeCell ref="P579:V579"/>
    <mergeCell ref="A67:O68"/>
    <mergeCell ref="P208:T208"/>
    <mergeCell ref="A138:O139"/>
    <mergeCell ref="A132:O133"/>
    <mergeCell ref="A496:O497"/>
    <mergeCell ref="A325:O326"/>
    <mergeCell ref="D352:E352"/>
    <mergeCell ref="P419:T419"/>
    <mergeCell ref="P219:T219"/>
    <mergeCell ref="P272:T272"/>
    <mergeCell ref="D460:E460"/>
    <mergeCell ref="A340:O341"/>
    <mergeCell ref="D569:E569"/>
    <mergeCell ref="D398:E398"/>
    <mergeCell ref="D156:E156"/>
    <mergeCell ref="P308:T308"/>
    <mergeCell ref="A5:C5"/>
    <mergeCell ref="P583:V583"/>
    <mergeCell ref="P406:T406"/>
    <mergeCell ref="D179:E179"/>
    <mergeCell ref="P591:V591"/>
    <mergeCell ref="D337:E337"/>
    <mergeCell ref="P128:V128"/>
    <mergeCell ref="A17:A18"/>
    <mergeCell ref="P364:V364"/>
    <mergeCell ref="A189:Z189"/>
    <mergeCell ref="P493:T493"/>
    <mergeCell ref="C17:C18"/>
    <mergeCell ref="P431:T431"/>
    <mergeCell ref="K17:K18"/>
    <mergeCell ref="D37:E37"/>
    <mergeCell ref="P358:T358"/>
    <mergeCell ref="A548:O549"/>
    <mergeCell ref="A474:Z474"/>
    <mergeCell ref="D339:E339"/>
    <mergeCell ref="D230:E230"/>
    <mergeCell ref="D466:E466"/>
    <mergeCell ref="P66:T66"/>
    <mergeCell ref="D180:E180"/>
    <mergeCell ref="P137:T137"/>
    <mergeCell ref="P197:T197"/>
    <mergeCell ref="A183:O184"/>
    <mergeCell ref="D118:E118"/>
    <mergeCell ref="P495:T495"/>
    <mergeCell ref="P53:T53"/>
    <mergeCell ref="P351:T351"/>
    <mergeCell ref="D9:E9"/>
    <mergeCell ref="F9:G9"/>
    <mergeCell ref="A6:C6"/>
    <mergeCell ref="D88:E88"/>
    <mergeCell ref="P142:T142"/>
    <mergeCell ref="P403:T403"/>
    <mergeCell ref="P378:T378"/>
    <mergeCell ref="D517:E517"/>
    <mergeCell ref="D324:E324"/>
    <mergeCell ref="P182:T182"/>
    <mergeCell ref="P102:V102"/>
    <mergeCell ref="P280:T280"/>
    <mergeCell ref="Q12:R12"/>
    <mergeCell ref="P600:P601"/>
    <mergeCell ref="D388:E388"/>
    <mergeCell ref="R600:R601"/>
    <mergeCell ref="P442:T442"/>
    <mergeCell ref="A261:O262"/>
    <mergeCell ref="D546:E546"/>
    <mergeCell ref="P119:T119"/>
    <mergeCell ref="P354:V354"/>
    <mergeCell ref="P246:T246"/>
    <mergeCell ref="P183:V183"/>
    <mergeCell ref="A43:O44"/>
    <mergeCell ref="P62:V62"/>
    <mergeCell ref="P133:V133"/>
    <mergeCell ref="D561:E561"/>
    <mergeCell ref="P127:V127"/>
    <mergeCell ref="P198:V198"/>
    <mergeCell ref="P347:V347"/>
    <mergeCell ref="D403:E403"/>
    <mergeCell ref="D232:E232"/>
    <mergeCell ref="A263:Z263"/>
    <mergeCell ref="P238:V238"/>
    <mergeCell ref="Q9:R9"/>
    <mergeCell ref="P267:V267"/>
    <mergeCell ref="D255:E255"/>
    <mergeCell ref="A32:Z32"/>
    <mergeCell ref="A303:Z303"/>
    <mergeCell ref="D24:E24"/>
    <mergeCell ref="D322:E322"/>
    <mergeCell ref="P376:T376"/>
    <mergeCell ref="D260:E260"/>
    <mergeCell ref="P205:T205"/>
    <mergeCell ref="A588:Z588"/>
    <mergeCell ref="D453:E453"/>
    <mergeCell ref="D309:E309"/>
    <mergeCell ref="D113:E113"/>
    <mergeCell ref="Q11:R11"/>
    <mergeCell ref="P415:V415"/>
    <mergeCell ref="P180:T180"/>
    <mergeCell ref="A558:O559"/>
    <mergeCell ref="D545:E545"/>
    <mergeCell ref="P118:T118"/>
    <mergeCell ref="P67:V67"/>
    <mergeCell ref="A247:O248"/>
    <mergeCell ref="D38:E38"/>
    <mergeCell ref="P82:V82"/>
    <mergeCell ref="P15:T16"/>
    <mergeCell ref="P23:T23"/>
    <mergeCell ref="D106:E106"/>
    <mergeCell ref="P544:T544"/>
    <mergeCell ref="D93:E93"/>
    <mergeCell ref="P581:T581"/>
    <mergeCell ref="P277:T277"/>
    <mergeCell ref="D220:E220"/>
    <mergeCell ref="P350:T350"/>
    <mergeCell ref="A540:O541"/>
    <mergeCell ref="A168:Z168"/>
    <mergeCell ref="P52:T52"/>
    <mergeCell ref="P139:V139"/>
    <mergeCell ref="P481:T481"/>
    <mergeCell ref="A467:O468"/>
    <mergeCell ref="D141:E141"/>
    <mergeCell ref="I17:I18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D421:E421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A424:Z424"/>
    <mergeCell ref="A253:Z253"/>
    <mergeCell ref="D1:F1"/>
    <mergeCell ref="A313:Z313"/>
    <mergeCell ref="P47:T47"/>
    <mergeCell ref="A307:Z307"/>
    <mergeCell ref="P282:V282"/>
    <mergeCell ref="P409:V409"/>
    <mergeCell ref="J17:J18"/>
    <mergeCell ref="P61:V61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414:O415"/>
    <mergeCell ref="P113:T113"/>
    <mergeCell ref="A173:Z173"/>
    <mergeCell ref="A229:Z229"/>
    <mergeCell ref="D100:E100"/>
    <mergeCell ref="P17:T18"/>
    <mergeCell ref="D523:E523"/>
    <mergeCell ref="P250:T250"/>
    <mergeCell ref="P50:T50"/>
    <mergeCell ref="P492:T492"/>
    <mergeCell ref="D329:E329"/>
    <mergeCell ref="P286:T286"/>
    <mergeCell ref="A402:Z402"/>
    <mergeCell ref="D158:E158"/>
    <mergeCell ref="D565:E565"/>
    <mergeCell ref="A592:O597"/>
    <mergeCell ref="A109:O110"/>
    <mergeCell ref="P482:T482"/>
    <mergeCell ref="A332:O333"/>
    <mergeCell ref="D527:E527"/>
    <mergeCell ref="D356:E356"/>
    <mergeCell ref="P226:V226"/>
    <mergeCell ref="A387:Z387"/>
    <mergeCell ref="P462:V462"/>
    <mergeCell ref="A45:Z45"/>
    <mergeCell ref="O600:O601"/>
    <mergeCell ref="Q600:Q601"/>
    <mergeCell ref="P399:V399"/>
    <mergeCell ref="P333:V333"/>
    <mergeCell ref="P571:T571"/>
    <mergeCell ref="D272:E272"/>
    <mergeCell ref="D514:E514"/>
    <mergeCell ref="D381:E381"/>
    <mergeCell ref="D308:E308"/>
    <mergeCell ref="A46:Z46"/>
    <mergeCell ref="F600:F601"/>
    <mergeCell ref="P537:T537"/>
    <mergeCell ref="P508:T508"/>
    <mergeCell ref="D380:E380"/>
    <mergeCell ref="P337:T337"/>
    <mergeCell ref="P188:V188"/>
    <mergeCell ref="A187:O188"/>
    <mergeCell ref="D147:E147"/>
    <mergeCell ref="D87:E87"/>
    <mergeCell ref="D516:E516"/>
    <mergeCell ref="D122:E122"/>
    <mergeCell ref="D224:E224"/>
    <mergeCell ref="H1:Q1"/>
    <mergeCell ref="A448:O449"/>
    <mergeCell ref="P109:V109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P40:V40"/>
    <mergeCell ref="D501:E501"/>
    <mergeCell ref="D495:E495"/>
    <mergeCell ref="P405:T405"/>
    <mergeCell ref="A374:Z374"/>
    <mergeCell ref="D432:E432"/>
    <mergeCell ref="D236:E236"/>
    <mergeCell ref="A472:O473"/>
    <mergeCell ref="D92:E92"/>
    <mergeCell ref="A361:Z361"/>
    <mergeCell ref="P413:T413"/>
    <mergeCell ref="P340:V340"/>
    <mergeCell ref="P242:T242"/>
    <mergeCell ref="P407:T407"/>
    <mergeCell ref="A524:O525"/>
    <mergeCell ref="A140:Z140"/>
    <mergeCell ref="D5:E5"/>
    <mergeCell ref="P382:T382"/>
    <mergeCell ref="D8:M8"/>
    <mergeCell ref="P237:T237"/>
    <mergeCell ref="P472:V472"/>
    <mergeCell ref="P329:T329"/>
    <mergeCell ref="P158:T158"/>
    <mergeCell ref="P522:T522"/>
    <mergeCell ref="A590:O591"/>
    <mergeCell ref="D406:E406"/>
    <mergeCell ref="P565:T565"/>
    <mergeCell ref="AB600:AB601"/>
    <mergeCell ref="P251:V251"/>
    <mergeCell ref="A148:O149"/>
    <mergeCell ref="AD600:AD601"/>
    <mergeCell ref="A228:Z228"/>
    <mergeCell ref="P95:T95"/>
    <mergeCell ref="P530:V530"/>
    <mergeCell ref="A526:Z526"/>
    <mergeCell ref="A355:Z355"/>
    <mergeCell ref="P527:T527"/>
    <mergeCell ref="P502:T502"/>
    <mergeCell ref="A461:O462"/>
    <mergeCell ref="P331:T331"/>
    <mergeCell ref="P553:T553"/>
    <mergeCell ref="P453:T453"/>
    <mergeCell ref="A238:O239"/>
    <mergeCell ref="P42:T42"/>
    <mergeCell ref="D290:E290"/>
    <mergeCell ref="D94:E94"/>
    <mergeCell ref="D417:E417"/>
    <mergeCell ref="P471:T471"/>
    <mergeCell ref="P567:V567"/>
    <mergeCell ref="A392:Z392"/>
    <mergeCell ref="G600:G601"/>
    <mergeCell ref="P234:T234"/>
    <mergeCell ref="P325:V325"/>
    <mergeCell ref="I600:I601"/>
    <mergeCell ref="P154:V154"/>
    <mergeCell ref="A150:Z150"/>
    <mergeCell ref="D142:E142"/>
    <mergeCell ref="P390:V390"/>
    <mergeCell ref="D378:E378"/>
    <mergeCell ref="D7:M7"/>
    <mergeCell ref="P548:V548"/>
    <mergeCell ref="A373:Z373"/>
    <mergeCell ref="D536:E536"/>
    <mergeCell ref="P236:T236"/>
    <mergeCell ref="D79:E79"/>
    <mergeCell ref="P92:T92"/>
    <mergeCell ref="A450:Z450"/>
    <mergeCell ref="P394:T394"/>
    <mergeCell ref="A209:O210"/>
    <mergeCell ref="P570:T570"/>
    <mergeCell ref="P521:T521"/>
    <mergeCell ref="D502:E502"/>
    <mergeCell ref="D442:E442"/>
    <mergeCell ref="P29:T29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585:E585"/>
    <mergeCell ref="D66:E66"/>
    <mergeCell ref="D126:E126"/>
    <mergeCell ref="D197:E197"/>
    <mergeCell ref="P552:T552"/>
    <mergeCell ref="P381:T381"/>
    <mergeCell ref="D53:E53"/>
    <mergeCell ref="D351:E351"/>
    <mergeCell ref="A84:Z84"/>
    <mergeCell ref="D47:E47"/>
    <mergeCell ref="D482:E482"/>
    <mergeCell ref="P566:V566"/>
    <mergeCell ref="P395:V395"/>
    <mergeCell ref="P147:T147"/>
    <mergeCell ref="A193:O194"/>
    <mergeCell ref="W17:W18"/>
    <mergeCell ref="P261:V261"/>
    <mergeCell ref="P90:V90"/>
    <mergeCell ref="P503:V503"/>
    <mergeCell ref="P559:V559"/>
    <mergeCell ref="P332:V332"/>
    <mergeCell ref="P161:V161"/>
    <mergeCell ref="A151:Z151"/>
    <mergeCell ref="P27:V27"/>
    <mergeCell ref="D208:E208"/>
    <mergeCell ref="A395:O396"/>
    <mergeCell ref="P396:V396"/>
    <mergeCell ref="P259:T259"/>
    <mergeCell ref="P572:T572"/>
    <mergeCell ref="P230:T230"/>
    <mergeCell ref="D382:E382"/>
    <mergeCell ref="P339:T339"/>
    <mergeCell ref="P504:V504"/>
    <mergeCell ref="B17:B18"/>
    <mergeCell ref="P143:V143"/>
    <mergeCell ref="P248:V248"/>
    <mergeCell ref="D131:E131"/>
    <mergeCell ref="A171:O172"/>
    <mergeCell ref="D258:E258"/>
    <mergeCell ref="P477:V477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300:O301"/>
    <mergeCell ref="P170:T170"/>
    <mergeCell ref="P97:T97"/>
    <mergeCell ref="P466:T466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443:O444"/>
    <mergeCell ref="P115:V115"/>
    <mergeCell ref="A503:O504"/>
    <mergeCell ref="P432:T432"/>
    <mergeCell ref="P400:V400"/>
    <mergeCell ref="A89:O90"/>
    <mergeCell ref="A282:O283"/>
    <mergeCell ref="P152:T152"/>
    <mergeCell ref="D98:E98"/>
    <mergeCell ref="D73:E73"/>
    <mergeCell ref="A76:O77"/>
    <mergeCell ref="P77:V77"/>
    <mergeCell ref="A200:Z200"/>
    <mergeCell ref="P166:V166"/>
    <mergeCell ref="P290:T290"/>
    <mergeCell ref="D535:E535"/>
    <mergeCell ref="P79:T79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P89:V89"/>
    <mergeCell ref="P389:T389"/>
    <mergeCell ref="P558:V558"/>
    <mergeCell ref="A334:Z334"/>
    <mergeCell ref="A576:Z576"/>
    <mergeCell ref="P26:V26"/>
    <mergeCell ref="A78:Z78"/>
    <mergeCell ref="P153:V153"/>
    <mergeCell ref="D70:E70"/>
    <mergeCell ref="P562:T562"/>
    <mergeCell ref="P220:T220"/>
    <mergeCell ref="D499:E499"/>
    <mergeCell ref="D486:E486"/>
    <mergeCell ref="P86:T86"/>
    <mergeCell ref="A287:O288"/>
    <mergeCell ref="A550:Z550"/>
    <mergeCell ref="P452:T452"/>
    <mergeCell ref="P448:V44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6 X88 X106 X280" xr:uid="{00000000-0002-0000-0000-000011000000}">
      <formula1>IF(AK36&gt;0,OR(X36=0,AND(IF(X36-AK36&gt;=0,TRUE,FALSE),X36&gt;0,IF(X36/(H36*K36)=ROUND(X36/(H36*K36),0),TRUE,FALSE))),FALSE)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8 X53 X60 X123 X321 X376 X378 X381 X388" xr:uid="{00000000-0002-0000-0000-000012000000}">
      <formula1>IF(AK48&gt;0,OR(X48=0,AND(IF(X48-AK48&gt;=0,TRUE,FALSE),X48&gt;0,IF(X48/(H48*J48)=ROUND(X48/(H48*J48),0),TRUE,FALSE))),FALSE)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GkDY+1b/LLPguqhHe15i1Dxv36GmoBCDNZ3itNnU22Qp/chyjEdPe8MItJVR7mBCPZyuGvy6y5aklFZozUctQw==" saltValue="1CAtJvCipV+2oATzRYc0t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2025-04-08T08:13:31Z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