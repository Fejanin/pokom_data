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98ABCDA5-BBA5-4D64-82EF-B66E06C185D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06" i="1" l="1"/>
  <c r="X595" i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Y529" i="1"/>
  <c r="X529" i="1"/>
  <c r="BP528" i="1"/>
  <c r="BO528" i="1"/>
  <c r="BN528" i="1"/>
  <c r="BM528" i="1"/>
  <c r="Z528" i="1"/>
  <c r="Y528" i="1"/>
  <c r="P528" i="1"/>
  <c r="BO527" i="1"/>
  <c r="BM527" i="1"/>
  <c r="Y527" i="1"/>
  <c r="P527" i="1"/>
  <c r="BP526" i="1"/>
  <c r="BO526" i="1"/>
  <c r="BN526" i="1"/>
  <c r="BM526" i="1"/>
  <c r="Z526" i="1"/>
  <c r="Y526" i="1"/>
  <c r="Y530" i="1" s="1"/>
  <c r="P526" i="1"/>
  <c r="X524" i="1"/>
  <c r="X523" i="1"/>
  <c r="BP522" i="1"/>
  <c r="BO522" i="1"/>
  <c r="BN522" i="1"/>
  <c r="BM522" i="1"/>
  <c r="Z522" i="1"/>
  <c r="Y522" i="1"/>
  <c r="BP521" i="1"/>
  <c r="BO521" i="1"/>
  <c r="BN521" i="1"/>
  <c r="BM521" i="1"/>
  <c r="Z521" i="1"/>
  <c r="Y521" i="1"/>
  <c r="P521" i="1"/>
  <c r="BO520" i="1"/>
  <c r="BM520" i="1"/>
  <c r="Y520" i="1"/>
  <c r="P520" i="1"/>
  <c r="BP519" i="1"/>
  <c r="BO519" i="1"/>
  <c r="BN519" i="1"/>
  <c r="BM519" i="1"/>
  <c r="Z519" i="1"/>
  <c r="Y519" i="1"/>
  <c r="BP518" i="1"/>
  <c r="BO518" i="1"/>
  <c r="BN518" i="1"/>
  <c r="BM518" i="1"/>
  <c r="Z518" i="1"/>
  <c r="Y518" i="1"/>
  <c r="BP517" i="1"/>
  <c r="BO517" i="1"/>
  <c r="BN517" i="1"/>
  <c r="BM517" i="1"/>
  <c r="Z517" i="1"/>
  <c r="Y517" i="1"/>
  <c r="P517" i="1"/>
  <c r="BO516" i="1"/>
  <c r="BN516" i="1"/>
  <c r="BM516" i="1"/>
  <c r="Z516" i="1"/>
  <c r="Y516" i="1"/>
  <c r="BP516" i="1" s="1"/>
  <c r="BP515" i="1"/>
  <c r="BO515" i="1"/>
  <c r="BN515" i="1"/>
  <c r="BM515" i="1"/>
  <c r="Z515" i="1"/>
  <c r="Y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BP512" i="1"/>
  <c r="BO512" i="1"/>
  <c r="BN512" i="1"/>
  <c r="BM512" i="1"/>
  <c r="Z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P506" i="1"/>
  <c r="BP505" i="1"/>
  <c r="BO505" i="1"/>
  <c r="BN505" i="1"/>
  <c r="BM505" i="1"/>
  <c r="Z505" i="1"/>
  <c r="Y505" i="1"/>
  <c r="Y509" i="1" s="1"/>
  <c r="X503" i="1"/>
  <c r="X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BP497" i="1"/>
  <c r="BO497" i="1"/>
  <c r="BN497" i="1"/>
  <c r="BM497" i="1"/>
  <c r="Z497" i="1"/>
  <c r="Y497" i="1"/>
  <c r="BP496" i="1"/>
  <c r="BO496" i="1"/>
  <c r="BN496" i="1"/>
  <c r="BM496" i="1"/>
  <c r="Z496" i="1"/>
  <c r="Y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3" i="1"/>
  <c r="Y472" i="1"/>
  <c r="X472" i="1"/>
  <c r="BP471" i="1"/>
  <c r="BO471" i="1"/>
  <c r="BN471" i="1"/>
  <c r="BM471" i="1"/>
  <c r="Z471" i="1"/>
  <c r="Y471" i="1"/>
  <c r="BP470" i="1"/>
  <c r="BO470" i="1"/>
  <c r="BN470" i="1"/>
  <c r="BM470" i="1"/>
  <c r="Z470" i="1"/>
  <c r="Z472" i="1" s="1"/>
  <c r="Y470" i="1"/>
  <c r="AA606" i="1" s="1"/>
  <c r="P470" i="1"/>
  <c r="X467" i="1"/>
  <c r="X466" i="1"/>
  <c r="BP465" i="1"/>
  <c r="BO465" i="1"/>
  <c r="BN465" i="1"/>
  <c r="BM465" i="1"/>
  <c r="Z465" i="1"/>
  <c r="Y465" i="1"/>
  <c r="P465" i="1"/>
  <c r="BO464" i="1"/>
  <c r="BM464" i="1"/>
  <c r="Y464" i="1"/>
  <c r="BO463" i="1"/>
  <c r="BM463" i="1"/>
  <c r="Y463" i="1"/>
  <c r="P463" i="1"/>
  <c r="BP462" i="1"/>
  <c r="BO462" i="1"/>
  <c r="BN462" i="1"/>
  <c r="BM462" i="1"/>
  <c r="Z462" i="1"/>
  <c r="Y462" i="1"/>
  <c r="Y467" i="1" s="1"/>
  <c r="X460" i="1"/>
  <c r="X459" i="1"/>
  <c r="BO458" i="1"/>
  <c r="BM458" i="1"/>
  <c r="Y458" i="1"/>
  <c r="P458" i="1"/>
  <c r="BP457" i="1"/>
  <c r="BO457" i="1"/>
  <c r="BN457" i="1"/>
  <c r="BM457" i="1"/>
  <c r="Z457" i="1"/>
  <c r="Y457" i="1"/>
  <c r="Z606" i="1" s="1"/>
  <c r="P457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Y431" i="1"/>
  <c r="X431" i="1"/>
  <c r="BP430" i="1"/>
  <c r="BO430" i="1"/>
  <c r="BN430" i="1"/>
  <c r="BM430" i="1"/>
  <c r="Z430" i="1"/>
  <c r="Z431" i="1" s="1"/>
  <c r="Y430" i="1"/>
  <c r="Y432" i="1" s="1"/>
  <c r="X428" i="1"/>
  <c r="X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BP411" i="1"/>
  <c r="BO411" i="1"/>
  <c r="BN411" i="1"/>
  <c r="BM411" i="1"/>
  <c r="Z411" i="1"/>
  <c r="Y411" i="1"/>
  <c r="P411" i="1"/>
  <c r="X408" i="1"/>
  <c r="Y407" i="1"/>
  <c r="X407" i="1"/>
  <c r="BP406" i="1"/>
  <c r="BO406" i="1"/>
  <c r="BN406" i="1"/>
  <c r="BM406" i="1"/>
  <c r="Z406" i="1"/>
  <c r="Z407" i="1" s="1"/>
  <c r="Y406" i="1"/>
  <c r="Y408" i="1" s="1"/>
  <c r="X404" i="1"/>
  <c r="X403" i="1"/>
  <c r="BO402" i="1"/>
  <c r="BM402" i="1"/>
  <c r="Y402" i="1"/>
  <c r="BO401" i="1"/>
  <c r="BM401" i="1"/>
  <c r="Y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79" i="1"/>
  <c r="Y378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Y379" i="1" s="1"/>
  <c r="P375" i="1"/>
  <c r="X373" i="1"/>
  <c r="Y372" i="1"/>
  <c r="X372" i="1"/>
  <c r="BP371" i="1"/>
  <c r="BO371" i="1"/>
  <c r="BN371" i="1"/>
  <c r="BM371" i="1"/>
  <c r="Z371" i="1"/>
  <c r="Z372" i="1" s="1"/>
  <c r="Y371" i="1"/>
  <c r="V606" i="1" s="1"/>
  <c r="P371" i="1"/>
  <c r="X368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BP358" i="1"/>
  <c r="BO358" i="1"/>
  <c r="BN358" i="1"/>
  <c r="BM358" i="1"/>
  <c r="Z358" i="1"/>
  <c r="Y358" i="1"/>
  <c r="BP357" i="1"/>
  <c r="BO357" i="1"/>
  <c r="BN357" i="1"/>
  <c r="BM357" i="1"/>
  <c r="Z357" i="1"/>
  <c r="Y357" i="1"/>
  <c r="Y362" i="1" s="1"/>
  <c r="X355" i="1"/>
  <c r="X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P307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X296" i="1"/>
  <c r="X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X259" i="1"/>
  <c r="Y258" i="1"/>
  <c r="X258" i="1"/>
  <c r="BP257" i="1"/>
  <c r="BO257" i="1"/>
  <c r="BN257" i="1"/>
  <c r="BM257" i="1"/>
  <c r="Z257" i="1"/>
  <c r="Y257" i="1"/>
  <c r="BP256" i="1"/>
  <c r="BO256" i="1"/>
  <c r="BN256" i="1"/>
  <c r="BM256" i="1"/>
  <c r="Z256" i="1"/>
  <c r="Y256" i="1"/>
  <c r="BP255" i="1"/>
  <c r="BO255" i="1"/>
  <c r="BN255" i="1"/>
  <c r="BM255" i="1"/>
  <c r="Z255" i="1"/>
  <c r="Y255" i="1"/>
  <c r="BP254" i="1"/>
  <c r="BO254" i="1"/>
  <c r="BN254" i="1"/>
  <c r="BM254" i="1"/>
  <c r="Z254" i="1"/>
  <c r="Y254" i="1"/>
  <c r="BP253" i="1"/>
  <c r="BO253" i="1"/>
  <c r="BN253" i="1"/>
  <c r="BM253" i="1"/>
  <c r="Z253" i="1"/>
  <c r="Z258" i="1" s="1"/>
  <c r="Y253" i="1"/>
  <c r="Y259" i="1" s="1"/>
  <c r="X251" i="1"/>
  <c r="X250" i="1"/>
  <c r="BO249" i="1"/>
  <c r="BM249" i="1"/>
  <c r="Y249" i="1"/>
  <c r="X247" i="1"/>
  <c r="Y246" i="1"/>
  <c r="X246" i="1"/>
  <c r="BP245" i="1"/>
  <c r="BO245" i="1"/>
  <c r="BN245" i="1"/>
  <c r="BM245" i="1"/>
  <c r="Z245" i="1"/>
  <c r="Y245" i="1"/>
  <c r="BP244" i="1"/>
  <c r="BO244" i="1"/>
  <c r="BN244" i="1"/>
  <c r="BM244" i="1"/>
  <c r="Z244" i="1"/>
  <c r="Z246" i="1" s="1"/>
  <c r="Y244" i="1"/>
  <c r="Y247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Y229" i="1" s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Y225" i="1" s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P199" i="1"/>
  <c r="BO199" i="1"/>
  <c r="BN199" i="1"/>
  <c r="BM199" i="1"/>
  <c r="Z199" i="1"/>
  <c r="Y199" i="1"/>
  <c r="Y201" i="1" s="1"/>
  <c r="P199" i="1"/>
  <c r="X197" i="1"/>
  <c r="X196" i="1"/>
  <c r="BP195" i="1"/>
  <c r="BO195" i="1"/>
  <c r="BN195" i="1"/>
  <c r="BM195" i="1"/>
  <c r="Z195" i="1"/>
  <c r="Y195" i="1"/>
  <c r="P195" i="1"/>
  <c r="BO194" i="1"/>
  <c r="BM194" i="1"/>
  <c r="Y194" i="1"/>
  <c r="P194" i="1"/>
  <c r="X191" i="1"/>
  <c r="X190" i="1"/>
  <c r="BO189" i="1"/>
  <c r="BM189" i="1"/>
  <c r="Y189" i="1"/>
  <c r="X187" i="1"/>
  <c r="Y186" i="1"/>
  <c r="X186" i="1"/>
  <c r="BP185" i="1"/>
  <c r="BO185" i="1"/>
  <c r="BN185" i="1"/>
  <c r="BM185" i="1"/>
  <c r="Z185" i="1"/>
  <c r="Y185" i="1"/>
  <c r="BP184" i="1"/>
  <c r="BO184" i="1"/>
  <c r="BN184" i="1"/>
  <c r="BM184" i="1"/>
  <c r="Z184" i="1"/>
  <c r="Y184" i="1"/>
  <c r="BP183" i="1"/>
  <c r="BO183" i="1"/>
  <c r="BN183" i="1"/>
  <c r="BM183" i="1"/>
  <c r="Z183" i="1"/>
  <c r="Z186" i="1" s="1"/>
  <c r="Y183" i="1"/>
  <c r="Y187" i="1" s="1"/>
  <c r="X181" i="1"/>
  <c r="X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Y180" i="1" s="1"/>
  <c r="P171" i="1"/>
  <c r="X169" i="1"/>
  <c r="Y168" i="1"/>
  <c r="X168" i="1"/>
  <c r="BP167" i="1"/>
  <c r="BO167" i="1"/>
  <c r="BN167" i="1"/>
  <c r="BM167" i="1"/>
  <c r="Z167" i="1"/>
  <c r="Z168" i="1" s="1"/>
  <c r="Y167" i="1"/>
  <c r="P167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9" i="1"/>
  <c r="X158" i="1"/>
  <c r="BP157" i="1"/>
  <c r="BO157" i="1"/>
  <c r="BN157" i="1"/>
  <c r="BM157" i="1"/>
  <c r="Z157" i="1"/>
  <c r="Y157" i="1"/>
  <c r="P157" i="1"/>
  <c r="BO156" i="1"/>
  <c r="BM156" i="1"/>
  <c r="Y156" i="1"/>
  <c r="P156" i="1"/>
  <c r="BP155" i="1"/>
  <c r="BO155" i="1"/>
  <c r="BN155" i="1"/>
  <c r="BM155" i="1"/>
  <c r="Z155" i="1"/>
  <c r="Y155" i="1"/>
  <c r="P155" i="1"/>
  <c r="X153" i="1"/>
  <c r="Y152" i="1"/>
  <c r="X152" i="1"/>
  <c r="BP151" i="1"/>
  <c r="BO151" i="1"/>
  <c r="BN151" i="1"/>
  <c r="BM151" i="1"/>
  <c r="Z151" i="1"/>
  <c r="Z152" i="1" s="1"/>
  <c r="Y151" i="1"/>
  <c r="P151" i="1"/>
  <c r="X148" i="1"/>
  <c r="Y147" i="1"/>
  <c r="X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BP120" i="1"/>
  <c r="BO120" i="1"/>
  <c r="BN120" i="1"/>
  <c r="BM120" i="1"/>
  <c r="Z120" i="1"/>
  <c r="Y120" i="1"/>
  <c r="P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BO94" i="1"/>
  <c r="BM94" i="1"/>
  <c r="Y94" i="1"/>
  <c r="P94" i="1"/>
  <c r="BP93" i="1"/>
  <c r="BO93" i="1"/>
  <c r="BN93" i="1"/>
  <c r="BM93" i="1"/>
  <c r="Z93" i="1"/>
  <c r="Y93" i="1"/>
  <c r="P93" i="1"/>
  <c r="X91" i="1"/>
  <c r="Y90" i="1"/>
  <c r="X90" i="1"/>
  <c r="BP89" i="1"/>
  <c r="BO89" i="1"/>
  <c r="BN89" i="1"/>
  <c r="BM89" i="1"/>
  <c r="Z89" i="1"/>
  <c r="Y89" i="1"/>
  <c r="P89" i="1"/>
  <c r="BO88" i="1"/>
  <c r="BM88" i="1"/>
  <c r="Y88" i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P61" i="1"/>
  <c r="BP60" i="1"/>
  <c r="BO60" i="1"/>
  <c r="BN60" i="1"/>
  <c r="BM60" i="1"/>
  <c r="Z60" i="1"/>
  <c r="Y60" i="1"/>
  <c r="P60" i="1"/>
  <c r="BO59" i="1"/>
  <c r="BM59" i="1"/>
  <c r="Y59" i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P51" i="1"/>
  <c r="BP50" i="1"/>
  <c r="BO50" i="1"/>
  <c r="BN50" i="1"/>
  <c r="BM50" i="1"/>
  <c r="Z50" i="1"/>
  <c r="Y50" i="1"/>
  <c r="P50" i="1"/>
  <c r="BO49" i="1"/>
  <c r="BM49" i="1"/>
  <c r="Y49" i="1"/>
  <c r="P49" i="1"/>
  <c r="X46" i="1"/>
  <c r="X45" i="1"/>
  <c r="BO44" i="1"/>
  <c r="BM44" i="1"/>
  <c r="Y44" i="1"/>
  <c r="P44" i="1"/>
  <c r="X42" i="1"/>
  <c r="X41" i="1"/>
  <c r="X600" i="1" s="1"/>
  <c r="BO40" i="1"/>
  <c r="BM40" i="1"/>
  <c r="Y40" i="1"/>
  <c r="P40" i="1"/>
  <c r="BP39" i="1"/>
  <c r="BO39" i="1"/>
  <c r="BN39" i="1"/>
  <c r="BM39" i="1"/>
  <c r="Z39" i="1"/>
  <c r="Y39" i="1"/>
  <c r="P39" i="1"/>
  <c r="BO38" i="1"/>
  <c r="BM38" i="1"/>
  <c r="Y38" i="1"/>
  <c r="P38" i="1"/>
  <c r="BP37" i="1"/>
  <c r="BO37" i="1"/>
  <c r="BN37" i="1"/>
  <c r="BM37" i="1"/>
  <c r="Z37" i="1"/>
  <c r="Y37" i="1"/>
  <c r="C606" i="1" s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6" i="1" s="1"/>
  <c r="X28" i="1"/>
  <c r="BP27" i="1"/>
  <c r="BO27" i="1"/>
  <c r="BN27" i="1"/>
  <c r="BM27" i="1"/>
  <c r="Z27" i="1"/>
  <c r="Y27" i="1"/>
  <c r="P27" i="1"/>
  <c r="BO26" i="1"/>
  <c r="BM26" i="1"/>
  <c r="Y26" i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8" i="1" s="1"/>
  <c r="BM22" i="1"/>
  <c r="X597" i="1" s="1"/>
  <c r="X599" i="1" s="1"/>
  <c r="Y22" i="1"/>
  <c r="P22" i="1"/>
  <c r="H10" i="1"/>
  <c r="A9" i="1"/>
  <c r="F10" i="1" s="1"/>
  <c r="D7" i="1"/>
  <c r="Q6" i="1"/>
  <c r="P2" i="1"/>
  <c r="H9" i="1" l="1"/>
  <c r="A10" i="1"/>
  <c r="B606" i="1"/>
  <c r="Y29" i="1"/>
  <c r="BP26" i="1"/>
  <c r="BN26" i="1"/>
  <c r="Z26" i="1"/>
  <c r="BP40" i="1"/>
  <c r="BN40" i="1"/>
  <c r="Z40" i="1"/>
  <c r="Y42" i="1"/>
  <c r="Y45" i="1"/>
  <c r="BP44" i="1"/>
  <c r="BN44" i="1"/>
  <c r="Z44" i="1"/>
  <c r="Z45" i="1" s="1"/>
  <c r="Y46" i="1"/>
  <c r="D606" i="1"/>
  <c r="Y56" i="1"/>
  <c r="BP49" i="1"/>
  <c r="BN49" i="1"/>
  <c r="Z49" i="1"/>
  <c r="BP53" i="1"/>
  <c r="BN53" i="1"/>
  <c r="Z53" i="1"/>
  <c r="BP61" i="1"/>
  <c r="BN61" i="1"/>
  <c r="Z61" i="1"/>
  <c r="Y63" i="1"/>
  <c r="Y68" i="1"/>
  <c r="BP65" i="1"/>
  <c r="BN65" i="1"/>
  <c r="Z65" i="1"/>
  <c r="BP73" i="1"/>
  <c r="BN73" i="1"/>
  <c r="Z73" i="1"/>
  <c r="Y77" i="1"/>
  <c r="BP81" i="1"/>
  <c r="BN81" i="1"/>
  <c r="Z81" i="1"/>
  <c r="Z83" i="1" s="1"/>
  <c r="BP94" i="1"/>
  <c r="BN94" i="1"/>
  <c r="Z94" i="1"/>
  <c r="Z102" i="1" s="1"/>
  <c r="BP96" i="1"/>
  <c r="BN96" i="1"/>
  <c r="Z96" i="1"/>
  <c r="BP98" i="1"/>
  <c r="BN98" i="1"/>
  <c r="Z98" i="1"/>
  <c r="Y102" i="1"/>
  <c r="BP107" i="1"/>
  <c r="BN107" i="1"/>
  <c r="Z107" i="1"/>
  <c r="Z110" i="1" s="1"/>
  <c r="BP115" i="1"/>
  <c r="BN115" i="1"/>
  <c r="Z115" i="1"/>
  <c r="Y117" i="1"/>
  <c r="Y127" i="1"/>
  <c r="BP119" i="1"/>
  <c r="BN119" i="1"/>
  <c r="Z119" i="1"/>
  <c r="Y126" i="1"/>
  <c r="BP130" i="1"/>
  <c r="BN130" i="1"/>
  <c r="Z130" i="1"/>
  <c r="Z131" i="1" s="1"/>
  <c r="Y132" i="1"/>
  <c r="Y138" i="1"/>
  <c r="BP135" i="1"/>
  <c r="BN135" i="1"/>
  <c r="Z135" i="1"/>
  <c r="Z137" i="1" s="1"/>
  <c r="Z158" i="1"/>
  <c r="BP156" i="1"/>
  <c r="BN156" i="1"/>
  <c r="Z156" i="1"/>
  <c r="BP174" i="1"/>
  <c r="BN174" i="1"/>
  <c r="Z174" i="1"/>
  <c r="BP179" i="1"/>
  <c r="BN179" i="1"/>
  <c r="Z179" i="1"/>
  <c r="Y181" i="1"/>
  <c r="Y190" i="1"/>
  <c r="BP189" i="1"/>
  <c r="BN189" i="1"/>
  <c r="Z189" i="1"/>
  <c r="Z190" i="1" s="1"/>
  <c r="Y191" i="1"/>
  <c r="J606" i="1"/>
  <c r="Y197" i="1"/>
  <c r="BP194" i="1"/>
  <c r="BN194" i="1"/>
  <c r="Z194" i="1"/>
  <c r="Z196" i="1" s="1"/>
  <c r="BP206" i="1"/>
  <c r="BN206" i="1"/>
  <c r="Z206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BP265" i="1"/>
  <c r="BN265" i="1"/>
  <c r="Z265" i="1"/>
  <c r="BP279" i="1"/>
  <c r="BN279" i="1"/>
  <c r="Z279" i="1"/>
  <c r="BP287" i="1"/>
  <c r="BN287" i="1"/>
  <c r="Z287" i="1"/>
  <c r="BP328" i="1"/>
  <c r="BN328" i="1"/>
  <c r="Z328" i="1"/>
  <c r="Z333" i="1" s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Z348" i="1" s="1"/>
  <c r="Y349" i="1"/>
  <c r="Y354" i="1"/>
  <c r="BP351" i="1"/>
  <c r="BN351" i="1"/>
  <c r="Z351" i="1"/>
  <c r="Y355" i="1"/>
  <c r="BP365" i="1"/>
  <c r="BN365" i="1"/>
  <c r="Z365" i="1"/>
  <c r="Z367" i="1" s="1"/>
  <c r="Y367" i="1"/>
  <c r="BP402" i="1"/>
  <c r="BN402" i="1"/>
  <c r="Z402" i="1"/>
  <c r="Y404" i="1"/>
  <c r="BP412" i="1"/>
  <c r="BN412" i="1"/>
  <c r="Z412" i="1"/>
  <c r="Y416" i="1"/>
  <c r="BP424" i="1"/>
  <c r="BN424" i="1"/>
  <c r="Z424" i="1"/>
  <c r="Z427" i="1" s="1"/>
  <c r="Y428" i="1"/>
  <c r="BP437" i="1"/>
  <c r="BN437" i="1"/>
  <c r="Z437" i="1"/>
  <c r="BP439" i="1"/>
  <c r="BN439" i="1"/>
  <c r="Z439" i="1"/>
  <c r="BP444" i="1"/>
  <c r="BN444" i="1"/>
  <c r="Z444" i="1"/>
  <c r="BP447" i="1"/>
  <c r="BN447" i="1"/>
  <c r="Z447" i="1"/>
  <c r="Y449" i="1"/>
  <c r="Y454" i="1"/>
  <c r="BP451" i="1"/>
  <c r="BN451" i="1"/>
  <c r="Z451" i="1"/>
  <c r="Z453" i="1" s="1"/>
  <c r="Y453" i="1"/>
  <c r="BP489" i="1"/>
  <c r="BN489" i="1"/>
  <c r="Z489" i="1"/>
  <c r="BP492" i="1"/>
  <c r="BN492" i="1"/>
  <c r="Z492" i="1"/>
  <c r="BP499" i="1"/>
  <c r="BN499" i="1"/>
  <c r="Z499" i="1"/>
  <c r="BP507" i="1"/>
  <c r="BN507" i="1"/>
  <c r="Z507" i="1"/>
  <c r="Y533" i="1"/>
  <c r="BP532" i="1"/>
  <c r="BN532" i="1"/>
  <c r="Z532" i="1"/>
  <c r="Z533" i="1" s="1"/>
  <c r="Y534" i="1"/>
  <c r="Y552" i="1"/>
  <c r="BP547" i="1"/>
  <c r="BN547" i="1"/>
  <c r="Z547" i="1"/>
  <c r="AD606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G606" i="1"/>
  <c r="X606" i="1"/>
  <c r="F9" i="1"/>
  <c r="J9" i="1"/>
  <c r="Z22" i="1"/>
  <c r="Z28" i="1" s="1"/>
  <c r="BN22" i="1"/>
  <c r="BP22" i="1"/>
  <c r="Y28" i="1"/>
  <c r="BP38" i="1"/>
  <c r="BN38" i="1"/>
  <c r="Z38" i="1"/>
  <c r="Z41" i="1" s="1"/>
  <c r="BP51" i="1"/>
  <c r="BN51" i="1"/>
  <c r="Z51" i="1"/>
  <c r="Y55" i="1"/>
  <c r="BP59" i="1"/>
  <c r="BN59" i="1"/>
  <c r="Z59" i="1"/>
  <c r="Z62" i="1" s="1"/>
  <c r="BP67" i="1"/>
  <c r="BN67" i="1"/>
  <c r="Z67" i="1"/>
  <c r="Y69" i="1"/>
  <c r="Y78" i="1"/>
  <c r="BP71" i="1"/>
  <c r="BN71" i="1"/>
  <c r="Z71" i="1"/>
  <c r="BP75" i="1"/>
  <c r="BN75" i="1"/>
  <c r="Z75" i="1"/>
  <c r="Y84" i="1"/>
  <c r="Y83" i="1"/>
  <c r="BP88" i="1"/>
  <c r="BN88" i="1"/>
  <c r="Z88" i="1"/>
  <c r="Z90" i="1" s="1"/>
  <c r="Y103" i="1"/>
  <c r="BP95" i="1"/>
  <c r="BN95" i="1"/>
  <c r="Z95" i="1"/>
  <c r="BP97" i="1"/>
  <c r="BN97" i="1"/>
  <c r="Z97" i="1"/>
  <c r="BP100" i="1"/>
  <c r="BN100" i="1"/>
  <c r="Z100" i="1"/>
  <c r="BP109" i="1"/>
  <c r="BN109" i="1"/>
  <c r="Z109" i="1"/>
  <c r="Y111" i="1"/>
  <c r="Y116" i="1"/>
  <c r="BP113" i="1"/>
  <c r="BN113" i="1"/>
  <c r="Z113" i="1"/>
  <c r="Z116" i="1" s="1"/>
  <c r="BP124" i="1"/>
  <c r="BN124" i="1"/>
  <c r="Z124" i="1"/>
  <c r="Y131" i="1"/>
  <c r="Y137" i="1"/>
  <c r="BP141" i="1"/>
  <c r="BN141" i="1"/>
  <c r="Z141" i="1"/>
  <c r="Z142" i="1" s="1"/>
  <c r="Y143" i="1"/>
  <c r="Y148" i="1"/>
  <c r="BP145" i="1"/>
  <c r="BN145" i="1"/>
  <c r="Z145" i="1"/>
  <c r="Z147" i="1" s="1"/>
  <c r="Y159" i="1"/>
  <c r="Y158" i="1"/>
  <c r="BP172" i="1"/>
  <c r="BN172" i="1"/>
  <c r="Z172" i="1"/>
  <c r="Z180" i="1" s="1"/>
  <c r="BP177" i="1"/>
  <c r="BN177" i="1"/>
  <c r="Z177" i="1"/>
  <c r="Y196" i="1"/>
  <c r="BP200" i="1"/>
  <c r="BN200" i="1"/>
  <c r="Z200" i="1"/>
  <c r="Z201" i="1" s="1"/>
  <c r="Y202" i="1"/>
  <c r="Y213" i="1"/>
  <c r="BP204" i="1"/>
  <c r="BN204" i="1"/>
  <c r="Z204" i="1"/>
  <c r="Z212" i="1" s="1"/>
  <c r="BP208" i="1"/>
  <c r="BN208" i="1"/>
  <c r="Z208" i="1"/>
  <c r="Y212" i="1"/>
  <c r="BP216" i="1"/>
  <c r="BN216" i="1"/>
  <c r="Z216" i="1"/>
  <c r="Z224" i="1" s="1"/>
  <c r="BP220" i="1"/>
  <c r="BN220" i="1"/>
  <c r="Z220" i="1"/>
  <c r="Y224" i="1"/>
  <c r="BP228" i="1"/>
  <c r="BN228" i="1"/>
  <c r="Z228" i="1"/>
  <c r="Z229" i="1" s="1"/>
  <c r="Y230" i="1"/>
  <c r="K606" i="1"/>
  <c r="Y242" i="1"/>
  <c r="BP233" i="1"/>
  <c r="BN233" i="1"/>
  <c r="Z233" i="1"/>
  <c r="BP237" i="1"/>
  <c r="BN237" i="1"/>
  <c r="Z237" i="1"/>
  <c r="Y241" i="1"/>
  <c r="Y250" i="1"/>
  <c r="BP249" i="1"/>
  <c r="BN249" i="1"/>
  <c r="Z249" i="1"/>
  <c r="Z250" i="1" s="1"/>
  <c r="Y251" i="1"/>
  <c r="BP263" i="1"/>
  <c r="BN263" i="1"/>
  <c r="Z263" i="1"/>
  <c r="Z268" i="1" s="1"/>
  <c r="BP267" i="1"/>
  <c r="BN267" i="1"/>
  <c r="Z267" i="1"/>
  <c r="Y269" i="1"/>
  <c r="M606" i="1"/>
  <c r="Y273" i="1"/>
  <c r="BP272" i="1"/>
  <c r="BN272" i="1"/>
  <c r="Z272" i="1"/>
  <c r="Z273" i="1" s="1"/>
  <c r="Y274" i="1"/>
  <c r="O606" i="1"/>
  <c r="Y281" i="1"/>
  <c r="BP277" i="1"/>
  <c r="BN277" i="1"/>
  <c r="Z277" i="1"/>
  <c r="Z281" i="1" s="1"/>
  <c r="BP280" i="1"/>
  <c r="BN280" i="1"/>
  <c r="Z280" i="1"/>
  <c r="Y282" i="1"/>
  <c r="Y290" i="1"/>
  <c r="BP285" i="1"/>
  <c r="BN285" i="1"/>
  <c r="Z285" i="1"/>
  <c r="Z290" i="1" s="1"/>
  <c r="BP289" i="1"/>
  <c r="BN289" i="1"/>
  <c r="Z289" i="1"/>
  <c r="Y291" i="1"/>
  <c r="Q606" i="1"/>
  <c r="Y295" i="1"/>
  <c r="BP294" i="1"/>
  <c r="BN294" i="1"/>
  <c r="Z294" i="1"/>
  <c r="Z295" i="1" s="1"/>
  <c r="Y296" i="1"/>
  <c r="Y299" i="1"/>
  <c r="BP298" i="1"/>
  <c r="BN298" i="1"/>
  <c r="Z298" i="1"/>
  <c r="Z299" i="1" s="1"/>
  <c r="Y300" i="1"/>
  <c r="Y303" i="1"/>
  <c r="BP302" i="1"/>
  <c r="BN302" i="1"/>
  <c r="Z302" i="1"/>
  <c r="Z303" i="1" s="1"/>
  <c r="Y304" i="1"/>
  <c r="R606" i="1"/>
  <c r="Y308" i="1"/>
  <c r="BP307" i="1"/>
  <c r="BN307" i="1"/>
  <c r="Z307" i="1"/>
  <c r="Z308" i="1" s="1"/>
  <c r="Y309" i="1"/>
  <c r="S606" i="1"/>
  <c r="Y313" i="1"/>
  <c r="BP312" i="1"/>
  <c r="BN312" i="1"/>
  <c r="Z312" i="1"/>
  <c r="Z313" i="1" s="1"/>
  <c r="Y314" i="1"/>
  <c r="Y319" i="1"/>
  <c r="BP316" i="1"/>
  <c r="BN316" i="1"/>
  <c r="Z316" i="1"/>
  <c r="Z318" i="1" s="1"/>
  <c r="BP330" i="1"/>
  <c r="BN330" i="1"/>
  <c r="Z330" i="1"/>
  <c r="BP338" i="1"/>
  <c r="BN338" i="1"/>
  <c r="Z338" i="1"/>
  <c r="BP346" i="1"/>
  <c r="BN346" i="1"/>
  <c r="Z346" i="1"/>
  <c r="BP384" i="1"/>
  <c r="BN384" i="1"/>
  <c r="Z384" i="1"/>
  <c r="Z393" i="1" s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398" i="1"/>
  <c r="BP464" i="1"/>
  <c r="BN464" i="1"/>
  <c r="Z464" i="1"/>
  <c r="P606" i="1"/>
  <c r="Y41" i="1"/>
  <c r="E606" i="1"/>
  <c r="Y91" i="1"/>
  <c r="F606" i="1"/>
  <c r="Y110" i="1"/>
  <c r="H606" i="1"/>
  <c r="Y153" i="1"/>
  <c r="I606" i="1"/>
  <c r="Y169" i="1"/>
  <c r="L606" i="1"/>
  <c r="Y268" i="1"/>
  <c r="Y324" i="1"/>
  <c r="U606" i="1"/>
  <c r="Y333" i="1"/>
  <c r="Y348" i="1"/>
  <c r="BP353" i="1"/>
  <c r="BN353" i="1"/>
  <c r="Z353" i="1"/>
  <c r="BP359" i="1"/>
  <c r="BN359" i="1"/>
  <c r="Z359" i="1"/>
  <c r="Z361" i="1" s="1"/>
  <c r="Y368" i="1"/>
  <c r="Z378" i="1"/>
  <c r="BP376" i="1"/>
  <c r="BN376" i="1"/>
  <c r="Z376" i="1"/>
  <c r="BP386" i="1"/>
  <c r="BN386" i="1"/>
  <c r="Z386" i="1"/>
  <c r="BP390" i="1"/>
  <c r="BN390" i="1"/>
  <c r="Z390" i="1"/>
  <c r="Y403" i="1"/>
  <c r="BP401" i="1"/>
  <c r="BN401" i="1"/>
  <c r="Z401" i="1"/>
  <c r="Z403" i="1" s="1"/>
  <c r="Y417" i="1"/>
  <c r="BP414" i="1"/>
  <c r="BN414" i="1"/>
  <c r="Z414" i="1"/>
  <c r="Z416" i="1" s="1"/>
  <c r="Y427" i="1"/>
  <c r="BP426" i="1"/>
  <c r="BN426" i="1"/>
  <c r="Z426" i="1"/>
  <c r="Y606" i="1"/>
  <c r="Y448" i="1"/>
  <c r="BP436" i="1"/>
  <c r="BN436" i="1"/>
  <c r="Z436" i="1"/>
  <c r="BP438" i="1"/>
  <c r="BN438" i="1"/>
  <c r="Z438" i="1"/>
  <c r="BP442" i="1"/>
  <c r="BN442" i="1"/>
  <c r="Z442" i="1"/>
  <c r="BP445" i="1"/>
  <c r="BN445" i="1"/>
  <c r="Z445" i="1"/>
  <c r="BP458" i="1"/>
  <c r="BN458" i="1"/>
  <c r="Z458" i="1"/>
  <c r="Z459" i="1" s="1"/>
  <c r="Y460" i="1"/>
  <c r="Z466" i="1"/>
  <c r="BP463" i="1"/>
  <c r="BN463" i="1"/>
  <c r="Z463" i="1"/>
  <c r="Y466" i="1"/>
  <c r="BP487" i="1"/>
  <c r="BN487" i="1"/>
  <c r="Z487" i="1"/>
  <c r="BP491" i="1"/>
  <c r="BN491" i="1"/>
  <c r="Z491" i="1"/>
  <c r="Z502" i="1" s="1"/>
  <c r="BP494" i="1"/>
  <c r="BN494" i="1"/>
  <c r="Z494" i="1"/>
  <c r="BP501" i="1"/>
  <c r="BN501" i="1"/>
  <c r="Z501" i="1"/>
  <c r="Y503" i="1"/>
  <c r="BP506" i="1"/>
  <c r="BN506" i="1"/>
  <c r="Z506" i="1"/>
  <c r="Z509" i="1" s="1"/>
  <c r="BP508" i="1"/>
  <c r="BN508" i="1"/>
  <c r="Z508" i="1"/>
  <c r="Y510" i="1"/>
  <c r="BP520" i="1"/>
  <c r="BN520" i="1"/>
  <c r="Z520" i="1"/>
  <c r="Z523" i="1" s="1"/>
  <c r="Y373" i="1"/>
  <c r="W606" i="1"/>
  <c r="Y393" i="1"/>
  <c r="Y459" i="1"/>
  <c r="Y473" i="1"/>
  <c r="AC606" i="1"/>
  <c r="Y502" i="1"/>
  <c r="Y524" i="1"/>
  <c r="Y523" i="1"/>
  <c r="Z529" i="1"/>
  <c r="BP527" i="1"/>
  <c r="BN527" i="1"/>
  <c r="Z52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Z241" i="1" l="1"/>
  <c r="Z77" i="1"/>
  <c r="Y600" i="1"/>
  <c r="Y597" i="1"/>
  <c r="Z570" i="1"/>
  <c r="Z552" i="1"/>
  <c r="Z354" i="1"/>
  <c r="Z55" i="1"/>
  <c r="Z448" i="1"/>
  <c r="Y598" i="1"/>
  <c r="Z340" i="1"/>
  <c r="Z126" i="1"/>
  <c r="Z68" i="1"/>
  <c r="Z601" i="1" s="1"/>
  <c r="Y596" i="1"/>
  <c r="Y599" i="1" l="1"/>
</calcChain>
</file>

<file path=xl/sharedStrings.xml><?xml version="1.0" encoding="utf-8"?>
<sst xmlns="http://schemas.openxmlformats.org/spreadsheetml/2006/main" count="2760" uniqueCount="982">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</sst>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74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49" t="s">
        <v>0</v>
      </c>
      <c r="E1" s="704"/>
      <c r="F1" s="704"/>
      <c r="G1" s="12" t="s">
        <v>1</v>
      </c>
      <c r="H1" s="749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04" t="s">
        <v>8</v>
      </c>
      <c r="B5" s="805"/>
      <c r="C5" s="806"/>
      <c r="D5" s="756"/>
      <c r="E5" s="757"/>
      <c r="F5" s="1002" t="s">
        <v>9</v>
      </c>
      <c r="G5" s="806"/>
      <c r="H5" s="756"/>
      <c r="I5" s="942"/>
      <c r="J5" s="942"/>
      <c r="K5" s="942"/>
      <c r="L5" s="942"/>
      <c r="M5" s="757"/>
      <c r="N5" s="58"/>
      <c r="P5" s="24" t="s">
        <v>10</v>
      </c>
      <c r="Q5" s="1017">
        <v>45773</v>
      </c>
      <c r="R5" s="803"/>
      <c r="T5" s="853" t="s">
        <v>11</v>
      </c>
      <c r="U5" s="854"/>
      <c r="V5" s="856" t="s">
        <v>12</v>
      </c>
      <c r="W5" s="803"/>
      <c r="AB5" s="51"/>
      <c r="AC5" s="51"/>
      <c r="AD5" s="51"/>
      <c r="AE5" s="51"/>
    </row>
    <row r="6" spans="1:32" s="661" customFormat="1" ht="24" customHeight="1" x14ac:dyDescent="0.2">
      <c r="A6" s="804" t="s">
        <v>13</v>
      </c>
      <c r="B6" s="805"/>
      <c r="C6" s="806"/>
      <c r="D6" s="947" t="s">
        <v>14</v>
      </c>
      <c r="E6" s="948"/>
      <c r="F6" s="948"/>
      <c r="G6" s="948"/>
      <c r="H6" s="948"/>
      <c r="I6" s="948"/>
      <c r="J6" s="948"/>
      <c r="K6" s="948"/>
      <c r="L6" s="948"/>
      <c r="M6" s="803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Суббота</v>
      </c>
      <c r="R6" s="672"/>
      <c r="T6" s="862" t="s">
        <v>16</v>
      </c>
      <c r="U6" s="854"/>
      <c r="V6" s="926" t="s">
        <v>17</v>
      </c>
      <c r="W6" s="716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854"/>
      <c r="V7" s="927"/>
      <c r="W7" s="928"/>
      <c r="AB7" s="51"/>
      <c r="AC7" s="51"/>
      <c r="AD7" s="51"/>
      <c r="AE7" s="51"/>
    </row>
    <row r="8" spans="1:32" s="661" customFormat="1" ht="25.5" customHeight="1" x14ac:dyDescent="0.2">
      <c r="A8" s="1044" t="s">
        <v>18</v>
      </c>
      <c r="B8" s="689"/>
      <c r="C8" s="690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811">
        <v>0.41666666666666669</v>
      </c>
      <c r="R8" s="727"/>
      <c r="T8" s="679"/>
      <c r="U8" s="854"/>
      <c r="V8" s="927"/>
      <c r="W8" s="928"/>
      <c r="AB8" s="51"/>
      <c r="AC8" s="51"/>
      <c r="AD8" s="51"/>
      <c r="AE8" s="51"/>
    </row>
    <row r="9" spans="1:32" s="661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2"/>
      <c r="E9" s="687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6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659"/>
      <c r="P9" s="26" t="s">
        <v>21</v>
      </c>
      <c r="Q9" s="797"/>
      <c r="R9" s="798"/>
      <c r="T9" s="679"/>
      <c r="U9" s="854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2"/>
      <c r="E10" s="687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8" t="str">
        <f>IFERROR(VLOOKUP($D$10,Proxy,2,FALSE),"")</f>
        <v/>
      </c>
      <c r="I10" s="679"/>
      <c r="J10" s="679"/>
      <c r="K10" s="679"/>
      <c r="L10" s="679"/>
      <c r="M10" s="679"/>
      <c r="N10" s="660"/>
      <c r="P10" s="26" t="s">
        <v>22</v>
      </c>
      <c r="Q10" s="863"/>
      <c r="R10" s="864"/>
      <c r="U10" s="24" t="s">
        <v>23</v>
      </c>
      <c r="V10" s="715" t="s">
        <v>24</v>
      </c>
      <c r="W10" s="716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2"/>
      <c r="R11" s="803"/>
      <c r="U11" s="24" t="s">
        <v>27</v>
      </c>
      <c r="V11" s="968" t="s">
        <v>28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49" t="s">
        <v>29</v>
      </c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6"/>
      <c r="N12" s="62"/>
      <c r="P12" s="24" t="s">
        <v>30</v>
      </c>
      <c r="Q12" s="811"/>
      <c r="R12" s="727"/>
      <c r="S12" s="23"/>
      <c r="U12" s="24"/>
      <c r="V12" s="704"/>
      <c r="W12" s="679"/>
      <c r="AB12" s="51"/>
      <c r="AC12" s="51"/>
      <c r="AD12" s="51"/>
      <c r="AE12" s="51"/>
    </row>
    <row r="13" spans="1:32" s="661" customFormat="1" ht="23.25" customHeight="1" x14ac:dyDescent="0.2">
      <c r="A13" s="849" t="s">
        <v>31</v>
      </c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6"/>
      <c r="N13" s="62"/>
      <c r="O13" s="26"/>
      <c r="P13" s="26" t="s">
        <v>32</v>
      </c>
      <c r="Q13" s="968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49" t="s">
        <v>33</v>
      </c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84" t="s">
        <v>34</v>
      </c>
      <c r="B15" s="805"/>
      <c r="C15" s="805"/>
      <c r="D15" s="805"/>
      <c r="E15" s="805"/>
      <c r="F15" s="805"/>
      <c r="G15" s="805"/>
      <c r="H15" s="805"/>
      <c r="I15" s="805"/>
      <c r="J15" s="805"/>
      <c r="K15" s="805"/>
      <c r="L15" s="805"/>
      <c r="M15" s="806"/>
      <c r="N15" s="63"/>
      <c r="P15" s="835" t="s">
        <v>35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2" t="s">
        <v>36</v>
      </c>
      <c r="B17" s="712" t="s">
        <v>37</v>
      </c>
      <c r="C17" s="819" t="s">
        <v>38</v>
      </c>
      <c r="D17" s="712" t="s">
        <v>39</v>
      </c>
      <c r="E17" s="776"/>
      <c r="F17" s="712" t="s">
        <v>40</v>
      </c>
      <c r="G17" s="712" t="s">
        <v>41</v>
      </c>
      <c r="H17" s="712" t="s">
        <v>42</v>
      </c>
      <c r="I17" s="712" t="s">
        <v>43</v>
      </c>
      <c r="J17" s="712" t="s">
        <v>44</v>
      </c>
      <c r="K17" s="712" t="s">
        <v>45</v>
      </c>
      <c r="L17" s="712" t="s">
        <v>46</v>
      </c>
      <c r="M17" s="712" t="s">
        <v>47</v>
      </c>
      <c r="N17" s="712" t="s">
        <v>48</v>
      </c>
      <c r="O17" s="712" t="s">
        <v>49</v>
      </c>
      <c r="P17" s="712" t="s">
        <v>50</v>
      </c>
      <c r="Q17" s="775"/>
      <c r="R17" s="775"/>
      <c r="S17" s="775"/>
      <c r="T17" s="776"/>
      <c r="U17" s="1043" t="s">
        <v>51</v>
      </c>
      <c r="V17" s="806"/>
      <c r="W17" s="712" t="s">
        <v>52</v>
      </c>
      <c r="X17" s="712" t="s">
        <v>53</v>
      </c>
      <c r="Y17" s="1040" t="s">
        <v>54</v>
      </c>
      <c r="Z17" s="940" t="s">
        <v>55</v>
      </c>
      <c r="AA17" s="916" t="s">
        <v>56</v>
      </c>
      <c r="AB17" s="916" t="s">
        <v>57</v>
      </c>
      <c r="AC17" s="916" t="s">
        <v>58</v>
      </c>
      <c r="AD17" s="916" t="s">
        <v>59</v>
      </c>
      <c r="AE17" s="997"/>
      <c r="AF17" s="998"/>
      <c r="AG17" s="66"/>
      <c r="BD17" s="65" t="s">
        <v>60</v>
      </c>
    </row>
    <row r="18" spans="1:68" ht="14.25" customHeight="1" x14ac:dyDescent="0.2">
      <c r="A18" s="713"/>
      <c r="B18" s="713"/>
      <c r="C18" s="713"/>
      <c r="D18" s="777"/>
      <c r="E18" s="779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77"/>
      <c r="Q18" s="778"/>
      <c r="R18" s="778"/>
      <c r="S18" s="778"/>
      <c r="T18" s="779"/>
      <c r="U18" s="67" t="s">
        <v>61</v>
      </c>
      <c r="V18" s="67" t="s">
        <v>62</v>
      </c>
      <c r="W18" s="713"/>
      <c r="X18" s="713"/>
      <c r="Y18" s="1041"/>
      <c r="Z18" s="941"/>
      <c r="AA18" s="917"/>
      <c r="AB18" s="917"/>
      <c r="AC18" s="917"/>
      <c r="AD18" s="999"/>
      <c r="AE18" s="1000"/>
      <c r="AF18" s="1001"/>
      <c r="AG18" s="66"/>
      <c r="BD18" s="65"/>
    </row>
    <row r="19" spans="1:68" ht="27.75" customHeight="1" x14ac:dyDescent="0.2">
      <c r="A19" s="682" t="s">
        <v>63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customHeight="1" x14ac:dyDescent="0.25">
      <c r="A20" s="685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2"/>
      <c r="AB20" s="662"/>
      <c r="AC20" s="662"/>
    </row>
    <row r="21" spans="1:68" ht="14.25" customHeight="1" x14ac:dyDescent="0.25">
      <c r="A21" s="684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3"/>
      <c r="AB21" s="663"/>
      <c r="AC21" s="663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71">
        <v>4680115885912</v>
      </c>
      <c r="E22" s="672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71">
        <v>4607091388237</v>
      </c>
      <c r="E23" s="672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71">
        <v>4680115886230</v>
      </c>
      <c r="E24" s="672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75" t="s">
        <v>76</v>
      </c>
      <c r="Q24" s="674"/>
      <c r="R24" s="674"/>
      <c r="S24" s="674"/>
      <c r="T24" s="675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71">
        <v>4680115886247</v>
      </c>
      <c r="E25" s="672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4" t="s">
        <v>80</v>
      </c>
      <c r="Q25" s="674"/>
      <c r="R25" s="674"/>
      <c r="S25" s="674"/>
      <c r="T25" s="675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71">
        <v>4680115885905</v>
      </c>
      <c r="E26" s="672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71">
        <v>4607091388244</v>
      </c>
      <c r="E27" s="672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8" t="s">
        <v>88</v>
      </c>
      <c r="Q28" s="689"/>
      <c r="R28" s="689"/>
      <c r="S28" s="689"/>
      <c r="T28" s="689"/>
      <c r="U28" s="689"/>
      <c r="V28" s="690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8" t="s">
        <v>88</v>
      </c>
      <c r="Q29" s="689"/>
      <c r="R29" s="689"/>
      <c r="S29" s="689"/>
      <c r="T29" s="689"/>
      <c r="U29" s="689"/>
      <c r="V29" s="690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84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3"/>
      <c r="AB30" s="663"/>
      <c r="AC30" s="663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71">
        <v>4607091388503</v>
      </c>
      <c r="E31" s="672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8" t="s">
        <v>88</v>
      </c>
      <c r="Q32" s="689"/>
      <c r="R32" s="689"/>
      <c r="S32" s="689"/>
      <c r="T32" s="689"/>
      <c r="U32" s="689"/>
      <c r="V32" s="690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8" t="s">
        <v>88</v>
      </c>
      <c r="Q33" s="689"/>
      <c r="R33" s="689"/>
      <c r="S33" s="689"/>
      <c r="T33" s="689"/>
      <c r="U33" s="689"/>
      <c r="V33" s="690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682" t="s">
        <v>96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48"/>
      <c r="AB34" s="48"/>
      <c r="AC34" s="48"/>
    </row>
    <row r="35" spans="1:68" ht="16.5" customHeight="1" x14ac:dyDescent="0.25">
      <c r="A35" s="685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2"/>
      <c r="AB35" s="662"/>
      <c r="AC35" s="662"/>
    </row>
    <row r="36" spans="1:68" ht="14.25" customHeight="1" x14ac:dyDescent="0.25">
      <c r="A36" s="684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3"/>
      <c r="AB36" s="663"/>
      <c r="AC36" s="663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71">
        <v>4607091385670</v>
      </c>
      <c r="E37" s="672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69</v>
      </c>
      <c r="X37" s="667">
        <v>90</v>
      </c>
      <c r="Y37" s="668">
        <f>IFERROR(IF(X37="",0,CEILING((X37/$H37),1)*$H37),"")</f>
        <v>97.2</v>
      </c>
      <c r="Z37" s="36">
        <f>IFERROR(IF(Y37=0,"",ROUNDUP(Y37/H37,0)*0.01898),"")</f>
        <v>0.17082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93.624999999999986</v>
      </c>
      <c r="BN37" s="64">
        <f>IFERROR(Y37*I37/H37,"0")</f>
        <v>101.11499999999998</v>
      </c>
      <c r="BO37" s="64">
        <f>IFERROR(1/J37*(X37/H37),"0")</f>
        <v>0.13020833333333331</v>
      </c>
      <c r="BP37" s="64">
        <f>IFERROR(1/J37*(Y37/H37),"0")</f>
        <v>0.140625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1">
        <v>4607091385687</v>
      </c>
      <c r="E38" s="672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69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71">
        <v>4680115882539</v>
      </c>
      <c r="E39" s="672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71">
        <v>4680115883949</v>
      </c>
      <c r="E40" s="672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8" t="s">
        <v>88</v>
      </c>
      <c r="Q41" s="689"/>
      <c r="R41" s="689"/>
      <c r="S41" s="689"/>
      <c r="T41" s="689"/>
      <c r="U41" s="689"/>
      <c r="V41" s="690"/>
      <c r="W41" s="37" t="s">
        <v>89</v>
      </c>
      <c r="X41" s="669">
        <f>IFERROR(X37/H37,"0")+IFERROR(X38/H38,"0")+IFERROR(X39/H39,"0")+IFERROR(X40/H40,"0")</f>
        <v>8.3333333333333321</v>
      </c>
      <c r="Y41" s="669">
        <f>IFERROR(Y37/H37,"0")+IFERROR(Y38/H38,"0")+IFERROR(Y39/H39,"0")+IFERROR(Y40/H40,"0")</f>
        <v>9</v>
      </c>
      <c r="Z41" s="669">
        <f>IFERROR(IF(Z37="",0,Z37),"0")+IFERROR(IF(Z38="",0,Z38),"0")+IFERROR(IF(Z39="",0,Z39),"0")+IFERROR(IF(Z40="",0,Z40),"0")</f>
        <v>0.17082</v>
      </c>
      <c r="AA41" s="670"/>
      <c r="AB41" s="670"/>
      <c r="AC41" s="670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8" t="s">
        <v>88</v>
      </c>
      <c r="Q42" s="689"/>
      <c r="R42" s="689"/>
      <c r="S42" s="689"/>
      <c r="T42" s="689"/>
      <c r="U42" s="689"/>
      <c r="V42" s="690"/>
      <c r="W42" s="37" t="s">
        <v>69</v>
      </c>
      <c r="X42" s="669">
        <f>IFERROR(SUM(X37:X40),"0")</f>
        <v>90</v>
      </c>
      <c r="Y42" s="669">
        <f>IFERROR(SUM(Y37:Y40),"0")</f>
        <v>97.2</v>
      </c>
      <c r="Z42" s="37"/>
      <c r="AA42" s="670"/>
      <c r="AB42" s="670"/>
      <c r="AC42" s="670"/>
    </row>
    <row r="43" spans="1:68" ht="14.25" customHeight="1" x14ac:dyDescent="0.25">
      <c r="A43" s="684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3"/>
      <c r="AB43" s="663"/>
      <c r="AC43" s="663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71">
        <v>4680115884915</v>
      </c>
      <c r="E44" s="672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8" t="s">
        <v>88</v>
      </c>
      <c r="Q45" s="689"/>
      <c r="R45" s="689"/>
      <c r="S45" s="689"/>
      <c r="T45" s="689"/>
      <c r="U45" s="689"/>
      <c r="V45" s="690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8" t="s">
        <v>88</v>
      </c>
      <c r="Q46" s="689"/>
      <c r="R46" s="689"/>
      <c r="S46" s="689"/>
      <c r="T46" s="689"/>
      <c r="U46" s="689"/>
      <c r="V46" s="690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685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2"/>
      <c r="AB47" s="662"/>
      <c r="AC47" s="662"/>
    </row>
    <row r="48" spans="1:68" ht="14.25" customHeight="1" x14ac:dyDescent="0.25">
      <c r="A48" s="684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3"/>
      <c r="AB48" s="663"/>
      <c r="AC48" s="663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71">
        <v>4680115885882</v>
      </c>
      <c r="E49" s="672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1">
        <v>4680115881426</v>
      </c>
      <c r="E50" s="672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69</v>
      </c>
      <c r="X50" s="667">
        <v>80</v>
      </c>
      <c r="Y50" s="668">
        <f t="shared" si="6"/>
        <v>86.4</v>
      </c>
      <c r="Z50" s="36">
        <f>IFERROR(IF(Y50=0,"",ROUNDUP(Y50/H50,0)*0.01898),"")</f>
        <v>0.15184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83.222222222222214</v>
      </c>
      <c r="BN50" s="64">
        <f t="shared" si="8"/>
        <v>89.88</v>
      </c>
      <c r="BO50" s="64">
        <f t="shared" si="9"/>
        <v>0.11574074074074073</v>
      </c>
      <c r="BP50" s="64">
        <f t="shared" si="10"/>
        <v>0.125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71">
        <v>4680115880283</v>
      </c>
      <c r="E51" s="672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71">
        <v>4680115881525</v>
      </c>
      <c r="E52" s="672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71">
        <v>4680115885899</v>
      </c>
      <c r="E53" s="672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71">
        <v>4680115881419</v>
      </c>
      <c r="E54" s="672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69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8" t="s">
        <v>88</v>
      </c>
      <c r="Q55" s="689"/>
      <c r="R55" s="689"/>
      <c r="S55" s="689"/>
      <c r="T55" s="689"/>
      <c r="U55" s="689"/>
      <c r="V55" s="690"/>
      <c r="W55" s="37" t="s">
        <v>89</v>
      </c>
      <c r="X55" s="669">
        <f>IFERROR(X49/H49,"0")+IFERROR(X50/H50,"0")+IFERROR(X51/H51,"0")+IFERROR(X52/H52,"0")+IFERROR(X53/H53,"0")+IFERROR(X54/H54,"0")</f>
        <v>7.4074074074074066</v>
      </c>
      <c r="Y55" s="669">
        <f>IFERROR(Y49/H49,"0")+IFERROR(Y50/H50,"0")+IFERROR(Y51/H51,"0")+IFERROR(Y52/H52,"0")+IFERROR(Y53/H53,"0")+IFERROR(Y54/H54,"0")</f>
        <v>8</v>
      </c>
      <c r="Z55" s="669">
        <f>IFERROR(IF(Z49="",0,Z49),"0")+IFERROR(IF(Z50="",0,Z50),"0")+IFERROR(IF(Z51="",0,Z51),"0")+IFERROR(IF(Z52="",0,Z52),"0")+IFERROR(IF(Z53="",0,Z53),"0")+IFERROR(IF(Z54="",0,Z54),"0")</f>
        <v>0.15184</v>
      </c>
      <c r="AA55" s="670"/>
      <c r="AB55" s="670"/>
      <c r="AC55" s="670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8" t="s">
        <v>88</v>
      </c>
      <c r="Q56" s="689"/>
      <c r="R56" s="689"/>
      <c r="S56" s="689"/>
      <c r="T56" s="689"/>
      <c r="U56" s="689"/>
      <c r="V56" s="690"/>
      <c r="W56" s="37" t="s">
        <v>69</v>
      </c>
      <c r="X56" s="669">
        <f>IFERROR(SUM(X49:X54),"0")</f>
        <v>80</v>
      </c>
      <c r="Y56" s="669">
        <f>IFERROR(SUM(Y49:Y54),"0")</f>
        <v>86.4</v>
      </c>
      <c r="Z56" s="37"/>
      <c r="AA56" s="670"/>
      <c r="AB56" s="670"/>
      <c r="AC56" s="670"/>
    </row>
    <row r="57" spans="1:68" ht="14.25" customHeight="1" x14ac:dyDescent="0.25">
      <c r="A57" s="684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3"/>
      <c r="AB57" s="663"/>
      <c r="AC57" s="663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71">
        <v>4680115881440</v>
      </c>
      <c r="E58" s="672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69</v>
      </c>
      <c r="X58" s="667">
        <v>170</v>
      </c>
      <c r="Y58" s="668">
        <f>IFERROR(IF(X58="",0,CEILING((X58/$H58),1)*$H58),"")</f>
        <v>172.8</v>
      </c>
      <c r="Z58" s="36">
        <f>IFERROR(IF(Y58=0,"",ROUNDUP(Y58/H58,0)*0.01898),"")</f>
        <v>0.30368000000000001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176.8472222222222</v>
      </c>
      <c r="BN58" s="64">
        <f>IFERROR(Y58*I58/H58,"0")</f>
        <v>179.76</v>
      </c>
      <c r="BO58" s="64">
        <f>IFERROR(1/J58*(X58/H58),"0")</f>
        <v>0.24594907407407407</v>
      </c>
      <c r="BP58" s="64">
        <f>IFERROR(1/J58*(Y58/H58),"0")</f>
        <v>0.25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71">
        <v>4680115882751</v>
      </c>
      <c r="E59" s="672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71">
        <v>4680115885950</v>
      </c>
      <c r="E60" s="672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71">
        <v>4680115881433</v>
      </c>
      <c r="E61" s="672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69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8" t="s">
        <v>88</v>
      </c>
      <c r="Q62" s="689"/>
      <c r="R62" s="689"/>
      <c r="S62" s="689"/>
      <c r="T62" s="689"/>
      <c r="U62" s="689"/>
      <c r="V62" s="690"/>
      <c r="W62" s="37" t="s">
        <v>89</v>
      </c>
      <c r="X62" s="669">
        <f>IFERROR(X58/H58,"0")+IFERROR(X59/H59,"0")+IFERROR(X60/H60,"0")+IFERROR(X61/H61,"0")</f>
        <v>15.74074074074074</v>
      </c>
      <c r="Y62" s="669">
        <f>IFERROR(Y58/H58,"0")+IFERROR(Y59/H59,"0")+IFERROR(Y60/H60,"0")+IFERROR(Y61/H61,"0")</f>
        <v>16</v>
      </c>
      <c r="Z62" s="669">
        <f>IFERROR(IF(Z58="",0,Z58),"0")+IFERROR(IF(Z59="",0,Z59),"0")+IFERROR(IF(Z60="",0,Z60),"0")+IFERROR(IF(Z61="",0,Z61),"0")</f>
        <v>0.30368000000000001</v>
      </c>
      <c r="AA62" s="670"/>
      <c r="AB62" s="670"/>
      <c r="AC62" s="670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8" t="s">
        <v>88</v>
      </c>
      <c r="Q63" s="689"/>
      <c r="R63" s="689"/>
      <c r="S63" s="689"/>
      <c r="T63" s="689"/>
      <c r="U63" s="689"/>
      <c r="V63" s="690"/>
      <c r="W63" s="37" t="s">
        <v>69</v>
      </c>
      <c r="X63" s="669">
        <f>IFERROR(SUM(X58:X61),"0")</f>
        <v>170</v>
      </c>
      <c r="Y63" s="669">
        <f>IFERROR(SUM(Y58:Y61),"0")</f>
        <v>172.8</v>
      </c>
      <c r="Z63" s="37"/>
      <c r="AA63" s="670"/>
      <c r="AB63" s="670"/>
      <c r="AC63" s="670"/>
    </row>
    <row r="64" spans="1:68" ht="14.25" customHeight="1" x14ac:dyDescent="0.25">
      <c r="A64" s="684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3"/>
      <c r="AB64" s="663"/>
      <c r="AC64" s="663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71">
        <v>4680115885073</v>
      </c>
      <c r="E65" s="672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71">
        <v>4680115885059</v>
      </c>
      <c r="E66" s="672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71">
        <v>4680115885097</v>
      </c>
      <c r="E67" s="672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8" t="s">
        <v>88</v>
      </c>
      <c r="Q68" s="689"/>
      <c r="R68" s="689"/>
      <c r="S68" s="689"/>
      <c r="T68" s="689"/>
      <c r="U68" s="689"/>
      <c r="V68" s="690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8" t="s">
        <v>88</v>
      </c>
      <c r="Q69" s="689"/>
      <c r="R69" s="689"/>
      <c r="S69" s="689"/>
      <c r="T69" s="689"/>
      <c r="U69" s="689"/>
      <c r="V69" s="690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customHeight="1" x14ac:dyDescent="0.25">
      <c r="A70" s="684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3"/>
      <c r="AB70" s="663"/>
      <c r="AC70" s="663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71">
        <v>4680115881891</v>
      </c>
      <c r="E71" s="672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71">
        <v>4680115885769</v>
      </c>
      <c r="E72" s="672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71">
        <v>4680115884410</v>
      </c>
      <c r="E73" s="672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6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69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71">
        <v>4680115884311</v>
      </c>
      <c r="E74" s="672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71">
        <v>4680115885929</v>
      </c>
      <c r="E75" s="672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71">
        <v>4680115884403</v>
      </c>
      <c r="E76" s="672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8" t="s">
        <v>88</v>
      </c>
      <c r="Q77" s="689"/>
      <c r="R77" s="689"/>
      <c r="S77" s="689"/>
      <c r="T77" s="689"/>
      <c r="U77" s="689"/>
      <c r="V77" s="690"/>
      <c r="W77" s="37" t="s">
        <v>89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8" t="s">
        <v>88</v>
      </c>
      <c r="Q78" s="689"/>
      <c r="R78" s="689"/>
      <c r="S78" s="689"/>
      <c r="T78" s="689"/>
      <c r="U78" s="689"/>
      <c r="V78" s="690"/>
      <c r="W78" s="37" t="s">
        <v>69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customHeight="1" x14ac:dyDescent="0.25">
      <c r="A79" s="684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3"/>
      <c r="AB79" s="663"/>
      <c r="AC79" s="663"/>
    </row>
    <row r="80" spans="1:68" ht="37.5" customHeight="1" x14ac:dyDescent="0.25">
      <c r="A80" s="54" t="s">
        <v>176</v>
      </c>
      <c r="B80" s="54" t="s">
        <v>177</v>
      </c>
      <c r="C80" s="31">
        <v>4301060366</v>
      </c>
      <c r="D80" s="671">
        <v>4680115881532</v>
      </c>
      <c r="E80" s="672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4"/>
      <c r="R80" s="674"/>
      <c r="S80" s="674"/>
      <c r="T80" s="675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4301060371</v>
      </c>
      <c r="D81" s="671">
        <v>4680115881532</v>
      </c>
      <c r="E81" s="672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1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4"/>
      <c r="R81" s="674"/>
      <c r="S81" s="674"/>
      <c r="T81" s="675"/>
      <c r="U81" s="34"/>
      <c r="V81" s="34"/>
      <c r="W81" s="35" t="s">
        <v>69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71">
        <v>4680115881464</v>
      </c>
      <c r="E82" s="672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8" t="s">
        <v>88</v>
      </c>
      <c r="Q83" s="689"/>
      <c r="R83" s="689"/>
      <c r="S83" s="689"/>
      <c r="T83" s="689"/>
      <c r="U83" s="689"/>
      <c r="V83" s="690"/>
      <c r="W83" s="37" t="s">
        <v>89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8" t="s">
        <v>88</v>
      </c>
      <c r="Q84" s="689"/>
      <c r="R84" s="689"/>
      <c r="S84" s="689"/>
      <c r="T84" s="689"/>
      <c r="U84" s="689"/>
      <c r="V84" s="690"/>
      <c r="W84" s="37" t="s">
        <v>69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customHeight="1" x14ac:dyDescent="0.25">
      <c r="A85" s="685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2"/>
      <c r="AB85" s="662"/>
      <c r="AC85" s="662"/>
    </row>
    <row r="86" spans="1:68" ht="14.25" customHeight="1" x14ac:dyDescent="0.25">
      <c r="A86" s="684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3"/>
      <c r="AB86" s="663"/>
      <c r="AC86" s="663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71">
        <v>4680115881327</v>
      </c>
      <c r="E87" s="672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69</v>
      </c>
      <c r="X87" s="667">
        <v>30</v>
      </c>
      <c r="Y87" s="668">
        <f>IFERROR(IF(X87="",0,CEILING((X87/$H87),1)*$H87),"")</f>
        <v>32.400000000000006</v>
      </c>
      <c r="Z87" s="36">
        <f>IFERROR(IF(Y87=0,"",ROUNDUP(Y87/H87,0)*0.01898),"")</f>
        <v>5.6940000000000004E-2</v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31.208333333333329</v>
      </c>
      <c r="BN87" s="64">
        <f>IFERROR(Y87*I87/H87,"0")</f>
        <v>33.705000000000005</v>
      </c>
      <c r="BO87" s="64">
        <f>IFERROR(1/J87*(X87/H87),"0")</f>
        <v>4.3402777777777776E-2</v>
      </c>
      <c r="BP87" s="64">
        <f>IFERROR(1/J87*(Y87/H87),"0")</f>
        <v>4.6875000000000007E-2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71">
        <v>4680115881518</v>
      </c>
      <c r="E88" s="672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8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71">
        <v>4680115881303</v>
      </c>
      <c r="E89" s="672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69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8" t="s">
        <v>88</v>
      </c>
      <c r="Q90" s="689"/>
      <c r="R90" s="689"/>
      <c r="S90" s="689"/>
      <c r="T90" s="689"/>
      <c r="U90" s="689"/>
      <c r="V90" s="690"/>
      <c r="W90" s="37" t="s">
        <v>89</v>
      </c>
      <c r="X90" s="669">
        <f>IFERROR(X87/H87,"0")+IFERROR(X88/H88,"0")+IFERROR(X89/H89,"0")</f>
        <v>2.7777777777777777</v>
      </c>
      <c r="Y90" s="669">
        <f>IFERROR(Y87/H87,"0")+IFERROR(Y88/H88,"0")+IFERROR(Y89/H89,"0")</f>
        <v>3.0000000000000004</v>
      </c>
      <c r="Z90" s="669">
        <f>IFERROR(IF(Z87="",0,Z87),"0")+IFERROR(IF(Z88="",0,Z88),"0")+IFERROR(IF(Z89="",0,Z89),"0")</f>
        <v>5.6940000000000004E-2</v>
      </c>
      <c r="AA90" s="670"/>
      <c r="AB90" s="670"/>
      <c r="AC90" s="670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8" t="s">
        <v>88</v>
      </c>
      <c r="Q91" s="689"/>
      <c r="R91" s="689"/>
      <c r="S91" s="689"/>
      <c r="T91" s="689"/>
      <c r="U91" s="689"/>
      <c r="V91" s="690"/>
      <c r="W91" s="37" t="s">
        <v>69</v>
      </c>
      <c r="X91" s="669">
        <f>IFERROR(SUM(X87:X89),"0")</f>
        <v>30</v>
      </c>
      <c r="Y91" s="669">
        <f>IFERROR(SUM(Y87:Y89),"0")</f>
        <v>32.400000000000006</v>
      </c>
      <c r="Z91" s="37"/>
      <c r="AA91" s="670"/>
      <c r="AB91" s="670"/>
      <c r="AC91" s="670"/>
    </row>
    <row r="92" spans="1:68" ht="14.25" customHeight="1" x14ac:dyDescent="0.25">
      <c r="A92" s="684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3"/>
      <c r="AB92" s="663"/>
      <c r="AC92" s="663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71">
        <v>4607091386967</v>
      </c>
      <c r="E93" s="672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4"/>
      <c r="R93" s="674"/>
      <c r="S93" s="674"/>
      <c r="T93" s="675"/>
      <c r="U93" s="34"/>
      <c r="V93" s="34"/>
      <c r="W93" s="35" t="s">
        <v>69</v>
      </c>
      <c r="X93" s="667">
        <v>50</v>
      </c>
      <c r="Y93" s="668">
        <f t="shared" ref="Y93:Y101" si="16">IFERROR(IF(X93="",0,CEILING((X93/$H93),1)*$H93),"")</f>
        <v>50.400000000000006</v>
      </c>
      <c r="Z93" s="36">
        <f>IFERROR(IF(Y93=0,"",ROUNDUP(Y93/H93,0)*0.01898),"")</f>
        <v>0.11388000000000001</v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53.089285714285715</v>
      </c>
      <c r="BN93" s="64">
        <f t="shared" ref="BN93:BN101" si="18">IFERROR(Y93*I93/H93,"0")</f>
        <v>53.514000000000003</v>
      </c>
      <c r="BO93" s="64">
        <f t="shared" ref="BO93:BO101" si="19">IFERROR(1/J93*(X93/H93),"0")</f>
        <v>9.3005952380952384E-2</v>
      </c>
      <c r="BP93" s="64">
        <f t="shared" ref="BP93:BP101" si="20">IFERROR(1/J93*(Y93/H93),"0")</f>
        <v>9.375E-2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71">
        <v>4607091386967</v>
      </c>
      <c r="E94" s="672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4"/>
      <c r="R94" s="674"/>
      <c r="S94" s="674"/>
      <c r="T94" s="675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71">
        <v>4607091386967</v>
      </c>
      <c r="E95" s="672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6" t="s">
        <v>197</v>
      </c>
      <c r="Q95" s="674"/>
      <c r="R95" s="674"/>
      <c r="S95" s="674"/>
      <c r="T95" s="675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71">
        <v>4680115884953</v>
      </c>
      <c r="E96" s="672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5" t="s">
        <v>201</v>
      </c>
      <c r="Q96" s="674"/>
      <c r="R96" s="674"/>
      <c r="S96" s="674"/>
      <c r="T96" s="675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203</v>
      </c>
      <c r="B97" s="54" t="s">
        <v>204</v>
      </c>
      <c r="C97" s="31">
        <v>4301052039</v>
      </c>
      <c r="D97" s="671">
        <v>4607091385731</v>
      </c>
      <c r="E97" s="672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71" t="s">
        <v>205</v>
      </c>
      <c r="Q97" s="674"/>
      <c r="R97" s="674"/>
      <c r="S97" s="674"/>
      <c r="T97" s="675"/>
      <c r="U97" s="34"/>
      <c r="V97" s="34"/>
      <c r="W97" s="35" t="s">
        <v>69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203</v>
      </c>
      <c r="B98" s="54" t="s">
        <v>206</v>
      </c>
      <c r="C98" s="31">
        <v>4301051718</v>
      </c>
      <c r="D98" s="671">
        <v>4607091385731</v>
      </c>
      <c r="E98" s="672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988" t="s">
        <v>207</v>
      </c>
      <c r="Q98" s="674"/>
      <c r="R98" s="674"/>
      <c r="S98" s="674"/>
      <c r="T98" s="675"/>
      <c r="U98" s="34"/>
      <c r="V98" s="34"/>
      <c r="W98" s="35" t="s">
        <v>69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71">
        <v>4680115880894</v>
      </c>
      <c r="E99" s="672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69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71">
        <v>4680115880214</v>
      </c>
      <c r="E100" s="672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4"/>
      <c r="R100" s="674"/>
      <c r="S100" s="674"/>
      <c r="T100" s="675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71">
        <v>4680115880214</v>
      </c>
      <c r="E101" s="672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4"/>
      <c r="R101" s="674"/>
      <c r="S101" s="674"/>
      <c r="T101" s="675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8" t="s">
        <v>88</v>
      </c>
      <c r="Q102" s="689"/>
      <c r="R102" s="689"/>
      <c r="S102" s="689"/>
      <c r="T102" s="689"/>
      <c r="U102" s="689"/>
      <c r="V102" s="690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5.9523809523809526</v>
      </c>
      <c r="Y102" s="669">
        <f>IFERROR(Y93/H93,"0")+IFERROR(Y94/H94,"0")+IFERROR(Y95/H95,"0")+IFERROR(Y96/H96,"0")+IFERROR(Y97/H97,"0")+IFERROR(Y98/H98,"0")+IFERROR(Y99/H99,"0")+IFERROR(Y100/H100,"0")+IFERROR(Y101/H101,"0")</f>
        <v>6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0.11388000000000001</v>
      </c>
      <c r="AA102" s="670"/>
      <c r="AB102" s="670"/>
      <c r="AC102" s="670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8" t="s">
        <v>88</v>
      </c>
      <c r="Q103" s="689"/>
      <c r="R103" s="689"/>
      <c r="S103" s="689"/>
      <c r="T103" s="689"/>
      <c r="U103" s="689"/>
      <c r="V103" s="690"/>
      <c r="W103" s="37" t="s">
        <v>69</v>
      </c>
      <c r="X103" s="669">
        <f>IFERROR(SUM(X93:X101),"0")</f>
        <v>50</v>
      </c>
      <c r="Y103" s="669">
        <f>IFERROR(SUM(Y93:Y101),"0")</f>
        <v>50.400000000000006</v>
      </c>
      <c r="Z103" s="37"/>
      <c r="AA103" s="670"/>
      <c r="AB103" s="670"/>
      <c r="AC103" s="670"/>
    </row>
    <row r="104" spans="1:68" ht="16.5" customHeight="1" x14ac:dyDescent="0.25">
      <c r="A104" s="685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2"/>
      <c r="AB104" s="662"/>
      <c r="AC104" s="662"/>
    </row>
    <row r="105" spans="1:68" ht="14.25" customHeight="1" x14ac:dyDescent="0.25">
      <c r="A105" s="684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3"/>
      <c r="AB105" s="663"/>
      <c r="AC105" s="663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71">
        <v>4680115882133</v>
      </c>
      <c r="E106" s="672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69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71">
        <v>4680115880269</v>
      </c>
      <c r="E107" s="672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69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71">
        <v>4680115880429</v>
      </c>
      <c r="E108" s="672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69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71">
        <v>4680115881457</v>
      </c>
      <c r="E109" s="672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8" t="s">
        <v>88</v>
      </c>
      <c r="Q110" s="689"/>
      <c r="R110" s="689"/>
      <c r="S110" s="689"/>
      <c r="T110" s="689"/>
      <c r="U110" s="689"/>
      <c r="V110" s="690"/>
      <c r="W110" s="37" t="s">
        <v>89</v>
      </c>
      <c r="X110" s="669">
        <f>IFERROR(X106/H106,"0")+IFERROR(X107/H107,"0")+IFERROR(X108/H108,"0")+IFERROR(X109/H109,"0")</f>
        <v>0</v>
      </c>
      <c r="Y110" s="669">
        <f>IFERROR(Y106/H106,"0")+IFERROR(Y107/H107,"0")+IFERROR(Y108/H108,"0")+IFERROR(Y109/H109,"0")</f>
        <v>0</v>
      </c>
      <c r="Z110" s="669">
        <f>IFERROR(IF(Z106="",0,Z106),"0")+IFERROR(IF(Z107="",0,Z107),"0")+IFERROR(IF(Z108="",0,Z108),"0")+IFERROR(IF(Z109="",0,Z109),"0")</f>
        <v>0</v>
      </c>
      <c r="AA110" s="670"/>
      <c r="AB110" s="670"/>
      <c r="AC110" s="670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8" t="s">
        <v>88</v>
      </c>
      <c r="Q111" s="689"/>
      <c r="R111" s="689"/>
      <c r="S111" s="689"/>
      <c r="T111" s="689"/>
      <c r="U111" s="689"/>
      <c r="V111" s="690"/>
      <c r="W111" s="37" t="s">
        <v>69</v>
      </c>
      <c r="X111" s="669">
        <f>IFERROR(SUM(X106:X109),"0")</f>
        <v>0</v>
      </c>
      <c r="Y111" s="669">
        <f>IFERROR(SUM(Y106:Y109),"0")</f>
        <v>0</v>
      </c>
      <c r="Z111" s="37"/>
      <c r="AA111" s="670"/>
      <c r="AB111" s="670"/>
      <c r="AC111" s="670"/>
    </row>
    <row r="112" spans="1:68" ht="14.25" customHeight="1" x14ac:dyDescent="0.25">
      <c r="A112" s="684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3"/>
      <c r="AB112" s="663"/>
      <c r="AC112" s="663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71">
        <v>4680115881488</v>
      </c>
      <c r="E113" s="672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71">
        <v>4680115882775</v>
      </c>
      <c r="E114" s="672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69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71">
        <v>4680115880658</v>
      </c>
      <c r="E115" s="672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8" t="s">
        <v>88</v>
      </c>
      <c r="Q116" s="689"/>
      <c r="R116" s="689"/>
      <c r="S116" s="689"/>
      <c r="T116" s="689"/>
      <c r="U116" s="689"/>
      <c r="V116" s="690"/>
      <c r="W116" s="37" t="s">
        <v>89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8" t="s">
        <v>88</v>
      </c>
      <c r="Q117" s="689"/>
      <c r="R117" s="689"/>
      <c r="S117" s="689"/>
      <c r="T117" s="689"/>
      <c r="U117" s="689"/>
      <c r="V117" s="690"/>
      <c r="W117" s="37" t="s">
        <v>69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customHeight="1" x14ac:dyDescent="0.25">
      <c r="A118" s="684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3"/>
      <c r="AB118" s="663"/>
      <c r="AC118" s="663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71">
        <v>4607091385168</v>
      </c>
      <c r="E119" s="672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4"/>
      <c r="R119" s="674"/>
      <c r="S119" s="674"/>
      <c r="T119" s="675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231</v>
      </c>
      <c r="B120" s="54" t="s">
        <v>234</v>
      </c>
      <c r="C120" s="31">
        <v>4301051625</v>
      </c>
      <c r="D120" s="671">
        <v>4607091385168</v>
      </c>
      <c r="E120" s="672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75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69</v>
      </c>
      <c r="X120" s="667">
        <v>50</v>
      </c>
      <c r="Y120" s="668">
        <f t="shared" si="21"/>
        <v>50.400000000000006</v>
      </c>
      <c r="Z120" s="36">
        <f>IFERROR(IF(Y120=0,"",ROUNDUP(Y120/H120,0)*0.01898),"")</f>
        <v>0.11388000000000001</v>
      </c>
      <c r="AA120" s="56"/>
      <c r="AB120" s="57"/>
      <c r="AC120" s="177" t="s">
        <v>235</v>
      </c>
      <c r="AG120" s="64"/>
      <c r="AJ120" s="68"/>
      <c r="AK120" s="68">
        <v>0</v>
      </c>
      <c r="BB120" s="178" t="s">
        <v>1</v>
      </c>
      <c r="BM120" s="64">
        <f t="shared" si="22"/>
        <v>53.053571428571431</v>
      </c>
      <c r="BN120" s="64">
        <f t="shared" si="23"/>
        <v>53.478000000000002</v>
      </c>
      <c r="BO120" s="64">
        <f t="shared" si="24"/>
        <v>9.3005952380952384E-2</v>
      </c>
      <c r="BP120" s="64">
        <f t="shared" si="25"/>
        <v>9.375E-2</v>
      </c>
    </row>
    <row r="121" spans="1:68" ht="16.5" customHeight="1" x14ac:dyDescent="0.25">
      <c r="A121" s="54" t="s">
        <v>231</v>
      </c>
      <c r="B121" s="54" t="s">
        <v>236</v>
      </c>
      <c r="C121" s="31">
        <v>4301051724</v>
      </c>
      <c r="D121" s="671">
        <v>4607091385168</v>
      </c>
      <c r="E121" s="672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101</v>
      </c>
      <c r="L121" s="32"/>
      <c r="M121" s="33" t="s">
        <v>134</v>
      </c>
      <c r="N121" s="33"/>
      <c r="O121" s="32">
        <v>45</v>
      </c>
      <c r="P121" s="1010" t="s">
        <v>237</v>
      </c>
      <c r="Q121" s="674"/>
      <c r="R121" s="674"/>
      <c r="S121" s="674"/>
      <c r="T121" s="675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239</v>
      </c>
      <c r="B122" s="54" t="s">
        <v>240</v>
      </c>
      <c r="C122" s="31">
        <v>4301051730</v>
      </c>
      <c r="D122" s="671">
        <v>4607091383256</v>
      </c>
      <c r="E122" s="672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134</v>
      </c>
      <c r="N122" s="33"/>
      <c r="O122" s="32">
        <v>45</v>
      </c>
      <c r="P122" s="846" t="s">
        <v>241</v>
      </c>
      <c r="Q122" s="674"/>
      <c r="R122" s="674"/>
      <c r="S122" s="674"/>
      <c r="T122" s="675"/>
      <c r="U122" s="34"/>
      <c r="V122" s="34"/>
      <c r="W122" s="35" t="s">
        <v>69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238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242</v>
      </c>
      <c r="B123" s="54" t="s">
        <v>243</v>
      </c>
      <c r="C123" s="31">
        <v>4301051721</v>
      </c>
      <c r="D123" s="671">
        <v>4607091385748</v>
      </c>
      <c r="E123" s="672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4" t="s">
        <v>244</v>
      </c>
      <c r="Q123" s="674"/>
      <c r="R123" s="674"/>
      <c r="S123" s="674"/>
      <c r="T123" s="675"/>
      <c r="U123" s="34"/>
      <c r="V123" s="34"/>
      <c r="W123" s="35" t="s">
        <v>69</v>
      </c>
      <c r="X123" s="667">
        <v>0</v>
      </c>
      <c r="Y123" s="668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238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245</v>
      </c>
      <c r="B124" s="54" t="s">
        <v>246</v>
      </c>
      <c r="C124" s="31">
        <v>4301051740</v>
      </c>
      <c r="D124" s="671">
        <v>4680115884533</v>
      </c>
      <c r="E124" s="672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4"/>
      <c r="R124" s="674"/>
      <c r="S124" s="674"/>
      <c r="T124" s="675"/>
      <c r="U124" s="34"/>
      <c r="V124" s="34"/>
      <c r="W124" s="35" t="s">
        <v>69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247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248</v>
      </c>
      <c r="B125" s="54" t="s">
        <v>249</v>
      </c>
      <c r="C125" s="31">
        <v>4301051480</v>
      </c>
      <c r="D125" s="671">
        <v>4680115882645</v>
      </c>
      <c r="E125" s="672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96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4"/>
      <c r="R125" s="674"/>
      <c r="S125" s="674"/>
      <c r="T125" s="675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250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78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88" t="s">
        <v>88</v>
      </c>
      <c r="Q126" s="689"/>
      <c r="R126" s="689"/>
      <c r="S126" s="689"/>
      <c r="T126" s="689"/>
      <c r="U126" s="689"/>
      <c r="V126" s="690"/>
      <c r="W126" s="37" t="s">
        <v>89</v>
      </c>
      <c r="X126" s="669">
        <f>IFERROR(X119/H119,"0")+IFERROR(X120/H120,"0")+IFERROR(X121/H121,"0")+IFERROR(X122/H122,"0")+IFERROR(X123/H123,"0")+IFERROR(X124/H124,"0")+IFERROR(X125/H125,"0")</f>
        <v>5.9523809523809526</v>
      </c>
      <c r="Y126" s="669">
        <f>IFERROR(Y119/H119,"0")+IFERROR(Y120/H120,"0")+IFERROR(Y121/H121,"0")+IFERROR(Y122/H122,"0")+IFERROR(Y123/H123,"0")+IFERROR(Y124/H124,"0")+IFERROR(Y125/H125,"0")</f>
        <v>6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0.11388000000000001</v>
      </c>
      <c r="AA126" s="670"/>
      <c r="AB126" s="670"/>
      <c r="AC126" s="670"/>
    </row>
    <row r="127" spans="1:68" x14ac:dyDescent="0.2">
      <c r="A127" s="679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8" t="s">
        <v>88</v>
      </c>
      <c r="Q127" s="689"/>
      <c r="R127" s="689"/>
      <c r="S127" s="689"/>
      <c r="T127" s="689"/>
      <c r="U127" s="689"/>
      <c r="V127" s="690"/>
      <c r="W127" s="37" t="s">
        <v>69</v>
      </c>
      <c r="X127" s="669">
        <f>IFERROR(SUM(X119:X125),"0")</f>
        <v>50</v>
      </c>
      <c r="Y127" s="669">
        <f>IFERROR(SUM(Y119:Y125),"0")</f>
        <v>50.400000000000006</v>
      </c>
      <c r="Z127" s="37"/>
      <c r="AA127" s="670"/>
      <c r="AB127" s="670"/>
      <c r="AC127" s="670"/>
    </row>
    <row r="128" spans="1:68" ht="14.25" customHeight="1" x14ac:dyDescent="0.25">
      <c r="A128" s="684" t="s">
        <v>175</v>
      </c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63"/>
      <c r="AB128" s="663"/>
      <c r="AC128" s="663"/>
    </row>
    <row r="129" spans="1:68" ht="37.5" customHeight="1" x14ac:dyDescent="0.25">
      <c r="A129" s="54" t="s">
        <v>251</v>
      </c>
      <c r="B129" s="54" t="s">
        <v>252</v>
      </c>
      <c r="C129" s="31">
        <v>4301060356</v>
      </c>
      <c r="D129" s="671">
        <v>4680115882652</v>
      </c>
      <c r="E129" s="672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7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4"/>
      <c r="R129" s="674"/>
      <c r="S129" s="674"/>
      <c r="T129" s="675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253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254</v>
      </c>
      <c r="B130" s="54" t="s">
        <v>255</v>
      </c>
      <c r="C130" s="31">
        <v>4301060317</v>
      </c>
      <c r="D130" s="671">
        <v>4680115880238</v>
      </c>
      <c r="E130" s="672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9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4"/>
      <c r="R130" s="674"/>
      <c r="S130" s="674"/>
      <c r="T130" s="675"/>
      <c r="U130" s="34"/>
      <c r="V130" s="34"/>
      <c r="W130" s="35" t="s">
        <v>69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256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78"/>
      <c r="B131" s="679"/>
      <c r="C131" s="679"/>
      <c r="D131" s="679"/>
      <c r="E131" s="679"/>
      <c r="F131" s="679"/>
      <c r="G131" s="679"/>
      <c r="H131" s="679"/>
      <c r="I131" s="679"/>
      <c r="J131" s="679"/>
      <c r="K131" s="679"/>
      <c r="L131" s="679"/>
      <c r="M131" s="679"/>
      <c r="N131" s="679"/>
      <c r="O131" s="680"/>
      <c r="P131" s="688" t="s">
        <v>88</v>
      </c>
      <c r="Q131" s="689"/>
      <c r="R131" s="689"/>
      <c r="S131" s="689"/>
      <c r="T131" s="689"/>
      <c r="U131" s="689"/>
      <c r="V131" s="690"/>
      <c r="W131" s="37" t="s">
        <v>89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x14ac:dyDescent="0.2">
      <c r="A132" s="679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8" t="s">
        <v>88</v>
      </c>
      <c r="Q132" s="689"/>
      <c r="R132" s="689"/>
      <c r="S132" s="689"/>
      <c r="T132" s="689"/>
      <c r="U132" s="689"/>
      <c r="V132" s="690"/>
      <c r="W132" s="37" t="s">
        <v>69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customHeight="1" x14ac:dyDescent="0.25">
      <c r="A133" s="685" t="s">
        <v>257</v>
      </c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62"/>
      <c r="AB133" s="662"/>
      <c r="AC133" s="662"/>
    </row>
    <row r="134" spans="1:68" ht="14.25" customHeight="1" x14ac:dyDescent="0.25">
      <c r="A134" s="684" t="s">
        <v>98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3"/>
      <c r="AB134" s="663"/>
      <c r="AC134" s="663"/>
    </row>
    <row r="135" spans="1:68" ht="27" customHeight="1" x14ac:dyDescent="0.25">
      <c r="A135" s="54" t="s">
        <v>258</v>
      </c>
      <c r="B135" s="54" t="s">
        <v>259</v>
      </c>
      <c r="C135" s="31">
        <v>4301011564</v>
      </c>
      <c r="D135" s="671">
        <v>4680115882577</v>
      </c>
      <c r="E135" s="672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4"/>
      <c r="R135" s="674"/>
      <c r="S135" s="674"/>
      <c r="T135" s="675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260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258</v>
      </c>
      <c r="B136" s="54" t="s">
        <v>261</v>
      </c>
      <c r="C136" s="31">
        <v>4301011562</v>
      </c>
      <c r="D136" s="671">
        <v>4680115882577</v>
      </c>
      <c r="E136" s="672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10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4"/>
      <c r="R136" s="674"/>
      <c r="S136" s="674"/>
      <c r="T136" s="675"/>
      <c r="U136" s="34"/>
      <c r="V136" s="34"/>
      <c r="W136" s="35" t="s">
        <v>69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260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78"/>
      <c r="B137" s="679"/>
      <c r="C137" s="679"/>
      <c r="D137" s="679"/>
      <c r="E137" s="679"/>
      <c r="F137" s="679"/>
      <c r="G137" s="679"/>
      <c r="H137" s="679"/>
      <c r="I137" s="679"/>
      <c r="J137" s="679"/>
      <c r="K137" s="679"/>
      <c r="L137" s="679"/>
      <c r="M137" s="679"/>
      <c r="N137" s="679"/>
      <c r="O137" s="680"/>
      <c r="P137" s="688" t="s">
        <v>88</v>
      </c>
      <c r="Q137" s="689"/>
      <c r="R137" s="689"/>
      <c r="S137" s="689"/>
      <c r="T137" s="689"/>
      <c r="U137" s="689"/>
      <c r="V137" s="690"/>
      <c r="W137" s="37" t="s">
        <v>89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x14ac:dyDescent="0.2">
      <c r="A138" s="679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8" t="s">
        <v>88</v>
      </c>
      <c r="Q138" s="689"/>
      <c r="R138" s="689"/>
      <c r="S138" s="689"/>
      <c r="T138" s="689"/>
      <c r="U138" s="689"/>
      <c r="V138" s="690"/>
      <c r="W138" s="37" t="s">
        <v>69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customHeight="1" x14ac:dyDescent="0.25">
      <c r="A139" s="684" t="s">
        <v>149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63"/>
      <c r="AB139" s="663"/>
      <c r="AC139" s="663"/>
    </row>
    <row r="140" spans="1:68" ht="27" customHeight="1" x14ac:dyDescent="0.25">
      <c r="A140" s="54" t="s">
        <v>262</v>
      </c>
      <c r="B140" s="54" t="s">
        <v>263</v>
      </c>
      <c r="C140" s="31">
        <v>4301031234</v>
      </c>
      <c r="D140" s="671">
        <v>4680115883444</v>
      </c>
      <c r="E140" s="672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85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4"/>
      <c r="R140" s="674"/>
      <c r="S140" s="674"/>
      <c r="T140" s="675"/>
      <c r="U140" s="34"/>
      <c r="V140" s="34"/>
      <c r="W140" s="35" t="s">
        <v>69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264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262</v>
      </c>
      <c r="B141" s="54" t="s">
        <v>265</v>
      </c>
      <c r="C141" s="31">
        <v>4301031235</v>
      </c>
      <c r="D141" s="671">
        <v>4680115883444</v>
      </c>
      <c r="E141" s="672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9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4"/>
      <c r="R141" s="674"/>
      <c r="S141" s="674"/>
      <c r="T141" s="675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264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78"/>
      <c r="B142" s="679"/>
      <c r="C142" s="679"/>
      <c r="D142" s="679"/>
      <c r="E142" s="679"/>
      <c r="F142" s="679"/>
      <c r="G142" s="679"/>
      <c r="H142" s="679"/>
      <c r="I142" s="679"/>
      <c r="J142" s="679"/>
      <c r="K142" s="679"/>
      <c r="L142" s="679"/>
      <c r="M142" s="679"/>
      <c r="N142" s="679"/>
      <c r="O142" s="680"/>
      <c r="P142" s="688" t="s">
        <v>88</v>
      </c>
      <c r="Q142" s="689"/>
      <c r="R142" s="689"/>
      <c r="S142" s="689"/>
      <c r="T142" s="689"/>
      <c r="U142" s="689"/>
      <c r="V142" s="690"/>
      <c r="W142" s="37" t="s">
        <v>89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x14ac:dyDescent="0.2">
      <c r="A143" s="679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8" t="s">
        <v>88</v>
      </c>
      <c r="Q143" s="689"/>
      <c r="R143" s="689"/>
      <c r="S143" s="689"/>
      <c r="T143" s="689"/>
      <c r="U143" s="689"/>
      <c r="V143" s="690"/>
      <c r="W143" s="37" t="s">
        <v>69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customHeight="1" x14ac:dyDescent="0.25">
      <c r="A144" s="684" t="s">
        <v>64</v>
      </c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63"/>
      <c r="AB144" s="663"/>
      <c r="AC144" s="663"/>
    </row>
    <row r="145" spans="1:68" ht="16.5" customHeight="1" x14ac:dyDescent="0.25">
      <c r="A145" s="54" t="s">
        <v>266</v>
      </c>
      <c r="B145" s="54" t="s">
        <v>267</v>
      </c>
      <c r="C145" s="31">
        <v>4301051477</v>
      </c>
      <c r="D145" s="671">
        <v>4680115882584</v>
      </c>
      <c r="E145" s="672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7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4"/>
      <c r="R145" s="674"/>
      <c r="S145" s="674"/>
      <c r="T145" s="675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260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266</v>
      </c>
      <c r="B146" s="54" t="s">
        <v>268</v>
      </c>
      <c r="C146" s="31">
        <v>4301051476</v>
      </c>
      <c r="D146" s="671">
        <v>4680115882584</v>
      </c>
      <c r="E146" s="672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10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4"/>
      <c r="R146" s="674"/>
      <c r="S146" s="674"/>
      <c r="T146" s="675"/>
      <c r="U146" s="34"/>
      <c r="V146" s="34"/>
      <c r="W146" s="35" t="s">
        <v>69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260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78"/>
      <c r="B147" s="679"/>
      <c r="C147" s="679"/>
      <c r="D147" s="679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80"/>
      <c r="P147" s="688" t="s">
        <v>88</v>
      </c>
      <c r="Q147" s="689"/>
      <c r="R147" s="689"/>
      <c r="S147" s="689"/>
      <c r="T147" s="689"/>
      <c r="U147" s="689"/>
      <c r="V147" s="690"/>
      <c r="W147" s="37" t="s">
        <v>89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x14ac:dyDescent="0.2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8" t="s">
        <v>88</v>
      </c>
      <c r="Q148" s="689"/>
      <c r="R148" s="689"/>
      <c r="S148" s="689"/>
      <c r="T148" s="689"/>
      <c r="U148" s="689"/>
      <c r="V148" s="690"/>
      <c r="W148" s="37" t="s">
        <v>69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customHeight="1" x14ac:dyDescent="0.25">
      <c r="A149" s="685" t="s">
        <v>96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62"/>
      <c r="AB149" s="662"/>
      <c r="AC149" s="662"/>
    </row>
    <row r="150" spans="1:68" ht="14.25" customHeight="1" x14ac:dyDescent="0.25">
      <c r="A150" s="684" t="s">
        <v>98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3"/>
      <c r="AB150" s="663"/>
      <c r="AC150" s="663"/>
    </row>
    <row r="151" spans="1:68" ht="27" customHeight="1" x14ac:dyDescent="0.25">
      <c r="A151" s="54" t="s">
        <v>269</v>
      </c>
      <c r="B151" s="54" t="s">
        <v>270</v>
      </c>
      <c r="C151" s="31">
        <v>4301011705</v>
      </c>
      <c r="D151" s="671">
        <v>4607091384604</v>
      </c>
      <c r="E151" s="672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10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4"/>
      <c r="R151" s="674"/>
      <c r="S151" s="674"/>
      <c r="T151" s="675"/>
      <c r="U151" s="34"/>
      <c r="V151" s="34"/>
      <c r="W151" s="35" t="s">
        <v>69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271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78"/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80"/>
      <c r="P152" s="688" t="s">
        <v>88</v>
      </c>
      <c r="Q152" s="689"/>
      <c r="R152" s="689"/>
      <c r="S152" s="689"/>
      <c r="T152" s="689"/>
      <c r="U152" s="689"/>
      <c r="V152" s="690"/>
      <c r="W152" s="37" t="s">
        <v>89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8" t="s">
        <v>88</v>
      </c>
      <c r="Q153" s="689"/>
      <c r="R153" s="689"/>
      <c r="S153" s="689"/>
      <c r="T153" s="689"/>
      <c r="U153" s="689"/>
      <c r="V153" s="690"/>
      <c r="W153" s="37" t="s">
        <v>69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84" t="s">
        <v>149</v>
      </c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63"/>
      <c r="AB154" s="663"/>
      <c r="AC154" s="663"/>
    </row>
    <row r="155" spans="1:68" ht="16.5" customHeight="1" x14ac:dyDescent="0.25">
      <c r="A155" s="54" t="s">
        <v>272</v>
      </c>
      <c r="B155" s="54" t="s">
        <v>273</v>
      </c>
      <c r="C155" s="31">
        <v>4301030895</v>
      </c>
      <c r="D155" s="671">
        <v>4607091387667</v>
      </c>
      <c r="E155" s="672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69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4"/>
      <c r="R155" s="674"/>
      <c r="S155" s="674"/>
      <c r="T155" s="675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274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275</v>
      </c>
      <c r="B156" s="54" t="s">
        <v>276</v>
      </c>
      <c r="C156" s="31">
        <v>4301030961</v>
      </c>
      <c r="D156" s="671">
        <v>4607091387636</v>
      </c>
      <c r="E156" s="672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4"/>
      <c r="R156" s="674"/>
      <c r="S156" s="674"/>
      <c r="T156" s="675"/>
      <c r="U156" s="34"/>
      <c r="V156" s="34"/>
      <c r="W156" s="35" t="s">
        <v>69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277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278</v>
      </c>
      <c r="B157" s="54" t="s">
        <v>279</v>
      </c>
      <c r="C157" s="31">
        <v>4301030963</v>
      </c>
      <c r="D157" s="671">
        <v>4607091382426</v>
      </c>
      <c r="E157" s="672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9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69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280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78"/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80"/>
      <c r="P158" s="688" t="s">
        <v>88</v>
      </c>
      <c r="Q158" s="689"/>
      <c r="R158" s="689"/>
      <c r="S158" s="689"/>
      <c r="T158" s="689"/>
      <c r="U158" s="689"/>
      <c r="V158" s="690"/>
      <c r="W158" s="37" t="s">
        <v>89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88" t="s">
        <v>88</v>
      </c>
      <c r="Q159" s="689"/>
      <c r="R159" s="689"/>
      <c r="S159" s="689"/>
      <c r="T159" s="689"/>
      <c r="U159" s="689"/>
      <c r="V159" s="690"/>
      <c r="W159" s="37" t="s">
        <v>69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84" t="s">
        <v>64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63"/>
      <c r="AB160" s="663"/>
      <c r="AC160" s="663"/>
    </row>
    <row r="161" spans="1:68" ht="16.5" customHeight="1" x14ac:dyDescent="0.25">
      <c r="A161" s="54" t="s">
        <v>281</v>
      </c>
      <c r="B161" s="54" t="s">
        <v>282</v>
      </c>
      <c r="C161" s="31">
        <v>4301051653</v>
      </c>
      <c r="D161" s="671">
        <v>4607091386264</v>
      </c>
      <c r="E161" s="672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104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4"/>
      <c r="R161" s="674"/>
      <c r="S161" s="674"/>
      <c r="T161" s="675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78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8" t="s">
        <v>88</v>
      </c>
      <c r="Q162" s="689"/>
      <c r="R162" s="689"/>
      <c r="S162" s="689"/>
      <c r="T162" s="689"/>
      <c r="U162" s="689"/>
      <c r="V162" s="690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88" t="s">
        <v>88</v>
      </c>
      <c r="Q163" s="689"/>
      <c r="R163" s="689"/>
      <c r="S163" s="689"/>
      <c r="T163" s="689"/>
      <c r="U163" s="689"/>
      <c r="V163" s="690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682" t="s">
        <v>284</v>
      </c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48"/>
      <c r="AB164" s="48"/>
      <c r="AC164" s="48"/>
    </row>
    <row r="165" spans="1:68" ht="16.5" customHeight="1" x14ac:dyDescent="0.25">
      <c r="A165" s="685" t="s">
        <v>285</v>
      </c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62"/>
      <c r="AB165" s="662"/>
      <c r="AC165" s="662"/>
    </row>
    <row r="166" spans="1:68" ht="14.25" customHeight="1" x14ac:dyDescent="0.25">
      <c r="A166" s="684" t="s">
        <v>138</v>
      </c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63"/>
      <c r="AB166" s="663"/>
      <c r="AC166" s="663"/>
    </row>
    <row r="167" spans="1:68" ht="27" customHeight="1" x14ac:dyDescent="0.25">
      <c r="A167" s="54" t="s">
        <v>286</v>
      </c>
      <c r="B167" s="54" t="s">
        <v>287</v>
      </c>
      <c r="C167" s="31">
        <v>4301020323</v>
      </c>
      <c r="D167" s="671">
        <v>4680115886223</v>
      </c>
      <c r="E167" s="672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152</v>
      </c>
      <c r="L167" s="32"/>
      <c r="M167" s="33" t="s">
        <v>68</v>
      </c>
      <c r="N167" s="33"/>
      <c r="O167" s="32">
        <v>40</v>
      </c>
      <c r="P167" s="8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4"/>
      <c r="R167" s="674"/>
      <c r="S167" s="674"/>
      <c r="T167" s="675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288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8"/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80"/>
      <c r="P168" s="688" t="s">
        <v>88</v>
      </c>
      <c r="Q168" s="689"/>
      <c r="R168" s="689"/>
      <c r="S168" s="689"/>
      <c r="T168" s="689"/>
      <c r="U168" s="689"/>
      <c r="V168" s="690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79"/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80"/>
      <c r="P169" s="688" t="s">
        <v>88</v>
      </c>
      <c r="Q169" s="689"/>
      <c r="R169" s="689"/>
      <c r="S169" s="689"/>
      <c r="T169" s="689"/>
      <c r="U169" s="689"/>
      <c r="V169" s="690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84" t="s">
        <v>149</v>
      </c>
      <c r="B170" s="679"/>
      <c r="C170" s="679"/>
      <c r="D170" s="679"/>
      <c r="E170" s="679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63"/>
      <c r="AB170" s="663"/>
      <c r="AC170" s="663"/>
    </row>
    <row r="171" spans="1:68" ht="27" customHeight="1" x14ac:dyDescent="0.25">
      <c r="A171" s="54" t="s">
        <v>289</v>
      </c>
      <c r="B171" s="54" t="s">
        <v>290</v>
      </c>
      <c r="C171" s="31">
        <v>4301031191</v>
      </c>
      <c r="D171" s="671">
        <v>4680115880993</v>
      </c>
      <c r="E171" s="672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4"/>
      <c r="R171" s="674"/>
      <c r="S171" s="674"/>
      <c r="T171" s="675"/>
      <c r="U171" s="34"/>
      <c r="V171" s="34"/>
      <c r="W171" s="35" t="s">
        <v>69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291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292</v>
      </c>
      <c r="B172" s="54" t="s">
        <v>293</v>
      </c>
      <c r="C172" s="31">
        <v>4301031204</v>
      </c>
      <c r="D172" s="671">
        <v>4680115881761</v>
      </c>
      <c r="E172" s="672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4"/>
      <c r="R172" s="674"/>
      <c r="S172" s="674"/>
      <c r="T172" s="675"/>
      <c r="U172" s="34"/>
      <c r="V172" s="34"/>
      <c r="W172" s="35" t="s">
        <v>69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294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295</v>
      </c>
      <c r="B173" s="54" t="s">
        <v>296</v>
      </c>
      <c r="C173" s="31">
        <v>4301031201</v>
      </c>
      <c r="D173" s="671">
        <v>4680115881563</v>
      </c>
      <c r="E173" s="672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7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4"/>
      <c r="R173" s="674"/>
      <c r="S173" s="674"/>
      <c r="T173" s="675"/>
      <c r="U173" s="34"/>
      <c r="V173" s="34"/>
      <c r="W173" s="35" t="s">
        <v>69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297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4301031199</v>
      </c>
      <c r="D174" s="671">
        <v>4680115880986</v>
      </c>
      <c r="E174" s="672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152</v>
      </c>
      <c r="L174" s="32"/>
      <c r="M174" s="33" t="s">
        <v>68</v>
      </c>
      <c r="N174" s="33"/>
      <c r="O174" s="32">
        <v>40</v>
      </c>
      <c r="P174" s="10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4"/>
      <c r="R174" s="674"/>
      <c r="S174" s="674"/>
      <c r="T174" s="675"/>
      <c r="U174" s="34"/>
      <c r="V174" s="34"/>
      <c r="W174" s="35" t="s">
        <v>69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291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671">
        <v>4680115881785</v>
      </c>
      <c r="E175" s="672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152</v>
      </c>
      <c r="L175" s="32"/>
      <c r="M175" s="33" t="s">
        <v>68</v>
      </c>
      <c r="N175" s="33"/>
      <c r="O175" s="32">
        <v>40</v>
      </c>
      <c r="P175" s="9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4"/>
      <c r="R175" s="674"/>
      <c r="S175" s="674"/>
      <c r="T175" s="675"/>
      <c r="U175" s="34"/>
      <c r="V175" s="34"/>
      <c r="W175" s="35" t="s">
        <v>69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294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671">
        <v>4680115886537</v>
      </c>
      <c r="E176" s="672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152</v>
      </c>
      <c r="L176" s="32"/>
      <c r="M176" s="33" t="s">
        <v>68</v>
      </c>
      <c r="N176" s="33"/>
      <c r="O176" s="32">
        <v>40</v>
      </c>
      <c r="P176" s="970" t="s">
        <v>304</v>
      </c>
      <c r="Q176" s="674"/>
      <c r="R176" s="674"/>
      <c r="S176" s="674"/>
      <c r="T176" s="675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305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306</v>
      </c>
      <c r="B177" s="54" t="s">
        <v>307</v>
      </c>
      <c r="C177" s="31">
        <v>4301031202</v>
      </c>
      <c r="D177" s="671">
        <v>4680115881679</v>
      </c>
      <c r="E177" s="672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4"/>
      <c r="R177" s="674"/>
      <c r="S177" s="674"/>
      <c r="T177" s="675"/>
      <c r="U177" s="34"/>
      <c r="V177" s="34"/>
      <c r="W177" s="35" t="s">
        <v>69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297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4301031158</v>
      </c>
      <c r="D178" s="671">
        <v>4680115880191</v>
      </c>
      <c r="E178" s="672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4"/>
      <c r="R178" s="674"/>
      <c r="S178" s="674"/>
      <c r="T178" s="675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297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4301031245</v>
      </c>
      <c r="D179" s="671">
        <v>4680115883963</v>
      </c>
      <c r="E179" s="672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4"/>
      <c r="R179" s="674"/>
      <c r="S179" s="674"/>
      <c r="T179" s="675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312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78"/>
      <c r="B180" s="679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80"/>
      <c r="P180" s="688" t="s">
        <v>88</v>
      </c>
      <c r="Q180" s="689"/>
      <c r="R180" s="689"/>
      <c r="S180" s="689"/>
      <c r="T180" s="689"/>
      <c r="U180" s="689"/>
      <c r="V180" s="690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0</v>
      </c>
      <c r="Y180" s="669">
        <f>IFERROR(Y171/H171,"0")+IFERROR(Y172/H172,"0")+IFERROR(Y173/H173,"0")+IFERROR(Y174/H174,"0")+IFERROR(Y175/H175,"0")+IFERROR(Y176/H176,"0")+IFERROR(Y177/H177,"0")+IFERROR(Y178/H178,"0")+IFERROR(Y179/H179,"0")</f>
        <v>0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0"/>
      <c r="AB180" s="670"/>
      <c r="AC180" s="670"/>
    </row>
    <row r="181" spans="1:68" x14ac:dyDescent="0.2">
      <c r="A181" s="679"/>
      <c r="B181" s="679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80"/>
      <c r="P181" s="688" t="s">
        <v>88</v>
      </c>
      <c r="Q181" s="689"/>
      <c r="R181" s="689"/>
      <c r="S181" s="689"/>
      <c r="T181" s="689"/>
      <c r="U181" s="689"/>
      <c r="V181" s="690"/>
      <c r="W181" s="37" t="s">
        <v>69</v>
      </c>
      <c r="X181" s="669">
        <f>IFERROR(SUM(X171:X179),"0")</f>
        <v>0</v>
      </c>
      <c r="Y181" s="669">
        <f>IFERROR(SUM(Y171:Y179),"0")</f>
        <v>0</v>
      </c>
      <c r="Z181" s="37"/>
      <c r="AA181" s="670"/>
      <c r="AB181" s="670"/>
      <c r="AC181" s="670"/>
    </row>
    <row r="182" spans="1:68" ht="14.25" customHeight="1" x14ac:dyDescent="0.25">
      <c r="A182" s="684" t="s">
        <v>90</v>
      </c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63"/>
      <c r="AB182" s="663"/>
      <c r="AC182" s="663"/>
    </row>
    <row r="183" spans="1:68" ht="27" customHeight="1" x14ac:dyDescent="0.25">
      <c r="A183" s="54" t="s">
        <v>313</v>
      </c>
      <c r="B183" s="54" t="s">
        <v>314</v>
      </c>
      <c r="C183" s="31">
        <v>4301032051</v>
      </c>
      <c r="D183" s="671">
        <v>4680115886742</v>
      </c>
      <c r="E183" s="672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315</v>
      </c>
      <c r="L183" s="32"/>
      <c r="M183" s="33" t="s">
        <v>316</v>
      </c>
      <c r="N183" s="33"/>
      <c r="O183" s="32">
        <v>90</v>
      </c>
      <c r="P183" s="987" t="s">
        <v>317</v>
      </c>
      <c r="Q183" s="674"/>
      <c r="R183" s="674"/>
      <c r="S183" s="674"/>
      <c r="T183" s="675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318</v>
      </c>
      <c r="AC183" s="235" t="s">
        <v>319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320</v>
      </c>
      <c r="B184" s="54" t="s">
        <v>321</v>
      </c>
      <c r="C184" s="31">
        <v>4301032052</v>
      </c>
      <c r="D184" s="671">
        <v>4680115886766</v>
      </c>
      <c r="E184" s="672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315</v>
      </c>
      <c r="L184" s="32"/>
      <c r="M184" s="33" t="s">
        <v>316</v>
      </c>
      <c r="N184" s="33"/>
      <c r="O184" s="32">
        <v>90</v>
      </c>
      <c r="P184" s="753" t="s">
        <v>322</v>
      </c>
      <c r="Q184" s="674"/>
      <c r="R184" s="674"/>
      <c r="S184" s="674"/>
      <c r="T184" s="675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318</v>
      </c>
      <c r="AC184" s="237" t="s">
        <v>319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323</v>
      </c>
      <c r="B185" s="54" t="s">
        <v>324</v>
      </c>
      <c r="C185" s="31">
        <v>4301032053</v>
      </c>
      <c r="D185" s="671">
        <v>4680115886780</v>
      </c>
      <c r="E185" s="672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315</v>
      </c>
      <c r="L185" s="32"/>
      <c r="M185" s="33" t="s">
        <v>316</v>
      </c>
      <c r="N185" s="33"/>
      <c r="O185" s="32">
        <v>60</v>
      </c>
      <c r="P185" s="842" t="s">
        <v>325</v>
      </c>
      <c r="Q185" s="674"/>
      <c r="R185" s="674"/>
      <c r="S185" s="674"/>
      <c r="T185" s="675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326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78"/>
      <c r="B186" s="679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80"/>
      <c r="P186" s="688" t="s">
        <v>88</v>
      </c>
      <c r="Q186" s="689"/>
      <c r="R186" s="689"/>
      <c r="S186" s="689"/>
      <c r="T186" s="689"/>
      <c r="U186" s="689"/>
      <c r="V186" s="690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8" t="s">
        <v>88</v>
      </c>
      <c r="Q187" s="689"/>
      <c r="R187" s="689"/>
      <c r="S187" s="689"/>
      <c r="T187" s="689"/>
      <c r="U187" s="689"/>
      <c r="V187" s="690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84" t="s">
        <v>327</v>
      </c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63"/>
      <c r="AB188" s="663"/>
      <c r="AC188" s="663"/>
    </row>
    <row r="189" spans="1:68" ht="27" customHeight="1" x14ac:dyDescent="0.25">
      <c r="A189" s="54" t="s">
        <v>328</v>
      </c>
      <c r="B189" s="54" t="s">
        <v>329</v>
      </c>
      <c r="C189" s="31">
        <v>4301170013</v>
      </c>
      <c r="D189" s="671">
        <v>4680115886797</v>
      </c>
      <c r="E189" s="672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315</v>
      </c>
      <c r="L189" s="32"/>
      <c r="M189" s="33" t="s">
        <v>316</v>
      </c>
      <c r="N189" s="33"/>
      <c r="O189" s="32">
        <v>90</v>
      </c>
      <c r="P189" s="790" t="s">
        <v>330</v>
      </c>
      <c r="Q189" s="674"/>
      <c r="R189" s="674"/>
      <c r="S189" s="674"/>
      <c r="T189" s="675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318</v>
      </c>
      <c r="AC189" s="241" t="s">
        <v>319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78"/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80"/>
      <c r="P190" s="688" t="s">
        <v>88</v>
      </c>
      <c r="Q190" s="689"/>
      <c r="R190" s="689"/>
      <c r="S190" s="689"/>
      <c r="T190" s="689"/>
      <c r="U190" s="689"/>
      <c r="V190" s="690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88" t="s">
        <v>88</v>
      </c>
      <c r="Q191" s="689"/>
      <c r="R191" s="689"/>
      <c r="S191" s="689"/>
      <c r="T191" s="689"/>
      <c r="U191" s="689"/>
      <c r="V191" s="690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685" t="s">
        <v>331</v>
      </c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62"/>
      <c r="AB192" s="662"/>
      <c r="AC192" s="662"/>
    </row>
    <row r="193" spans="1:68" ht="14.25" customHeight="1" x14ac:dyDescent="0.25">
      <c r="A193" s="684" t="s">
        <v>98</v>
      </c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63"/>
      <c r="AB193" s="663"/>
      <c r="AC193" s="663"/>
    </row>
    <row r="194" spans="1:68" ht="16.5" customHeight="1" x14ac:dyDescent="0.25">
      <c r="A194" s="54" t="s">
        <v>332</v>
      </c>
      <c r="B194" s="54" t="s">
        <v>333</v>
      </c>
      <c r="C194" s="31">
        <v>4301011450</v>
      </c>
      <c r="D194" s="671">
        <v>4680115881402</v>
      </c>
      <c r="E194" s="672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4"/>
      <c r="R194" s="674"/>
      <c r="S194" s="674"/>
      <c r="T194" s="675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334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335</v>
      </c>
      <c r="B195" s="54" t="s">
        <v>336</v>
      </c>
      <c r="C195" s="31">
        <v>4301011768</v>
      </c>
      <c r="D195" s="671">
        <v>4680115881396</v>
      </c>
      <c r="E195" s="672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4"/>
      <c r="R195" s="674"/>
      <c r="S195" s="674"/>
      <c r="T195" s="675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334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78"/>
      <c r="B196" s="679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80"/>
      <c r="P196" s="688" t="s">
        <v>88</v>
      </c>
      <c r="Q196" s="689"/>
      <c r="R196" s="689"/>
      <c r="S196" s="689"/>
      <c r="T196" s="689"/>
      <c r="U196" s="689"/>
      <c r="V196" s="690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79"/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80"/>
      <c r="P197" s="688" t="s">
        <v>88</v>
      </c>
      <c r="Q197" s="689"/>
      <c r="R197" s="689"/>
      <c r="S197" s="689"/>
      <c r="T197" s="689"/>
      <c r="U197" s="689"/>
      <c r="V197" s="690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84" t="s">
        <v>138</v>
      </c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63"/>
      <c r="AB198" s="663"/>
      <c r="AC198" s="663"/>
    </row>
    <row r="199" spans="1:68" ht="16.5" customHeight="1" x14ac:dyDescent="0.25">
      <c r="A199" s="54" t="s">
        <v>337</v>
      </c>
      <c r="B199" s="54" t="s">
        <v>338</v>
      </c>
      <c r="C199" s="31">
        <v>4301020262</v>
      </c>
      <c r="D199" s="671">
        <v>4680115882935</v>
      </c>
      <c r="E199" s="672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10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4"/>
      <c r="R199" s="674"/>
      <c r="S199" s="674"/>
      <c r="T199" s="675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339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340</v>
      </c>
      <c r="B200" s="54" t="s">
        <v>341</v>
      </c>
      <c r="C200" s="31">
        <v>4301020220</v>
      </c>
      <c r="D200" s="671">
        <v>4680115880764</v>
      </c>
      <c r="E200" s="672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10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4"/>
      <c r="R200" s="674"/>
      <c r="S200" s="674"/>
      <c r="T200" s="675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339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78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88" t="s">
        <v>88</v>
      </c>
      <c r="Q201" s="689"/>
      <c r="R201" s="689"/>
      <c r="S201" s="689"/>
      <c r="T201" s="689"/>
      <c r="U201" s="689"/>
      <c r="V201" s="690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79"/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80"/>
      <c r="P202" s="688" t="s">
        <v>88</v>
      </c>
      <c r="Q202" s="689"/>
      <c r="R202" s="689"/>
      <c r="S202" s="689"/>
      <c r="T202" s="689"/>
      <c r="U202" s="689"/>
      <c r="V202" s="690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84" t="s">
        <v>149</v>
      </c>
      <c r="B203" s="679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63"/>
      <c r="AB203" s="663"/>
      <c r="AC203" s="663"/>
    </row>
    <row r="204" spans="1:68" ht="27" customHeight="1" x14ac:dyDescent="0.25">
      <c r="A204" s="54" t="s">
        <v>342</v>
      </c>
      <c r="B204" s="54" t="s">
        <v>343</v>
      </c>
      <c r="C204" s="31">
        <v>4301031224</v>
      </c>
      <c r="D204" s="671">
        <v>4680115882683</v>
      </c>
      <c r="E204" s="672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69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344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customHeight="1" x14ac:dyDescent="0.25">
      <c r="A205" s="54" t="s">
        <v>345</v>
      </c>
      <c r="B205" s="54" t="s">
        <v>346</v>
      </c>
      <c r="C205" s="31">
        <v>4301031230</v>
      </c>
      <c r="D205" s="671">
        <v>4680115882690</v>
      </c>
      <c r="E205" s="672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80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4"/>
      <c r="R205" s="674"/>
      <c r="S205" s="674"/>
      <c r="T205" s="675"/>
      <c r="U205" s="34"/>
      <c r="V205" s="34"/>
      <c r="W205" s="35" t="s">
        <v>69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347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customHeight="1" x14ac:dyDescent="0.25">
      <c r="A206" s="54" t="s">
        <v>348</v>
      </c>
      <c r="B206" s="54" t="s">
        <v>349</v>
      </c>
      <c r="C206" s="31">
        <v>4301031220</v>
      </c>
      <c r="D206" s="671">
        <v>4680115882669</v>
      </c>
      <c r="E206" s="672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4"/>
      <c r="R206" s="674"/>
      <c r="S206" s="674"/>
      <c r="T206" s="675"/>
      <c r="U206" s="34"/>
      <c r="V206" s="34"/>
      <c r="W206" s="35" t="s">
        <v>69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350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351</v>
      </c>
      <c r="B207" s="54" t="s">
        <v>352</v>
      </c>
      <c r="C207" s="31">
        <v>4301031221</v>
      </c>
      <c r="D207" s="671">
        <v>4680115882676</v>
      </c>
      <c r="E207" s="672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90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4"/>
      <c r="R207" s="674"/>
      <c r="S207" s="674"/>
      <c r="T207" s="675"/>
      <c r="U207" s="34"/>
      <c r="V207" s="34"/>
      <c r="W207" s="35" t="s">
        <v>69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353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354</v>
      </c>
      <c r="B208" s="54" t="s">
        <v>355</v>
      </c>
      <c r="C208" s="31">
        <v>4301031223</v>
      </c>
      <c r="D208" s="671">
        <v>4680115884014</v>
      </c>
      <c r="E208" s="672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69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344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356</v>
      </c>
      <c r="B209" s="54" t="s">
        <v>357</v>
      </c>
      <c r="C209" s="31">
        <v>4301031222</v>
      </c>
      <c r="D209" s="671">
        <v>4680115884007</v>
      </c>
      <c r="E209" s="672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152</v>
      </c>
      <c r="L209" s="32"/>
      <c r="M209" s="33" t="s">
        <v>68</v>
      </c>
      <c r="N209" s="33"/>
      <c r="O209" s="32">
        <v>40</v>
      </c>
      <c r="P209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4"/>
      <c r="R209" s="674"/>
      <c r="S209" s="674"/>
      <c r="T209" s="675"/>
      <c r="U209" s="34"/>
      <c r="V209" s="34"/>
      <c r="W209" s="35" t="s">
        <v>69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347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customHeight="1" x14ac:dyDescent="0.25">
      <c r="A210" s="54" t="s">
        <v>358</v>
      </c>
      <c r="B210" s="54" t="s">
        <v>359</v>
      </c>
      <c r="C210" s="31">
        <v>4301031229</v>
      </c>
      <c r="D210" s="671">
        <v>4680115884038</v>
      </c>
      <c r="E210" s="672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152</v>
      </c>
      <c r="L210" s="32"/>
      <c r="M210" s="33" t="s">
        <v>68</v>
      </c>
      <c r="N210" s="33"/>
      <c r="O210" s="32">
        <v>40</v>
      </c>
      <c r="P210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4"/>
      <c r="R210" s="674"/>
      <c r="S210" s="674"/>
      <c r="T210" s="675"/>
      <c r="U210" s="34"/>
      <c r="V210" s="34"/>
      <c r="W210" s="35" t="s">
        <v>69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350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360</v>
      </c>
      <c r="B211" s="54" t="s">
        <v>361</v>
      </c>
      <c r="C211" s="31">
        <v>4301031225</v>
      </c>
      <c r="D211" s="671">
        <v>4680115884021</v>
      </c>
      <c r="E211" s="672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152</v>
      </c>
      <c r="L211" s="32"/>
      <c r="M211" s="33" t="s">
        <v>68</v>
      </c>
      <c r="N211" s="33"/>
      <c r="O211" s="32">
        <v>40</v>
      </c>
      <c r="P211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4"/>
      <c r="R211" s="674"/>
      <c r="S211" s="674"/>
      <c r="T211" s="675"/>
      <c r="U211" s="34"/>
      <c r="V211" s="34"/>
      <c r="W211" s="35" t="s">
        <v>69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353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78"/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80"/>
      <c r="P212" s="688" t="s">
        <v>88</v>
      </c>
      <c r="Q212" s="689"/>
      <c r="R212" s="689"/>
      <c r="S212" s="689"/>
      <c r="T212" s="689"/>
      <c r="U212" s="689"/>
      <c r="V212" s="690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0</v>
      </c>
      <c r="Y212" s="669">
        <f>IFERROR(Y204/H204,"0")+IFERROR(Y205/H205,"0")+IFERROR(Y206/H206,"0")+IFERROR(Y207/H207,"0")+IFERROR(Y208/H208,"0")+IFERROR(Y209/H209,"0")+IFERROR(Y210/H210,"0")+IFERROR(Y211/H211,"0")</f>
        <v>0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0"/>
      <c r="AB212" s="670"/>
      <c r="AC212" s="670"/>
    </row>
    <row r="213" spans="1:68" x14ac:dyDescent="0.2">
      <c r="A213" s="679"/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  <c r="M213" s="679"/>
      <c r="N213" s="679"/>
      <c r="O213" s="680"/>
      <c r="P213" s="688" t="s">
        <v>88</v>
      </c>
      <c r="Q213" s="689"/>
      <c r="R213" s="689"/>
      <c r="S213" s="689"/>
      <c r="T213" s="689"/>
      <c r="U213" s="689"/>
      <c r="V213" s="690"/>
      <c r="W213" s="37" t="s">
        <v>69</v>
      </c>
      <c r="X213" s="669">
        <f>IFERROR(SUM(X204:X211),"0")</f>
        <v>0</v>
      </c>
      <c r="Y213" s="669">
        <f>IFERROR(SUM(Y204:Y211),"0")</f>
        <v>0</v>
      </c>
      <c r="Z213" s="37"/>
      <c r="AA213" s="670"/>
      <c r="AB213" s="670"/>
      <c r="AC213" s="670"/>
    </row>
    <row r="214" spans="1:68" ht="14.25" customHeight="1" x14ac:dyDescent="0.25">
      <c r="A214" s="684" t="s">
        <v>64</v>
      </c>
      <c r="B214" s="679"/>
      <c r="C214" s="679"/>
      <c r="D214" s="679"/>
      <c r="E214" s="679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63"/>
      <c r="AB214" s="663"/>
      <c r="AC214" s="663"/>
    </row>
    <row r="215" spans="1:68" ht="27" customHeight="1" x14ac:dyDescent="0.25">
      <c r="A215" s="54" t="s">
        <v>362</v>
      </c>
      <c r="B215" s="54" t="s">
        <v>363</v>
      </c>
      <c r="C215" s="31">
        <v>4301051408</v>
      </c>
      <c r="D215" s="671">
        <v>4680115881594</v>
      </c>
      <c r="E215" s="672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4"/>
      <c r="R215" s="674"/>
      <c r="S215" s="674"/>
      <c r="T215" s="675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364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4301051411</v>
      </c>
      <c r="D216" s="671">
        <v>4680115881617</v>
      </c>
      <c r="E216" s="672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4"/>
      <c r="R216" s="674"/>
      <c r="S216" s="674"/>
      <c r="T216" s="675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367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368</v>
      </c>
      <c r="B217" s="54" t="s">
        <v>369</v>
      </c>
      <c r="C217" s="31">
        <v>4301051656</v>
      </c>
      <c r="D217" s="671">
        <v>4680115880573</v>
      </c>
      <c r="E217" s="672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4"/>
      <c r="R217" s="674"/>
      <c r="S217" s="674"/>
      <c r="T217" s="675"/>
      <c r="U217" s="34"/>
      <c r="V217" s="34"/>
      <c r="W217" s="35" t="s">
        <v>69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370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371</v>
      </c>
      <c r="B218" s="54" t="s">
        <v>372</v>
      </c>
      <c r="C218" s="31">
        <v>4301051407</v>
      </c>
      <c r="D218" s="671">
        <v>4680115882195</v>
      </c>
      <c r="E218" s="672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10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69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364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customHeight="1" x14ac:dyDescent="0.25">
      <c r="A219" s="54" t="s">
        <v>373</v>
      </c>
      <c r="B219" s="54" t="s">
        <v>374</v>
      </c>
      <c r="C219" s="31">
        <v>4301051752</v>
      </c>
      <c r="D219" s="671">
        <v>4680115882607</v>
      </c>
      <c r="E219" s="672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45</v>
      </c>
      <c r="P219" s="8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4"/>
      <c r="R219" s="674"/>
      <c r="S219" s="674"/>
      <c r="T219" s="675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375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376</v>
      </c>
      <c r="B220" s="54" t="s">
        <v>377</v>
      </c>
      <c r="C220" s="31">
        <v>4301051666</v>
      </c>
      <c r="D220" s="671">
        <v>4680115880092</v>
      </c>
      <c r="E220" s="672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69</v>
      </c>
      <c r="X220" s="667">
        <v>0</v>
      </c>
      <c r="Y220" s="668">
        <f t="shared" si="36"/>
        <v>0</v>
      </c>
      <c r="Z220" s="36" t="str">
        <f t="shared" si="41"/>
        <v/>
      </c>
      <c r="AA220" s="56"/>
      <c r="AB220" s="57"/>
      <c r="AC220" s="277" t="s">
        <v>370</v>
      </c>
      <c r="AG220" s="64"/>
      <c r="AJ220" s="68"/>
      <c r="AK220" s="68">
        <v>0</v>
      </c>
      <c r="BB220" s="278" t="s">
        <v>1</v>
      </c>
      <c r="BM220" s="64">
        <f t="shared" si="37"/>
        <v>0</v>
      </c>
      <c r="BN220" s="64">
        <f t="shared" si="38"/>
        <v>0</v>
      </c>
      <c r="BO220" s="64">
        <f t="shared" si="39"/>
        <v>0</v>
      </c>
      <c r="BP220" s="64">
        <f t="shared" si="40"/>
        <v>0</v>
      </c>
    </row>
    <row r="221" spans="1:68" ht="27" customHeight="1" x14ac:dyDescent="0.25">
      <c r="A221" s="54" t="s">
        <v>378</v>
      </c>
      <c r="B221" s="54" t="s">
        <v>379</v>
      </c>
      <c r="C221" s="31">
        <v>4301051668</v>
      </c>
      <c r="D221" s="671">
        <v>4680115880221</v>
      </c>
      <c r="E221" s="672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4"/>
      <c r="R221" s="674"/>
      <c r="S221" s="674"/>
      <c r="T221" s="675"/>
      <c r="U221" s="34"/>
      <c r="V221" s="34"/>
      <c r="W221" s="35" t="s">
        <v>69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customHeight="1" x14ac:dyDescent="0.25">
      <c r="A222" s="54" t="s">
        <v>380</v>
      </c>
      <c r="B222" s="54" t="s">
        <v>381</v>
      </c>
      <c r="C222" s="31">
        <v>4301051945</v>
      </c>
      <c r="D222" s="671">
        <v>4680115880504</v>
      </c>
      <c r="E222" s="672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134</v>
      </c>
      <c r="N222" s="33"/>
      <c r="O222" s="32">
        <v>40</v>
      </c>
      <c r="P222" s="9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4"/>
      <c r="R222" s="674"/>
      <c r="S222" s="674"/>
      <c r="T222" s="675"/>
      <c r="U222" s="34"/>
      <c r="V222" s="34"/>
      <c r="W222" s="35" t="s">
        <v>69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382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customHeight="1" x14ac:dyDescent="0.25">
      <c r="A223" s="54" t="s">
        <v>383</v>
      </c>
      <c r="B223" s="54" t="s">
        <v>384</v>
      </c>
      <c r="C223" s="31">
        <v>4301051410</v>
      </c>
      <c r="D223" s="671">
        <v>4680115882164</v>
      </c>
      <c r="E223" s="672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7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4"/>
      <c r="R223" s="674"/>
      <c r="S223" s="674"/>
      <c r="T223" s="675"/>
      <c r="U223" s="34"/>
      <c r="V223" s="34"/>
      <c r="W223" s="35" t="s">
        <v>69</v>
      </c>
      <c r="X223" s="667">
        <v>0</v>
      </c>
      <c r="Y223" s="668">
        <f t="shared" si="36"/>
        <v>0</v>
      </c>
      <c r="Z223" s="36" t="str">
        <f t="shared" si="41"/>
        <v/>
      </c>
      <c r="AA223" s="56"/>
      <c r="AB223" s="57"/>
      <c r="AC223" s="283" t="s">
        <v>385</v>
      </c>
      <c r="AG223" s="64"/>
      <c r="AJ223" s="68"/>
      <c r="AK223" s="68">
        <v>0</v>
      </c>
      <c r="BB223" s="284" t="s">
        <v>1</v>
      </c>
      <c r="BM223" s="64">
        <f t="shared" si="37"/>
        <v>0</v>
      </c>
      <c r="BN223" s="64">
        <f t="shared" si="38"/>
        <v>0</v>
      </c>
      <c r="BO223" s="64">
        <f t="shared" si="39"/>
        <v>0</v>
      </c>
      <c r="BP223" s="64">
        <f t="shared" si="40"/>
        <v>0</v>
      </c>
    </row>
    <row r="224" spans="1:68" x14ac:dyDescent="0.2">
      <c r="A224" s="678"/>
      <c r="B224" s="679"/>
      <c r="C224" s="679"/>
      <c r="D224" s="679"/>
      <c r="E224" s="679"/>
      <c r="F224" s="679"/>
      <c r="G224" s="679"/>
      <c r="H224" s="679"/>
      <c r="I224" s="679"/>
      <c r="J224" s="679"/>
      <c r="K224" s="679"/>
      <c r="L224" s="679"/>
      <c r="M224" s="679"/>
      <c r="N224" s="679"/>
      <c r="O224" s="680"/>
      <c r="P224" s="688" t="s">
        <v>88</v>
      </c>
      <c r="Q224" s="689"/>
      <c r="R224" s="689"/>
      <c r="S224" s="689"/>
      <c r="T224" s="689"/>
      <c r="U224" s="689"/>
      <c r="V224" s="690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0</v>
      </c>
      <c r="Y224" s="669">
        <f>IFERROR(Y215/H215,"0")+IFERROR(Y216/H216,"0")+IFERROR(Y217/H217,"0")+IFERROR(Y218/H218,"0")+IFERROR(Y219/H219,"0")+IFERROR(Y220/H220,"0")+IFERROR(Y221/H221,"0")+IFERROR(Y222/H222,"0")+IFERROR(Y223/H223,"0")</f>
        <v>0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0"/>
      <c r="AB224" s="670"/>
      <c r="AC224" s="670"/>
    </row>
    <row r="225" spans="1:68" x14ac:dyDescent="0.2">
      <c r="A225" s="679"/>
      <c r="B225" s="679"/>
      <c r="C225" s="679"/>
      <c r="D225" s="679"/>
      <c r="E225" s="679"/>
      <c r="F225" s="679"/>
      <c r="G225" s="679"/>
      <c r="H225" s="679"/>
      <c r="I225" s="679"/>
      <c r="J225" s="679"/>
      <c r="K225" s="679"/>
      <c r="L225" s="679"/>
      <c r="M225" s="679"/>
      <c r="N225" s="679"/>
      <c r="O225" s="680"/>
      <c r="P225" s="688" t="s">
        <v>88</v>
      </c>
      <c r="Q225" s="689"/>
      <c r="R225" s="689"/>
      <c r="S225" s="689"/>
      <c r="T225" s="689"/>
      <c r="U225" s="689"/>
      <c r="V225" s="690"/>
      <c r="W225" s="37" t="s">
        <v>69</v>
      </c>
      <c r="X225" s="669">
        <f>IFERROR(SUM(X215:X223),"0")</f>
        <v>0</v>
      </c>
      <c r="Y225" s="669">
        <f>IFERROR(SUM(Y215:Y223),"0")</f>
        <v>0</v>
      </c>
      <c r="Z225" s="37"/>
      <c r="AA225" s="670"/>
      <c r="AB225" s="670"/>
      <c r="AC225" s="670"/>
    </row>
    <row r="226" spans="1:68" ht="14.25" customHeight="1" x14ac:dyDescent="0.25">
      <c r="A226" s="684" t="s">
        <v>175</v>
      </c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63"/>
      <c r="AB226" s="663"/>
      <c r="AC226" s="663"/>
    </row>
    <row r="227" spans="1:68" ht="27" customHeight="1" x14ac:dyDescent="0.25">
      <c r="A227" s="54" t="s">
        <v>386</v>
      </c>
      <c r="B227" s="54" t="s">
        <v>387</v>
      </c>
      <c r="C227" s="31">
        <v>4301060463</v>
      </c>
      <c r="D227" s="671">
        <v>4680115880818</v>
      </c>
      <c r="E227" s="672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134</v>
      </c>
      <c r="N227" s="33"/>
      <c r="O227" s="32">
        <v>40</v>
      </c>
      <c r="P227" s="95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4"/>
      <c r="R227" s="674"/>
      <c r="S227" s="674"/>
      <c r="T227" s="675"/>
      <c r="U227" s="34"/>
      <c r="V227" s="34"/>
      <c r="W227" s="35" t="s">
        <v>69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388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4301060389</v>
      </c>
      <c r="D228" s="671">
        <v>4680115880801</v>
      </c>
      <c r="E228" s="672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10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4"/>
      <c r="R228" s="674"/>
      <c r="S228" s="674"/>
      <c r="T228" s="675"/>
      <c r="U228" s="34"/>
      <c r="V228" s="34"/>
      <c r="W228" s="35" t="s">
        <v>69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391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678"/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80"/>
      <c r="P229" s="688" t="s">
        <v>88</v>
      </c>
      <c r="Q229" s="689"/>
      <c r="R229" s="689"/>
      <c r="S229" s="689"/>
      <c r="T229" s="689"/>
      <c r="U229" s="689"/>
      <c r="V229" s="690"/>
      <c r="W229" s="37" t="s">
        <v>89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x14ac:dyDescent="0.2">
      <c r="A230" s="679"/>
      <c r="B230" s="679"/>
      <c r="C230" s="679"/>
      <c r="D230" s="679"/>
      <c r="E230" s="679"/>
      <c r="F230" s="679"/>
      <c r="G230" s="679"/>
      <c r="H230" s="679"/>
      <c r="I230" s="679"/>
      <c r="J230" s="679"/>
      <c r="K230" s="679"/>
      <c r="L230" s="679"/>
      <c r="M230" s="679"/>
      <c r="N230" s="679"/>
      <c r="O230" s="680"/>
      <c r="P230" s="688" t="s">
        <v>88</v>
      </c>
      <c r="Q230" s="689"/>
      <c r="R230" s="689"/>
      <c r="S230" s="689"/>
      <c r="T230" s="689"/>
      <c r="U230" s="689"/>
      <c r="V230" s="690"/>
      <c r="W230" s="37" t="s">
        <v>69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customHeight="1" x14ac:dyDescent="0.25">
      <c r="A231" s="685" t="s">
        <v>392</v>
      </c>
      <c r="B231" s="679"/>
      <c r="C231" s="679"/>
      <c r="D231" s="679"/>
      <c r="E231" s="679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62"/>
      <c r="AB231" s="662"/>
      <c r="AC231" s="662"/>
    </row>
    <row r="232" spans="1:68" ht="14.25" customHeight="1" x14ac:dyDescent="0.25">
      <c r="A232" s="684" t="s">
        <v>98</v>
      </c>
      <c r="B232" s="679"/>
      <c r="C232" s="679"/>
      <c r="D232" s="679"/>
      <c r="E232" s="679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63"/>
      <c r="AB232" s="663"/>
      <c r="AC232" s="663"/>
    </row>
    <row r="233" spans="1:68" ht="27" customHeight="1" x14ac:dyDescent="0.25">
      <c r="A233" s="54" t="s">
        <v>393</v>
      </c>
      <c r="B233" s="54" t="s">
        <v>394</v>
      </c>
      <c r="C233" s="31">
        <v>4301011942</v>
      </c>
      <c r="D233" s="671">
        <v>4680115884137</v>
      </c>
      <c r="E233" s="672"/>
      <c r="F233" s="666">
        <v>1.45</v>
      </c>
      <c r="G233" s="32">
        <v>8</v>
      </c>
      <c r="H233" s="666">
        <v>11.6</v>
      </c>
      <c r="I233" s="666">
        <v>12.08</v>
      </c>
      <c r="J233" s="32">
        <v>48</v>
      </c>
      <c r="K233" s="32" t="s">
        <v>101</v>
      </c>
      <c r="L233" s="32"/>
      <c r="M233" s="33" t="s">
        <v>395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69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IFERROR(IF(Y233=0,"",ROUNDUP(Y233/H233,0)*0.02039),"")</f>
        <v/>
      </c>
      <c r="AA233" s="56"/>
      <c r="AB233" s="57"/>
      <c r="AC233" s="289" t="s">
        <v>396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customHeight="1" x14ac:dyDescent="0.25">
      <c r="A234" s="54" t="s">
        <v>393</v>
      </c>
      <c r="B234" s="54" t="s">
        <v>397</v>
      </c>
      <c r="C234" s="31">
        <v>4301011826</v>
      </c>
      <c r="D234" s="671">
        <v>4680115884137</v>
      </c>
      <c r="E234" s="672"/>
      <c r="F234" s="666">
        <v>1.45</v>
      </c>
      <c r="G234" s="32">
        <v>8</v>
      </c>
      <c r="H234" s="666">
        <v>11.6</v>
      </c>
      <c r="I234" s="666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IFERROR(IF(Y234=0,"",ROUNDUP(Y234/H234,0)*0.01898),"")</f>
        <v/>
      </c>
      <c r="AA234" s="56"/>
      <c r="AB234" s="57"/>
      <c r="AC234" s="291" t="s">
        <v>398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399</v>
      </c>
      <c r="B235" s="54" t="s">
        <v>400</v>
      </c>
      <c r="C235" s="31">
        <v>4301011724</v>
      </c>
      <c r="D235" s="671">
        <v>4680115884236</v>
      </c>
      <c r="E235" s="672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4"/>
      <c r="R235" s="674"/>
      <c r="S235" s="674"/>
      <c r="T235" s="675"/>
      <c r="U235" s="34"/>
      <c r="V235" s="34"/>
      <c r="W235" s="35" t="s">
        <v>69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401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402</v>
      </c>
      <c r="B236" s="54" t="s">
        <v>403</v>
      </c>
      <c r="C236" s="31">
        <v>4301011941</v>
      </c>
      <c r="D236" s="671">
        <v>4680115884175</v>
      </c>
      <c r="E236" s="672"/>
      <c r="F236" s="666">
        <v>1.45</v>
      </c>
      <c r="G236" s="32">
        <v>8</v>
      </c>
      <c r="H236" s="666">
        <v>11.6</v>
      </c>
      <c r="I236" s="666">
        <v>12.08</v>
      </c>
      <c r="J236" s="32">
        <v>48</v>
      </c>
      <c r="K236" s="32" t="s">
        <v>101</v>
      </c>
      <c r="L236" s="32"/>
      <c r="M236" s="33" t="s">
        <v>395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4"/>
      <c r="R236" s="674"/>
      <c r="S236" s="674"/>
      <c r="T236" s="675"/>
      <c r="U236" s="34"/>
      <c r="V236" s="34"/>
      <c r="W236" s="35" t="s">
        <v>69</v>
      </c>
      <c r="X236" s="667">
        <v>0</v>
      </c>
      <c r="Y236" s="668">
        <f t="shared" si="42"/>
        <v>0</v>
      </c>
      <c r="Z236" s="36" t="str">
        <f>IFERROR(IF(Y236=0,"",ROUNDUP(Y236/H236,0)*0.02039),"")</f>
        <v/>
      </c>
      <c r="AA236" s="56"/>
      <c r="AB236" s="57"/>
      <c r="AC236" s="295" t="s">
        <v>396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402</v>
      </c>
      <c r="B237" s="54" t="s">
        <v>404</v>
      </c>
      <c r="C237" s="31">
        <v>4301011721</v>
      </c>
      <c r="D237" s="671">
        <v>4680115884175</v>
      </c>
      <c r="E237" s="672"/>
      <c r="F237" s="666">
        <v>1.45</v>
      </c>
      <c r="G237" s="32">
        <v>8</v>
      </c>
      <c r="H237" s="666">
        <v>11.6</v>
      </c>
      <c r="I237" s="666">
        <v>12.035</v>
      </c>
      <c r="J237" s="32">
        <v>64</v>
      </c>
      <c r="K237" s="32" t="s">
        <v>101</v>
      </c>
      <c r="L237" s="32"/>
      <c r="M237" s="33" t="s">
        <v>102</v>
      </c>
      <c r="N237" s="33"/>
      <c r="O237" s="32">
        <v>55</v>
      </c>
      <c r="P237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4"/>
      <c r="R237" s="674"/>
      <c r="S237" s="674"/>
      <c r="T237" s="675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IFERROR(IF(Y237=0,"",ROUNDUP(Y237/H237,0)*0.01898),"")</f>
        <v/>
      </c>
      <c r="AA237" s="56"/>
      <c r="AB237" s="57"/>
      <c r="AC237" s="297" t="s">
        <v>405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406</v>
      </c>
      <c r="B238" s="54" t="s">
        <v>407</v>
      </c>
      <c r="C238" s="31">
        <v>4301011824</v>
      </c>
      <c r="D238" s="671">
        <v>4680115884144</v>
      </c>
      <c r="E238" s="672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8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4"/>
      <c r="R238" s="674"/>
      <c r="S238" s="674"/>
      <c r="T238" s="675"/>
      <c r="U238" s="34"/>
      <c r="V238" s="34"/>
      <c r="W238" s="35" t="s">
        <v>69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398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4301011726</v>
      </c>
      <c r="D239" s="671">
        <v>4680115884182</v>
      </c>
      <c r="E239" s="672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83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4"/>
      <c r="R239" s="674"/>
      <c r="S239" s="674"/>
      <c r="T239" s="675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401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410</v>
      </c>
      <c r="B240" s="54" t="s">
        <v>411</v>
      </c>
      <c r="C240" s="31">
        <v>4301011722</v>
      </c>
      <c r="D240" s="671">
        <v>4680115884205</v>
      </c>
      <c r="E240" s="672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4"/>
      <c r="R240" s="674"/>
      <c r="S240" s="674"/>
      <c r="T240" s="675"/>
      <c r="U240" s="34"/>
      <c r="V240" s="34"/>
      <c r="W240" s="35" t="s">
        <v>69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405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78"/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9"/>
      <c r="O241" s="680"/>
      <c r="P241" s="688" t="s">
        <v>88</v>
      </c>
      <c r="Q241" s="689"/>
      <c r="R241" s="689"/>
      <c r="S241" s="689"/>
      <c r="T241" s="689"/>
      <c r="U241" s="689"/>
      <c r="V241" s="690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x14ac:dyDescent="0.2">
      <c r="A242" s="679"/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80"/>
      <c r="P242" s="688" t="s">
        <v>88</v>
      </c>
      <c r="Q242" s="689"/>
      <c r="R242" s="689"/>
      <c r="S242" s="689"/>
      <c r="T242" s="689"/>
      <c r="U242" s="689"/>
      <c r="V242" s="690"/>
      <c r="W242" s="37" t="s">
        <v>69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customHeight="1" x14ac:dyDescent="0.25">
      <c r="A243" s="684" t="s">
        <v>138</v>
      </c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63"/>
      <c r="AB243" s="663"/>
      <c r="AC243" s="663"/>
    </row>
    <row r="244" spans="1:68" ht="27" customHeight="1" x14ac:dyDescent="0.25">
      <c r="A244" s="54" t="s">
        <v>412</v>
      </c>
      <c r="B244" s="54" t="s">
        <v>413</v>
      </c>
      <c r="C244" s="31">
        <v>4301020340</v>
      </c>
      <c r="D244" s="671">
        <v>4680115885721</v>
      </c>
      <c r="E244" s="672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152</v>
      </c>
      <c r="L244" s="32"/>
      <c r="M244" s="33" t="s">
        <v>108</v>
      </c>
      <c r="N244" s="33"/>
      <c r="O244" s="32">
        <v>50</v>
      </c>
      <c r="P244" s="673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4" s="674"/>
      <c r="R244" s="674"/>
      <c r="S244" s="674"/>
      <c r="T244" s="675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414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412</v>
      </c>
      <c r="B245" s="54" t="s">
        <v>415</v>
      </c>
      <c r="C245" s="31">
        <v>4301020377</v>
      </c>
      <c r="D245" s="671">
        <v>4680115885981</v>
      </c>
      <c r="E245" s="672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152</v>
      </c>
      <c r="L245" s="32"/>
      <c r="M245" s="33" t="s">
        <v>108</v>
      </c>
      <c r="N245" s="33"/>
      <c r="O245" s="32">
        <v>50</v>
      </c>
      <c r="P245" s="871" t="s">
        <v>416</v>
      </c>
      <c r="Q245" s="674"/>
      <c r="R245" s="674"/>
      <c r="S245" s="674"/>
      <c r="T245" s="675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414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78"/>
      <c r="B246" s="679"/>
      <c r="C246" s="679"/>
      <c r="D246" s="679"/>
      <c r="E246" s="679"/>
      <c r="F246" s="679"/>
      <c r="G246" s="679"/>
      <c r="H246" s="679"/>
      <c r="I246" s="679"/>
      <c r="J246" s="679"/>
      <c r="K246" s="679"/>
      <c r="L246" s="679"/>
      <c r="M246" s="679"/>
      <c r="N246" s="679"/>
      <c r="O246" s="680"/>
      <c r="P246" s="688" t="s">
        <v>88</v>
      </c>
      <c r="Q246" s="689"/>
      <c r="R246" s="689"/>
      <c r="S246" s="689"/>
      <c r="T246" s="689"/>
      <c r="U246" s="689"/>
      <c r="V246" s="690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79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8" t="s">
        <v>88</v>
      </c>
      <c r="Q247" s="689"/>
      <c r="R247" s="689"/>
      <c r="S247" s="689"/>
      <c r="T247" s="689"/>
      <c r="U247" s="689"/>
      <c r="V247" s="690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84" t="s">
        <v>417</v>
      </c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63"/>
      <c r="AB248" s="663"/>
      <c r="AC248" s="663"/>
    </row>
    <row r="249" spans="1:68" ht="27" customHeight="1" x14ac:dyDescent="0.25">
      <c r="A249" s="54" t="s">
        <v>418</v>
      </c>
      <c r="B249" s="54" t="s">
        <v>419</v>
      </c>
      <c r="C249" s="31">
        <v>4301040361</v>
      </c>
      <c r="D249" s="671">
        <v>4680115886803</v>
      </c>
      <c r="E249" s="672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315</v>
      </c>
      <c r="L249" s="32"/>
      <c r="M249" s="33" t="s">
        <v>316</v>
      </c>
      <c r="N249" s="33"/>
      <c r="O249" s="32">
        <v>45</v>
      </c>
      <c r="P249" s="700" t="s">
        <v>420</v>
      </c>
      <c r="Q249" s="674"/>
      <c r="R249" s="674"/>
      <c r="S249" s="674"/>
      <c r="T249" s="675"/>
      <c r="U249" s="34"/>
      <c r="V249" s="34"/>
      <c r="W249" s="35" t="s">
        <v>69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421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678"/>
      <c r="B250" s="679"/>
      <c r="C250" s="679"/>
      <c r="D250" s="679"/>
      <c r="E250" s="679"/>
      <c r="F250" s="679"/>
      <c r="G250" s="679"/>
      <c r="H250" s="679"/>
      <c r="I250" s="679"/>
      <c r="J250" s="679"/>
      <c r="K250" s="679"/>
      <c r="L250" s="679"/>
      <c r="M250" s="679"/>
      <c r="N250" s="679"/>
      <c r="O250" s="680"/>
      <c r="P250" s="688" t="s">
        <v>88</v>
      </c>
      <c r="Q250" s="689"/>
      <c r="R250" s="689"/>
      <c r="S250" s="689"/>
      <c r="T250" s="689"/>
      <c r="U250" s="689"/>
      <c r="V250" s="690"/>
      <c r="W250" s="37" t="s">
        <v>89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x14ac:dyDescent="0.2">
      <c r="A251" s="679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8" t="s">
        <v>88</v>
      </c>
      <c r="Q251" s="689"/>
      <c r="R251" s="689"/>
      <c r="S251" s="689"/>
      <c r="T251" s="689"/>
      <c r="U251" s="689"/>
      <c r="V251" s="690"/>
      <c r="W251" s="37" t="s">
        <v>69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customHeight="1" x14ac:dyDescent="0.25">
      <c r="A252" s="684" t="s">
        <v>422</v>
      </c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63"/>
      <c r="AB252" s="663"/>
      <c r="AC252" s="663"/>
    </row>
    <row r="253" spans="1:68" ht="27" customHeight="1" x14ac:dyDescent="0.25">
      <c r="A253" s="54" t="s">
        <v>423</v>
      </c>
      <c r="B253" s="54" t="s">
        <v>424</v>
      </c>
      <c r="C253" s="31">
        <v>4301041004</v>
      </c>
      <c r="D253" s="671">
        <v>4680115886704</v>
      </c>
      <c r="E253" s="672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315</v>
      </c>
      <c r="L253" s="32"/>
      <c r="M253" s="33" t="s">
        <v>316</v>
      </c>
      <c r="N253" s="33"/>
      <c r="O253" s="32">
        <v>90</v>
      </c>
      <c r="P253" s="1004" t="s">
        <v>425</v>
      </c>
      <c r="Q253" s="674"/>
      <c r="R253" s="674"/>
      <c r="S253" s="674"/>
      <c r="T253" s="675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318</v>
      </c>
      <c r="AC253" s="311" t="s">
        <v>426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427</v>
      </c>
      <c r="B254" s="54" t="s">
        <v>428</v>
      </c>
      <c r="C254" s="31">
        <v>4301041007</v>
      </c>
      <c r="D254" s="671">
        <v>4680115886735</v>
      </c>
      <c r="E254" s="672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315</v>
      </c>
      <c r="L254" s="32"/>
      <c r="M254" s="33" t="s">
        <v>316</v>
      </c>
      <c r="N254" s="33"/>
      <c r="O254" s="32">
        <v>90</v>
      </c>
      <c r="P254" s="921" t="s">
        <v>429</v>
      </c>
      <c r="Q254" s="674"/>
      <c r="R254" s="674"/>
      <c r="S254" s="674"/>
      <c r="T254" s="675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318</v>
      </c>
      <c r="AC254" s="313" t="s">
        <v>426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430</v>
      </c>
      <c r="B255" s="54" t="s">
        <v>431</v>
      </c>
      <c r="C255" s="31">
        <v>4301041006</v>
      </c>
      <c r="D255" s="671">
        <v>4680115886728</v>
      </c>
      <c r="E255" s="672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315</v>
      </c>
      <c r="L255" s="32"/>
      <c r="M255" s="33" t="s">
        <v>316</v>
      </c>
      <c r="N255" s="33"/>
      <c r="O255" s="32">
        <v>90</v>
      </c>
      <c r="P255" s="773" t="s">
        <v>432</v>
      </c>
      <c r="Q255" s="674"/>
      <c r="R255" s="674"/>
      <c r="S255" s="674"/>
      <c r="T255" s="675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318</v>
      </c>
      <c r="AC255" s="315" t="s">
        <v>426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433</v>
      </c>
      <c r="B256" s="54" t="s">
        <v>434</v>
      </c>
      <c r="C256" s="31">
        <v>4301041005</v>
      </c>
      <c r="D256" s="671">
        <v>4680115886711</v>
      </c>
      <c r="E256" s="672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315</v>
      </c>
      <c r="L256" s="32"/>
      <c r="M256" s="33" t="s">
        <v>316</v>
      </c>
      <c r="N256" s="33"/>
      <c r="O256" s="32">
        <v>90</v>
      </c>
      <c r="P256" s="925" t="s">
        <v>435</v>
      </c>
      <c r="Q256" s="674"/>
      <c r="R256" s="674"/>
      <c r="S256" s="674"/>
      <c r="T256" s="675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318</v>
      </c>
      <c r="AC256" s="317" t="s">
        <v>426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436</v>
      </c>
      <c r="B257" s="54" t="s">
        <v>437</v>
      </c>
      <c r="C257" s="31">
        <v>4301041003</v>
      </c>
      <c r="D257" s="671">
        <v>4680115886681</v>
      </c>
      <c r="E257" s="672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315</v>
      </c>
      <c r="L257" s="32"/>
      <c r="M257" s="33" t="s">
        <v>316</v>
      </c>
      <c r="N257" s="33"/>
      <c r="O257" s="32">
        <v>90</v>
      </c>
      <c r="P257" s="938" t="s">
        <v>438</v>
      </c>
      <c r="Q257" s="674"/>
      <c r="R257" s="674"/>
      <c r="S257" s="674"/>
      <c r="T257" s="675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426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78"/>
      <c r="B258" s="679"/>
      <c r="C258" s="679"/>
      <c r="D258" s="679"/>
      <c r="E258" s="679"/>
      <c r="F258" s="679"/>
      <c r="G258" s="679"/>
      <c r="H258" s="679"/>
      <c r="I258" s="679"/>
      <c r="J258" s="679"/>
      <c r="K258" s="679"/>
      <c r="L258" s="679"/>
      <c r="M258" s="679"/>
      <c r="N258" s="679"/>
      <c r="O258" s="680"/>
      <c r="P258" s="688" t="s">
        <v>88</v>
      </c>
      <c r="Q258" s="689"/>
      <c r="R258" s="689"/>
      <c r="S258" s="689"/>
      <c r="T258" s="689"/>
      <c r="U258" s="689"/>
      <c r="V258" s="690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88" t="s">
        <v>88</v>
      </c>
      <c r="Q259" s="689"/>
      <c r="R259" s="689"/>
      <c r="S259" s="689"/>
      <c r="T259" s="689"/>
      <c r="U259" s="689"/>
      <c r="V259" s="690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685" t="s">
        <v>439</v>
      </c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  <c r="AA260" s="662"/>
      <c r="AB260" s="662"/>
      <c r="AC260" s="662"/>
    </row>
    <row r="261" spans="1:68" ht="14.25" customHeight="1" x14ac:dyDescent="0.25">
      <c r="A261" s="684" t="s">
        <v>98</v>
      </c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  <c r="AA261" s="663"/>
      <c r="AB261" s="663"/>
      <c r="AC261" s="663"/>
    </row>
    <row r="262" spans="1:68" ht="27" customHeight="1" x14ac:dyDescent="0.25">
      <c r="A262" s="54" t="s">
        <v>440</v>
      </c>
      <c r="B262" s="54" t="s">
        <v>441</v>
      </c>
      <c r="C262" s="31">
        <v>4301011855</v>
      </c>
      <c r="D262" s="671">
        <v>4680115885837</v>
      </c>
      <c r="E262" s="672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10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4"/>
      <c r="R262" s="674"/>
      <c r="S262" s="674"/>
      <c r="T262" s="675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442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443</v>
      </c>
      <c r="B263" s="54" t="s">
        <v>444</v>
      </c>
      <c r="C263" s="31">
        <v>4301011910</v>
      </c>
      <c r="D263" s="671">
        <v>4680115885806</v>
      </c>
      <c r="E263" s="672"/>
      <c r="F263" s="666">
        <v>1.35</v>
      </c>
      <c r="G263" s="32">
        <v>8</v>
      </c>
      <c r="H263" s="666">
        <v>10.8</v>
      </c>
      <c r="I263" s="666">
        <v>11.28</v>
      </c>
      <c r="J263" s="32">
        <v>48</v>
      </c>
      <c r="K263" s="32" t="s">
        <v>101</v>
      </c>
      <c r="L263" s="32"/>
      <c r="M263" s="33" t="s">
        <v>395</v>
      </c>
      <c r="N263" s="33"/>
      <c r="O263" s="32">
        <v>55</v>
      </c>
      <c r="P263" s="1026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4"/>
      <c r="R263" s="674"/>
      <c r="S263" s="674"/>
      <c r="T263" s="675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IFERROR(IF(Y263=0,"",ROUNDUP(Y263/H263,0)*0.02039),"")</f>
        <v/>
      </c>
      <c r="AA263" s="56"/>
      <c r="AB263" s="57"/>
      <c r="AC263" s="323" t="s">
        <v>445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443</v>
      </c>
      <c r="B264" s="54" t="s">
        <v>446</v>
      </c>
      <c r="C264" s="31">
        <v>4301011850</v>
      </c>
      <c r="D264" s="671">
        <v>4680115885806</v>
      </c>
      <c r="E264" s="672"/>
      <c r="F264" s="666">
        <v>1.35</v>
      </c>
      <c r="G264" s="32">
        <v>8</v>
      </c>
      <c r="H264" s="666">
        <v>10.8</v>
      </c>
      <c r="I264" s="666">
        <v>11.234999999999999</v>
      </c>
      <c r="J264" s="32">
        <v>64</v>
      </c>
      <c r="K264" s="32" t="s">
        <v>101</v>
      </c>
      <c r="L264" s="32"/>
      <c r="M264" s="33" t="s">
        <v>102</v>
      </c>
      <c r="N264" s="33"/>
      <c r="O264" s="32">
        <v>55</v>
      </c>
      <c r="P264" s="8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4"/>
      <c r="R264" s="674"/>
      <c r="S264" s="674"/>
      <c r="T264" s="675"/>
      <c r="U264" s="34"/>
      <c r="V264" s="34"/>
      <c r="W264" s="35" t="s">
        <v>69</v>
      </c>
      <c r="X264" s="667">
        <v>0</v>
      </c>
      <c r="Y264" s="668">
        <f t="shared" si="47"/>
        <v>0</v>
      </c>
      <c r="Z264" s="36" t="str">
        <f>IFERROR(IF(Y264=0,"",ROUNDUP(Y264/H264,0)*0.01898),"")</f>
        <v/>
      </c>
      <c r="AA264" s="56"/>
      <c r="AB264" s="57"/>
      <c r="AC264" s="325" t="s">
        <v>447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448</v>
      </c>
      <c r="B265" s="54" t="s">
        <v>449</v>
      </c>
      <c r="C265" s="31">
        <v>4301011853</v>
      </c>
      <c r="D265" s="671">
        <v>4680115885851</v>
      </c>
      <c r="E265" s="672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4"/>
      <c r="R265" s="674"/>
      <c r="S265" s="674"/>
      <c r="T265" s="675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450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451</v>
      </c>
      <c r="B266" s="54" t="s">
        <v>452</v>
      </c>
      <c r="C266" s="31">
        <v>4301011852</v>
      </c>
      <c r="D266" s="671">
        <v>4680115885844</v>
      </c>
      <c r="E266" s="672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4"/>
      <c r="R266" s="674"/>
      <c r="S266" s="674"/>
      <c r="T266" s="675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453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454</v>
      </c>
      <c r="B267" s="54" t="s">
        <v>455</v>
      </c>
      <c r="C267" s="31">
        <v>4301011851</v>
      </c>
      <c r="D267" s="671">
        <v>4680115885820</v>
      </c>
      <c r="E267" s="672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4"/>
      <c r="R267" s="674"/>
      <c r="S267" s="674"/>
      <c r="T267" s="675"/>
      <c r="U267" s="34"/>
      <c r="V267" s="34"/>
      <c r="W267" s="35" t="s">
        <v>69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456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78"/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80"/>
      <c r="P268" s="688" t="s">
        <v>88</v>
      </c>
      <c r="Q268" s="689"/>
      <c r="R268" s="689"/>
      <c r="S268" s="689"/>
      <c r="T268" s="689"/>
      <c r="U268" s="689"/>
      <c r="V268" s="690"/>
      <c r="W268" s="37" t="s">
        <v>89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x14ac:dyDescent="0.2">
      <c r="A269" s="679"/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80"/>
      <c r="P269" s="688" t="s">
        <v>88</v>
      </c>
      <c r="Q269" s="689"/>
      <c r="R269" s="689"/>
      <c r="S269" s="689"/>
      <c r="T269" s="689"/>
      <c r="U269" s="689"/>
      <c r="V269" s="690"/>
      <c r="W269" s="37" t="s">
        <v>69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customHeight="1" x14ac:dyDescent="0.25">
      <c r="A270" s="685" t="s">
        <v>457</v>
      </c>
      <c r="B270" s="679"/>
      <c r="C270" s="679"/>
      <c r="D270" s="679"/>
      <c r="E270" s="679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  <c r="AA270" s="662"/>
      <c r="AB270" s="662"/>
      <c r="AC270" s="662"/>
    </row>
    <row r="271" spans="1:68" ht="14.25" customHeight="1" x14ac:dyDescent="0.25">
      <c r="A271" s="684" t="s">
        <v>98</v>
      </c>
      <c r="B271" s="679"/>
      <c r="C271" s="679"/>
      <c r="D271" s="679"/>
      <c r="E271" s="679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  <c r="AA271" s="663"/>
      <c r="AB271" s="663"/>
      <c r="AC271" s="663"/>
    </row>
    <row r="272" spans="1:68" ht="37.5" customHeight="1" x14ac:dyDescent="0.25">
      <c r="A272" s="54" t="s">
        <v>458</v>
      </c>
      <c r="B272" s="54" t="s">
        <v>459</v>
      </c>
      <c r="C272" s="31">
        <v>4301011876</v>
      </c>
      <c r="D272" s="671">
        <v>4680115885707</v>
      </c>
      <c r="E272" s="672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84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4"/>
      <c r="R272" s="674"/>
      <c r="S272" s="674"/>
      <c r="T272" s="675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460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8" t="s">
        <v>88</v>
      </c>
      <c r="Q273" s="689"/>
      <c r="R273" s="689"/>
      <c r="S273" s="689"/>
      <c r="T273" s="689"/>
      <c r="U273" s="689"/>
      <c r="V273" s="690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8" t="s">
        <v>88</v>
      </c>
      <c r="Q274" s="689"/>
      <c r="R274" s="689"/>
      <c r="S274" s="689"/>
      <c r="T274" s="689"/>
      <c r="U274" s="689"/>
      <c r="V274" s="690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685" t="s">
        <v>461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2"/>
      <c r="AB275" s="662"/>
      <c r="AC275" s="662"/>
    </row>
    <row r="276" spans="1:68" ht="14.25" customHeight="1" x14ac:dyDescent="0.25">
      <c r="A276" s="684" t="s">
        <v>98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3"/>
      <c r="AB276" s="663"/>
      <c r="AC276" s="663"/>
    </row>
    <row r="277" spans="1:68" ht="27" customHeight="1" x14ac:dyDescent="0.25">
      <c r="A277" s="54" t="s">
        <v>462</v>
      </c>
      <c r="B277" s="54" t="s">
        <v>463</v>
      </c>
      <c r="C277" s="31">
        <v>4301011223</v>
      </c>
      <c r="D277" s="671">
        <v>4607091383423</v>
      </c>
      <c r="E277" s="672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4"/>
      <c r="R277" s="674"/>
      <c r="S277" s="674"/>
      <c r="T277" s="675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464</v>
      </c>
      <c r="B278" s="54" t="s">
        <v>465</v>
      </c>
      <c r="C278" s="31">
        <v>4301012099</v>
      </c>
      <c r="D278" s="671">
        <v>4680115885691</v>
      </c>
      <c r="E278" s="672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97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4"/>
      <c r="R278" s="674"/>
      <c r="S278" s="674"/>
      <c r="T278" s="675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466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4301012098</v>
      </c>
      <c r="D279" s="671">
        <v>4680115885660</v>
      </c>
      <c r="E279" s="672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4"/>
      <c r="R279" s="674"/>
      <c r="S279" s="674"/>
      <c r="T279" s="675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469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470</v>
      </c>
      <c r="B280" s="54" t="s">
        <v>471</v>
      </c>
      <c r="C280" s="31">
        <v>4301012176</v>
      </c>
      <c r="D280" s="671">
        <v>4680115886773</v>
      </c>
      <c r="E280" s="672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810" t="s">
        <v>472</v>
      </c>
      <c r="Q280" s="674"/>
      <c r="R280" s="674"/>
      <c r="S280" s="674"/>
      <c r="T280" s="675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473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78"/>
      <c r="B281" s="679"/>
      <c r="C281" s="679"/>
      <c r="D281" s="679"/>
      <c r="E281" s="679"/>
      <c r="F281" s="679"/>
      <c r="G281" s="679"/>
      <c r="H281" s="679"/>
      <c r="I281" s="679"/>
      <c r="J281" s="679"/>
      <c r="K281" s="679"/>
      <c r="L281" s="679"/>
      <c r="M281" s="679"/>
      <c r="N281" s="679"/>
      <c r="O281" s="680"/>
      <c r="P281" s="688" t="s">
        <v>88</v>
      </c>
      <c r="Q281" s="689"/>
      <c r="R281" s="689"/>
      <c r="S281" s="689"/>
      <c r="T281" s="689"/>
      <c r="U281" s="689"/>
      <c r="V281" s="690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79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8" t="s">
        <v>88</v>
      </c>
      <c r="Q282" s="689"/>
      <c r="R282" s="689"/>
      <c r="S282" s="689"/>
      <c r="T282" s="689"/>
      <c r="U282" s="689"/>
      <c r="V282" s="690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685" t="s">
        <v>474</v>
      </c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  <c r="AA283" s="662"/>
      <c r="AB283" s="662"/>
      <c r="AC283" s="662"/>
    </row>
    <row r="284" spans="1:68" ht="14.25" customHeight="1" x14ac:dyDescent="0.25">
      <c r="A284" s="684" t="s">
        <v>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3"/>
      <c r="AB284" s="663"/>
      <c r="AC284" s="663"/>
    </row>
    <row r="285" spans="1:68" ht="37.5" customHeight="1" x14ac:dyDescent="0.25">
      <c r="A285" s="54" t="s">
        <v>475</v>
      </c>
      <c r="B285" s="54" t="s">
        <v>476</v>
      </c>
      <c r="C285" s="31">
        <v>4301051940</v>
      </c>
      <c r="D285" s="671">
        <v>4680115881037</v>
      </c>
      <c r="E285" s="672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134</v>
      </c>
      <c r="N285" s="33"/>
      <c r="O285" s="32">
        <v>40</v>
      </c>
      <c r="P285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4"/>
      <c r="R285" s="674"/>
      <c r="S285" s="674"/>
      <c r="T285" s="675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477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478</v>
      </c>
      <c r="B286" s="54" t="s">
        <v>479</v>
      </c>
      <c r="C286" s="31">
        <v>4301051893</v>
      </c>
      <c r="D286" s="671">
        <v>4680115886186</v>
      </c>
      <c r="E286" s="672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4"/>
      <c r="R286" s="674"/>
      <c r="S286" s="674"/>
      <c r="T286" s="675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480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481</v>
      </c>
      <c r="B287" s="54" t="s">
        <v>482</v>
      </c>
      <c r="C287" s="31">
        <v>4301051795</v>
      </c>
      <c r="D287" s="671">
        <v>4680115881228</v>
      </c>
      <c r="E287" s="672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134</v>
      </c>
      <c r="N287" s="33"/>
      <c r="O287" s="32">
        <v>40</v>
      </c>
      <c r="P287" s="7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4"/>
      <c r="R287" s="674"/>
      <c r="S287" s="674"/>
      <c r="T287" s="675"/>
      <c r="U287" s="34"/>
      <c r="V287" s="34"/>
      <c r="W287" s="35" t="s">
        <v>69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477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customHeight="1" x14ac:dyDescent="0.25">
      <c r="A288" s="54" t="s">
        <v>483</v>
      </c>
      <c r="B288" s="54" t="s">
        <v>484</v>
      </c>
      <c r="C288" s="31">
        <v>4301051388</v>
      </c>
      <c r="D288" s="671">
        <v>4680115881211</v>
      </c>
      <c r="E288" s="672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107</v>
      </c>
      <c r="M288" s="33" t="s">
        <v>108</v>
      </c>
      <c r="N288" s="33"/>
      <c r="O288" s="32">
        <v>45</v>
      </c>
      <c r="P288" s="10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4"/>
      <c r="R288" s="674"/>
      <c r="S288" s="674"/>
      <c r="T288" s="675"/>
      <c r="U288" s="34"/>
      <c r="V288" s="34"/>
      <c r="W288" s="35" t="s">
        <v>69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485</v>
      </c>
      <c r="AG288" s="64"/>
      <c r="AJ288" s="68" t="s">
        <v>109</v>
      </c>
      <c r="AK288" s="68">
        <v>33.6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486</v>
      </c>
      <c r="B289" s="54" t="s">
        <v>487</v>
      </c>
      <c r="C289" s="31">
        <v>4301051386</v>
      </c>
      <c r="D289" s="671">
        <v>4680115881020</v>
      </c>
      <c r="E289" s="672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82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4"/>
      <c r="R289" s="674"/>
      <c r="S289" s="674"/>
      <c r="T289" s="675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480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78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88" t="s">
        <v>88</v>
      </c>
      <c r="Q290" s="689"/>
      <c r="R290" s="689"/>
      <c r="S290" s="689"/>
      <c r="T290" s="689"/>
      <c r="U290" s="689"/>
      <c r="V290" s="690"/>
      <c r="W290" s="37" t="s">
        <v>89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8" t="s">
        <v>88</v>
      </c>
      <c r="Q291" s="689"/>
      <c r="R291" s="689"/>
      <c r="S291" s="689"/>
      <c r="T291" s="689"/>
      <c r="U291" s="689"/>
      <c r="V291" s="690"/>
      <c r="W291" s="37" t="s">
        <v>69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customHeight="1" x14ac:dyDescent="0.25">
      <c r="A292" s="685" t="s">
        <v>488</v>
      </c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  <c r="AA292" s="662"/>
      <c r="AB292" s="662"/>
      <c r="AC292" s="662"/>
    </row>
    <row r="293" spans="1:68" ht="14.25" customHeight="1" x14ac:dyDescent="0.25">
      <c r="A293" s="684" t="s">
        <v>98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3"/>
      <c r="AB293" s="663"/>
      <c r="AC293" s="663"/>
    </row>
    <row r="294" spans="1:68" ht="27" customHeight="1" x14ac:dyDescent="0.25">
      <c r="A294" s="54" t="s">
        <v>489</v>
      </c>
      <c r="B294" s="54" t="s">
        <v>490</v>
      </c>
      <c r="C294" s="31">
        <v>4301011306</v>
      </c>
      <c r="D294" s="671">
        <v>4607091389296</v>
      </c>
      <c r="E294" s="672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4"/>
      <c r="R294" s="674"/>
      <c r="S294" s="674"/>
      <c r="T294" s="675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491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8" t="s">
        <v>88</v>
      </c>
      <c r="Q295" s="689"/>
      <c r="R295" s="689"/>
      <c r="S295" s="689"/>
      <c r="T295" s="689"/>
      <c r="U295" s="689"/>
      <c r="V295" s="690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8" t="s">
        <v>88</v>
      </c>
      <c r="Q296" s="689"/>
      <c r="R296" s="689"/>
      <c r="S296" s="689"/>
      <c r="T296" s="689"/>
      <c r="U296" s="689"/>
      <c r="V296" s="690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84" t="s">
        <v>149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3"/>
      <c r="AB297" s="663"/>
      <c r="AC297" s="663"/>
    </row>
    <row r="298" spans="1:68" ht="27" customHeight="1" x14ac:dyDescent="0.25">
      <c r="A298" s="54" t="s">
        <v>492</v>
      </c>
      <c r="B298" s="54" t="s">
        <v>493</v>
      </c>
      <c r="C298" s="31">
        <v>4301031307</v>
      </c>
      <c r="D298" s="671">
        <v>4680115880344</v>
      </c>
      <c r="E298" s="672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152</v>
      </c>
      <c r="L298" s="32"/>
      <c r="M298" s="33" t="s">
        <v>68</v>
      </c>
      <c r="N298" s="33"/>
      <c r="O298" s="32">
        <v>40</v>
      </c>
      <c r="P298" s="9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4"/>
      <c r="R298" s="674"/>
      <c r="S298" s="674"/>
      <c r="T298" s="675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494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8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88" t="s">
        <v>88</v>
      </c>
      <c r="Q299" s="689"/>
      <c r="R299" s="689"/>
      <c r="S299" s="689"/>
      <c r="T299" s="689"/>
      <c r="U299" s="689"/>
      <c r="V299" s="690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79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8" t="s">
        <v>88</v>
      </c>
      <c r="Q300" s="689"/>
      <c r="R300" s="689"/>
      <c r="S300" s="689"/>
      <c r="T300" s="689"/>
      <c r="U300" s="689"/>
      <c r="V300" s="690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84" t="s">
        <v>64</v>
      </c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  <c r="AA301" s="663"/>
      <c r="AB301" s="663"/>
      <c r="AC301" s="663"/>
    </row>
    <row r="302" spans="1:68" ht="27" customHeight="1" x14ac:dyDescent="0.25">
      <c r="A302" s="54" t="s">
        <v>495</v>
      </c>
      <c r="B302" s="54" t="s">
        <v>496</v>
      </c>
      <c r="C302" s="31">
        <v>4301051782</v>
      </c>
      <c r="D302" s="671">
        <v>4680115884618</v>
      </c>
      <c r="E302" s="672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6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4"/>
      <c r="R302" s="674"/>
      <c r="S302" s="674"/>
      <c r="T302" s="675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497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78"/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80"/>
      <c r="P303" s="688" t="s">
        <v>88</v>
      </c>
      <c r="Q303" s="689"/>
      <c r="R303" s="689"/>
      <c r="S303" s="689"/>
      <c r="T303" s="689"/>
      <c r="U303" s="689"/>
      <c r="V303" s="690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79"/>
      <c r="B304" s="679"/>
      <c r="C304" s="679"/>
      <c r="D304" s="679"/>
      <c r="E304" s="679"/>
      <c r="F304" s="679"/>
      <c r="G304" s="679"/>
      <c r="H304" s="679"/>
      <c r="I304" s="679"/>
      <c r="J304" s="679"/>
      <c r="K304" s="679"/>
      <c r="L304" s="679"/>
      <c r="M304" s="679"/>
      <c r="N304" s="679"/>
      <c r="O304" s="680"/>
      <c r="P304" s="688" t="s">
        <v>88</v>
      </c>
      <c r="Q304" s="689"/>
      <c r="R304" s="689"/>
      <c r="S304" s="689"/>
      <c r="T304" s="689"/>
      <c r="U304" s="689"/>
      <c r="V304" s="690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685" t="s">
        <v>498</v>
      </c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  <c r="AA305" s="662"/>
      <c r="AB305" s="662"/>
      <c r="AC305" s="662"/>
    </row>
    <row r="306" spans="1:68" ht="14.25" customHeight="1" x14ac:dyDescent="0.25">
      <c r="A306" s="684" t="s">
        <v>64</v>
      </c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  <c r="AA306" s="663"/>
      <c r="AB306" s="663"/>
      <c r="AC306" s="663"/>
    </row>
    <row r="307" spans="1:68" ht="27" customHeight="1" x14ac:dyDescent="0.25">
      <c r="A307" s="54" t="s">
        <v>499</v>
      </c>
      <c r="B307" s="54" t="s">
        <v>500</v>
      </c>
      <c r="C307" s="31">
        <v>4301051277</v>
      </c>
      <c r="D307" s="671">
        <v>4680115880511</v>
      </c>
      <c r="E307" s="672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105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4"/>
      <c r="R307" s="674"/>
      <c r="S307" s="674"/>
      <c r="T307" s="675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501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78"/>
      <c r="B308" s="679"/>
      <c r="C308" s="679"/>
      <c r="D308" s="679"/>
      <c r="E308" s="679"/>
      <c r="F308" s="679"/>
      <c r="G308" s="679"/>
      <c r="H308" s="679"/>
      <c r="I308" s="679"/>
      <c r="J308" s="679"/>
      <c r="K308" s="679"/>
      <c r="L308" s="679"/>
      <c r="M308" s="679"/>
      <c r="N308" s="679"/>
      <c r="O308" s="680"/>
      <c r="P308" s="688" t="s">
        <v>88</v>
      </c>
      <c r="Q308" s="689"/>
      <c r="R308" s="689"/>
      <c r="S308" s="689"/>
      <c r="T308" s="689"/>
      <c r="U308" s="689"/>
      <c r="V308" s="690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79"/>
      <c r="B309" s="679"/>
      <c r="C309" s="679"/>
      <c r="D309" s="679"/>
      <c r="E309" s="679"/>
      <c r="F309" s="679"/>
      <c r="G309" s="679"/>
      <c r="H309" s="679"/>
      <c r="I309" s="679"/>
      <c r="J309" s="679"/>
      <c r="K309" s="679"/>
      <c r="L309" s="679"/>
      <c r="M309" s="679"/>
      <c r="N309" s="679"/>
      <c r="O309" s="680"/>
      <c r="P309" s="688" t="s">
        <v>88</v>
      </c>
      <c r="Q309" s="689"/>
      <c r="R309" s="689"/>
      <c r="S309" s="689"/>
      <c r="T309" s="689"/>
      <c r="U309" s="689"/>
      <c r="V309" s="690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685" t="s">
        <v>502</v>
      </c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  <c r="AA310" s="662"/>
      <c r="AB310" s="662"/>
      <c r="AC310" s="662"/>
    </row>
    <row r="311" spans="1:68" ht="14.25" customHeight="1" x14ac:dyDescent="0.25">
      <c r="A311" s="684" t="s">
        <v>98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63"/>
      <c r="AB311" s="663"/>
      <c r="AC311" s="663"/>
    </row>
    <row r="312" spans="1:68" ht="27" customHeight="1" x14ac:dyDescent="0.25">
      <c r="A312" s="54" t="s">
        <v>503</v>
      </c>
      <c r="B312" s="54" t="s">
        <v>504</v>
      </c>
      <c r="C312" s="31">
        <v>4301011594</v>
      </c>
      <c r="D312" s="671">
        <v>4680115883413</v>
      </c>
      <c r="E312" s="672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79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4"/>
      <c r="R312" s="674"/>
      <c r="S312" s="674"/>
      <c r="T312" s="675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460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78"/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80"/>
      <c r="P313" s="688" t="s">
        <v>88</v>
      </c>
      <c r="Q313" s="689"/>
      <c r="R313" s="689"/>
      <c r="S313" s="689"/>
      <c r="T313" s="689"/>
      <c r="U313" s="689"/>
      <c r="V313" s="690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88" t="s">
        <v>88</v>
      </c>
      <c r="Q314" s="689"/>
      <c r="R314" s="689"/>
      <c r="S314" s="689"/>
      <c r="T314" s="689"/>
      <c r="U314" s="689"/>
      <c r="V314" s="690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84" t="s">
        <v>149</v>
      </c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  <c r="AA315" s="663"/>
      <c r="AB315" s="663"/>
      <c r="AC315" s="663"/>
    </row>
    <row r="316" spans="1:68" ht="27" customHeight="1" x14ac:dyDescent="0.25">
      <c r="A316" s="54" t="s">
        <v>505</v>
      </c>
      <c r="B316" s="54" t="s">
        <v>506</v>
      </c>
      <c r="C316" s="31">
        <v>4301031305</v>
      </c>
      <c r="D316" s="671">
        <v>4607091389845</v>
      </c>
      <c r="E316" s="672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152</v>
      </c>
      <c r="L316" s="32"/>
      <c r="M316" s="33" t="s">
        <v>68</v>
      </c>
      <c r="N316" s="33"/>
      <c r="O316" s="32">
        <v>40</v>
      </c>
      <c r="P316" s="71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4"/>
      <c r="R316" s="674"/>
      <c r="S316" s="674"/>
      <c r="T316" s="675"/>
      <c r="U316" s="34"/>
      <c r="V316" s="34"/>
      <c r="W316" s="35" t="s">
        <v>69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507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508</v>
      </c>
      <c r="B317" s="54" t="s">
        <v>509</v>
      </c>
      <c r="C317" s="31">
        <v>4301031306</v>
      </c>
      <c r="D317" s="671">
        <v>4680115882881</v>
      </c>
      <c r="E317" s="672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152</v>
      </c>
      <c r="L317" s="32"/>
      <c r="M317" s="33" t="s">
        <v>68</v>
      </c>
      <c r="N317" s="33"/>
      <c r="O317" s="32">
        <v>40</v>
      </c>
      <c r="P317" s="100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4"/>
      <c r="R317" s="674"/>
      <c r="S317" s="674"/>
      <c r="T317" s="675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507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78"/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80"/>
      <c r="P318" s="688" t="s">
        <v>88</v>
      </c>
      <c r="Q318" s="689"/>
      <c r="R318" s="689"/>
      <c r="S318" s="689"/>
      <c r="T318" s="689"/>
      <c r="U318" s="689"/>
      <c r="V318" s="690"/>
      <c r="W318" s="37" t="s">
        <v>89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x14ac:dyDescent="0.2">
      <c r="A319" s="679"/>
      <c r="B319" s="679"/>
      <c r="C319" s="679"/>
      <c r="D319" s="679"/>
      <c r="E319" s="679"/>
      <c r="F319" s="679"/>
      <c r="G319" s="679"/>
      <c r="H319" s="679"/>
      <c r="I319" s="679"/>
      <c r="J319" s="679"/>
      <c r="K319" s="679"/>
      <c r="L319" s="679"/>
      <c r="M319" s="679"/>
      <c r="N319" s="679"/>
      <c r="O319" s="680"/>
      <c r="P319" s="688" t="s">
        <v>88</v>
      </c>
      <c r="Q319" s="689"/>
      <c r="R319" s="689"/>
      <c r="S319" s="689"/>
      <c r="T319" s="689"/>
      <c r="U319" s="689"/>
      <c r="V319" s="690"/>
      <c r="W319" s="37" t="s">
        <v>69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customHeight="1" x14ac:dyDescent="0.25">
      <c r="A320" s="685" t="s">
        <v>510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62"/>
      <c r="AB320" s="662"/>
      <c r="AC320" s="662"/>
    </row>
    <row r="321" spans="1:68" ht="14.25" customHeight="1" x14ac:dyDescent="0.25">
      <c r="A321" s="684" t="s">
        <v>98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  <c r="AA321" s="663"/>
      <c r="AB321" s="663"/>
      <c r="AC321" s="663"/>
    </row>
    <row r="322" spans="1:68" ht="27" customHeight="1" x14ac:dyDescent="0.25">
      <c r="A322" s="54" t="s">
        <v>511</v>
      </c>
      <c r="B322" s="54" t="s">
        <v>512</v>
      </c>
      <c r="C322" s="31">
        <v>4301011662</v>
      </c>
      <c r="D322" s="671">
        <v>4680115883703</v>
      </c>
      <c r="E322" s="672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513</v>
      </c>
      <c r="AB322" s="57"/>
      <c r="AC322" s="367" t="s">
        <v>514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78"/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80"/>
      <c r="P323" s="688" t="s">
        <v>88</v>
      </c>
      <c r="Q323" s="689"/>
      <c r="R323" s="689"/>
      <c r="S323" s="689"/>
      <c r="T323" s="689"/>
      <c r="U323" s="689"/>
      <c r="V323" s="690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79"/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80"/>
      <c r="P324" s="688" t="s">
        <v>88</v>
      </c>
      <c r="Q324" s="689"/>
      <c r="R324" s="689"/>
      <c r="S324" s="689"/>
      <c r="T324" s="689"/>
      <c r="U324" s="689"/>
      <c r="V324" s="690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685" t="s">
        <v>515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  <c r="AA325" s="662"/>
      <c r="AB325" s="662"/>
      <c r="AC325" s="662"/>
    </row>
    <row r="326" spans="1:68" ht="14.25" customHeight="1" x14ac:dyDescent="0.25">
      <c r="A326" s="684" t="s">
        <v>98</v>
      </c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  <c r="AA326" s="663"/>
      <c r="AB326" s="663"/>
      <c r="AC326" s="663"/>
    </row>
    <row r="327" spans="1:68" ht="27" customHeight="1" x14ac:dyDescent="0.25">
      <c r="A327" s="54" t="s">
        <v>516</v>
      </c>
      <c r="B327" s="54" t="s">
        <v>517</v>
      </c>
      <c r="C327" s="31">
        <v>4301012024</v>
      </c>
      <c r="D327" s="671">
        <v>4680115885615</v>
      </c>
      <c r="E327" s="672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91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4"/>
      <c r="R327" s="674"/>
      <c r="S327" s="674"/>
      <c r="T327" s="675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518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4301011911</v>
      </c>
      <c r="D328" s="671">
        <v>4680115885554</v>
      </c>
      <c r="E328" s="672"/>
      <c r="F328" s="666">
        <v>1.35</v>
      </c>
      <c r="G328" s="32">
        <v>8</v>
      </c>
      <c r="H328" s="666">
        <v>10.8</v>
      </c>
      <c r="I328" s="666">
        <v>11.28</v>
      </c>
      <c r="J328" s="32">
        <v>48</v>
      </c>
      <c r="K328" s="32" t="s">
        <v>101</v>
      </c>
      <c r="L328" s="32"/>
      <c r="M328" s="33" t="s">
        <v>395</v>
      </c>
      <c r="N328" s="33"/>
      <c r="O328" s="32">
        <v>55</v>
      </c>
      <c r="P328" s="69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4"/>
      <c r="R328" s="674"/>
      <c r="S328" s="674"/>
      <c r="T328" s="675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IFERROR(IF(Y328=0,"",ROUNDUP(Y328/H328,0)*0.02039),"")</f>
        <v/>
      </c>
      <c r="AA328" s="56"/>
      <c r="AB328" s="57"/>
      <c r="AC328" s="371" t="s">
        <v>521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519</v>
      </c>
      <c r="B329" s="54" t="s">
        <v>522</v>
      </c>
      <c r="C329" s="31">
        <v>4301012016</v>
      </c>
      <c r="D329" s="671">
        <v>4680115885554</v>
      </c>
      <c r="E329" s="672"/>
      <c r="F329" s="666">
        <v>1.35</v>
      </c>
      <c r="G329" s="32">
        <v>8</v>
      </c>
      <c r="H329" s="666">
        <v>10.8</v>
      </c>
      <c r="I329" s="666">
        <v>11.234999999999999</v>
      </c>
      <c r="J329" s="32">
        <v>64</v>
      </c>
      <c r="K329" s="32" t="s">
        <v>101</v>
      </c>
      <c r="L329" s="32" t="s">
        <v>124</v>
      </c>
      <c r="M329" s="33" t="s">
        <v>108</v>
      </c>
      <c r="N329" s="33"/>
      <c r="O329" s="32">
        <v>55</v>
      </c>
      <c r="P329" s="7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4"/>
      <c r="R329" s="674"/>
      <c r="S329" s="674"/>
      <c r="T329" s="675"/>
      <c r="U329" s="34"/>
      <c r="V329" s="34"/>
      <c r="W329" s="35" t="s">
        <v>69</v>
      </c>
      <c r="X329" s="667">
        <v>160</v>
      </c>
      <c r="Y329" s="668">
        <f t="shared" si="52"/>
        <v>162</v>
      </c>
      <c r="Z329" s="36">
        <f>IFERROR(IF(Y329=0,"",ROUNDUP(Y329/H329,0)*0.01898),"")</f>
        <v>0.28470000000000001</v>
      </c>
      <c r="AA329" s="56"/>
      <c r="AB329" s="57"/>
      <c r="AC329" s="373" t="s">
        <v>523</v>
      </c>
      <c r="AG329" s="64"/>
      <c r="AJ329" s="68" t="s">
        <v>126</v>
      </c>
      <c r="AK329" s="68">
        <v>691.2</v>
      </c>
      <c r="BB329" s="374" t="s">
        <v>1</v>
      </c>
      <c r="BM329" s="64">
        <f t="shared" si="53"/>
        <v>166.44444444444443</v>
      </c>
      <c r="BN329" s="64">
        <f t="shared" si="54"/>
        <v>168.52499999999998</v>
      </c>
      <c r="BO329" s="64">
        <f t="shared" si="55"/>
        <v>0.23148148148148145</v>
      </c>
      <c r="BP329" s="64">
        <f t="shared" si="56"/>
        <v>0.23437499999999997</v>
      </c>
    </row>
    <row r="330" spans="1:68" ht="37.5" customHeight="1" x14ac:dyDescent="0.25">
      <c r="A330" s="54" t="s">
        <v>524</v>
      </c>
      <c r="B330" s="54" t="s">
        <v>525</v>
      </c>
      <c r="C330" s="31">
        <v>4301011858</v>
      </c>
      <c r="D330" s="671">
        <v>4680115885646</v>
      </c>
      <c r="E330" s="672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90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4"/>
      <c r="R330" s="674"/>
      <c r="S330" s="674"/>
      <c r="T330" s="675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527</v>
      </c>
      <c r="B331" s="54" t="s">
        <v>528</v>
      </c>
      <c r="C331" s="31">
        <v>4301011857</v>
      </c>
      <c r="D331" s="671">
        <v>4680115885622</v>
      </c>
      <c r="E331" s="672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4"/>
      <c r="R331" s="674"/>
      <c r="S331" s="674"/>
      <c r="T331" s="675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530</v>
      </c>
      <c r="B332" s="54" t="s">
        <v>531</v>
      </c>
      <c r="C332" s="31">
        <v>4301011859</v>
      </c>
      <c r="D332" s="671">
        <v>4680115885608</v>
      </c>
      <c r="E332" s="672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4"/>
      <c r="R332" s="674"/>
      <c r="S332" s="674"/>
      <c r="T332" s="675"/>
      <c r="U332" s="34"/>
      <c r="V332" s="34"/>
      <c r="W332" s="35" t="s">
        <v>69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523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78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8" t="s">
        <v>88</v>
      </c>
      <c r="Q333" s="689"/>
      <c r="R333" s="689"/>
      <c r="S333" s="689"/>
      <c r="T333" s="689"/>
      <c r="U333" s="689"/>
      <c r="V333" s="690"/>
      <c r="W333" s="37" t="s">
        <v>89</v>
      </c>
      <c r="X333" s="669">
        <f>IFERROR(X327/H327,"0")+IFERROR(X328/H328,"0")+IFERROR(X329/H329,"0")+IFERROR(X330/H330,"0")+IFERROR(X331/H331,"0")+IFERROR(X332/H332,"0")</f>
        <v>14.814814814814813</v>
      </c>
      <c r="Y333" s="669">
        <f>IFERROR(Y327/H327,"0")+IFERROR(Y328/H328,"0")+IFERROR(Y329/H329,"0")+IFERROR(Y330/H330,"0")+IFERROR(Y331/H331,"0")+IFERROR(Y332/H332,"0")</f>
        <v>14.999999999999998</v>
      </c>
      <c r="Z333" s="669">
        <f>IFERROR(IF(Z327="",0,Z327),"0")+IFERROR(IF(Z328="",0,Z328),"0")+IFERROR(IF(Z329="",0,Z329),"0")+IFERROR(IF(Z330="",0,Z330),"0")+IFERROR(IF(Z331="",0,Z331),"0")+IFERROR(IF(Z332="",0,Z332),"0")</f>
        <v>0.28470000000000001</v>
      </c>
      <c r="AA333" s="670"/>
      <c r="AB333" s="670"/>
      <c r="AC333" s="670"/>
    </row>
    <row r="334" spans="1:68" x14ac:dyDescent="0.2">
      <c r="A334" s="679"/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80"/>
      <c r="P334" s="688" t="s">
        <v>88</v>
      </c>
      <c r="Q334" s="689"/>
      <c r="R334" s="689"/>
      <c r="S334" s="689"/>
      <c r="T334" s="689"/>
      <c r="U334" s="689"/>
      <c r="V334" s="690"/>
      <c r="W334" s="37" t="s">
        <v>69</v>
      </c>
      <c r="X334" s="669">
        <f>IFERROR(SUM(X327:X332),"0")</f>
        <v>160</v>
      </c>
      <c r="Y334" s="669">
        <f>IFERROR(SUM(Y327:Y332),"0")</f>
        <v>162</v>
      </c>
      <c r="Z334" s="37"/>
      <c r="AA334" s="670"/>
      <c r="AB334" s="670"/>
      <c r="AC334" s="670"/>
    </row>
    <row r="335" spans="1:68" ht="14.25" customHeight="1" x14ac:dyDescent="0.25">
      <c r="A335" s="684" t="s">
        <v>149</v>
      </c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  <c r="AA335" s="663"/>
      <c r="AB335" s="663"/>
      <c r="AC335" s="663"/>
    </row>
    <row r="336" spans="1:68" ht="27" customHeight="1" x14ac:dyDescent="0.25">
      <c r="A336" s="54" t="s">
        <v>532</v>
      </c>
      <c r="B336" s="54" t="s">
        <v>533</v>
      </c>
      <c r="C336" s="31">
        <v>4301030878</v>
      </c>
      <c r="D336" s="671">
        <v>4607091387193</v>
      </c>
      <c r="E336" s="672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9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4"/>
      <c r="R336" s="674"/>
      <c r="S336" s="674"/>
      <c r="T336" s="675"/>
      <c r="U336" s="34"/>
      <c r="V336" s="34"/>
      <c r="W336" s="35" t="s">
        <v>69</v>
      </c>
      <c r="X336" s="667">
        <v>100</v>
      </c>
      <c r="Y336" s="668">
        <f>IFERROR(IF(X336="",0,CEILING((X336/$H336),1)*$H336),"")</f>
        <v>100.80000000000001</v>
      </c>
      <c r="Z336" s="36">
        <f>IFERROR(IF(Y336=0,"",ROUNDUP(Y336/H336,0)*0.00902),"")</f>
        <v>0.21648000000000001</v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106.42857142857143</v>
      </c>
      <c r="BN336" s="64">
        <f>IFERROR(Y336*I336/H336,"0")</f>
        <v>107.28</v>
      </c>
      <c r="BO336" s="64">
        <f>IFERROR(1/J336*(X336/H336),"0")</f>
        <v>0.18037518037518038</v>
      </c>
      <c r="BP336" s="64">
        <f>IFERROR(1/J336*(Y336/H336),"0")</f>
        <v>0.18181818181818182</v>
      </c>
    </row>
    <row r="337" spans="1:68" ht="27" customHeight="1" x14ac:dyDescent="0.25">
      <c r="A337" s="54" t="s">
        <v>535</v>
      </c>
      <c r="B337" s="54" t="s">
        <v>536</v>
      </c>
      <c r="C337" s="31">
        <v>4301031153</v>
      </c>
      <c r="D337" s="671">
        <v>4607091387230</v>
      </c>
      <c r="E337" s="672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4"/>
      <c r="R337" s="674"/>
      <c r="S337" s="674"/>
      <c r="T337" s="675"/>
      <c r="U337" s="34"/>
      <c r="V337" s="34"/>
      <c r="W337" s="35" t="s">
        <v>69</v>
      </c>
      <c r="X337" s="667">
        <v>80</v>
      </c>
      <c r="Y337" s="668">
        <f>IFERROR(IF(X337="",0,CEILING((X337/$H337),1)*$H337),"")</f>
        <v>84</v>
      </c>
      <c r="Z337" s="36">
        <f>IFERROR(IF(Y337=0,"",ROUNDUP(Y337/H337,0)*0.00902),"")</f>
        <v>0.1804</v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85.142857142857125</v>
      </c>
      <c r="BN337" s="64">
        <f>IFERROR(Y337*I337/H337,"0")</f>
        <v>89.399999999999991</v>
      </c>
      <c r="BO337" s="64">
        <f>IFERROR(1/J337*(X337/H337),"0")</f>
        <v>0.14430014430014429</v>
      </c>
      <c r="BP337" s="64">
        <f>IFERROR(1/J337*(Y337/H337),"0")</f>
        <v>0.15151515151515152</v>
      </c>
    </row>
    <row r="338" spans="1:68" ht="27" customHeight="1" x14ac:dyDescent="0.25">
      <c r="A338" s="54" t="s">
        <v>538</v>
      </c>
      <c r="B338" s="54" t="s">
        <v>539</v>
      </c>
      <c r="C338" s="31">
        <v>4301031154</v>
      </c>
      <c r="D338" s="671">
        <v>4607091387292</v>
      </c>
      <c r="E338" s="672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10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4"/>
      <c r="R338" s="674"/>
      <c r="S338" s="674"/>
      <c r="T338" s="675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541</v>
      </c>
      <c r="B339" s="54" t="s">
        <v>542</v>
      </c>
      <c r="C339" s="31">
        <v>4301031152</v>
      </c>
      <c r="D339" s="671">
        <v>4607091387285</v>
      </c>
      <c r="E339" s="672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152</v>
      </c>
      <c r="L339" s="32"/>
      <c r="M339" s="33" t="s">
        <v>68</v>
      </c>
      <c r="N339" s="33"/>
      <c r="O339" s="32">
        <v>40</v>
      </c>
      <c r="P339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4"/>
      <c r="R339" s="674"/>
      <c r="S339" s="674"/>
      <c r="T339" s="675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8" t="s">
        <v>88</v>
      </c>
      <c r="Q340" s="689"/>
      <c r="R340" s="689"/>
      <c r="S340" s="689"/>
      <c r="T340" s="689"/>
      <c r="U340" s="689"/>
      <c r="V340" s="690"/>
      <c r="W340" s="37" t="s">
        <v>89</v>
      </c>
      <c r="X340" s="669">
        <f>IFERROR(X336/H336,"0")+IFERROR(X337/H337,"0")+IFERROR(X338/H338,"0")+IFERROR(X339/H339,"0")</f>
        <v>42.857142857142861</v>
      </c>
      <c r="Y340" s="669">
        <f>IFERROR(Y336/H336,"0")+IFERROR(Y337/H337,"0")+IFERROR(Y338/H338,"0")+IFERROR(Y339/H339,"0")</f>
        <v>44</v>
      </c>
      <c r="Z340" s="669">
        <f>IFERROR(IF(Z336="",0,Z336),"0")+IFERROR(IF(Z337="",0,Z337),"0")+IFERROR(IF(Z338="",0,Z338),"0")+IFERROR(IF(Z339="",0,Z339),"0")</f>
        <v>0.39688000000000001</v>
      </c>
      <c r="AA340" s="670"/>
      <c r="AB340" s="670"/>
      <c r="AC340" s="670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8" t="s">
        <v>88</v>
      </c>
      <c r="Q341" s="689"/>
      <c r="R341" s="689"/>
      <c r="S341" s="689"/>
      <c r="T341" s="689"/>
      <c r="U341" s="689"/>
      <c r="V341" s="690"/>
      <c r="W341" s="37" t="s">
        <v>69</v>
      </c>
      <c r="X341" s="669">
        <f>IFERROR(SUM(X336:X339),"0")</f>
        <v>180</v>
      </c>
      <c r="Y341" s="669">
        <f>IFERROR(SUM(Y336:Y339),"0")</f>
        <v>184.8</v>
      </c>
      <c r="Z341" s="37"/>
      <c r="AA341" s="670"/>
      <c r="AB341" s="670"/>
      <c r="AC341" s="670"/>
    </row>
    <row r="342" spans="1:68" ht="14.25" customHeight="1" x14ac:dyDescent="0.25">
      <c r="A342" s="684" t="s">
        <v>64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3"/>
      <c r="AB342" s="663"/>
      <c r="AC342" s="663"/>
    </row>
    <row r="343" spans="1:68" ht="27" customHeight="1" x14ac:dyDescent="0.25">
      <c r="A343" s="54" t="s">
        <v>543</v>
      </c>
      <c r="B343" s="54" t="s">
        <v>544</v>
      </c>
      <c r="C343" s="31">
        <v>4301051100</v>
      </c>
      <c r="D343" s="671">
        <v>4607091387766</v>
      </c>
      <c r="E343" s="672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92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4"/>
      <c r="R343" s="674"/>
      <c r="S343" s="674"/>
      <c r="T343" s="675"/>
      <c r="U343" s="34"/>
      <c r="V343" s="34"/>
      <c r="W343" s="35" t="s">
        <v>69</v>
      </c>
      <c r="X343" s="667">
        <v>1200</v>
      </c>
      <c r="Y343" s="668">
        <f>IFERROR(IF(X343="",0,CEILING((X343/$H343),1)*$H343),"")</f>
        <v>1201.2</v>
      </c>
      <c r="Z343" s="36">
        <f>IFERROR(IF(Y343=0,"",ROUNDUP(Y343/H343,0)*0.01898),"")</f>
        <v>2.92292</v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1278.9230769230769</v>
      </c>
      <c r="BN343" s="64">
        <f>IFERROR(Y343*I343/H343,"0")</f>
        <v>1280.2020000000002</v>
      </c>
      <c r="BO343" s="64">
        <f>IFERROR(1/J343*(X343/H343),"0")</f>
        <v>2.4038461538461537</v>
      </c>
      <c r="BP343" s="64">
        <f>IFERROR(1/J343*(Y343/H343),"0")</f>
        <v>2.40625</v>
      </c>
    </row>
    <row r="344" spans="1:68" ht="27" customHeight="1" x14ac:dyDescent="0.25">
      <c r="A344" s="54" t="s">
        <v>546</v>
      </c>
      <c r="B344" s="54" t="s">
        <v>547</v>
      </c>
      <c r="C344" s="31">
        <v>4301051818</v>
      </c>
      <c r="D344" s="671">
        <v>4607091387957</v>
      </c>
      <c r="E344" s="672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10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4"/>
      <c r="R344" s="674"/>
      <c r="S344" s="674"/>
      <c r="T344" s="675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549</v>
      </c>
      <c r="B345" s="54" t="s">
        <v>550</v>
      </c>
      <c r="C345" s="31">
        <v>4301051819</v>
      </c>
      <c r="D345" s="671">
        <v>4607091387964</v>
      </c>
      <c r="E345" s="672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9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4"/>
      <c r="R345" s="674"/>
      <c r="S345" s="674"/>
      <c r="T345" s="675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552</v>
      </c>
      <c r="B346" s="54" t="s">
        <v>553</v>
      </c>
      <c r="C346" s="31">
        <v>4301051734</v>
      </c>
      <c r="D346" s="671">
        <v>4680115884588</v>
      </c>
      <c r="E346" s="672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96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4"/>
      <c r="R346" s="674"/>
      <c r="S346" s="674"/>
      <c r="T346" s="675"/>
      <c r="U346" s="34"/>
      <c r="V346" s="34"/>
      <c r="W346" s="35" t="s">
        <v>69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555</v>
      </c>
      <c r="B347" s="54" t="s">
        <v>556</v>
      </c>
      <c r="C347" s="31">
        <v>4301051578</v>
      </c>
      <c r="D347" s="671">
        <v>4607091387513</v>
      </c>
      <c r="E347" s="672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134</v>
      </c>
      <c r="N347" s="33"/>
      <c r="O347" s="32">
        <v>40</v>
      </c>
      <c r="P347" s="99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4"/>
      <c r="R347" s="674"/>
      <c r="S347" s="674"/>
      <c r="T347" s="675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78"/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80"/>
      <c r="P348" s="688" t="s">
        <v>88</v>
      </c>
      <c r="Q348" s="689"/>
      <c r="R348" s="689"/>
      <c r="S348" s="689"/>
      <c r="T348" s="689"/>
      <c r="U348" s="689"/>
      <c r="V348" s="690"/>
      <c r="W348" s="37" t="s">
        <v>89</v>
      </c>
      <c r="X348" s="669">
        <f>IFERROR(X343/H343,"0")+IFERROR(X344/H344,"0")+IFERROR(X345/H345,"0")+IFERROR(X346/H346,"0")+IFERROR(X347/H347,"0")</f>
        <v>153.84615384615384</v>
      </c>
      <c r="Y348" s="669">
        <f>IFERROR(Y343/H343,"0")+IFERROR(Y344/H344,"0")+IFERROR(Y345/H345,"0")+IFERROR(Y346/H346,"0")+IFERROR(Y347/H347,"0")</f>
        <v>154</v>
      </c>
      <c r="Z348" s="669">
        <f>IFERROR(IF(Z343="",0,Z343),"0")+IFERROR(IF(Z344="",0,Z344),"0")+IFERROR(IF(Z345="",0,Z345),"0")+IFERROR(IF(Z346="",0,Z346),"0")+IFERROR(IF(Z347="",0,Z347),"0")</f>
        <v>2.92292</v>
      </c>
      <c r="AA348" s="670"/>
      <c r="AB348" s="670"/>
      <c r="AC348" s="670"/>
    </row>
    <row r="349" spans="1:68" x14ac:dyDescent="0.2">
      <c r="A349" s="679"/>
      <c r="B349" s="679"/>
      <c r="C349" s="679"/>
      <c r="D349" s="679"/>
      <c r="E349" s="679"/>
      <c r="F349" s="679"/>
      <c r="G349" s="679"/>
      <c r="H349" s="679"/>
      <c r="I349" s="679"/>
      <c r="J349" s="679"/>
      <c r="K349" s="679"/>
      <c r="L349" s="679"/>
      <c r="M349" s="679"/>
      <c r="N349" s="679"/>
      <c r="O349" s="680"/>
      <c r="P349" s="688" t="s">
        <v>88</v>
      </c>
      <c r="Q349" s="689"/>
      <c r="R349" s="689"/>
      <c r="S349" s="689"/>
      <c r="T349" s="689"/>
      <c r="U349" s="689"/>
      <c r="V349" s="690"/>
      <c r="W349" s="37" t="s">
        <v>69</v>
      </c>
      <c r="X349" s="669">
        <f>IFERROR(SUM(X343:X347),"0")</f>
        <v>1200</v>
      </c>
      <c r="Y349" s="669">
        <f>IFERROR(SUM(Y343:Y347),"0")</f>
        <v>1201.2</v>
      </c>
      <c r="Z349" s="37"/>
      <c r="AA349" s="670"/>
      <c r="AB349" s="670"/>
      <c r="AC349" s="670"/>
    </row>
    <row r="350" spans="1:68" ht="14.25" customHeight="1" x14ac:dyDescent="0.25">
      <c r="A350" s="684" t="s">
        <v>175</v>
      </c>
      <c r="B350" s="679"/>
      <c r="C350" s="679"/>
      <c r="D350" s="679"/>
      <c r="E350" s="679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  <c r="AA350" s="663"/>
      <c r="AB350" s="663"/>
      <c r="AC350" s="663"/>
    </row>
    <row r="351" spans="1:68" ht="27" customHeight="1" x14ac:dyDescent="0.25">
      <c r="A351" s="54" t="s">
        <v>558</v>
      </c>
      <c r="B351" s="54" t="s">
        <v>559</v>
      </c>
      <c r="C351" s="31">
        <v>4301060387</v>
      </c>
      <c r="D351" s="671">
        <v>4607091380880</v>
      </c>
      <c r="E351" s="672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4"/>
      <c r="R351" s="674"/>
      <c r="S351" s="674"/>
      <c r="T351" s="675"/>
      <c r="U351" s="34"/>
      <c r="V351" s="34"/>
      <c r="W351" s="35" t="s">
        <v>69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561</v>
      </c>
      <c r="B352" s="54" t="s">
        <v>562</v>
      </c>
      <c r="C352" s="31">
        <v>4301060406</v>
      </c>
      <c r="D352" s="671">
        <v>4607091384482</v>
      </c>
      <c r="E352" s="672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7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4"/>
      <c r="R352" s="674"/>
      <c r="S352" s="674"/>
      <c r="T352" s="675"/>
      <c r="U352" s="34"/>
      <c r="V352" s="34"/>
      <c r="W352" s="35" t="s">
        <v>69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customHeight="1" x14ac:dyDescent="0.25">
      <c r="A353" s="54" t="s">
        <v>564</v>
      </c>
      <c r="B353" s="54" t="s">
        <v>565</v>
      </c>
      <c r="C353" s="31">
        <v>4301060484</v>
      </c>
      <c r="D353" s="671">
        <v>4607091380897</v>
      </c>
      <c r="E353" s="672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134</v>
      </c>
      <c r="N353" s="33"/>
      <c r="O353" s="32">
        <v>30</v>
      </c>
      <c r="P353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4"/>
      <c r="R353" s="674"/>
      <c r="S353" s="674"/>
      <c r="T353" s="675"/>
      <c r="U353" s="34"/>
      <c r="V353" s="34"/>
      <c r="W353" s="35" t="s">
        <v>69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78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8" t="s">
        <v>88</v>
      </c>
      <c r="Q354" s="689"/>
      <c r="R354" s="689"/>
      <c r="S354" s="689"/>
      <c r="T354" s="689"/>
      <c r="U354" s="689"/>
      <c r="V354" s="690"/>
      <c r="W354" s="37" t="s">
        <v>89</v>
      </c>
      <c r="X354" s="669">
        <f>IFERROR(X351/H351,"0")+IFERROR(X352/H352,"0")+IFERROR(X353/H353,"0")</f>
        <v>0</v>
      </c>
      <c r="Y354" s="669">
        <f>IFERROR(Y351/H351,"0")+IFERROR(Y352/H352,"0")+IFERROR(Y353/H353,"0")</f>
        <v>0</v>
      </c>
      <c r="Z354" s="669">
        <f>IFERROR(IF(Z351="",0,Z351),"0")+IFERROR(IF(Z352="",0,Z352),"0")+IFERROR(IF(Z353="",0,Z353),"0")</f>
        <v>0</v>
      </c>
      <c r="AA354" s="670"/>
      <c r="AB354" s="670"/>
      <c r="AC354" s="670"/>
    </row>
    <row r="355" spans="1:68" x14ac:dyDescent="0.2">
      <c r="A355" s="679"/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80"/>
      <c r="P355" s="688" t="s">
        <v>88</v>
      </c>
      <c r="Q355" s="689"/>
      <c r="R355" s="689"/>
      <c r="S355" s="689"/>
      <c r="T355" s="689"/>
      <c r="U355" s="689"/>
      <c r="V355" s="690"/>
      <c r="W355" s="37" t="s">
        <v>69</v>
      </c>
      <c r="X355" s="669">
        <f>IFERROR(SUM(X351:X353),"0")</f>
        <v>0</v>
      </c>
      <c r="Y355" s="669">
        <f>IFERROR(SUM(Y351:Y353),"0")</f>
        <v>0</v>
      </c>
      <c r="Z355" s="37"/>
      <c r="AA355" s="670"/>
      <c r="AB355" s="670"/>
      <c r="AC355" s="670"/>
    </row>
    <row r="356" spans="1:68" ht="14.25" customHeight="1" x14ac:dyDescent="0.25">
      <c r="A356" s="684" t="s">
        <v>90</v>
      </c>
      <c r="B356" s="679"/>
      <c r="C356" s="679"/>
      <c r="D356" s="679"/>
      <c r="E356" s="679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  <c r="AA356" s="663"/>
      <c r="AB356" s="663"/>
      <c r="AC356" s="663"/>
    </row>
    <row r="357" spans="1:68" ht="27" customHeight="1" x14ac:dyDescent="0.25">
      <c r="A357" s="54" t="s">
        <v>567</v>
      </c>
      <c r="B357" s="54" t="s">
        <v>568</v>
      </c>
      <c r="C357" s="31">
        <v>4301032055</v>
      </c>
      <c r="D357" s="671">
        <v>4680115886476</v>
      </c>
      <c r="E357" s="672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1011" t="s">
        <v>569</v>
      </c>
      <c r="Q357" s="674"/>
      <c r="R357" s="674"/>
      <c r="S357" s="674"/>
      <c r="T357" s="675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571</v>
      </c>
      <c r="B358" s="54" t="s">
        <v>572</v>
      </c>
      <c r="C358" s="31">
        <v>4301030232</v>
      </c>
      <c r="D358" s="671">
        <v>4607091388374</v>
      </c>
      <c r="E358" s="672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820" t="s">
        <v>573</v>
      </c>
      <c r="Q358" s="674"/>
      <c r="R358" s="674"/>
      <c r="S358" s="674"/>
      <c r="T358" s="675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575</v>
      </c>
      <c r="B359" s="54" t="s">
        <v>576</v>
      </c>
      <c r="C359" s="31">
        <v>4301032015</v>
      </c>
      <c r="D359" s="671">
        <v>4607091383102</v>
      </c>
      <c r="E359" s="672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9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4"/>
      <c r="R359" s="674"/>
      <c r="S359" s="674"/>
      <c r="T359" s="675"/>
      <c r="U359" s="34"/>
      <c r="V359" s="34"/>
      <c r="W359" s="35" t="s">
        <v>69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578</v>
      </c>
      <c r="B360" s="54" t="s">
        <v>579</v>
      </c>
      <c r="C360" s="31">
        <v>4301030233</v>
      </c>
      <c r="D360" s="671">
        <v>4607091388404</v>
      </c>
      <c r="E360" s="672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10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4"/>
      <c r="R360" s="674"/>
      <c r="S360" s="674"/>
      <c r="T360" s="675"/>
      <c r="U360" s="34"/>
      <c r="V360" s="34"/>
      <c r="W360" s="35" t="s">
        <v>69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78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88" t="s">
        <v>88</v>
      </c>
      <c r="Q361" s="689"/>
      <c r="R361" s="689"/>
      <c r="S361" s="689"/>
      <c r="T361" s="689"/>
      <c r="U361" s="689"/>
      <c r="V361" s="690"/>
      <c r="W361" s="37" t="s">
        <v>89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88" t="s">
        <v>88</v>
      </c>
      <c r="Q362" s="689"/>
      <c r="R362" s="689"/>
      <c r="S362" s="689"/>
      <c r="T362" s="689"/>
      <c r="U362" s="689"/>
      <c r="V362" s="690"/>
      <c r="W362" s="37" t="s">
        <v>69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customHeight="1" x14ac:dyDescent="0.25">
      <c r="A363" s="684" t="s">
        <v>580</v>
      </c>
      <c r="B363" s="679"/>
      <c r="C363" s="679"/>
      <c r="D363" s="679"/>
      <c r="E363" s="679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  <c r="AA363" s="663"/>
      <c r="AB363" s="663"/>
      <c r="AC363" s="663"/>
    </row>
    <row r="364" spans="1:68" ht="16.5" customHeight="1" x14ac:dyDescent="0.25">
      <c r="A364" s="54" t="s">
        <v>581</v>
      </c>
      <c r="B364" s="54" t="s">
        <v>582</v>
      </c>
      <c r="C364" s="31">
        <v>4301180007</v>
      </c>
      <c r="D364" s="671">
        <v>4680115881808</v>
      </c>
      <c r="E364" s="672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9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4"/>
      <c r="R364" s="674"/>
      <c r="S364" s="674"/>
      <c r="T364" s="675"/>
      <c r="U364" s="34"/>
      <c r="V364" s="34"/>
      <c r="W364" s="35" t="s">
        <v>69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585</v>
      </c>
      <c r="B365" s="54" t="s">
        <v>586</v>
      </c>
      <c r="C365" s="31">
        <v>4301180006</v>
      </c>
      <c r="D365" s="671">
        <v>4680115881822</v>
      </c>
      <c r="E365" s="672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4"/>
      <c r="R365" s="674"/>
      <c r="S365" s="674"/>
      <c r="T365" s="675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587</v>
      </c>
      <c r="B366" s="54" t="s">
        <v>588</v>
      </c>
      <c r="C366" s="31">
        <v>4301180001</v>
      </c>
      <c r="D366" s="671">
        <v>4680115880016</v>
      </c>
      <c r="E366" s="672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7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4"/>
      <c r="R366" s="674"/>
      <c r="S366" s="674"/>
      <c r="T366" s="675"/>
      <c r="U366" s="34"/>
      <c r="V366" s="34"/>
      <c r="W366" s="35" t="s">
        <v>69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78"/>
      <c r="B367" s="679"/>
      <c r="C367" s="679"/>
      <c r="D367" s="679"/>
      <c r="E367" s="679"/>
      <c r="F367" s="679"/>
      <c r="G367" s="679"/>
      <c r="H367" s="679"/>
      <c r="I367" s="679"/>
      <c r="J367" s="679"/>
      <c r="K367" s="679"/>
      <c r="L367" s="679"/>
      <c r="M367" s="679"/>
      <c r="N367" s="679"/>
      <c r="O367" s="680"/>
      <c r="P367" s="688" t="s">
        <v>88</v>
      </c>
      <c r="Q367" s="689"/>
      <c r="R367" s="689"/>
      <c r="S367" s="689"/>
      <c r="T367" s="689"/>
      <c r="U367" s="689"/>
      <c r="V367" s="690"/>
      <c r="W367" s="37" t="s">
        <v>89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88" t="s">
        <v>88</v>
      </c>
      <c r="Q368" s="689"/>
      <c r="R368" s="689"/>
      <c r="S368" s="689"/>
      <c r="T368" s="689"/>
      <c r="U368" s="689"/>
      <c r="V368" s="690"/>
      <c r="W368" s="37" t="s">
        <v>69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customHeight="1" x14ac:dyDescent="0.25">
      <c r="A369" s="685" t="s">
        <v>589</v>
      </c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  <c r="AA369" s="662"/>
      <c r="AB369" s="662"/>
      <c r="AC369" s="662"/>
    </row>
    <row r="370" spans="1:68" ht="14.25" customHeight="1" x14ac:dyDescent="0.25">
      <c r="A370" s="684" t="s">
        <v>149</v>
      </c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  <c r="AA370" s="663"/>
      <c r="AB370" s="663"/>
      <c r="AC370" s="663"/>
    </row>
    <row r="371" spans="1:68" ht="27" customHeight="1" x14ac:dyDescent="0.25">
      <c r="A371" s="54" t="s">
        <v>590</v>
      </c>
      <c r="B371" s="54" t="s">
        <v>591</v>
      </c>
      <c r="C371" s="31">
        <v>4301031066</v>
      </c>
      <c r="D371" s="671">
        <v>4607091383836</v>
      </c>
      <c r="E371" s="672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8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4"/>
      <c r="R371" s="674"/>
      <c r="S371" s="674"/>
      <c r="T371" s="675"/>
      <c r="U371" s="34"/>
      <c r="V371" s="34"/>
      <c r="W371" s="35" t="s">
        <v>69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678"/>
      <c r="B372" s="679"/>
      <c r="C372" s="679"/>
      <c r="D372" s="679"/>
      <c r="E372" s="679"/>
      <c r="F372" s="679"/>
      <c r="G372" s="679"/>
      <c r="H372" s="679"/>
      <c r="I372" s="679"/>
      <c r="J372" s="679"/>
      <c r="K372" s="679"/>
      <c r="L372" s="679"/>
      <c r="M372" s="679"/>
      <c r="N372" s="679"/>
      <c r="O372" s="680"/>
      <c r="P372" s="688" t="s">
        <v>88</v>
      </c>
      <c r="Q372" s="689"/>
      <c r="R372" s="689"/>
      <c r="S372" s="689"/>
      <c r="T372" s="689"/>
      <c r="U372" s="689"/>
      <c r="V372" s="690"/>
      <c r="W372" s="37" t="s">
        <v>89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x14ac:dyDescent="0.2">
      <c r="A373" s="679"/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80"/>
      <c r="P373" s="688" t="s">
        <v>88</v>
      </c>
      <c r="Q373" s="689"/>
      <c r="R373" s="689"/>
      <c r="S373" s="689"/>
      <c r="T373" s="689"/>
      <c r="U373" s="689"/>
      <c r="V373" s="690"/>
      <c r="W373" s="37" t="s">
        <v>69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customHeight="1" x14ac:dyDescent="0.25">
      <c r="A374" s="684" t="s">
        <v>64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3"/>
      <c r="AB374" s="663"/>
      <c r="AC374" s="663"/>
    </row>
    <row r="375" spans="1:68" ht="27" customHeight="1" x14ac:dyDescent="0.25">
      <c r="A375" s="54" t="s">
        <v>593</v>
      </c>
      <c r="B375" s="54" t="s">
        <v>594</v>
      </c>
      <c r="C375" s="31">
        <v>4301051489</v>
      </c>
      <c r="D375" s="671">
        <v>4607091387919</v>
      </c>
      <c r="E375" s="672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134</v>
      </c>
      <c r="N375" s="33"/>
      <c r="O375" s="32">
        <v>45</v>
      </c>
      <c r="P37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4"/>
      <c r="R375" s="674"/>
      <c r="S375" s="674"/>
      <c r="T375" s="675"/>
      <c r="U375" s="34"/>
      <c r="V375" s="34"/>
      <c r="W375" s="35" t="s">
        <v>69</v>
      </c>
      <c r="X375" s="667">
        <v>100</v>
      </c>
      <c r="Y375" s="668">
        <f>IFERROR(IF(X375="",0,CEILING((X375/$H375),1)*$H375),"")</f>
        <v>105.3</v>
      </c>
      <c r="Z375" s="36">
        <f>IFERROR(IF(Y375=0,"",ROUNDUP(Y375/H375,0)*0.01898),"")</f>
        <v>0.24674000000000001</v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106.4074074074074</v>
      </c>
      <c r="BN375" s="64">
        <f>IFERROR(Y375*I375/H375,"0")</f>
        <v>112.047</v>
      </c>
      <c r="BO375" s="64">
        <f>IFERROR(1/J375*(X375/H375),"0")</f>
        <v>0.19290123456790123</v>
      </c>
      <c r="BP375" s="64">
        <f>IFERROR(1/J375*(Y375/H375),"0")</f>
        <v>0.203125</v>
      </c>
    </row>
    <row r="376" spans="1:68" ht="27" customHeight="1" x14ac:dyDescent="0.25">
      <c r="A376" s="54" t="s">
        <v>596</v>
      </c>
      <c r="B376" s="54" t="s">
        <v>597</v>
      </c>
      <c r="C376" s="31">
        <v>4301051461</v>
      </c>
      <c r="D376" s="671">
        <v>4680115883604</v>
      </c>
      <c r="E376" s="672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4"/>
      <c r="R376" s="674"/>
      <c r="S376" s="674"/>
      <c r="T376" s="675"/>
      <c r="U376" s="34"/>
      <c r="V376" s="34"/>
      <c r="W376" s="35" t="s">
        <v>69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599</v>
      </c>
      <c r="B377" s="54" t="s">
        <v>600</v>
      </c>
      <c r="C377" s="31">
        <v>4301051864</v>
      </c>
      <c r="D377" s="671">
        <v>4680115883567</v>
      </c>
      <c r="E377" s="672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134</v>
      </c>
      <c r="N377" s="33"/>
      <c r="O377" s="32">
        <v>40</v>
      </c>
      <c r="P377" s="8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4"/>
      <c r="R377" s="674"/>
      <c r="S377" s="674"/>
      <c r="T377" s="675"/>
      <c r="U377" s="34"/>
      <c r="V377" s="34"/>
      <c r="W377" s="35" t="s">
        <v>69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78"/>
      <c r="B378" s="679"/>
      <c r="C378" s="679"/>
      <c r="D378" s="679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80"/>
      <c r="P378" s="688" t="s">
        <v>88</v>
      </c>
      <c r="Q378" s="689"/>
      <c r="R378" s="689"/>
      <c r="S378" s="689"/>
      <c r="T378" s="689"/>
      <c r="U378" s="689"/>
      <c r="V378" s="690"/>
      <c r="W378" s="37" t="s">
        <v>89</v>
      </c>
      <c r="X378" s="669">
        <f>IFERROR(X375/H375,"0")+IFERROR(X376/H376,"0")+IFERROR(X377/H377,"0")</f>
        <v>12.345679012345679</v>
      </c>
      <c r="Y378" s="669">
        <f>IFERROR(Y375/H375,"0")+IFERROR(Y376/H376,"0")+IFERROR(Y377/H377,"0")</f>
        <v>13</v>
      </c>
      <c r="Z378" s="669">
        <f>IFERROR(IF(Z375="",0,Z375),"0")+IFERROR(IF(Z376="",0,Z376),"0")+IFERROR(IF(Z377="",0,Z377),"0")</f>
        <v>0.24674000000000001</v>
      </c>
      <c r="AA378" s="670"/>
      <c r="AB378" s="670"/>
      <c r="AC378" s="670"/>
    </row>
    <row r="379" spans="1:68" x14ac:dyDescent="0.2">
      <c r="A379" s="679"/>
      <c r="B379" s="679"/>
      <c r="C379" s="679"/>
      <c r="D379" s="679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80"/>
      <c r="P379" s="688" t="s">
        <v>88</v>
      </c>
      <c r="Q379" s="689"/>
      <c r="R379" s="689"/>
      <c r="S379" s="689"/>
      <c r="T379" s="689"/>
      <c r="U379" s="689"/>
      <c r="V379" s="690"/>
      <c r="W379" s="37" t="s">
        <v>69</v>
      </c>
      <c r="X379" s="669">
        <f>IFERROR(SUM(X375:X377),"0")</f>
        <v>100</v>
      </c>
      <c r="Y379" s="669">
        <f>IFERROR(SUM(Y375:Y377),"0")</f>
        <v>105.3</v>
      </c>
      <c r="Z379" s="37"/>
      <c r="AA379" s="670"/>
      <c r="AB379" s="670"/>
      <c r="AC379" s="670"/>
    </row>
    <row r="380" spans="1:68" ht="27.75" customHeight="1" x14ac:dyDescent="0.2">
      <c r="A380" s="682" t="s">
        <v>602</v>
      </c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48"/>
      <c r="AB380" s="48"/>
      <c r="AC380" s="48"/>
    </row>
    <row r="381" spans="1:68" ht="16.5" customHeight="1" x14ac:dyDescent="0.25">
      <c r="A381" s="685" t="s">
        <v>603</v>
      </c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  <c r="AA381" s="662"/>
      <c r="AB381" s="662"/>
      <c r="AC381" s="662"/>
    </row>
    <row r="382" spans="1:68" ht="14.25" customHeight="1" x14ac:dyDescent="0.25">
      <c r="A382" s="684" t="s">
        <v>98</v>
      </c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  <c r="AA382" s="663"/>
      <c r="AB382" s="663"/>
      <c r="AC382" s="663"/>
    </row>
    <row r="383" spans="1:68" ht="27" customHeight="1" x14ac:dyDescent="0.25">
      <c r="A383" s="54" t="s">
        <v>604</v>
      </c>
      <c r="B383" s="54" t="s">
        <v>605</v>
      </c>
      <c r="C383" s="31">
        <v>4301011946</v>
      </c>
      <c r="D383" s="671">
        <v>4680115884847</v>
      </c>
      <c r="E383" s="672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/>
      <c r="M383" s="33" t="s">
        <v>395</v>
      </c>
      <c r="N383" s="33"/>
      <c r="O383" s="32">
        <v>60</v>
      </c>
      <c r="P383" s="1035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3" s="674"/>
      <c r="R383" s="674"/>
      <c r="S383" s="674"/>
      <c r="T383" s="675"/>
      <c r="U383" s="34"/>
      <c r="V383" s="34"/>
      <c r="W383" s="35" t="s">
        <v>69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IFERROR(IF(Y383=0,"",ROUNDUP(Y383/H383,0)*0.02039),"")</f>
        <v/>
      </c>
      <c r="AA383" s="56"/>
      <c r="AB383" s="57"/>
      <c r="AC383" s="427" t="s">
        <v>606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37.5" customHeight="1" x14ac:dyDescent="0.25">
      <c r="A384" s="54" t="s">
        <v>604</v>
      </c>
      <c r="B384" s="54" t="s">
        <v>607</v>
      </c>
      <c r="C384" s="31">
        <v>4301011869</v>
      </c>
      <c r="D384" s="671">
        <v>4680115884847</v>
      </c>
      <c r="E384" s="672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 t="s">
        <v>124</v>
      </c>
      <c r="M384" s="33" t="s">
        <v>68</v>
      </c>
      <c r="N384" s="33"/>
      <c r="O384" s="32">
        <v>60</v>
      </c>
      <c r="P384" s="6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4" s="674"/>
      <c r="R384" s="674"/>
      <c r="S384" s="674"/>
      <c r="T384" s="675"/>
      <c r="U384" s="34"/>
      <c r="V384" s="34"/>
      <c r="W384" s="35" t="s">
        <v>69</v>
      </c>
      <c r="X384" s="667">
        <v>150</v>
      </c>
      <c r="Y384" s="668">
        <f t="shared" si="57"/>
        <v>150</v>
      </c>
      <c r="Z384" s="36">
        <f>IFERROR(IF(Y384=0,"",ROUNDUP(Y384/H384,0)*0.02175),"")</f>
        <v>0.21749999999999997</v>
      </c>
      <c r="AA384" s="56"/>
      <c r="AB384" s="57"/>
      <c r="AC384" s="429" t="s">
        <v>608</v>
      </c>
      <c r="AG384" s="64"/>
      <c r="AJ384" s="68" t="s">
        <v>126</v>
      </c>
      <c r="AK384" s="68">
        <v>720</v>
      </c>
      <c r="BB384" s="430" t="s">
        <v>1</v>
      </c>
      <c r="BM384" s="64">
        <f t="shared" si="58"/>
        <v>154.80000000000001</v>
      </c>
      <c r="BN384" s="64">
        <f t="shared" si="59"/>
        <v>154.80000000000001</v>
      </c>
      <c r="BO384" s="64">
        <f t="shared" si="60"/>
        <v>0.20833333333333331</v>
      </c>
      <c r="BP384" s="64">
        <f t="shared" si="61"/>
        <v>0.20833333333333331</v>
      </c>
    </row>
    <row r="385" spans="1:68" ht="27" customHeight="1" x14ac:dyDescent="0.25">
      <c r="A385" s="54" t="s">
        <v>609</v>
      </c>
      <c r="B385" s="54" t="s">
        <v>610</v>
      </c>
      <c r="C385" s="31">
        <v>4301011947</v>
      </c>
      <c r="D385" s="671">
        <v>4680115884854</v>
      </c>
      <c r="E385" s="672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/>
      <c r="M385" s="33" t="s">
        <v>395</v>
      </c>
      <c r="N385" s="33"/>
      <c r="O385" s="32">
        <v>60</v>
      </c>
      <c r="P385" s="1039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4"/>
      <c r="R385" s="674"/>
      <c r="S385" s="674"/>
      <c r="T385" s="675"/>
      <c r="U385" s="34"/>
      <c r="V385" s="34"/>
      <c r="W385" s="35" t="s">
        <v>69</v>
      </c>
      <c r="X385" s="667">
        <v>0</v>
      </c>
      <c r="Y385" s="668">
        <f t="shared" si="57"/>
        <v>0</v>
      </c>
      <c r="Z385" s="36" t="str">
        <f>IFERROR(IF(Y385=0,"",ROUNDUP(Y385/H385,0)*0.02039),"")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609</v>
      </c>
      <c r="B386" s="54" t="s">
        <v>611</v>
      </c>
      <c r="C386" s="31">
        <v>4301011870</v>
      </c>
      <c r="D386" s="671">
        <v>4680115884854</v>
      </c>
      <c r="E386" s="672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 t="s">
        <v>124</v>
      </c>
      <c r="M386" s="33" t="s">
        <v>68</v>
      </c>
      <c r="N386" s="33"/>
      <c r="O386" s="32">
        <v>60</v>
      </c>
      <c r="P386" s="70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4"/>
      <c r="R386" s="674"/>
      <c r="S386" s="674"/>
      <c r="T386" s="675"/>
      <c r="U386" s="34"/>
      <c r="V386" s="34"/>
      <c r="W386" s="35" t="s">
        <v>69</v>
      </c>
      <c r="X386" s="667">
        <v>200</v>
      </c>
      <c r="Y386" s="668">
        <f t="shared" si="57"/>
        <v>210</v>
      </c>
      <c r="Z386" s="36">
        <f>IFERROR(IF(Y386=0,"",ROUNDUP(Y386/H386,0)*0.02175),"")</f>
        <v>0.30449999999999999</v>
      </c>
      <c r="AA386" s="56"/>
      <c r="AB386" s="57"/>
      <c r="AC386" s="433" t="s">
        <v>612</v>
      </c>
      <c r="AG386" s="64"/>
      <c r="AJ386" s="68" t="s">
        <v>126</v>
      </c>
      <c r="AK386" s="68">
        <v>720</v>
      </c>
      <c r="BB386" s="434" t="s">
        <v>1</v>
      </c>
      <c r="BM386" s="64">
        <f t="shared" si="58"/>
        <v>206.4</v>
      </c>
      <c r="BN386" s="64">
        <f t="shared" si="59"/>
        <v>216.72</v>
      </c>
      <c r="BO386" s="64">
        <f t="shared" si="60"/>
        <v>0.27777777777777779</v>
      </c>
      <c r="BP386" s="64">
        <f t="shared" si="61"/>
        <v>0.29166666666666663</v>
      </c>
    </row>
    <row r="387" spans="1:68" ht="27" customHeight="1" x14ac:dyDescent="0.25">
      <c r="A387" s="54" t="s">
        <v>613</v>
      </c>
      <c r="B387" s="54" t="s">
        <v>614</v>
      </c>
      <c r="C387" s="31">
        <v>4301011943</v>
      </c>
      <c r="D387" s="671">
        <v>4680115884830</v>
      </c>
      <c r="E387" s="672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/>
      <c r="M387" s="33" t="s">
        <v>395</v>
      </c>
      <c r="N387" s="33"/>
      <c r="O387" s="32">
        <v>60</v>
      </c>
      <c r="P387" s="865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674"/>
      <c r="R387" s="674"/>
      <c r="S387" s="674"/>
      <c r="T387" s="675"/>
      <c r="U387" s="34"/>
      <c r="V387" s="34"/>
      <c r="W387" s="35" t="s">
        <v>69</v>
      </c>
      <c r="X387" s="667">
        <v>0</v>
      </c>
      <c r="Y387" s="668">
        <f t="shared" si="57"/>
        <v>0</v>
      </c>
      <c r="Z387" s="36" t="str">
        <f>IFERROR(IF(Y387=0,"",ROUNDUP(Y387/H387,0)*0.02039),"")</f>
        <v/>
      </c>
      <c r="AA387" s="56"/>
      <c r="AB387" s="57"/>
      <c r="AC387" s="435" t="s">
        <v>606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27" customHeight="1" x14ac:dyDescent="0.25">
      <c r="A388" s="54" t="s">
        <v>615</v>
      </c>
      <c r="B388" s="54" t="s">
        <v>616</v>
      </c>
      <c r="C388" s="31">
        <v>4301011832</v>
      </c>
      <c r="D388" s="671">
        <v>4607091383997</v>
      </c>
      <c r="E388" s="672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/>
      <c r="M388" s="33" t="s">
        <v>134</v>
      </c>
      <c r="N388" s="33"/>
      <c r="O388" s="32">
        <v>60</v>
      </c>
      <c r="P388" s="90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8" s="674"/>
      <c r="R388" s="674"/>
      <c r="S388" s="674"/>
      <c r="T388" s="675"/>
      <c r="U388" s="34"/>
      <c r="V388" s="34"/>
      <c r="W388" s="35" t="s">
        <v>69</v>
      </c>
      <c r="X388" s="667">
        <v>500</v>
      </c>
      <c r="Y388" s="668">
        <f t="shared" si="57"/>
        <v>510</v>
      </c>
      <c r="Z388" s="36">
        <f>IFERROR(IF(Y388=0,"",ROUNDUP(Y388/H388,0)*0.02175),"")</f>
        <v>0.73949999999999994</v>
      </c>
      <c r="AA388" s="56"/>
      <c r="AB388" s="57"/>
      <c r="AC388" s="437" t="s">
        <v>617</v>
      </c>
      <c r="AG388" s="64"/>
      <c r="AJ388" s="68"/>
      <c r="AK388" s="68">
        <v>0</v>
      </c>
      <c r="BB388" s="438" t="s">
        <v>1</v>
      </c>
      <c r="BM388" s="64">
        <f t="shared" si="58"/>
        <v>516</v>
      </c>
      <c r="BN388" s="64">
        <f t="shared" si="59"/>
        <v>526.32000000000005</v>
      </c>
      <c r="BO388" s="64">
        <f t="shared" si="60"/>
        <v>0.69444444444444442</v>
      </c>
      <c r="BP388" s="64">
        <f t="shared" si="61"/>
        <v>0.70833333333333326</v>
      </c>
    </row>
    <row r="389" spans="1:68" ht="37.5" customHeight="1" x14ac:dyDescent="0.25">
      <c r="A389" s="54" t="s">
        <v>613</v>
      </c>
      <c r="B389" s="54" t="s">
        <v>618</v>
      </c>
      <c r="C389" s="31">
        <v>4301011867</v>
      </c>
      <c r="D389" s="671">
        <v>4680115884830</v>
      </c>
      <c r="E389" s="672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 t="s">
        <v>124</v>
      </c>
      <c r="M389" s="33" t="s">
        <v>68</v>
      </c>
      <c r="N389" s="33"/>
      <c r="O389" s="32">
        <v>60</v>
      </c>
      <c r="P389" s="6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4"/>
      <c r="R389" s="674"/>
      <c r="S389" s="674"/>
      <c r="T389" s="675"/>
      <c r="U389" s="34"/>
      <c r="V389" s="34"/>
      <c r="W389" s="35" t="s">
        <v>69</v>
      </c>
      <c r="X389" s="667">
        <v>0</v>
      </c>
      <c r="Y389" s="668">
        <f t="shared" si="57"/>
        <v>0</v>
      </c>
      <c r="Z389" s="36" t="str">
        <f>IFERROR(IF(Y389=0,"",ROUNDUP(Y389/H389,0)*0.02175),"")</f>
        <v/>
      </c>
      <c r="AA389" s="56"/>
      <c r="AB389" s="57"/>
      <c r="AC389" s="439" t="s">
        <v>619</v>
      </c>
      <c r="AG389" s="64"/>
      <c r="AJ389" s="68" t="s">
        <v>126</v>
      </c>
      <c r="AK389" s="68">
        <v>720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620</v>
      </c>
      <c r="B390" s="54" t="s">
        <v>621</v>
      </c>
      <c r="C390" s="31">
        <v>4301011433</v>
      </c>
      <c r="D390" s="671">
        <v>4680115882638</v>
      </c>
      <c r="E390" s="672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9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4"/>
      <c r="R390" s="674"/>
      <c r="S390" s="674"/>
      <c r="T390" s="675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623</v>
      </c>
      <c r="B391" s="54" t="s">
        <v>624</v>
      </c>
      <c r="C391" s="31">
        <v>4301011952</v>
      </c>
      <c r="D391" s="671">
        <v>4680115884922</v>
      </c>
      <c r="E391" s="672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4"/>
      <c r="R391" s="674"/>
      <c r="S391" s="674"/>
      <c r="T391" s="675"/>
      <c r="U391" s="34"/>
      <c r="V391" s="34"/>
      <c r="W391" s="35" t="s">
        <v>69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612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625</v>
      </c>
      <c r="B392" s="54" t="s">
        <v>626</v>
      </c>
      <c r="C392" s="31">
        <v>4301011868</v>
      </c>
      <c r="D392" s="671">
        <v>4680115884861</v>
      </c>
      <c r="E392" s="672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4"/>
      <c r="R392" s="674"/>
      <c r="S392" s="674"/>
      <c r="T392" s="675"/>
      <c r="U392" s="34"/>
      <c r="V392" s="34"/>
      <c r="W392" s="35" t="s">
        <v>69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619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78"/>
      <c r="B393" s="679"/>
      <c r="C393" s="679"/>
      <c r="D393" s="679"/>
      <c r="E393" s="679"/>
      <c r="F393" s="679"/>
      <c r="G393" s="679"/>
      <c r="H393" s="679"/>
      <c r="I393" s="679"/>
      <c r="J393" s="679"/>
      <c r="K393" s="679"/>
      <c r="L393" s="679"/>
      <c r="M393" s="679"/>
      <c r="N393" s="679"/>
      <c r="O393" s="680"/>
      <c r="P393" s="688" t="s">
        <v>88</v>
      </c>
      <c r="Q393" s="689"/>
      <c r="R393" s="689"/>
      <c r="S393" s="689"/>
      <c r="T393" s="689"/>
      <c r="U393" s="689"/>
      <c r="V393" s="690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56.666666666666671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58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1.2614999999999998</v>
      </c>
      <c r="AA393" s="670"/>
      <c r="AB393" s="670"/>
      <c r="AC393" s="670"/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88" t="s">
        <v>88</v>
      </c>
      <c r="Q394" s="689"/>
      <c r="R394" s="689"/>
      <c r="S394" s="689"/>
      <c r="T394" s="689"/>
      <c r="U394" s="689"/>
      <c r="V394" s="690"/>
      <c r="W394" s="37" t="s">
        <v>69</v>
      </c>
      <c r="X394" s="669">
        <f>IFERROR(SUM(X383:X392),"0")</f>
        <v>850</v>
      </c>
      <c r="Y394" s="669">
        <f>IFERROR(SUM(Y383:Y392),"0")</f>
        <v>870</v>
      </c>
      <c r="Z394" s="37"/>
      <c r="AA394" s="670"/>
      <c r="AB394" s="670"/>
      <c r="AC394" s="670"/>
    </row>
    <row r="395" spans="1:68" ht="14.25" customHeight="1" x14ac:dyDescent="0.25">
      <c r="A395" s="684" t="s">
        <v>138</v>
      </c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  <c r="AA395" s="663"/>
      <c r="AB395" s="663"/>
      <c r="AC395" s="663"/>
    </row>
    <row r="396" spans="1:68" ht="27" customHeight="1" x14ac:dyDescent="0.25">
      <c r="A396" s="54" t="s">
        <v>627</v>
      </c>
      <c r="B396" s="54" t="s">
        <v>628</v>
      </c>
      <c r="C396" s="31">
        <v>4301020178</v>
      </c>
      <c r="D396" s="671">
        <v>4607091383980</v>
      </c>
      <c r="E396" s="672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124</v>
      </c>
      <c r="M396" s="33" t="s">
        <v>102</v>
      </c>
      <c r="N396" s="33"/>
      <c r="O396" s="32">
        <v>50</v>
      </c>
      <c r="P396" s="9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4"/>
      <c r="R396" s="674"/>
      <c r="S396" s="674"/>
      <c r="T396" s="675"/>
      <c r="U396" s="34"/>
      <c r="V396" s="34"/>
      <c r="W396" s="35" t="s">
        <v>69</v>
      </c>
      <c r="X396" s="667">
        <v>800</v>
      </c>
      <c r="Y396" s="668">
        <f>IFERROR(IF(X396="",0,CEILING((X396/$H396),1)*$H396),"")</f>
        <v>810</v>
      </c>
      <c r="Z396" s="36">
        <f>IFERROR(IF(Y396=0,"",ROUNDUP(Y396/H396,0)*0.02175),"")</f>
        <v>1.1744999999999999</v>
      </c>
      <c r="AA396" s="56"/>
      <c r="AB396" s="57"/>
      <c r="AC396" s="447" t="s">
        <v>629</v>
      </c>
      <c r="AG396" s="64"/>
      <c r="AJ396" s="68" t="s">
        <v>126</v>
      </c>
      <c r="AK396" s="68">
        <v>720</v>
      </c>
      <c r="BB396" s="448" t="s">
        <v>1</v>
      </c>
      <c r="BM396" s="64">
        <f>IFERROR(X396*I396/H396,"0")</f>
        <v>825.6</v>
      </c>
      <c r="BN396" s="64">
        <f>IFERROR(Y396*I396/H396,"0")</f>
        <v>835.92000000000007</v>
      </c>
      <c r="BO396" s="64">
        <f>IFERROR(1/J396*(X396/H396),"0")</f>
        <v>1.1111111111111112</v>
      </c>
      <c r="BP396" s="64">
        <f>IFERROR(1/J396*(Y396/H396),"0")</f>
        <v>1.125</v>
      </c>
    </row>
    <row r="397" spans="1:68" ht="16.5" customHeight="1" x14ac:dyDescent="0.25">
      <c r="A397" s="54" t="s">
        <v>630</v>
      </c>
      <c r="B397" s="54" t="s">
        <v>631</v>
      </c>
      <c r="C397" s="31">
        <v>4301020179</v>
      </c>
      <c r="D397" s="671">
        <v>4607091384178</v>
      </c>
      <c r="E397" s="672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4"/>
      <c r="R397" s="674"/>
      <c r="S397" s="674"/>
      <c r="T397" s="675"/>
      <c r="U397" s="34"/>
      <c r="V397" s="34"/>
      <c r="W397" s="35" t="s">
        <v>69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78"/>
      <c r="B398" s="679"/>
      <c r="C398" s="679"/>
      <c r="D398" s="679"/>
      <c r="E398" s="679"/>
      <c r="F398" s="679"/>
      <c r="G398" s="679"/>
      <c r="H398" s="679"/>
      <c r="I398" s="679"/>
      <c r="J398" s="679"/>
      <c r="K398" s="679"/>
      <c r="L398" s="679"/>
      <c r="M398" s="679"/>
      <c r="N398" s="679"/>
      <c r="O398" s="680"/>
      <c r="P398" s="688" t="s">
        <v>88</v>
      </c>
      <c r="Q398" s="689"/>
      <c r="R398" s="689"/>
      <c r="S398" s="689"/>
      <c r="T398" s="689"/>
      <c r="U398" s="689"/>
      <c r="V398" s="690"/>
      <c r="W398" s="37" t="s">
        <v>89</v>
      </c>
      <c r="X398" s="669">
        <f>IFERROR(X396/H396,"0")+IFERROR(X397/H397,"0")</f>
        <v>53.333333333333336</v>
      </c>
      <c r="Y398" s="669">
        <f>IFERROR(Y396/H396,"0")+IFERROR(Y397/H397,"0")</f>
        <v>54</v>
      </c>
      <c r="Z398" s="669">
        <f>IFERROR(IF(Z396="",0,Z396),"0")+IFERROR(IF(Z397="",0,Z397),"0")</f>
        <v>1.1744999999999999</v>
      </c>
      <c r="AA398" s="670"/>
      <c r="AB398" s="670"/>
      <c r="AC398" s="670"/>
    </row>
    <row r="399" spans="1:68" x14ac:dyDescent="0.2">
      <c r="A399" s="679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8" t="s">
        <v>88</v>
      </c>
      <c r="Q399" s="689"/>
      <c r="R399" s="689"/>
      <c r="S399" s="689"/>
      <c r="T399" s="689"/>
      <c r="U399" s="689"/>
      <c r="V399" s="690"/>
      <c r="W399" s="37" t="s">
        <v>69</v>
      </c>
      <c r="X399" s="669">
        <f>IFERROR(SUM(X396:X397),"0")</f>
        <v>800</v>
      </c>
      <c r="Y399" s="669">
        <f>IFERROR(SUM(Y396:Y397),"0")</f>
        <v>810</v>
      </c>
      <c r="Z399" s="37"/>
      <c r="AA399" s="670"/>
      <c r="AB399" s="670"/>
      <c r="AC399" s="670"/>
    </row>
    <row r="400" spans="1:68" ht="14.25" customHeight="1" x14ac:dyDescent="0.25">
      <c r="A400" s="684" t="s">
        <v>64</v>
      </c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  <c r="AA400" s="663"/>
      <c r="AB400" s="663"/>
      <c r="AC400" s="663"/>
    </row>
    <row r="401" spans="1:68" ht="27" customHeight="1" x14ac:dyDescent="0.25">
      <c r="A401" s="54" t="s">
        <v>632</v>
      </c>
      <c r="B401" s="54" t="s">
        <v>633</v>
      </c>
      <c r="C401" s="31">
        <v>4301051903</v>
      </c>
      <c r="D401" s="671">
        <v>4607091383928</v>
      </c>
      <c r="E401" s="672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769" t="s">
        <v>634</v>
      </c>
      <c r="Q401" s="674"/>
      <c r="R401" s="674"/>
      <c r="S401" s="674"/>
      <c r="T401" s="675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636</v>
      </c>
      <c r="B402" s="54" t="s">
        <v>637</v>
      </c>
      <c r="C402" s="31">
        <v>4301051897</v>
      </c>
      <c r="D402" s="671">
        <v>4607091384260</v>
      </c>
      <c r="E402" s="672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768" t="s">
        <v>638</v>
      </c>
      <c r="Q402" s="674"/>
      <c r="R402" s="674"/>
      <c r="S402" s="674"/>
      <c r="T402" s="675"/>
      <c r="U402" s="34"/>
      <c r="V402" s="34"/>
      <c r="W402" s="35" t="s">
        <v>69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678"/>
      <c r="B403" s="679"/>
      <c r="C403" s="679"/>
      <c r="D403" s="679"/>
      <c r="E403" s="679"/>
      <c r="F403" s="679"/>
      <c r="G403" s="679"/>
      <c r="H403" s="679"/>
      <c r="I403" s="679"/>
      <c r="J403" s="679"/>
      <c r="K403" s="679"/>
      <c r="L403" s="679"/>
      <c r="M403" s="679"/>
      <c r="N403" s="679"/>
      <c r="O403" s="680"/>
      <c r="P403" s="688" t="s">
        <v>88</v>
      </c>
      <c r="Q403" s="689"/>
      <c r="R403" s="689"/>
      <c r="S403" s="689"/>
      <c r="T403" s="689"/>
      <c r="U403" s="689"/>
      <c r="V403" s="690"/>
      <c r="W403" s="37" t="s">
        <v>89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x14ac:dyDescent="0.2">
      <c r="A404" s="679"/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80"/>
      <c r="P404" s="688" t="s">
        <v>88</v>
      </c>
      <c r="Q404" s="689"/>
      <c r="R404" s="689"/>
      <c r="S404" s="689"/>
      <c r="T404" s="689"/>
      <c r="U404" s="689"/>
      <c r="V404" s="690"/>
      <c r="W404" s="37" t="s">
        <v>69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customHeight="1" x14ac:dyDescent="0.25">
      <c r="A405" s="684" t="s">
        <v>175</v>
      </c>
      <c r="B405" s="679"/>
      <c r="C405" s="679"/>
      <c r="D405" s="679"/>
      <c r="E405" s="679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  <c r="AA405" s="663"/>
      <c r="AB405" s="663"/>
      <c r="AC405" s="663"/>
    </row>
    <row r="406" spans="1:68" ht="27" customHeight="1" x14ac:dyDescent="0.25">
      <c r="A406" s="54" t="s">
        <v>640</v>
      </c>
      <c r="B406" s="54" t="s">
        <v>641</v>
      </c>
      <c r="C406" s="31">
        <v>4301060439</v>
      </c>
      <c r="D406" s="671">
        <v>4607091384673</v>
      </c>
      <c r="E406" s="672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815" t="s">
        <v>642</v>
      </c>
      <c r="Q406" s="674"/>
      <c r="R406" s="674"/>
      <c r="S406" s="674"/>
      <c r="T406" s="675"/>
      <c r="U406" s="34"/>
      <c r="V406" s="34"/>
      <c r="W406" s="35" t="s">
        <v>69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78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88" t="s">
        <v>88</v>
      </c>
      <c r="Q407" s="689"/>
      <c r="R407" s="689"/>
      <c r="S407" s="689"/>
      <c r="T407" s="689"/>
      <c r="U407" s="689"/>
      <c r="V407" s="690"/>
      <c r="W407" s="37" t="s">
        <v>89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8" t="s">
        <v>88</v>
      </c>
      <c r="Q408" s="689"/>
      <c r="R408" s="689"/>
      <c r="S408" s="689"/>
      <c r="T408" s="689"/>
      <c r="U408" s="689"/>
      <c r="V408" s="690"/>
      <c r="W408" s="37" t="s">
        <v>69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customHeight="1" x14ac:dyDescent="0.25">
      <c r="A409" s="685" t="s">
        <v>644</v>
      </c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  <c r="AA409" s="662"/>
      <c r="AB409" s="662"/>
      <c r="AC409" s="662"/>
    </row>
    <row r="410" spans="1:68" ht="14.25" customHeight="1" x14ac:dyDescent="0.25">
      <c r="A410" s="684" t="s">
        <v>98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3"/>
      <c r="AB410" s="663"/>
      <c r="AC410" s="663"/>
    </row>
    <row r="411" spans="1:68" ht="27" customHeight="1" x14ac:dyDescent="0.25">
      <c r="A411" s="54" t="s">
        <v>645</v>
      </c>
      <c r="B411" s="54" t="s">
        <v>646</v>
      </c>
      <c r="C411" s="31">
        <v>4301011483</v>
      </c>
      <c r="D411" s="671">
        <v>4680115881907</v>
      </c>
      <c r="E411" s="672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4"/>
      <c r="R411" s="674"/>
      <c r="S411" s="674"/>
      <c r="T411" s="675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645</v>
      </c>
      <c r="B412" s="54" t="s">
        <v>648</v>
      </c>
      <c r="C412" s="31">
        <v>4301011873</v>
      </c>
      <c r="D412" s="671">
        <v>4680115881907</v>
      </c>
      <c r="E412" s="672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99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4"/>
      <c r="R412" s="674"/>
      <c r="S412" s="674"/>
      <c r="T412" s="675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650</v>
      </c>
      <c r="B413" s="54" t="s">
        <v>651</v>
      </c>
      <c r="C413" s="31">
        <v>4301011874</v>
      </c>
      <c r="D413" s="671">
        <v>4680115884892</v>
      </c>
      <c r="E413" s="672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4"/>
      <c r="R413" s="674"/>
      <c r="S413" s="674"/>
      <c r="T413" s="675"/>
      <c r="U413" s="34"/>
      <c r="V413" s="34"/>
      <c r="W413" s="35" t="s">
        <v>69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653</v>
      </c>
      <c r="B414" s="54" t="s">
        <v>654</v>
      </c>
      <c r="C414" s="31">
        <v>4301011875</v>
      </c>
      <c r="D414" s="671">
        <v>4680115884885</v>
      </c>
      <c r="E414" s="672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4"/>
      <c r="R414" s="674"/>
      <c r="S414" s="674"/>
      <c r="T414" s="675"/>
      <c r="U414" s="34"/>
      <c r="V414" s="34"/>
      <c r="W414" s="35" t="s">
        <v>69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customHeight="1" x14ac:dyDescent="0.25">
      <c r="A415" s="54" t="s">
        <v>655</v>
      </c>
      <c r="B415" s="54" t="s">
        <v>656</v>
      </c>
      <c r="C415" s="31">
        <v>4301011871</v>
      </c>
      <c r="D415" s="671">
        <v>4680115884908</v>
      </c>
      <c r="E415" s="672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4"/>
      <c r="R415" s="674"/>
      <c r="S415" s="674"/>
      <c r="T415" s="675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78"/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80"/>
      <c r="P416" s="688" t="s">
        <v>88</v>
      </c>
      <c r="Q416" s="689"/>
      <c r="R416" s="689"/>
      <c r="S416" s="689"/>
      <c r="T416" s="689"/>
      <c r="U416" s="689"/>
      <c r="V416" s="690"/>
      <c r="W416" s="37" t="s">
        <v>89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x14ac:dyDescent="0.2">
      <c r="A417" s="679"/>
      <c r="B417" s="679"/>
      <c r="C417" s="679"/>
      <c r="D417" s="679"/>
      <c r="E417" s="679"/>
      <c r="F417" s="679"/>
      <c r="G417" s="679"/>
      <c r="H417" s="679"/>
      <c r="I417" s="679"/>
      <c r="J417" s="679"/>
      <c r="K417" s="679"/>
      <c r="L417" s="679"/>
      <c r="M417" s="679"/>
      <c r="N417" s="679"/>
      <c r="O417" s="680"/>
      <c r="P417" s="688" t="s">
        <v>88</v>
      </c>
      <c r="Q417" s="689"/>
      <c r="R417" s="689"/>
      <c r="S417" s="689"/>
      <c r="T417" s="689"/>
      <c r="U417" s="689"/>
      <c r="V417" s="690"/>
      <c r="W417" s="37" t="s">
        <v>69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customHeight="1" x14ac:dyDescent="0.25">
      <c r="A418" s="684" t="s">
        <v>149</v>
      </c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  <c r="AA418" s="663"/>
      <c r="AB418" s="663"/>
      <c r="AC418" s="663"/>
    </row>
    <row r="419" spans="1:68" ht="27" customHeight="1" x14ac:dyDescent="0.25">
      <c r="A419" s="54" t="s">
        <v>657</v>
      </c>
      <c r="B419" s="54" t="s">
        <v>658</v>
      </c>
      <c r="C419" s="31">
        <v>4301031303</v>
      </c>
      <c r="D419" s="671">
        <v>4607091384802</v>
      </c>
      <c r="E419" s="672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4"/>
      <c r="R419" s="674"/>
      <c r="S419" s="674"/>
      <c r="T419" s="675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78"/>
      <c r="B420" s="679"/>
      <c r="C420" s="679"/>
      <c r="D420" s="679"/>
      <c r="E420" s="679"/>
      <c r="F420" s="679"/>
      <c r="G420" s="679"/>
      <c r="H420" s="679"/>
      <c r="I420" s="679"/>
      <c r="J420" s="679"/>
      <c r="K420" s="679"/>
      <c r="L420" s="679"/>
      <c r="M420" s="679"/>
      <c r="N420" s="679"/>
      <c r="O420" s="680"/>
      <c r="P420" s="688" t="s">
        <v>88</v>
      </c>
      <c r="Q420" s="689"/>
      <c r="R420" s="689"/>
      <c r="S420" s="689"/>
      <c r="T420" s="689"/>
      <c r="U420" s="689"/>
      <c r="V420" s="690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79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8" t="s">
        <v>88</v>
      </c>
      <c r="Q421" s="689"/>
      <c r="R421" s="689"/>
      <c r="S421" s="689"/>
      <c r="T421" s="689"/>
      <c r="U421" s="689"/>
      <c r="V421" s="690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84" t="s">
        <v>64</v>
      </c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  <c r="AA422" s="663"/>
      <c r="AB422" s="663"/>
      <c r="AC422" s="663"/>
    </row>
    <row r="423" spans="1:68" ht="27" customHeight="1" x14ac:dyDescent="0.25">
      <c r="A423" s="54" t="s">
        <v>660</v>
      </c>
      <c r="B423" s="54" t="s">
        <v>661</v>
      </c>
      <c r="C423" s="31">
        <v>4301051899</v>
      </c>
      <c r="D423" s="671">
        <v>4607091384246</v>
      </c>
      <c r="E423" s="672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4"/>
      <c r="R423" s="674"/>
      <c r="S423" s="674"/>
      <c r="T423" s="675"/>
      <c r="U423" s="34"/>
      <c r="V423" s="34"/>
      <c r="W423" s="35" t="s">
        <v>69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663</v>
      </c>
      <c r="B424" s="54" t="s">
        <v>664</v>
      </c>
      <c r="C424" s="31">
        <v>4301051297</v>
      </c>
      <c r="D424" s="671">
        <v>4607091384253</v>
      </c>
      <c r="E424" s="672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40</v>
      </c>
      <c r="P424" s="852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4"/>
      <c r="R424" s="674"/>
      <c r="S424" s="674"/>
      <c r="T424" s="675"/>
      <c r="U424" s="34"/>
      <c r="V424" s="34"/>
      <c r="W424" s="35" t="s">
        <v>69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663</v>
      </c>
      <c r="B425" s="54" t="s">
        <v>666</v>
      </c>
      <c r="C425" s="31">
        <v>4301051660</v>
      </c>
      <c r="D425" s="671">
        <v>4607091384253</v>
      </c>
      <c r="E425" s="672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108</v>
      </c>
      <c r="N425" s="33"/>
      <c r="O425" s="32">
        <v>40</v>
      </c>
      <c r="P425" s="8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4"/>
      <c r="R425" s="674"/>
      <c r="S425" s="674"/>
      <c r="T425" s="675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667</v>
      </c>
      <c r="B426" s="54" t="s">
        <v>668</v>
      </c>
      <c r="C426" s="31">
        <v>4301051444</v>
      </c>
      <c r="D426" s="671">
        <v>4680115881969</v>
      </c>
      <c r="E426" s="672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77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4"/>
      <c r="R426" s="674"/>
      <c r="S426" s="674"/>
      <c r="T426" s="675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78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8" t="s">
        <v>88</v>
      </c>
      <c r="Q427" s="689"/>
      <c r="R427" s="689"/>
      <c r="S427" s="689"/>
      <c r="T427" s="689"/>
      <c r="U427" s="689"/>
      <c r="V427" s="690"/>
      <c r="W427" s="37" t="s">
        <v>89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88" t="s">
        <v>88</v>
      </c>
      <c r="Q428" s="689"/>
      <c r="R428" s="689"/>
      <c r="S428" s="689"/>
      <c r="T428" s="689"/>
      <c r="U428" s="689"/>
      <c r="V428" s="690"/>
      <c r="W428" s="37" t="s">
        <v>69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customHeight="1" x14ac:dyDescent="0.25">
      <c r="A429" s="684" t="s">
        <v>175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3"/>
      <c r="AB429" s="663"/>
      <c r="AC429" s="663"/>
    </row>
    <row r="430" spans="1:68" ht="27" customHeight="1" x14ac:dyDescent="0.25">
      <c r="A430" s="54" t="s">
        <v>670</v>
      </c>
      <c r="B430" s="54" t="s">
        <v>671</v>
      </c>
      <c r="C430" s="31">
        <v>4301060441</v>
      </c>
      <c r="D430" s="671">
        <v>4607091389357</v>
      </c>
      <c r="E430" s="672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986" t="s">
        <v>672</v>
      </c>
      <c r="Q430" s="674"/>
      <c r="R430" s="674"/>
      <c r="S430" s="674"/>
      <c r="T430" s="675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78"/>
      <c r="B431" s="679"/>
      <c r="C431" s="679"/>
      <c r="D431" s="679"/>
      <c r="E431" s="679"/>
      <c r="F431" s="679"/>
      <c r="G431" s="679"/>
      <c r="H431" s="679"/>
      <c r="I431" s="679"/>
      <c r="J431" s="679"/>
      <c r="K431" s="679"/>
      <c r="L431" s="679"/>
      <c r="M431" s="679"/>
      <c r="N431" s="679"/>
      <c r="O431" s="680"/>
      <c r="P431" s="688" t="s">
        <v>88</v>
      </c>
      <c r="Q431" s="689"/>
      <c r="R431" s="689"/>
      <c r="S431" s="689"/>
      <c r="T431" s="689"/>
      <c r="U431" s="689"/>
      <c r="V431" s="690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88" t="s">
        <v>88</v>
      </c>
      <c r="Q432" s="689"/>
      <c r="R432" s="689"/>
      <c r="S432" s="689"/>
      <c r="T432" s="689"/>
      <c r="U432" s="689"/>
      <c r="V432" s="690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682" t="s">
        <v>674</v>
      </c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48"/>
      <c r="AB433" s="48"/>
      <c r="AC433" s="48"/>
    </row>
    <row r="434" spans="1:68" ht="16.5" customHeight="1" x14ac:dyDescent="0.25">
      <c r="A434" s="685" t="s">
        <v>675</v>
      </c>
      <c r="B434" s="679"/>
      <c r="C434" s="679"/>
      <c r="D434" s="679"/>
      <c r="E434" s="679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  <c r="AA434" s="662"/>
      <c r="AB434" s="662"/>
      <c r="AC434" s="662"/>
    </row>
    <row r="435" spans="1:68" ht="14.25" customHeight="1" x14ac:dyDescent="0.25">
      <c r="A435" s="684" t="s">
        <v>149</v>
      </c>
      <c r="B435" s="679"/>
      <c r="C435" s="679"/>
      <c r="D435" s="679"/>
      <c r="E435" s="679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  <c r="AA435" s="663"/>
      <c r="AB435" s="663"/>
      <c r="AC435" s="663"/>
    </row>
    <row r="436" spans="1:68" ht="27" customHeight="1" x14ac:dyDescent="0.25">
      <c r="A436" s="54" t="s">
        <v>676</v>
      </c>
      <c r="B436" s="54" t="s">
        <v>677</v>
      </c>
      <c r="C436" s="31">
        <v>4301031405</v>
      </c>
      <c r="D436" s="671">
        <v>4680115886100</v>
      </c>
      <c r="E436" s="672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1031" t="s">
        <v>678</v>
      </c>
      <c r="Q436" s="674"/>
      <c r="R436" s="674"/>
      <c r="S436" s="674"/>
      <c r="T436" s="675"/>
      <c r="U436" s="34"/>
      <c r="V436" s="34"/>
      <c r="W436" s="35" t="s">
        <v>69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4301031382</v>
      </c>
      <c r="D437" s="671">
        <v>4680115886117</v>
      </c>
      <c r="E437" s="672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677" t="s">
        <v>682</v>
      </c>
      <c r="Q437" s="674"/>
      <c r="R437" s="674"/>
      <c r="S437" s="674"/>
      <c r="T437" s="675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680</v>
      </c>
      <c r="B438" s="54" t="s">
        <v>684</v>
      </c>
      <c r="C438" s="31">
        <v>4301031406</v>
      </c>
      <c r="D438" s="671">
        <v>4680115886117</v>
      </c>
      <c r="E438" s="672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859" t="s">
        <v>682</v>
      </c>
      <c r="Q438" s="674"/>
      <c r="R438" s="674"/>
      <c r="S438" s="674"/>
      <c r="T438" s="675"/>
      <c r="U438" s="34"/>
      <c r="V438" s="34"/>
      <c r="W438" s="35" t="s">
        <v>69</v>
      </c>
      <c r="X438" s="667">
        <v>20</v>
      </c>
      <c r="Y438" s="668">
        <f t="shared" si="62"/>
        <v>21.6</v>
      </c>
      <c r="Z438" s="36">
        <f>IFERROR(IF(Y438=0,"",ROUNDUP(Y438/H438,0)*0.00902),"")</f>
        <v>3.6080000000000001E-2</v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20.777777777777779</v>
      </c>
      <c r="BN438" s="64">
        <f t="shared" si="64"/>
        <v>22.44</v>
      </c>
      <c r="BO438" s="64">
        <f t="shared" si="65"/>
        <v>2.8058361391694722E-2</v>
      </c>
      <c r="BP438" s="64">
        <f t="shared" si="66"/>
        <v>3.0303030303030304E-2</v>
      </c>
    </row>
    <row r="439" spans="1:68" ht="27" customHeight="1" x14ac:dyDescent="0.25">
      <c r="A439" s="54" t="s">
        <v>685</v>
      </c>
      <c r="B439" s="54" t="s">
        <v>686</v>
      </c>
      <c r="C439" s="31">
        <v>4301031402</v>
      </c>
      <c r="D439" s="671">
        <v>4680115886124</v>
      </c>
      <c r="E439" s="672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1015" t="s">
        <v>687</v>
      </c>
      <c r="Q439" s="674"/>
      <c r="R439" s="674"/>
      <c r="S439" s="674"/>
      <c r="T439" s="675"/>
      <c r="U439" s="34"/>
      <c r="V439" s="34"/>
      <c r="W439" s="35" t="s">
        <v>69</v>
      </c>
      <c r="X439" s="667">
        <v>20</v>
      </c>
      <c r="Y439" s="668">
        <f t="shared" si="62"/>
        <v>21.6</v>
      </c>
      <c r="Z439" s="36">
        <f>IFERROR(IF(Y439=0,"",ROUNDUP(Y439/H439,0)*0.00902),"")</f>
        <v>3.6080000000000001E-2</v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20.777777777777779</v>
      </c>
      <c r="BN439" s="64">
        <f t="shared" si="64"/>
        <v>22.44</v>
      </c>
      <c r="BO439" s="64">
        <f t="shared" si="65"/>
        <v>2.8058361391694722E-2</v>
      </c>
      <c r="BP439" s="64">
        <f t="shared" si="66"/>
        <v>3.0303030303030304E-2</v>
      </c>
    </row>
    <row r="440" spans="1:68" ht="27" customHeight="1" x14ac:dyDescent="0.25">
      <c r="A440" s="54" t="s">
        <v>689</v>
      </c>
      <c r="B440" s="54" t="s">
        <v>690</v>
      </c>
      <c r="C440" s="31">
        <v>4301031335</v>
      </c>
      <c r="D440" s="671">
        <v>4680115883147</v>
      </c>
      <c r="E440" s="672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9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4"/>
      <c r="R440" s="674"/>
      <c r="S440" s="674"/>
      <c r="T440" s="675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689</v>
      </c>
      <c r="B441" s="54" t="s">
        <v>691</v>
      </c>
      <c r="C441" s="31">
        <v>4301031366</v>
      </c>
      <c r="D441" s="671">
        <v>4680115883147</v>
      </c>
      <c r="E441" s="672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8" t="s">
        <v>692</v>
      </c>
      <c r="Q441" s="674"/>
      <c r="R441" s="674"/>
      <c r="S441" s="674"/>
      <c r="T441" s="675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693</v>
      </c>
      <c r="B442" s="54" t="s">
        <v>694</v>
      </c>
      <c r="C442" s="31">
        <v>4301031362</v>
      </c>
      <c r="D442" s="671">
        <v>4607091384338</v>
      </c>
      <c r="E442" s="672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152</v>
      </c>
      <c r="L442" s="32"/>
      <c r="M442" s="33" t="s">
        <v>68</v>
      </c>
      <c r="N442" s="33"/>
      <c r="O442" s="32">
        <v>50</v>
      </c>
      <c r="P442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4"/>
      <c r="R442" s="674"/>
      <c r="S442" s="674"/>
      <c r="T442" s="675"/>
      <c r="U442" s="34"/>
      <c r="V442" s="34"/>
      <c r="W442" s="35" t="s">
        <v>69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695</v>
      </c>
      <c r="B443" s="54" t="s">
        <v>696</v>
      </c>
      <c r="C443" s="31">
        <v>4301031361</v>
      </c>
      <c r="D443" s="671">
        <v>4607091389524</v>
      </c>
      <c r="E443" s="672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152</v>
      </c>
      <c r="L443" s="32"/>
      <c r="M443" s="33" t="s">
        <v>68</v>
      </c>
      <c r="N443" s="33"/>
      <c r="O443" s="32">
        <v>50</v>
      </c>
      <c r="P443" s="7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4"/>
      <c r="R443" s="674"/>
      <c r="S443" s="674"/>
      <c r="T443" s="675"/>
      <c r="U443" s="34"/>
      <c r="V443" s="34"/>
      <c r="W443" s="35" t="s">
        <v>69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customHeight="1" x14ac:dyDescent="0.25">
      <c r="A444" s="54" t="s">
        <v>698</v>
      </c>
      <c r="B444" s="54" t="s">
        <v>699</v>
      </c>
      <c r="C444" s="31">
        <v>4301031337</v>
      </c>
      <c r="D444" s="671">
        <v>4680115883161</v>
      </c>
      <c r="E444" s="672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152</v>
      </c>
      <c r="L444" s="32"/>
      <c r="M444" s="33" t="s">
        <v>68</v>
      </c>
      <c r="N444" s="33"/>
      <c r="O444" s="32">
        <v>50</v>
      </c>
      <c r="P444" s="105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4"/>
      <c r="R444" s="674"/>
      <c r="S444" s="674"/>
      <c r="T444" s="675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698</v>
      </c>
      <c r="B445" s="54" t="s">
        <v>701</v>
      </c>
      <c r="C445" s="31">
        <v>4301031364</v>
      </c>
      <c r="D445" s="671">
        <v>4680115883161</v>
      </c>
      <c r="E445" s="672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152</v>
      </c>
      <c r="L445" s="32"/>
      <c r="M445" s="33" t="s">
        <v>68</v>
      </c>
      <c r="N445" s="33"/>
      <c r="O445" s="32">
        <v>50</v>
      </c>
      <c r="P445" s="723" t="s">
        <v>702</v>
      </c>
      <c r="Q445" s="674"/>
      <c r="R445" s="674"/>
      <c r="S445" s="674"/>
      <c r="T445" s="675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703</v>
      </c>
      <c r="B446" s="54" t="s">
        <v>704</v>
      </c>
      <c r="C446" s="31">
        <v>4301031358</v>
      </c>
      <c r="D446" s="671">
        <v>4607091389531</v>
      </c>
      <c r="E446" s="672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152</v>
      </c>
      <c r="L446" s="32"/>
      <c r="M446" s="33" t="s">
        <v>68</v>
      </c>
      <c r="N446" s="33"/>
      <c r="O446" s="32">
        <v>50</v>
      </c>
      <c r="P446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4"/>
      <c r="R446" s="674"/>
      <c r="S446" s="674"/>
      <c r="T446" s="675"/>
      <c r="U446" s="34"/>
      <c r="V446" s="34"/>
      <c r="W446" s="35" t="s">
        <v>69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customHeight="1" x14ac:dyDescent="0.25">
      <c r="A447" s="54" t="s">
        <v>706</v>
      </c>
      <c r="B447" s="54" t="s">
        <v>707</v>
      </c>
      <c r="C447" s="31">
        <v>4301031360</v>
      </c>
      <c r="D447" s="671">
        <v>4607091384345</v>
      </c>
      <c r="E447" s="672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152</v>
      </c>
      <c r="L447" s="32"/>
      <c r="M447" s="33" t="s">
        <v>68</v>
      </c>
      <c r="N447" s="33"/>
      <c r="O447" s="32">
        <v>50</v>
      </c>
      <c r="P447" s="10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4"/>
      <c r="R447" s="674"/>
      <c r="S447" s="674"/>
      <c r="T447" s="675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8" t="s">
        <v>88</v>
      </c>
      <c r="Q448" s="689"/>
      <c r="R448" s="689"/>
      <c r="S448" s="689"/>
      <c r="T448" s="689"/>
      <c r="U448" s="689"/>
      <c r="V448" s="690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7.4074074074074066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8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7.2160000000000002E-2</v>
      </c>
      <c r="AA448" s="670"/>
      <c r="AB448" s="670"/>
      <c r="AC448" s="670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8" t="s">
        <v>88</v>
      </c>
      <c r="Q449" s="689"/>
      <c r="R449" s="689"/>
      <c r="S449" s="689"/>
      <c r="T449" s="689"/>
      <c r="U449" s="689"/>
      <c r="V449" s="690"/>
      <c r="W449" s="37" t="s">
        <v>69</v>
      </c>
      <c r="X449" s="669">
        <f>IFERROR(SUM(X436:X447),"0")</f>
        <v>40</v>
      </c>
      <c r="Y449" s="669">
        <f>IFERROR(SUM(Y436:Y447),"0")</f>
        <v>43.2</v>
      </c>
      <c r="Z449" s="37"/>
      <c r="AA449" s="670"/>
      <c r="AB449" s="670"/>
      <c r="AC449" s="670"/>
    </row>
    <row r="450" spans="1:68" ht="14.25" customHeight="1" x14ac:dyDescent="0.25">
      <c r="A450" s="684" t="s">
        <v>64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3"/>
      <c r="AB450" s="663"/>
      <c r="AC450" s="663"/>
    </row>
    <row r="451" spans="1:68" ht="27" customHeight="1" x14ac:dyDescent="0.25">
      <c r="A451" s="54" t="s">
        <v>708</v>
      </c>
      <c r="B451" s="54" t="s">
        <v>709</v>
      </c>
      <c r="C451" s="31">
        <v>4301051284</v>
      </c>
      <c r="D451" s="671">
        <v>4607091384352</v>
      </c>
      <c r="E451" s="672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8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4"/>
      <c r="R451" s="674"/>
      <c r="S451" s="674"/>
      <c r="T451" s="675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711</v>
      </c>
      <c r="B452" s="54" t="s">
        <v>712</v>
      </c>
      <c r="C452" s="31">
        <v>4301051431</v>
      </c>
      <c r="D452" s="671">
        <v>4607091389654</v>
      </c>
      <c r="E452" s="672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7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4"/>
      <c r="R452" s="674"/>
      <c r="S452" s="674"/>
      <c r="T452" s="675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8" t="s">
        <v>88</v>
      </c>
      <c r="Q453" s="689"/>
      <c r="R453" s="689"/>
      <c r="S453" s="689"/>
      <c r="T453" s="689"/>
      <c r="U453" s="689"/>
      <c r="V453" s="690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8" t="s">
        <v>88</v>
      </c>
      <c r="Q454" s="689"/>
      <c r="R454" s="689"/>
      <c r="S454" s="689"/>
      <c r="T454" s="689"/>
      <c r="U454" s="689"/>
      <c r="V454" s="690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685" t="s">
        <v>714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2"/>
      <c r="AB455" s="662"/>
      <c r="AC455" s="662"/>
    </row>
    <row r="456" spans="1:68" ht="14.25" customHeight="1" x14ac:dyDescent="0.25">
      <c r="A456" s="684" t="s">
        <v>138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63"/>
      <c r="AB456" s="663"/>
      <c r="AC456" s="663"/>
    </row>
    <row r="457" spans="1:68" ht="27" customHeight="1" x14ac:dyDescent="0.25">
      <c r="A457" s="54" t="s">
        <v>715</v>
      </c>
      <c r="B457" s="54" t="s">
        <v>716</v>
      </c>
      <c r="C457" s="31">
        <v>4301020319</v>
      </c>
      <c r="D457" s="671">
        <v>4680115885240</v>
      </c>
      <c r="E457" s="672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7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4"/>
      <c r="R457" s="674"/>
      <c r="S457" s="674"/>
      <c r="T457" s="675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718</v>
      </c>
      <c r="B458" s="54" t="s">
        <v>719</v>
      </c>
      <c r="C458" s="31">
        <v>4301020315</v>
      </c>
      <c r="D458" s="671">
        <v>4607091389364</v>
      </c>
      <c r="E458" s="672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73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4"/>
      <c r="R458" s="674"/>
      <c r="S458" s="674"/>
      <c r="T458" s="675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78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88" t="s">
        <v>88</v>
      </c>
      <c r="Q459" s="689"/>
      <c r="R459" s="689"/>
      <c r="S459" s="689"/>
      <c r="T459" s="689"/>
      <c r="U459" s="689"/>
      <c r="V459" s="690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8" t="s">
        <v>88</v>
      </c>
      <c r="Q460" s="689"/>
      <c r="R460" s="689"/>
      <c r="S460" s="689"/>
      <c r="T460" s="689"/>
      <c r="U460" s="689"/>
      <c r="V460" s="690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84" t="s">
        <v>149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63"/>
      <c r="AB461" s="663"/>
      <c r="AC461" s="663"/>
    </row>
    <row r="462" spans="1:68" ht="27" customHeight="1" x14ac:dyDescent="0.25">
      <c r="A462" s="54" t="s">
        <v>721</v>
      </c>
      <c r="B462" s="54" t="s">
        <v>722</v>
      </c>
      <c r="C462" s="31">
        <v>4301031403</v>
      </c>
      <c r="D462" s="671">
        <v>4680115886094</v>
      </c>
      <c r="E462" s="672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955" t="s">
        <v>723</v>
      </c>
      <c r="Q462" s="674"/>
      <c r="R462" s="674"/>
      <c r="S462" s="674"/>
      <c r="T462" s="675"/>
      <c r="U462" s="34"/>
      <c r="V462" s="34"/>
      <c r="W462" s="35" t="s">
        <v>69</v>
      </c>
      <c r="X462" s="667">
        <v>15</v>
      </c>
      <c r="Y462" s="668">
        <f>IFERROR(IF(X462="",0,CEILING((X462/$H462),1)*$H462),"")</f>
        <v>16.200000000000003</v>
      </c>
      <c r="Z462" s="36">
        <f>IFERROR(IF(Y462=0,"",ROUNDUP(Y462/H462,0)*0.00902),"")</f>
        <v>2.7060000000000001E-2</v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15.583333333333334</v>
      </c>
      <c r="BN462" s="64">
        <f>IFERROR(Y462*I462/H462,"0")</f>
        <v>16.830000000000002</v>
      </c>
      <c r="BO462" s="64">
        <f>IFERROR(1/J462*(X462/H462),"0")</f>
        <v>2.1043771043771045E-2</v>
      </c>
      <c r="BP462" s="64">
        <f>IFERROR(1/J462*(Y462/H462),"0")</f>
        <v>2.2727272727272731E-2</v>
      </c>
    </row>
    <row r="463" spans="1:68" ht="27" customHeight="1" x14ac:dyDescent="0.25">
      <c r="A463" s="54" t="s">
        <v>725</v>
      </c>
      <c r="B463" s="54" t="s">
        <v>726</v>
      </c>
      <c r="C463" s="31">
        <v>4301031363</v>
      </c>
      <c r="D463" s="671">
        <v>4607091389425</v>
      </c>
      <c r="E463" s="672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152</v>
      </c>
      <c r="L463" s="32"/>
      <c r="M463" s="33" t="s">
        <v>68</v>
      </c>
      <c r="N463" s="33"/>
      <c r="O463" s="32">
        <v>50</v>
      </c>
      <c r="P463" s="97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4"/>
      <c r="R463" s="674"/>
      <c r="S463" s="674"/>
      <c r="T463" s="675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728</v>
      </c>
      <c r="B464" s="54" t="s">
        <v>729</v>
      </c>
      <c r="C464" s="31">
        <v>4301031373</v>
      </c>
      <c r="D464" s="671">
        <v>4680115880771</v>
      </c>
      <c r="E464" s="672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50</v>
      </c>
      <c r="P464" s="766" t="s">
        <v>730</v>
      </c>
      <c r="Q464" s="674"/>
      <c r="R464" s="674"/>
      <c r="S464" s="674"/>
      <c r="T464" s="675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732</v>
      </c>
      <c r="B465" s="54" t="s">
        <v>733</v>
      </c>
      <c r="C465" s="31">
        <v>4301031359</v>
      </c>
      <c r="D465" s="671">
        <v>4607091389500</v>
      </c>
      <c r="E465" s="672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152</v>
      </c>
      <c r="L465" s="32"/>
      <c r="M465" s="33" t="s">
        <v>68</v>
      </c>
      <c r="N465" s="33"/>
      <c r="O465" s="32">
        <v>50</v>
      </c>
      <c r="P465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4"/>
      <c r="R465" s="674"/>
      <c r="S465" s="674"/>
      <c r="T465" s="675"/>
      <c r="U465" s="34"/>
      <c r="V465" s="34"/>
      <c r="W465" s="35" t="s">
        <v>69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8" t="s">
        <v>88</v>
      </c>
      <c r="Q466" s="689"/>
      <c r="R466" s="689"/>
      <c r="S466" s="689"/>
      <c r="T466" s="689"/>
      <c r="U466" s="689"/>
      <c r="V466" s="690"/>
      <c r="W466" s="37" t="s">
        <v>89</v>
      </c>
      <c r="X466" s="669">
        <f>IFERROR(X462/H462,"0")+IFERROR(X463/H463,"0")+IFERROR(X464/H464,"0")+IFERROR(X465/H465,"0")</f>
        <v>2.7777777777777777</v>
      </c>
      <c r="Y466" s="669">
        <f>IFERROR(Y462/H462,"0")+IFERROR(Y463/H463,"0")+IFERROR(Y464/H464,"0")+IFERROR(Y465/H465,"0")</f>
        <v>3.0000000000000004</v>
      </c>
      <c r="Z466" s="669">
        <f>IFERROR(IF(Z462="",0,Z462),"0")+IFERROR(IF(Z463="",0,Z463),"0")+IFERROR(IF(Z464="",0,Z464),"0")+IFERROR(IF(Z465="",0,Z465),"0")</f>
        <v>2.7060000000000001E-2</v>
      </c>
      <c r="AA466" s="670"/>
      <c r="AB466" s="670"/>
      <c r="AC466" s="670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8" t="s">
        <v>88</v>
      </c>
      <c r="Q467" s="689"/>
      <c r="R467" s="689"/>
      <c r="S467" s="689"/>
      <c r="T467" s="689"/>
      <c r="U467" s="689"/>
      <c r="V467" s="690"/>
      <c r="W467" s="37" t="s">
        <v>69</v>
      </c>
      <c r="X467" s="669">
        <f>IFERROR(SUM(X462:X465),"0")</f>
        <v>15</v>
      </c>
      <c r="Y467" s="669">
        <f>IFERROR(SUM(Y462:Y465),"0")</f>
        <v>16.200000000000003</v>
      </c>
      <c r="Z467" s="37"/>
      <c r="AA467" s="670"/>
      <c r="AB467" s="670"/>
      <c r="AC467" s="670"/>
    </row>
    <row r="468" spans="1:68" ht="16.5" customHeight="1" x14ac:dyDescent="0.25">
      <c r="A468" s="685" t="s">
        <v>734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2"/>
      <c r="AB468" s="662"/>
      <c r="AC468" s="662"/>
    </row>
    <row r="469" spans="1:68" ht="14.25" customHeight="1" x14ac:dyDescent="0.25">
      <c r="A469" s="684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3"/>
      <c r="AB469" s="663"/>
      <c r="AC469" s="663"/>
    </row>
    <row r="470" spans="1:68" ht="27" customHeight="1" x14ac:dyDescent="0.25">
      <c r="A470" s="54" t="s">
        <v>735</v>
      </c>
      <c r="B470" s="54" t="s">
        <v>736</v>
      </c>
      <c r="C470" s="31">
        <v>4301031294</v>
      </c>
      <c r="D470" s="671">
        <v>4680115885189</v>
      </c>
      <c r="E470" s="672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152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4"/>
      <c r="R470" s="674"/>
      <c r="S470" s="674"/>
      <c r="T470" s="675"/>
      <c r="U470" s="34"/>
      <c r="V470" s="34"/>
      <c r="W470" s="35" t="s">
        <v>69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738</v>
      </c>
      <c r="B471" s="54" t="s">
        <v>739</v>
      </c>
      <c r="C471" s="31">
        <v>4301031347</v>
      </c>
      <c r="D471" s="671">
        <v>4680115885110</v>
      </c>
      <c r="E471" s="672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760" t="s">
        <v>740</v>
      </c>
      <c r="Q471" s="674"/>
      <c r="R471" s="674"/>
      <c r="S471" s="674"/>
      <c r="T471" s="675"/>
      <c r="U471" s="34"/>
      <c r="V471" s="34"/>
      <c r="W471" s="35" t="s">
        <v>69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8" t="s">
        <v>88</v>
      </c>
      <c r="Q472" s="689"/>
      <c r="R472" s="689"/>
      <c r="S472" s="689"/>
      <c r="T472" s="689"/>
      <c r="U472" s="689"/>
      <c r="V472" s="690"/>
      <c r="W472" s="37" t="s">
        <v>89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8" t="s">
        <v>88</v>
      </c>
      <c r="Q473" s="689"/>
      <c r="R473" s="689"/>
      <c r="S473" s="689"/>
      <c r="T473" s="689"/>
      <c r="U473" s="689"/>
      <c r="V473" s="690"/>
      <c r="W473" s="37" t="s">
        <v>69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customHeight="1" x14ac:dyDescent="0.25">
      <c r="A474" s="685" t="s">
        <v>742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62"/>
      <c r="AB474" s="662"/>
      <c r="AC474" s="662"/>
    </row>
    <row r="475" spans="1:68" ht="14.25" customHeight="1" x14ac:dyDescent="0.25">
      <c r="A475" s="684" t="s">
        <v>149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663"/>
      <c r="AB475" s="663"/>
      <c r="AC475" s="663"/>
    </row>
    <row r="476" spans="1:68" ht="27" customHeight="1" x14ac:dyDescent="0.25">
      <c r="A476" s="54" t="s">
        <v>743</v>
      </c>
      <c r="B476" s="54" t="s">
        <v>744</v>
      </c>
      <c r="C476" s="31">
        <v>4301031261</v>
      </c>
      <c r="D476" s="671">
        <v>4680115885103</v>
      </c>
      <c r="E476" s="672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75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4"/>
      <c r="R476" s="674"/>
      <c r="S476" s="674"/>
      <c r="T476" s="675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78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8" t="s">
        <v>88</v>
      </c>
      <c r="Q477" s="689"/>
      <c r="R477" s="689"/>
      <c r="S477" s="689"/>
      <c r="T477" s="689"/>
      <c r="U477" s="689"/>
      <c r="V477" s="690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79"/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80"/>
      <c r="P478" s="688" t="s">
        <v>88</v>
      </c>
      <c r="Q478" s="689"/>
      <c r="R478" s="689"/>
      <c r="S478" s="689"/>
      <c r="T478" s="689"/>
      <c r="U478" s="689"/>
      <c r="V478" s="690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84" t="s">
        <v>175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3"/>
      <c r="AB479" s="663"/>
      <c r="AC479" s="663"/>
    </row>
    <row r="480" spans="1:68" ht="27" customHeight="1" x14ac:dyDescent="0.25">
      <c r="A480" s="54" t="s">
        <v>746</v>
      </c>
      <c r="B480" s="54" t="s">
        <v>747</v>
      </c>
      <c r="C480" s="31">
        <v>4301060412</v>
      </c>
      <c r="D480" s="671">
        <v>4680115885509</v>
      </c>
      <c r="E480" s="672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80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4"/>
      <c r="R480" s="674"/>
      <c r="S480" s="674"/>
      <c r="T480" s="675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78"/>
      <c r="B481" s="679"/>
      <c r="C481" s="679"/>
      <c r="D481" s="679"/>
      <c r="E481" s="679"/>
      <c r="F481" s="679"/>
      <c r="G481" s="679"/>
      <c r="H481" s="679"/>
      <c r="I481" s="679"/>
      <c r="J481" s="679"/>
      <c r="K481" s="679"/>
      <c r="L481" s="679"/>
      <c r="M481" s="679"/>
      <c r="N481" s="679"/>
      <c r="O481" s="680"/>
      <c r="P481" s="688" t="s">
        <v>88</v>
      </c>
      <c r="Q481" s="689"/>
      <c r="R481" s="689"/>
      <c r="S481" s="689"/>
      <c r="T481" s="689"/>
      <c r="U481" s="689"/>
      <c r="V481" s="690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79"/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80"/>
      <c r="P482" s="688" t="s">
        <v>88</v>
      </c>
      <c r="Q482" s="689"/>
      <c r="R482" s="689"/>
      <c r="S482" s="689"/>
      <c r="T482" s="689"/>
      <c r="U482" s="689"/>
      <c r="V482" s="690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682" t="s">
        <v>749</v>
      </c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48"/>
      <c r="AB483" s="48"/>
      <c r="AC483" s="48"/>
    </row>
    <row r="484" spans="1:68" ht="16.5" customHeight="1" x14ac:dyDescent="0.25">
      <c r="A484" s="685" t="s">
        <v>749</v>
      </c>
      <c r="B484" s="679"/>
      <c r="C484" s="679"/>
      <c r="D484" s="679"/>
      <c r="E484" s="679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  <c r="AA484" s="662"/>
      <c r="AB484" s="662"/>
      <c r="AC484" s="662"/>
    </row>
    <row r="485" spans="1:68" ht="14.25" customHeight="1" x14ac:dyDescent="0.25">
      <c r="A485" s="684" t="s">
        <v>98</v>
      </c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  <c r="AA485" s="663"/>
      <c r="AB485" s="663"/>
      <c r="AC485" s="663"/>
    </row>
    <row r="486" spans="1:68" ht="27" customHeight="1" x14ac:dyDescent="0.25">
      <c r="A486" s="54" t="s">
        <v>750</v>
      </c>
      <c r="B486" s="54" t="s">
        <v>751</v>
      </c>
      <c r="C486" s="31">
        <v>4301011795</v>
      </c>
      <c r="D486" s="671">
        <v>4607091389067</v>
      </c>
      <c r="E486" s="672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4"/>
      <c r="R486" s="674"/>
      <c r="S486" s="674"/>
      <c r="T486" s="675"/>
      <c r="U486" s="34"/>
      <c r="V486" s="34"/>
      <c r="W486" s="35" t="s">
        <v>69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customHeight="1" x14ac:dyDescent="0.25">
      <c r="A487" s="54" t="s">
        <v>753</v>
      </c>
      <c r="B487" s="54" t="s">
        <v>754</v>
      </c>
      <c r="C487" s="31">
        <v>4301011961</v>
      </c>
      <c r="D487" s="671">
        <v>4680115885271</v>
      </c>
      <c r="E487" s="672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4"/>
      <c r="R487" s="674"/>
      <c r="S487" s="674"/>
      <c r="T487" s="675"/>
      <c r="U487" s="34"/>
      <c r="V487" s="34"/>
      <c r="W487" s="35" t="s">
        <v>69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756</v>
      </c>
      <c r="B488" s="54" t="s">
        <v>757</v>
      </c>
      <c r="C488" s="31">
        <v>4301011376</v>
      </c>
      <c r="D488" s="671">
        <v>4680115885226</v>
      </c>
      <c r="E488" s="672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96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4"/>
      <c r="R488" s="674"/>
      <c r="S488" s="674"/>
      <c r="T488" s="675"/>
      <c r="U488" s="34"/>
      <c r="V488" s="34"/>
      <c r="W488" s="35" t="s">
        <v>69</v>
      </c>
      <c r="X488" s="667">
        <v>80</v>
      </c>
      <c r="Y488" s="668">
        <f t="shared" si="68"/>
        <v>84.48</v>
      </c>
      <c r="Z488" s="36">
        <f t="shared" si="69"/>
        <v>0.19136</v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85.454545454545453</v>
      </c>
      <c r="BN488" s="64">
        <f t="shared" si="71"/>
        <v>90.24</v>
      </c>
      <c r="BO488" s="64">
        <f t="shared" si="72"/>
        <v>0.14568764568764569</v>
      </c>
      <c r="BP488" s="64">
        <f t="shared" si="73"/>
        <v>0.15384615384615385</v>
      </c>
    </row>
    <row r="489" spans="1:68" ht="16.5" customHeight="1" x14ac:dyDescent="0.25">
      <c r="A489" s="54" t="s">
        <v>759</v>
      </c>
      <c r="B489" s="54" t="s">
        <v>760</v>
      </c>
      <c r="C489" s="31">
        <v>4301011774</v>
      </c>
      <c r="D489" s="671">
        <v>4680115884502</v>
      </c>
      <c r="E489" s="672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4"/>
      <c r="R489" s="674"/>
      <c r="S489" s="674"/>
      <c r="T489" s="675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762</v>
      </c>
      <c r="B490" s="54" t="s">
        <v>763</v>
      </c>
      <c r="C490" s="31">
        <v>4301011771</v>
      </c>
      <c r="D490" s="671">
        <v>4607091389104</v>
      </c>
      <c r="E490" s="672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4"/>
      <c r="R490" s="674"/>
      <c r="S490" s="674"/>
      <c r="T490" s="675"/>
      <c r="U490" s="34"/>
      <c r="V490" s="34"/>
      <c r="W490" s="35" t="s">
        <v>69</v>
      </c>
      <c r="X490" s="667">
        <v>170</v>
      </c>
      <c r="Y490" s="668">
        <f t="shared" si="68"/>
        <v>174.24</v>
      </c>
      <c r="Z490" s="36">
        <f t="shared" si="69"/>
        <v>0.39468000000000003</v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181.59090909090907</v>
      </c>
      <c r="BN490" s="64">
        <f t="shared" si="71"/>
        <v>186.12</v>
      </c>
      <c r="BO490" s="64">
        <f t="shared" si="72"/>
        <v>0.3095862470862471</v>
      </c>
      <c r="BP490" s="64">
        <f t="shared" si="73"/>
        <v>0.31730769230769235</v>
      </c>
    </row>
    <row r="491" spans="1:68" ht="16.5" customHeight="1" x14ac:dyDescent="0.25">
      <c r="A491" s="54" t="s">
        <v>765</v>
      </c>
      <c r="B491" s="54" t="s">
        <v>766</v>
      </c>
      <c r="C491" s="31">
        <v>4301011799</v>
      </c>
      <c r="D491" s="671">
        <v>4680115884519</v>
      </c>
      <c r="E491" s="672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87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4"/>
      <c r="R491" s="674"/>
      <c r="S491" s="674"/>
      <c r="T491" s="675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768</v>
      </c>
      <c r="B492" s="54" t="s">
        <v>769</v>
      </c>
      <c r="C492" s="31">
        <v>4301012125</v>
      </c>
      <c r="D492" s="671">
        <v>4680115886391</v>
      </c>
      <c r="E492" s="672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783" t="s">
        <v>770</v>
      </c>
      <c r="Q492" s="674"/>
      <c r="R492" s="674"/>
      <c r="S492" s="674"/>
      <c r="T492" s="675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771</v>
      </c>
      <c r="B493" s="54" t="s">
        <v>772</v>
      </c>
      <c r="C493" s="31">
        <v>4301012035</v>
      </c>
      <c r="D493" s="671">
        <v>4680115880603</v>
      </c>
      <c r="E493" s="672"/>
      <c r="F493" s="666">
        <v>0.6</v>
      </c>
      <c r="G493" s="32">
        <v>8</v>
      </c>
      <c r="H493" s="666">
        <v>4.8</v>
      </c>
      <c r="I493" s="666">
        <v>6.93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74"/>
      <c r="R493" s="674"/>
      <c r="S493" s="674"/>
      <c r="T493" s="675"/>
      <c r="U493" s="34"/>
      <c r="V493" s="34"/>
      <c r="W493" s="35" t="s">
        <v>69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771</v>
      </c>
      <c r="B494" s="54" t="s">
        <v>773</v>
      </c>
      <c r="C494" s="31">
        <v>4301011778</v>
      </c>
      <c r="D494" s="671">
        <v>4680115880603</v>
      </c>
      <c r="E494" s="672"/>
      <c r="F494" s="666">
        <v>0.6</v>
      </c>
      <c r="G494" s="32">
        <v>6</v>
      </c>
      <c r="H494" s="666">
        <v>3.6</v>
      </c>
      <c r="I494" s="666">
        <v>3.81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4" s="674"/>
      <c r="R494" s="674"/>
      <c r="S494" s="674"/>
      <c r="T494" s="675"/>
      <c r="U494" s="34"/>
      <c r="V494" s="34"/>
      <c r="W494" s="35" t="s">
        <v>69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774</v>
      </c>
      <c r="B495" s="54" t="s">
        <v>775</v>
      </c>
      <c r="C495" s="31">
        <v>4301012036</v>
      </c>
      <c r="D495" s="671">
        <v>4680115882782</v>
      </c>
      <c r="E495" s="672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8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4"/>
      <c r="R495" s="674"/>
      <c r="S495" s="674"/>
      <c r="T495" s="675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776</v>
      </c>
      <c r="B496" s="54" t="s">
        <v>777</v>
      </c>
      <c r="C496" s="31">
        <v>4301012055</v>
      </c>
      <c r="D496" s="671">
        <v>4680115886469</v>
      </c>
      <c r="E496" s="672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857" t="s">
        <v>778</v>
      </c>
      <c r="Q496" s="674"/>
      <c r="R496" s="674"/>
      <c r="S496" s="674"/>
      <c r="T496" s="675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779</v>
      </c>
      <c r="B497" s="54" t="s">
        <v>780</v>
      </c>
      <c r="C497" s="31">
        <v>4301012057</v>
      </c>
      <c r="D497" s="671">
        <v>4680115886483</v>
      </c>
      <c r="E497" s="672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1020" t="s">
        <v>781</v>
      </c>
      <c r="Q497" s="674"/>
      <c r="R497" s="674"/>
      <c r="S497" s="674"/>
      <c r="T497" s="675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782</v>
      </c>
      <c r="B498" s="54" t="s">
        <v>783</v>
      </c>
      <c r="C498" s="31">
        <v>4301012050</v>
      </c>
      <c r="D498" s="671">
        <v>4680115885479</v>
      </c>
      <c r="E498" s="672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796" t="s">
        <v>784</v>
      </c>
      <c r="Q498" s="674"/>
      <c r="R498" s="674"/>
      <c r="S498" s="674"/>
      <c r="T498" s="675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785</v>
      </c>
      <c r="B499" s="54" t="s">
        <v>786</v>
      </c>
      <c r="C499" s="31">
        <v>4301012034</v>
      </c>
      <c r="D499" s="671">
        <v>4607091389982</v>
      </c>
      <c r="E499" s="672"/>
      <c r="F499" s="666">
        <v>0.6</v>
      </c>
      <c r="G499" s="32">
        <v>8</v>
      </c>
      <c r="H499" s="666">
        <v>4.8</v>
      </c>
      <c r="I499" s="666">
        <v>6.96</v>
      </c>
      <c r="J499" s="32">
        <v>120</v>
      </c>
      <c r="K499" s="32" t="s">
        <v>106</v>
      </c>
      <c r="L499" s="32"/>
      <c r="M499" s="33" t="s">
        <v>102</v>
      </c>
      <c r="N499" s="33"/>
      <c r="O499" s="32">
        <v>60</v>
      </c>
      <c r="P499" s="102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4"/>
      <c r="R499" s="674"/>
      <c r="S499" s="674"/>
      <c r="T499" s="675"/>
      <c r="U499" s="34"/>
      <c r="V499" s="34"/>
      <c r="W499" s="35" t="s">
        <v>69</v>
      </c>
      <c r="X499" s="667">
        <v>0</v>
      </c>
      <c r="Y499" s="668">
        <f t="shared" si="68"/>
        <v>0</v>
      </c>
      <c r="Z499" s="36" t="str">
        <f>IFERROR(IF(Y499=0,"",ROUNDUP(Y499/H499,0)*0.00937),"")</f>
        <v/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customHeight="1" x14ac:dyDescent="0.25">
      <c r="A500" s="54" t="s">
        <v>785</v>
      </c>
      <c r="B500" s="54" t="s">
        <v>787</v>
      </c>
      <c r="C500" s="31">
        <v>4301011784</v>
      </c>
      <c r="D500" s="671">
        <v>4607091389982</v>
      </c>
      <c r="E500" s="672"/>
      <c r="F500" s="666">
        <v>0.6</v>
      </c>
      <c r="G500" s="32">
        <v>6</v>
      </c>
      <c r="H500" s="666">
        <v>3.6</v>
      </c>
      <c r="I500" s="666">
        <v>3.81</v>
      </c>
      <c r="J500" s="32">
        <v>132</v>
      </c>
      <c r="K500" s="32" t="s">
        <v>106</v>
      </c>
      <c r="L500" s="32"/>
      <c r="M500" s="33" t="s">
        <v>102</v>
      </c>
      <c r="N500" s="33"/>
      <c r="O500" s="32">
        <v>60</v>
      </c>
      <c r="P500" s="105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4"/>
      <c r="R500" s="674"/>
      <c r="S500" s="674"/>
      <c r="T500" s="675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IFERROR(IF(Y500=0,"",ROUNDUP(Y500/H500,0)*0.00902),"")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788</v>
      </c>
      <c r="B501" s="54" t="s">
        <v>789</v>
      </c>
      <c r="C501" s="31">
        <v>4301012058</v>
      </c>
      <c r="D501" s="671">
        <v>4680115886490</v>
      </c>
      <c r="E501" s="672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84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4"/>
      <c r="R501" s="674"/>
      <c r="S501" s="674"/>
      <c r="T501" s="675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78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88" t="s">
        <v>88</v>
      </c>
      <c r="Q502" s="689"/>
      <c r="R502" s="689"/>
      <c r="S502" s="689"/>
      <c r="T502" s="689"/>
      <c r="U502" s="689"/>
      <c r="V502" s="690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47.348484848484844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49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0.58604000000000001</v>
      </c>
      <c r="AA502" s="670"/>
      <c r="AB502" s="670"/>
      <c r="AC502" s="670"/>
    </row>
    <row r="503" spans="1:68" x14ac:dyDescent="0.2">
      <c r="A503" s="679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8" t="s">
        <v>88</v>
      </c>
      <c r="Q503" s="689"/>
      <c r="R503" s="689"/>
      <c r="S503" s="689"/>
      <c r="T503" s="689"/>
      <c r="U503" s="689"/>
      <c r="V503" s="690"/>
      <c r="W503" s="37" t="s">
        <v>69</v>
      </c>
      <c r="X503" s="669">
        <f>IFERROR(SUM(X486:X501),"0")</f>
        <v>250</v>
      </c>
      <c r="Y503" s="669">
        <f>IFERROR(SUM(Y486:Y501),"0")</f>
        <v>258.72000000000003</v>
      </c>
      <c r="Z503" s="37"/>
      <c r="AA503" s="670"/>
      <c r="AB503" s="670"/>
      <c r="AC503" s="670"/>
    </row>
    <row r="504" spans="1:68" ht="14.25" customHeight="1" x14ac:dyDescent="0.25">
      <c r="A504" s="684" t="s">
        <v>138</v>
      </c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  <c r="AA504" s="663"/>
      <c r="AB504" s="663"/>
      <c r="AC504" s="663"/>
    </row>
    <row r="505" spans="1:68" ht="16.5" customHeight="1" x14ac:dyDescent="0.25">
      <c r="A505" s="54" t="s">
        <v>790</v>
      </c>
      <c r="B505" s="54" t="s">
        <v>791</v>
      </c>
      <c r="C505" s="31">
        <v>4301020334</v>
      </c>
      <c r="D505" s="671">
        <v>4607091388930</v>
      </c>
      <c r="E505" s="672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108</v>
      </c>
      <c r="N505" s="33"/>
      <c r="O505" s="32">
        <v>70</v>
      </c>
      <c r="P505" s="1049" t="s">
        <v>792</v>
      </c>
      <c r="Q505" s="674"/>
      <c r="R505" s="674"/>
      <c r="S505" s="674"/>
      <c r="T505" s="675"/>
      <c r="U505" s="34"/>
      <c r="V505" s="34"/>
      <c r="W505" s="35" t="s">
        <v>69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793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customHeight="1" x14ac:dyDescent="0.25">
      <c r="A506" s="54" t="s">
        <v>790</v>
      </c>
      <c r="B506" s="54" t="s">
        <v>794</v>
      </c>
      <c r="C506" s="31">
        <v>4301020222</v>
      </c>
      <c r="D506" s="671">
        <v>4607091388930</v>
      </c>
      <c r="E506" s="672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55</v>
      </c>
      <c r="P506" s="900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6" s="674"/>
      <c r="R506" s="674"/>
      <c r="S506" s="674"/>
      <c r="T506" s="675"/>
      <c r="U506" s="34"/>
      <c r="V506" s="34"/>
      <c r="W506" s="35" t="s">
        <v>69</v>
      </c>
      <c r="X506" s="667">
        <v>270</v>
      </c>
      <c r="Y506" s="668">
        <f>IFERROR(IF(X506="",0,CEILING((X506/$H506),1)*$H506),"")</f>
        <v>274.56</v>
      </c>
      <c r="Z506" s="36">
        <f>IFERROR(IF(Y506=0,"",ROUNDUP(Y506/H506,0)*0.01196),"")</f>
        <v>0.62192000000000003</v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288.40909090909088</v>
      </c>
      <c r="BN506" s="64">
        <f>IFERROR(Y506*I506/H506,"0")</f>
        <v>293.27999999999997</v>
      </c>
      <c r="BO506" s="64">
        <f>IFERROR(1/J506*(X506/H506),"0")</f>
        <v>0.49169580419580416</v>
      </c>
      <c r="BP506" s="64">
        <f>IFERROR(1/J506*(Y506/H506),"0")</f>
        <v>0.5</v>
      </c>
    </row>
    <row r="507" spans="1:68" ht="16.5" customHeight="1" x14ac:dyDescent="0.25">
      <c r="A507" s="54" t="s">
        <v>796</v>
      </c>
      <c r="B507" s="54" t="s">
        <v>797</v>
      </c>
      <c r="C507" s="31">
        <v>4301020384</v>
      </c>
      <c r="D507" s="671">
        <v>4680115886407</v>
      </c>
      <c r="E507" s="672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1050" t="s">
        <v>798</v>
      </c>
      <c r="Q507" s="674"/>
      <c r="R507" s="674"/>
      <c r="S507" s="674"/>
      <c r="T507" s="675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793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799</v>
      </c>
      <c r="B508" s="54" t="s">
        <v>800</v>
      </c>
      <c r="C508" s="31">
        <v>4301020385</v>
      </c>
      <c r="D508" s="671">
        <v>4680115880054</v>
      </c>
      <c r="E508" s="672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764" t="s">
        <v>801</v>
      </c>
      <c r="Q508" s="674"/>
      <c r="R508" s="674"/>
      <c r="S508" s="674"/>
      <c r="T508" s="675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793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78"/>
      <c r="B509" s="679"/>
      <c r="C509" s="679"/>
      <c r="D509" s="679"/>
      <c r="E509" s="679"/>
      <c r="F509" s="679"/>
      <c r="G509" s="679"/>
      <c r="H509" s="679"/>
      <c r="I509" s="679"/>
      <c r="J509" s="679"/>
      <c r="K509" s="679"/>
      <c r="L509" s="679"/>
      <c r="M509" s="679"/>
      <c r="N509" s="679"/>
      <c r="O509" s="680"/>
      <c r="P509" s="688" t="s">
        <v>88</v>
      </c>
      <c r="Q509" s="689"/>
      <c r="R509" s="689"/>
      <c r="S509" s="689"/>
      <c r="T509" s="689"/>
      <c r="U509" s="689"/>
      <c r="V509" s="690"/>
      <c r="W509" s="37" t="s">
        <v>89</v>
      </c>
      <c r="X509" s="669">
        <f>IFERROR(X505/H505,"0")+IFERROR(X506/H506,"0")+IFERROR(X507/H507,"0")+IFERROR(X508/H508,"0")</f>
        <v>51.136363636363633</v>
      </c>
      <c r="Y509" s="669">
        <f>IFERROR(Y505/H505,"0")+IFERROR(Y506/H506,"0")+IFERROR(Y507/H507,"0")+IFERROR(Y508/H508,"0")</f>
        <v>52</v>
      </c>
      <c r="Z509" s="669">
        <f>IFERROR(IF(Z505="",0,Z505),"0")+IFERROR(IF(Z506="",0,Z506),"0")+IFERROR(IF(Z507="",0,Z507),"0")+IFERROR(IF(Z508="",0,Z508),"0")</f>
        <v>0.62192000000000003</v>
      </c>
      <c r="AA509" s="670"/>
      <c r="AB509" s="670"/>
      <c r="AC509" s="670"/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88" t="s">
        <v>88</v>
      </c>
      <c r="Q510" s="689"/>
      <c r="R510" s="689"/>
      <c r="S510" s="689"/>
      <c r="T510" s="689"/>
      <c r="U510" s="689"/>
      <c r="V510" s="690"/>
      <c r="W510" s="37" t="s">
        <v>69</v>
      </c>
      <c r="X510" s="669">
        <f>IFERROR(SUM(X505:X508),"0")</f>
        <v>270</v>
      </c>
      <c r="Y510" s="669">
        <f>IFERROR(SUM(Y505:Y508),"0")</f>
        <v>274.56</v>
      </c>
      <c r="Z510" s="37"/>
      <c r="AA510" s="670"/>
      <c r="AB510" s="670"/>
      <c r="AC510" s="670"/>
    </row>
    <row r="511" spans="1:68" ht="14.25" customHeight="1" x14ac:dyDescent="0.25">
      <c r="A511" s="684" t="s">
        <v>149</v>
      </c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  <c r="AA511" s="663"/>
      <c r="AB511" s="663"/>
      <c r="AC511" s="663"/>
    </row>
    <row r="512" spans="1:68" ht="27" customHeight="1" x14ac:dyDescent="0.25">
      <c r="A512" s="54" t="s">
        <v>802</v>
      </c>
      <c r="B512" s="54" t="s">
        <v>803</v>
      </c>
      <c r="C512" s="31">
        <v>4301031349</v>
      </c>
      <c r="D512" s="671">
        <v>4680115883116</v>
      </c>
      <c r="E512" s="672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922" t="s">
        <v>804</v>
      </c>
      <c r="Q512" s="674"/>
      <c r="R512" s="674"/>
      <c r="S512" s="674"/>
      <c r="T512" s="675"/>
      <c r="U512" s="34"/>
      <c r="V512" s="34"/>
      <c r="W512" s="35" t="s">
        <v>69</v>
      </c>
      <c r="X512" s="667">
        <v>90</v>
      </c>
      <c r="Y512" s="668">
        <f t="shared" ref="Y512:Y522" si="74">IFERROR(IF(X512="",0,CEILING((X512/$H512),1)*$H512),"")</f>
        <v>95.04</v>
      </c>
      <c r="Z512" s="36">
        <f>IFERROR(IF(Y512=0,"",ROUNDUP(Y512/H512,0)*0.01196),"")</f>
        <v>0.21528</v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96.136363636363626</v>
      </c>
      <c r="BN512" s="64">
        <f t="shared" ref="BN512:BN522" si="76">IFERROR(Y512*I512/H512,"0")</f>
        <v>101.52000000000001</v>
      </c>
      <c r="BO512" s="64">
        <f t="shared" ref="BO512:BO522" si="77">IFERROR(1/J512*(X512/H512),"0")</f>
        <v>0.16389860139860138</v>
      </c>
      <c r="BP512" s="64">
        <f t="shared" ref="BP512:BP522" si="78">IFERROR(1/J512*(Y512/H512),"0")</f>
        <v>0.17307692307692307</v>
      </c>
    </row>
    <row r="513" spans="1:68" ht="27" customHeight="1" x14ac:dyDescent="0.25">
      <c r="A513" s="54" t="s">
        <v>806</v>
      </c>
      <c r="B513" s="54" t="s">
        <v>807</v>
      </c>
      <c r="C513" s="31">
        <v>4301031350</v>
      </c>
      <c r="D513" s="671">
        <v>4680115883093</v>
      </c>
      <c r="E513" s="672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833" t="s">
        <v>808</v>
      </c>
      <c r="Q513" s="674"/>
      <c r="R513" s="674"/>
      <c r="S513" s="674"/>
      <c r="T513" s="675"/>
      <c r="U513" s="34"/>
      <c r="V513" s="34"/>
      <c r="W513" s="35" t="s">
        <v>69</v>
      </c>
      <c r="X513" s="667">
        <v>130</v>
      </c>
      <c r="Y513" s="668">
        <f t="shared" si="74"/>
        <v>132</v>
      </c>
      <c r="Z513" s="36">
        <f>IFERROR(IF(Y513=0,"",ROUNDUP(Y513/H513,0)*0.01196),"")</f>
        <v>0.29899999999999999</v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138.86363636363635</v>
      </c>
      <c r="BN513" s="64">
        <f t="shared" si="76"/>
        <v>140.99999999999997</v>
      </c>
      <c r="BO513" s="64">
        <f t="shared" si="77"/>
        <v>0.23674242424242425</v>
      </c>
      <c r="BP513" s="64">
        <f t="shared" si="78"/>
        <v>0.24038461538461539</v>
      </c>
    </row>
    <row r="514" spans="1:68" ht="27" customHeight="1" x14ac:dyDescent="0.25">
      <c r="A514" s="54" t="s">
        <v>810</v>
      </c>
      <c r="B514" s="54" t="s">
        <v>811</v>
      </c>
      <c r="C514" s="31">
        <v>4301031353</v>
      </c>
      <c r="D514" s="671">
        <v>4680115883109</v>
      </c>
      <c r="E514" s="672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66" t="s">
        <v>812</v>
      </c>
      <c r="Q514" s="674"/>
      <c r="R514" s="674"/>
      <c r="S514" s="674"/>
      <c r="T514" s="675"/>
      <c r="U514" s="34"/>
      <c r="V514" s="34"/>
      <c r="W514" s="35" t="s">
        <v>69</v>
      </c>
      <c r="X514" s="667">
        <v>180</v>
      </c>
      <c r="Y514" s="668">
        <f t="shared" si="74"/>
        <v>184.8</v>
      </c>
      <c r="Z514" s="36">
        <f>IFERROR(IF(Y514=0,"",ROUNDUP(Y514/H514,0)*0.01196),"")</f>
        <v>0.41860000000000003</v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192.27272727272725</v>
      </c>
      <c r="BN514" s="64">
        <f t="shared" si="76"/>
        <v>197.39999999999998</v>
      </c>
      <c r="BO514" s="64">
        <f t="shared" si="77"/>
        <v>0.32779720279720276</v>
      </c>
      <c r="BP514" s="64">
        <f t="shared" si="78"/>
        <v>0.33653846153846156</v>
      </c>
    </row>
    <row r="515" spans="1:68" ht="27" customHeight="1" x14ac:dyDescent="0.25">
      <c r="A515" s="54" t="s">
        <v>814</v>
      </c>
      <c r="B515" s="54" t="s">
        <v>815</v>
      </c>
      <c r="C515" s="31">
        <v>4301031409</v>
      </c>
      <c r="D515" s="671">
        <v>4680115886438</v>
      </c>
      <c r="E515" s="672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1012" t="s">
        <v>816</v>
      </c>
      <c r="Q515" s="674"/>
      <c r="R515" s="674"/>
      <c r="S515" s="674"/>
      <c r="T515" s="675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4301031351</v>
      </c>
      <c r="D516" s="671">
        <v>4680115882072</v>
      </c>
      <c r="E516" s="672"/>
      <c r="F516" s="666">
        <v>0.6</v>
      </c>
      <c r="G516" s="32">
        <v>6</v>
      </c>
      <c r="H516" s="666">
        <v>3.6</v>
      </c>
      <c r="I516" s="666">
        <v>3.81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72" t="s">
        <v>819</v>
      </c>
      <c r="Q516" s="674"/>
      <c r="R516" s="674"/>
      <c r="S516" s="674"/>
      <c r="T516" s="675"/>
      <c r="U516" s="34"/>
      <c r="V516" s="34"/>
      <c r="W516" s="35" t="s">
        <v>69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customHeight="1" x14ac:dyDescent="0.25">
      <c r="A517" s="54" t="s">
        <v>817</v>
      </c>
      <c r="B517" s="54" t="s">
        <v>820</v>
      </c>
      <c r="C517" s="31">
        <v>4301031383</v>
      </c>
      <c r="D517" s="671">
        <v>4680115882072</v>
      </c>
      <c r="E517" s="672"/>
      <c r="F517" s="666">
        <v>0.6</v>
      </c>
      <c r="G517" s="32">
        <v>8</v>
      </c>
      <c r="H517" s="666">
        <v>4.8</v>
      </c>
      <c r="I517" s="666">
        <v>6.96</v>
      </c>
      <c r="J517" s="32">
        <v>120</v>
      </c>
      <c r="K517" s="32" t="s">
        <v>106</v>
      </c>
      <c r="L517" s="32"/>
      <c r="M517" s="33" t="s">
        <v>102</v>
      </c>
      <c r="N517" s="33"/>
      <c r="O517" s="32">
        <v>60</v>
      </c>
      <c r="P517" s="90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74"/>
      <c r="R517" s="674"/>
      <c r="S517" s="674"/>
      <c r="T517" s="675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IFERROR(IF(Y517=0,"",ROUNDUP(Y517/H517,0)*0.00937),"")</f>
        <v/>
      </c>
      <c r="AA517" s="56"/>
      <c r="AB517" s="57"/>
      <c r="AC517" s="577" t="s">
        <v>821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817</v>
      </c>
      <c r="B518" s="54" t="s">
        <v>822</v>
      </c>
      <c r="C518" s="31">
        <v>4301031419</v>
      </c>
      <c r="D518" s="671">
        <v>4680115882072</v>
      </c>
      <c r="E518" s="672"/>
      <c r="F518" s="666">
        <v>0.6</v>
      </c>
      <c r="G518" s="32">
        <v>8</v>
      </c>
      <c r="H518" s="666">
        <v>4.8</v>
      </c>
      <c r="I518" s="666">
        <v>6.93</v>
      </c>
      <c r="J518" s="32">
        <v>132</v>
      </c>
      <c r="K518" s="32" t="s">
        <v>106</v>
      </c>
      <c r="L518" s="32"/>
      <c r="M518" s="33" t="s">
        <v>102</v>
      </c>
      <c r="N518" s="33"/>
      <c r="O518" s="32">
        <v>70</v>
      </c>
      <c r="P518" s="694" t="s">
        <v>823</v>
      </c>
      <c r="Q518" s="674"/>
      <c r="R518" s="674"/>
      <c r="S518" s="674"/>
      <c r="T518" s="675"/>
      <c r="U518" s="34"/>
      <c r="V518" s="34"/>
      <c r="W518" s="35" t="s">
        <v>69</v>
      </c>
      <c r="X518" s="667">
        <v>0</v>
      </c>
      <c r="Y518" s="668">
        <f t="shared" si="74"/>
        <v>0</v>
      </c>
      <c r="Z518" s="36" t="str">
        <f>IFERROR(IF(Y518=0,"",ROUNDUP(Y518/H518,0)*0.00902),"")</f>
        <v/>
      </c>
      <c r="AA518" s="56"/>
      <c r="AB518" s="57"/>
      <c r="AC518" s="579" t="s">
        <v>805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824</v>
      </c>
      <c r="B519" s="54" t="s">
        <v>825</v>
      </c>
      <c r="C519" s="31">
        <v>4301031418</v>
      </c>
      <c r="D519" s="671">
        <v>4680115882102</v>
      </c>
      <c r="E519" s="672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844" t="s">
        <v>826</v>
      </c>
      <c r="Q519" s="674"/>
      <c r="R519" s="674"/>
      <c r="S519" s="674"/>
      <c r="T519" s="675"/>
      <c r="U519" s="34"/>
      <c r="V519" s="34"/>
      <c r="W519" s="35" t="s">
        <v>69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827</v>
      </c>
      <c r="B520" s="54" t="s">
        <v>828</v>
      </c>
      <c r="C520" s="31">
        <v>4301031384</v>
      </c>
      <c r="D520" s="671">
        <v>4680115882096</v>
      </c>
      <c r="E520" s="672"/>
      <c r="F520" s="666">
        <v>0.6</v>
      </c>
      <c r="G520" s="32">
        <v>8</v>
      </c>
      <c r="H520" s="666">
        <v>4.8</v>
      </c>
      <c r="I520" s="666">
        <v>6.69</v>
      </c>
      <c r="J520" s="32">
        <v>120</v>
      </c>
      <c r="K520" s="32" t="s">
        <v>106</v>
      </c>
      <c r="L520" s="32"/>
      <c r="M520" s="33" t="s">
        <v>68</v>
      </c>
      <c r="N520" s="33"/>
      <c r="O520" s="32">
        <v>60</v>
      </c>
      <c r="P520" s="70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74"/>
      <c r="R520" s="674"/>
      <c r="S520" s="674"/>
      <c r="T520" s="675"/>
      <c r="U520" s="34"/>
      <c r="V520" s="34"/>
      <c r="W520" s="35" t="s">
        <v>69</v>
      </c>
      <c r="X520" s="667">
        <v>0</v>
      </c>
      <c r="Y520" s="668">
        <f t="shared" si="74"/>
        <v>0</v>
      </c>
      <c r="Z520" s="36" t="str">
        <f>IFERROR(IF(Y520=0,"",ROUNDUP(Y520/H520,0)*0.00937),"")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827</v>
      </c>
      <c r="B521" s="54" t="s">
        <v>829</v>
      </c>
      <c r="C521" s="31">
        <v>4301031253</v>
      </c>
      <c r="D521" s="671">
        <v>4680115882096</v>
      </c>
      <c r="E521" s="672"/>
      <c r="F521" s="666">
        <v>0.6</v>
      </c>
      <c r="G521" s="32">
        <v>6</v>
      </c>
      <c r="H521" s="666">
        <v>3.6</v>
      </c>
      <c r="I521" s="666">
        <v>3.81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60</v>
      </c>
      <c r="P521" s="729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1" s="674"/>
      <c r="R521" s="674"/>
      <c r="S521" s="674"/>
      <c r="T521" s="675"/>
      <c r="U521" s="34"/>
      <c r="V521" s="34"/>
      <c r="W521" s="35" t="s">
        <v>69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830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827</v>
      </c>
      <c r="B522" s="54" t="s">
        <v>831</v>
      </c>
      <c r="C522" s="31">
        <v>4301031417</v>
      </c>
      <c r="D522" s="671">
        <v>4680115882096</v>
      </c>
      <c r="E522" s="672"/>
      <c r="F522" s="666">
        <v>0.6</v>
      </c>
      <c r="G522" s="32">
        <v>8</v>
      </c>
      <c r="H522" s="666">
        <v>4.8</v>
      </c>
      <c r="I522" s="666">
        <v>6.69</v>
      </c>
      <c r="J522" s="32">
        <v>132</v>
      </c>
      <c r="K522" s="32" t="s">
        <v>106</v>
      </c>
      <c r="L522" s="32"/>
      <c r="M522" s="33" t="s">
        <v>68</v>
      </c>
      <c r="N522" s="33"/>
      <c r="O522" s="32">
        <v>70</v>
      </c>
      <c r="P522" s="743" t="s">
        <v>832</v>
      </c>
      <c r="Q522" s="674"/>
      <c r="R522" s="674"/>
      <c r="S522" s="674"/>
      <c r="T522" s="675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IFERROR(IF(Y522=0,"",ROUNDUP(Y522/H522,0)*0.00902),"")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78"/>
      <c r="B523" s="679"/>
      <c r="C523" s="679"/>
      <c r="D523" s="679"/>
      <c r="E523" s="679"/>
      <c r="F523" s="679"/>
      <c r="G523" s="679"/>
      <c r="H523" s="679"/>
      <c r="I523" s="679"/>
      <c r="J523" s="679"/>
      <c r="K523" s="679"/>
      <c r="L523" s="679"/>
      <c r="M523" s="679"/>
      <c r="N523" s="679"/>
      <c r="O523" s="680"/>
      <c r="P523" s="688" t="s">
        <v>88</v>
      </c>
      <c r="Q523" s="689"/>
      <c r="R523" s="689"/>
      <c r="S523" s="689"/>
      <c r="T523" s="689"/>
      <c r="U523" s="689"/>
      <c r="V523" s="690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75.757575757575751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78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0.93287999999999993</v>
      </c>
      <c r="AA523" s="670"/>
      <c r="AB523" s="670"/>
      <c r="AC523" s="670"/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8" t="s">
        <v>88</v>
      </c>
      <c r="Q524" s="689"/>
      <c r="R524" s="689"/>
      <c r="S524" s="689"/>
      <c r="T524" s="689"/>
      <c r="U524" s="689"/>
      <c r="V524" s="690"/>
      <c r="W524" s="37" t="s">
        <v>69</v>
      </c>
      <c r="X524" s="669">
        <f>IFERROR(SUM(X512:X522),"0")</f>
        <v>400</v>
      </c>
      <c r="Y524" s="669">
        <f>IFERROR(SUM(Y512:Y522),"0")</f>
        <v>411.84000000000003</v>
      </c>
      <c r="Z524" s="37"/>
      <c r="AA524" s="670"/>
      <c r="AB524" s="670"/>
      <c r="AC524" s="670"/>
    </row>
    <row r="525" spans="1:68" ht="14.25" customHeight="1" x14ac:dyDescent="0.25">
      <c r="A525" s="684" t="s">
        <v>64</v>
      </c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  <c r="AA525" s="663"/>
      <c r="AB525" s="663"/>
      <c r="AC525" s="663"/>
    </row>
    <row r="526" spans="1:68" ht="16.5" customHeight="1" x14ac:dyDescent="0.25">
      <c r="A526" s="54" t="s">
        <v>833</v>
      </c>
      <c r="B526" s="54" t="s">
        <v>834</v>
      </c>
      <c r="C526" s="31">
        <v>4301051232</v>
      </c>
      <c r="D526" s="671">
        <v>4607091383409</v>
      </c>
      <c r="E526" s="672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9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4"/>
      <c r="R526" s="674"/>
      <c r="S526" s="674"/>
      <c r="T526" s="675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836</v>
      </c>
      <c r="B527" s="54" t="s">
        <v>837</v>
      </c>
      <c r="C527" s="31">
        <v>4301051231</v>
      </c>
      <c r="D527" s="671">
        <v>4607091383416</v>
      </c>
      <c r="E527" s="672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7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4"/>
      <c r="R527" s="674"/>
      <c r="S527" s="674"/>
      <c r="T527" s="675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839</v>
      </c>
      <c r="B528" s="54" t="s">
        <v>840</v>
      </c>
      <c r="C528" s="31">
        <v>4301051064</v>
      </c>
      <c r="D528" s="671">
        <v>4680115883536</v>
      </c>
      <c r="E528" s="672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10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4"/>
      <c r="R528" s="674"/>
      <c r="S528" s="674"/>
      <c r="T528" s="675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8" t="s">
        <v>88</v>
      </c>
      <c r="Q529" s="689"/>
      <c r="R529" s="689"/>
      <c r="S529" s="689"/>
      <c r="T529" s="689"/>
      <c r="U529" s="689"/>
      <c r="V529" s="690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8" t="s">
        <v>88</v>
      </c>
      <c r="Q530" s="689"/>
      <c r="R530" s="689"/>
      <c r="S530" s="689"/>
      <c r="T530" s="689"/>
      <c r="U530" s="689"/>
      <c r="V530" s="690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84" t="s">
        <v>175</v>
      </c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  <c r="AA531" s="663"/>
      <c r="AB531" s="663"/>
      <c r="AC531" s="663"/>
    </row>
    <row r="532" spans="1:68" ht="37.5" customHeight="1" x14ac:dyDescent="0.25">
      <c r="A532" s="54" t="s">
        <v>842</v>
      </c>
      <c r="B532" s="54" t="s">
        <v>843</v>
      </c>
      <c r="C532" s="31">
        <v>4301060436</v>
      </c>
      <c r="D532" s="671">
        <v>4680115885936</v>
      </c>
      <c r="E532" s="672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906" t="s">
        <v>844</v>
      </c>
      <c r="Q532" s="674"/>
      <c r="R532" s="674"/>
      <c r="S532" s="674"/>
      <c r="T532" s="675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78"/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80"/>
      <c r="P533" s="688" t="s">
        <v>88</v>
      </c>
      <c r="Q533" s="689"/>
      <c r="R533" s="689"/>
      <c r="S533" s="689"/>
      <c r="T533" s="689"/>
      <c r="U533" s="689"/>
      <c r="V533" s="690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79"/>
      <c r="B534" s="679"/>
      <c r="C534" s="679"/>
      <c r="D534" s="679"/>
      <c r="E534" s="679"/>
      <c r="F534" s="679"/>
      <c r="G534" s="679"/>
      <c r="H534" s="679"/>
      <c r="I534" s="679"/>
      <c r="J534" s="679"/>
      <c r="K534" s="679"/>
      <c r="L534" s="679"/>
      <c r="M534" s="679"/>
      <c r="N534" s="679"/>
      <c r="O534" s="680"/>
      <c r="P534" s="688" t="s">
        <v>88</v>
      </c>
      <c r="Q534" s="689"/>
      <c r="R534" s="689"/>
      <c r="S534" s="689"/>
      <c r="T534" s="689"/>
      <c r="U534" s="689"/>
      <c r="V534" s="690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682" t="s">
        <v>846</v>
      </c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48"/>
      <c r="AB535" s="48"/>
      <c r="AC535" s="48"/>
    </row>
    <row r="536" spans="1:68" ht="16.5" customHeight="1" x14ac:dyDescent="0.25">
      <c r="A536" s="685" t="s">
        <v>846</v>
      </c>
      <c r="B536" s="679"/>
      <c r="C536" s="679"/>
      <c r="D536" s="679"/>
      <c r="E536" s="679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  <c r="AA536" s="662"/>
      <c r="AB536" s="662"/>
      <c r="AC536" s="662"/>
    </row>
    <row r="537" spans="1:68" ht="14.25" customHeight="1" x14ac:dyDescent="0.25">
      <c r="A537" s="684" t="s">
        <v>98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663"/>
      <c r="AB537" s="663"/>
      <c r="AC537" s="663"/>
    </row>
    <row r="538" spans="1:68" ht="27" customHeight="1" x14ac:dyDescent="0.25">
      <c r="A538" s="54" t="s">
        <v>847</v>
      </c>
      <c r="B538" s="54" t="s">
        <v>848</v>
      </c>
      <c r="C538" s="31">
        <v>4301011763</v>
      </c>
      <c r="D538" s="671">
        <v>4640242181011</v>
      </c>
      <c r="E538" s="672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91" t="s">
        <v>849</v>
      </c>
      <c r="Q538" s="674"/>
      <c r="R538" s="674"/>
      <c r="S538" s="674"/>
      <c r="T538" s="675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851</v>
      </c>
      <c r="B539" s="54" t="s">
        <v>852</v>
      </c>
      <c r="C539" s="31">
        <v>4301011585</v>
      </c>
      <c r="D539" s="671">
        <v>4640242180441</v>
      </c>
      <c r="E539" s="672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750" t="s">
        <v>853</v>
      </c>
      <c r="Q539" s="674"/>
      <c r="R539" s="674"/>
      <c r="S539" s="674"/>
      <c r="T539" s="675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855</v>
      </c>
      <c r="B540" s="54" t="s">
        <v>856</v>
      </c>
      <c r="C540" s="31">
        <v>4301011584</v>
      </c>
      <c r="D540" s="671">
        <v>4640242180564</v>
      </c>
      <c r="E540" s="672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97" t="s">
        <v>857</v>
      </c>
      <c r="Q540" s="674"/>
      <c r="R540" s="674"/>
      <c r="S540" s="674"/>
      <c r="T540" s="675"/>
      <c r="U540" s="34"/>
      <c r="V540" s="34"/>
      <c r="W540" s="35" t="s">
        <v>69</v>
      </c>
      <c r="X540" s="667">
        <v>90</v>
      </c>
      <c r="Y540" s="668">
        <f t="shared" si="79"/>
        <v>96</v>
      </c>
      <c r="Z540" s="36">
        <f>IFERROR(IF(Y540=0,"",ROUNDUP(Y540/H540,0)*0.01898),"")</f>
        <v>0.15184</v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93.262500000000003</v>
      </c>
      <c r="BN540" s="64">
        <f t="shared" si="81"/>
        <v>99.48</v>
      </c>
      <c r="BO540" s="64">
        <f t="shared" si="82"/>
        <v>0.1171875</v>
      </c>
      <c r="BP540" s="64">
        <f t="shared" si="83"/>
        <v>0.125</v>
      </c>
    </row>
    <row r="541" spans="1:68" ht="27" customHeight="1" x14ac:dyDescent="0.25">
      <c r="A541" s="54" t="s">
        <v>859</v>
      </c>
      <c r="B541" s="54" t="s">
        <v>860</v>
      </c>
      <c r="C541" s="31">
        <v>4301011762</v>
      </c>
      <c r="D541" s="671">
        <v>4640242180922</v>
      </c>
      <c r="E541" s="672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932" t="s">
        <v>861</v>
      </c>
      <c r="Q541" s="674"/>
      <c r="R541" s="674"/>
      <c r="S541" s="674"/>
      <c r="T541" s="675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863</v>
      </c>
      <c r="B542" s="54" t="s">
        <v>864</v>
      </c>
      <c r="C542" s="31">
        <v>4301011551</v>
      </c>
      <c r="D542" s="671">
        <v>4640242180038</v>
      </c>
      <c r="E542" s="672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762" t="s">
        <v>865</v>
      </c>
      <c r="Q542" s="674"/>
      <c r="R542" s="674"/>
      <c r="S542" s="674"/>
      <c r="T542" s="675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866</v>
      </c>
      <c r="B543" s="54" t="s">
        <v>867</v>
      </c>
      <c r="C543" s="31">
        <v>4301011765</v>
      </c>
      <c r="D543" s="671">
        <v>4640242181172</v>
      </c>
      <c r="E543" s="672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73" t="s">
        <v>868</v>
      </c>
      <c r="Q543" s="674"/>
      <c r="R543" s="674"/>
      <c r="S543" s="674"/>
      <c r="T543" s="675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78"/>
      <c r="B544" s="679"/>
      <c r="C544" s="679"/>
      <c r="D544" s="679"/>
      <c r="E544" s="679"/>
      <c r="F544" s="679"/>
      <c r="G544" s="679"/>
      <c r="H544" s="679"/>
      <c r="I544" s="679"/>
      <c r="J544" s="679"/>
      <c r="K544" s="679"/>
      <c r="L544" s="679"/>
      <c r="M544" s="679"/>
      <c r="N544" s="679"/>
      <c r="O544" s="680"/>
      <c r="P544" s="688" t="s">
        <v>88</v>
      </c>
      <c r="Q544" s="689"/>
      <c r="R544" s="689"/>
      <c r="S544" s="689"/>
      <c r="T544" s="689"/>
      <c r="U544" s="689"/>
      <c r="V544" s="690"/>
      <c r="W544" s="37" t="s">
        <v>89</v>
      </c>
      <c r="X544" s="669">
        <f>IFERROR(X538/H538,"0")+IFERROR(X539/H539,"0")+IFERROR(X540/H540,"0")+IFERROR(X541/H541,"0")+IFERROR(X542/H542,"0")+IFERROR(X543/H543,"0")</f>
        <v>7.5</v>
      </c>
      <c r="Y544" s="669">
        <f>IFERROR(Y538/H538,"0")+IFERROR(Y539/H539,"0")+IFERROR(Y540/H540,"0")+IFERROR(Y541/H541,"0")+IFERROR(Y542/H542,"0")+IFERROR(Y543/H543,"0")</f>
        <v>8</v>
      </c>
      <c r="Z544" s="669">
        <f>IFERROR(IF(Z538="",0,Z538),"0")+IFERROR(IF(Z539="",0,Z539),"0")+IFERROR(IF(Z540="",0,Z540),"0")+IFERROR(IF(Z541="",0,Z541),"0")+IFERROR(IF(Z542="",0,Z542),"0")+IFERROR(IF(Z543="",0,Z543),"0")</f>
        <v>0.15184</v>
      </c>
      <c r="AA544" s="670"/>
      <c r="AB544" s="670"/>
      <c r="AC544" s="670"/>
    </row>
    <row r="545" spans="1:68" x14ac:dyDescent="0.2">
      <c r="A545" s="679"/>
      <c r="B545" s="679"/>
      <c r="C545" s="679"/>
      <c r="D545" s="679"/>
      <c r="E545" s="679"/>
      <c r="F545" s="679"/>
      <c r="G545" s="679"/>
      <c r="H545" s="679"/>
      <c r="I545" s="679"/>
      <c r="J545" s="679"/>
      <c r="K545" s="679"/>
      <c r="L545" s="679"/>
      <c r="M545" s="679"/>
      <c r="N545" s="679"/>
      <c r="O545" s="680"/>
      <c r="P545" s="688" t="s">
        <v>88</v>
      </c>
      <c r="Q545" s="689"/>
      <c r="R545" s="689"/>
      <c r="S545" s="689"/>
      <c r="T545" s="689"/>
      <c r="U545" s="689"/>
      <c r="V545" s="690"/>
      <c r="W545" s="37" t="s">
        <v>69</v>
      </c>
      <c r="X545" s="669">
        <f>IFERROR(SUM(X538:X543),"0")</f>
        <v>90</v>
      </c>
      <c r="Y545" s="669">
        <f>IFERROR(SUM(Y538:Y543),"0")</f>
        <v>96</v>
      </c>
      <c r="Z545" s="37"/>
      <c r="AA545" s="670"/>
      <c r="AB545" s="670"/>
      <c r="AC545" s="670"/>
    </row>
    <row r="546" spans="1:68" ht="14.25" customHeight="1" x14ac:dyDescent="0.25">
      <c r="A546" s="684" t="s">
        <v>138</v>
      </c>
      <c r="B546" s="679"/>
      <c r="C546" s="679"/>
      <c r="D546" s="679"/>
      <c r="E546" s="679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  <c r="AA546" s="663"/>
      <c r="AB546" s="663"/>
      <c r="AC546" s="663"/>
    </row>
    <row r="547" spans="1:68" ht="27" customHeight="1" x14ac:dyDescent="0.25">
      <c r="A547" s="54" t="s">
        <v>869</v>
      </c>
      <c r="B547" s="54" t="s">
        <v>870</v>
      </c>
      <c r="C547" s="31">
        <v>4301020269</v>
      </c>
      <c r="D547" s="671">
        <v>4640242180519</v>
      </c>
      <c r="E547" s="672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101</v>
      </c>
      <c r="L547" s="32"/>
      <c r="M547" s="33" t="s">
        <v>108</v>
      </c>
      <c r="N547" s="33"/>
      <c r="O547" s="32">
        <v>50</v>
      </c>
      <c r="P547" s="975" t="s">
        <v>871</v>
      </c>
      <c r="Q547" s="674"/>
      <c r="R547" s="674"/>
      <c r="S547" s="674"/>
      <c r="T547" s="675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869</v>
      </c>
      <c r="B548" s="54" t="s">
        <v>873</v>
      </c>
      <c r="C548" s="31">
        <v>4301020400</v>
      </c>
      <c r="D548" s="671">
        <v>4640242180519</v>
      </c>
      <c r="E548" s="672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101</v>
      </c>
      <c r="L548" s="32"/>
      <c r="M548" s="33" t="s">
        <v>102</v>
      </c>
      <c r="N548" s="33"/>
      <c r="O548" s="32">
        <v>50</v>
      </c>
      <c r="P548" s="795" t="s">
        <v>874</v>
      </c>
      <c r="Q548" s="674"/>
      <c r="R548" s="674"/>
      <c r="S548" s="674"/>
      <c r="T548" s="675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876</v>
      </c>
      <c r="B549" s="54" t="s">
        <v>877</v>
      </c>
      <c r="C549" s="31">
        <v>4301020260</v>
      </c>
      <c r="D549" s="671">
        <v>4640242180526</v>
      </c>
      <c r="E549" s="672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710" t="s">
        <v>878</v>
      </c>
      <c r="Q549" s="674"/>
      <c r="R549" s="674"/>
      <c r="S549" s="674"/>
      <c r="T549" s="675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872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879</v>
      </c>
      <c r="B550" s="54" t="s">
        <v>880</v>
      </c>
      <c r="C550" s="31">
        <v>4301020309</v>
      </c>
      <c r="D550" s="671">
        <v>4640242180090</v>
      </c>
      <c r="E550" s="672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738" t="s">
        <v>881</v>
      </c>
      <c r="Q550" s="674"/>
      <c r="R550" s="674"/>
      <c r="S550" s="674"/>
      <c r="T550" s="675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883</v>
      </c>
      <c r="B551" s="54" t="s">
        <v>884</v>
      </c>
      <c r="C551" s="31">
        <v>4301020295</v>
      </c>
      <c r="D551" s="671">
        <v>4640242181363</v>
      </c>
      <c r="E551" s="672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957" t="s">
        <v>885</v>
      </c>
      <c r="Q551" s="674"/>
      <c r="R551" s="674"/>
      <c r="S551" s="674"/>
      <c r="T551" s="675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78"/>
      <c r="B552" s="679"/>
      <c r="C552" s="679"/>
      <c r="D552" s="679"/>
      <c r="E552" s="679"/>
      <c r="F552" s="679"/>
      <c r="G552" s="679"/>
      <c r="H552" s="679"/>
      <c r="I552" s="679"/>
      <c r="J552" s="679"/>
      <c r="K552" s="679"/>
      <c r="L552" s="679"/>
      <c r="M552" s="679"/>
      <c r="N552" s="679"/>
      <c r="O552" s="680"/>
      <c r="P552" s="688" t="s">
        <v>88</v>
      </c>
      <c r="Q552" s="689"/>
      <c r="R552" s="689"/>
      <c r="S552" s="689"/>
      <c r="T552" s="689"/>
      <c r="U552" s="689"/>
      <c r="V552" s="690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79"/>
      <c r="B553" s="679"/>
      <c r="C553" s="679"/>
      <c r="D553" s="679"/>
      <c r="E553" s="679"/>
      <c r="F553" s="679"/>
      <c r="G553" s="679"/>
      <c r="H553" s="679"/>
      <c r="I553" s="679"/>
      <c r="J553" s="679"/>
      <c r="K553" s="679"/>
      <c r="L553" s="679"/>
      <c r="M553" s="679"/>
      <c r="N553" s="679"/>
      <c r="O553" s="680"/>
      <c r="P553" s="688" t="s">
        <v>88</v>
      </c>
      <c r="Q553" s="689"/>
      <c r="R553" s="689"/>
      <c r="S553" s="689"/>
      <c r="T553" s="689"/>
      <c r="U553" s="689"/>
      <c r="V553" s="690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84" t="s">
        <v>149</v>
      </c>
      <c r="B554" s="679"/>
      <c r="C554" s="679"/>
      <c r="D554" s="679"/>
      <c r="E554" s="679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  <c r="AA554" s="663"/>
      <c r="AB554" s="663"/>
      <c r="AC554" s="663"/>
    </row>
    <row r="555" spans="1:68" ht="27" customHeight="1" x14ac:dyDescent="0.25">
      <c r="A555" s="54" t="s">
        <v>886</v>
      </c>
      <c r="B555" s="54" t="s">
        <v>887</v>
      </c>
      <c r="C555" s="31">
        <v>4301031280</v>
      </c>
      <c r="D555" s="671">
        <v>4640242180816</v>
      </c>
      <c r="E555" s="672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962" t="s">
        <v>888</v>
      </c>
      <c r="Q555" s="674"/>
      <c r="R555" s="674"/>
      <c r="S555" s="674"/>
      <c r="T555" s="675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890</v>
      </c>
      <c r="B556" s="54" t="s">
        <v>891</v>
      </c>
      <c r="C556" s="31">
        <v>4301031244</v>
      </c>
      <c r="D556" s="671">
        <v>4640242180595</v>
      </c>
      <c r="E556" s="672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785" t="s">
        <v>892</v>
      </c>
      <c r="Q556" s="674"/>
      <c r="R556" s="674"/>
      <c r="S556" s="674"/>
      <c r="T556" s="675"/>
      <c r="U556" s="34"/>
      <c r="V556" s="34"/>
      <c r="W556" s="35" t="s">
        <v>69</v>
      </c>
      <c r="X556" s="667">
        <v>50</v>
      </c>
      <c r="Y556" s="668">
        <f t="shared" si="84"/>
        <v>50.400000000000006</v>
      </c>
      <c r="Z556" s="36">
        <f>IFERROR(IF(Y556=0,"",ROUNDUP(Y556/H556,0)*0.00902),"")</f>
        <v>0.10824</v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53.214285714285715</v>
      </c>
      <c r="BN556" s="64">
        <f t="shared" si="86"/>
        <v>53.64</v>
      </c>
      <c r="BO556" s="64">
        <f t="shared" si="87"/>
        <v>9.0187590187590191E-2</v>
      </c>
      <c r="BP556" s="64">
        <f t="shared" si="88"/>
        <v>9.0909090909090912E-2</v>
      </c>
    </row>
    <row r="557" spans="1:68" ht="27" customHeight="1" x14ac:dyDescent="0.25">
      <c r="A557" s="54" t="s">
        <v>894</v>
      </c>
      <c r="B557" s="54" t="s">
        <v>895</v>
      </c>
      <c r="C557" s="31">
        <v>4301031289</v>
      </c>
      <c r="D557" s="671">
        <v>4640242181615</v>
      </c>
      <c r="E557" s="672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967" t="s">
        <v>896</v>
      </c>
      <c r="Q557" s="674"/>
      <c r="R557" s="674"/>
      <c r="S557" s="674"/>
      <c r="T557" s="675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898</v>
      </c>
      <c r="B558" s="54" t="s">
        <v>899</v>
      </c>
      <c r="C558" s="31">
        <v>4301031285</v>
      </c>
      <c r="D558" s="671">
        <v>4640242181639</v>
      </c>
      <c r="E558" s="672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879" t="s">
        <v>900</v>
      </c>
      <c r="Q558" s="674"/>
      <c r="R558" s="674"/>
      <c r="S558" s="674"/>
      <c r="T558" s="675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902</v>
      </c>
      <c r="B559" s="54" t="s">
        <v>903</v>
      </c>
      <c r="C559" s="31">
        <v>4301031287</v>
      </c>
      <c r="D559" s="671">
        <v>4640242181622</v>
      </c>
      <c r="E559" s="672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907" t="s">
        <v>904</v>
      </c>
      <c r="Q559" s="674"/>
      <c r="R559" s="674"/>
      <c r="S559" s="674"/>
      <c r="T559" s="675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906</v>
      </c>
      <c r="B560" s="54" t="s">
        <v>907</v>
      </c>
      <c r="C560" s="31">
        <v>4301031203</v>
      </c>
      <c r="D560" s="671">
        <v>4640242180908</v>
      </c>
      <c r="E560" s="672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152</v>
      </c>
      <c r="L560" s="32"/>
      <c r="M560" s="33" t="s">
        <v>68</v>
      </c>
      <c r="N560" s="33"/>
      <c r="O560" s="32">
        <v>40</v>
      </c>
      <c r="P560" s="969" t="s">
        <v>908</v>
      </c>
      <c r="Q560" s="674"/>
      <c r="R560" s="674"/>
      <c r="S560" s="674"/>
      <c r="T560" s="675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909</v>
      </c>
      <c r="B561" s="54" t="s">
        <v>910</v>
      </c>
      <c r="C561" s="31">
        <v>4301031200</v>
      </c>
      <c r="D561" s="671">
        <v>4640242180489</v>
      </c>
      <c r="E561" s="672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152</v>
      </c>
      <c r="L561" s="32"/>
      <c r="M561" s="33" t="s">
        <v>68</v>
      </c>
      <c r="N561" s="33"/>
      <c r="O561" s="32">
        <v>40</v>
      </c>
      <c r="P561" s="912" t="s">
        <v>911</v>
      </c>
      <c r="Q561" s="674"/>
      <c r="R561" s="674"/>
      <c r="S561" s="674"/>
      <c r="T561" s="675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78"/>
      <c r="B562" s="679"/>
      <c r="C562" s="679"/>
      <c r="D562" s="679"/>
      <c r="E562" s="679"/>
      <c r="F562" s="679"/>
      <c r="G562" s="679"/>
      <c r="H562" s="679"/>
      <c r="I562" s="679"/>
      <c r="J562" s="679"/>
      <c r="K562" s="679"/>
      <c r="L562" s="679"/>
      <c r="M562" s="679"/>
      <c r="N562" s="679"/>
      <c r="O562" s="680"/>
      <c r="P562" s="688" t="s">
        <v>88</v>
      </c>
      <c r="Q562" s="689"/>
      <c r="R562" s="689"/>
      <c r="S562" s="689"/>
      <c r="T562" s="689"/>
      <c r="U562" s="689"/>
      <c r="V562" s="690"/>
      <c r="W562" s="37" t="s">
        <v>89</v>
      </c>
      <c r="X562" s="669">
        <f>IFERROR(X555/H555,"0")+IFERROR(X556/H556,"0")+IFERROR(X557/H557,"0")+IFERROR(X558/H558,"0")+IFERROR(X559/H559,"0")+IFERROR(X560/H560,"0")+IFERROR(X561/H561,"0")</f>
        <v>11.904761904761905</v>
      </c>
      <c r="Y562" s="669">
        <f>IFERROR(Y555/H555,"0")+IFERROR(Y556/H556,"0")+IFERROR(Y557/H557,"0")+IFERROR(Y558/H558,"0")+IFERROR(Y559/H559,"0")+IFERROR(Y560/H560,"0")+IFERROR(Y561/H561,"0")</f>
        <v>12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0.10824</v>
      </c>
      <c r="AA562" s="670"/>
      <c r="AB562" s="670"/>
      <c r="AC562" s="670"/>
    </row>
    <row r="563" spans="1:68" x14ac:dyDescent="0.2">
      <c r="A563" s="679"/>
      <c r="B563" s="679"/>
      <c r="C563" s="679"/>
      <c r="D563" s="679"/>
      <c r="E563" s="679"/>
      <c r="F563" s="679"/>
      <c r="G563" s="679"/>
      <c r="H563" s="679"/>
      <c r="I563" s="679"/>
      <c r="J563" s="679"/>
      <c r="K563" s="679"/>
      <c r="L563" s="679"/>
      <c r="M563" s="679"/>
      <c r="N563" s="679"/>
      <c r="O563" s="680"/>
      <c r="P563" s="688" t="s">
        <v>88</v>
      </c>
      <c r="Q563" s="689"/>
      <c r="R563" s="689"/>
      <c r="S563" s="689"/>
      <c r="T563" s="689"/>
      <c r="U563" s="689"/>
      <c r="V563" s="690"/>
      <c r="W563" s="37" t="s">
        <v>69</v>
      </c>
      <c r="X563" s="669">
        <f>IFERROR(SUM(X555:X561),"0")</f>
        <v>50</v>
      </c>
      <c r="Y563" s="669">
        <f>IFERROR(SUM(Y555:Y561),"0")</f>
        <v>50.400000000000006</v>
      </c>
      <c r="Z563" s="37"/>
      <c r="AA563" s="670"/>
      <c r="AB563" s="670"/>
      <c r="AC563" s="670"/>
    </row>
    <row r="564" spans="1:68" ht="14.25" customHeight="1" x14ac:dyDescent="0.25">
      <c r="A564" s="684" t="s">
        <v>64</v>
      </c>
      <c r="B564" s="679"/>
      <c r="C564" s="679"/>
      <c r="D564" s="679"/>
      <c r="E564" s="679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  <c r="AA564" s="663"/>
      <c r="AB564" s="663"/>
      <c r="AC564" s="663"/>
    </row>
    <row r="565" spans="1:68" ht="27" customHeight="1" x14ac:dyDescent="0.25">
      <c r="A565" s="54" t="s">
        <v>912</v>
      </c>
      <c r="B565" s="54" t="s">
        <v>913</v>
      </c>
      <c r="C565" s="31">
        <v>4301051887</v>
      </c>
      <c r="D565" s="671">
        <v>4640242180533</v>
      </c>
      <c r="E565" s="672"/>
      <c r="F565" s="666">
        <v>1.3</v>
      </c>
      <c r="G565" s="32">
        <v>6</v>
      </c>
      <c r="H565" s="666">
        <v>7.8</v>
      </c>
      <c r="I565" s="666">
        <v>8.3190000000000008</v>
      </c>
      <c r="J565" s="32">
        <v>64</v>
      </c>
      <c r="K565" s="32" t="s">
        <v>101</v>
      </c>
      <c r="L565" s="32"/>
      <c r="M565" s="33" t="s">
        <v>108</v>
      </c>
      <c r="N565" s="33"/>
      <c r="O565" s="32">
        <v>45</v>
      </c>
      <c r="P565" s="744" t="s">
        <v>914</v>
      </c>
      <c r="Q565" s="674"/>
      <c r="R565" s="674"/>
      <c r="S565" s="674"/>
      <c r="T565" s="675"/>
      <c r="U565" s="34"/>
      <c r="V565" s="34"/>
      <c r="W565" s="35" t="s">
        <v>69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customHeight="1" x14ac:dyDescent="0.25">
      <c r="A566" s="54" t="s">
        <v>912</v>
      </c>
      <c r="B566" s="54" t="s">
        <v>916</v>
      </c>
      <c r="C566" s="31">
        <v>4301052046</v>
      </c>
      <c r="D566" s="671">
        <v>4640242180533</v>
      </c>
      <c r="E566" s="672"/>
      <c r="F566" s="666">
        <v>1.5</v>
      </c>
      <c r="G566" s="32">
        <v>6</v>
      </c>
      <c r="H566" s="666">
        <v>9</v>
      </c>
      <c r="I566" s="666">
        <v>9.5190000000000001</v>
      </c>
      <c r="J566" s="32">
        <v>64</v>
      </c>
      <c r="K566" s="32" t="s">
        <v>101</v>
      </c>
      <c r="L566" s="32"/>
      <c r="M566" s="33" t="s">
        <v>134</v>
      </c>
      <c r="N566" s="33"/>
      <c r="O566" s="32">
        <v>45</v>
      </c>
      <c r="P566" s="903" t="s">
        <v>914</v>
      </c>
      <c r="Q566" s="674"/>
      <c r="R566" s="674"/>
      <c r="S566" s="674"/>
      <c r="T566" s="675"/>
      <c r="U566" s="34"/>
      <c r="V566" s="34"/>
      <c r="W566" s="35" t="s">
        <v>69</v>
      </c>
      <c r="X566" s="667">
        <v>40</v>
      </c>
      <c r="Y566" s="668">
        <f>IFERROR(IF(X566="",0,CEILING((X566/$H566),1)*$H566),"")</f>
        <v>45</v>
      </c>
      <c r="Z566" s="36">
        <f>IFERROR(IF(Y566=0,"",ROUNDUP(Y566/H566,0)*0.01898),"")</f>
        <v>9.4899999999999998E-2</v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42.306666666666665</v>
      </c>
      <c r="BN566" s="64">
        <f>IFERROR(Y566*I566/H566,"0")</f>
        <v>47.594999999999999</v>
      </c>
      <c r="BO566" s="64">
        <f>IFERROR(1/J566*(X566/H566),"0")</f>
        <v>6.9444444444444448E-2</v>
      </c>
      <c r="BP566" s="64">
        <f>IFERROR(1/J566*(Y566/H566),"0")</f>
        <v>7.8125E-2</v>
      </c>
    </row>
    <row r="567" spans="1:68" ht="27" customHeight="1" x14ac:dyDescent="0.25">
      <c r="A567" s="54" t="s">
        <v>917</v>
      </c>
      <c r="B567" s="54" t="s">
        <v>918</v>
      </c>
      <c r="C567" s="31">
        <v>4301051933</v>
      </c>
      <c r="D567" s="671">
        <v>4640242180540</v>
      </c>
      <c r="E567" s="672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945" t="s">
        <v>919</v>
      </c>
      <c r="Q567" s="674"/>
      <c r="R567" s="674"/>
      <c r="S567" s="674"/>
      <c r="T567" s="675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921</v>
      </c>
      <c r="B568" s="54" t="s">
        <v>922</v>
      </c>
      <c r="C568" s="31">
        <v>4301051920</v>
      </c>
      <c r="D568" s="671">
        <v>4640242181233</v>
      </c>
      <c r="E568" s="672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134</v>
      </c>
      <c r="N568" s="33"/>
      <c r="O568" s="32">
        <v>45</v>
      </c>
      <c r="P568" s="1021" t="s">
        <v>923</v>
      </c>
      <c r="Q568" s="674"/>
      <c r="R568" s="674"/>
      <c r="S568" s="674"/>
      <c r="T568" s="675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924</v>
      </c>
      <c r="B569" s="54" t="s">
        <v>925</v>
      </c>
      <c r="C569" s="31">
        <v>4301051921</v>
      </c>
      <c r="D569" s="671">
        <v>4640242181226</v>
      </c>
      <c r="E569" s="672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134</v>
      </c>
      <c r="N569" s="33"/>
      <c r="O569" s="32">
        <v>45</v>
      </c>
      <c r="P569" s="950" t="s">
        <v>926</v>
      </c>
      <c r="Q569" s="674"/>
      <c r="R569" s="674"/>
      <c r="S569" s="674"/>
      <c r="T569" s="675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78"/>
      <c r="B570" s="679"/>
      <c r="C570" s="679"/>
      <c r="D570" s="679"/>
      <c r="E570" s="679"/>
      <c r="F570" s="679"/>
      <c r="G570" s="679"/>
      <c r="H570" s="679"/>
      <c r="I570" s="679"/>
      <c r="J570" s="679"/>
      <c r="K570" s="679"/>
      <c r="L570" s="679"/>
      <c r="M570" s="679"/>
      <c r="N570" s="679"/>
      <c r="O570" s="680"/>
      <c r="P570" s="688" t="s">
        <v>88</v>
      </c>
      <c r="Q570" s="689"/>
      <c r="R570" s="689"/>
      <c r="S570" s="689"/>
      <c r="T570" s="689"/>
      <c r="U570" s="689"/>
      <c r="V570" s="690"/>
      <c r="W570" s="37" t="s">
        <v>89</v>
      </c>
      <c r="X570" s="669">
        <f>IFERROR(X565/H565,"0")+IFERROR(X566/H566,"0")+IFERROR(X567/H567,"0")+IFERROR(X568/H568,"0")+IFERROR(X569/H569,"0")</f>
        <v>4.4444444444444446</v>
      </c>
      <c r="Y570" s="669">
        <f>IFERROR(Y565/H565,"0")+IFERROR(Y566/H566,"0")+IFERROR(Y567/H567,"0")+IFERROR(Y568/H568,"0")+IFERROR(Y569/H569,"0")</f>
        <v>5</v>
      </c>
      <c r="Z570" s="669">
        <f>IFERROR(IF(Z565="",0,Z565),"0")+IFERROR(IF(Z566="",0,Z566),"0")+IFERROR(IF(Z567="",0,Z567),"0")+IFERROR(IF(Z568="",0,Z568),"0")+IFERROR(IF(Z569="",0,Z569),"0")</f>
        <v>9.4899999999999998E-2</v>
      </c>
      <c r="AA570" s="670"/>
      <c r="AB570" s="670"/>
      <c r="AC570" s="670"/>
    </row>
    <row r="571" spans="1:68" x14ac:dyDescent="0.2">
      <c r="A571" s="679"/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  <c r="M571" s="679"/>
      <c r="N571" s="679"/>
      <c r="O571" s="680"/>
      <c r="P571" s="688" t="s">
        <v>88</v>
      </c>
      <c r="Q571" s="689"/>
      <c r="R571" s="689"/>
      <c r="S571" s="689"/>
      <c r="T571" s="689"/>
      <c r="U571" s="689"/>
      <c r="V571" s="690"/>
      <c r="W571" s="37" t="s">
        <v>69</v>
      </c>
      <c r="X571" s="669">
        <f>IFERROR(SUM(X565:X569),"0")</f>
        <v>40</v>
      </c>
      <c r="Y571" s="669">
        <f>IFERROR(SUM(Y565:Y569),"0")</f>
        <v>45</v>
      </c>
      <c r="Z571" s="37"/>
      <c r="AA571" s="670"/>
      <c r="AB571" s="670"/>
      <c r="AC571" s="670"/>
    </row>
    <row r="572" spans="1:68" ht="14.25" customHeight="1" x14ac:dyDescent="0.25">
      <c r="A572" s="684" t="s">
        <v>175</v>
      </c>
      <c r="B572" s="679"/>
      <c r="C572" s="679"/>
      <c r="D572" s="679"/>
      <c r="E572" s="679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  <c r="AA572" s="663"/>
      <c r="AB572" s="663"/>
      <c r="AC572" s="663"/>
    </row>
    <row r="573" spans="1:68" ht="27" customHeight="1" x14ac:dyDescent="0.25">
      <c r="A573" s="54" t="s">
        <v>927</v>
      </c>
      <c r="B573" s="54" t="s">
        <v>928</v>
      </c>
      <c r="C573" s="31">
        <v>4301060485</v>
      </c>
      <c r="D573" s="671">
        <v>4640242180120</v>
      </c>
      <c r="E573" s="672"/>
      <c r="F573" s="666">
        <v>1.3</v>
      </c>
      <c r="G573" s="32">
        <v>6</v>
      </c>
      <c r="H573" s="666">
        <v>7.8</v>
      </c>
      <c r="I573" s="666">
        <v>8.2349999999999994</v>
      </c>
      <c r="J573" s="32">
        <v>64</v>
      </c>
      <c r="K573" s="32" t="s">
        <v>101</v>
      </c>
      <c r="L573" s="32"/>
      <c r="M573" s="33" t="s">
        <v>108</v>
      </c>
      <c r="N573" s="33"/>
      <c r="O573" s="32">
        <v>40</v>
      </c>
      <c r="P573" s="767" t="s">
        <v>929</v>
      </c>
      <c r="Q573" s="674"/>
      <c r="R573" s="674"/>
      <c r="S573" s="674"/>
      <c r="T573" s="675"/>
      <c r="U573" s="34"/>
      <c r="V573" s="34"/>
      <c r="W573" s="35" t="s">
        <v>69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927</v>
      </c>
      <c r="B574" s="54" t="s">
        <v>931</v>
      </c>
      <c r="C574" s="31">
        <v>4301060496</v>
      </c>
      <c r="D574" s="671">
        <v>4640242180120</v>
      </c>
      <c r="E574" s="672"/>
      <c r="F574" s="666">
        <v>1.5</v>
      </c>
      <c r="G574" s="32">
        <v>6</v>
      </c>
      <c r="H574" s="666">
        <v>9</v>
      </c>
      <c r="I574" s="666">
        <v>9.4350000000000005</v>
      </c>
      <c r="J574" s="32">
        <v>64</v>
      </c>
      <c r="K574" s="32" t="s">
        <v>101</v>
      </c>
      <c r="L574" s="32"/>
      <c r="M574" s="33" t="s">
        <v>134</v>
      </c>
      <c r="N574" s="33"/>
      <c r="O574" s="32">
        <v>40</v>
      </c>
      <c r="P574" s="808" t="s">
        <v>932</v>
      </c>
      <c r="Q574" s="674"/>
      <c r="R574" s="674"/>
      <c r="S574" s="674"/>
      <c r="T574" s="675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933</v>
      </c>
      <c r="B575" s="54" t="s">
        <v>934</v>
      </c>
      <c r="C575" s="31">
        <v>4301060486</v>
      </c>
      <c r="D575" s="671">
        <v>4640242180137</v>
      </c>
      <c r="E575" s="672"/>
      <c r="F575" s="666">
        <v>1.3</v>
      </c>
      <c r="G575" s="32">
        <v>6</v>
      </c>
      <c r="H575" s="666">
        <v>7.8</v>
      </c>
      <c r="I575" s="666">
        <v>8.2349999999999994</v>
      </c>
      <c r="J575" s="32">
        <v>64</v>
      </c>
      <c r="K575" s="32" t="s">
        <v>101</v>
      </c>
      <c r="L575" s="32"/>
      <c r="M575" s="33" t="s">
        <v>108</v>
      </c>
      <c r="N575" s="33"/>
      <c r="O575" s="32">
        <v>40</v>
      </c>
      <c r="P575" s="973" t="s">
        <v>935</v>
      </c>
      <c r="Q575" s="674"/>
      <c r="R575" s="674"/>
      <c r="S575" s="674"/>
      <c r="T575" s="675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933</v>
      </c>
      <c r="B576" s="54" t="s">
        <v>937</v>
      </c>
      <c r="C576" s="31">
        <v>4301060498</v>
      </c>
      <c r="D576" s="671">
        <v>4640242180137</v>
      </c>
      <c r="E576" s="672"/>
      <c r="F576" s="666">
        <v>1.5</v>
      </c>
      <c r="G576" s="32">
        <v>6</v>
      </c>
      <c r="H576" s="666">
        <v>9</v>
      </c>
      <c r="I576" s="666">
        <v>9.4350000000000005</v>
      </c>
      <c r="J576" s="32">
        <v>64</v>
      </c>
      <c r="K576" s="32" t="s">
        <v>101</v>
      </c>
      <c r="L576" s="32"/>
      <c r="M576" s="33" t="s">
        <v>134</v>
      </c>
      <c r="N576" s="33"/>
      <c r="O576" s="32">
        <v>40</v>
      </c>
      <c r="P576" s="981" t="s">
        <v>938</v>
      </c>
      <c r="Q576" s="674"/>
      <c r="R576" s="674"/>
      <c r="S576" s="674"/>
      <c r="T576" s="675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8"/>
      <c r="B577" s="679"/>
      <c r="C577" s="679"/>
      <c r="D577" s="679"/>
      <c r="E577" s="679"/>
      <c r="F577" s="679"/>
      <c r="G577" s="679"/>
      <c r="H577" s="679"/>
      <c r="I577" s="679"/>
      <c r="J577" s="679"/>
      <c r="K577" s="679"/>
      <c r="L577" s="679"/>
      <c r="M577" s="679"/>
      <c r="N577" s="679"/>
      <c r="O577" s="680"/>
      <c r="P577" s="688" t="s">
        <v>88</v>
      </c>
      <c r="Q577" s="689"/>
      <c r="R577" s="689"/>
      <c r="S577" s="689"/>
      <c r="T577" s="689"/>
      <c r="U577" s="689"/>
      <c r="V577" s="690"/>
      <c r="W577" s="37" t="s">
        <v>89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79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8" t="s">
        <v>88</v>
      </c>
      <c r="Q578" s="689"/>
      <c r="R578" s="689"/>
      <c r="S578" s="689"/>
      <c r="T578" s="689"/>
      <c r="U578" s="689"/>
      <c r="V578" s="690"/>
      <c r="W578" s="37" t="s">
        <v>69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685" t="s">
        <v>939</v>
      </c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  <c r="AA579" s="662"/>
      <c r="AB579" s="662"/>
      <c r="AC579" s="662"/>
    </row>
    <row r="580" spans="1:68" ht="14.25" customHeight="1" x14ac:dyDescent="0.25">
      <c r="A580" s="684" t="s">
        <v>98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3"/>
      <c r="AB580" s="663"/>
      <c r="AC580" s="663"/>
    </row>
    <row r="581" spans="1:68" ht="27" customHeight="1" x14ac:dyDescent="0.25">
      <c r="A581" s="54" t="s">
        <v>940</v>
      </c>
      <c r="B581" s="54" t="s">
        <v>941</v>
      </c>
      <c r="C581" s="31">
        <v>4301011951</v>
      </c>
      <c r="D581" s="671">
        <v>4640242180045</v>
      </c>
      <c r="E581" s="672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843" t="s">
        <v>942</v>
      </c>
      <c r="Q581" s="674"/>
      <c r="R581" s="674"/>
      <c r="S581" s="674"/>
      <c r="T581" s="675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8" t="s">
        <v>88</v>
      </c>
      <c r="Q582" s="689"/>
      <c r="R582" s="689"/>
      <c r="S582" s="689"/>
      <c r="T582" s="689"/>
      <c r="U582" s="689"/>
      <c r="V582" s="690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8" t="s">
        <v>88</v>
      </c>
      <c r="Q583" s="689"/>
      <c r="R583" s="689"/>
      <c r="S583" s="689"/>
      <c r="T583" s="689"/>
      <c r="U583" s="689"/>
      <c r="V583" s="690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84" t="s">
        <v>138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3"/>
      <c r="AB584" s="663"/>
      <c r="AC584" s="663"/>
    </row>
    <row r="585" spans="1:68" ht="27" customHeight="1" x14ac:dyDescent="0.25">
      <c r="A585" s="54" t="s">
        <v>944</v>
      </c>
      <c r="B585" s="54" t="s">
        <v>945</v>
      </c>
      <c r="C585" s="31">
        <v>4301020314</v>
      </c>
      <c r="D585" s="671">
        <v>4640242180090</v>
      </c>
      <c r="E585" s="672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792" t="s">
        <v>946</v>
      </c>
      <c r="Q585" s="674"/>
      <c r="R585" s="674"/>
      <c r="S585" s="674"/>
      <c r="T585" s="675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8" t="s">
        <v>88</v>
      </c>
      <c r="Q586" s="689"/>
      <c r="R586" s="689"/>
      <c r="S586" s="689"/>
      <c r="T586" s="689"/>
      <c r="U586" s="689"/>
      <c r="V586" s="690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8" t="s">
        <v>88</v>
      </c>
      <c r="Q587" s="689"/>
      <c r="R587" s="689"/>
      <c r="S587" s="689"/>
      <c r="T587" s="689"/>
      <c r="U587" s="689"/>
      <c r="V587" s="690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84" t="s">
        <v>149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3"/>
      <c r="AB588" s="663"/>
      <c r="AC588" s="663"/>
    </row>
    <row r="589" spans="1:68" ht="27" customHeight="1" x14ac:dyDescent="0.25">
      <c r="A589" s="54" t="s">
        <v>948</v>
      </c>
      <c r="B589" s="54" t="s">
        <v>949</v>
      </c>
      <c r="C589" s="31">
        <v>4301031321</v>
      </c>
      <c r="D589" s="671">
        <v>4640242180076</v>
      </c>
      <c r="E589" s="672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1022" t="s">
        <v>950</v>
      </c>
      <c r="Q589" s="674"/>
      <c r="R589" s="674"/>
      <c r="S589" s="674"/>
      <c r="T589" s="675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8" t="s">
        <v>88</v>
      </c>
      <c r="Q590" s="689"/>
      <c r="R590" s="689"/>
      <c r="S590" s="689"/>
      <c r="T590" s="689"/>
      <c r="U590" s="689"/>
      <c r="V590" s="690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8" t="s">
        <v>88</v>
      </c>
      <c r="Q591" s="689"/>
      <c r="R591" s="689"/>
      <c r="S591" s="689"/>
      <c r="T591" s="689"/>
      <c r="U591" s="689"/>
      <c r="V591" s="690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84" t="s">
        <v>64</v>
      </c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  <c r="AA592" s="663"/>
      <c r="AB592" s="663"/>
      <c r="AC592" s="663"/>
    </row>
    <row r="593" spans="1:68" ht="27" customHeight="1" x14ac:dyDescent="0.25">
      <c r="A593" s="54" t="s">
        <v>952</v>
      </c>
      <c r="B593" s="54" t="s">
        <v>953</v>
      </c>
      <c r="C593" s="31">
        <v>4301051914</v>
      </c>
      <c r="D593" s="671">
        <v>4640242180113</v>
      </c>
      <c r="E593" s="672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134</v>
      </c>
      <c r="N593" s="33"/>
      <c r="O593" s="32">
        <v>45</v>
      </c>
      <c r="P593" s="826" t="s">
        <v>954</v>
      </c>
      <c r="Q593" s="674"/>
      <c r="R593" s="674"/>
      <c r="S593" s="674"/>
      <c r="T593" s="675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78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680"/>
      <c r="P594" s="688" t="s">
        <v>88</v>
      </c>
      <c r="Q594" s="689"/>
      <c r="R594" s="689"/>
      <c r="S594" s="689"/>
      <c r="T594" s="689"/>
      <c r="U594" s="689"/>
      <c r="V594" s="690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680"/>
      <c r="P595" s="688" t="s">
        <v>88</v>
      </c>
      <c r="Q595" s="689"/>
      <c r="R595" s="689"/>
      <c r="S595" s="689"/>
      <c r="T595" s="689"/>
      <c r="U595" s="689"/>
      <c r="V595" s="690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7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854"/>
      <c r="P596" s="831" t="s">
        <v>956</v>
      </c>
      <c r="Q596" s="805"/>
      <c r="R596" s="805"/>
      <c r="S596" s="805"/>
      <c r="T596" s="805"/>
      <c r="U596" s="805"/>
      <c r="V596" s="806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4915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5018.82</v>
      </c>
      <c r="Z596" s="37"/>
      <c r="AA596" s="670"/>
      <c r="AB596" s="670"/>
      <c r="AC596" s="670"/>
    </row>
    <row r="597" spans="1:68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854"/>
      <c r="P597" s="831" t="s">
        <v>957</v>
      </c>
      <c r="Q597" s="805"/>
      <c r="R597" s="805"/>
      <c r="S597" s="805"/>
      <c r="T597" s="805"/>
      <c r="U597" s="805"/>
      <c r="V597" s="806"/>
      <c r="W597" s="37" t="s">
        <v>69</v>
      </c>
      <c r="X597" s="669">
        <f>IFERROR(SUM(BM22:BM593),"0")</f>
        <v>5165.8416062641054</v>
      </c>
      <c r="Y597" s="669">
        <f>IFERROR(SUM(BN22:BN593),"0")</f>
        <v>5274.6510000000007</v>
      </c>
      <c r="Z597" s="37"/>
      <c r="AA597" s="670"/>
      <c r="AB597" s="670"/>
      <c r="AC597" s="670"/>
    </row>
    <row r="598" spans="1:68" x14ac:dyDescent="0.2">
      <c r="A598" s="679"/>
      <c r="B598" s="679"/>
      <c r="C598" s="679"/>
      <c r="D598" s="679"/>
      <c r="E598" s="679"/>
      <c r="F598" s="679"/>
      <c r="G598" s="679"/>
      <c r="H598" s="679"/>
      <c r="I598" s="679"/>
      <c r="J598" s="679"/>
      <c r="K598" s="679"/>
      <c r="L598" s="679"/>
      <c r="M598" s="679"/>
      <c r="N598" s="679"/>
      <c r="O598" s="854"/>
      <c r="P598" s="831" t="s">
        <v>958</v>
      </c>
      <c r="Q598" s="805"/>
      <c r="R598" s="805"/>
      <c r="S598" s="805"/>
      <c r="T598" s="805"/>
      <c r="U598" s="805"/>
      <c r="V598" s="806"/>
      <c r="W598" s="37" t="s">
        <v>959</v>
      </c>
      <c r="X598" s="38">
        <f>ROUNDUP(SUM(BO22:BO593),0)</f>
        <v>9</v>
      </c>
      <c r="Y598" s="38">
        <f>ROUNDUP(SUM(BP22:BP593),0)</f>
        <v>9</v>
      </c>
      <c r="Z598" s="37"/>
      <c r="AA598" s="670"/>
      <c r="AB598" s="670"/>
      <c r="AC598" s="670"/>
    </row>
    <row r="599" spans="1:68" x14ac:dyDescent="0.2">
      <c r="A599" s="679"/>
      <c r="B599" s="679"/>
      <c r="C599" s="679"/>
      <c r="D599" s="679"/>
      <c r="E599" s="679"/>
      <c r="F599" s="679"/>
      <c r="G599" s="679"/>
      <c r="H599" s="679"/>
      <c r="I599" s="679"/>
      <c r="J599" s="679"/>
      <c r="K599" s="679"/>
      <c r="L599" s="679"/>
      <c r="M599" s="679"/>
      <c r="N599" s="679"/>
      <c r="O599" s="854"/>
      <c r="P599" s="831" t="s">
        <v>960</v>
      </c>
      <c r="Q599" s="805"/>
      <c r="R599" s="805"/>
      <c r="S599" s="805"/>
      <c r="T599" s="805"/>
      <c r="U599" s="805"/>
      <c r="V599" s="806"/>
      <c r="W599" s="37" t="s">
        <v>69</v>
      </c>
      <c r="X599" s="669">
        <f>GrossWeightTotal+PalletQtyTotal*25</f>
        <v>5390.8416062641054</v>
      </c>
      <c r="Y599" s="669">
        <f>GrossWeightTotalR+PalletQtyTotalR*25</f>
        <v>5499.6510000000007</v>
      </c>
      <c r="Z599" s="37"/>
      <c r="AA599" s="670"/>
      <c r="AB599" s="670"/>
      <c r="AC599" s="670"/>
    </row>
    <row r="600" spans="1:68" x14ac:dyDescent="0.2">
      <c r="A600" s="679"/>
      <c r="B600" s="679"/>
      <c r="C600" s="679"/>
      <c r="D600" s="679"/>
      <c r="E600" s="679"/>
      <c r="F600" s="679"/>
      <c r="G600" s="679"/>
      <c r="H600" s="679"/>
      <c r="I600" s="679"/>
      <c r="J600" s="679"/>
      <c r="K600" s="679"/>
      <c r="L600" s="679"/>
      <c r="M600" s="679"/>
      <c r="N600" s="679"/>
      <c r="O600" s="854"/>
      <c r="P600" s="831" t="s">
        <v>961</v>
      </c>
      <c r="Q600" s="805"/>
      <c r="R600" s="805"/>
      <c r="S600" s="805"/>
      <c r="T600" s="805"/>
      <c r="U600" s="805"/>
      <c r="V600" s="806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588.30462747129411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601</v>
      </c>
      <c r="Z600" s="37"/>
      <c r="AA600" s="670"/>
      <c r="AB600" s="670"/>
      <c r="AC600" s="670"/>
    </row>
    <row r="601" spans="1:68" ht="14.25" customHeight="1" x14ac:dyDescent="0.2">
      <c r="A601" s="679"/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  <c r="M601" s="679"/>
      <c r="N601" s="679"/>
      <c r="O601" s="854"/>
      <c r="P601" s="831" t="s">
        <v>962</v>
      </c>
      <c r="Q601" s="805"/>
      <c r="R601" s="805"/>
      <c r="S601" s="805"/>
      <c r="T601" s="805"/>
      <c r="U601" s="805"/>
      <c r="V601" s="806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9.7933200000000014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64" t="s">
        <v>63</v>
      </c>
      <c r="C603" s="698" t="s">
        <v>96</v>
      </c>
      <c r="D603" s="758"/>
      <c r="E603" s="758"/>
      <c r="F603" s="758"/>
      <c r="G603" s="758"/>
      <c r="H603" s="759"/>
      <c r="I603" s="698" t="s">
        <v>284</v>
      </c>
      <c r="J603" s="758"/>
      <c r="K603" s="758"/>
      <c r="L603" s="758"/>
      <c r="M603" s="758"/>
      <c r="N603" s="758"/>
      <c r="O603" s="758"/>
      <c r="P603" s="758"/>
      <c r="Q603" s="758"/>
      <c r="R603" s="758"/>
      <c r="S603" s="758"/>
      <c r="T603" s="758"/>
      <c r="U603" s="758"/>
      <c r="V603" s="759"/>
      <c r="W603" s="698" t="s">
        <v>602</v>
      </c>
      <c r="X603" s="759"/>
      <c r="Y603" s="698" t="s">
        <v>674</v>
      </c>
      <c r="Z603" s="758"/>
      <c r="AA603" s="758"/>
      <c r="AB603" s="759"/>
      <c r="AC603" s="664" t="s">
        <v>749</v>
      </c>
      <c r="AD603" s="698" t="s">
        <v>846</v>
      </c>
      <c r="AE603" s="759"/>
      <c r="AF603" s="665"/>
    </row>
    <row r="604" spans="1:68" ht="14.25" customHeight="1" thickTop="1" x14ac:dyDescent="0.2">
      <c r="A604" s="943" t="s">
        <v>965</v>
      </c>
      <c r="B604" s="698" t="s">
        <v>63</v>
      </c>
      <c r="C604" s="698" t="s">
        <v>97</v>
      </c>
      <c r="D604" s="698" t="s">
        <v>118</v>
      </c>
      <c r="E604" s="698" t="s">
        <v>183</v>
      </c>
      <c r="F604" s="698" t="s">
        <v>214</v>
      </c>
      <c r="G604" s="698" t="s">
        <v>257</v>
      </c>
      <c r="H604" s="698" t="s">
        <v>96</v>
      </c>
      <c r="I604" s="698" t="s">
        <v>285</v>
      </c>
      <c r="J604" s="698" t="s">
        <v>331</v>
      </c>
      <c r="K604" s="698" t="s">
        <v>392</v>
      </c>
      <c r="L604" s="698" t="s">
        <v>439</v>
      </c>
      <c r="M604" s="698" t="s">
        <v>457</v>
      </c>
      <c r="N604" s="665"/>
      <c r="O604" s="698" t="s">
        <v>461</v>
      </c>
      <c r="P604" s="698" t="s">
        <v>474</v>
      </c>
      <c r="Q604" s="698" t="s">
        <v>488</v>
      </c>
      <c r="R604" s="698" t="s">
        <v>498</v>
      </c>
      <c r="S604" s="698" t="s">
        <v>502</v>
      </c>
      <c r="T604" s="698" t="s">
        <v>510</v>
      </c>
      <c r="U604" s="698" t="s">
        <v>515</v>
      </c>
      <c r="V604" s="698" t="s">
        <v>589</v>
      </c>
      <c r="W604" s="698" t="s">
        <v>603</v>
      </c>
      <c r="X604" s="698" t="s">
        <v>644</v>
      </c>
      <c r="Y604" s="698" t="s">
        <v>675</v>
      </c>
      <c r="Z604" s="698" t="s">
        <v>714</v>
      </c>
      <c r="AA604" s="698" t="s">
        <v>734</v>
      </c>
      <c r="AB604" s="698" t="s">
        <v>742</v>
      </c>
      <c r="AC604" s="698" t="s">
        <v>749</v>
      </c>
      <c r="AD604" s="698" t="s">
        <v>846</v>
      </c>
      <c r="AE604" s="698" t="s">
        <v>939</v>
      </c>
      <c r="AF604" s="665"/>
    </row>
    <row r="605" spans="1:68" ht="13.5" customHeight="1" thickBot="1" x14ac:dyDescent="0.25">
      <c r="A605" s="944"/>
      <c r="B605" s="699"/>
      <c r="C605" s="699"/>
      <c r="D605" s="699"/>
      <c r="E605" s="699"/>
      <c r="F605" s="699"/>
      <c r="G605" s="699"/>
      <c r="H605" s="699"/>
      <c r="I605" s="699"/>
      <c r="J605" s="699"/>
      <c r="K605" s="699"/>
      <c r="L605" s="699"/>
      <c r="M605" s="699"/>
      <c r="N605" s="665"/>
      <c r="O605" s="699"/>
      <c r="P605" s="699"/>
      <c r="Q605" s="699"/>
      <c r="R605" s="699"/>
      <c r="S605" s="699"/>
      <c r="T605" s="699"/>
      <c r="U605" s="699"/>
      <c r="V605" s="699"/>
      <c r="W605" s="699"/>
      <c r="X605" s="699"/>
      <c r="Y605" s="699"/>
      <c r="Z605" s="699"/>
      <c r="AA605" s="699"/>
      <c r="AB605" s="699"/>
      <c r="AC605" s="699"/>
      <c r="AD605" s="699"/>
      <c r="AE605" s="699"/>
      <c r="AF605" s="665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97.2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259.20000000000005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82.800000000000011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50.400000000000006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1548</v>
      </c>
      <c r="V606" s="46">
        <f>IFERROR(Y371*1,"0")+IFERROR(Y375*1,"0")+IFERROR(Y376*1,"0")+IFERROR(Y377*1,"0")</f>
        <v>105.3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1680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43.2</v>
      </c>
      <c r="Z606" s="46">
        <f>IFERROR(Y457*1,"0")+IFERROR(Y458*1,"0")+IFERROR(Y462*1,"0")+IFERROR(Y463*1,"0")+IFERROR(Y464*1,"0")+IFERROR(Y465*1,"0")</f>
        <v>16.200000000000003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945.11999999999989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191.4</v>
      </c>
      <c r="AE606" s="46">
        <f>IFERROR(Y581*1,"0")+IFERROR(Y585*1,"0")+IFERROR(Y589*1,"0")+IFERROR(Y593*1,"0")</f>
        <v>0</v>
      </c>
      <c r="AF606" s="665"/>
    </row>
  </sheetData>
  <sheetProtection algorithmName="SHA-512" hashValue="MXaN2FDuUpQuTbQmgG6UNTo+NJSkPAEZlDAd9e6lQmsvtWqwW8poIr4hMyqdHYEwMFlRL2USy1sZci0tr/WSaQ==" saltValue="4zzE1+zeEVX9ZSN/5pB02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D49:E49"/>
    <mergeCell ref="P199:T199"/>
    <mergeCell ref="D120:E120"/>
    <mergeCell ref="A315:Z315"/>
    <mergeCell ref="P497:T497"/>
    <mergeCell ref="P290:V290"/>
    <mergeCell ref="P568:T568"/>
    <mergeCell ref="D278:E278"/>
    <mergeCell ref="D549:E549"/>
    <mergeCell ref="D107:E107"/>
    <mergeCell ref="D576:E576"/>
    <mergeCell ref="P589:T589"/>
    <mergeCell ref="A552:O55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A592:Z592"/>
    <mergeCell ref="D457:E457"/>
    <mergeCell ref="P68:V68"/>
    <mergeCell ref="A64:Z64"/>
    <mergeCell ref="P432:V432"/>
    <mergeCell ref="P439:T439"/>
    <mergeCell ref="D249:E249"/>
    <mergeCell ref="P262:T262"/>
    <mergeCell ref="D547:E547"/>
    <mergeCell ref="P524:V524"/>
    <mergeCell ref="A83:O84"/>
    <mergeCell ref="D589:E589"/>
    <mergeCell ref="D560:E560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F604:F605"/>
    <mergeCell ref="P463:T463"/>
    <mergeCell ref="D384:E384"/>
    <mergeCell ref="D151:E151"/>
    <mergeCell ref="P157:T157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H17:H18"/>
    <mergeCell ref="P532:T532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13:M13"/>
    <mergeCell ref="A325:Z325"/>
    <mergeCell ref="R604:R605"/>
    <mergeCell ref="D61:E61"/>
    <mergeCell ref="P115:T115"/>
    <mergeCell ref="D254:E254"/>
    <mergeCell ref="A15:M15"/>
    <mergeCell ref="P238:T238"/>
    <mergeCell ref="D490:E490"/>
    <mergeCell ref="P600:V600"/>
    <mergeCell ref="D346:E346"/>
    <mergeCell ref="P594:V594"/>
    <mergeCell ref="A133:Z133"/>
    <mergeCell ref="A193:Z193"/>
    <mergeCell ref="D125:E125"/>
    <mergeCell ref="P375:T375"/>
    <mergeCell ref="P204:T204"/>
    <mergeCell ref="P446:T446"/>
    <mergeCell ref="A369:Z369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A586:O587"/>
    <mergeCell ref="P387:T387"/>
    <mergeCell ref="P314:V314"/>
    <mergeCell ref="A381:Z381"/>
    <mergeCell ref="P514:T514"/>
    <mergeCell ref="A582:O583"/>
    <mergeCell ref="P216:T216"/>
    <mergeCell ref="A139:Z139"/>
    <mergeCell ref="P489:T489"/>
    <mergeCell ref="D189:E189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438:T438"/>
    <mergeCell ref="D444:E444"/>
    <mergeCell ref="D419:E419"/>
    <mergeCell ref="P267:T267"/>
    <mergeCell ref="D219:E219"/>
    <mergeCell ref="A186:O187"/>
    <mergeCell ref="P425:T425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Q9:R9"/>
    <mergeCell ref="P312:T312"/>
    <mergeCell ref="D451:E451"/>
    <mergeCell ref="D255:E255"/>
    <mergeCell ref="P478:V478"/>
    <mergeCell ref="D24:E24"/>
    <mergeCell ref="D322:E322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7:M7"/>
    <mergeCell ref="D365:E365"/>
    <mergeCell ref="P91:V91"/>
    <mergeCell ref="P236:T236"/>
    <mergeCell ref="A450:Z450"/>
    <mergeCell ref="P521:T521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X604:X605"/>
    <mergeCell ref="A523:O524"/>
    <mergeCell ref="D376:E376"/>
    <mergeCell ref="Z604:Z605"/>
    <mergeCell ref="P249:T249"/>
    <mergeCell ref="P520:T520"/>
    <mergeCell ref="D205:E205"/>
    <mergeCell ref="D357:E357"/>
    <mergeCell ref="P172:T172"/>
    <mergeCell ref="A158:O159"/>
    <mergeCell ref="D71:E71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P518:T518"/>
    <mergeCell ref="A363:Z363"/>
    <mergeCell ref="D499:E499"/>
    <mergeCell ref="D263:E263"/>
    <mergeCell ref="P220:T220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8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329 X384 X386 X389 X396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81E8JRAUlq88niwG/4ZlGzTdwHmUdkuzW7g+Ofxxt/IKruo4A/KvX64PtsK9lGWEt7z53XfRX3IFAMG/ZbS49w==" saltValue="3gDv/IRbb27MttBMFfet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2025-04-29T08:28:52Z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