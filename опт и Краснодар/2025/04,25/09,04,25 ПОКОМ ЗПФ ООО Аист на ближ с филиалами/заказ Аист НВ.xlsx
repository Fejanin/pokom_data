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232B5788-1514-4EBD-B4BC-85FFB9A5CA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Z199" i="1" s="1"/>
  <c r="Y196" i="1"/>
  <c r="BP196" i="1" s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P143" i="1"/>
  <c r="BP142" i="1"/>
  <c r="BO142" i="1"/>
  <c r="BN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P136" i="1"/>
  <c r="Y133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Z128" i="1" s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Y119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Z110" i="1" s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Z99" i="1" s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P88" i="1"/>
  <c r="Y85" i="1"/>
  <c r="X85" i="1"/>
  <c r="Z84" i="1"/>
  <c r="X84" i="1"/>
  <c r="BO83" i="1"/>
  <c r="BM83" i="1"/>
  <c r="Z83" i="1"/>
  <c r="Y83" i="1"/>
  <c r="P83" i="1"/>
  <c r="BP82" i="1"/>
  <c r="BO82" i="1"/>
  <c r="BN82" i="1"/>
  <c r="BM82" i="1"/>
  <c r="Z82" i="1"/>
  <c r="Y82" i="1"/>
  <c r="Y84" i="1" s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Z72" i="1"/>
  <c r="X72" i="1"/>
  <c r="BO71" i="1"/>
  <c r="BM71" i="1"/>
  <c r="Z71" i="1"/>
  <c r="Y71" i="1"/>
  <c r="P71" i="1"/>
  <c r="Y69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Y43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O28" i="1"/>
  <c r="BM28" i="1"/>
  <c r="Z28" i="1"/>
  <c r="Z35" i="1" s="1"/>
  <c r="Y28" i="1"/>
  <c r="Y36" i="1" s="1"/>
  <c r="X24" i="1"/>
  <c r="Z23" i="1"/>
  <c r="X23" i="1"/>
  <c r="BO22" i="1"/>
  <c r="BM22" i="1"/>
  <c r="Z22" i="1"/>
  <c r="Y22" i="1"/>
  <c r="P22" i="1"/>
  <c r="H10" i="1"/>
  <c r="H9" i="1"/>
  <c r="A9" i="1"/>
  <c r="D7" i="1"/>
  <c r="Q6" i="1"/>
  <c r="P2" i="1"/>
  <c r="BN198" i="1" l="1"/>
  <c r="BN196" i="1"/>
  <c r="BN137" i="1"/>
  <c r="X336" i="1"/>
  <c r="X337" i="1"/>
  <c r="X340" i="1"/>
  <c r="BN28" i="1"/>
  <c r="BP28" i="1"/>
  <c r="Y35" i="1"/>
  <c r="Y23" i="1"/>
  <c r="BP22" i="1"/>
  <c r="BN22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72" i="1"/>
  <c r="BP71" i="1"/>
  <c r="BN71" i="1"/>
  <c r="Y90" i="1"/>
  <c r="BP88" i="1"/>
  <c r="BN88" i="1"/>
  <c r="BP89" i="1"/>
  <c r="BN89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F10" i="1"/>
  <c r="J9" i="1"/>
  <c r="F9" i="1"/>
  <c r="A10" i="1"/>
  <c r="X338" i="1"/>
  <c r="Y24" i="1"/>
  <c r="Y42" i="1"/>
  <c r="BP39" i="1"/>
  <c r="BN39" i="1"/>
  <c r="BP40" i="1"/>
  <c r="BN40" i="1"/>
  <c r="BP41" i="1"/>
  <c r="BN41" i="1"/>
  <c r="Z54" i="1"/>
  <c r="Z341" i="1" s="1"/>
  <c r="Y60" i="1"/>
  <c r="Y68" i="1"/>
  <c r="BP67" i="1"/>
  <c r="BN67" i="1"/>
  <c r="Y73" i="1"/>
  <c r="BP83" i="1"/>
  <c r="BN83" i="1"/>
  <c r="Y91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44" i="1"/>
  <c r="Y145" i="1"/>
  <c r="Y151" i="1"/>
  <c r="BP148" i="1"/>
  <c r="BN148" i="1"/>
  <c r="Y150" i="1"/>
  <c r="BP166" i="1"/>
  <c r="BN166" i="1"/>
  <c r="Y173" i="1"/>
  <c r="Y186" i="1"/>
  <c r="BP182" i="1"/>
  <c r="BN182" i="1"/>
  <c r="BP183" i="1"/>
  <c r="BN183" i="1"/>
  <c r="BP185" i="1"/>
  <c r="BN185" i="1"/>
  <c r="Z191" i="1"/>
  <c r="Y200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X339" i="1" l="1"/>
  <c r="Y337" i="1"/>
  <c r="Y340" i="1"/>
  <c r="Y336" i="1"/>
  <c r="Y338" i="1"/>
  <c r="Y339" i="1" l="1"/>
  <c r="A349" i="1" s="1"/>
  <c r="B349" i="1" l="1"/>
  <c r="C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<sst xmlns="http://schemas.openxmlformats.org/spreadsheetml/2006/main" count="1706" uniqueCount="557">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</sst>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0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42</v>
      </c>
      <c r="Y28" s="355">
        <f t="shared" ref="Y28:Y34" si="0">IFERROR(IF(X28="","",X28),"")</f>
        <v>42</v>
      </c>
      <c r="Z28" s="36">
        <f t="shared" ref="Z28:Z34" si="1">IFERROR(IF(X28="","",X28*0.00941),"")</f>
        <v>0.39522000000000002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80.715599999999995</v>
      </c>
      <c r="BN28" s="67">
        <f t="shared" ref="BN28:BN34" si="3">IFERROR(Y28*I28,"0")</f>
        <v>80.715599999999995</v>
      </c>
      <c r="BO28" s="67">
        <f t="shared" ref="BO28:BO34" si="4">IFERROR(X28/J28,"0")</f>
        <v>0.3</v>
      </c>
      <c r="BP28" s="67">
        <f t="shared" ref="BP28:BP34" si="5">IFERROR(Y28/J28,"0")</f>
        <v>0.3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0</v>
      </c>
      <c r="Y54" s="356">
        <f>IFERROR(SUM(Y46:Y53),"0")</f>
        <v>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0</v>
      </c>
      <c r="Y55" s="356">
        <f>IFERROR(SUMPRODUCT(Y46:Y53*H46:H53),"0")</f>
        <v>0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70</v>
      </c>
      <c r="Y88" s="355">
        <f>IFERROR(IF(X88="","",X88),"")</f>
        <v>70</v>
      </c>
      <c r="Z88" s="36">
        <f>IFERROR(IF(X88="","",X88*0.01788),"")</f>
        <v>1.2516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70</v>
      </c>
      <c r="Y90" s="356">
        <f>IFERROR(SUM(Y88:Y89),"0")</f>
        <v>70</v>
      </c>
      <c r="Z90" s="356">
        <f>IFERROR(IF(Z88="",0,Z88),"0")+IFERROR(IF(Z89="",0,Z89),"0")</f>
        <v>1.2516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252</v>
      </c>
      <c r="Y91" s="356">
        <f>IFERROR(SUMPRODUCT(Y88:Y89*H88:H89),"0")</f>
        <v>252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140</v>
      </c>
      <c r="Y99" s="356">
        <f>IFERROR(SUM(Y94:Y98),"0")</f>
        <v>140</v>
      </c>
      <c r="Z99" s="356">
        <f>IFERROR(IF(Z94="",0,Z94),"0")+IFERROR(IF(Z95="",0,Z95),"0")+IFERROR(IF(Z96="",0,Z96),"0")+IFERROR(IF(Z97="",0,Z97),"0")+IFERROR(IF(Z98="",0,Z98),"0")</f>
        <v>2.5032000000000001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504</v>
      </c>
      <c r="Y100" s="356">
        <f>IFERROR(SUMPRODUCT(Y94:Y98*H94:H98),"0")</f>
        <v>504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0</v>
      </c>
      <c r="Y107" s="355">
        <f t="shared" si="12"/>
        <v>0</v>
      </c>
      <c r="Z107" s="36">
        <f t="shared" si="13"/>
        <v>0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0</v>
      </c>
      <c r="BN107" s="67">
        <f t="shared" si="15"/>
        <v>0</v>
      </c>
      <c r="BO107" s="67">
        <f t="shared" si="16"/>
        <v>0</v>
      </c>
      <c r="BP107" s="67">
        <f t="shared" si="17"/>
        <v>0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28</v>
      </c>
      <c r="Y109" s="355">
        <f t="shared" si="12"/>
        <v>28</v>
      </c>
      <c r="Z109" s="36">
        <f t="shared" si="13"/>
        <v>0.50063999999999997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126.81760000000001</v>
      </c>
      <c r="BN109" s="67">
        <f t="shared" si="15"/>
        <v>126.81760000000001</v>
      </c>
      <c r="BO109" s="67">
        <f t="shared" si="16"/>
        <v>0.4</v>
      </c>
      <c r="BP109" s="67">
        <f t="shared" si="17"/>
        <v>0.4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28</v>
      </c>
      <c r="Y110" s="356">
        <f>IFERROR(SUM(Y103:Y109),"0")</f>
        <v>28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0.50063999999999997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117.60000000000001</v>
      </c>
      <c r="Y111" s="356">
        <f>IFERROR(SUMPRODUCT(Y103:Y109*H103:H109),"0")</f>
        <v>117.60000000000001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12</v>
      </c>
      <c r="Y118" s="356">
        <f>IFERROR(SUM(Y114:Y117),"0")</f>
        <v>12</v>
      </c>
      <c r="Z118" s="356">
        <f>IFERROR(IF(Z114="",0,Z114),"0")+IFERROR(IF(Z115="",0,Z115),"0")+IFERROR(IF(Z116="",0,Z116),"0")+IFERROR(IF(Z117="",0,Z117),"0")</f>
        <v>0.186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36.96</v>
      </c>
      <c r="Y119" s="356">
        <f>IFERROR(SUMPRODUCT(Y114:Y117*H114:H117),"0")</f>
        <v>36.96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70</v>
      </c>
      <c r="Y137" s="355">
        <f>IFERROR(IF(X137="","",X137),"")</f>
        <v>70</v>
      </c>
      <c r="Z137" s="36">
        <f>IFERROR(IF(X137="","",X137*0.01788),"")</f>
        <v>1.2516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259.25200000000001</v>
      </c>
      <c r="BN137" s="67">
        <f>IFERROR(Y137*I137,"0")</f>
        <v>259.25200000000001</v>
      </c>
      <c r="BO137" s="67">
        <f>IFERROR(X137/J137,"0")</f>
        <v>1</v>
      </c>
      <c r="BP137" s="67">
        <f>IFERROR(Y137/J137,"0")</f>
        <v>1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140</v>
      </c>
      <c r="Y138" s="356">
        <f>IFERROR(SUM(Y136:Y137),"0")</f>
        <v>140</v>
      </c>
      <c r="Z138" s="356">
        <f>IFERROR(IF(Z136="",0,Z136),"0")+IFERROR(IF(Z137="",0,Z137),"0")</f>
        <v>2.5032000000000001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420</v>
      </c>
      <c r="Y139" s="356">
        <f>IFERROR(SUMPRODUCT(Y136:Y137*H136:H137),"0")</f>
        <v>420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70</v>
      </c>
      <c r="Y144" s="356">
        <f>IFERROR(SUM(Y142:Y143),"0")</f>
        <v>70</v>
      </c>
      <c r="Z144" s="356">
        <f>IFERROR(IF(Z142="",0,Z142),"0")+IFERROR(IF(Z143="",0,Z143),"0")</f>
        <v>1.2516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210</v>
      </c>
      <c r="Y145" s="356">
        <f>IFERROR(SUMPRODUCT(Y142:Y143*H142:H143),"0")</f>
        <v>210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28</v>
      </c>
      <c r="Y154" s="355">
        <f>IFERROR(IF(X154="","",X154),"")</f>
        <v>28</v>
      </c>
      <c r="Z154" s="36">
        <f>IFERROR(IF(X154="","",X154*0.01788),"")</f>
        <v>0.50063999999999997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103.70079999999999</v>
      </c>
      <c r="BN154" s="67">
        <f>IFERROR(Y154*I154,"0")</f>
        <v>103.70079999999999</v>
      </c>
      <c r="BO154" s="67">
        <f>IFERROR(X154/J154,"0")</f>
        <v>0.4</v>
      </c>
      <c r="BP154" s="67">
        <f>IFERROR(Y154/J154,"0")</f>
        <v>0.4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28</v>
      </c>
      <c r="Y156" s="356">
        <f>IFERROR(SUM(Y154:Y155),"0")</f>
        <v>28</v>
      </c>
      <c r="Z156" s="356">
        <f>IFERROR(IF(Z154="",0,Z154),"0")+IFERROR(IF(Z155="",0,Z155),"0")</f>
        <v>0.50063999999999997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84</v>
      </c>
      <c r="Y157" s="356">
        <f>IFERROR(SUMPRODUCT(Y154:Y155*H154:H155),"0")</f>
        <v>84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24</v>
      </c>
      <c r="Y166" s="355">
        <f>IFERROR(IF(X166="","",X166),"")</f>
        <v>24</v>
      </c>
      <c r="Z166" s="36">
        <f>IFERROR(IF(X166="","",X166*0.01157),"")</f>
        <v>0.27768000000000004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50.88</v>
      </c>
      <c r="BN166" s="67">
        <f>IFERROR(Y166*I166,"0")</f>
        <v>50.88</v>
      </c>
      <c r="BO166" s="67">
        <f>IFERROR(X166/J166,"0")</f>
        <v>0.33333333333333331</v>
      </c>
      <c r="BP166" s="67">
        <f>IFERROR(Y166/J166,"0")</f>
        <v>0.33333333333333331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24</v>
      </c>
      <c r="Y167" s="356">
        <f>IFERROR(SUM(Y165:Y166),"0")</f>
        <v>24</v>
      </c>
      <c r="Z167" s="356">
        <f>IFERROR(IF(Z165="",0,Z165),"0")+IFERROR(IF(Z166="",0,Z166),"0")</f>
        <v>0.27768000000000004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38.400000000000006</v>
      </c>
      <c r="Y168" s="356">
        <f>IFERROR(SUMPRODUCT(Y165:Y166*H165:H166),"0")</f>
        <v>38.400000000000006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140</v>
      </c>
      <c r="Y171" s="355">
        <f>IFERROR(IF(X171="","",X171),"")</f>
        <v>140</v>
      </c>
      <c r="Z171" s="36">
        <f>IFERROR(IF(X171="","",X171*0.00941),"")</f>
        <v>1.3173999999999999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294.25200000000001</v>
      </c>
      <c r="BN171" s="67">
        <f>IFERROR(Y171*I171,"0")</f>
        <v>294.25200000000001</v>
      </c>
      <c r="BO171" s="67">
        <f>IFERROR(X171/J171,"0")</f>
        <v>1</v>
      </c>
      <c r="BP171" s="67">
        <f>IFERROR(Y171/J171,"0")</f>
        <v>1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140</v>
      </c>
      <c r="Y172" s="356">
        <f>IFERROR(SUM(Y171:Y171),"0")</f>
        <v>140</v>
      </c>
      <c r="Z172" s="356">
        <f>IFERROR(IF(Z171="",0,Z171),"0")</f>
        <v>1.3173999999999999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235.2</v>
      </c>
      <c r="Y173" s="356">
        <f>IFERROR(SUMPRODUCT(Y171:Y171*H171:H171),"0")</f>
        <v>235.2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70</v>
      </c>
      <c r="Y196" s="355">
        <f>IFERROR(IF(X196="","",X196),"")</f>
        <v>70</v>
      </c>
      <c r="Z196" s="36">
        <f>IFERROR(IF(X196="","",X196*0.01788),"")</f>
        <v>1.2516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237.16</v>
      </c>
      <c r="BN196" s="67">
        <f>IFERROR(Y196*I196,"0")</f>
        <v>237.16</v>
      </c>
      <c r="BO196" s="67">
        <f>IFERROR(X196/J196,"0")</f>
        <v>1</v>
      </c>
      <c r="BP196" s="67">
        <f>IFERROR(Y196/J196,"0")</f>
        <v>1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70</v>
      </c>
      <c r="Y197" s="355">
        <f>IFERROR(IF(X197="","",X197),"")</f>
        <v>70</v>
      </c>
      <c r="Z197" s="36">
        <f>IFERROR(IF(X197="","",X197*0.01788),"")</f>
        <v>1.2516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237.16</v>
      </c>
      <c r="BN197" s="67">
        <f>IFERROR(Y197*I197,"0")</f>
        <v>237.16</v>
      </c>
      <c r="BO197" s="67">
        <f>IFERROR(X197/J197,"0")</f>
        <v>1</v>
      </c>
      <c r="BP197" s="67">
        <f>IFERROR(Y197/J197,"0")</f>
        <v>1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168</v>
      </c>
      <c r="Y199" s="356">
        <f>IFERROR(SUM(Y196:Y198),"0")</f>
        <v>168</v>
      </c>
      <c r="Z199" s="356">
        <f>IFERROR(IF(Z196="",0,Z196),"0")+IFERROR(IF(Z197="",0,Z197),"0")+IFERROR(IF(Z198="",0,Z198),"0")</f>
        <v>3.0038400000000003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504</v>
      </c>
      <c r="Y200" s="356">
        <f>IFERROR(SUMPRODUCT(Y196:Y198*H196:H198),"0")</f>
        <v>504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84</v>
      </c>
      <c r="Y270" s="355">
        <f>IFERROR(IF(X270="","",X270),"")</f>
        <v>84</v>
      </c>
      <c r="Z270" s="36">
        <f>IFERROR(IF(X270="","",X270*0.0155),"")</f>
        <v>1.302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442.00799999999998</v>
      </c>
      <c r="BN270" s="67">
        <f>IFERROR(Y270*I270,"0")</f>
        <v>442.00799999999998</v>
      </c>
      <c r="BO270" s="67">
        <f>IFERROR(X270/J270,"0")</f>
        <v>1</v>
      </c>
      <c r="BP270" s="67">
        <f>IFERROR(Y270/J270,"0")</f>
        <v>1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84</v>
      </c>
      <c r="Y272" s="356">
        <f>IFERROR(SUM(Y270:Y271),"0")</f>
        <v>84</v>
      </c>
      <c r="Z272" s="356">
        <f>IFERROR(IF(Z270="",0,Z270),"0")+IFERROR(IF(Z271="",0,Z271),"0")</f>
        <v>1.302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420</v>
      </c>
      <c r="Y273" s="356">
        <f>IFERROR(SUMPRODUCT(Y270:Y271*H270:H271),"0")</f>
        <v>420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36</v>
      </c>
      <c r="Y298" s="355">
        <f>IFERROR(IF(X298="","",X298),"")</f>
        <v>36</v>
      </c>
      <c r="Z298" s="36">
        <f>IFERROR(IF(X298="","",X298*0.00502),"")</f>
        <v>0.18071999999999999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102.42</v>
      </c>
      <c r="BN298" s="67">
        <f>IFERROR(Y298*I298,"0")</f>
        <v>102.42</v>
      </c>
      <c r="BO298" s="67">
        <f>IFERROR(X298/J298,"0")</f>
        <v>0.15384615384615385</v>
      </c>
      <c r="BP298" s="67">
        <f>IFERROR(Y298/J298,"0")</f>
        <v>0.15384615384615385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36</v>
      </c>
      <c r="Y299" s="356">
        <f>IFERROR(SUM(Y297:Y298),"0")</f>
        <v>36</v>
      </c>
      <c r="Z299" s="356">
        <f>IFERROR(IF(Z297="",0,Z297),"0")+IFERROR(IF(Z298="",0,Z298),"0")</f>
        <v>0.18071999999999999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97.2</v>
      </c>
      <c r="Y300" s="356">
        <f>IFERROR(SUMPRODUCT(Y297:Y298*H297:H298),"0")</f>
        <v>97.2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28</v>
      </c>
      <c r="Y318" s="355">
        <f t="shared" si="30"/>
        <v>28</v>
      </c>
      <c r="Z318" s="36">
        <f t="shared" si="35"/>
        <v>0.26207999999999998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80.64</v>
      </c>
      <c r="BN318" s="67">
        <f t="shared" si="32"/>
        <v>80.64</v>
      </c>
      <c r="BO318" s="67">
        <f t="shared" si="33"/>
        <v>0.22222222222222221</v>
      </c>
      <c r="BP318" s="67">
        <f t="shared" si="34"/>
        <v>0.22222222222222221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28</v>
      </c>
      <c r="Y329" s="356">
        <f>IFERROR(SUM(Y308:Y328),"0")</f>
        <v>28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0.26207999999999998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75.600000000000009</v>
      </c>
      <c r="Y330" s="356">
        <f>IFERROR(SUMPRODUCT(Y308:Y328*H308:H328),"0")</f>
        <v>75.600000000000009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3057.9599999999996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3057.9599999999996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3583.4419999999996</v>
      </c>
      <c r="Y337" s="356">
        <f>IFERROR(SUM(BN22:BN333),"0")</f>
        <v>3583.4419999999996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13</v>
      </c>
      <c r="Y338" s="38">
        <f>ROUNDUP(SUM(BP22:BP333),0)</f>
        <v>13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3908.4419999999996</v>
      </c>
      <c r="Y339" s="356">
        <f>GrossWeightTotalR+PalletQtyTotalR*25</f>
        <v>3908.4419999999996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1010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1010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15.435819999999998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252</v>
      </c>
      <c r="I346" s="46">
        <f>IFERROR(X94*H94,"0")+IFERROR(X95*H95,"0")+IFERROR(X96*H96,"0")+IFERROR(X97*H97,"0")+IFERROR(X98*H98,"0")</f>
        <v>504</v>
      </c>
      <c r="J346" s="46">
        <f>IFERROR(X103*H103,"0")+IFERROR(X104*H104,"0")+IFERROR(X105*H105,"0")+IFERROR(X106*H106,"0")+IFERROR(X107*H107,"0")+IFERROR(X108*H108,"0")+IFERROR(X109*H109,"0")</f>
        <v>117.60000000000001</v>
      </c>
      <c r="K346" s="46">
        <f>IFERROR(X114*H114,"0")+IFERROR(X115*H115,"0")+IFERROR(X116*H116,"0")+IFERROR(X117*H117,"0")</f>
        <v>36.96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420</v>
      </c>
      <c r="N346" s="352"/>
      <c r="O346" s="46">
        <f>IFERROR(X142*H142,"0")+IFERROR(X143*H143,"0")</f>
        <v>210</v>
      </c>
      <c r="P346" s="46">
        <f>IFERROR(X148*H148,"0")+IFERROR(X149*H149,"0")</f>
        <v>0</v>
      </c>
      <c r="Q346" s="46">
        <f>IFERROR(X154*H154,"0")+IFERROR(X155*H155,"0")</f>
        <v>84</v>
      </c>
      <c r="R346" s="46">
        <f>IFERROR(X160*H160,"0")</f>
        <v>0</v>
      </c>
      <c r="S346" s="46">
        <f>IFERROR(X165*H165,"0")+IFERROR(X166*H166,"0")</f>
        <v>38.400000000000006</v>
      </c>
      <c r="T346" s="46">
        <f>IFERROR(X171*H171,"0")</f>
        <v>235.2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504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420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172.8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420</v>
      </c>
      <c r="B349" s="60">
        <f>SUMPRODUCT(--(BB:BB="ПГП"),--(W:W="кор"),H:H,Y:Y)+SUMPRODUCT(--(BB:BB="ПГП"),--(W:W="кг"),Y:Y)</f>
        <v>2637.9599999999996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2025-04-11T09:38:46Z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