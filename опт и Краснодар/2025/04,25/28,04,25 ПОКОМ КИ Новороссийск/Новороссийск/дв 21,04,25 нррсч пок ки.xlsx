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8,04,25 ПОКОМ КИ Новороссийск\"/>
    </mc:Choice>
  </mc:AlternateContent>
  <xr:revisionPtr revIDLastSave="0" documentId="13_ncr:1_{DF130C24-E225-4D8B-B122-6CF2B7A9CD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Sheet!$A$3:$AA$97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9" i="1" l="1"/>
  <c r="E69" i="1"/>
  <c r="E55" i="1"/>
  <c r="E51" i="1"/>
  <c r="F30" i="1"/>
  <c r="E30" i="1"/>
  <c r="F89" i="1"/>
  <c r="E89" i="1"/>
  <c r="F46" i="1"/>
  <c r="E12" i="1"/>
  <c r="P7" i="1" l="1"/>
  <c r="P8" i="1"/>
  <c r="P9" i="1"/>
  <c r="P10" i="1"/>
  <c r="Q10" i="1" s="1"/>
  <c r="P11" i="1"/>
  <c r="Q11" i="1" s="1"/>
  <c r="P12" i="1"/>
  <c r="Q12" i="1" s="1"/>
  <c r="P13" i="1"/>
  <c r="P14" i="1"/>
  <c r="P15" i="1"/>
  <c r="Q15" i="1" s="1"/>
  <c r="P16" i="1"/>
  <c r="P17" i="1"/>
  <c r="P18" i="1"/>
  <c r="P19" i="1"/>
  <c r="P20" i="1"/>
  <c r="P21" i="1"/>
  <c r="P22" i="1"/>
  <c r="P23" i="1"/>
  <c r="P24" i="1"/>
  <c r="P25" i="1"/>
  <c r="Q25" i="1" s="1"/>
  <c r="P26" i="1"/>
  <c r="P27" i="1"/>
  <c r="Q27" i="1" s="1"/>
  <c r="P28" i="1"/>
  <c r="Q28" i="1" s="1"/>
  <c r="P29" i="1"/>
  <c r="P30" i="1"/>
  <c r="Q30" i="1" s="1"/>
  <c r="P31" i="1"/>
  <c r="P32" i="1"/>
  <c r="Q32" i="1" s="1"/>
  <c r="P33" i="1"/>
  <c r="P34" i="1"/>
  <c r="Q34" i="1" s="1"/>
  <c r="P35" i="1"/>
  <c r="P36" i="1"/>
  <c r="P37" i="1"/>
  <c r="P38" i="1"/>
  <c r="Q38" i="1" s="1"/>
  <c r="P39" i="1"/>
  <c r="P40" i="1"/>
  <c r="Q40" i="1" s="1"/>
  <c r="P41" i="1"/>
  <c r="Q41" i="1" s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Q55" i="1" s="1"/>
  <c r="P56" i="1"/>
  <c r="P57" i="1"/>
  <c r="Q57" i="1" s="1"/>
  <c r="P58" i="1"/>
  <c r="P59" i="1"/>
  <c r="P60" i="1"/>
  <c r="Q60" i="1" s="1"/>
  <c r="P61" i="1"/>
  <c r="P62" i="1"/>
  <c r="P63" i="1"/>
  <c r="P64" i="1"/>
  <c r="P65" i="1"/>
  <c r="P66" i="1"/>
  <c r="P67" i="1"/>
  <c r="Q67" i="1" s="1"/>
  <c r="P68" i="1"/>
  <c r="P69" i="1"/>
  <c r="Q69" i="1" s="1"/>
  <c r="P70" i="1"/>
  <c r="P71" i="1"/>
  <c r="P72" i="1"/>
  <c r="P73" i="1"/>
  <c r="P74" i="1"/>
  <c r="Q74" i="1" s="1"/>
  <c r="P75" i="1"/>
  <c r="P76" i="1"/>
  <c r="P77" i="1"/>
  <c r="P78" i="1"/>
  <c r="Q78" i="1" s="1"/>
  <c r="P79" i="1"/>
  <c r="P80" i="1"/>
  <c r="P81" i="1"/>
  <c r="P82" i="1"/>
  <c r="P83" i="1"/>
  <c r="P84" i="1"/>
  <c r="P85" i="1"/>
  <c r="P86" i="1"/>
  <c r="P87" i="1"/>
  <c r="P88" i="1"/>
  <c r="P89" i="1"/>
  <c r="Q89" i="1" s="1"/>
  <c r="P90" i="1"/>
  <c r="P91" i="1"/>
  <c r="P92" i="1"/>
  <c r="P93" i="1"/>
  <c r="P94" i="1"/>
  <c r="P95" i="1"/>
  <c r="P96" i="1"/>
  <c r="P97" i="1"/>
  <c r="P6" i="1"/>
  <c r="U6" i="1" l="1"/>
  <c r="T6" i="1"/>
  <c r="U96" i="1"/>
  <c r="T96" i="1"/>
  <c r="U93" i="1"/>
  <c r="T93" i="1"/>
  <c r="U91" i="1"/>
  <c r="T91" i="1"/>
  <c r="U89" i="1"/>
  <c r="T89" i="1"/>
  <c r="U87" i="1"/>
  <c r="T87" i="1"/>
  <c r="U85" i="1"/>
  <c r="T85" i="1"/>
  <c r="U83" i="1"/>
  <c r="T83" i="1"/>
  <c r="U81" i="1"/>
  <c r="T81" i="1"/>
  <c r="U79" i="1"/>
  <c r="T79" i="1"/>
  <c r="U77" i="1"/>
  <c r="T77" i="1"/>
  <c r="U75" i="1"/>
  <c r="T75" i="1"/>
  <c r="U73" i="1"/>
  <c r="T73" i="1"/>
  <c r="U71" i="1"/>
  <c r="T71" i="1"/>
  <c r="U69" i="1"/>
  <c r="T69" i="1"/>
  <c r="U67" i="1"/>
  <c r="T67" i="1"/>
  <c r="U65" i="1"/>
  <c r="T65" i="1"/>
  <c r="U63" i="1"/>
  <c r="T63" i="1"/>
  <c r="U61" i="1"/>
  <c r="T61" i="1"/>
  <c r="U59" i="1"/>
  <c r="T59" i="1"/>
  <c r="U57" i="1"/>
  <c r="T57" i="1"/>
  <c r="U55" i="1"/>
  <c r="T55" i="1"/>
  <c r="U53" i="1"/>
  <c r="T53" i="1"/>
  <c r="U51" i="1"/>
  <c r="T51" i="1"/>
  <c r="U49" i="1"/>
  <c r="T49" i="1"/>
  <c r="U47" i="1"/>
  <c r="T47" i="1"/>
  <c r="U45" i="1"/>
  <c r="T45" i="1"/>
  <c r="U43" i="1"/>
  <c r="T43" i="1"/>
  <c r="U41" i="1"/>
  <c r="T41" i="1"/>
  <c r="U39" i="1"/>
  <c r="T39" i="1"/>
  <c r="U37" i="1"/>
  <c r="T37" i="1"/>
  <c r="U35" i="1"/>
  <c r="T35" i="1"/>
  <c r="U33" i="1"/>
  <c r="T33" i="1"/>
  <c r="U31" i="1"/>
  <c r="T31" i="1"/>
  <c r="U29" i="1"/>
  <c r="T29" i="1"/>
  <c r="U27" i="1"/>
  <c r="T27" i="1"/>
  <c r="U25" i="1"/>
  <c r="T25" i="1"/>
  <c r="U23" i="1"/>
  <c r="T23" i="1"/>
  <c r="U21" i="1"/>
  <c r="T21" i="1"/>
  <c r="U19" i="1"/>
  <c r="T19" i="1"/>
  <c r="U17" i="1"/>
  <c r="T17" i="1"/>
  <c r="U15" i="1"/>
  <c r="T15" i="1"/>
  <c r="U13" i="1"/>
  <c r="T13" i="1"/>
  <c r="U11" i="1"/>
  <c r="T11" i="1"/>
  <c r="U9" i="1"/>
  <c r="T9" i="1"/>
  <c r="U7" i="1"/>
  <c r="T7" i="1"/>
  <c r="U97" i="1"/>
  <c r="T97" i="1"/>
  <c r="U95" i="1"/>
  <c r="T95" i="1"/>
  <c r="U94" i="1"/>
  <c r="T94" i="1"/>
  <c r="U92" i="1"/>
  <c r="T92" i="1"/>
  <c r="U90" i="1"/>
  <c r="T90" i="1"/>
  <c r="U88" i="1"/>
  <c r="T88" i="1"/>
  <c r="U86" i="1"/>
  <c r="T86" i="1"/>
  <c r="U84" i="1"/>
  <c r="T84" i="1"/>
  <c r="T82" i="1"/>
  <c r="U82" i="1"/>
  <c r="T80" i="1"/>
  <c r="U80" i="1"/>
  <c r="T78" i="1"/>
  <c r="U78" i="1"/>
  <c r="T76" i="1"/>
  <c r="U76" i="1"/>
  <c r="T74" i="1"/>
  <c r="U74" i="1"/>
  <c r="T72" i="1"/>
  <c r="U72" i="1"/>
  <c r="T70" i="1"/>
  <c r="U70" i="1"/>
  <c r="T68" i="1"/>
  <c r="U68" i="1"/>
  <c r="T66" i="1"/>
  <c r="U66" i="1"/>
  <c r="T64" i="1"/>
  <c r="U64" i="1"/>
  <c r="T62" i="1"/>
  <c r="U62" i="1"/>
  <c r="T60" i="1"/>
  <c r="U60" i="1"/>
  <c r="T58" i="1"/>
  <c r="U58" i="1"/>
  <c r="T56" i="1"/>
  <c r="U56" i="1"/>
  <c r="T54" i="1"/>
  <c r="U54" i="1"/>
  <c r="T52" i="1"/>
  <c r="U52" i="1"/>
  <c r="T50" i="1"/>
  <c r="U50" i="1"/>
  <c r="T48" i="1"/>
  <c r="U48" i="1"/>
  <c r="T46" i="1"/>
  <c r="U46" i="1"/>
  <c r="T44" i="1"/>
  <c r="U44" i="1"/>
  <c r="T42" i="1"/>
  <c r="U42" i="1"/>
  <c r="T40" i="1"/>
  <c r="U40" i="1"/>
  <c r="T38" i="1"/>
  <c r="U38" i="1"/>
  <c r="T36" i="1"/>
  <c r="U36" i="1"/>
  <c r="T34" i="1"/>
  <c r="U34" i="1"/>
  <c r="T32" i="1"/>
  <c r="U32" i="1"/>
  <c r="T30" i="1"/>
  <c r="U30" i="1"/>
  <c r="T28" i="1"/>
  <c r="U28" i="1"/>
  <c r="T26" i="1"/>
  <c r="U26" i="1"/>
  <c r="T24" i="1"/>
  <c r="U24" i="1"/>
  <c r="T22" i="1"/>
  <c r="U22" i="1"/>
  <c r="T20" i="1"/>
  <c r="U20" i="1"/>
  <c r="T18" i="1"/>
  <c r="U18" i="1"/>
  <c r="T16" i="1"/>
  <c r="U16" i="1"/>
  <c r="T14" i="1"/>
  <c r="U14" i="1"/>
  <c r="T12" i="1"/>
  <c r="U12" i="1"/>
  <c r="T10" i="1"/>
  <c r="U10" i="1"/>
  <c r="T8" i="1"/>
  <c r="U8" i="1"/>
  <c r="AA97" i="1"/>
  <c r="K97" i="1"/>
  <c r="AA96" i="1"/>
  <c r="K96" i="1"/>
  <c r="AA95" i="1"/>
  <c r="K95" i="1"/>
  <c r="AA94" i="1"/>
  <c r="K94" i="1"/>
  <c r="AA93" i="1"/>
  <c r="K93" i="1"/>
  <c r="K92" i="1"/>
  <c r="K91" i="1"/>
  <c r="K90" i="1"/>
  <c r="AA89" i="1"/>
  <c r="K89" i="1"/>
  <c r="AA88" i="1"/>
  <c r="K88" i="1"/>
  <c r="AA87" i="1"/>
  <c r="K87" i="1"/>
  <c r="AA86" i="1"/>
  <c r="K86" i="1"/>
  <c r="AA85" i="1"/>
  <c r="K85" i="1"/>
  <c r="AA84" i="1"/>
  <c r="K84" i="1"/>
  <c r="AA83" i="1"/>
  <c r="K83" i="1"/>
  <c r="AA82" i="1"/>
  <c r="K82" i="1"/>
  <c r="AA81" i="1"/>
  <c r="K81" i="1"/>
  <c r="AA80" i="1"/>
  <c r="K80" i="1"/>
  <c r="AA79" i="1"/>
  <c r="K79" i="1"/>
  <c r="AA78" i="1"/>
  <c r="K78" i="1"/>
  <c r="AA77" i="1"/>
  <c r="K77" i="1"/>
  <c r="AA76" i="1"/>
  <c r="K76" i="1"/>
  <c r="AA75" i="1"/>
  <c r="K75" i="1"/>
  <c r="AA74" i="1"/>
  <c r="K74" i="1"/>
  <c r="AA73" i="1"/>
  <c r="K73" i="1"/>
  <c r="AA72" i="1"/>
  <c r="K72" i="1"/>
  <c r="K71" i="1"/>
  <c r="K70" i="1"/>
  <c r="AA69" i="1"/>
  <c r="K69" i="1"/>
  <c r="AA68" i="1"/>
  <c r="K68" i="1"/>
  <c r="AA67" i="1"/>
  <c r="K67" i="1"/>
  <c r="AA66" i="1"/>
  <c r="K66" i="1"/>
  <c r="AA65" i="1"/>
  <c r="K65" i="1"/>
  <c r="K64" i="1"/>
  <c r="AA63" i="1"/>
  <c r="K63" i="1"/>
  <c r="AA62" i="1"/>
  <c r="K62" i="1"/>
  <c r="AA61" i="1"/>
  <c r="K61" i="1"/>
  <c r="AA60" i="1"/>
  <c r="K60" i="1"/>
  <c r="AA59" i="1"/>
  <c r="K59" i="1"/>
  <c r="AA58" i="1"/>
  <c r="K58" i="1"/>
  <c r="AA57" i="1"/>
  <c r="K57" i="1"/>
  <c r="AA56" i="1"/>
  <c r="K56" i="1"/>
  <c r="AA55" i="1"/>
  <c r="K55" i="1"/>
  <c r="AA54" i="1"/>
  <c r="K54" i="1"/>
  <c r="AA53" i="1"/>
  <c r="K53" i="1"/>
  <c r="AA52" i="1"/>
  <c r="K52" i="1"/>
  <c r="AA51" i="1"/>
  <c r="K51" i="1"/>
  <c r="AA50" i="1"/>
  <c r="K50" i="1"/>
  <c r="AA49" i="1"/>
  <c r="K49" i="1"/>
  <c r="K48" i="1"/>
  <c r="K47" i="1"/>
  <c r="AA46" i="1"/>
  <c r="K46" i="1"/>
  <c r="AA45" i="1"/>
  <c r="K45" i="1"/>
  <c r="AA44" i="1"/>
  <c r="K44" i="1"/>
  <c r="K43" i="1"/>
  <c r="AA42" i="1"/>
  <c r="K42" i="1"/>
  <c r="AA41" i="1"/>
  <c r="K41" i="1"/>
  <c r="AA40" i="1"/>
  <c r="K40" i="1"/>
  <c r="K39" i="1"/>
  <c r="AA38" i="1"/>
  <c r="K38" i="1"/>
  <c r="AA37" i="1"/>
  <c r="K37" i="1"/>
  <c r="AA36" i="1"/>
  <c r="K36" i="1"/>
  <c r="AA35" i="1"/>
  <c r="K35" i="1"/>
  <c r="AA34" i="1"/>
  <c r="K34" i="1"/>
  <c r="AA33" i="1"/>
  <c r="K33" i="1"/>
  <c r="AA32" i="1"/>
  <c r="K32" i="1"/>
  <c r="AA31" i="1"/>
  <c r="K31" i="1"/>
  <c r="AA30" i="1"/>
  <c r="K30" i="1"/>
  <c r="AA29" i="1"/>
  <c r="K29" i="1"/>
  <c r="AA28" i="1"/>
  <c r="K28" i="1"/>
  <c r="AA27" i="1"/>
  <c r="K27" i="1"/>
  <c r="K26" i="1"/>
  <c r="AA25" i="1"/>
  <c r="K25" i="1"/>
  <c r="AA24" i="1"/>
  <c r="K24" i="1"/>
  <c r="AA23" i="1"/>
  <c r="K23" i="1"/>
  <c r="AA22" i="1"/>
  <c r="K22" i="1"/>
  <c r="AA21" i="1"/>
  <c r="K21" i="1"/>
  <c r="AA20" i="1"/>
  <c r="K20" i="1"/>
  <c r="K19" i="1"/>
  <c r="K18" i="1"/>
  <c r="AA17" i="1"/>
  <c r="K17" i="1"/>
  <c r="AA16" i="1"/>
  <c r="K16" i="1"/>
  <c r="AA15" i="1"/>
  <c r="K15" i="1"/>
  <c r="AA14" i="1"/>
  <c r="K14" i="1"/>
  <c r="K13" i="1"/>
  <c r="AA12" i="1"/>
  <c r="K12" i="1"/>
  <c r="AA11" i="1"/>
  <c r="K11" i="1"/>
  <c r="AA10" i="1"/>
  <c r="K10" i="1"/>
  <c r="AA9" i="1"/>
  <c r="K9" i="1"/>
  <c r="AA8" i="1"/>
  <c r="K8" i="1"/>
  <c r="AA7" i="1"/>
  <c r="K7" i="1"/>
  <c r="AA6" i="1"/>
  <c r="K6" i="1"/>
  <c r="Y5" i="1"/>
  <c r="X5" i="1"/>
  <c r="W5" i="1"/>
  <c r="V5" i="1"/>
  <c r="R5" i="1"/>
  <c r="Q5" i="1"/>
  <c r="P5" i="1"/>
  <c r="O5" i="1"/>
  <c r="N5" i="1"/>
  <c r="M5" i="1"/>
  <c r="L5" i="1"/>
  <c r="J5" i="1"/>
  <c r="F5" i="1"/>
  <c r="E5" i="1"/>
  <c r="K5" i="1" l="1"/>
  <c r="AA5" i="1"/>
</calcChain>
</file>

<file path=xl/sharedStrings.xml><?xml version="1.0" encoding="utf-8"?>
<sst xmlns="http://schemas.openxmlformats.org/spreadsheetml/2006/main" count="338" uniqueCount="142">
  <si>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</si>
  <si>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</si>
  <si>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</si>
  <si>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</si>
  <si>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</si>
  <si>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</si>
  <si>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</si>
  <si>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</si>
  <si>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</si>
  <si>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</si>
  <si>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</si>
  <si>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</si>
  <si>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</si>
  <si>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</si>
  <si>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</si>
  <si>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</si>
  <si>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</si>
  <si>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</si>
  <si>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</si>
  <si>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</si>
  <si>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</si>
  <si>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</si>
  <si>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</si>
  <si>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17,04,</t>
  </si>
  <si>
    <t>20,04,</t>
  </si>
  <si>
    <t>21,04,</t>
  </si>
  <si>
    <t>14,04,</t>
  </si>
  <si>
    <t>10,04,</t>
  </si>
  <si>
    <t>07,04,</t>
  </si>
  <si>
    <t>31,03,</t>
  </si>
  <si>
    <t xml:space="preserve"> 005  Колбаса Докторская ГОСТ, Вязанка вектор,ВЕС. ПОКОМ</t>
  </si>
  <si>
    <t>кг</t>
  </si>
  <si>
    <t>матрица</t>
  </si>
  <si>
    <t xml:space="preserve"> 012  Колбаса Сервелат Столичный, Вязанка фиброуз в/у, ПОКОМ</t>
  </si>
  <si>
    <t>нужно увеличить продажи!!!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</si>
  <si>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</si>
  <si>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</si>
  <si>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</si>
  <si>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</si>
  <si>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</si>
  <si>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</si>
  <si>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есть дубль</t>
  </si>
  <si>
    <t xml:space="preserve"> 032  Сосиски Вязанка Сливочные, Вязанка амицел МГС, 0.45кг, ПОКОМ</t>
  </si>
  <si>
    <t>не в матрице</t>
  </si>
  <si>
    <t>дубль на 031</t>
  </si>
  <si>
    <t xml:space="preserve"> 034  Сосиски Рубленые, Вязанка вискофан МГС, 0.5кг, ПОКОМ</t>
  </si>
  <si>
    <t>нет в бланке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</si>
  <si>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</si>
  <si>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</si>
  <si>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</si>
  <si>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</si>
  <si>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>дубль на 410</t>
  </si>
  <si>
    <t xml:space="preserve"> 094  Сосиски Баварские,  0.35кг, ТМ Колбасный стандарт ПОКОМ</t>
  </si>
  <si>
    <t>дубль на 412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</si>
  <si>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</si>
  <si>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</si>
  <si>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</si>
  <si>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</si>
  <si>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</si>
  <si>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</si>
  <si>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</si>
  <si>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дубль на 457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</si>
  <si>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</si>
  <si>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</si>
  <si>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</si>
  <si>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</si>
  <si>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</si>
  <si>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</si>
  <si>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</si>
  <si>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</si>
  <si>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</si>
  <si>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</si>
  <si>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</si>
  <si>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</si>
  <si>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</si>
  <si>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>дубль на 296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</si>
  <si>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</si>
  <si>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</si>
  <si>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</si>
  <si>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</si>
  <si>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>дубль на 291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</si>
  <si>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</si>
  <si>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</si>
  <si>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</si>
  <si>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</si>
  <si>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</si>
  <si>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</si>
  <si>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</si>
  <si>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</si>
  <si>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</si>
  <si>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</si>
  <si>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</si>
  <si>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</si>
  <si>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</si>
  <si>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</si>
  <si>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</si>
  <si>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</si>
  <si>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</si>
  <si>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</si>
  <si>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</si>
  <si>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</si>
  <si>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</si>
  <si>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дубль на 319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</si>
  <si>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</si>
  <si>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</si>
  <si>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</si>
  <si>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</si>
  <si>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</si>
  <si>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</si>
  <si>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>не правильно оприходован товар / дубль на 464</t>
  </si>
  <si>
    <t xml:space="preserve"> 434  Колбаса Сервелат Кремлевский в вакуумной упаковке ТМ Стародворье.ВЕС  ПОКОМ</t>
  </si>
  <si>
    <t>дубль на 244 / не правильно оприходован товар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</si>
  <si>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</si>
  <si>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</si>
  <si>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</si>
  <si>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15,04,25 Химич обнулил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</si>
  <si>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</si>
  <si>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</si>
  <si>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</si>
  <si>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</si>
  <si>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</si>
  <si>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</si>
  <si>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</si>
  <si>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</si>
  <si>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</si>
  <si>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</si>
  <si>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</si>
  <si>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</si>
  <si>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</si>
  <si>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</si>
  <si>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464  Колбаса Стародворская Традиционная со шпиком оболочке полиамид ТМ Стародворье.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</si>
  <si>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</si>
  <si>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</si>
  <si>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</si>
  <si>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БОНУС_412  Сосиски Баварские ТМ Стародворье 0,35 кг ПОКОМ</t>
  </si>
  <si>
    <t>Вареные колбасы «Нежная» НТУ Весовые П/а ТМ «Зареченские»</t>
  </si>
  <si>
    <t>новинка</t>
  </si>
  <si>
    <t>Вареные колбасы «Филейная Оригинальная» Весовой п/а ТМ «Особый рецепт» большой батон</t>
  </si>
  <si>
    <t>Колбаса вареная Мусульманская халяль ТМ Вязанка вектор ф/в 0,4 кг НД Узбекистан АК</t>
  </si>
  <si>
    <t>П/к колбасы «Аль-Ислами халяль» ф/в 0,35 фиброуз ТМ «Вязанка»</t>
  </si>
  <si>
    <t>Сосиски Восточные халяль ТМ Вязанка полиамид в/у ф/в 0,33 кг НД Узбекистан АК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</si>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</sst>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/>
    <xf numFmtId="164" fontId="4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7" sqref="S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8" width="7" customWidth="1"/>
    <col min="19" max="19" width="21" customWidth="1"/>
    <col min="20" max="21" width="5" customWidth="1"/>
    <col min="22" max="25" width="6" customWidth="1"/>
    <col min="26" max="26" width="53.28515625" customWidth="1"/>
    <col min="27" max="27" width="7" customWidth="1"/>
    <col min="28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21</v>
      </c>
      <c r="AA3" s="2" t="s">
        <v>22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SUM(E6:E494)</f>
        <v>10134.949999999999</v>
      </c>
      <c r="F5" s="4">
        <f>SUM(F6:F494)</f>
        <v>2450.3299999999995</v>
      </c>
      <c r="G5" s="7"/>
      <c r="H5" s="1"/>
      <c r="I5" s="1"/>
      <c r="J5" s="4">
        <f t="shared" ref="J5:R5" si="0">SUM(J6:J494)</f>
        <v>11786.700000000003</v>
      </c>
      <c r="K5" s="4">
        <f t="shared" si="0"/>
        <v>-1651.7499999999998</v>
      </c>
      <c r="L5" s="4">
        <f t="shared" si="0"/>
        <v>0</v>
      </c>
      <c r="M5" s="4">
        <f t="shared" si="0"/>
        <v>0</v>
      </c>
      <c r="N5" s="4">
        <f t="shared" si="0"/>
        <v>11973.3752</v>
      </c>
      <c r="O5" s="4">
        <f t="shared" si="0"/>
        <v>14750</v>
      </c>
      <c r="P5" s="4">
        <f t="shared" si="0"/>
        <v>2026.9899999999996</v>
      </c>
      <c r="Q5" s="4">
        <f t="shared" si="0"/>
        <v>3827.3095999999996</v>
      </c>
      <c r="R5" s="4">
        <f t="shared" si="0"/>
        <v>0</v>
      </c>
      <c r="S5" s="1"/>
      <c r="T5" s="1"/>
      <c r="U5" s="1"/>
      <c r="V5" s="4">
        <f>SUM(V6:V494)</f>
        <v>1032.6538000000003</v>
      </c>
      <c r="W5" s="4">
        <f>SUM(W6:W494)</f>
        <v>999.03019999999981</v>
      </c>
      <c r="X5" s="4">
        <f>SUM(X6:X494)</f>
        <v>1568.4059999999997</v>
      </c>
      <c r="Y5" s="4">
        <f>SUM(Y6:Y494)</f>
        <v>546.12139999999988</v>
      </c>
      <c r="Z5" s="1"/>
      <c r="AA5" s="4">
        <f>SUM(AA6:AA494)</f>
        <v>1924.1675999999998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30</v>
      </c>
      <c r="B6" s="1" t="s">
        <v>31</v>
      </c>
      <c r="C6" s="1">
        <v>275.76799999999997</v>
      </c>
      <c r="D6" s="1">
        <v>220.64500000000001</v>
      </c>
      <c r="E6" s="1">
        <v>190.39400000000001</v>
      </c>
      <c r="F6" s="1">
        <v>78.207999999999998</v>
      </c>
      <c r="G6" s="7">
        <v>1</v>
      </c>
      <c r="H6" s="1">
        <v>50</v>
      </c>
      <c r="I6" s="1" t="s">
        <v>32</v>
      </c>
      <c r="J6" s="1">
        <v>211.2</v>
      </c>
      <c r="K6" s="1">
        <f t="shared" ref="K6:K37" si="1">E6-J6</f>
        <v>-20.805999999999983</v>
      </c>
      <c r="L6" s="1"/>
      <c r="M6" s="1"/>
      <c r="N6" s="1">
        <v>0</v>
      </c>
      <c r="O6" s="1">
        <v>450</v>
      </c>
      <c r="P6" s="1">
        <f>E6/5</f>
        <v>38.078800000000001</v>
      </c>
      <c r="Q6" s="5"/>
      <c r="R6" s="5"/>
      <c r="S6" s="1"/>
      <c r="T6" s="1">
        <f>(F6+N6+O6+Q6)/P6</f>
        <v>13.871445528745653</v>
      </c>
      <c r="U6" s="1">
        <f>(F6+N6+O6)/P6</f>
        <v>13.871445528745653</v>
      </c>
      <c r="V6" s="1">
        <v>10.050800000000001</v>
      </c>
      <c r="W6" s="1">
        <v>14.331</v>
      </c>
      <c r="X6" s="1">
        <v>23.507400000000001</v>
      </c>
      <c r="Y6" s="1">
        <v>6.4561999999999999</v>
      </c>
      <c r="Z6" s="1"/>
      <c r="AA6" s="1">
        <f t="shared" ref="AA6:AA12" si="2">G6*Q6</f>
        <v>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33</v>
      </c>
      <c r="B7" s="1" t="s">
        <v>31</v>
      </c>
      <c r="C7" s="1">
        <v>93.805000000000007</v>
      </c>
      <c r="D7" s="1">
        <v>68.462999999999994</v>
      </c>
      <c r="E7" s="1">
        <v>21.459</v>
      </c>
      <c r="F7" s="1">
        <v>79.62</v>
      </c>
      <c r="G7" s="7">
        <v>1</v>
      </c>
      <c r="H7" s="1">
        <v>40</v>
      </c>
      <c r="I7" s="1" t="s">
        <v>32</v>
      </c>
      <c r="J7" s="1">
        <v>19.7</v>
      </c>
      <c r="K7" s="1">
        <f t="shared" si="1"/>
        <v>1.7590000000000003</v>
      </c>
      <c r="L7" s="1"/>
      <c r="M7" s="1"/>
      <c r="N7" s="1">
        <v>0</v>
      </c>
      <c r="O7" s="1">
        <v>0</v>
      </c>
      <c r="P7" s="1">
        <f t="shared" ref="P7:P70" si="3">E7/5</f>
        <v>4.2918000000000003</v>
      </c>
      <c r="Q7" s="5"/>
      <c r="R7" s="5"/>
      <c r="S7" s="1"/>
      <c r="T7" s="1">
        <f t="shared" ref="T7:T70" si="4">(F7+N7+O7+Q7)/P7</f>
        <v>18.551656647560463</v>
      </c>
      <c r="U7" s="1">
        <f t="shared" ref="U7:U70" si="5">(F7+N7+O7)/P7</f>
        <v>18.551656647560463</v>
      </c>
      <c r="V7" s="1">
        <v>3.2797999999999998</v>
      </c>
      <c r="W7" s="1">
        <v>1.2121999999999999</v>
      </c>
      <c r="X7" s="1">
        <v>1.9254</v>
      </c>
      <c r="Y7" s="1">
        <v>0.34660000000000002</v>
      </c>
      <c r="Z7" s="19" t="s">
        <v>141</v>
      </c>
      <c r="AA7" s="1">
        <f t="shared" si="2"/>
        <v>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35</v>
      </c>
      <c r="B8" s="1" t="s">
        <v>31</v>
      </c>
      <c r="C8" s="1">
        <v>19.032</v>
      </c>
      <c r="D8" s="1">
        <v>12.926</v>
      </c>
      <c r="E8" s="1">
        <v>21.617999999999999</v>
      </c>
      <c r="F8" s="1">
        <v>2.7480000000000002</v>
      </c>
      <c r="G8" s="7">
        <v>1</v>
      </c>
      <c r="H8" s="1">
        <v>45</v>
      </c>
      <c r="I8" s="1" t="s">
        <v>32</v>
      </c>
      <c r="J8" s="1">
        <v>32.9</v>
      </c>
      <c r="K8" s="1">
        <f t="shared" si="1"/>
        <v>-11.282</v>
      </c>
      <c r="L8" s="1"/>
      <c r="M8" s="1"/>
      <c r="N8" s="1">
        <v>94.313999999999993</v>
      </c>
      <c r="O8" s="1">
        <v>100</v>
      </c>
      <c r="P8" s="1">
        <f t="shared" si="3"/>
        <v>4.3235999999999999</v>
      </c>
      <c r="Q8" s="5"/>
      <c r="R8" s="5"/>
      <c r="S8" s="1"/>
      <c r="T8" s="1">
        <f t="shared" si="4"/>
        <v>45.57822185216024</v>
      </c>
      <c r="U8" s="1">
        <f t="shared" si="5"/>
        <v>45.57822185216024</v>
      </c>
      <c r="V8" s="1">
        <v>12.444000000000001</v>
      </c>
      <c r="W8" s="1">
        <v>10.566599999999999</v>
      </c>
      <c r="X8" s="1">
        <v>5.1516000000000002</v>
      </c>
      <c r="Y8" s="1">
        <v>4.5624000000000002</v>
      </c>
      <c r="Z8" s="1"/>
      <c r="AA8" s="1">
        <f t="shared" si="2"/>
        <v>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36</v>
      </c>
      <c r="B9" s="1" t="s">
        <v>31</v>
      </c>
      <c r="C9" s="1">
        <v>32.982999999999997</v>
      </c>
      <c r="D9" s="1">
        <v>28.111000000000001</v>
      </c>
      <c r="E9" s="1">
        <v>35.305</v>
      </c>
      <c r="F9" s="1">
        <v>10.731999999999999</v>
      </c>
      <c r="G9" s="7">
        <v>1</v>
      </c>
      <c r="H9" s="1">
        <v>45</v>
      </c>
      <c r="I9" s="1" t="s">
        <v>32</v>
      </c>
      <c r="J9" s="1">
        <v>41.1</v>
      </c>
      <c r="K9" s="1">
        <f t="shared" si="1"/>
        <v>-5.7950000000000017</v>
      </c>
      <c r="L9" s="1"/>
      <c r="M9" s="1"/>
      <c r="N9" s="1">
        <v>86.0762</v>
      </c>
      <c r="O9" s="1">
        <v>80</v>
      </c>
      <c r="P9" s="1">
        <f t="shared" si="3"/>
        <v>7.0609999999999999</v>
      </c>
      <c r="Q9" s="5"/>
      <c r="R9" s="5"/>
      <c r="S9" s="1"/>
      <c r="T9" s="1">
        <f t="shared" si="4"/>
        <v>25.040107633479678</v>
      </c>
      <c r="U9" s="1">
        <f t="shared" si="5"/>
        <v>25.040107633479678</v>
      </c>
      <c r="V9" s="1">
        <v>9.1584000000000003</v>
      </c>
      <c r="W9" s="1">
        <v>8.3090000000000011</v>
      </c>
      <c r="X9" s="1">
        <v>5.6867999999999999</v>
      </c>
      <c r="Y9" s="1">
        <v>4.7953999999999999</v>
      </c>
      <c r="Z9" s="1"/>
      <c r="AA9" s="1">
        <f t="shared" si="2"/>
        <v>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37</v>
      </c>
      <c r="B10" s="1" t="s">
        <v>38</v>
      </c>
      <c r="C10" s="1">
        <v>318.15300000000002</v>
      </c>
      <c r="D10" s="1">
        <v>40.847000000000001</v>
      </c>
      <c r="E10" s="1">
        <v>317</v>
      </c>
      <c r="F10" s="1">
        <v>4</v>
      </c>
      <c r="G10" s="7">
        <v>0.4</v>
      </c>
      <c r="H10" s="1">
        <v>50</v>
      </c>
      <c r="I10" s="1" t="s">
        <v>32</v>
      </c>
      <c r="J10" s="1">
        <v>336</v>
      </c>
      <c r="K10" s="1">
        <f t="shared" si="1"/>
        <v>-19</v>
      </c>
      <c r="L10" s="1"/>
      <c r="M10" s="1"/>
      <c r="N10" s="1">
        <v>0</v>
      </c>
      <c r="O10" s="1">
        <v>800</v>
      </c>
      <c r="P10" s="1">
        <f t="shared" si="3"/>
        <v>63.4</v>
      </c>
      <c r="Q10" s="5">
        <f t="shared" ref="Q10:Q12" si="6">13*P10-O10-N10-F10</f>
        <v>20.199999999999932</v>
      </c>
      <c r="R10" s="5"/>
      <c r="S10" s="1"/>
      <c r="T10" s="1">
        <f t="shared" si="4"/>
        <v>13</v>
      </c>
      <c r="U10" s="1">
        <f t="shared" si="5"/>
        <v>12.681388012618298</v>
      </c>
      <c r="V10" s="1">
        <v>14.28</v>
      </c>
      <c r="W10" s="1">
        <v>11.823</v>
      </c>
      <c r="X10" s="1">
        <v>42.489400000000003</v>
      </c>
      <c r="Y10" s="1">
        <v>14.2</v>
      </c>
      <c r="Z10" s="1"/>
      <c r="AA10" s="1">
        <f t="shared" si="2"/>
        <v>8.0799999999999734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39</v>
      </c>
      <c r="B11" s="1" t="s">
        <v>38</v>
      </c>
      <c r="C11" s="1">
        <v>160</v>
      </c>
      <c r="D11" s="1">
        <v>76</v>
      </c>
      <c r="E11" s="1">
        <v>165</v>
      </c>
      <c r="F11" s="1">
        <v>11</v>
      </c>
      <c r="G11" s="7">
        <v>0.45</v>
      </c>
      <c r="H11" s="1">
        <v>45</v>
      </c>
      <c r="I11" s="1" t="s">
        <v>32</v>
      </c>
      <c r="J11" s="1">
        <v>211</v>
      </c>
      <c r="K11" s="1">
        <f t="shared" si="1"/>
        <v>-46</v>
      </c>
      <c r="L11" s="1"/>
      <c r="M11" s="1"/>
      <c r="N11" s="1">
        <v>27.599999999999991</v>
      </c>
      <c r="O11" s="1">
        <v>0</v>
      </c>
      <c r="P11" s="1">
        <f t="shared" si="3"/>
        <v>33</v>
      </c>
      <c r="Q11" s="5">
        <f t="shared" si="6"/>
        <v>390.40000000000003</v>
      </c>
      <c r="R11" s="5"/>
      <c r="S11" s="1"/>
      <c r="T11" s="1">
        <f t="shared" si="4"/>
        <v>13</v>
      </c>
      <c r="U11" s="1">
        <f t="shared" si="5"/>
        <v>1.1696969696969695</v>
      </c>
      <c r="V11" s="1">
        <v>14.2</v>
      </c>
      <c r="W11" s="1">
        <v>12.2</v>
      </c>
      <c r="X11" s="1">
        <v>19.2</v>
      </c>
      <c r="Y11" s="1">
        <v>10</v>
      </c>
      <c r="Z11" s="1"/>
      <c r="AA11" s="1">
        <f t="shared" si="2"/>
        <v>175.68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40</v>
      </c>
      <c r="B12" s="1" t="s">
        <v>38</v>
      </c>
      <c r="C12" s="1">
        <v>361</v>
      </c>
      <c r="D12" s="1">
        <v>323</v>
      </c>
      <c r="E12" s="16">
        <f>322+E13</f>
        <v>328</v>
      </c>
      <c r="F12" s="1">
        <v>-1</v>
      </c>
      <c r="G12" s="7">
        <v>0.33</v>
      </c>
      <c r="H12" s="1">
        <v>45</v>
      </c>
      <c r="I12" s="1" t="s">
        <v>32</v>
      </c>
      <c r="J12" s="1">
        <v>359</v>
      </c>
      <c r="K12" s="1">
        <f t="shared" si="1"/>
        <v>-31</v>
      </c>
      <c r="L12" s="1"/>
      <c r="M12" s="1"/>
      <c r="N12" s="1">
        <v>0</v>
      </c>
      <c r="O12" s="1">
        <v>400</v>
      </c>
      <c r="P12" s="1">
        <f t="shared" si="3"/>
        <v>65.599999999999994</v>
      </c>
      <c r="Q12" s="5">
        <f t="shared" si="6"/>
        <v>453.79999999999995</v>
      </c>
      <c r="R12" s="5"/>
      <c r="S12" s="1"/>
      <c r="T12" s="1">
        <f t="shared" si="4"/>
        <v>13</v>
      </c>
      <c r="U12" s="1">
        <f t="shared" si="5"/>
        <v>6.0823170731707323</v>
      </c>
      <c r="V12" s="1">
        <v>8</v>
      </c>
      <c r="W12" s="1">
        <v>15.8</v>
      </c>
      <c r="X12" s="1">
        <v>45.4</v>
      </c>
      <c r="Y12" s="1">
        <v>11.4</v>
      </c>
      <c r="Z12" s="1" t="s">
        <v>41</v>
      </c>
      <c r="AA12" s="1">
        <f t="shared" si="2"/>
        <v>149.75399999999999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0" t="s">
        <v>42</v>
      </c>
      <c r="B13" s="10" t="s">
        <v>38</v>
      </c>
      <c r="C13" s="10">
        <v>-34</v>
      </c>
      <c r="D13" s="10">
        <v>42</v>
      </c>
      <c r="E13" s="16">
        <v>6</v>
      </c>
      <c r="F13" s="10"/>
      <c r="G13" s="11">
        <v>0</v>
      </c>
      <c r="H13" s="10" t="e">
        <v>#N/A</v>
      </c>
      <c r="I13" s="10" t="s">
        <v>43</v>
      </c>
      <c r="J13" s="10">
        <v>14</v>
      </c>
      <c r="K13" s="10">
        <f t="shared" si="1"/>
        <v>-8</v>
      </c>
      <c r="L13" s="10"/>
      <c r="M13" s="10"/>
      <c r="N13" s="10">
        <v>0</v>
      </c>
      <c r="O13" s="10">
        <v>0</v>
      </c>
      <c r="P13" s="10">
        <f t="shared" si="3"/>
        <v>1.2</v>
      </c>
      <c r="Q13" s="12"/>
      <c r="R13" s="12"/>
      <c r="S13" s="10"/>
      <c r="T13" s="10">
        <f t="shared" si="4"/>
        <v>0</v>
      </c>
      <c r="U13" s="10">
        <f t="shared" si="5"/>
        <v>0</v>
      </c>
      <c r="V13" s="10">
        <v>6.8</v>
      </c>
      <c r="W13" s="10">
        <v>0</v>
      </c>
      <c r="X13" s="10">
        <v>0</v>
      </c>
      <c r="Y13" s="10">
        <v>0</v>
      </c>
      <c r="Z13" s="10" t="s">
        <v>44</v>
      </c>
      <c r="AA13" s="10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4" t="s">
        <v>45</v>
      </c>
      <c r="B14" s="1" t="s">
        <v>38</v>
      </c>
      <c r="C14" s="1">
        <v>-1</v>
      </c>
      <c r="D14" s="1">
        <v>3</v>
      </c>
      <c r="E14" s="1"/>
      <c r="F14" s="1">
        <v>2</v>
      </c>
      <c r="G14" s="7">
        <v>0.5</v>
      </c>
      <c r="H14" s="1">
        <v>40</v>
      </c>
      <c r="I14" s="1" t="s">
        <v>32</v>
      </c>
      <c r="J14" s="1"/>
      <c r="K14" s="1">
        <f t="shared" si="1"/>
        <v>0</v>
      </c>
      <c r="L14" s="1"/>
      <c r="M14" s="1"/>
      <c r="N14" s="14"/>
      <c r="O14" s="1">
        <v>0</v>
      </c>
      <c r="P14" s="1">
        <f t="shared" si="3"/>
        <v>0</v>
      </c>
      <c r="Q14" s="15">
        <v>10</v>
      </c>
      <c r="R14" s="5"/>
      <c r="S14" s="1"/>
      <c r="T14" s="1" t="e">
        <f t="shared" si="4"/>
        <v>#DIV/0!</v>
      </c>
      <c r="U14" s="1" t="e">
        <f t="shared" si="5"/>
        <v>#DIV/0!</v>
      </c>
      <c r="V14" s="1">
        <v>2</v>
      </c>
      <c r="W14" s="1">
        <v>7.6</v>
      </c>
      <c r="X14" s="1">
        <v>9</v>
      </c>
      <c r="Y14" s="1">
        <v>0</v>
      </c>
      <c r="Z14" s="14" t="s">
        <v>46</v>
      </c>
      <c r="AA14" s="1">
        <f>G14*Q14</f>
        <v>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47</v>
      </c>
      <c r="B15" s="1" t="s">
        <v>38</v>
      </c>
      <c r="C15" s="1">
        <v>81</v>
      </c>
      <c r="D15" s="1">
        <v>4</v>
      </c>
      <c r="E15" s="1">
        <v>62</v>
      </c>
      <c r="F15" s="1">
        <v>13</v>
      </c>
      <c r="G15" s="7">
        <v>0.17</v>
      </c>
      <c r="H15" s="1">
        <v>180</v>
      </c>
      <c r="I15" s="1" t="s">
        <v>32</v>
      </c>
      <c r="J15" s="1">
        <v>72</v>
      </c>
      <c r="K15" s="1">
        <f t="shared" si="1"/>
        <v>-10</v>
      </c>
      <c r="L15" s="1"/>
      <c r="M15" s="1"/>
      <c r="N15" s="1">
        <v>0</v>
      </c>
      <c r="O15" s="1">
        <v>0</v>
      </c>
      <c r="P15" s="1">
        <f t="shared" si="3"/>
        <v>12.4</v>
      </c>
      <c r="Q15" s="5">
        <f t="shared" ref="Q15" si="7">13*P15-O15-N15-F15</f>
        <v>148.20000000000002</v>
      </c>
      <c r="R15" s="5"/>
      <c r="S15" s="1"/>
      <c r="T15" s="1">
        <f t="shared" si="4"/>
        <v>13.000000000000002</v>
      </c>
      <c r="U15" s="1">
        <f t="shared" si="5"/>
        <v>1.0483870967741935</v>
      </c>
      <c r="V15" s="1">
        <v>4.8</v>
      </c>
      <c r="W15" s="1">
        <v>7.2</v>
      </c>
      <c r="X15" s="1">
        <v>9</v>
      </c>
      <c r="Y15" s="1">
        <v>0</v>
      </c>
      <c r="Z15" s="1"/>
      <c r="AA15" s="1">
        <f>G15*Q15</f>
        <v>25.194000000000006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38</v>
      </c>
      <c r="C16" s="1">
        <v>15</v>
      </c>
      <c r="D16" s="1">
        <v>11</v>
      </c>
      <c r="E16" s="1">
        <v>14</v>
      </c>
      <c r="F16" s="1">
        <v>5</v>
      </c>
      <c r="G16" s="7">
        <v>0.3</v>
      </c>
      <c r="H16" s="1">
        <v>40</v>
      </c>
      <c r="I16" s="1" t="s">
        <v>32</v>
      </c>
      <c r="J16" s="1">
        <v>33</v>
      </c>
      <c r="K16" s="1">
        <f t="shared" si="1"/>
        <v>-19</v>
      </c>
      <c r="L16" s="1"/>
      <c r="M16" s="1"/>
      <c r="N16" s="1">
        <v>220</v>
      </c>
      <c r="O16" s="1">
        <v>0</v>
      </c>
      <c r="P16" s="1">
        <f t="shared" si="3"/>
        <v>2.8</v>
      </c>
      <c r="Q16" s="5"/>
      <c r="R16" s="5"/>
      <c r="S16" s="1"/>
      <c r="T16" s="1">
        <f t="shared" si="4"/>
        <v>80.357142857142861</v>
      </c>
      <c r="U16" s="1">
        <f t="shared" si="5"/>
        <v>80.357142857142861</v>
      </c>
      <c r="V16" s="1">
        <v>21</v>
      </c>
      <c r="W16" s="1">
        <v>16.399999999999999</v>
      </c>
      <c r="X16" s="1">
        <v>8.6</v>
      </c>
      <c r="Y16" s="1">
        <v>10.4</v>
      </c>
      <c r="Z16" s="1"/>
      <c r="AA16" s="1">
        <f>G16*Q16</f>
        <v>0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49</v>
      </c>
      <c r="B17" s="1" t="s">
        <v>38</v>
      </c>
      <c r="C17" s="1">
        <v>67</v>
      </c>
      <c r="D17" s="1">
        <v>13</v>
      </c>
      <c r="E17" s="1">
        <v>65</v>
      </c>
      <c r="F17" s="1">
        <v>6</v>
      </c>
      <c r="G17" s="7">
        <v>0.17</v>
      </c>
      <c r="H17" s="1">
        <v>180</v>
      </c>
      <c r="I17" s="1" t="s">
        <v>32</v>
      </c>
      <c r="J17" s="1">
        <v>103</v>
      </c>
      <c r="K17" s="1">
        <f t="shared" si="1"/>
        <v>-38</v>
      </c>
      <c r="L17" s="1"/>
      <c r="M17" s="1"/>
      <c r="N17" s="1">
        <v>50</v>
      </c>
      <c r="O17" s="1">
        <v>400</v>
      </c>
      <c r="P17" s="1">
        <f t="shared" si="3"/>
        <v>13</v>
      </c>
      <c r="Q17" s="5"/>
      <c r="R17" s="5"/>
      <c r="S17" s="1"/>
      <c r="T17" s="1">
        <f t="shared" si="4"/>
        <v>35.07692307692308</v>
      </c>
      <c r="U17" s="1">
        <f t="shared" si="5"/>
        <v>35.07692307692308</v>
      </c>
      <c r="V17" s="1">
        <v>7.6</v>
      </c>
      <c r="W17" s="1">
        <v>7</v>
      </c>
      <c r="X17" s="1">
        <v>12</v>
      </c>
      <c r="Y17" s="1">
        <v>0</v>
      </c>
      <c r="Z17" s="1"/>
      <c r="AA17" s="1">
        <f>G17*Q17</f>
        <v>0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0" t="s">
        <v>50</v>
      </c>
      <c r="B18" s="10" t="s">
        <v>38</v>
      </c>
      <c r="C18" s="10">
        <v>-1</v>
      </c>
      <c r="D18" s="10">
        <v>1</v>
      </c>
      <c r="E18" s="10"/>
      <c r="F18" s="10"/>
      <c r="G18" s="11">
        <v>0</v>
      </c>
      <c r="H18" s="10" t="e">
        <v>#N/A</v>
      </c>
      <c r="I18" s="10" t="s">
        <v>43</v>
      </c>
      <c r="J18" s="10"/>
      <c r="K18" s="10">
        <f t="shared" si="1"/>
        <v>0</v>
      </c>
      <c r="L18" s="10"/>
      <c r="M18" s="10"/>
      <c r="N18" s="10">
        <v>0</v>
      </c>
      <c r="O18" s="10">
        <v>0</v>
      </c>
      <c r="P18" s="10">
        <f t="shared" si="3"/>
        <v>0</v>
      </c>
      <c r="Q18" s="12"/>
      <c r="R18" s="12"/>
      <c r="S18" s="10"/>
      <c r="T18" s="10" t="e">
        <f t="shared" si="4"/>
        <v>#DIV/0!</v>
      </c>
      <c r="U18" s="10" t="e">
        <f t="shared" si="5"/>
        <v>#DIV/0!</v>
      </c>
      <c r="V18" s="10">
        <v>0.2</v>
      </c>
      <c r="W18" s="10">
        <v>0.2</v>
      </c>
      <c r="X18" s="10">
        <v>0</v>
      </c>
      <c r="Y18" s="10">
        <v>0</v>
      </c>
      <c r="Z18" s="10" t="s">
        <v>51</v>
      </c>
      <c r="AA18" s="10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0" t="s">
        <v>52</v>
      </c>
      <c r="B19" s="10" t="s">
        <v>38</v>
      </c>
      <c r="C19" s="10">
        <v>-4</v>
      </c>
      <c r="D19" s="10">
        <v>4</v>
      </c>
      <c r="E19" s="10"/>
      <c r="F19" s="10"/>
      <c r="G19" s="11">
        <v>0</v>
      </c>
      <c r="H19" s="10" t="e">
        <v>#N/A</v>
      </c>
      <c r="I19" s="10" t="s">
        <v>43</v>
      </c>
      <c r="J19" s="10"/>
      <c r="K19" s="10">
        <f t="shared" si="1"/>
        <v>0</v>
      </c>
      <c r="L19" s="10"/>
      <c r="M19" s="10"/>
      <c r="N19" s="10">
        <v>0</v>
      </c>
      <c r="O19" s="10">
        <v>0</v>
      </c>
      <c r="P19" s="10">
        <f t="shared" si="3"/>
        <v>0</v>
      </c>
      <c r="Q19" s="12"/>
      <c r="R19" s="12"/>
      <c r="S19" s="10"/>
      <c r="T19" s="10" t="e">
        <f t="shared" si="4"/>
        <v>#DIV/0!</v>
      </c>
      <c r="U19" s="10" t="e">
        <f t="shared" si="5"/>
        <v>#DIV/0!</v>
      </c>
      <c r="V19" s="10">
        <v>0.8</v>
      </c>
      <c r="W19" s="10">
        <v>0.4</v>
      </c>
      <c r="X19" s="10">
        <v>0</v>
      </c>
      <c r="Y19" s="10">
        <v>0</v>
      </c>
      <c r="Z19" s="10" t="s">
        <v>53</v>
      </c>
      <c r="AA19" s="10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38</v>
      </c>
      <c r="C20" s="1">
        <v>55</v>
      </c>
      <c r="D20" s="1">
        <v>6</v>
      </c>
      <c r="E20" s="1">
        <v>52</v>
      </c>
      <c r="F20" s="1">
        <v>4</v>
      </c>
      <c r="G20" s="7">
        <v>0.35</v>
      </c>
      <c r="H20" s="1">
        <v>50</v>
      </c>
      <c r="I20" s="1" t="s">
        <v>32</v>
      </c>
      <c r="J20" s="1">
        <v>65</v>
      </c>
      <c r="K20" s="1">
        <f t="shared" si="1"/>
        <v>-13</v>
      </c>
      <c r="L20" s="1"/>
      <c r="M20" s="1"/>
      <c r="N20" s="1">
        <v>80</v>
      </c>
      <c r="O20" s="1">
        <v>150</v>
      </c>
      <c r="P20" s="1">
        <f t="shared" si="3"/>
        <v>10.4</v>
      </c>
      <c r="Q20" s="5"/>
      <c r="R20" s="5"/>
      <c r="S20" s="1"/>
      <c r="T20" s="1">
        <f t="shared" si="4"/>
        <v>22.5</v>
      </c>
      <c r="U20" s="1">
        <f t="shared" si="5"/>
        <v>22.5</v>
      </c>
      <c r="V20" s="1">
        <v>1.6</v>
      </c>
      <c r="W20" s="1">
        <v>3.8</v>
      </c>
      <c r="X20" s="1">
        <v>7.4</v>
      </c>
      <c r="Y20" s="1">
        <v>3</v>
      </c>
      <c r="Z20" s="1"/>
      <c r="AA20" s="1">
        <f t="shared" ref="AA20:AA25" si="8">G20*Q20</f>
        <v>0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31</v>
      </c>
      <c r="C21" s="1">
        <v>6.4550000000000001</v>
      </c>
      <c r="D21" s="1">
        <v>29.148</v>
      </c>
      <c r="E21" s="1">
        <v>3.5049999999999999</v>
      </c>
      <c r="F21" s="1"/>
      <c r="G21" s="7">
        <v>1</v>
      </c>
      <c r="H21" s="1">
        <v>55</v>
      </c>
      <c r="I21" s="1" t="s">
        <v>32</v>
      </c>
      <c r="J21" s="1">
        <v>19.8</v>
      </c>
      <c r="K21" s="1">
        <f t="shared" si="1"/>
        <v>-16.295000000000002</v>
      </c>
      <c r="L21" s="1"/>
      <c r="M21" s="1"/>
      <c r="N21" s="1">
        <v>80</v>
      </c>
      <c r="O21" s="1">
        <v>20</v>
      </c>
      <c r="P21" s="1">
        <f t="shared" si="3"/>
        <v>0.70099999999999996</v>
      </c>
      <c r="Q21" s="5"/>
      <c r="R21" s="5"/>
      <c r="S21" s="1"/>
      <c r="T21" s="1">
        <f t="shared" si="4"/>
        <v>142.65335235378032</v>
      </c>
      <c r="U21" s="1">
        <f t="shared" si="5"/>
        <v>142.65335235378032</v>
      </c>
      <c r="V21" s="1">
        <v>7.5877999999999997</v>
      </c>
      <c r="W21" s="1">
        <v>4.0434000000000001</v>
      </c>
      <c r="X21" s="1">
        <v>3.3435999999999999</v>
      </c>
      <c r="Y21" s="1">
        <v>1.5835999999999999</v>
      </c>
      <c r="Z21" s="1"/>
      <c r="AA21" s="1">
        <f t="shared" si="8"/>
        <v>0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56</v>
      </c>
      <c r="B22" s="1" t="s">
        <v>31</v>
      </c>
      <c r="C22" s="1">
        <v>400.161</v>
      </c>
      <c r="D22" s="1">
        <v>180.66</v>
      </c>
      <c r="E22" s="1">
        <v>292.07100000000003</v>
      </c>
      <c r="F22" s="1">
        <v>90</v>
      </c>
      <c r="G22" s="7">
        <v>1</v>
      </c>
      <c r="H22" s="1">
        <v>50</v>
      </c>
      <c r="I22" s="1" t="s">
        <v>32</v>
      </c>
      <c r="J22" s="1">
        <v>322.7</v>
      </c>
      <c r="K22" s="1">
        <f t="shared" si="1"/>
        <v>-30.628999999999962</v>
      </c>
      <c r="L22" s="1"/>
      <c r="M22" s="1"/>
      <c r="N22" s="1">
        <v>500</v>
      </c>
      <c r="O22" s="1">
        <v>500</v>
      </c>
      <c r="P22" s="1">
        <f t="shared" si="3"/>
        <v>58.414200000000008</v>
      </c>
      <c r="Q22" s="5"/>
      <c r="R22" s="5"/>
      <c r="S22" s="1"/>
      <c r="T22" s="1">
        <f t="shared" si="4"/>
        <v>18.659846407209205</v>
      </c>
      <c r="U22" s="1">
        <f t="shared" si="5"/>
        <v>18.659846407209205</v>
      </c>
      <c r="V22" s="1">
        <v>53.959400000000002</v>
      </c>
      <c r="W22" s="1">
        <v>53.083799999999997</v>
      </c>
      <c r="X22" s="1">
        <v>45.033799999999999</v>
      </c>
      <c r="Y22" s="1">
        <v>19.492999999999999</v>
      </c>
      <c r="Z22" s="1"/>
      <c r="AA22" s="1">
        <f t="shared" si="8"/>
        <v>0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57</v>
      </c>
      <c r="B23" s="1" t="s">
        <v>31</v>
      </c>
      <c r="C23" s="1">
        <v>22.073</v>
      </c>
      <c r="D23" s="1">
        <v>5.6849999999999996</v>
      </c>
      <c r="E23" s="1">
        <v>23.244</v>
      </c>
      <c r="F23" s="1">
        <v>2.7</v>
      </c>
      <c r="G23" s="7">
        <v>1</v>
      </c>
      <c r="H23" s="1">
        <v>60</v>
      </c>
      <c r="I23" s="1" t="s">
        <v>32</v>
      </c>
      <c r="J23" s="1">
        <v>23.7</v>
      </c>
      <c r="K23" s="1">
        <f t="shared" si="1"/>
        <v>-0.45599999999999952</v>
      </c>
      <c r="L23" s="1"/>
      <c r="M23" s="1"/>
      <c r="N23" s="1">
        <v>30</v>
      </c>
      <c r="O23" s="1">
        <v>40</v>
      </c>
      <c r="P23" s="1">
        <f t="shared" si="3"/>
        <v>4.6487999999999996</v>
      </c>
      <c r="Q23" s="5"/>
      <c r="R23" s="5"/>
      <c r="S23" s="1"/>
      <c r="T23" s="1">
        <f t="shared" si="4"/>
        <v>15.638444329719499</v>
      </c>
      <c r="U23" s="1">
        <f t="shared" si="5"/>
        <v>15.638444329719499</v>
      </c>
      <c r="V23" s="1">
        <v>2.6461999999999999</v>
      </c>
      <c r="W23" s="1">
        <v>2.9929999999999999</v>
      </c>
      <c r="X23" s="1">
        <v>3.1008</v>
      </c>
      <c r="Y23" s="1">
        <v>1.5924</v>
      </c>
      <c r="Z23" s="1"/>
      <c r="AA23" s="1">
        <f t="shared" si="8"/>
        <v>0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58</v>
      </c>
      <c r="B24" s="1" t="s">
        <v>31</v>
      </c>
      <c r="C24" s="1">
        <v>224.55699999999999</v>
      </c>
      <c r="D24" s="1">
        <v>169.3</v>
      </c>
      <c r="E24" s="1">
        <v>134.696</v>
      </c>
      <c r="F24" s="1">
        <v>209.023</v>
      </c>
      <c r="G24" s="7">
        <v>1</v>
      </c>
      <c r="H24" s="1">
        <v>60</v>
      </c>
      <c r="I24" s="1" t="s">
        <v>32</v>
      </c>
      <c r="J24" s="1">
        <v>161.30000000000001</v>
      </c>
      <c r="K24" s="1">
        <f t="shared" si="1"/>
        <v>-26.604000000000013</v>
      </c>
      <c r="L24" s="1"/>
      <c r="M24" s="1"/>
      <c r="N24" s="1">
        <v>700</v>
      </c>
      <c r="O24" s="1">
        <v>150</v>
      </c>
      <c r="P24" s="1">
        <f t="shared" si="3"/>
        <v>26.9392</v>
      </c>
      <c r="Q24" s="5"/>
      <c r="R24" s="5"/>
      <c r="S24" s="1"/>
      <c r="T24" s="1">
        <f t="shared" si="4"/>
        <v>39.311597968759287</v>
      </c>
      <c r="U24" s="1">
        <f t="shared" si="5"/>
        <v>39.311597968759287</v>
      </c>
      <c r="V24" s="1">
        <v>16.023599999999998</v>
      </c>
      <c r="W24" s="1">
        <v>23.026199999999999</v>
      </c>
      <c r="X24" s="1">
        <v>16.991</v>
      </c>
      <c r="Y24" s="1">
        <v>6.0114000000000001</v>
      </c>
      <c r="Z24" s="20" t="s">
        <v>34</v>
      </c>
      <c r="AA24" s="1">
        <f t="shared" si="8"/>
        <v>0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59</v>
      </c>
      <c r="B25" s="1" t="s">
        <v>31</v>
      </c>
      <c r="C25" s="1">
        <v>25.513000000000002</v>
      </c>
      <c r="D25" s="1">
        <v>14.041</v>
      </c>
      <c r="E25" s="1">
        <v>21.701000000000001</v>
      </c>
      <c r="F25" s="1">
        <v>3.9580000000000002</v>
      </c>
      <c r="G25" s="7">
        <v>1</v>
      </c>
      <c r="H25" s="1">
        <v>60</v>
      </c>
      <c r="I25" s="1" t="s">
        <v>32</v>
      </c>
      <c r="J25" s="1">
        <v>23.1</v>
      </c>
      <c r="K25" s="1">
        <f t="shared" si="1"/>
        <v>-1.3990000000000009</v>
      </c>
      <c r="L25" s="1"/>
      <c r="M25" s="1"/>
      <c r="N25" s="1">
        <v>20</v>
      </c>
      <c r="O25" s="1">
        <v>20</v>
      </c>
      <c r="P25" s="1">
        <f t="shared" si="3"/>
        <v>4.3402000000000003</v>
      </c>
      <c r="Q25" s="5">
        <f t="shared" ref="Q25" si="9">13*P25-O25-N25-F25</f>
        <v>12.464600000000003</v>
      </c>
      <c r="R25" s="5"/>
      <c r="S25" s="1"/>
      <c r="T25" s="1">
        <f t="shared" si="4"/>
        <v>13</v>
      </c>
      <c r="U25" s="1">
        <f t="shared" si="5"/>
        <v>10.128104695636145</v>
      </c>
      <c r="V25" s="1">
        <v>2.1143999999999998</v>
      </c>
      <c r="W25" s="1">
        <v>3.3460000000000001</v>
      </c>
      <c r="X25" s="1">
        <v>2.9931999999999999</v>
      </c>
      <c r="Y25" s="1">
        <v>1.4157999999999999</v>
      </c>
      <c r="Z25" s="1"/>
      <c r="AA25" s="1">
        <f t="shared" si="8"/>
        <v>12.464600000000003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0" t="s">
        <v>60</v>
      </c>
      <c r="B26" s="10" t="s">
        <v>31</v>
      </c>
      <c r="C26" s="10">
        <v>-5.016</v>
      </c>
      <c r="D26" s="10">
        <v>5.016</v>
      </c>
      <c r="E26" s="10"/>
      <c r="F26" s="10"/>
      <c r="G26" s="11">
        <v>0</v>
      </c>
      <c r="H26" s="10" t="e">
        <v>#N/A</v>
      </c>
      <c r="I26" s="10" t="s">
        <v>43</v>
      </c>
      <c r="J26" s="10"/>
      <c r="K26" s="10">
        <f t="shared" si="1"/>
        <v>0</v>
      </c>
      <c r="L26" s="10"/>
      <c r="M26" s="10"/>
      <c r="N26" s="10">
        <v>0</v>
      </c>
      <c r="O26" s="10">
        <v>0</v>
      </c>
      <c r="P26" s="10">
        <f t="shared" si="3"/>
        <v>0</v>
      </c>
      <c r="Q26" s="12"/>
      <c r="R26" s="12"/>
      <c r="S26" s="10"/>
      <c r="T26" s="10" t="e">
        <f t="shared" si="4"/>
        <v>#DIV/0!</v>
      </c>
      <c r="U26" s="10" t="e">
        <f t="shared" si="5"/>
        <v>#DIV/0!</v>
      </c>
      <c r="V26" s="10">
        <v>1.0032000000000001</v>
      </c>
      <c r="W26" s="10">
        <v>1.0032000000000001</v>
      </c>
      <c r="X26" s="10">
        <v>0</v>
      </c>
      <c r="Y26" s="10">
        <v>0</v>
      </c>
      <c r="Z26" s="10" t="s">
        <v>61</v>
      </c>
      <c r="AA26" s="10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62</v>
      </c>
      <c r="B27" s="1" t="s">
        <v>31</v>
      </c>
      <c r="C27" s="1">
        <v>24.437999999999999</v>
      </c>
      <c r="D27" s="1">
        <v>0.97199999999999998</v>
      </c>
      <c r="E27" s="1">
        <v>22.602</v>
      </c>
      <c r="F27" s="1">
        <v>2.1000000000000001E-2</v>
      </c>
      <c r="G27" s="7">
        <v>1</v>
      </c>
      <c r="H27" s="1">
        <v>70</v>
      </c>
      <c r="I27" s="1" t="s">
        <v>32</v>
      </c>
      <c r="J27" s="1">
        <v>23.7</v>
      </c>
      <c r="K27" s="1">
        <f t="shared" si="1"/>
        <v>-1.097999999999999</v>
      </c>
      <c r="L27" s="1"/>
      <c r="M27" s="1"/>
      <c r="N27" s="1">
        <v>40</v>
      </c>
      <c r="O27" s="1">
        <v>10</v>
      </c>
      <c r="P27" s="1">
        <f t="shared" si="3"/>
        <v>4.5204000000000004</v>
      </c>
      <c r="Q27" s="5">
        <f t="shared" ref="Q27:Q38" si="10">13*P27-O27-N27-F27</f>
        <v>8.7442000000000064</v>
      </c>
      <c r="R27" s="5"/>
      <c r="S27" s="1"/>
      <c r="T27" s="1">
        <f t="shared" si="4"/>
        <v>13</v>
      </c>
      <c r="U27" s="1">
        <f t="shared" si="5"/>
        <v>11.065613662507742</v>
      </c>
      <c r="V27" s="1">
        <v>1.377</v>
      </c>
      <c r="W27" s="1">
        <v>1.9044000000000001</v>
      </c>
      <c r="X27" s="1">
        <v>2.9962</v>
      </c>
      <c r="Y27" s="1">
        <v>1.2292000000000001</v>
      </c>
      <c r="Z27" s="1"/>
      <c r="AA27" s="1">
        <f t="shared" ref="AA27:AA38" si="11">G27*Q27</f>
        <v>8.7442000000000064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63</v>
      </c>
      <c r="B28" s="1" t="s">
        <v>31</v>
      </c>
      <c r="C28" s="1">
        <v>59.359000000000002</v>
      </c>
      <c r="D28" s="1">
        <v>51.826000000000001</v>
      </c>
      <c r="E28" s="1">
        <v>36.914999999999999</v>
      </c>
      <c r="F28" s="1">
        <v>23.762</v>
      </c>
      <c r="G28" s="7">
        <v>1</v>
      </c>
      <c r="H28" s="1">
        <v>70</v>
      </c>
      <c r="I28" s="1" t="s">
        <v>32</v>
      </c>
      <c r="J28" s="1">
        <v>37.75</v>
      </c>
      <c r="K28" s="1">
        <f t="shared" si="1"/>
        <v>-0.83500000000000085</v>
      </c>
      <c r="L28" s="1"/>
      <c r="M28" s="1"/>
      <c r="N28" s="1">
        <v>25</v>
      </c>
      <c r="O28" s="1">
        <v>20</v>
      </c>
      <c r="P28" s="1">
        <f t="shared" si="3"/>
        <v>7.383</v>
      </c>
      <c r="Q28" s="5">
        <f t="shared" si="10"/>
        <v>27.216999999999999</v>
      </c>
      <c r="R28" s="5"/>
      <c r="S28" s="1"/>
      <c r="T28" s="1">
        <f t="shared" si="4"/>
        <v>13</v>
      </c>
      <c r="U28" s="1">
        <f t="shared" si="5"/>
        <v>9.3135581741839353</v>
      </c>
      <c r="V28" s="1">
        <v>5.2601999999999993</v>
      </c>
      <c r="W28" s="1">
        <v>5.9394</v>
      </c>
      <c r="X28" s="1">
        <v>6.4458000000000002</v>
      </c>
      <c r="Y28" s="1">
        <v>1.5778000000000001</v>
      </c>
      <c r="Z28" s="1"/>
      <c r="AA28" s="1">
        <f t="shared" si="11"/>
        <v>27.216999999999999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64</v>
      </c>
      <c r="B29" s="1" t="s">
        <v>31</v>
      </c>
      <c r="C29" s="1">
        <v>61.396999999999998</v>
      </c>
      <c r="D29" s="1">
        <v>13.419</v>
      </c>
      <c r="E29" s="1">
        <v>54.581000000000003</v>
      </c>
      <c r="F29" s="1">
        <v>1.369</v>
      </c>
      <c r="G29" s="7">
        <v>1</v>
      </c>
      <c r="H29" s="1">
        <v>35</v>
      </c>
      <c r="I29" s="1" t="s">
        <v>32</v>
      </c>
      <c r="J29" s="1">
        <v>67.400000000000006</v>
      </c>
      <c r="K29" s="1">
        <f t="shared" si="1"/>
        <v>-12.819000000000003</v>
      </c>
      <c r="L29" s="1"/>
      <c r="M29" s="1"/>
      <c r="N29" s="1">
        <v>80</v>
      </c>
      <c r="O29" s="1">
        <v>130</v>
      </c>
      <c r="P29" s="1">
        <f t="shared" si="3"/>
        <v>10.9162</v>
      </c>
      <c r="Q29" s="5"/>
      <c r="R29" s="5"/>
      <c r="S29" s="1"/>
      <c r="T29" s="1">
        <f t="shared" si="4"/>
        <v>19.362873527417968</v>
      </c>
      <c r="U29" s="1">
        <f t="shared" si="5"/>
        <v>19.362873527417968</v>
      </c>
      <c r="V29" s="1">
        <v>14.615</v>
      </c>
      <c r="W29" s="1">
        <v>11.616</v>
      </c>
      <c r="X29" s="1">
        <v>13.0474</v>
      </c>
      <c r="Y29" s="1">
        <v>7.2358000000000002</v>
      </c>
      <c r="Z29" s="1"/>
      <c r="AA29" s="1">
        <f t="shared" si="11"/>
        <v>0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31</v>
      </c>
      <c r="C30" s="1">
        <v>-12.558</v>
      </c>
      <c r="D30" s="1">
        <v>17.850000000000001</v>
      </c>
      <c r="E30" s="16">
        <f>E71</f>
        <v>68.674000000000007</v>
      </c>
      <c r="F30" s="16">
        <f>5.05+F71</f>
        <v>0.73599999999999977</v>
      </c>
      <c r="G30" s="7">
        <v>1</v>
      </c>
      <c r="H30" s="1">
        <v>40</v>
      </c>
      <c r="I30" s="1" t="s">
        <v>32</v>
      </c>
      <c r="J30" s="1"/>
      <c r="K30" s="1">
        <f t="shared" si="1"/>
        <v>68.674000000000007</v>
      </c>
      <c r="L30" s="1"/>
      <c r="M30" s="1"/>
      <c r="N30" s="1">
        <v>0</v>
      </c>
      <c r="O30" s="1">
        <v>100</v>
      </c>
      <c r="P30" s="1">
        <f t="shared" si="3"/>
        <v>13.734800000000002</v>
      </c>
      <c r="Q30" s="5">
        <f t="shared" si="10"/>
        <v>77.81640000000003</v>
      </c>
      <c r="R30" s="5"/>
      <c r="S30" s="1"/>
      <c r="T30" s="1">
        <f t="shared" si="4"/>
        <v>13.000000000000002</v>
      </c>
      <c r="U30" s="1">
        <f t="shared" si="5"/>
        <v>7.3343623496519781</v>
      </c>
      <c r="V30" s="1">
        <v>3.9925999999999999</v>
      </c>
      <c r="W30" s="1">
        <v>4.1627999999999998</v>
      </c>
      <c r="X30" s="1">
        <v>9.2585999999999995</v>
      </c>
      <c r="Y30" s="1">
        <v>3.0413999999999999</v>
      </c>
      <c r="Z30" s="1" t="s">
        <v>41</v>
      </c>
      <c r="AA30" s="1">
        <f t="shared" si="11"/>
        <v>77.81640000000003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66</v>
      </c>
      <c r="B31" s="1" t="s">
        <v>31</v>
      </c>
      <c r="C31" s="1">
        <v>-2.0720000000000001</v>
      </c>
      <c r="D31" s="1">
        <v>8.8420000000000005</v>
      </c>
      <c r="E31" s="1"/>
      <c r="F31" s="1"/>
      <c r="G31" s="7">
        <v>1</v>
      </c>
      <c r="H31" s="1">
        <v>30</v>
      </c>
      <c r="I31" s="1" t="s">
        <v>32</v>
      </c>
      <c r="J31" s="1"/>
      <c r="K31" s="1">
        <f t="shared" si="1"/>
        <v>0</v>
      </c>
      <c r="L31" s="1"/>
      <c r="M31" s="1"/>
      <c r="N31" s="1">
        <v>180</v>
      </c>
      <c r="O31" s="1">
        <v>140</v>
      </c>
      <c r="P31" s="1">
        <f t="shared" si="3"/>
        <v>0</v>
      </c>
      <c r="Q31" s="5"/>
      <c r="R31" s="5"/>
      <c r="S31" s="1"/>
      <c r="T31" s="1" t="e">
        <f t="shared" si="4"/>
        <v>#DIV/0!</v>
      </c>
      <c r="U31" s="1" t="e">
        <f t="shared" si="5"/>
        <v>#DIV/0!</v>
      </c>
      <c r="V31" s="1">
        <v>17.565999999999999</v>
      </c>
      <c r="W31" s="1">
        <v>17.286000000000001</v>
      </c>
      <c r="X31" s="1">
        <v>0.55499999999999994</v>
      </c>
      <c r="Y31" s="1">
        <v>7.7126000000000001</v>
      </c>
      <c r="Z31" s="1"/>
      <c r="AA31" s="1">
        <f t="shared" si="11"/>
        <v>0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67</v>
      </c>
      <c r="B32" s="1" t="s">
        <v>31</v>
      </c>
      <c r="C32" s="1">
        <v>55.021000000000001</v>
      </c>
      <c r="D32" s="1">
        <v>5.0369999999999999</v>
      </c>
      <c r="E32" s="1">
        <v>49.8</v>
      </c>
      <c r="F32" s="1">
        <v>4.4480000000000004</v>
      </c>
      <c r="G32" s="7">
        <v>1</v>
      </c>
      <c r="H32" s="1">
        <v>30</v>
      </c>
      <c r="I32" s="1" t="s">
        <v>32</v>
      </c>
      <c r="J32" s="1">
        <v>49.4</v>
      </c>
      <c r="K32" s="1">
        <f t="shared" si="1"/>
        <v>0.39999999999999858</v>
      </c>
      <c r="L32" s="1"/>
      <c r="M32" s="1"/>
      <c r="N32" s="1">
        <v>60</v>
      </c>
      <c r="O32" s="1">
        <v>60</v>
      </c>
      <c r="P32" s="1">
        <f t="shared" si="3"/>
        <v>9.9599999999999991</v>
      </c>
      <c r="Q32" s="5">
        <f t="shared" si="10"/>
        <v>5.0319999999999894</v>
      </c>
      <c r="R32" s="5"/>
      <c r="S32" s="1"/>
      <c r="T32" s="1">
        <f t="shared" si="4"/>
        <v>13</v>
      </c>
      <c r="U32" s="1">
        <f t="shared" si="5"/>
        <v>12.494779116465866</v>
      </c>
      <c r="V32" s="1">
        <v>5.2362000000000002</v>
      </c>
      <c r="W32" s="1">
        <v>4.6265999999999998</v>
      </c>
      <c r="X32" s="1">
        <v>0</v>
      </c>
      <c r="Y32" s="1">
        <v>5.452</v>
      </c>
      <c r="Z32" s="1"/>
      <c r="AA32" s="1">
        <f t="shared" si="11"/>
        <v>5.0319999999999894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68</v>
      </c>
      <c r="B33" s="1" t="s">
        <v>31</v>
      </c>
      <c r="C33" s="1">
        <v>97.478999999999999</v>
      </c>
      <c r="D33" s="1">
        <v>58.731999999999999</v>
      </c>
      <c r="E33" s="1">
        <v>97.266999999999996</v>
      </c>
      <c r="F33" s="1">
        <v>2.641</v>
      </c>
      <c r="G33" s="7">
        <v>1</v>
      </c>
      <c r="H33" s="1">
        <v>30</v>
      </c>
      <c r="I33" s="1" t="s">
        <v>32</v>
      </c>
      <c r="J33" s="1">
        <v>120.1</v>
      </c>
      <c r="K33" s="1">
        <f t="shared" si="1"/>
        <v>-22.832999999999998</v>
      </c>
      <c r="L33" s="1"/>
      <c r="M33" s="1"/>
      <c r="N33" s="1">
        <v>180</v>
      </c>
      <c r="O33" s="1">
        <v>100</v>
      </c>
      <c r="P33" s="1">
        <f t="shared" si="3"/>
        <v>19.453399999999998</v>
      </c>
      <c r="Q33" s="5"/>
      <c r="R33" s="5"/>
      <c r="S33" s="1"/>
      <c r="T33" s="1">
        <f t="shared" si="4"/>
        <v>14.529131154451148</v>
      </c>
      <c r="U33" s="1">
        <f t="shared" si="5"/>
        <v>14.529131154451148</v>
      </c>
      <c r="V33" s="1">
        <v>19.637799999999999</v>
      </c>
      <c r="W33" s="1">
        <v>12.981199999999999</v>
      </c>
      <c r="X33" s="1">
        <v>12.462999999999999</v>
      </c>
      <c r="Y33" s="1">
        <v>10.148</v>
      </c>
      <c r="Z33" s="1"/>
      <c r="AA33" s="1">
        <f t="shared" si="11"/>
        <v>0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31</v>
      </c>
      <c r="C34" s="1">
        <v>1151.2940000000001</v>
      </c>
      <c r="D34" s="1">
        <v>1270.0360000000001</v>
      </c>
      <c r="E34" s="1">
        <v>898.88099999999997</v>
      </c>
      <c r="F34" s="1">
        <v>167.09700000000001</v>
      </c>
      <c r="G34" s="7">
        <v>1</v>
      </c>
      <c r="H34" s="1">
        <v>40</v>
      </c>
      <c r="I34" s="1" t="s">
        <v>32</v>
      </c>
      <c r="J34" s="1">
        <v>934.8</v>
      </c>
      <c r="K34" s="1">
        <f t="shared" si="1"/>
        <v>-35.918999999999983</v>
      </c>
      <c r="L34" s="1"/>
      <c r="M34" s="1"/>
      <c r="N34" s="1">
        <v>1700</v>
      </c>
      <c r="O34" s="1">
        <v>400</v>
      </c>
      <c r="P34" s="1">
        <f t="shared" si="3"/>
        <v>179.77619999999999</v>
      </c>
      <c r="Q34" s="5">
        <f t="shared" si="10"/>
        <v>69.993599999999986</v>
      </c>
      <c r="R34" s="5"/>
      <c r="S34" s="1"/>
      <c r="T34" s="1">
        <f t="shared" si="4"/>
        <v>12.999999999999998</v>
      </c>
      <c r="U34" s="1">
        <f t="shared" si="5"/>
        <v>12.610662590487506</v>
      </c>
      <c r="V34" s="1">
        <v>109.5076</v>
      </c>
      <c r="W34" s="1">
        <v>94.759</v>
      </c>
      <c r="X34" s="1">
        <v>153.4126</v>
      </c>
      <c r="Y34" s="1">
        <v>69.43719999999999</v>
      </c>
      <c r="Z34" s="1"/>
      <c r="AA34" s="1">
        <f t="shared" si="11"/>
        <v>69.993599999999986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31</v>
      </c>
      <c r="C35" s="1">
        <v>5.1849999999999996</v>
      </c>
      <c r="D35" s="1">
        <v>11.843</v>
      </c>
      <c r="E35" s="1">
        <v>4.2439999999999998</v>
      </c>
      <c r="F35" s="1">
        <v>2.948</v>
      </c>
      <c r="G35" s="7">
        <v>1</v>
      </c>
      <c r="H35" s="1">
        <v>40</v>
      </c>
      <c r="I35" s="1" t="s">
        <v>32</v>
      </c>
      <c r="J35" s="1">
        <v>21</v>
      </c>
      <c r="K35" s="1">
        <f t="shared" si="1"/>
        <v>-16.756</v>
      </c>
      <c r="L35" s="1"/>
      <c r="M35" s="1"/>
      <c r="N35" s="1">
        <v>180</v>
      </c>
      <c r="O35" s="1">
        <v>0</v>
      </c>
      <c r="P35" s="1">
        <f t="shared" si="3"/>
        <v>0.8488</v>
      </c>
      <c r="Q35" s="5"/>
      <c r="R35" s="5"/>
      <c r="S35" s="1"/>
      <c r="T35" s="1">
        <f t="shared" si="4"/>
        <v>215.53722902921774</v>
      </c>
      <c r="U35" s="1">
        <f t="shared" si="5"/>
        <v>215.53722902921774</v>
      </c>
      <c r="V35" s="1">
        <v>17.243600000000001</v>
      </c>
      <c r="W35" s="1">
        <v>14.3268</v>
      </c>
      <c r="X35" s="1">
        <v>3.7038000000000002</v>
      </c>
      <c r="Y35" s="1">
        <v>7.194799999999999</v>
      </c>
      <c r="Z35" s="1"/>
      <c r="AA35" s="1">
        <f t="shared" si="11"/>
        <v>0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71</v>
      </c>
      <c r="B36" s="1" t="s">
        <v>31</v>
      </c>
      <c r="C36" s="1">
        <v>12.428000000000001</v>
      </c>
      <c r="D36" s="1">
        <v>6.7370000000000001</v>
      </c>
      <c r="E36" s="1">
        <v>16.521000000000001</v>
      </c>
      <c r="F36" s="1"/>
      <c r="G36" s="7">
        <v>1</v>
      </c>
      <c r="H36" s="1">
        <v>30</v>
      </c>
      <c r="I36" s="1" t="s">
        <v>32</v>
      </c>
      <c r="J36" s="1">
        <v>32.5</v>
      </c>
      <c r="K36" s="1">
        <f t="shared" si="1"/>
        <v>-15.978999999999999</v>
      </c>
      <c r="L36" s="1"/>
      <c r="M36" s="1"/>
      <c r="N36" s="1">
        <v>200</v>
      </c>
      <c r="O36" s="1">
        <v>40</v>
      </c>
      <c r="P36" s="1">
        <f t="shared" si="3"/>
        <v>3.3042000000000002</v>
      </c>
      <c r="Q36" s="5"/>
      <c r="R36" s="5"/>
      <c r="S36" s="1"/>
      <c r="T36" s="1">
        <f t="shared" si="4"/>
        <v>72.634828400217899</v>
      </c>
      <c r="U36" s="1">
        <f t="shared" si="5"/>
        <v>72.634828400217899</v>
      </c>
      <c r="V36" s="1">
        <v>12.3324</v>
      </c>
      <c r="W36" s="1">
        <v>8.7322000000000006</v>
      </c>
      <c r="X36" s="1">
        <v>5.4988000000000001</v>
      </c>
      <c r="Y36" s="1">
        <v>5.2978000000000014</v>
      </c>
      <c r="Z36" s="1"/>
      <c r="AA36" s="1">
        <f t="shared" si="11"/>
        <v>0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72</v>
      </c>
      <c r="B37" s="1" t="s">
        <v>38</v>
      </c>
      <c r="C37" s="1">
        <v>85</v>
      </c>
      <c r="D37" s="1">
        <v>21</v>
      </c>
      <c r="E37" s="1">
        <v>84</v>
      </c>
      <c r="F37" s="1">
        <v>8</v>
      </c>
      <c r="G37" s="7">
        <v>0.35</v>
      </c>
      <c r="H37" s="1">
        <v>40</v>
      </c>
      <c r="I37" s="1" t="s">
        <v>32</v>
      </c>
      <c r="J37" s="1">
        <v>133</v>
      </c>
      <c r="K37" s="1">
        <f t="shared" si="1"/>
        <v>-49</v>
      </c>
      <c r="L37" s="1"/>
      <c r="M37" s="1"/>
      <c r="N37" s="1">
        <v>50</v>
      </c>
      <c r="O37" s="1">
        <v>180</v>
      </c>
      <c r="P37" s="1">
        <f t="shared" si="3"/>
        <v>16.8</v>
      </c>
      <c r="Q37" s="5"/>
      <c r="R37" s="5"/>
      <c r="S37" s="1"/>
      <c r="T37" s="1">
        <f t="shared" si="4"/>
        <v>14.166666666666666</v>
      </c>
      <c r="U37" s="1">
        <f t="shared" si="5"/>
        <v>14.166666666666666</v>
      </c>
      <c r="V37" s="1">
        <v>3</v>
      </c>
      <c r="W37" s="1">
        <v>4.8</v>
      </c>
      <c r="X37" s="1">
        <v>14</v>
      </c>
      <c r="Y37" s="1">
        <v>4.2</v>
      </c>
      <c r="Z37" s="1"/>
      <c r="AA37" s="1">
        <f t="shared" si="11"/>
        <v>0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73</v>
      </c>
      <c r="B38" s="1" t="s">
        <v>38</v>
      </c>
      <c r="C38" s="1">
        <v>417</v>
      </c>
      <c r="D38" s="1">
        <v>192</v>
      </c>
      <c r="E38" s="1">
        <v>403</v>
      </c>
      <c r="F38" s="1">
        <v>8</v>
      </c>
      <c r="G38" s="7">
        <v>0.4</v>
      </c>
      <c r="H38" s="1">
        <v>45</v>
      </c>
      <c r="I38" s="1" t="s">
        <v>32</v>
      </c>
      <c r="J38" s="1">
        <v>433</v>
      </c>
      <c r="K38" s="1">
        <f t="shared" ref="K38:K69" si="12">E38-J38</f>
        <v>-30</v>
      </c>
      <c r="L38" s="1"/>
      <c r="M38" s="1"/>
      <c r="N38" s="1">
        <v>100</v>
      </c>
      <c r="O38" s="1">
        <v>600</v>
      </c>
      <c r="P38" s="1">
        <f t="shared" si="3"/>
        <v>80.599999999999994</v>
      </c>
      <c r="Q38" s="5">
        <f t="shared" si="10"/>
        <v>339.79999999999995</v>
      </c>
      <c r="R38" s="5"/>
      <c r="S38" s="1"/>
      <c r="T38" s="1">
        <f t="shared" si="4"/>
        <v>13</v>
      </c>
      <c r="U38" s="1">
        <f t="shared" si="5"/>
        <v>8.7841191066997517</v>
      </c>
      <c r="V38" s="1">
        <v>9.8000000000000007</v>
      </c>
      <c r="W38" s="1">
        <v>23</v>
      </c>
      <c r="X38" s="1">
        <v>58</v>
      </c>
      <c r="Y38" s="1">
        <v>15.8</v>
      </c>
      <c r="Z38" s="1"/>
      <c r="AA38" s="1">
        <f t="shared" si="11"/>
        <v>135.91999999999999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0" t="s">
        <v>74</v>
      </c>
      <c r="B39" s="10" t="s">
        <v>38</v>
      </c>
      <c r="C39" s="10">
        <v>-5</v>
      </c>
      <c r="D39" s="10">
        <v>17</v>
      </c>
      <c r="E39" s="10"/>
      <c r="F39" s="16">
        <v>12</v>
      </c>
      <c r="G39" s="11">
        <v>0</v>
      </c>
      <c r="H39" s="10" t="e">
        <v>#N/A</v>
      </c>
      <c r="I39" s="10" t="s">
        <v>43</v>
      </c>
      <c r="J39" s="10"/>
      <c r="K39" s="10">
        <f t="shared" si="12"/>
        <v>0</v>
      </c>
      <c r="L39" s="10"/>
      <c r="M39" s="10"/>
      <c r="N39" s="10">
        <v>0</v>
      </c>
      <c r="O39" s="10">
        <v>0</v>
      </c>
      <c r="P39" s="10">
        <f t="shared" si="3"/>
        <v>0</v>
      </c>
      <c r="Q39" s="12"/>
      <c r="R39" s="12"/>
      <c r="S39" s="10"/>
      <c r="T39" s="10" t="e">
        <f t="shared" si="4"/>
        <v>#DIV/0!</v>
      </c>
      <c r="U39" s="10" t="e">
        <f t="shared" si="5"/>
        <v>#DIV/0!</v>
      </c>
      <c r="V39" s="10">
        <v>1</v>
      </c>
      <c r="W39" s="10">
        <v>0.6</v>
      </c>
      <c r="X39" s="10">
        <v>0</v>
      </c>
      <c r="Y39" s="10">
        <v>0</v>
      </c>
      <c r="Z39" s="10" t="s">
        <v>75</v>
      </c>
      <c r="AA39" s="10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76</v>
      </c>
      <c r="B40" s="1" t="s">
        <v>38</v>
      </c>
      <c r="C40" s="1">
        <v>242</v>
      </c>
      <c r="D40" s="1">
        <v>46</v>
      </c>
      <c r="E40" s="1">
        <v>230</v>
      </c>
      <c r="F40" s="1">
        <v>16</v>
      </c>
      <c r="G40" s="7">
        <v>0.4</v>
      </c>
      <c r="H40" s="1">
        <v>45</v>
      </c>
      <c r="I40" s="1" t="s">
        <v>32</v>
      </c>
      <c r="J40" s="1">
        <v>320</v>
      </c>
      <c r="K40" s="1">
        <f t="shared" si="12"/>
        <v>-90</v>
      </c>
      <c r="L40" s="1"/>
      <c r="M40" s="1"/>
      <c r="N40" s="1">
        <v>200</v>
      </c>
      <c r="O40" s="1">
        <v>300</v>
      </c>
      <c r="P40" s="1">
        <f t="shared" si="3"/>
        <v>46</v>
      </c>
      <c r="Q40" s="5">
        <f t="shared" ref="Q40:Q41" si="13">13*P40-O40-N40-F40</f>
        <v>82</v>
      </c>
      <c r="R40" s="5"/>
      <c r="S40" s="1"/>
      <c r="T40" s="1">
        <f t="shared" si="4"/>
        <v>13</v>
      </c>
      <c r="U40" s="1">
        <f t="shared" si="5"/>
        <v>11.217391304347826</v>
      </c>
      <c r="V40" s="1">
        <v>8.4</v>
      </c>
      <c r="W40" s="1">
        <v>9.1999999999999993</v>
      </c>
      <c r="X40" s="1">
        <v>35.4</v>
      </c>
      <c r="Y40" s="1">
        <v>12</v>
      </c>
      <c r="Z40" s="1"/>
      <c r="AA40" s="1">
        <f>G40*Q40</f>
        <v>32.800000000000004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77</v>
      </c>
      <c r="B41" s="1" t="s">
        <v>38</v>
      </c>
      <c r="C41" s="1">
        <v>144</v>
      </c>
      <c r="D41" s="1">
        <v>17</v>
      </c>
      <c r="E41" s="1">
        <v>146</v>
      </c>
      <c r="F41" s="1">
        <v>5</v>
      </c>
      <c r="G41" s="7">
        <v>0.4</v>
      </c>
      <c r="H41" s="1">
        <v>50</v>
      </c>
      <c r="I41" s="1" t="s">
        <v>32</v>
      </c>
      <c r="J41" s="1">
        <v>168</v>
      </c>
      <c r="K41" s="1">
        <f t="shared" si="12"/>
        <v>-22</v>
      </c>
      <c r="L41" s="1"/>
      <c r="M41" s="1"/>
      <c r="N41" s="1">
        <v>0</v>
      </c>
      <c r="O41" s="1">
        <v>220</v>
      </c>
      <c r="P41" s="1">
        <f t="shared" si="3"/>
        <v>29.2</v>
      </c>
      <c r="Q41" s="5">
        <f t="shared" si="13"/>
        <v>154.59999999999997</v>
      </c>
      <c r="R41" s="5"/>
      <c r="S41" s="1"/>
      <c r="T41" s="1">
        <f t="shared" si="4"/>
        <v>13</v>
      </c>
      <c r="U41" s="1">
        <f t="shared" si="5"/>
        <v>7.7054794520547949</v>
      </c>
      <c r="V41" s="1">
        <v>4.5999999999999996</v>
      </c>
      <c r="W41" s="1">
        <v>12.4</v>
      </c>
      <c r="X41" s="1">
        <v>20.2</v>
      </c>
      <c r="Y41" s="1">
        <v>0</v>
      </c>
      <c r="Z41" s="1"/>
      <c r="AA41" s="1">
        <f>G41*Q41</f>
        <v>61.839999999999989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78</v>
      </c>
      <c r="B42" s="1" t="s">
        <v>38</v>
      </c>
      <c r="C42" s="1">
        <v>125</v>
      </c>
      <c r="D42" s="1">
        <v>19</v>
      </c>
      <c r="E42" s="1">
        <v>125</v>
      </c>
      <c r="F42" s="1">
        <v>8</v>
      </c>
      <c r="G42" s="7">
        <v>0.4</v>
      </c>
      <c r="H42" s="1">
        <v>40</v>
      </c>
      <c r="I42" s="1" t="s">
        <v>32</v>
      </c>
      <c r="J42" s="1">
        <v>188</v>
      </c>
      <c r="K42" s="1">
        <f t="shared" si="12"/>
        <v>-63</v>
      </c>
      <c r="L42" s="1"/>
      <c r="M42" s="1"/>
      <c r="N42" s="1">
        <v>120</v>
      </c>
      <c r="O42" s="1">
        <v>260</v>
      </c>
      <c r="P42" s="1">
        <f t="shared" si="3"/>
        <v>25</v>
      </c>
      <c r="Q42" s="5"/>
      <c r="R42" s="5"/>
      <c r="S42" s="1"/>
      <c r="T42" s="1">
        <f t="shared" si="4"/>
        <v>15.52</v>
      </c>
      <c r="U42" s="1">
        <f t="shared" si="5"/>
        <v>15.52</v>
      </c>
      <c r="V42" s="1">
        <v>8</v>
      </c>
      <c r="W42" s="1">
        <v>3</v>
      </c>
      <c r="X42" s="1">
        <v>20</v>
      </c>
      <c r="Y42" s="1">
        <v>7.2</v>
      </c>
      <c r="Z42" s="1"/>
      <c r="AA42" s="1">
        <f>G42*Q42</f>
        <v>0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0" t="s">
        <v>79</v>
      </c>
      <c r="B43" s="10" t="s">
        <v>38</v>
      </c>
      <c r="C43" s="10">
        <v>-2</v>
      </c>
      <c r="D43" s="10">
        <v>2</v>
      </c>
      <c r="E43" s="10"/>
      <c r="F43" s="10"/>
      <c r="G43" s="11">
        <v>0</v>
      </c>
      <c r="H43" s="10" t="e">
        <v>#N/A</v>
      </c>
      <c r="I43" s="10" t="s">
        <v>43</v>
      </c>
      <c r="J43" s="10"/>
      <c r="K43" s="10">
        <f t="shared" si="12"/>
        <v>0</v>
      </c>
      <c r="L43" s="10"/>
      <c r="M43" s="10"/>
      <c r="N43" s="10">
        <v>0</v>
      </c>
      <c r="O43" s="10">
        <v>0</v>
      </c>
      <c r="P43" s="10">
        <f t="shared" si="3"/>
        <v>0</v>
      </c>
      <c r="Q43" s="12"/>
      <c r="R43" s="12"/>
      <c r="S43" s="10"/>
      <c r="T43" s="10" t="e">
        <f t="shared" si="4"/>
        <v>#DIV/0!</v>
      </c>
      <c r="U43" s="10" t="e">
        <f t="shared" si="5"/>
        <v>#DIV/0!</v>
      </c>
      <c r="V43" s="10">
        <v>0.4</v>
      </c>
      <c r="W43" s="10">
        <v>0.4</v>
      </c>
      <c r="X43" s="10">
        <v>0</v>
      </c>
      <c r="Y43" s="10">
        <v>0</v>
      </c>
      <c r="Z43" s="10" t="s">
        <v>80</v>
      </c>
      <c r="AA43" s="10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81</v>
      </c>
      <c r="B44" s="1" t="s">
        <v>38</v>
      </c>
      <c r="C44" s="1">
        <v>148</v>
      </c>
      <c r="D44" s="1">
        <v>24</v>
      </c>
      <c r="E44" s="1">
        <v>149</v>
      </c>
      <c r="F44" s="1">
        <v>8</v>
      </c>
      <c r="G44" s="7">
        <v>0.1</v>
      </c>
      <c r="H44" s="1">
        <v>730</v>
      </c>
      <c r="I44" s="1" t="s">
        <v>32</v>
      </c>
      <c r="J44" s="1">
        <v>192</v>
      </c>
      <c r="K44" s="1">
        <f t="shared" si="12"/>
        <v>-43</v>
      </c>
      <c r="L44" s="1"/>
      <c r="M44" s="1"/>
      <c r="N44" s="1">
        <v>200</v>
      </c>
      <c r="O44" s="1">
        <v>300</v>
      </c>
      <c r="P44" s="1">
        <f t="shared" si="3"/>
        <v>29.8</v>
      </c>
      <c r="Q44" s="5"/>
      <c r="R44" s="5"/>
      <c r="S44" s="1"/>
      <c r="T44" s="1">
        <f t="shared" si="4"/>
        <v>17.04697986577181</v>
      </c>
      <c r="U44" s="1">
        <f t="shared" si="5"/>
        <v>17.04697986577181</v>
      </c>
      <c r="V44" s="1">
        <v>4.8</v>
      </c>
      <c r="W44" s="1">
        <v>5</v>
      </c>
      <c r="X44" s="1">
        <v>21.6</v>
      </c>
      <c r="Y44" s="1">
        <v>0</v>
      </c>
      <c r="Z44" s="1"/>
      <c r="AA44" s="1">
        <f>G44*Q44</f>
        <v>0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82</v>
      </c>
      <c r="B45" s="1" t="s">
        <v>38</v>
      </c>
      <c r="C45" s="1">
        <v>83</v>
      </c>
      <c r="D45" s="1">
        <v>49</v>
      </c>
      <c r="E45" s="1">
        <v>88</v>
      </c>
      <c r="F45" s="1">
        <v>9</v>
      </c>
      <c r="G45" s="7">
        <v>0.33</v>
      </c>
      <c r="H45" s="1">
        <v>45</v>
      </c>
      <c r="I45" s="1" t="s">
        <v>32</v>
      </c>
      <c r="J45" s="1">
        <v>105</v>
      </c>
      <c r="K45" s="1">
        <f t="shared" si="12"/>
        <v>-17</v>
      </c>
      <c r="L45" s="1"/>
      <c r="M45" s="1"/>
      <c r="N45" s="1">
        <v>250</v>
      </c>
      <c r="O45" s="1">
        <v>350</v>
      </c>
      <c r="P45" s="1">
        <f t="shared" si="3"/>
        <v>17.600000000000001</v>
      </c>
      <c r="Q45" s="5"/>
      <c r="R45" s="5"/>
      <c r="S45" s="1"/>
      <c r="T45" s="1">
        <f t="shared" si="4"/>
        <v>34.602272727272727</v>
      </c>
      <c r="U45" s="1">
        <f t="shared" si="5"/>
        <v>34.602272727272727</v>
      </c>
      <c r="V45" s="1">
        <v>17.600000000000001</v>
      </c>
      <c r="W45" s="1">
        <v>8.6</v>
      </c>
      <c r="X45" s="1">
        <v>16.600000000000001</v>
      </c>
      <c r="Y45" s="1">
        <v>8.6</v>
      </c>
      <c r="Z45" s="1" t="s">
        <v>41</v>
      </c>
      <c r="AA45" s="1">
        <f>G45*Q45</f>
        <v>0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83</v>
      </c>
      <c r="B46" s="1" t="s">
        <v>38</v>
      </c>
      <c r="C46" s="1">
        <v>109</v>
      </c>
      <c r="D46" s="1">
        <v>51</v>
      </c>
      <c r="E46" s="1">
        <v>113.364</v>
      </c>
      <c r="F46" s="16">
        <f>15+F39</f>
        <v>27</v>
      </c>
      <c r="G46" s="7">
        <v>0.35</v>
      </c>
      <c r="H46" s="1">
        <v>40</v>
      </c>
      <c r="I46" s="1" t="s">
        <v>32</v>
      </c>
      <c r="J46" s="1">
        <v>145</v>
      </c>
      <c r="K46" s="1">
        <f t="shared" si="12"/>
        <v>-31.635999999999996</v>
      </c>
      <c r="L46" s="1"/>
      <c r="M46" s="1"/>
      <c r="N46" s="1">
        <v>250</v>
      </c>
      <c r="O46" s="1">
        <v>200</v>
      </c>
      <c r="P46" s="1">
        <f t="shared" si="3"/>
        <v>22.672800000000002</v>
      </c>
      <c r="Q46" s="5"/>
      <c r="R46" s="5"/>
      <c r="S46" s="1"/>
      <c r="T46" s="1">
        <f t="shared" si="4"/>
        <v>21.03842489679263</v>
      </c>
      <c r="U46" s="1">
        <f t="shared" si="5"/>
        <v>21.03842489679263</v>
      </c>
      <c r="V46" s="1">
        <v>14.8</v>
      </c>
      <c r="W46" s="1">
        <v>7.2</v>
      </c>
      <c r="X46" s="1">
        <v>20</v>
      </c>
      <c r="Y46" s="1">
        <v>8.6</v>
      </c>
      <c r="Z46" s="1" t="s">
        <v>41</v>
      </c>
      <c r="AA46" s="1">
        <f>G46*Q46</f>
        <v>0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3" t="s">
        <v>84</v>
      </c>
      <c r="B47" s="10" t="s">
        <v>38</v>
      </c>
      <c r="C47" s="10"/>
      <c r="D47" s="10">
        <v>2</v>
      </c>
      <c r="E47" s="10">
        <v>2</v>
      </c>
      <c r="F47" s="10"/>
      <c r="G47" s="11">
        <v>0</v>
      </c>
      <c r="H47" s="10" t="e">
        <v>#N/A</v>
      </c>
      <c r="I47" s="10" t="s">
        <v>43</v>
      </c>
      <c r="J47" s="10">
        <v>2</v>
      </c>
      <c r="K47" s="10">
        <f t="shared" si="12"/>
        <v>0</v>
      </c>
      <c r="L47" s="10"/>
      <c r="M47" s="10"/>
      <c r="N47" s="10"/>
      <c r="O47" s="10"/>
      <c r="P47" s="10">
        <f t="shared" si="3"/>
        <v>0.4</v>
      </c>
      <c r="Q47" s="12"/>
      <c r="R47" s="12"/>
      <c r="S47" s="10"/>
      <c r="T47" s="10">
        <f t="shared" si="4"/>
        <v>0</v>
      </c>
      <c r="U47" s="10">
        <f t="shared" si="5"/>
        <v>0</v>
      </c>
      <c r="V47" s="10">
        <v>0</v>
      </c>
      <c r="W47" s="10">
        <v>0</v>
      </c>
      <c r="X47" s="10">
        <v>0</v>
      </c>
      <c r="Y47" s="10">
        <v>0</v>
      </c>
      <c r="Z47" s="10"/>
      <c r="AA47" s="10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0" t="s">
        <v>85</v>
      </c>
      <c r="B48" s="10" t="s">
        <v>38</v>
      </c>
      <c r="C48" s="10">
        <v>-2</v>
      </c>
      <c r="D48" s="10">
        <v>2</v>
      </c>
      <c r="E48" s="10"/>
      <c r="F48" s="10"/>
      <c r="G48" s="11">
        <v>0</v>
      </c>
      <c r="H48" s="10" t="e">
        <v>#N/A</v>
      </c>
      <c r="I48" s="10" t="s">
        <v>43</v>
      </c>
      <c r="J48" s="10"/>
      <c r="K48" s="10">
        <f t="shared" si="12"/>
        <v>0</v>
      </c>
      <c r="L48" s="10"/>
      <c r="M48" s="10"/>
      <c r="N48" s="10">
        <v>0</v>
      </c>
      <c r="O48" s="10">
        <v>0</v>
      </c>
      <c r="P48" s="10">
        <f t="shared" si="3"/>
        <v>0</v>
      </c>
      <c r="Q48" s="12"/>
      <c r="R48" s="12"/>
      <c r="S48" s="10"/>
      <c r="T48" s="10" t="e">
        <f t="shared" si="4"/>
        <v>#DIV/0!</v>
      </c>
      <c r="U48" s="10" t="e">
        <f t="shared" si="5"/>
        <v>#DIV/0!</v>
      </c>
      <c r="V48" s="10">
        <v>0.4</v>
      </c>
      <c r="W48" s="10">
        <v>0.4</v>
      </c>
      <c r="X48" s="10">
        <v>0</v>
      </c>
      <c r="Y48" s="10">
        <v>0</v>
      </c>
      <c r="Z48" s="10" t="s">
        <v>75</v>
      </c>
      <c r="AA48" s="10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86</v>
      </c>
      <c r="B49" s="1" t="s">
        <v>31</v>
      </c>
      <c r="C49" s="1">
        <v>22.745999999999999</v>
      </c>
      <c r="D49" s="1">
        <v>4.4740000000000002</v>
      </c>
      <c r="E49" s="1">
        <v>13.577</v>
      </c>
      <c r="F49" s="1">
        <v>7.88</v>
      </c>
      <c r="G49" s="7">
        <v>1</v>
      </c>
      <c r="H49" s="1">
        <v>40</v>
      </c>
      <c r="I49" s="1" t="s">
        <v>32</v>
      </c>
      <c r="J49" s="1">
        <v>20.3</v>
      </c>
      <c r="K49" s="1">
        <f t="shared" si="12"/>
        <v>-6.7230000000000008</v>
      </c>
      <c r="L49" s="1"/>
      <c r="M49" s="1"/>
      <c r="N49" s="1">
        <v>30</v>
      </c>
      <c r="O49" s="1">
        <v>0</v>
      </c>
      <c r="P49" s="1">
        <f t="shared" si="3"/>
        <v>2.7153999999999998</v>
      </c>
      <c r="Q49" s="5"/>
      <c r="R49" s="5"/>
      <c r="S49" s="1"/>
      <c r="T49" s="1">
        <f t="shared" si="4"/>
        <v>13.950062605877589</v>
      </c>
      <c r="U49" s="1">
        <f t="shared" si="5"/>
        <v>13.950062605877589</v>
      </c>
      <c r="V49" s="1">
        <v>2.1274000000000002</v>
      </c>
      <c r="W49" s="1">
        <v>3.4074</v>
      </c>
      <c r="X49" s="1">
        <v>2.2786</v>
      </c>
      <c r="Y49" s="1">
        <v>0.28339999999999999</v>
      </c>
      <c r="Z49" s="1"/>
      <c r="AA49" s="1">
        <f t="shared" ref="AA49:AA63" si="14">G49*Q49</f>
        <v>0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87</v>
      </c>
      <c r="B50" s="1" t="s">
        <v>38</v>
      </c>
      <c r="C50" s="1">
        <v>70</v>
      </c>
      <c r="D50" s="1">
        <v>47</v>
      </c>
      <c r="E50" s="1">
        <v>83</v>
      </c>
      <c r="F50" s="1">
        <v>23</v>
      </c>
      <c r="G50" s="7">
        <v>0.35</v>
      </c>
      <c r="H50" s="1">
        <v>40</v>
      </c>
      <c r="I50" s="1" t="s">
        <v>32</v>
      </c>
      <c r="J50" s="1">
        <v>106</v>
      </c>
      <c r="K50" s="1">
        <f t="shared" si="12"/>
        <v>-23</v>
      </c>
      <c r="L50" s="1"/>
      <c r="M50" s="1"/>
      <c r="N50" s="1">
        <v>150</v>
      </c>
      <c r="O50" s="1">
        <v>200</v>
      </c>
      <c r="P50" s="1">
        <f t="shared" si="3"/>
        <v>16.600000000000001</v>
      </c>
      <c r="Q50" s="5"/>
      <c r="R50" s="5"/>
      <c r="S50" s="1"/>
      <c r="T50" s="1">
        <f t="shared" si="4"/>
        <v>22.469879518072286</v>
      </c>
      <c r="U50" s="1">
        <f t="shared" si="5"/>
        <v>22.469879518072286</v>
      </c>
      <c r="V50" s="1">
        <v>7.6</v>
      </c>
      <c r="W50" s="1">
        <v>1.8</v>
      </c>
      <c r="X50" s="1">
        <v>15.2</v>
      </c>
      <c r="Y50" s="1">
        <v>3.2</v>
      </c>
      <c r="Z50" s="1"/>
      <c r="AA50" s="1">
        <f t="shared" si="14"/>
        <v>0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88</v>
      </c>
      <c r="B51" s="1" t="s">
        <v>38</v>
      </c>
      <c r="C51" s="1">
        <v>241</v>
      </c>
      <c r="D51" s="1">
        <v>64</v>
      </c>
      <c r="E51" s="16">
        <f>193.373+E90</f>
        <v>214.37299999999999</v>
      </c>
      <c r="F51" s="1">
        <v>7</v>
      </c>
      <c r="G51" s="7">
        <v>0.35</v>
      </c>
      <c r="H51" s="1">
        <v>40</v>
      </c>
      <c r="I51" s="1" t="s">
        <v>32</v>
      </c>
      <c r="J51" s="1">
        <v>302</v>
      </c>
      <c r="K51" s="1">
        <f t="shared" si="12"/>
        <v>-87.62700000000001</v>
      </c>
      <c r="L51" s="1"/>
      <c r="M51" s="1"/>
      <c r="N51" s="1">
        <v>150</v>
      </c>
      <c r="O51" s="1">
        <v>450</v>
      </c>
      <c r="P51" s="1">
        <f t="shared" si="3"/>
        <v>42.874600000000001</v>
      </c>
      <c r="Q51" s="5"/>
      <c r="R51" s="5"/>
      <c r="S51" s="1"/>
      <c r="T51" s="1">
        <f t="shared" si="4"/>
        <v>14.157566484585278</v>
      </c>
      <c r="U51" s="1">
        <f t="shared" si="5"/>
        <v>14.157566484585278</v>
      </c>
      <c r="V51" s="1">
        <v>14.8</v>
      </c>
      <c r="W51" s="1">
        <v>7</v>
      </c>
      <c r="X51" s="1">
        <v>32.6</v>
      </c>
      <c r="Y51" s="1">
        <v>8.6</v>
      </c>
      <c r="Z51" s="1"/>
      <c r="AA51" s="1">
        <f t="shared" si="14"/>
        <v>0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89</v>
      </c>
      <c r="B52" s="1" t="s">
        <v>31</v>
      </c>
      <c r="C52" s="1">
        <v>333.01100000000002</v>
      </c>
      <c r="D52" s="1">
        <v>36.853000000000002</v>
      </c>
      <c r="E52" s="1">
        <v>194.50200000000001</v>
      </c>
      <c r="F52" s="1">
        <v>25.314</v>
      </c>
      <c r="G52" s="7">
        <v>1</v>
      </c>
      <c r="H52" s="1">
        <v>50</v>
      </c>
      <c r="I52" s="1" t="s">
        <v>32</v>
      </c>
      <c r="J52" s="1">
        <v>188.6</v>
      </c>
      <c r="K52" s="1">
        <f t="shared" si="12"/>
        <v>5.9020000000000152</v>
      </c>
      <c r="L52" s="1"/>
      <c r="M52" s="1"/>
      <c r="N52" s="1">
        <v>200</v>
      </c>
      <c r="O52" s="1">
        <v>300</v>
      </c>
      <c r="P52" s="1">
        <f t="shared" si="3"/>
        <v>38.900400000000005</v>
      </c>
      <c r="Q52" s="5"/>
      <c r="R52" s="5"/>
      <c r="S52" s="1"/>
      <c r="T52" s="1">
        <f t="shared" si="4"/>
        <v>13.504077078898929</v>
      </c>
      <c r="U52" s="1">
        <f t="shared" si="5"/>
        <v>13.504077078898929</v>
      </c>
      <c r="V52" s="1">
        <v>27.971</v>
      </c>
      <c r="W52" s="1">
        <v>32.2926</v>
      </c>
      <c r="X52" s="1">
        <v>33.177799999999998</v>
      </c>
      <c r="Y52" s="1">
        <v>8.0754000000000001</v>
      </c>
      <c r="Z52" s="1"/>
      <c r="AA52" s="1">
        <f t="shared" si="14"/>
        <v>0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90</v>
      </c>
      <c r="B53" s="1" t="s">
        <v>31</v>
      </c>
      <c r="C53" s="1">
        <v>222.23400000000001</v>
      </c>
      <c r="D53" s="1">
        <v>163.08099999999999</v>
      </c>
      <c r="E53" s="1">
        <v>147.93299999999999</v>
      </c>
      <c r="F53" s="1">
        <v>80.646000000000001</v>
      </c>
      <c r="G53" s="7">
        <v>1</v>
      </c>
      <c r="H53" s="1">
        <v>50</v>
      </c>
      <c r="I53" s="1" t="s">
        <v>32</v>
      </c>
      <c r="J53" s="1">
        <v>162.19999999999999</v>
      </c>
      <c r="K53" s="1">
        <f t="shared" si="12"/>
        <v>-14.266999999999996</v>
      </c>
      <c r="L53" s="1"/>
      <c r="M53" s="1"/>
      <c r="N53" s="1">
        <v>150</v>
      </c>
      <c r="O53" s="1">
        <v>250</v>
      </c>
      <c r="P53" s="1">
        <f t="shared" si="3"/>
        <v>29.586599999999997</v>
      </c>
      <c r="Q53" s="5"/>
      <c r="R53" s="5"/>
      <c r="S53" s="1"/>
      <c r="T53" s="1">
        <f t="shared" si="4"/>
        <v>16.245394874706793</v>
      </c>
      <c r="U53" s="1">
        <f t="shared" si="5"/>
        <v>16.245394874706793</v>
      </c>
      <c r="V53" s="1">
        <v>7.3103999999999996</v>
      </c>
      <c r="W53" s="1">
        <v>13.2624</v>
      </c>
      <c r="X53" s="1">
        <v>21.308</v>
      </c>
      <c r="Y53" s="1">
        <v>3.2342</v>
      </c>
      <c r="Z53" s="1"/>
      <c r="AA53" s="1">
        <f t="shared" si="14"/>
        <v>0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91</v>
      </c>
      <c r="B54" s="1" t="s">
        <v>31</v>
      </c>
      <c r="C54" s="1">
        <v>33.933999999999997</v>
      </c>
      <c r="D54" s="1">
        <v>10.981</v>
      </c>
      <c r="E54" s="1">
        <v>8.7119999999999997</v>
      </c>
      <c r="F54" s="1">
        <v>27.18</v>
      </c>
      <c r="G54" s="7">
        <v>1</v>
      </c>
      <c r="H54" s="1">
        <v>40</v>
      </c>
      <c r="I54" s="1" t="s">
        <v>32</v>
      </c>
      <c r="J54" s="1">
        <v>16.75</v>
      </c>
      <c r="K54" s="1">
        <f t="shared" si="12"/>
        <v>-8.0380000000000003</v>
      </c>
      <c r="L54" s="1"/>
      <c r="M54" s="1"/>
      <c r="N54" s="1">
        <v>40</v>
      </c>
      <c r="O54" s="1">
        <v>0</v>
      </c>
      <c r="P54" s="1">
        <f t="shared" si="3"/>
        <v>1.7423999999999999</v>
      </c>
      <c r="Q54" s="5"/>
      <c r="R54" s="5"/>
      <c r="S54" s="1"/>
      <c r="T54" s="1">
        <f t="shared" si="4"/>
        <v>38.556014692378334</v>
      </c>
      <c r="U54" s="1">
        <f t="shared" si="5"/>
        <v>38.556014692378334</v>
      </c>
      <c r="V54" s="1">
        <v>0</v>
      </c>
      <c r="W54" s="1">
        <v>2.7172000000000001</v>
      </c>
      <c r="X54" s="1">
        <v>4.0377999999999998</v>
      </c>
      <c r="Y54" s="1">
        <v>0.28660000000000002</v>
      </c>
      <c r="Z54" s="1"/>
      <c r="AA54" s="1">
        <f t="shared" si="14"/>
        <v>0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92</v>
      </c>
      <c r="B55" s="1" t="s">
        <v>38</v>
      </c>
      <c r="C55" s="1">
        <v>711</v>
      </c>
      <c r="D55" s="1">
        <v>429</v>
      </c>
      <c r="E55" s="16">
        <f>511+E91</f>
        <v>545</v>
      </c>
      <c r="F55" s="1">
        <v>173</v>
      </c>
      <c r="G55" s="7">
        <v>0.45</v>
      </c>
      <c r="H55" s="1">
        <v>50</v>
      </c>
      <c r="I55" s="1" t="s">
        <v>32</v>
      </c>
      <c r="J55" s="1">
        <v>548</v>
      </c>
      <c r="K55" s="1">
        <f t="shared" si="12"/>
        <v>-3</v>
      </c>
      <c r="L55" s="1"/>
      <c r="M55" s="1"/>
      <c r="N55" s="1">
        <v>0</v>
      </c>
      <c r="O55" s="1">
        <v>900</v>
      </c>
      <c r="P55" s="1">
        <f t="shared" si="3"/>
        <v>109</v>
      </c>
      <c r="Q55" s="5">
        <f t="shared" ref="Q55:Q60" si="15">13*P55-O55-N55-F55</f>
        <v>344</v>
      </c>
      <c r="R55" s="5"/>
      <c r="S55" s="1"/>
      <c r="T55" s="1">
        <f t="shared" si="4"/>
        <v>13</v>
      </c>
      <c r="U55" s="1">
        <f t="shared" si="5"/>
        <v>9.8440366972477058</v>
      </c>
      <c r="V55" s="1">
        <v>29.4</v>
      </c>
      <c r="W55" s="1">
        <v>36</v>
      </c>
      <c r="X55" s="1">
        <v>91.8</v>
      </c>
      <c r="Y55" s="1">
        <v>24.2</v>
      </c>
      <c r="Z55" s="1" t="s">
        <v>41</v>
      </c>
      <c r="AA55" s="1">
        <f t="shared" si="14"/>
        <v>154.80000000000001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93</v>
      </c>
      <c r="B56" s="1" t="s">
        <v>31</v>
      </c>
      <c r="C56" s="1">
        <v>74.454999999999998</v>
      </c>
      <c r="D56" s="1">
        <v>3.4609999999999999</v>
      </c>
      <c r="E56" s="1">
        <v>22.908999999999999</v>
      </c>
      <c r="F56" s="1">
        <v>38</v>
      </c>
      <c r="G56" s="7">
        <v>1</v>
      </c>
      <c r="H56" s="1">
        <v>40</v>
      </c>
      <c r="I56" s="1" t="s">
        <v>32</v>
      </c>
      <c r="J56" s="1">
        <v>22.95</v>
      </c>
      <c r="K56" s="1">
        <f t="shared" si="12"/>
        <v>-4.1000000000000369E-2</v>
      </c>
      <c r="L56" s="1"/>
      <c r="M56" s="1"/>
      <c r="N56" s="1">
        <v>40</v>
      </c>
      <c r="O56" s="1">
        <v>0</v>
      </c>
      <c r="P56" s="1">
        <f t="shared" si="3"/>
        <v>4.5817999999999994</v>
      </c>
      <c r="Q56" s="5"/>
      <c r="R56" s="5"/>
      <c r="S56" s="1"/>
      <c r="T56" s="1">
        <f t="shared" si="4"/>
        <v>17.023877078877298</v>
      </c>
      <c r="U56" s="1">
        <f t="shared" si="5"/>
        <v>17.023877078877298</v>
      </c>
      <c r="V56" s="1">
        <v>0.28899999999999998</v>
      </c>
      <c r="W56" s="1">
        <v>5.1075999999999997</v>
      </c>
      <c r="X56" s="1">
        <v>5.3851999999999993</v>
      </c>
      <c r="Y56" s="1">
        <v>4.8231999999999999</v>
      </c>
      <c r="Z56" s="1"/>
      <c r="AA56" s="1">
        <f t="shared" si="14"/>
        <v>0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94</v>
      </c>
      <c r="B57" s="1" t="s">
        <v>38</v>
      </c>
      <c r="C57" s="1">
        <v>487</v>
      </c>
      <c r="D57" s="1">
        <v>508</v>
      </c>
      <c r="E57" s="1">
        <v>448</v>
      </c>
      <c r="F57" s="1">
        <v>41</v>
      </c>
      <c r="G57" s="7">
        <v>0.45</v>
      </c>
      <c r="H57" s="1">
        <v>50</v>
      </c>
      <c r="I57" s="1" t="s">
        <v>32</v>
      </c>
      <c r="J57" s="1">
        <v>477</v>
      </c>
      <c r="K57" s="1">
        <f t="shared" si="12"/>
        <v>-29</v>
      </c>
      <c r="L57" s="1"/>
      <c r="M57" s="1"/>
      <c r="N57" s="1">
        <v>180</v>
      </c>
      <c r="O57" s="1">
        <v>700</v>
      </c>
      <c r="P57" s="1">
        <f t="shared" si="3"/>
        <v>89.6</v>
      </c>
      <c r="Q57" s="5">
        <f t="shared" si="15"/>
        <v>243.79999999999995</v>
      </c>
      <c r="R57" s="5"/>
      <c r="S57" s="1"/>
      <c r="T57" s="1">
        <f t="shared" si="4"/>
        <v>13</v>
      </c>
      <c r="U57" s="1">
        <f t="shared" si="5"/>
        <v>10.279017857142858</v>
      </c>
      <c r="V57" s="1">
        <v>21.6</v>
      </c>
      <c r="W57" s="1">
        <v>24.4</v>
      </c>
      <c r="X57" s="1">
        <v>62.2</v>
      </c>
      <c r="Y57" s="1">
        <v>18.600000000000001</v>
      </c>
      <c r="Z57" s="1"/>
      <c r="AA57" s="1">
        <f t="shared" si="14"/>
        <v>109.70999999999998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95</v>
      </c>
      <c r="B58" s="1" t="s">
        <v>38</v>
      </c>
      <c r="C58" s="1">
        <v>237</v>
      </c>
      <c r="D58" s="1">
        <v>167</v>
      </c>
      <c r="E58" s="1">
        <v>208</v>
      </c>
      <c r="F58" s="1">
        <v>45</v>
      </c>
      <c r="G58" s="7">
        <v>0.45</v>
      </c>
      <c r="H58" s="1">
        <v>50</v>
      </c>
      <c r="I58" s="1" t="s">
        <v>32</v>
      </c>
      <c r="J58" s="1">
        <v>242</v>
      </c>
      <c r="K58" s="1">
        <f t="shared" si="12"/>
        <v>-34</v>
      </c>
      <c r="L58" s="1"/>
      <c r="M58" s="1"/>
      <c r="N58" s="1">
        <v>100</v>
      </c>
      <c r="O58" s="1">
        <v>550</v>
      </c>
      <c r="P58" s="1">
        <f t="shared" si="3"/>
        <v>41.6</v>
      </c>
      <c r="Q58" s="5"/>
      <c r="R58" s="5"/>
      <c r="S58" s="1"/>
      <c r="T58" s="1">
        <f t="shared" si="4"/>
        <v>16.70673076923077</v>
      </c>
      <c r="U58" s="1">
        <f t="shared" si="5"/>
        <v>16.70673076923077</v>
      </c>
      <c r="V58" s="1">
        <v>11.2</v>
      </c>
      <c r="W58" s="1">
        <v>14.8</v>
      </c>
      <c r="X58" s="1">
        <v>36.6</v>
      </c>
      <c r="Y58" s="1">
        <v>9.8000000000000007</v>
      </c>
      <c r="Z58" s="1"/>
      <c r="AA58" s="1">
        <f t="shared" si="14"/>
        <v>0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96</v>
      </c>
      <c r="B59" s="1" t="s">
        <v>31</v>
      </c>
      <c r="C59" s="1">
        <v>439.11599999999999</v>
      </c>
      <c r="D59" s="1">
        <v>252.30699999999999</v>
      </c>
      <c r="E59" s="1">
        <v>267.91800000000001</v>
      </c>
      <c r="F59" s="1">
        <v>179.46100000000001</v>
      </c>
      <c r="G59" s="7">
        <v>1</v>
      </c>
      <c r="H59" s="1">
        <v>50</v>
      </c>
      <c r="I59" s="1" t="s">
        <v>32</v>
      </c>
      <c r="J59" s="1">
        <v>278.3</v>
      </c>
      <c r="K59" s="1">
        <f t="shared" si="12"/>
        <v>-10.382000000000005</v>
      </c>
      <c r="L59" s="1"/>
      <c r="M59" s="1"/>
      <c r="N59" s="1">
        <v>500</v>
      </c>
      <c r="O59" s="1">
        <v>50</v>
      </c>
      <c r="P59" s="1">
        <f t="shared" si="3"/>
        <v>53.583600000000004</v>
      </c>
      <c r="Q59" s="5"/>
      <c r="R59" s="5"/>
      <c r="S59" s="1"/>
      <c r="T59" s="1">
        <f t="shared" si="4"/>
        <v>13.613512343328928</v>
      </c>
      <c r="U59" s="1">
        <f t="shared" si="5"/>
        <v>13.613512343328928</v>
      </c>
      <c r="V59" s="1">
        <v>27.304400000000001</v>
      </c>
      <c r="W59" s="1">
        <v>30.144600000000001</v>
      </c>
      <c r="X59" s="1">
        <v>43.766000000000012</v>
      </c>
      <c r="Y59" s="1">
        <v>14.116199999999999</v>
      </c>
      <c r="Z59" s="1"/>
      <c r="AA59" s="1">
        <f t="shared" si="14"/>
        <v>0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97</v>
      </c>
      <c r="B60" s="1" t="s">
        <v>31</v>
      </c>
      <c r="C60" s="1">
        <v>39.274000000000001</v>
      </c>
      <c r="D60" s="1">
        <v>11.68</v>
      </c>
      <c r="E60" s="1">
        <v>34.142000000000003</v>
      </c>
      <c r="F60" s="1">
        <v>6.1849999999999996</v>
      </c>
      <c r="G60" s="7">
        <v>1</v>
      </c>
      <c r="H60" s="1">
        <v>40</v>
      </c>
      <c r="I60" s="1" t="s">
        <v>32</v>
      </c>
      <c r="J60" s="1">
        <v>38.4</v>
      </c>
      <c r="K60" s="1">
        <f t="shared" si="12"/>
        <v>-4.2579999999999956</v>
      </c>
      <c r="L60" s="1"/>
      <c r="M60" s="1"/>
      <c r="N60" s="1">
        <v>0</v>
      </c>
      <c r="O60" s="1">
        <v>40</v>
      </c>
      <c r="P60" s="1">
        <f t="shared" si="3"/>
        <v>6.8284000000000002</v>
      </c>
      <c r="Q60" s="5">
        <f t="shared" si="15"/>
        <v>42.584199999999996</v>
      </c>
      <c r="R60" s="5"/>
      <c r="S60" s="1"/>
      <c r="T60" s="1">
        <f t="shared" si="4"/>
        <v>13</v>
      </c>
      <c r="U60" s="1">
        <f t="shared" si="5"/>
        <v>6.7636635229336299</v>
      </c>
      <c r="V60" s="1">
        <v>0.71840000000000004</v>
      </c>
      <c r="W60" s="1">
        <v>1.2538</v>
      </c>
      <c r="X60" s="1">
        <v>4.3006000000000002</v>
      </c>
      <c r="Y60" s="1">
        <v>0</v>
      </c>
      <c r="Z60" s="1"/>
      <c r="AA60" s="1">
        <f t="shared" si="14"/>
        <v>42.584199999999996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98</v>
      </c>
      <c r="B61" s="1" t="s">
        <v>38</v>
      </c>
      <c r="C61" s="1">
        <v>139</v>
      </c>
      <c r="D61" s="1">
        <v>10</v>
      </c>
      <c r="E61" s="1">
        <v>139</v>
      </c>
      <c r="F61" s="1">
        <v>-1</v>
      </c>
      <c r="G61" s="7">
        <v>0.1</v>
      </c>
      <c r="H61" s="1">
        <v>730</v>
      </c>
      <c r="I61" s="1" t="s">
        <v>32</v>
      </c>
      <c r="J61" s="1">
        <v>157</v>
      </c>
      <c r="K61" s="1">
        <f t="shared" si="12"/>
        <v>-18</v>
      </c>
      <c r="L61" s="1"/>
      <c r="M61" s="1"/>
      <c r="N61" s="1">
        <v>200</v>
      </c>
      <c r="O61" s="1">
        <v>300</v>
      </c>
      <c r="P61" s="1">
        <f t="shared" si="3"/>
        <v>27.8</v>
      </c>
      <c r="Q61" s="5"/>
      <c r="R61" s="5"/>
      <c r="S61" s="1"/>
      <c r="T61" s="1">
        <f t="shared" si="4"/>
        <v>17.949640287769785</v>
      </c>
      <c r="U61" s="1">
        <f t="shared" si="5"/>
        <v>17.949640287769785</v>
      </c>
      <c r="V61" s="1">
        <v>4</v>
      </c>
      <c r="W61" s="1">
        <v>5.2</v>
      </c>
      <c r="X61" s="1">
        <v>20.2</v>
      </c>
      <c r="Y61" s="1">
        <v>0</v>
      </c>
      <c r="Z61" s="1"/>
      <c r="AA61" s="1">
        <f t="shared" si="14"/>
        <v>0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99</v>
      </c>
      <c r="B62" s="1" t="s">
        <v>31</v>
      </c>
      <c r="C62" s="1">
        <v>9.3070000000000004</v>
      </c>
      <c r="D62" s="1">
        <v>1.3759999999999999</v>
      </c>
      <c r="E62" s="1">
        <v>8.0380000000000003</v>
      </c>
      <c r="F62" s="1"/>
      <c r="G62" s="7">
        <v>1</v>
      </c>
      <c r="H62" s="1">
        <v>50</v>
      </c>
      <c r="I62" s="1" t="s">
        <v>32</v>
      </c>
      <c r="J62" s="1">
        <v>14.6</v>
      </c>
      <c r="K62" s="1">
        <f t="shared" si="12"/>
        <v>-6.5619999999999994</v>
      </c>
      <c r="L62" s="1"/>
      <c r="M62" s="1"/>
      <c r="N62" s="1">
        <v>150</v>
      </c>
      <c r="O62" s="1">
        <v>80</v>
      </c>
      <c r="P62" s="1">
        <f t="shared" si="3"/>
        <v>1.6076000000000001</v>
      </c>
      <c r="Q62" s="5"/>
      <c r="R62" s="5"/>
      <c r="S62" s="1"/>
      <c r="T62" s="1">
        <f t="shared" si="4"/>
        <v>143.07041552625029</v>
      </c>
      <c r="U62" s="1">
        <f t="shared" si="5"/>
        <v>143.07041552625029</v>
      </c>
      <c r="V62" s="1">
        <v>7.7441999999999993</v>
      </c>
      <c r="W62" s="1">
        <v>6.4104000000000001</v>
      </c>
      <c r="X62" s="1">
        <v>3.0604</v>
      </c>
      <c r="Y62" s="1">
        <v>3.6126</v>
      </c>
      <c r="Z62" s="1"/>
      <c r="AA62" s="1">
        <f t="shared" si="14"/>
        <v>0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100</v>
      </c>
      <c r="B63" s="1" t="s">
        <v>38</v>
      </c>
      <c r="C63" s="1">
        <v>138</v>
      </c>
      <c r="D63" s="1">
        <v>6</v>
      </c>
      <c r="E63" s="1">
        <v>136</v>
      </c>
      <c r="F63" s="1">
        <v>1</v>
      </c>
      <c r="G63" s="7">
        <v>0.1</v>
      </c>
      <c r="H63" s="1">
        <v>730</v>
      </c>
      <c r="I63" s="1" t="s">
        <v>32</v>
      </c>
      <c r="J63" s="1">
        <v>161</v>
      </c>
      <c r="K63" s="1">
        <f t="shared" si="12"/>
        <v>-25</v>
      </c>
      <c r="L63" s="1"/>
      <c r="M63" s="1"/>
      <c r="N63" s="1">
        <v>200</v>
      </c>
      <c r="O63" s="1">
        <v>300</v>
      </c>
      <c r="P63" s="1">
        <f t="shared" si="3"/>
        <v>27.2</v>
      </c>
      <c r="Q63" s="5"/>
      <c r="R63" s="5"/>
      <c r="S63" s="1"/>
      <c r="T63" s="1">
        <f t="shared" si="4"/>
        <v>18.419117647058822</v>
      </c>
      <c r="U63" s="1">
        <f t="shared" si="5"/>
        <v>18.419117647058822</v>
      </c>
      <c r="V63" s="1">
        <v>4.2</v>
      </c>
      <c r="W63" s="1">
        <v>8.6</v>
      </c>
      <c r="X63" s="1">
        <v>20.2</v>
      </c>
      <c r="Y63" s="1">
        <v>0</v>
      </c>
      <c r="Z63" s="1"/>
      <c r="AA63" s="1">
        <f t="shared" si="14"/>
        <v>0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0" t="s">
        <v>101</v>
      </c>
      <c r="B64" s="10" t="s">
        <v>38</v>
      </c>
      <c r="C64" s="10">
        <v>-3</v>
      </c>
      <c r="D64" s="10">
        <v>3</v>
      </c>
      <c r="E64" s="10"/>
      <c r="F64" s="10"/>
      <c r="G64" s="11">
        <v>0</v>
      </c>
      <c r="H64" s="10" t="e">
        <v>#N/A</v>
      </c>
      <c r="I64" s="10" t="s">
        <v>43</v>
      </c>
      <c r="J64" s="10"/>
      <c r="K64" s="10">
        <f t="shared" si="12"/>
        <v>0</v>
      </c>
      <c r="L64" s="10"/>
      <c r="M64" s="10"/>
      <c r="N64" s="10">
        <v>0</v>
      </c>
      <c r="O64" s="10">
        <v>0</v>
      </c>
      <c r="P64" s="10">
        <f t="shared" si="3"/>
        <v>0</v>
      </c>
      <c r="Q64" s="12"/>
      <c r="R64" s="12"/>
      <c r="S64" s="10"/>
      <c r="T64" s="10" t="e">
        <f t="shared" si="4"/>
        <v>#DIV/0!</v>
      </c>
      <c r="U64" s="10" t="e">
        <f t="shared" si="5"/>
        <v>#DIV/0!</v>
      </c>
      <c r="V64" s="10">
        <v>0.6</v>
      </c>
      <c r="W64" s="10">
        <v>0</v>
      </c>
      <c r="X64" s="10">
        <v>0</v>
      </c>
      <c r="Y64" s="10">
        <v>0</v>
      </c>
      <c r="Z64" s="10" t="s">
        <v>102</v>
      </c>
      <c r="AA64" s="10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103</v>
      </c>
      <c r="B65" s="1" t="s">
        <v>38</v>
      </c>
      <c r="C65" s="1">
        <v>138</v>
      </c>
      <c r="D65" s="1">
        <v>76</v>
      </c>
      <c r="E65" s="1">
        <v>141</v>
      </c>
      <c r="F65" s="1">
        <v>10</v>
      </c>
      <c r="G65" s="7">
        <v>0.4</v>
      </c>
      <c r="H65" s="1">
        <v>40</v>
      </c>
      <c r="I65" s="1" t="s">
        <v>32</v>
      </c>
      <c r="J65" s="1">
        <v>204</v>
      </c>
      <c r="K65" s="1">
        <f t="shared" si="12"/>
        <v>-63</v>
      </c>
      <c r="L65" s="1"/>
      <c r="M65" s="1"/>
      <c r="N65" s="1">
        <v>200</v>
      </c>
      <c r="O65" s="1">
        <v>300</v>
      </c>
      <c r="P65" s="1">
        <f t="shared" si="3"/>
        <v>28.2</v>
      </c>
      <c r="Q65" s="5"/>
      <c r="R65" s="5"/>
      <c r="S65" s="1"/>
      <c r="T65" s="1">
        <f t="shared" si="4"/>
        <v>18.085106382978722</v>
      </c>
      <c r="U65" s="1">
        <f t="shared" si="5"/>
        <v>18.085106382978722</v>
      </c>
      <c r="V65" s="1">
        <v>8.4</v>
      </c>
      <c r="W65" s="1">
        <v>1</v>
      </c>
      <c r="X65" s="1">
        <v>19.2</v>
      </c>
      <c r="Y65" s="1">
        <v>5.4</v>
      </c>
      <c r="Z65" s="1"/>
      <c r="AA65" s="1">
        <f>G65*Q65</f>
        <v>0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104</v>
      </c>
      <c r="B66" s="1" t="s">
        <v>38</v>
      </c>
      <c r="C66" s="1">
        <v>77</v>
      </c>
      <c r="D66" s="1">
        <v>19</v>
      </c>
      <c r="E66" s="1">
        <v>74</v>
      </c>
      <c r="F66" s="1">
        <v>9</v>
      </c>
      <c r="G66" s="7">
        <v>0.4</v>
      </c>
      <c r="H66" s="1">
        <v>40</v>
      </c>
      <c r="I66" s="1" t="s">
        <v>32</v>
      </c>
      <c r="J66" s="1">
        <v>110</v>
      </c>
      <c r="K66" s="1">
        <f t="shared" si="12"/>
        <v>-36</v>
      </c>
      <c r="L66" s="1"/>
      <c r="M66" s="1"/>
      <c r="N66" s="1">
        <v>200</v>
      </c>
      <c r="O66" s="1">
        <v>200</v>
      </c>
      <c r="P66" s="1">
        <f t="shared" si="3"/>
        <v>14.8</v>
      </c>
      <c r="Q66" s="5"/>
      <c r="R66" s="5"/>
      <c r="S66" s="1"/>
      <c r="T66" s="1">
        <f t="shared" si="4"/>
        <v>27.635135135135133</v>
      </c>
      <c r="U66" s="1">
        <f t="shared" si="5"/>
        <v>27.635135135135133</v>
      </c>
      <c r="V66" s="1">
        <v>6.4</v>
      </c>
      <c r="W66" s="1">
        <v>0.2</v>
      </c>
      <c r="X66" s="1">
        <v>13.4</v>
      </c>
      <c r="Y66" s="1">
        <v>4.5999999999999996</v>
      </c>
      <c r="Z66" s="1"/>
      <c r="AA66" s="1">
        <f>G66*Q66</f>
        <v>0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105</v>
      </c>
      <c r="B67" s="1" t="s">
        <v>31</v>
      </c>
      <c r="C67" s="1">
        <v>31.614999999999998</v>
      </c>
      <c r="D67" s="1">
        <v>4.1349999999999998</v>
      </c>
      <c r="E67" s="1">
        <v>25.19</v>
      </c>
      <c r="F67" s="1">
        <v>7.2460000000000004</v>
      </c>
      <c r="G67" s="7">
        <v>1</v>
      </c>
      <c r="H67" s="1">
        <v>40</v>
      </c>
      <c r="I67" s="1" t="s">
        <v>32</v>
      </c>
      <c r="J67" s="1">
        <v>26.6</v>
      </c>
      <c r="K67" s="1">
        <f t="shared" si="12"/>
        <v>-1.4100000000000001</v>
      </c>
      <c r="L67" s="1"/>
      <c r="M67" s="1"/>
      <c r="N67" s="1">
        <v>40</v>
      </c>
      <c r="O67" s="1">
        <v>0</v>
      </c>
      <c r="P67" s="1">
        <f t="shared" si="3"/>
        <v>5.0380000000000003</v>
      </c>
      <c r="Q67" s="5">
        <f t="shared" ref="Q67:Q69" si="16">13*P67-O67-N67-F67</f>
        <v>18.247999999999998</v>
      </c>
      <c r="R67" s="5"/>
      <c r="S67" s="1"/>
      <c r="T67" s="1">
        <f t="shared" si="4"/>
        <v>13</v>
      </c>
      <c r="U67" s="1">
        <f t="shared" si="5"/>
        <v>9.3779277491067887</v>
      </c>
      <c r="V67" s="1">
        <v>3.4129999999999998</v>
      </c>
      <c r="W67" s="1">
        <v>4.3860000000000001</v>
      </c>
      <c r="X67" s="1">
        <v>2.9268000000000001</v>
      </c>
      <c r="Y67" s="1">
        <v>1.9552</v>
      </c>
      <c r="Z67" s="1"/>
      <c r="AA67" s="1">
        <f>G67*Q67</f>
        <v>18.247999999999998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106</v>
      </c>
      <c r="B68" s="1" t="s">
        <v>38</v>
      </c>
      <c r="C68" s="1">
        <v>312</v>
      </c>
      <c r="D68" s="1">
        <v>374</v>
      </c>
      <c r="E68" s="1">
        <v>290</v>
      </c>
      <c r="F68" s="1">
        <v>29</v>
      </c>
      <c r="G68" s="7">
        <v>0.35</v>
      </c>
      <c r="H68" s="1">
        <v>40</v>
      </c>
      <c r="I68" s="1" t="s">
        <v>32</v>
      </c>
      <c r="J68" s="1">
        <v>360</v>
      </c>
      <c r="K68" s="1">
        <f t="shared" si="12"/>
        <v>-70</v>
      </c>
      <c r="L68" s="1"/>
      <c r="M68" s="1"/>
      <c r="N68" s="1">
        <v>300</v>
      </c>
      <c r="O68" s="1">
        <v>500</v>
      </c>
      <c r="P68" s="1">
        <f t="shared" si="3"/>
        <v>58</v>
      </c>
      <c r="Q68" s="5"/>
      <c r="R68" s="5"/>
      <c r="S68" s="1"/>
      <c r="T68" s="1">
        <f t="shared" si="4"/>
        <v>14.293103448275861</v>
      </c>
      <c r="U68" s="1">
        <f t="shared" si="5"/>
        <v>14.293103448275861</v>
      </c>
      <c r="V68" s="1">
        <v>24.4</v>
      </c>
      <c r="W68" s="1">
        <v>18.8</v>
      </c>
      <c r="X68" s="1">
        <v>36.799999999999997</v>
      </c>
      <c r="Y68" s="1">
        <v>19.2</v>
      </c>
      <c r="Z68" s="1" t="s">
        <v>41</v>
      </c>
      <c r="AA68" s="1">
        <f>G68*Q68</f>
        <v>0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107</v>
      </c>
      <c r="B69" s="1" t="s">
        <v>38</v>
      </c>
      <c r="C69" s="1">
        <v>737</v>
      </c>
      <c r="D69" s="1">
        <v>488</v>
      </c>
      <c r="E69" s="16">
        <f>536+E92</f>
        <v>588</v>
      </c>
      <c r="F69" s="16">
        <f>143+F92</f>
        <v>144</v>
      </c>
      <c r="G69" s="7">
        <v>0.35</v>
      </c>
      <c r="H69" s="1">
        <v>45</v>
      </c>
      <c r="I69" s="1" t="s">
        <v>32</v>
      </c>
      <c r="J69" s="1">
        <v>582</v>
      </c>
      <c r="K69" s="1">
        <f t="shared" si="12"/>
        <v>6</v>
      </c>
      <c r="L69" s="1"/>
      <c r="M69" s="1"/>
      <c r="N69" s="1">
        <v>200</v>
      </c>
      <c r="O69" s="1">
        <v>300</v>
      </c>
      <c r="P69" s="1">
        <f t="shared" si="3"/>
        <v>117.6</v>
      </c>
      <c r="Q69" s="5">
        <f t="shared" si="16"/>
        <v>884.8</v>
      </c>
      <c r="R69" s="5"/>
      <c r="S69" s="1"/>
      <c r="T69" s="1">
        <f t="shared" si="4"/>
        <v>13</v>
      </c>
      <c r="U69" s="1">
        <f t="shared" si="5"/>
        <v>5.4761904761904763</v>
      </c>
      <c r="V69" s="1">
        <v>30.4</v>
      </c>
      <c r="W69" s="1">
        <v>29.4</v>
      </c>
      <c r="X69" s="1">
        <v>63</v>
      </c>
      <c r="Y69" s="1">
        <v>25.8</v>
      </c>
      <c r="Z69" s="1" t="s">
        <v>41</v>
      </c>
      <c r="AA69" s="1">
        <f>G69*Q69</f>
        <v>309.67999999999995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0" t="s">
        <v>108</v>
      </c>
      <c r="B70" s="10" t="s">
        <v>31</v>
      </c>
      <c r="C70" s="10">
        <v>84.832999999999998</v>
      </c>
      <c r="D70" s="10">
        <v>88.055999999999997</v>
      </c>
      <c r="E70" s="16">
        <v>65.114999999999995</v>
      </c>
      <c r="F70" s="16">
        <v>25.155000000000001</v>
      </c>
      <c r="G70" s="11">
        <v>0</v>
      </c>
      <c r="H70" s="10">
        <v>55</v>
      </c>
      <c r="I70" s="10" t="s">
        <v>43</v>
      </c>
      <c r="J70" s="10">
        <v>82.4</v>
      </c>
      <c r="K70" s="10">
        <f t="shared" ref="K70:K97" si="17">E70-J70</f>
        <v>-17.285000000000011</v>
      </c>
      <c r="L70" s="10"/>
      <c r="M70" s="10"/>
      <c r="N70" s="10">
        <v>0</v>
      </c>
      <c r="O70" s="10">
        <v>0</v>
      </c>
      <c r="P70" s="10">
        <f t="shared" si="3"/>
        <v>13.023</v>
      </c>
      <c r="Q70" s="12"/>
      <c r="R70" s="12"/>
      <c r="S70" s="10"/>
      <c r="T70" s="10">
        <f t="shared" si="4"/>
        <v>1.9315825846579131</v>
      </c>
      <c r="U70" s="10">
        <f t="shared" si="5"/>
        <v>1.9315825846579131</v>
      </c>
      <c r="V70" s="10">
        <v>6.9656000000000002</v>
      </c>
      <c r="W70" s="10">
        <v>7.0122</v>
      </c>
      <c r="X70" s="10">
        <v>11.884399999999999</v>
      </c>
      <c r="Y70" s="10">
        <v>0.54259999999999997</v>
      </c>
      <c r="Z70" s="10" t="s">
        <v>109</v>
      </c>
      <c r="AA70" s="10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0" t="s">
        <v>110</v>
      </c>
      <c r="B71" s="10" t="s">
        <v>31</v>
      </c>
      <c r="C71" s="10">
        <v>81.019000000000005</v>
      </c>
      <c r="D71" s="10">
        <v>1.423</v>
      </c>
      <c r="E71" s="16">
        <v>68.674000000000007</v>
      </c>
      <c r="F71" s="16">
        <v>-4.3140000000000001</v>
      </c>
      <c r="G71" s="11">
        <v>0</v>
      </c>
      <c r="H71" s="10" t="e">
        <v>#N/A</v>
      </c>
      <c r="I71" s="10" t="s">
        <v>43</v>
      </c>
      <c r="J71" s="10">
        <v>80.95</v>
      </c>
      <c r="K71" s="10">
        <f t="shared" si="17"/>
        <v>-12.275999999999996</v>
      </c>
      <c r="L71" s="10"/>
      <c r="M71" s="10"/>
      <c r="N71" s="10">
        <v>0</v>
      </c>
      <c r="O71" s="10">
        <v>0</v>
      </c>
      <c r="P71" s="10">
        <f t="shared" ref="P71:P97" si="18">E71/5</f>
        <v>13.734800000000002</v>
      </c>
      <c r="Q71" s="12"/>
      <c r="R71" s="12"/>
      <c r="S71" s="10"/>
      <c r="T71" s="10">
        <f t="shared" ref="T71:T97" si="19">(F71+N71+O71+Q71)/P71</f>
        <v>-0.31409266971488481</v>
      </c>
      <c r="U71" s="10">
        <f t="shared" ref="U71:U97" si="20">(F71+N71+O71)/P71</f>
        <v>-0.31409266971488481</v>
      </c>
      <c r="V71" s="10">
        <v>0</v>
      </c>
      <c r="W71" s="10">
        <v>0</v>
      </c>
      <c r="X71" s="10">
        <v>0</v>
      </c>
      <c r="Y71" s="10">
        <v>0</v>
      </c>
      <c r="Z71" s="10" t="s">
        <v>111</v>
      </c>
      <c r="AA71" s="10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112</v>
      </c>
      <c r="B72" s="1" t="s">
        <v>31</v>
      </c>
      <c r="C72" s="1">
        <v>14.279</v>
      </c>
      <c r="D72" s="1">
        <v>1.137</v>
      </c>
      <c r="E72" s="1">
        <v>13.563000000000001</v>
      </c>
      <c r="F72" s="1">
        <v>0.157</v>
      </c>
      <c r="G72" s="7">
        <v>1</v>
      </c>
      <c r="H72" s="1">
        <v>60</v>
      </c>
      <c r="I72" s="1" t="s">
        <v>32</v>
      </c>
      <c r="J72" s="1">
        <v>17</v>
      </c>
      <c r="K72" s="1">
        <f t="shared" si="17"/>
        <v>-3.4369999999999994</v>
      </c>
      <c r="L72" s="1"/>
      <c r="M72" s="1"/>
      <c r="N72" s="1">
        <v>14.544600000000001</v>
      </c>
      <c r="O72" s="1">
        <v>20</v>
      </c>
      <c r="P72" s="1">
        <f t="shared" si="18"/>
        <v>2.7126000000000001</v>
      </c>
      <c r="Q72" s="5"/>
      <c r="R72" s="5"/>
      <c r="S72" s="1"/>
      <c r="T72" s="1">
        <f t="shared" si="19"/>
        <v>12.792744967927449</v>
      </c>
      <c r="U72" s="1">
        <f t="shared" si="20"/>
        <v>12.792744967927449</v>
      </c>
      <c r="V72" s="1">
        <v>2.2172000000000001</v>
      </c>
      <c r="W72" s="1">
        <v>2.7212000000000001</v>
      </c>
      <c r="X72" s="1">
        <v>1.87</v>
      </c>
      <c r="Y72" s="1">
        <v>0.17100000000000001</v>
      </c>
      <c r="Z72" s="1"/>
      <c r="AA72" s="1">
        <f t="shared" ref="AA72:AA89" si="21">G72*Q72</f>
        <v>0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113</v>
      </c>
      <c r="B73" s="1" t="s">
        <v>31</v>
      </c>
      <c r="C73" s="1">
        <v>488.36399999999998</v>
      </c>
      <c r="D73" s="1">
        <v>304.399</v>
      </c>
      <c r="E73" s="1">
        <v>273.48</v>
      </c>
      <c r="F73" s="1">
        <v>221.61199999999999</v>
      </c>
      <c r="G73" s="7">
        <v>1</v>
      </c>
      <c r="H73" s="1">
        <v>60</v>
      </c>
      <c r="I73" s="1" t="s">
        <v>32</v>
      </c>
      <c r="J73" s="1">
        <v>323.5</v>
      </c>
      <c r="K73" s="1">
        <f t="shared" si="17"/>
        <v>-50.019999999999982</v>
      </c>
      <c r="L73" s="1"/>
      <c r="M73" s="1"/>
      <c r="N73" s="1">
        <v>150</v>
      </c>
      <c r="O73" s="1">
        <v>400</v>
      </c>
      <c r="P73" s="1">
        <f t="shared" si="18"/>
        <v>54.696000000000005</v>
      </c>
      <c r="Q73" s="5"/>
      <c r="R73" s="5"/>
      <c r="S73" s="1"/>
      <c r="T73" s="1">
        <f t="shared" si="19"/>
        <v>14.107283896445807</v>
      </c>
      <c r="U73" s="1">
        <f t="shared" si="20"/>
        <v>14.107283896445807</v>
      </c>
      <c r="V73" s="1">
        <v>34.669400000000003</v>
      </c>
      <c r="W73" s="1">
        <v>43.521799999999999</v>
      </c>
      <c r="X73" s="1">
        <v>51.076000000000001</v>
      </c>
      <c r="Y73" s="1">
        <v>11.608000000000001</v>
      </c>
      <c r="Z73" s="1"/>
      <c r="AA73" s="1">
        <f t="shared" si="21"/>
        <v>0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114</v>
      </c>
      <c r="B74" s="1" t="s">
        <v>31</v>
      </c>
      <c r="C74" s="1">
        <v>422.58800000000002</v>
      </c>
      <c r="D74" s="1">
        <v>103.619</v>
      </c>
      <c r="E74" s="1">
        <v>252.376</v>
      </c>
      <c r="F74" s="1">
        <v>198.87100000000001</v>
      </c>
      <c r="G74" s="7">
        <v>1</v>
      </c>
      <c r="H74" s="1">
        <v>60</v>
      </c>
      <c r="I74" s="1" t="s">
        <v>32</v>
      </c>
      <c r="J74" s="1">
        <v>323.2</v>
      </c>
      <c r="K74" s="1">
        <f t="shared" si="17"/>
        <v>-70.823999999999984</v>
      </c>
      <c r="L74" s="1"/>
      <c r="M74" s="1"/>
      <c r="N74" s="1">
        <v>0</v>
      </c>
      <c r="O74" s="1">
        <v>0</v>
      </c>
      <c r="P74" s="1">
        <f t="shared" si="18"/>
        <v>50.475200000000001</v>
      </c>
      <c r="Q74" s="5">
        <f t="shared" ref="Q74:Q89" si="22">13*P74-O74-N74-F74</f>
        <v>457.3066</v>
      </c>
      <c r="R74" s="5"/>
      <c r="S74" s="1"/>
      <c r="T74" s="1">
        <f t="shared" si="19"/>
        <v>13</v>
      </c>
      <c r="U74" s="1">
        <f t="shared" si="20"/>
        <v>3.9399744825181475</v>
      </c>
      <c r="V74" s="1">
        <v>37.881999999999998</v>
      </c>
      <c r="W74" s="1">
        <v>46.3996</v>
      </c>
      <c r="X74" s="1">
        <v>48.836799999999997</v>
      </c>
      <c r="Y74" s="1">
        <v>14.0908</v>
      </c>
      <c r="Z74" s="1" t="s">
        <v>115</v>
      </c>
      <c r="AA74" s="1">
        <f t="shared" si="21"/>
        <v>457.3066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116</v>
      </c>
      <c r="B75" s="1" t="s">
        <v>31</v>
      </c>
      <c r="C75" s="1">
        <v>308.49099999999999</v>
      </c>
      <c r="D75" s="1">
        <v>210.96100000000001</v>
      </c>
      <c r="E75" s="1">
        <v>173.88300000000001</v>
      </c>
      <c r="F75" s="1">
        <v>118.566</v>
      </c>
      <c r="G75" s="7">
        <v>1</v>
      </c>
      <c r="H75" s="1">
        <v>60</v>
      </c>
      <c r="I75" s="1" t="s">
        <v>32</v>
      </c>
      <c r="J75" s="1">
        <v>204.2</v>
      </c>
      <c r="K75" s="1">
        <f t="shared" si="17"/>
        <v>-30.316999999999979</v>
      </c>
      <c r="L75" s="1"/>
      <c r="M75" s="1"/>
      <c r="N75" s="1">
        <v>100</v>
      </c>
      <c r="O75" s="1">
        <v>350</v>
      </c>
      <c r="P75" s="1">
        <f t="shared" si="18"/>
        <v>34.776600000000002</v>
      </c>
      <c r="Q75" s="5"/>
      <c r="R75" s="5"/>
      <c r="S75" s="1"/>
      <c r="T75" s="1">
        <f t="shared" si="19"/>
        <v>16.34909680647332</v>
      </c>
      <c r="U75" s="1">
        <f t="shared" si="20"/>
        <v>16.34909680647332</v>
      </c>
      <c r="V75" s="1">
        <v>22.289400000000001</v>
      </c>
      <c r="W75" s="1">
        <v>30.5242</v>
      </c>
      <c r="X75" s="1">
        <v>29.704000000000001</v>
      </c>
      <c r="Y75" s="1">
        <v>7.4201999999999986</v>
      </c>
      <c r="Z75" s="1" t="s">
        <v>41</v>
      </c>
      <c r="AA75" s="1">
        <f t="shared" si="21"/>
        <v>0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117</v>
      </c>
      <c r="B76" s="1" t="s">
        <v>31</v>
      </c>
      <c r="C76" s="1">
        <v>335.20299999999997</v>
      </c>
      <c r="D76" s="1">
        <v>132.35400000000001</v>
      </c>
      <c r="E76" s="1">
        <v>296.38499999999999</v>
      </c>
      <c r="F76" s="1">
        <v>45.497999999999998</v>
      </c>
      <c r="G76" s="7">
        <v>1</v>
      </c>
      <c r="H76" s="1">
        <v>55</v>
      </c>
      <c r="I76" s="1" t="s">
        <v>32</v>
      </c>
      <c r="J76" s="1">
        <v>310.8</v>
      </c>
      <c r="K76" s="1">
        <f t="shared" si="17"/>
        <v>-14.41500000000002</v>
      </c>
      <c r="L76" s="1"/>
      <c r="M76" s="1"/>
      <c r="N76" s="1">
        <v>400</v>
      </c>
      <c r="O76" s="1">
        <v>450</v>
      </c>
      <c r="P76" s="1">
        <f t="shared" si="18"/>
        <v>59.277000000000001</v>
      </c>
      <c r="Q76" s="5"/>
      <c r="R76" s="5"/>
      <c r="S76" s="1"/>
      <c r="T76" s="1">
        <f t="shared" si="19"/>
        <v>15.107006090051792</v>
      </c>
      <c r="U76" s="1">
        <f t="shared" si="20"/>
        <v>15.107006090051792</v>
      </c>
      <c r="V76" s="1">
        <v>47.39</v>
      </c>
      <c r="W76" s="1">
        <v>43.721400000000003</v>
      </c>
      <c r="X76" s="1">
        <v>47.355400000000003</v>
      </c>
      <c r="Y76" s="1">
        <v>6.9787999999999997</v>
      </c>
      <c r="Z76" s="1"/>
      <c r="AA76" s="1">
        <f t="shared" si="21"/>
        <v>0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118</v>
      </c>
      <c r="B77" s="1" t="s">
        <v>38</v>
      </c>
      <c r="C77" s="1">
        <v>34</v>
      </c>
      <c r="D77" s="1">
        <v>24</v>
      </c>
      <c r="E77" s="1">
        <v>28</v>
      </c>
      <c r="F77" s="1">
        <v>2</v>
      </c>
      <c r="G77" s="7">
        <v>0.5</v>
      </c>
      <c r="H77" s="1">
        <v>60</v>
      </c>
      <c r="I77" s="1" t="s">
        <v>32</v>
      </c>
      <c r="J77" s="1">
        <v>57</v>
      </c>
      <c r="K77" s="1">
        <f t="shared" si="17"/>
        <v>-29</v>
      </c>
      <c r="L77" s="1"/>
      <c r="M77" s="1"/>
      <c r="N77" s="1">
        <v>50</v>
      </c>
      <c r="O77" s="1">
        <v>70</v>
      </c>
      <c r="P77" s="1">
        <f t="shared" si="18"/>
        <v>5.6</v>
      </c>
      <c r="Q77" s="5"/>
      <c r="R77" s="5"/>
      <c r="S77" s="1"/>
      <c r="T77" s="1">
        <f t="shared" si="19"/>
        <v>21.785714285714288</v>
      </c>
      <c r="U77" s="1">
        <f t="shared" si="20"/>
        <v>21.785714285714288</v>
      </c>
      <c r="V77" s="1">
        <v>4</v>
      </c>
      <c r="W77" s="1">
        <v>2.2000000000000002</v>
      </c>
      <c r="X77" s="1">
        <v>4.5999999999999996</v>
      </c>
      <c r="Y77" s="1">
        <v>2.6</v>
      </c>
      <c r="Z77" s="1"/>
      <c r="AA77" s="1">
        <f t="shared" si="21"/>
        <v>0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119</v>
      </c>
      <c r="B78" s="1" t="s">
        <v>31</v>
      </c>
      <c r="C78" s="1">
        <v>125.989</v>
      </c>
      <c r="D78" s="1">
        <v>36.420999999999999</v>
      </c>
      <c r="E78" s="1">
        <v>83.147999999999996</v>
      </c>
      <c r="F78" s="1">
        <v>28.306000000000001</v>
      </c>
      <c r="G78" s="7">
        <v>1</v>
      </c>
      <c r="H78" s="1">
        <v>55</v>
      </c>
      <c r="I78" s="1" t="s">
        <v>32</v>
      </c>
      <c r="J78" s="1">
        <v>90.7</v>
      </c>
      <c r="K78" s="1">
        <f t="shared" si="17"/>
        <v>-7.5520000000000067</v>
      </c>
      <c r="L78" s="1"/>
      <c r="M78" s="1"/>
      <c r="N78" s="1">
        <v>170</v>
      </c>
      <c r="O78" s="1">
        <v>0</v>
      </c>
      <c r="P78" s="1">
        <f t="shared" si="18"/>
        <v>16.6296</v>
      </c>
      <c r="Q78" s="5">
        <f t="shared" si="22"/>
        <v>17.878799999999995</v>
      </c>
      <c r="R78" s="5"/>
      <c r="S78" s="1"/>
      <c r="T78" s="1">
        <f t="shared" si="19"/>
        <v>13</v>
      </c>
      <c r="U78" s="1">
        <f t="shared" si="20"/>
        <v>11.924880935199885</v>
      </c>
      <c r="V78" s="1">
        <v>3.2115999999999998</v>
      </c>
      <c r="W78" s="1">
        <v>2.9815999999999998</v>
      </c>
      <c r="X78" s="1">
        <v>15.682399999999999</v>
      </c>
      <c r="Y78" s="1">
        <v>5.3592000000000004</v>
      </c>
      <c r="Z78" s="1"/>
      <c r="AA78" s="1">
        <f t="shared" si="21"/>
        <v>17.878799999999995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120</v>
      </c>
      <c r="B79" s="1" t="s">
        <v>38</v>
      </c>
      <c r="C79" s="1">
        <v>168.304</v>
      </c>
      <c r="D79" s="1">
        <v>46.695999999999998</v>
      </c>
      <c r="E79" s="1">
        <v>173</v>
      </c>
      <c r="F79" s="1">
        <v>13</v>
      </c>
      <c r="G79" s="7">
        <v>0.5</v>
      </c>
      <c r="H79" s="1">
        <v>40</v>
      </c>
      <c r="I79" s="1" t="s">
        <v>32</v>
      </c>
      <c r="J79" s="1">
        <v>215</v>
      </c>
      <c r="K79" s="1">
        <f t="shared" si="17"/>
        <v>-42</v>
      </c>
      <c r="L79" s="1"/>
      <c r="M79" s="1"/>
      <c r="N79" s="1">
        <v>300</v>
      </c>
      <c r="O79" s="1">
        <v>350</v>
      </c>
      <c r="P79" s="1">
        <f t="shared" si="18"/>
        <v>34.6</v>
      </c>
      <c r="Q79" s="5"/>
      <c r="R79" s="5"/>
      <c r="S79" s="1"/>
      <c r="T79" s="1">
        <f t="shared" si="19"/>
        <v>19.161849710982658</v>
      </c>
      <c r="U79" s="1">
        <f t="shared" si="20"/>
        <v>19.161849710982658</v>
      </c>
      <c r="V79" s="1">
        <v>15.6</v>
      </c>
      <c r="W79" s="1">
        <v>17</v>
      </c>
      <c r="X79" s="1">
        <v>27.8</v>
      </c>
      <c r="Y79" s="1">
        <v>12.539199999999999</v>
      </c>
      <c r="Z79" s="1"/>
      <c r="AA79" s="1">
        <f t="shared" si="21"/>
        <v>0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121</v>
      </c>
      <c r="B80" s="1" t="s">
        <v>38</v>
      </c>
      <c r="C80" s="1">
        <v>47</v>
      </c>
      <c r="D80" s="1">
        <v>18</v>
      </c>
      <c r="E80" s="1">
        <v>51</v>
      </c>
      <c r="F80" s="1">
        <v>6</v>
      </c>
      <c r="G80" s="7">
        <v>0.5</v>
      </c>
      <c r="H80" s="1">
        <v>60</v>
      </c>
      <c r="I80" s="1" t="s">
        <v>32</v>
      </c>
      <c r="J80" s="1">
        <v>88</v>
      </c>
      <c r="K80" s="1">
        <f t="shared" si="17"/>
        <v>-37</v>
      </c>
      <c r="L80" s="1"/>
      <c r="M80" s="1"/>
      <c r="N80" s="1">
        <v>120</v>
      </c>
      <c r="O80" s="1">
        <v>120</v>
      </c>
      <c r="P80" s="1">
        <f t="shared" si="18"/>
        <v>10.199999999999999</v>
      </c>
      <c r="Q80" s="5"/>
      <c r="R80" s="5"/>
      <c r="S80" s="1"/>
      <c r="T80" s="1">
        <f t="shared" si="19"/>
        <v>24.117647058823533</v>
      </c>
      <c r="U80" s="1">
        <f t="shared" si="20"/>
        <v>24.117647058823533</v>
      </c>
      <c r="V80" s="1">
        <v>8.1999999999999993</v>
      </c>
      <c r="W80" s="1">
        <v>6.2</v>
      </c>
      <c r="X80" s="1">
        <v>6.4</v>
      </c>
      <c r="Y80" s="1">
        <v>4.2</v>
      </c>
      <c r="Z80" s="1"/>
      <c r="AA80" s="1">
        <f t="shared" si="21"/>
        <v>0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122</v>
      </c>
      <c r="B81" s="1" t="s">
        <v>38</v>
      </c>
      <c r="C81" s="1">
        <v>1</v>
      </c>
      <c r="D81" s="1">
        <v>20</v>
      </c>
      <c r="E81" s="1">
        <v>4</v>
      </c>
      <c r="F81" s="1">
        <v>2</v>
      </c>
      <c r="G81" s="7">
        <v>0.4</v>
      </c>
      <c r="H81" s="1">
        <v>55</v>
      </c>
      <c r="I81" s="1" t="s">
        <v>32</v>
      </c>
      <c r="J81" s="1">
        <v>22</v>
      </c>
      <c r="K81" s="1">
        <f t="shared" si="17"/>
        <v>-18</v>
      </c>
      <c r="L81" s="1"/>
      <c r="M81" s="1"/>
      <c r="N81" s="1">
        <v>250</v>
      </c>
      <c r="O81" s="1">
        <v>0</v>
      </c>
      <c r="P81" s="1">
        <f t="shared" si="18"/>
        <v>0.8</v>
      </c>
      <c r="Q81" s="5"/>
      <c r="R81" s="5"/>
      <c r="S81" s="1"/>
      <c r="T81" s="1">
        <f t="shared" si="19"/>
        <v>315</v>
      </c>
      <c r="U81" s="1">
        <f t="shared" si="20"/>
        <v>315</v>
      </c>
      <c r="V81" s="1">
        <v>26.6</v>
      </c>
      <c r="W81" s="1">
        <v>22.4</v>
      </c>
      <c r="X81" s="1">
        <v>9.8000000000000007</v>
      </c>
      <c r="Y81" s="1">
        <v>12.6</v>
      </c>
      <c r="Z81" s="1"/>
      <c r="AA81" s="1">
        <f t="shared" si="21"/>
        <v>0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123</v>
      </c>
      <c r="B82" s="1" t="s">
        <v>31</v>
      </c>
      <c r="C82" s="1">
        <v>154.459</v>
      </c>
      <c r="D82" s="1">
        <v>78.275999999999996</v>
      </c>
      <c r="E82" s="1">
        <v>121.325</v>
      </c>
      <c r="F82" s="1">
        <v>28.207000000000001</v>
      </c>
      <c r="G82" s="7">
        <v>1</v>
      </c>
      <c r="H82" s="1">
        <v>55</v>
      </c>
      <c r="I82" s="1" t="s">
        <v>32</v>
      </c>
      <c r="J82" s="1">
        <v>131.9</v>
      </c>
      <c r="K82" s="1">
        <f t="shared" si="17"/>
        <v>-10.575000000000003</v>
      </c>
      <c r="L82" s="1"/>
      <c r="M82" s="1"/>
      <c r="N82" s="1">
        <v>100</v>
      </c>
      <c r="O82" s="1">
        <v>200</v>
      </c>
      <c r="P82" s="1">
        <f t="shared" si="18"/>
        <v>24.265000000000001</v>
      </c>
      <c r="Q82" s="5"/>
      <c r="R82" s="5"/>
      <c r="S82" s="1"/>
      <c r="T82" s="1">
        <f t="shared" si="19"/>
        <v>13.525942715845868</v>
      </c>
      <c r="U82" s="1">
        <f t="shared" si="20"/>
        <v>13.525942715845868</v>
      </c>
      <c r="V82" s="1">
        <v>12.053000000000001</v>
      </c>
      <c r="W82" s="1">
        <v>4.3944000000000001</v>
      </c>
      <c r="X82" s="1">
        <v>20.142399999999999</v>
      </c>
      <c r="Y82" s="1">
        <v>7.6786000000000003</v>
      </c>
      <c r="Z82" s="1"/>
      <c r="AA82" s="1">
        <f t="shared" si="21"/>
        <v>0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124</v>
      </c>
      <c r="B83" s="1" t="s">
        <v>38</v>
      </c>
      <c r="C83" s="1">
        <v>76</v>
      </c>
      <c r="D83" s="1">
        <v>99</v>
      </c>
      <c r="E83" s="1">
        <v>70</v>
      </c>
      <c r="F83" s="1">
        <v>7</v>
      </c>
      <c r="G83" s="7">
        <v>0.4</v>
      </c>
      <c r="H83" s="1">
        <v>55</v>
      </c>
      <c r="I83" s="1" t="s">
        <v>32</v>
      </c>
      <c r="J83" s="1">
        <v>98</v>
      </c>
      <c r="K83" s="1">
        <f t="shared" si="17"/>
        <v>-28</v>
      </c>
      <c r="L83" s="1"/>
      <c r="M83" s="1"/>
      <c r="N83" s="1">
        <v>180</v>
      </c>
      <c r="O83" s="1">
        <v>80</v>
      </c>
      <c r="P83" s="1">
        <f t="shared" si="18"/>
        <v>14</v>
      </c>
      <c r="Q83" s="5"/>
      <c r="R83" s="5"/>
      <c r="S83" s="1"/>
      <c r="T83" s="1">
        <f t="shared" si="19"/>
        <v>19.071428571428573</v>
      </c>
      <c r="U83" s="1">
        <f t="shared" si="20"/>
        <v>19.071428571428573</v>
      </c>
      <c r="V83" s="1">
        <v>7.6</v>
      </c>
      <c r="W83" s="1">
        <v>10.4</v>
      </c>
      <c r="X83" s="1">
        <v>13.2</v>
      </c>
      <c r="Y83" s="1"/>
      <c r="Z83" s="1"/>
      <c r="AA83" s="1">
        <f t="shared" si="21"/>
        <v>0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125</v>
      </c>
      <c r="B84" s="1" t="s">
        <v>31</v>
      </c>
      <c r="C84" s="1">
        <v>54.89</v>
      </c>
      <c r="D84" s="1">
        <v>25.754999999999999</v>
      </c>
      <c r="E84" s="1">
        <v>61.75</v>
      </c>
      <c r="F84" s="1">
        <v>16.193999999999999</v>
      </c>
      <c r="G84" s="7">
        <v>1</v>
      </c>
      <c r="H84" s="1">
        <v>55</v>
      </c>
      <c r="I84" s="1" t="s">
        <v>32</v>
      </c>
      <c r="J84" s="1">
        <v>65.2</v>
      </c>
      <c r="K84" s="1">
        <f t="shared" si="17"/>
        <v>-3.4500000000000028</v>
      </c>
      <c r="L84" s="1"/>
      <c r="M84" s="1"/>
      <c r="N84" s="1">
        <v>70.12060000000001</v>
      </c>
      <c r="O84" s="1">
        <v>80</v>
      </c>
      <c r="P84" s="1">
        <f t="shared" si="18"/>
        <v>12.35</v>
      </c>
      <c r="Q84" s="5"/>
      <c r="R84" s="5"/>
      <c r="S84" s="1"/>
      <c r="T84" s="1">
        <f t="shared" si="19"/>
        <v>13.466769230769232</v>
      </c>
      <c r="U84" s="1">
        <f t="shared" si="20"/>
        <v>13.466769230769232</v>
      </c>
      <c r="V84" s="1">
        <v>9.616200000000001</v>
      </c>
      <c r="W84" s="1">
        <v>9.8878000000000004</v>
      </c>
      <c r="X84" s="1">
        <v>6.7248000000000001</v>
      </c>
      <c r="Y84" s="1">
        <v>4.8201999999999998</v>
      </c>
      <c r="Z84" s="1"/>
      <c r="AA84" s="1">
        <f t="shared" si="21"/>
        <v>0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126</v>
      </c>
      <c r="B85" s="1" t="s">
        <v>38</v>
      </c>
      <c r="C85" s="1">
        <v>28</v>
      </c>
      <c r="D85" s="1">
        <v>53</v>
      </c>
      <c r="E85" s="1">
        <v>27</v>
      </c>
      <c r="F85" s="1">
        <v>2</v>
      </c>
      <c r="G85" s="7">
        <v>0.3</v>
      </c>
      <c r="H85" s="1">
        <v>40</v>
      </c>
      <c r="I85" s="1" t="s">
        <v>32</v>
      </c>
      <c r="J85" s="1">
        <v>66</v>
      </c>
      <c r="K85" s="1">
        <f t="shared" si="17"/>
        <v>-39</v>
      </c>
      <c r="L85" s="1"/>
      <c r="M85" s="1"/>
      <c r="N85" s="1">
        <v>200</v>
      </c>
      <c r="O85" s="1">
        <v>40</v>
      </c>
      <c r="P85" s="1">
        <f t="shared" si="18"/>
        <v>5.4</v>
      </c>
      <c r="Q85" s="5"/>
      <c r="R85" s="5"/>
      <c r="S85" s="1"/>
      <c r="T85" s="1">
        <f t="shared" si="19"/>
        <v>44.81481481481481</v>
      </c>
      <c r="U85" s="1">
        <f t="shared" si="20"/>
        <v>44.81481481481481</v>
      </c>
      <c r="V85" s="1">
        <v>17.600000000000001</v>
      </c>
      <c r="W85" s="1">
        <v>9.1999999999999993</v>
      </c>
      <c r="X85" s="1">
        <v>8.6</v>
      </c>
      <c r="Y85" s="1">
        <v>6.6</v>
      </c>
      <c r="Z85" s="1"/>
      <c r="AA85" s="1">
        <f t="shared" si="21"/>
        <v>0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127</v>
      </c>
      <c r="B86" s="1" t="s">
        <v>38</v>
      </c>
      <c r="C86" s="1">
        <v>56</v>
      </c>
      <c r="D86" s="1">
        <v>40</v>
      </c>
      <c r="E86" s="1">
        <v>52</v>
      </c>
      <c r="F86" s="1">
        <v>10</v>
      </c>
      <c r="G86" s="7">
        <v>0.3</v>
      </c>
      <c r="H86" s="1">
        <v>40</v>
      </c>
      <c r="I86" s="1" t="s">
        <v>32</v>
      </c>
      <c r="J86" s="1">
        <v>78</v>
      </c>
      <c r="K86" s="1">
        <f t="shared" si="17"/>
        <v>-26</v>
      </c>
      <c r="L86" s="1"/>
      <c r="M86" s="1"/>
      <c r="N86" s="1">
        <v>100</v>
      </c>
      <c r="O86" s="1">
        <v>80</v>
      </c>
      <c r="P86" s="1">
        <f t="shared" si="18"/>
        <v>10.4</v>
      </c>
      <c r="Q86" s="5"/>
      <c r="R86" s="5"/>
      <c r="S86" s="1"/>
      <c r="T86" s="1">
        <f t="shared" si="19"/>
        <v>18.26923076923077</v>
      </c>
      <c r="U86" s="1">
        <f t="shared" si="20"/>
        <v>18.26923076923077</v>
      </c>
      <c r="V86" s="1">
        <v>9.1999999999999993</v>
      </c>
      <c r="W86" s="1">
        <v>4.2</v>
      </c>
      <c r="X86" s="1">
        <v>10.4</v>
      </c>
      <c r="Y86" s="1">
        <v>5</v>
      </c>
      <c r="Z86" s="1"/>
      <c r="AA86" s="1">
        <f t="shared" si="21"/>
        <v>0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128</v>
      </c>
      <c r="B87" s="1" t="s">
        <v>38</v>
      </c>
      <c r="C87" s="1">
        <v>69</v>
      </c>
      <c r="D87" s="1">
        <v>36</v>
      </c>
      <c r="E87" s="1">
        <v>56</v>
      </c>
      <c r="F87" s="1">
        <v>2</v>
      </c>
      <c r="G87" s="7">
        <v>0.3</v>
      </c>
      <c r="H87" s="1">
        <v>40</v>
      </c>
      <c r="I87" s="1" t="s">
        <v>32</v>
      </c>
      <c r="J87" s="1">
        <v>132</v>
      </c>
      <c r="K87" s="1">
        <f t="shared" si="17"/>
        <v>-76</v>
      </c>
      <c r="L87" s="1"/>
      <c r="M87" s="1"/>
      <c r="N87" s="1">
        <v>100</v>
      </c>
      <c r="O87" s="1">
        <v>150</v>
      </c>
      <c r="P87" s="1">
        <f t="shared" si="18"/>
        <v>11.2</v>
      </c>
      <c r="Q87" s="5"/>
      <c r="R87" s="5"/>
      <c r="S87" s="1"/>
      <c r="T87" s="1">
        <f t="shared" si="19"/>
        <v>22.5</v>
      </c>
      <c r="U87" s="1">
        <f t="shared" si="20"/>
        <v>22.5</v>
      </c>
      <c r="V87" s="1">
        <v>8</v>
      </c>
      <c r="W87" s="1">
        <v>11.4</v>
      </c>
      <c r="X87" s="1">
        <v>9.6</v>
      </c>
      <c r="Y87" s="1">
        <v>2.8</v>
      </c>
      <c r="Z87" s="1"/>
      <c r="AA87" s="1">
        <f t="shared" si="21"/>
        <v>0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129</v>
      </c>
      <c r="B88" s="1" t="s">
        <v>38</v>
      </c>
      <c r="C88" s="1">
        <v>161</v>
      </c>
      <c r="D88" s="1">
        <v>281</v>
      </c>
      <c r="E88" s="1">
        <v>160</v>
      </c>
      <c r="F88" s="1">
        <v>24</v>
      </c>
      <c r="G88" s="7">
        <v>0.375</v>
      </c>
      <c r="H88" s="1">
        <v>50</v>
      </c>
      <c r="I88" s="1" t="s">
        <v>32</v>
      </c>
      <c r="J88" s="1">
        <v>237</v>
      </c>
      <c r="K88" s="1">
        <f t="shared" si="17"/>
        <v>-77</v>
      </c>
      <c r="L88" s="1"/>
      <c r="M88" s="1"/>
      <c r="N88" s="1">
        <v>180</v>
      </c>
      <c r="O88" s="1">
        <v>300</v>
      </c>
      <c r="P88" s="1">
        <f t="shared" si="18"/>
        <v>32</v>
      </c>
      <c r="Q88" s="5"/>
      <c r="R88" s="5"/>
      <c r="S88" s="1"/>
      <c r="T88" s="1">
        <f t="shared" si="19"/>
        <v>15.75</v>
      </c>
      <c r="U88" s="1">
        <f t="shared" si="20"/>
        <v>15.75</v>
      </c>
      <c r="V88" s="1">
        <v>25.6</v>
      </c>
      <c r="W88" s="1">
        <v>16</v>
      </c>
      <c r="X88" s="1">
        <v>27.4</v>
      </c>
      <c r="Y88" s="1">
        <v>14.8</v>
      </c>
      <c r="Z88" s="1"/>
      <c r="AA88" s="1">
        <f t="shared" si="21"/>
        <v>0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7" t="s">
        <v>130</v>
      </c>
      <c r="B89" s="1" t="s">
        <v>31</v>
      </c>
      <c r="C89" s="1"/>
      <c r="D89" s="1"/>
      <c r="E89" s="16">
        <f>E70</f>
        <v>65.114999999999995</v>
      </c>
      <c r="F89" s="16">
        <f>F70</f>
        <v>25.155000000000001</v>
      </c>
      <c r="G89" s="7">
        <v>1</v>
      </c>
      <c r="H89" s="1">
        <v>55</v>
      </c>
      <c r="I89" s="1" t="s">
        <v>32</v>
      </c>
      <c r="J89" s="1"/>
      <c r="K89" s="1">
        <f t="shared" si="17"/>
        <v>65.114999999999995</v>
      </c>
      <c r="L89" s="1"/>
      <c r="M89" s="1"/>
      <c r="N89" s="1">
        <v>5.7198000000000064</v>
      </c>
      <c r="O89" s="1">
        <v>120</v>
      </c>
      <c r="P89" s="1">
        <f t="shared" si="18"/>
        <v>13.023</v>
      </c>
      <c r="Q89" s="5">
        <f t="shared" si="22"/>
        <v>18.424199999999999</v>
      </c>
      <c r="R89" s="5"/>
      <c r="S89" s="1"/>
      <c r="T89" s="1">
        <f t="shared" si="19"/>
        <v>12.999999999999998</v>
      </c>
      <c r="U89" s="1">
        <f t="shared" si="20"/>
        <v>11.585256853259617</v>
      </c>
      <c r="V89" s="1">
        <v>6.9656000000000002</v>
      </c>
      <c r="W89" s="1">
        <v>7.0122</v>
      </c>
      <c r="X89" s="1">
        <v>11.884399999999999</v>
      </c>
      <c r="Y89" s="1">
        <v>0.54259999999999997</v>
      </c>
      <c r="Z89" s="1" t="s">
        <v>41</v>
      </c>
      <c r="AA89" s="1">
        <f t="shared" si="21"/>
        <v>18.424199999999999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8" t="s">
        <v>131</v>
      </c>
      <c r="B90" s="1" t="s">
        <v>38</v>
      </c>
      <c r="C90" s="1">
        <v>-16</v>
      </c>
      <c r="D90" s="1">
        <v>40</v>
      </c>
      <c r="E90" s="16">
        <v>21</v>
      </c>
      <c r="F90" s="1"/>
      <c r="G90" s="7">
        <v>0</v>
      </c>
      <c r="H90" s="1" t="e">
        <v>#N/A</v>
      </c>
      <c r="I90" s="1" t="s">
        <v>132</v>
      </c>
      <c r="J90" s="1">
        <v>24</v>
      </c>
      <c r="K90" s="1">
        <f t="shared" si="17"/>
        <v>-3</v>
      </c>
      <c r="L90" s="1"/>
      <c r="M90" s="1"/>
      <c r="N90" s="1">
        <v>0</v>
      </c>
      <c r="O90" s="1">
        <v>0</v>
      </c>
      <c r="P90" s="1">
        <f t="shared" si="18"/>
        <v>4.2</v>
      </c>
      <c r="Q90" s="5"/>
      <c r="R90" s="5"/>
      <c r="S90" s="1"/>
      <c r="T90" s="1">
        <f t="shared" si="19"/>
        <v>0</v>
      </c>
      <c r="U90" s="1">
        <f t="shared" si="20"/>
        <v>0</v>
      </c>
      <c r="V90" s="1">
        <v>3.2</v>
      </c>
      <c r="W90" s="1">
        <v>0</v>
      </c>
      <c r="X90" s="1">
        <v>0</v>
      </c>
      <c r="Y90" s="1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8" t="s">
        <v>133</v>
      </c>
      <c r="B91" s="1" t="s">
        <v>38</v>
      </c>
      <c r="C91" s="1">
        <v>-13</v>
      </c>
      <c r="D91" s="1">
        <v>54</v>
      </c>
      <c r="E91" s="16">
        <v>34</v>
      </c>
      <c r="F91" s="1"/>
      <c r="G91" s="7">
        <v>0</v>
      </c>
      <c r="H91" s="1" t="e">
        <v>#N/A</v>
      </c>
      <c r="I91" s="1" t="s">
        <v>132</v>
      </c>
      <c r="J91" s="1">
        <v>42</v>
      </c>
      <c r="K91" s="1">
        <f t="shared" si="17"/>
        <v>-8</v>
      </c>
      <c r="L91" s="1"/>
      <c r="M91" s="1"/>
      <c r="N91" s="1">
        <v>0</v>
      </c>
      <c r="O91" s="1">
        <v>0</v>
      </c>
      <c r="P91" s="1">
        <f t="shared" si="18"/>
        <v>6.8</v>
      </c>
      <c r="Q91" s="5"/>
      <c r="R91" s="5"/>
      <c r="S91" s="1"/>
      <c r="T91" s="1">
        <f t="shared" si="19"/>
        <v>0</v>
      </c>
      <c r="U91" s="1">
        <f t="shared" si="20"/>
        <v>0</v>
      </c>
      <c r="V91" s="1">
        <v>2.6</v>
      </c>
      <c r="W91" s="1">
        <v>0</v>
      </c>
      <c r="X91" s="1">
        <v>0</v>
      </c>
      <c r="Y91" s="1">
        <v>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8" t="s">
        <v>134</v>
      </c>
      <c r="B92" s="1" t="s">
        <v>38</v>
      </c>
      <c r="C92" s="1">
        <v>-11</v>
      </c>
      <c r="D92" s="1">
        <v>69</v>
      </c>
      <c r="E92" s="16">
        <v>52</v>
      </c>
      <c r="F92" s="16">
        <v>1</v>
      </c>
      <c r="G92" s="7">
        <v>0</v>
      </c>
      <c r="H92" s="1" t="e">
        <v>#N/A</v>
      </c>
      <c r="I92" s="1" t="s">
        <v>132</v>
      </c>
      <c r="J92" s="1">
        <v>59</v>
      </c>
      <c r="K92" s="1">
        <f t="shared" si="17"/>
        <v>-7</v>
      </c>
      <c r="L92" s="1"/>
      <c r="M92" s="1"/>
      <c r="N92" s="1">
        <v>0</v>
      </c>
      <c r="O92" s="1">
        <v>0</v>
      </c>
      <c r="P92" s="1">
        <f t="shared" si="18"/>
        <v>10.4</v>
      </c>
      <c r="Q92" s="5"/>
      <c r="R92" s="5"/>
      <c r="S92" s="1"/>
      <c r="T92" s="1">
        <f t="shared" si="19"/>
        <v>9.6153846153846145E-2</v>
      </c>
      <c r="U92" s="1">
        <f t="shared" si="20"/>
        <v>9.6153846153846145E-2</v>
      </c>
      <c r="V92" s="1">
        <v>2.2000000000000002</v>
      </c>
      <c r="W92" s="1">
        <v>0.4</v>
      </c>
      <c r="X92" s="1">
        <v>0</v>
      </c>
      <c r="Y92" s="1"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7" t="s">
        <v>135</v>
      </c>
      <c r="B93" s="1" t="s">
        <v>31</v>
      </c>
      <c r="C93" s="1"/>
      <c r="D93" s="1"/>
      <c r="E93" s="1"/>
      <c r="F93" s="1"/>
      <c r="G93" s="7">
        <v>1</v>
      </c>
      <c r="H93" s="1" t="e">
        <v>#N/A</v>
      </c>
      <c r="I93" s="1" t="s">
        <v>32</v>
      </c>
      <c r="J93" s="1"/>
      <c r="K93" s="1">
        <f t="shared" si="17"/>
        <v>0</v>
      </c>
      <c r="L93" s="1"/>
      <c r="M93" s="1"/>
      <c r="N93" s="1">
        <v>50</v>
      </c>
      <c r="O93" s="1">
        <v>0</v>
      </c>
      <c r="P93" s="1">
        <f t="shared" si="18"/>
        <v>0</v>
      </c>
      <c r="Q93" s="5"/>
      <c r="R93" s="5"/>
      <c r="S93" s="1"/>
      <c r="T93" s="1" t="e">
        <f t="shared" si="19"/>
        <v>#DIV/0!</v>
      </c>
      <c r="U93" s="1" t="e">
        <f t="shared" si="20"/>
        <v>#DIV/0!</v>
      </c>
      <c r="V93" s="1">
        <v>0</v>
      </c>
      <c r="W93" s="1">
        <v>0</v>
      </c>
      <c r="X93" s="1">
        <v>0</v>
      </c>
      <c r="Y93" s="1">
        <v>0</v>
      </c>
      <c r="Z93" s="1" t="s">
        <v>136</v>
      </c>
      <c r="AA93" s="1">
        <f>G93*Q93</f>
        <v>0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7" t="s">
        <v>137</v>
      </c>
      <c r="B94" s="1" t="s">
        <v>31</v>
      </c>
      <c r="C94" s="1"/>
      <c r="D94" s="1"/>
      <c r="E94" s="1"/>
      <c r="F94" s="1"/>
      <c r="G94" s="7">
        <v>1</v>
      </c>
      <c r="H94" s="1" t="e">
        <v>#N/A</v>
      </c>
      <c r="I94" s="1" t="s">
        <v>32</v>
      </c>
      <c r="J94" s="1"/>
      <c r="K94" s="1">
        <f t="shared" si="17"/>
        <v>0</v>
      </c>
      <c r="L94" s="1"/>
      <c r="M94" s="1"/>
      <c r="N94" s="1">
        <v>100</v>
      </c>
      <c r="O94" s="1">
        <v>0</v>
      </c>
      <c r="P94" s="1">
        <f t="shared" si="18"/>
        <v>0</v>
      </c>
      <c r="Q94" s="5"/>
      <c r="R94" s="5"/>
      <c r="S94" s="1"/>
      <c r="T94" s="1" t="e">
        <f t="shared" si="19"/>
        <v>#DIV/0!</v>
      </c>
      <c r="U94" s="1" t="e">
        <f t="shared" si="20"/>
        <v>#DIV/0!</v>
      </c>
      <c r="V94" s="1">
        <v>0</v>
      </c>
      <c r="W94" s="1">
        <v>0</v>
      </c>
      <c r="X94" s="1">
        <v>0</v>
      </c>
      <c r="Y94" s="1">
        <v>0</v>
      </c>
      <c r="Z94" s="1" t="s">
        <v>136</v>
      </c>
      <c r="AA94" s="1">
        <f>G94*Q94</f>
        <v>0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7" t="s">
        <v>138</v>
      </c>
      <c r="B95" s="1" t="s">
        <v>38</v>
      </c>
      <c r="C95" s="1"/>
      <c r="D95" s="1"/>
      <c r="E95" s="1"/>
      <c r="F95" s="1"/>
      <c r="G95" s="7">
        <v>0.4</v>
      </c>
      <c r="H95" s="1" t="e">
        <v>#N/A</v>
      </c>
      <c r="I95" s="1" t="s">
        <v>32</v>
      </c>
      <c r="J95" s="1"/>
      <c r="K95" s="1">
        <f t="shared" si="17"/>
        <v>0</v>
      </c>
      <c r="L95" s="1"/>
      <c r="M95" s="1"/>
      <c r="N95" s="1">
        <v>200</v>
      </c>
      <c r="O95" s="1">
        <v>0</v>
      </c>
      <c r="P95" s="1">
        <f t="shared" si="18"/>
        <v>0</v>
      </c>
      <c r="Q95" s="5"/>
      <c r="R95" s="5"/>
      <c r="S95" s="1"/>
      <c r="T95" s="1" t="e">
        <f t="shared" si="19"/>
        <v>#DIV/0!</v>
      </c>
      <c r="U95" s="1" t="e">
        <f t="shared" si="20"/>
        <v>#DIV/0!</v>
      </c>
      <c r="V95" s="1">
        <v>0</v>
      </c>
      <c r="W95" s="1">
        <v>0</v>
      </c>
      <c r="X95" s="1">
        <v>0</v>
      </c>
      <c r="Y95" s="1">
        <v>0</v>
      </c>
      <c r="Z95" s="1" t="s">
        <v>136</v>
      </c>
      <c r="AA95" s="1">
        <f>G95*Q95</f>
        <v>0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7" t="s">
        <v>139</v>
      </c>
      <c r="B96" s="1" t="s">
        <v>38</v>
      </c>
      <c r="C96" s="1"/>
      <c r="D96" s="1"/>
      <c r="E96" s="1"/>
      <c r="F96" s="1"/>
      <c r="G96" s="7">
        <v>0.35</v>
      </c>
      <c r="H96" s="1" t="e">
        <v>#N/A</v>
      </c>
      <c r="I96" s="1" t="s">
        <v>32</v>
      </c>
      <c r="J96" s="1"/>
      <c r="K96" s="1">
        <f t="shared" si="17"/>
        <v>0</v>
      </c>
      <c r="L96" s="1"/>
      <c r="M96" s="1"/>
      <c r="N96" s="1">
        <v>200</v>
      </c>
      <c r="O96" s="1">
        <v>0</v>
      </c>
      <c r="P96" s="1">
        <f t="shared" si="18"/>
        <v>0</v>
      </c>
      <c r="Q96" s="5"/>
      <c r="R96" s="5"/>
      <c r="S96" s="1"/>
      <c r="T96" s="1" t="e">
        <f t="shared" si="19"/>
        <v>#DIV/0!</v>
      </c>
      <c r="U96" s="1" t="e">
        <f t="shared" si="20"/>
        <v>#DIV/0!</v>
      </c>
      <c r="V96" s="1">
        <v>0</v>
      </c>
      <c r="W96" s="1">
        <v>0</v>
      </c>
      <c r="X96" s="1">
        <v>0</v>
      </c>
      <c r="Y96" s="1">
        <v>0</v>
      </c>
      <c r="Z96" s="1" t="s">
        <v>136</v>
      </c>
      <c r="AA96" s="1">
        <f>G96*Q96</f>
        <v>0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7" t="s">
        <v>140</v>
      </c>
      <c r="B97" s="1" t="s">
        <v>38</v>
      </c>
      <c r="C97" s="1"/>
      <c r="D97" s="1"/>
      <c r="E97" s="1"/>
      <c r="F97" s="1"/>
      <c r="G97" s="7">
        <v>0.33</v>
      </c>
      <c r="H97" s="1" t="e">
        <v>#N/A</v>
      </c>
      <c r="I97" s="1" t="s">
        <v>32</v>
      </c>
      <c r="J97" s="1"/>
      <c r="K97" s="1">
        <f t="shared" si="17"/>
        <v>0</v>
      </c>
      <c r="L97" s="1"/>
      <c r="M97" s="1"/>
      <c r="N97" s="1">
        <v>200</v>
      </c>
      <c r="O97" s="1">
        <v>0</v>
      </c>
      <c r="P97" s="1">
        <f t="shared" si="18"/>
        <v>0</v>
      </c>
      <c r="Q97" s="5"/>
      <c r="R97" s="5"/>
      <c r="S97" s="1"/>
      <c r="T97" s="1" t="e">
        <f t="shared" si="19"/>
        <v>#DIV/0!</v>
      </c>
      <c r="U97" s="1" t="e">
        <f t="shared" si="20"/>
        <v>#DIV/0!</v>
      </c>
      <c r="V97" s="1">
        <v>0</v>
      </c>
      <c r="W97" s="1">
        <v>0</v>
      </c>
      <c r="X97" s="1">
        <v>0</v>
      </c>
      <c r="Y97" s="1">
        <v>0</v>
      </c>
      <c r="Z97" s="1" t="s">
        <v>136</v>
      </c>
      <c r="AA97" s="1">
        <f>G97*Q97</f>
        <v>0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</sheetData>
  <autoFilter ref="A3:AA97" xr:uid="{341771C9-E2E8-45A3-8E5B-7DA650F2D91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2025-04-21T09:10:14Z</dcterms:created>
  <dcterms:modified xsi:type="dcterms:W3CDTF">2025-04-28T08:54:36Z</dcterms:modified>
</cp:coreProperties>
</file>