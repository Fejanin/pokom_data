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och\"/>
    </mc:Choice>
  </mc:AlternateContent>
  <xr:revisionPtr revIDLastSave="0" documentId="13_ncr:1_{A9022B41-8AAD-40FD-9E1C-7AE9A48F52C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BP521" i="1"/>
  <c r="BO521" i="1"/>
  <c r="BN521" i="1"/>
  <c r="BM521" i="1"/>
  <c r="Z521" i="1"/>
  <c r="Y521" i="1"/>
  <c r="P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BP517" i="1"/>
  <c r="BO517" i="1"/>
  <c r="BN517" i="1"/>
  <c r="BM517" i="1"/>
  <c r="Z517" i="1"/>
  <c r="Y517" i="1"/>
  <c r="P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P506" i="1"/>
  <c r="BO505" i="1"/>
  <c r="BM505" i="1"/>
  <c r="Y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Y257" i="1"/>
  <c r="BP256" i="1"/>
  <c r="BO256" i="1"/>
  <c r="BN256" i="1"/>
  <c r="BM256" i="1"/>
  <c r="Z256" i="1"/>
  <c r="Y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Z258" i="1" s="1"/>
  <c r="Y253" i="1"/>
  <c r="Y259" i="1" s="1"/>
  <c r="X251" i="1"/>
  <c r="X250" i="1"/>
  <c r="BO249" i="1"/>
  <c r="BM249" i="1"/>
  <c r="Y249" i="1"/>
  <c r="X247" i="1"/>
  <c r="Y246" i="1"/>
  <c r="X246" i="1"/>
  <c r="BP245" i="1"/>
  <c r="BO245" i="1"/>
  <c r="BN245" i="1"/>
  <c r="BM245" i="1"/>
  <c r="Z245" i="1"/>
  <c r="Y245" i="1"/>
  <c r="BP244" i="1"/>
  <c r="BO244" i="1"/>
  <c r="BN244" i="1"/>
  <c r="BM244" i="1"/>
  <c r="Z244" i="1"/>
  <c r="Z246" i="1" s="1"/>
  <c r="Y244" i="1"/>
  <c r="Y247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P199" i="1"/>
  <c r="BO199" i="1"/>
  <c r="BN199" i="1"/>
  <c r="BM199" i="1"/>
  <c r="Z199" i="1"/>
  <c r="Y199" i="1"/>
  <c r="P199" i="1"/>
  <c r="X197" i="1"/>
  <c r="Y196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X169" i="1"/>
  <c r="Y168" i="1"/>
  <c r="X168" i="1"/>
  <c r="BP167" i="1"/>
  <c r="BO167" i="1"/>
  <c r="BN167" i="1"/>
  <c r="BM167" i="1"/>
  <c r="Z167" i="1"/>
  <c r="Z168" i="1" s="1"/>
  <c r="Y167" i="1"/>
  <c r="Y169" i="1" s="1"/>
  <c r="P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Y158" i="1"/>
  <c r="X158" i="1"/>
  <c r="BP157" i="1"/>
  <c r="BO157" i="1"/>
  <c r="BN157" i="1"/>
  <c r="BM157" i="1"/>
  <c r="Z157" i="1"/>
  <c r="Y157" i="1"/>
  <c r="P157" i="1"/>
  <c r="BO156" i="1"/>
  <c r="BM156" i="1"/>
  <c r="Y156" i="1"/>
  <c r="P156" i="1"/>
  <c r="BP155" i="1"/>
  <c r="BO155" i="1"/>
  <c r="BN155" i="1"/>
  <c r="BM155" i="1"/>
  <c r="Z155" i="1"/>
  <c r="Y155" i="1"/>
  <c r="Y159" i="1" s="1"/>
  <c r="P155" i="1"/>
  <c r="X153" i="1"/>
  <c r="Y152" i="1"/>
  <c r="X152" i="1"/>
  <c r="BP151" i="1"/>
  <c r="BO151" i="1"/>
  <c r="BN151" i="1"/>
  <c r="BM151" i="1"/>
  <c r="Z151" i="1"/>
  <c r="Z152" i="1" s="1"/>
  <c r="Y151" i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G606" i="1" s="1"/>
  <c r="P135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BP120" i="1"/>
  <c r="BO120" i="1"/>
  <c r="BN120" i="1"/>
  <c r="BM120" i="1"/>
  <c r="Z120" i="1"/>
  <c r="Y120" i="1"/>
  <c r="P120" i="1"/>
  <c r="BO119" i="1"/>
  <c r="BM119" i="1"/>
  <c r="Y119" i="1"/>
  <c r="Y127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8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6" i="1" s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6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8" i="1" s="1"/>
  <c r="BM22" i="1"/>
  <c r="X597" i="1" s="1"/>
  <c r="X599" i="1" s="1"/>
  <c r="Y22" i="1"/>
  <c r="B606" i="1" s="1"/>
  <c r="P22" i="1"/>
  <c r="H10" i="1"/>
  <c r="A9" i="1"/>
  <c r="F10" i="1" s="1"/>
  <c r="D7" i="1"/>
  <c r="Q6" i="1"/>
  <c r="P2" i="1"/>
  <c r="Y28" i="1" l="1"/>
  <c r="Y42" i="1"/>
  <c r="Y46" i="1"/>
  <c r="Y55" i="1"/>
  <c r="Y63" i="1"/>
  <c r="Y69" i="1"/>
  <c r="Y77" i="1"/>
  <c r="Y83" i="1"/>
  <c r="Y90" i="1"/>
  <c r="Y102" i="1"/>
  <c r="Y111" i="1"/>
  <c r="Y117" i="1"/>
  <c r="Y126" i="1"/>
  <c r="Y132" i="1"/>
  <c r="Y137" i="1"/>
  <c r="Y143" i="1"/>
  <c r="Y147" i="1"/>
  <c r="BP172" i="1"/>
  <c r="BN172" i="1"/>
  <c r="Z172" i="1"/>
  <c r="Z180" i="1" s="1"/>
  <c r="BP177" i="1"/>
  <c r="BN177" i="1"/>
  <c r="Z177" i="1"/>
  <c r="BP200" i="1"/>
  <c r="BN200" i="1"/>
  <c r="Z200" i="1"/>
  <c r="Z201" i="1" s="1"/>
  <c r="Y202" i="1"/>
  <c r="Y213" i="1"/>
  <c r="BP204" i="1"/>
  <c r="BN204" i="1"/>
  <c r="Z204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606" i="1"/>
  <c r="Y242" i="1"/>
  <c r="BP233" i="1"/>
  <c r="BN233" i="1"/>
  <c r="Z233" i="1"/>
  <c r="BP237" i="1"/>
  <c r="BN237" i="1"/>
  <c r="Z237" i="1"/>
  <c r="Y241" i="1"/>
  <c r="Y250" i="1"/>
  <c r="BP249" i="1"/>
  <c r="BN249" i="1"/>
  <c r="Z249" i="1"/>
  <c r="Z250" i="1" s="1"/>
  <c r="Y251" i="1"/>
  <c r="BP263" i="1"/>
  <c r="BN263" i="1"/>
  <c r="Z263" i="1"/>
  <c r="Z268" i="1" s="1"/>
  <c r="BP267" i="1"/>
  <c r="BN267" i="1"/>
  <c r="Z267" i="1"/>
  <c r="Y269" i="1"/>
  <c r="M606" i="1"/>
  <c r="Y273" i="1"/>
  <c r="BP272" i="1"/>
  <c r="BN272" i="1"/>
  <c r="Z272" i="1"/>
  <c r="Z273" i="1" s="1"/>
  <c r="Y274" i="1"/>
  <c r="O606" i="1"/>
  <c r="Y281" i="1"/>
  <c r="BP277" i="1"/>
  <c r="BN277" i="1"/>
  <c r="Z277" i="1"/>
  <c r="BP280" i="1"/>
  <c r="BN280" i="1"/>
  <c r="Z280" i="1"/>
  <c r="Y282" i="1"/>
  <c r="P606" i="1"/>
  <c r="Y290" i="1"/>
  <c r="BP285" i="1"/>
  <c r="BN285" i="1"/>
  <c r="Z285" i="1"/>
  <c r="BP289" i="1"/>
  <c r="BN289" i="1"/>
  <c r="Z289" i="1"/>
  <c r="Y291" i="1"/>
  <c r="Q606" i="1"/>
  <c r="Y295" i="1"/>
  <c r="BP294" i="1"/>
  <c r="BN294" i="1"/>
  <c r="Z294" i="1"/>
  <c r="Z295" i="1" s="1"/>
  <c r="Y296" i="1"/>
  <c r="Y299" i="1"/>
  <c r="BP298" i="1"/>
  <c r="BN298" i="1"/>
  <c r="Z298" i="1"/>
  <c r="Z299" i="1" s="1"/>
  <c r="Y300" i="1"/>
  <c r="Y303" i="1"/>
  <c r="BP302" i="1"/>
  <c r="BN302" i="1"/>
  <c r="Z302" i="1"/>
  <c r="Z303" i="1" s="1"/>
  <c r="Y304" i="1"/>
  <c r="Y308" i="1"/>
  <c r="BP307" i="1"/>
  <c r="BN307" i="1"/>
  <c r="R606" i="1"/>
  <c r="Y309" i="1"/>
  <c r="Z307" i="1"/>
  <c r="Z308" i="1" s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0" i="1"/>
  <c r="BN440" i="1"/>
  <c r="Z440" i="1"/>
  <c r="Z448" i="1" s="1"/>
  <c r="BP443" i="1"/>
  <c r="BN443" i="1"/>
  <c r="Z443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A10" i="1"/>
  <c r="F9" i="1"/>
  <c r="J9" i="1"/>
  <c r="Z22" i="1"/>
  <c r="BN22" i="1"/>
  <c r="BP22" i="1"/>
  <c r="Z26" i="1"/>
  <c r="BN26" i="1"/>
  <c r="X600" i="1"/>
  <c r="Y29" i="1"/>
  <c r="C606" i="1"/>
  <c r="Z38" i="1"/>
  <c r="Z41" i="1" s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Z62" i="1" s="1"/>
  <c r="BN59" i="1"/>
  <c r="Z61" i="1"/>
  <c r="BN61" i="1"/>
  <c r="Z65" i="1"/>
  <c r="BN65" i="1"/>
  <c r="BP65" i="1"/>
  <c r="Z67" i="1"/>
  <c r="BN67" i="1"/>
  <c r="Z71" i="1"/>
  <c r="Z77" i="1" s="1"/>
  <c r="BN71" i="1"/>
  <c r="BP71" i="1"/>
  <c r="Z73" i="1"/>
  <c r="BN73" i="1"/>
  <c r="Z75" i="1"/>
  <c r="BN75" i="1"/>
  <c r="Z81" i="1"/>
  <c r="Z83" i="1" s="1"/>
  <c r="BN81" i="1"/>
  <c r="E606" i="1"/>
  <c r="Z88" i="1"/>
  <c r="Z90" i="1" s="1"/>
  <c r="BN88" i="1"/>
  <c r="Y91" i="1"/>
  <c r="Z94" i="1"/>
  <c r="Z102" i="1" s="1"/>
  <c r="BN94" i="1"/>
  <c r="Z95" i="1"/>
  <c r="BN95" i="1"/>
  <c r="Z96" i="1"/>
  <c r="BN96" i="1"/>
  <c r="Z97" i="1"/>
  <c r="BN97" i="1"/>
  <c r="Z98" i="1"/>
  <c r="BN98" i="1"/>
  <c r="Z100" i="1"/>
  <c r="BN100" i="1"/>
  <c r="F606" i="1"/>
  <c r="Z107" i="1"/>
  <c r="Z110" i="1" s="1"/>
  <c r="BN107" i="1"/>
  <c r="Z109" i="1"/>
  <c r="BN109" i="1"/>
  <c r="Y110" i="1"/>
  <c r="Z113" i="1"/>
  <c r="BN113" i="1"/>
  <c r="BP113" i="1"/>
  <c r="Z115" i="1"/>
  <c r="BN115" i="1"/>
  <c r="Z119" i="1"/>
  <c r="Z126" i="1" s="1"/>
  <c r="BN119" i="1"/>
  <c r="BP119" i="1"/>
  <c r="Z124" i="1"/>
  <c r="BN124" i="1"/>
  <c r="Z130" i="1"/>
  <c r="Z131" i="1" s="1"/>
  <c r="BN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BP145" i="1"/>
  <c r="H606" i="1"/>
  <c r="Y153" i="1"/>
  <c r="Z158" i="1"/>
  <c r="BP156" i="1"/>
  <c r="BN156" i="1"/>
  <c r="Z156" i="1"/>
  <c r="Y180" i="1"/>
  <c r="BP174" i="1"/>
  <c r="BN174" i="1"/>
  <c r="Z174" i="1"/>
  <c r="BP179" i="1"/>
  <c r="BN179" i="1"/>
  <c r="Z179" i="1"/>
  <c r="Y181" i="1"/>
  <c r="Y190" i="1"/>
  <c r="BP189" i="1"/>
  <c r="BN189" i="1"/>
  <c r="Z189" i="1"/>
  <c r="Z190" i="1" s="1"/>
  <c r="Y191" i="1"/>
  <c r="J606" i="1"/>
  <c r="Y197" i="1"/>
  <c r="BP194" i="1"/>
  <c r="BN194" i="1"/>
  <c r="Z194" i="1"/>
  <c r="Z196" i="1" s="1"/>
  <c r="Y201" i="1"/>
  <c r="BP206" i="1"/>
  <c r="BN206" i="1"/>
  <c r="Z206" i="1"/>
  <c r="BP210" i="1"/>
  <c r="BN210" i="1"/>
  <c r="Z210" i="1"/>
  <c r="Y225" i="1"/>
  <c r="BP218" i="1"/>
  <c r="BN218" i="1"/>
  <c r="Z218" i="1"/>
  <c r="Z224" i="1" s="1"/>
  <c r="BP222" i="1"/>
  <c r="BN222" i="1"/>
  <c r="Z222" i="1"/>
  <c r="Y229" i="1"/>
  <c r="BP235" i="1"/>
  <c r="BN235" i="1"/>
  <c r="Z235" i="1"/>
  <c r="BP239" i="1"/>
  <c r="BN239" i="1"/>
  <c r="Z239" i="1"/>
  <c r="BP265" i="1"/>
  <c r="BN265" i="1"/>
  <c r="Z265" i="1"/>
  <c r="BP279" i="1"/>
  <c r="BN279" i="1"/>
  <c r="Z279" i="1"/>
  <c r="BP287" i="1"/>
  <c r="BN287" i="1"/>
  <c r="Z287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BP470" i="1"/>
  <c r="BN470" i="1"/>
  <c r="Z470" i="1"/>
  <c r="Y473" i="1"/>
  <c r="Y524" i="1"/>
  <c r="BP512" i="1"/>
  <c r="BN512" i="1"/>
  <c r="Z512" i="1"/>
  <c r="BP514" i="1"/>
  <c r="BN514" i="1"/>
  <c r="Z514" i="1"/>
  <c r="BP516" i="1"/>
  <c r="BN516" i="1"/>
  <c r="Z516" i="1"/>
  <c r="Y523" i="1"/>
  <c r="BP527" i="1"/>
  <c r="BN527" i="1"/>
  <c r="Z527" i="1"/>
  <c r="Z529" i="1" s="1"/>
  <c r="Y529" i="1"/>
  <c r="Z606" i="1"/>
  <c r="L606" i="1"/>
  <c r="Y268" i="1"/>
  <c r="S606" i="1"/>
  <c r="Y313" i="1"/>
  <c r="BP312" i="1"/>
  <c r="BN312" i="1"/>
  <c r="Z312" i="1"/>
  <c r="Z313" i="1" s="1"/>
  <c r="Y314" i="1"/>
  <c r="Y319" i="1"/>
  <c r="BP316" i="1"/>
  <c r="BN316" i="1"/>
  <c r="Z316" i="1"/>
  <c r="Z318" i="1" s="1"/>
  <c r="BP330" i="1"/>
  <c r="BN330" i="1"/>
  <c r="Z330" i="1"/>
  <c r="BP338" i="1"/>
  <c r="BN338" i="1"/>
  <c r="Z338" i="1"/>
  <c r="Y349" i="1"/>
  <c r="BP346" i="1"/>
  <c r="BN346" i="1"/>
  <c r="Z346" i="1"/>
  <c r="Z348" i="1" s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Z466" i="1" s="1"/>
  <c r="BP471" i="1"/>
  <c r="BN471" i="1"/>
  <c r="Z471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Y502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Y324" i="1"/>
  <c r="U606" i="1"/>
  <c r="Y333" i="1"/>
  <c r="Y606" i="1"/>
  <c r="Y449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10" i="1"/>
  <c r="BP505" i="1"/>
  <c r="BN505" i="1"/>
  <c r="Z505" i="1"/>
  <c r="Z509" i="1" s="1"/>
  <c r="BP513" i="1"/>
  <c r="BN513" i="1"/>
  <c r="Z513" i="1"/>
  <c r="BP515" i="1"/>
  <c r="BN515" i="1"/>
  <c r="Z515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0" i="1"/>
  <c r="BN520" i="1"/>
  <c r="Z520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570" i="1" l="1"/>
  <c r="Z393" i="1"/>
  <c r="Z361" i="1"/>
  <c r="Z523" i="1"/>
  <c r="Z116" i="1"/>
  <c r="Z68" i="1"/>
  <c r="Z55" i="1"/>
  <c r="Y596" i="1"/>
  <c r="Y598" i="1"/>
  <c r="Z28" i="1"/>
  <c r="Z416" i="1"/>
  <c r="Z378" i="1"/>
  <c r="Z281" i="1"/>
  <c r="Z212" i="1"/>
  <c r="Y600" i="1"/>
  <c r="Z552" i="1"/>
  <c r="Z502" i="1"/>
  <c r="Z472" i="1"/>
  <c r="Z340" i="1"/>
  <c r="Y597" i="1"/>
  <c r="Y599" i="1" s="1"/>
  <c r="Z427" i="1"/>
  <c r="Z290" i="1"/>
  <c r="Z241" i="1"/>
  <c r="Z601" i="1" l="1"/>
</calcChain>
</file>

<file path=xl/sharedStrings.xml><?xml version="1.0" encoding="utf-8"?>
<sst xmlns="http://schemas.openxmlformats.org/spreadsheetml/2006/main" count="2760" uniqueCount="982">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</sst>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3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21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22</v>
      </c>
      <c r="Q10" s="863"/>
      <c r="R10" s="864"/>
      <c r="U10" s="24" t="s">
        <v>23</v>
      </c>
      <c r="V10" s="715" t="s">
        <v>24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2"/>
      <c r="R11" s="803"/>
      <c r="U11" s="24" t="s">
        <v>27</v>
      </c>
      <c r="V11" s="968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29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30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31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32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33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34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35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36</v>
      </c>
      <c r="B17" s="712" t="s">
        <v>37</v>
      </c>
      <c r="C17" s="819" t="s">
        <v>38</v>
      </c>
      <c r="D17" s="712" t="s">
        <v>39</v>
      </c>
      <c r="E17" s="776"/>
      <c r="F17" s="712" t="s">
        <v>40</v>
      </c>
      <c r="G17" s="712" t="s">
        <v>41</v>
      </c>
      <c r="H17" s="712" t="s">
        <v>42</v>
      </c>
      <c r="I17" s="712" t="s">
        <v>43</v>
      </c>
      <c r="J17" s="712" t="s">
        <v>44</v>
      </c>
      <c r="K17" s="712" t="s">
        <v>45</v>
      </c>
      <c r="L17" s="712" t="s">
        <v>46</v>
      </c>
      <c r="M17" s="712" t="s">
        <v>47</v>
      </c>
      <c r="N17" s="712" t="s">
        <v>48</v>
      </c>
      <c r="O17" s="712" t="s">
        <v>49</v>
      </c>
      <c r="P17" s="712" t="s">
        <v>50</v>
      </c>
      <c r="Q17" s="775"/>
      <c r="R17" s="775"/>
      <c r="S17" s="775"/>
      <c r="T17" s="776"/>
      <c r="U17" s="1043" t="s">
        <v>51</v>
      </c>
      <c r="V17" s="806"/>
      <c r="W17" s="712" t="s">
        <v>52</v>
      </c>
      <c r="X17" s="712" t="s">
        <v>53</v>
      </c>
      <c r="Y17" s="1040" t="s">
        <v>54</v>
      </c>
      <c r="Z17" s="940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7"/>
      <c r="AF17" s="998"/>
      <c r="AG17" s="66"/>
      <c r="BD17" s="65" t="s">
        <v>60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61</v>
      </c>
      <c r="V18" s="67" t="s">
        <v>62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63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75" t="s">
        <v>76</v>
      </c>
      <c r="Q24" s="674"/>
      <c r="R24" s="674"/>
      <c r="S24" s="674"/>
      <c r="T24" s="675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4" t="s">
        <v>80</v>
      </c>
      <c r="Q25" s="674"/>
      <c r="R25" s="674"/>
      <c r="S25" s="674"/>
      <c r="T25" s="675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88</v>
      </c>
      <c r="Q28" s="689"/>
      <c r="R28" s="689"/>
      <c r="S28" s="689"/>
      <c r="T28" s="689"/>
      <c r="U28" s="689"/>
      <c r="V28" s="690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88</v>
      </c>
      <c r="Q29" s="689"/>
      <c r="R29" s="689"/>
      <c r="S29" s="689"/>
      <c r="T29" s="689"/>
      <c r="U29" s="689"/>
      <c r="V29" s="690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88</v>
      </c>
      <c r="Q32" s="689"/>
      <c r="R32" s="689"/>
      <c r="S32" s="689"/>
      <c r="T32" s="689"/>
      <c r="U32" s="689"/>
      <c r="V32" s="690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88</v>
      </c>
      <c r="Q33" s="689"/>
      <c r="R33" s="689"/>
      <c r="S33" s="689"/>
      <c r="T33" s="689"/>
      <c r="U33" s="689"/>
      <c r="V33" s="690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96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69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69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88</v>
      </c>
      <c r="Q41" s="689"/>
      <c r="R41" s="689"/>
      <c r="S41" s="689"/>
      <c r="T41" s="689"/>
      <c r="U41" s="689"/>
      <c r="V41" s="690"/>
      <c r="W41" s="37" t="s">
        <v>89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88</v>
      </c>
      <c r="Q42" s="689"/>
      <c r="R42" s="689"/>
      <c r="S42" s="689"/>
      <c r="T42" s="689"/>
      <c r="U42" s="689"/>
      <c r="V42" s="690"/>
      <c r="W42" s="37" t="s">
        <v>69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customHeight="1" x14ac:dyDescent="0.25">
      <c r="A43" s="684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88</v>
      </c>
      <c r="Q45" s="689"/>
      <c r="R45" s="689"/>
      <c r="S45" s="689"/>
      <c r="T45" s="689"/>
      <c r="U45" s="689"/>
      <c r="V45" s="690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88</v>
      </c>
      <c r="Q46" s="689"/>
      <c r="R46" s="689"/>
      <c r="S46" s="689"/>
      <c r="T46" s="689"/>
      <c r="U46" s="689"/>
      <c r="V46" s="690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69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69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88</v>
      </c>
      <c r="Q55" s="689"/>
      <c r="R55" s="689"/>
      <c r="S55" s="689"/>
      <c r="T55" s="689"/>
      <c r="U55" s="689"/>
      <c r="V55" s="690"/>
      <c r="W55" s="37" t="s">
        <v>89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88</v>
      </c>
      <c r="Q56" s="689"/>
      <c r="R56" s="689"/>
      <c r="S56" s="689"/>
      <c r="T56" s="689"/>
      <c r="U56" s="689"/>
      <c r="V56" s="690"/>
      <c r="W56" s="37" t="s">
        <v>69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customHeight="1" x14ac:dyDescent="0.25">
      <c r="A57" s="684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69</v>
      </c>
      <c r="X58" s="667">
        <v>500</v>
      </c>
      <c r="Y58" s="668">
        <f>IFERROR(IF(X58="",0,CEILING((X58/$H58),1)*$H58),"")</f>
        <v>507.6</v>
      </c>
      <c r="Z58" s="36">
        <f>IFERROR(IF(Y58=0,"",ROUNDUP(Y58/H58,0)*0.01898),"")</f>
        <v>0.89205999999999996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520.1388888888888</v>
      </c>
      <c r="BN58" s="64">
        <f>IFERROR(Y58*I58/H58,"0")</f>
        <v>528.04499999999996</v>
      </c>
      <c r="BO58" s="64">
        <f>IFERROR(1/J58*(X58/H58),"0")</f>
        <v>0.72337962962962954</v>
      </c>
      <c r="BP58" s="64">
        <f>IFERROR(1/J58*(Y58/H58),"0")</f>
        <v>0.734375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69</v>
      </c>
      <c r="X61" s="667">
        <v>18</v>
      </c>
      <c r="Y61" s="668">
        <f>IFERROR(IF(X61="",0,CEILING((X61/$H61),1)*$H61),"")</f>
        <v>18.900000000000002</v>
      </c>
      <c r="Z61" s="36">
        <f>IFERROR(IF(Y61=0,"",ROUNDUP(Y61/H61,0)*0.00651),"")</f>
        <v>4.5569999999999999E-2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19.199999999999996</v>
      </c>
      <c r="BN61" s="64">
        <f>IFERROR(Y61*I61/H61,"0")</f>
        <v>20.16</v>
      </c>
      <c r="BO61" s="64">
        <f>IFERROR(1/J61*(X61/H61),"0")</f>
        <v>3.6630036630036632E-2</v>
      </c>
      <c r="BP61" s="64">
        <f>IFERROR(1/J61*(Y61/H61),"0")</f>
        <v>3.8461538461538464E-2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88</v>
      </c>
      <c r="Q62" s="689"/>
      <c r="R62" s="689"/>
      <c r="S62" s="689"/>
      <c r="T62" s="689"/>
      <c r="U62" s="689"/>
      <c r="V62" s="690"/>
      <c r="W62" s="37" t="s">
        <v>89</v>
      </c>
      <c r="X62" s="669">
        <f>IFERROR(X58/H58,"0")+IFERROR(X59/H59,"0")+IFERROR(X60/H60,"0")+IFERROR(X61/H61,"0")</f>
        <v>52.962962962962955</v>
      </c>
      <c r="Y62" s="669">
        <f>IFERROR(Y58/H58,"0")+IFERROR(Y59/H59,"0")+IFERROR(Y60/H60,"0")+IFERROR(Y61/H61,"0")</f>
        <v>54</v>
      </c>
      <c r="Z62" s="669">
        <f>IFERROR(IF(Z58="",0,Z58),"0")+IFERROR(IF(Z59="",0,Z59),"0")+IFERROR(IF(Z60="",0,Z60),"0")+IFERROR(IF(Z61="",0,Z61),"0")</f>
        <v>0.93762999999999996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88</v>
      </c>
      <c r="Q63" s="689"/>
      <c r="R63" s="689"/>
      <c r="S63" s="689"/>
      <c r="T63" s="689"/>
      <c r="U63" s="689"/>
      <c r="V63" s="690"/>
      <c r="W63" s="37" t="s">
        <v>69</v>
      </c>
      <c r="X63" s="669">
        <f>IFERROR(SUM(X58:X61),"0")</f>
        <v>518</v>
      </c>
      <c r="Y63" s="669">
        <f>IFERROR(SUM(Y58:Y61),"0")</f>
        <v>526.5</v>
      </c>
      <c r="Z63" s="37"/>
      <c r="AA63" s="670"/>
      <c r="AB63" s="670"/>
      <c r="AC63" s="670"/>
    </row>
    <row r="64" spans="1:68" ht="14.25" customHeight="1" x14ac:dyDescent="0.25">
      <c r="A64" s="684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88</v>
      </c>
      <c r="Q68" s="689"/>
      <c r="R68" s="689"/>
      <c r="S68" s="689"/>
      <c r="T68" s="689"/>
      <c r="U68" s="689"/>
      <c r="V68" s="690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88</v>
      </c>
      <c r="Q69" s="689"/>
      <c r="R69" s="689"/>
      <c r="S69" s="689"/>
      <c r="T69" s="689"/>
      <c r="U69" s="689"/>
      <c r="V69" s="690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88</v>
      </c>
      <c r="Q77" s="689"/>
      <c r="R77" s="689"/>
      <c r="S77" s="689"/>
      <c r="T77" s="689"/>
      <c r="U77" s="689"/>
      <c r="V77" s="690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88</v>
      </c>
      <c r="Q78" s="689"/>
      <c r="R78" s="689"/>
      <c r="S78" s="689"/>
      <c r="T78" s="689"/>
      <c r="U78" s="689"/>
      <c r="V78" s="690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88</v>
      </c>
      <c r="Q83" s="689"/>
      <c r="R83" s="689"/>
      <c r="S83" s="689"/>
      <c r="T83" s="689"/>
      <c r="U83" s="689"/>
      <c r="V83" s="690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88</v>
      </c>
      <c r="Q84" s="689"/>
      <c r="R84" s="689"/>
      <c r="S84" s="689"/>
      <c r="T84" s="689"/>
      <c r="U84" s="689"/>
      <c r="V84" s="690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69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69</v>
      </c>
      <c r="X89" s="667">
        <v>117</v>
      </c>
      <c r="Y89" s="668">
        <f>IFERROR(IF(X89="",0,CEILING((X89/$H89),1)*$H89),"")</f>
        <v>117</v>
      </c>
      <c r="Z89" s="36">
        <f>IFERROR(IF(Y89=0,"",ROUNDUP(Y89/H89,0)*0.00902),"")</f>
        <v>0.23452000000000001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122.46000000000001</v>
      </c>
      <c r="BN89" s="64">
        <f>IFERROR(Y89*I89/H89,"0")</f>
        <v>122.46000000000001</v>
      </c>
      <c r="BO89" s="64">
        <f>IFERROR(1/J89*(X89/H89),"0")</f>
        <v>0.19696969696969696</v>
      </c>
      <c r="BP89" s="64">
        <f>IFERROR(1/J89*(Y89/H89),"0")</f>
        <v>0.19696969696969696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88</v>
      </c>
      <c r="Q90" s="689"/>
      <c r="R90" s="689"/>
      <c r="S90" s="689"/>
      <c r="T90" s="689"/>
      <c r="U90" s="689"/>
      <c r="V90" s="690"/>
      <c r="W90" s="37" t="s">
        <v>89</v>
      </c>
      <c r="X90" s="669">
        <f>IFERROR(X87/H87,"0")+IFERROR(X88/H88,"0")+IFERROR(X89/H89,"0")</f>
        <v>26</v>
      </c>
      <c r="Y90" s="669">
        <f>IFERROR(Y87/H87,"0")+IFERROR(Y88/H88,"0")+IFERROR(Y89/H89,"0")</f>
        <v>26</v>
      </c>
      <c r="Z90" s="669">
        <f>IFERROR(IF(Z87="",0,Z87),"0")+IFERROR(IF(Z88="",0,Z88),"0")+IFERROR(IF(Z89="",0,Z89),"0")</f>
        <v>0.23452000000000001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88</v>
      </c>
      <c r="Q91" s="689"/>
      <c r="R91" s="689"/>
      <c r="S91" s="689"/>
      <c r="T91" s="689"/>
      <c r="U91" s="689"/>
      <c r="V91" s="690"/>
      <c r="W91" s="37" t="s">
        <v>69</v>
      </c>
      <c r="X91" s="669">
        <f>IFERROR(SUM(X87:X89),"0")</f>
        <v>117</v>
      </c>
      <c r="Y91" s="669">
        <f>IFERROR(SUM(Y87:Y89),"0")</f>
        <v>117</v>
      </c>
      <c r="Z91" s="37"/>
      <c r="AA91" s="670"/>
      <c r="AB91" s="670"/>
      <c r="AC91" s="670"/>
    </row>
    <row r="92" spans="1:68" ht="14.25" customHeight="1" x14ac:dyDescent="0.25">
      <c r="A92" s="684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69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6" t="s">
        <v>197</v>
      </c>
      <c r="Q95" s="674"/>
      <c r="R95" s="674"/>
      <c r="S95" s="674"/>
      <c r="T95" s="675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5" t="s">
        <v>201</v>
      </c>
      <c r="Q96" s="674"/>
      <c r="R96" s="674"/>
      <c r="S96" s="674"/>
      <c r="T96" s="675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71" t="s">
        <v>205</v>
      </c>
      <c r="Q97" s="674"/>
      <c r="R97" s="674"/>
      <c r="S97" s="674"/>
      <c r="T97" s="675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203</v>
      </c>
      <c r="B98" s="54" t="s">
        <v>206</v>
      </c>
      <c r="C98" s="31">
        <v>4301051718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88" t="s">
        <v>207</v>
      </c>
      <c r="Q98" s="674"/>
      <c r="R98" s="674"/>
      <c r="S98" s="674"/>
      <c r="T98" s="675"/>
      <c r="U98" s="34"/>
      <c r="V98" s="34"/>
      <c r="W98" s="35" t="s">
        <v>69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69</v>
      </c>
      <c r="X99" s="667">
        <v>40</v>
      </c>
      <c r="Y99" s="668">
        <f t="shared" si="16"/>
        <v>41.58</v>
      </c>
      <c r="Z99" s="36">
        <f>IFERROR(IF(Y99=0,"",ROUNDUP(Y99/H99,0)*0.00651),"")</f>
        <v>0.13671</v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45.212121212121211</v>
      </c>
      <c r="BN99" s="64">
        <f t="shared" si="18"/>
        <v>46.997999999999998</v>
      </c>
      <c r="BO99" s="64">
        <f t="shared" si="19"/>
        <v>0.11100011100011101</v>
      </c>
      <c r="BP99" s="64">
        <f t="shared" si="20"/>
        <v>0.11538461538461539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88</v>
      </c>
      <c r="Q102" s="689"/>
      <c r="R102" s="689"/>
      <c r="S102" s="689"/>
      <c r="T102" s="689"/>
      <c r="U102" s="689"/>
      <c r="V102" s="690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20.202020202020201</v>
      </c>
      <c r="Y102" s="669">
        <f>IFERROR(Y93/H93,"0")+IFERROR(Y94/H94,"0")+IFERROR(Y95/H95,"0")+IFERROR(Y96/H96,"0")+IFERROR(Y97/H97,"0")+IFERROR(Y98/H98,"0")+IFERROR(Y99/H99,"0")+IFERROR(Y100/H100,"0")+IFERROR(Y101/H101,"0")</f>
        <v>21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0.13671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88</v>
      </c>
      <c r="Q103" s="689"/>
      <c r="R103" s="689"/>
      <c r="S103" s="689"/>
      <c r="T103" s="689"/>
      <c r="U103" s="689"/>
      <c r="V103" s="690"/>
      <c r="W103" s="37" t="s">
        <v>69</v>
      </c>
      <c r="X103" s="669">
        <f>IFERROR(SUM(X93:X101),"0")</f>
        <v>40</v>
      </c>
      <c r="Y103" s="669">
        <f>IFERROR(SUM(Y93:Y101),"0")</f>
        <v>41.58</v>
      </c>
      <c r="Z103" s="37"/>
      <c r="AA103" s="670"/>
      <c r="AB103" s="670"/>
      <c r="AC103" s="670"/>
    </row>
    <row r="104" spans="1:68" ht="16.5" customHeight="1" x14ac:dyDescent="0.25">
      <c r="A104" s="685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69</v>
      </c>
      <c r="X107" s="667">
        <v>184</v>
      </c>
      <c r="Y107" s="668">
        <f>IFERROR(IF(X107="",0,CEILING((X107/$H107),1)*$H107),"")</f>
        <v>187.5</v>
      </c>
      <c r="Z107" s="36">
        <f>IFERROR(IF(Y107=0,"",ROUNDUP(Y107/H107,0)*0.00902),"")</f>
        <v>0.45100000000000001</v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194.304</v>
      </c>
      <c r="BN107" s="64">
        <f>IFERROR(Y107*I107/H107,"0")</f>
        <v>198</v>
      </c>
      <c r="BO107" s="64">
        <f>IFERROR(1/J107*(X107/H107),"0")</f>
        <v>0.37171717171717178</v>
      </c>
      <c r="BP107" s="64">
        <f>IFERROR(1/J107*(Y107/H107),"0")</f>
        <v>0.37878787878787878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69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88</v>
      </c>
      <c r="Q110" s="689"/>
      <c r="R110" s="689"/>
      <c r="S110" s="689"/>
      <c r="T110" s="689"/>
      <c r="U110" s="689"/>
      <c r="V110" s="690"/>
      <c r="W110" s="37" t="s">
        <v>89</v>
      </c>
      <c r="X110" s="669">
        <f>IFERROR(X106/H106,"0")+IFERROR(X107/H107,"0")+IFERROR(X108/H108,"0")+IFERROR(X109/H109,"0")</f>
        <v>49.06666666666667</v>
      </c>
      <c r="Y110" s="669">
        <f>IFERROR(Y106/H106,"0")+IFERROR(Y107/H107,"0")+IFERROR(Y108/H108,"0")+IFERROR(Y109/H109,"0")</f>
        <v>50</v>
      </c>
      <c r="Z110" s="669">
        <f>IFERROR(IF(Z106="",0,Z106),"0")+IFERROR(IF(Z107="",0,Z107),"0")+IFERROR(IF(Z108="",0,Z108),"0")+IFERROR(IF(Z109="",0,Z109),"0")</f>
        <v>0.45100000000000001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88</v>
      </c>
      <c r="Q111" s="689"/>
      <c r="R111" s="689"/>
      <c r="S111" s="689"/>
      <c r="T111" s="689"/>
      <c r="U111" s="689"/>
      <c r="V111" s="690"/>
      <c r="W111" s="37" t="s">
        <v>69</v>
      </c>
      <c r="X111" s="669">
        <f>IFERROR(SUM(X106:X109),"0")</f>
        <v>184</v>
      </c>
      <c r="Y111" s="669">
        <f>IFERROR(SUM(Y106:Y109),"0")</f>
        <v>187.5</v>
      </c>
      <c r="Z111" s="37"/>
      <c r="AA111" s="670"/>
      <c r="AB111" s="670"/>
      <c r="AC111" s="670"/>
    </row>
    <row r="112" spans="1:68" ht="14.25" customHeight="1" x14ac:dyDescent="0.25">
      <c r="A112" s="684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88</v>
      </c>
      <c r="Q116" s="689"/>
      <c r="R116" s="689"/>
      <c r="S116" s="689"/>
      <c r="T116" s="689"/>
      <c r="U116" s="689"/>
      <c r="V116" s="690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88</v>
      </c>
      <c r="Q117" s="689"/>
      <c r="R117" s="689"/>
      <c r="S117" s="689"/>
      <c r="T117" s="689"/>
      <c r="U117" s="689"/>
      <c r="V117" s="690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231</v>
      </c>
      <c r="B120" s="54" t="s">
        <v>234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69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235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customHeight="1" x14ac:dyDescent="0.25">
      <c r="A121" s="54" t="s">
        <v>231</v>
      </c>
      <c r="B121" s="54" t="s">
        <v>236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134</v>
      </c>
      <c r="N121" s="33"/>
      <c r="O121" s="32">
        <v>45</v>
      </c>
      <c r="P121" s="1010" t="s">
        <v>237</v>
      </c>
      <c r="Q121" s="674"/>
      <c r="R121" s="674"/>
      <c r="S121" s="674"/>
      <c r="T121" s="675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239</v>
      </c>
      <c r="B122" s="54" t="s">
        <v>240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46" t="s">
        <v>241</v>
      </c>
      <c r="Q122" s="674"/>
      <c r="R122" s="674"/>
      <c r="S122" s="674"/>
      <c r="T122" s="675"/>
      <c r="U122" s="34"/>
      <c r="V122" s="34"/>
      <c r="W122" s="35" t="s">
        <v>69</v>
      </c>
      <c r="X122" s="667">
        <v>58</v>
      </c>
      <c r="Y122" s="668">
        <f t="shared" si="21"/>
        <v>59.4</v>
      </c>
      <c r="Z122" s="36">
        <f>IFERROR(IF(Y122=0,"",ROUNDUP(Y122/H122,0)*0.00651),"")</f>
        <v>0.1953</v>
      </c>
      <c r="AA122" s="56"/>
      <c r="AB122" s="57"/>
      <c r="AC122" s="181" t="s">
        <v>238</v>
      </c>
      <c r="AG122" s="64"/>
      <c r="AJ122" s="68"/>
      <c r="AK122" s="68">
        <v>0</v>
      </c>
      <c r="BB122" s="182" t="s">
        <v>1</v>
      </c>
      <c r="BM122" s="64">
        <f t="shared" si="22"/>
        <v>65.206060606060603</v>
      </c>
      <c r="BN122" s="64">
        <f t="shared" si="23"/>
        <v>66.78</v>
      </c>
      <c r="BO122" s="64">
        <f t="shared" si="24"/>
        <v>0.16095016095016096</v>
      </c>
      <c r="BP122" s="64">
        <f t="shared" si="25"/>
        <v>0.16483516483516486</v>
      </c>
    </row>
    <row r="123" spans="1:68" ht="27" customHeight="1" x14ac:dyDescent="0.25">
      <c r="A123" s="54" t="s">
        <v>242</v>
      </c>
      <c r="B123" s="54" t="s">
        <v>243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244</v>
      </c>
      <c r="Q123" s="674"/>
      <c r="R123" s="674"/>
      <c r="S123" s="674"/>
      <c r="T123" s="675"/>
      <c r="U123" s="34"/>
      <c r="V123" s="34"/>
      <c r="W123" s="35" t="s">
        <v>69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238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245</v>
      </c>
      <c r="B124" s="54" t="s">
        <v>246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248</v>
      </c>
      <c r="B125" s="54" t="s">
        <v>249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88</v>
      </c>
      <c r="Q126" s="689"/>
      <c r="R126" s="689"/>
      <c r="S126" s="689"/>
      <c r="T126" s="689"/>
      <c r="U126" s="689"/>
      <c r="V126" s="690"/>
      <c r="W126" s="37" t="s">
        <v>89</v>
      </c>
      <c r="X126" s="669">
        <f>IFERROR(X119/H119,"0")+IFERROR(X120/H120,"0")+IFERROR(X121/H121,"0")+IFERROR(X122/H122,"0")+IFERROR(X123/H123,"0")+IFERROR(X124/H124,"0")+IFERROR(X125/H125,"0")</f>
        <v>29.292929292929294</v>
      </c>
      <c r="Y126" s="669">
        <f>IFERROR(Y119/H119,"0")+IFERROR(Y120/H120,"0")+IFERROR(Y121/H121,"0")+IFERROR(Y122/H122,"0")+IFERROR(Y123/H123,"0")+IFERROR(Y124/H124,"0")+IFERROR(Y125/H125,"0")</f>
        <v>30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0.1953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88</v>
      </c>
      <c r="Q127" s="689"/>
      <c r="R127" s="689"/>
      <c r="S127" s="689"/>
      <c r="T127" s="689"/>
      <c r="U127" s="689"/>
      <c r="V127" s="690"/>
      <c r="W127" s="37" t="s">
        <v>69</v>
      </c>
      <c r="X127" s="669">
        <f>IFERROR(SUM(X119:X125),"0")</f>
        <v>58</v>
      </c>
      <c r="Y127" s="669">
        <f>IFERROR(SUM(Y119:Y125),"0")</f>
        <v>59.4</v>
      </c>
      <c r="Z127" s="37"/>
      <c r="AA127" s="670"/>
      <c r="AB127" s="670"/>
      <c r="AC127" s="670"/>
    </row>
    <row r="128" spans="1:68" ht="14.25" customHeight="1" x14ac:dyDescent="0.25">
      <c r="A128" s="684" t="s">
        <v>175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251</v>
      </c>
      <c r="B129" s="54" t="s">
        <v>252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254</v>
      </c>
      <c r="B130" s="54" t="s">
        <v>255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88</v>
      </c>
      <c r="Q131" s="689"/>
      <c r="R131" s="689"/>
      <c r="S131" s="689"/>
      <c r="T131" s="689"/>
      <c r="U131" s="689"/>
      <c r="V131" s="690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88</v>
      </c>
      <c r="Q132" s="689"/>
      <c r="R132" s="689"/>
      <c r="S132" s="689"/>
      <c r="T132" s="689"/>
      <c r="U132" s="689"/>
      <c r="V132" s="690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257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98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258</v>
      </c>
      <c r="B135" s="54" t="s">
        <v>259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258</v>
      </c>
      <c r="B136" s="54" t="s">
        <v>261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69</v>
      </c>
      <c r="X136" s="667">
        <v>92</v>
      </c>
      <c r="Y136" s="668">
        <f>IFERROR(IF(X136="",0,CEILING((X136/$H136),1)*$H136),"")</f>
        <v>92.800000000000011</v>
      </c>
      <c r="Z136" s="36">
        <f>IFERROR(IF(Y136=0,"",ROUNDUP(Y136/H136,0)*0.00651),"")</f>
        <v>0.18879000000000001</v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97.174999999999983</v>
      </c>
      <c r="BN136" s="64">
        <f>IFERROR(Y136*I136/H136,"0")</f>
        <v>98.02000000000001</v>
      </c>
      <c r="BO136" s="64">
        <f>IFERROR(1/J136*(X136/H136),"0")</f>
        <v>0.15796703296703299</v>
      </c>
      <c r="BP136" s="64">
        <f>IFERROR(1/J136*(Y136/H136),"0")</f>
        <v>0.15934065934065939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88</v>
      </c>
      <c r="Q137" s="689"/>
      <c r="R137" s="689"/>
      <c r="S137" s="689"/>
      <c r="T137" s="689"/>
      <c r="U137" s="689"/>
      <c r="V137" s="690"/>
      <c r="W137" s="37" t="s">
        <v>89</v>
      </c>
      <c r="X137" s="669">
        <f>IFERROR(X135/H135,"0")+IFERROR(X136/H136,"0")</f>
        <v>28.75</v>
      </c>
      <c r="Y137" s="669">
        <f>IFERROR(Y135/H135,"0")+IFERROR(Y136/H136,"0")</f>
        <v>29.000000000000004</v>
      </c>
      <c r="Z137" s="669">
        <f>IFERROR(IF(Z135="",0,Z135),"0")+IFERROR(IF(Z136="",0,Z136),"0")</f>
        <v>0.18879000000000001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88</v>
      </c>
      <c r="Q138" s="689"/>
      <c r="R138" s="689"/>
      <c r="S138" s="689"/>
      <c r="T138" s="689"/>
      <c r="U138" s="689"/>
      <c r="V138" s="690"/>
      <c r="W138" s="37" t="s">
        <v>69</v>
      </c>
      <c r="X138" s="669">
        <f>IFERROR(SUM(X135:X136),"0")</f>
        <v>92</v>
      </c>
      <c r="Y138" s="669">
        <f>IFERROR(SUM(Y135:Y136),"0")</f>
        <v>92.800000000000011</v>
      </c>
      <c r="Z138" s="37"/>
      <c r="AA138" s="670"/>
      <c r="AB138" s="670"/>
      <c r="AC138" s="670"/>
    </row>
    <row r="139" spans="1:68" ht="14.25" customHeight="1" x14ac:dyDescent="0.25">
      <c r="A139" s="684" t="s">
        <v>149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262</v>
      </c>
      <c r="B140" s="54" t="s">
        <v>263</v>
      </c>
      <c r="C140" s="31">
        <v>4301031234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5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69</v>
      </c>
      <c r="X140" s="667">
        <v>56</v>
      </c>
      <c r="Y140" s="668">
        <f>IFERROR(IF(X140="",0,CEILING((X140/$H140),1)*$H140),"")</f>
        <v>56</v>
      </c>
      <c r="Z140" s="36">
        <f>IFERROR(IF(Y140=0,"",ROUNDUP(Y140/H140,0)*0.00651),"")</f>
        <v>0.13020000000000001</v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61.36</v>
      </c>
      <c r="BN140" s="64">
        <f>IFERROR(Y140*I140/H140,"0")</f>
        <v>61.36</v>
      </c>
      <c r="BO140" s="64">
        <f>IFERROR(1/J140*(X140/H140),"0")</f>
        <v>0.1098901098901099</v>
      </c>
      <c r="BP140" s="64">
        <f>IFERROR(1/J140*(Y140/H140),"0")</f>
        <v>0.1098901098901099</v>
      </c>
    </row>
    <row r="141" spans="1:68" ht="27" customHeight="1" x14ac:dyDescent="0.25">
      <c r="A141" s="54" t="s">
        <v>262</v>
      </c>
      <c r="B141" s="54" t="s">
        <v>265</v>
      </c>
      <c r="C141" s="31">
        <v>4301031235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88</v>
      </c>
      <c r="Q142" s="689"/>
      <c r="R142" s="689"/>
      <c r="S142" s="689"/>
      <c r="T142" s="689"/>
      <c r="U142" s="689"/>
      <c r="V142" s="690"/>
      <c r="W142" s="37" t="s">
        <v>89</v>
      </c>
      <c r="X142" s="669">
        <f>IFERROR(X140/H140,"0")+IFERROR(X141/H141,"0")</f>
        <v>20</v>
      </c>
      <c r="Y142" s="669">
        <f>IFERROR(Y140/H140,"0")+IFERROR(Y141/H141,"0")</f>
        <v>20</v>
      </c>
      <c r="Z142" s="669">
        <f>IFERROR(IF(Z140="",0,Z140),"0")+IFERROR(IF(Z141="",0,Z141),"0")</f>
        <v>0.13020000000000001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88</v>
      </c>
      <c r="Q143" s="689"/>
      <c r="R143" s="689"/>
      <c r="S143" s="689"/>
      <c r="T143" s="689"/>
      <c r="U143" s="689"/>
      <c r="V143" s="690"/>
      <c r="W143" s="37" t="s">
        <v>69</v>
      </c>
      <c r="X143" s="669">
        <f>IFERROR(SUM(X140:X141),"0")</f>
        <v>56</v>
      </c>
      <c r="Y143" s="669">
        <f>IFERROR(SUM(Y140:Y141),"0")</f>
        <v>56</v>
      </c>
      <c r="Z143" s="37"/>
      <c r="AA143" s="670"/>
      <c r="AB143" s="670"/>
      <c r="AC143" s="670"/>
    </row>
    <row r="144" spans="1:68" ht="14.25" customHeight="1" x14ac:dyDescent="0.25">
      <c r="A144" s="684" t="s">
        <v>64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266</v>
      </c>
      <c r="B145" s="54" t="s">
        <v>267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266</v>
      </c>
      <c r="B146" s="54" t="s">
        <v>268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69</v>
      </c>
      <c r="X146" s="667">
        <v>86</v>
      </c>
      <c r="Y146" s="668">
        <f>IFERROR(IF(X146="",0,CEILING((X146/$H146),1)*$H146),"")</f>
        <v>87.12</v>
      </c>
      <c r="Z146" s="36">
        <f>IFERROR(IF(Y146=0,"",ROUNDUP(Y146/H146,0)*0.00651),"")</f>
        <v>0.21482999999999999</v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94.73030303030302</v>
      </c>
      <c r="BN146" s="64">
        <f>IFERROR(Y146*I146/H146,"0")</f>
        <v>95.963999999999999</v>
      </c>
      <c r="BO146" s="64">
        <f>IFERROR(1/J146*(X146/H146),"0")</f>
        <v>0.17898767898767898</v>
      </c>
      <c r="BP146" s="64">
        <f>IFERROR(1/J146*(Y146/H146),"0")</f>
        <v>0.18131868131868134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88</v>
      </c>
      <c r="Q147" s="689"/>
      <c r="R147" s="689"/>
      <c r="S147" s="689"/>
      <c r="T147" s="689"/>
      <c r="U147" s="689"/>
      <c r="V147" s="690"/>
      <c r="W147" s="37" t="s">
        <v>89</v>
      </c>
      <c r="X147" s="669">
        <f>IFERROR(X145/H145,"0")+IFERROR(X146/H146,"0")</f>
        <v>32.575757575757571</v>
      </c>
      <c r="Y147" s="669">
        <f>IFERROR(Y145/H145,"0")+IFERROR(Y146/H146,"0")</f>
        <v>33</v>
      </c>
      <c r="Z147" s="669">
        <f>IFERROR(IF(Z145="",0,Z145),"0")+IFERROR(IF(Z146="",0,Z146),"0")</f>
        <v>0.21482999999999999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88</v>
      </c>
      <c r="Q148" s="689"/>
      <c r="R148" s="689"/>
      <c r="S148" s="689"/>
      <c r="T148" s="689"/>
      <c r="U148" s="689"/>
      <c r="V148" s="690"/>
      <c r="W148" s="37" t="s">
        <v>69</v>
      </c>
      <c r="X148" s="669">
        <f>IFERROR(SUM(X145:X146),"0")</f>
        <v>86</v>
      </c>
      <c r="Y148" s="669">
        <f>IFERROR(SUM(Y145:Y146),"0")</f>
        <v>87.12</v>
      </c>
      <c r="Z148" s="37"/>
      <c r="AA148" s="670"/>
      <c r="AB148" s="670"/>
      <c r="AC148" s="670"/>
    </row>
    <row r="149" spans="1:68" ht="16.5" customHeight="1" x14ac:dyDescent="0.25">
      <c r="A149" s="685" t="s">
        <v>96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98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269</v>
      </c>
      <c r="B151" s="54" t="s">
        <v>270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69</v>
      </c>
      <c r="X151" s="667">
        <v>20</v>
      </c>
      <c r="Y151" s="668">
        <f>IFERROR(IF(X151="",0,CEILING((X151/$H151),1)*$H151),"")</f>
        <v>20</v>
      </c>
      <c r="Z151" s="36">
        <f>IFERROR(IF(Y151=0,"",ROUNDUP(Y151/H151,0)*0.00902),"")</f>
        <v>4.5100000000000001E-2</v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21.05</v>
      </c>
      <c r="BN151" s="64">
        <f>IFERROR(Y151*I151/H151,"0")</f>
        <v>21.05</v>
      </c>
      <c r="BO151" s="64">
        <f>IFERROR(1/J151*(X151/H151),"0")</f>
        <v>3.787878787878788E-2</v>
      </c>
      <c r="BP151" s="64">
        <f>IFERROR(1/J151*(Y151/H151),"0")</f>
        <v>3.787878787878788E-2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88</v>
      </c>
      <c r="Q152" s="689"/>
      <c r="R152" s="689"/>
      <c r="S152" s="689"/>
      <c r="T152" s="689"/>
      <c r="U152" s="689"/>
      <c r="V152" s="690"/>
      <c r="W152" s="37" t="s">
        <v>89</v>
      </c>
      <c r="X152" s="669">
        <f>IFERROR(X151/H151,"0")</f>
        <v>5</v>
      </c>
      <c r="Y152" s="669">
        <f>IFERROR(Y151/H151,"0")</f>
        <v>5</v>
      </c>
      <c r="Z152" s="669">
        <f>IFERROR(IF(Z151="",0,Z151),"0")</f>
        <v>4.5100000000000001E-2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88</v>
      </c>
      <c r="Q153" s="689"/>
      <c r="R153" s="689"/>
      <c r="S153" s="689"/>
      <c r="T153" s="689"/>
      <c r="U153" s="689"/>
      <c r="V153" s="690"/>
      <c r="W153" s="37" t="s">
        <v>69</v>
      </c>
      <c r="X153" s="669">
        <f>IFERROR(SUM(X151:X151),"0")</f>
        <v>20</v>
      </c>
      <c r="Y153" s="669">
        <f>IFERROR(SUM(Y151:Y151),"0")</f>
        <v>20</v>
      </c>
      <c r="Z153" s="37"/>
      <c r="AA153" s="670"/>
      <c r="AB153" s="670"/>
      <c r="AC153" s="670"/>
    </row>
    <row r="154" spans="1:68" ht="14.25" customHeight="1" x14ac:dyDescent="0.25">
      <c r="A154" s="684" t="s">
        <v>149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272</v>
      </c>
      <c r="B155" s="54" t="s">
        <v>273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275</v>
      </c>
      <c r="B156" s="54" t="s">
        <v>276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278</v>
      </c>
      <c r="B157" s="54" t="s">
        <v>279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88</v>
      </c>
      <c r="Q158" s="689"/>
      <c r="R158" s="689"/>
      <c r="S158" s="689"/>
      <c r="T158" s="689"/>
      <c r="U158" s="689"/>
      <c r="V158" s="690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88</v>
      </c>
      <c r="Q159" s="689"/>
      <c r="R159" s="689"/>
      <c r="S159" s="689"/>
      <c r="T159" s="689"/>
      <c r="U159" s="689"/>
      <c r="V159" s="690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64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281</v>
      </c>
      <c r="B161" s="54" t="s">
        <v>282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88</v>
      </c>
      <c r="Q162" s="689"/>
      <c r="R162" s="689"/>
      <c r="S162" s="689"/>
      <c r="T162" s="689"/>
      <c r="U162" s="689"/>
      <c r="V162" s="690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88</v>
      </c>
      <c r="Q163" s="689"/>
      <c r="R163" s="689"/>
      <c r="S163" s="689"/>
      <c r="T163" s="689"/>
      <c r="U163" s="689"/>
      <c r="V163" s="690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284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285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138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286</v>
      </c>
      <c r="B167" s="54" t="s">
        <v>287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88</v>
      </c>
      <c r="Q168" s="689"/>
      <c r="R168" s="689"/>
      <c r="S168" s="689"/>
      <c r="T168" s="689"/>
      <c r="U168" s="689"/>
      <c r="V168" s="690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88</v>
      </c>
      <c r="Q169" s="689"/>
      <c r="R169" s="689"/>
      <c r="S169" s="689"/>
      <c r="T169" s="689"/>
      <c r="U169" s="689"/>
      <c r="V169" s="690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149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289</v>
      </c>
      <c r="B171" s="54" t="s">
        <v>290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292</v>
      </c>
      <c r="B172" s="54" t="s">
        <v>293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69</v>
      </c>
      <c r="X173" s="667">
        <v>10</v>
      </c>
      <c r="Y173" s="668">
        <f t="shared" si="26"/>
        <v>12.600000000000001</v>
      </c>
      <c r="Z173" s="36">
        <f>IFERROR(IF(Y173=0,"",ROUNDUP(Y173/H173,0)*0.00902),"")</f>
        <v>2.7060000000000001E-2</v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10.5</v>
      </c>
      <c r="BN173" s="64">
        <f t="shared" si="28"/>
        <v>13.230000000000002</v>
      </c>
      <c r="BO173" s="64">
        <f t="shared" si="29"/>
        <v>1.8037518037518036E-2</v>
      </c>
      <c r="BP173" s="64">
        <f t="shared" si="30"/>
        <v>2.2727272727272728E-2</v>
      </c>
    </row>
    <row r="174" spans="1:68" ht="27" customHeight="1" x14ac:dyDescent="0.25">
      <c r="A174" s="54" t="s">
        <v>298</v>
      </c>
      <c r="B174" s="54" t="s">
        <v>299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69</v>
      </c>
      <c r="X174" s="667">
        <v>116</v>
      </c>
      <c r="Y174" s="668">
        <f t="shared" si="26"/>
        <v>117.60000000000001</v>
      </c>
      <c r="Z174" s="36">
        <f>IFERROR(IF(Y174=0,"",ROUNDUP(Y174/H174,0)*0.00502),"")</f>
        <v>0.28112000000000004</v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123.18095238095238</v>
      </c>
      <c r="BN174" s="64">
        <f t="shared" si="28"/>
        <v>124.88</v>
      </c>
      <c r="BO174" s="64">
        <f t="shared" si="29"/>
        <v>0.23606023606023607</v>
      </c>
      <c r="BP174" s="64">
        <f t="shared" si="30"/>
        <v>0.23931623931623935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69</v>
      </c>
      <c r="X175" s="667">
        <v>70</v>
      </c>
      <c r="Y175" s="668">
        <f t="shared" si="26"/>
        <v>71.400000000000006</v>
      </c>
      <c r="Z175" s="36">
        <f>IFERROR(IF(Y175=0,"",ROUNDUP(Y175/H175,0)*0.00502),"")</f>
        <v>0.17068</v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74.333333333333329</v>
      </c>
      <c r="BN175" s="64">
        <f t="shared" si="28"/>
        <v>75.820000000000007</v>
      </c>
      <c r="BO175" s="64">
        <f t="shared" si="29"/>
        <v>0.14245014245014245</v>
      </c>
      <c r="BP175" s="64">
        <f t="shared" si="30"/>
        <v>0.14529914529914531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70" t="s">
        <v>304</v>
      </c>
      <c r="Q176" s="674"/>
      <c r="R176" s="674"/>
      <c r="S176" s="674"/>
      <c r="T176" s="675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306</v>
      </c>
      <c r="B177" s="54" t="s">
        <v>307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69</v>
      </c>
      <c r="X177" s="667">
        <v>67</v>
      </c>
      <c r="Y177" s="668">
        <f t="shared" si="26"/>
        <v>67.2</v>
      </c>
      <c r="Z177" s="36">
        <f>IFERROR(IF(Y177=0,"",ROUNDUP(Y177/H177,0)*0.00502),"")</f>
        <v>0.16064000000000001</v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70.19047619047619</v>
      </c>
      <c r="BN177" s="64">
        <f t="shared" si="28"/>
        <v>70.400000000000006</v>
      </c>
      <c r="BO177" s="64">
        <f t="shared" si="29"/>
        <v>0.13634513634513637</v>
      </c>
      <c r="BP177" s="64">
        <f t="shared" si="30"/>
        <v>0.13675213675213677</v>
      </c>
    </row>
    <row r="178" spans="1:68" ht="27" customHeight="1" x14ac:dyDescent="0.25">
      <c r="A178" s="54" t="s">
        <v>308</v>
      </c>
      <c r="B178" s="54" t="s">
        <v>309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88</v>
      </c>
      <c r="Q180" s="689"/>
      <c r="R180" s="689"/>
      <c r="S180" s="689"/>
      <c r="T180" s="689"/>
      <c r="U180" s="689"/>
      <c r="V180" s="690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122.85714285714283</v>
      </c>
      <c r="Y180" s="669">
        <f>IFERROR(Y171/H171,"0")+IFERROR(Y172/H172,"0")+IFERROR(Y173/H173,"0")+IFERROR(Y174/H174,"0")+IFERROR(Y175/H175,"0")+IFERROR(Y176/H176,"0")+IFERROR(Y177/H177,"0")+IFERROR(Y178/H178,"0")+IFERROR(Y179/H179,"0")</f>
        <v>125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0.63949999999999996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88</v>
      </c>
      <c r="Q181" s="689"/>
      <c r="R181" s="689"/>
      <c r="S181" s="689"/>
      <c r="T181" s="689"/>
      <c r="U181" s="689"/>
      <c r="V181" s="690"/>
      <c r="W181" s="37" t="s">
        <v>69</v>
      </c>
      <c r="X181" s="669">
        <f>IFERROR(SUM(X171:X179),"0")</f>
        <v>263</v>
      </c>
      <c r="Y181" s="669">
        <f>IFERROR(SUM(Y171:Y179),"0")</f>
        <v>268.8</v>
      </c>
      <c r="Z181" s="37"/>
      <c r="AA181" s="670"/>
      <c r="AB181" s="670"/>
      <c r="AC181" s="670"/>
    </row>
    <row r="182" spans="1:68" ht="14.25" customHeight="1" x14ac:dyDescent="0.25">
      <c r="A182" s="684" t="s">
        <v>90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313</v>
      </c>
      <c r="B183" s="54" t="s">
        <v>314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987" t="s">
        <v>317</v>
      </c>
      <c r="Q183" s="674"/>
      <c r="R183" s="674"/>
      <c r="S183" s="674"/>
      <c r="T183" s="675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320</v>
      </c>
      <c r="B184" s="54" t="s">
        <v>321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53" t="s">
        <v>322</v>
      </c>
      <c r="Q184" s="674"/>
      <c r="R184" s="674"/>
      <c r="S184" s="674"/>
      <c r="T184" s="675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323</v>
      </c>
      <c r="B185" s="54" t="s">
        <v>324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42" t="s">
        <v>325</v>
      </c>
      <c r="Q185" s="674"/>
      <c r="R185" s="674"/>
      <c r="S185" s="674"/>
      <c r="T185" s="675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88</v>
      </c>
      <c r="Q186" s="689"/>
      <c r="R186" s="689"/>
      <c r="S186" s="689"/>
      <c r="T186" s="689"/>
      <c r="U186" s="689"/>
      <c r="V186" s="690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88</v>
      </c>
      <c r="Q187" s="689"/>
      <c r="R187" s="689"/>
      <c r="S187" s="689"/>
      <c r="T187" s="689"/>
      <c r="U187" s="689"/>
      <c r="V187" s="690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327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328</v>
      </c>
      <c r="B189" s="54" t="s">
        <v>329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0" t="s">
        <v>330</v>
      </c>
      <c r="Q189" s="674"/>
      <c r="R189" s="674"/>
      <c r="S189" s="674"/>
      <c r="T189" s="675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88</v>
      </c>
      <c r="Q190" s="689"/>
      <c r="R190" s="689"/>
      <c r="S190" s="689"/>
      <c r="T190" s="689"/>
      <c r="U190" s="689"/>
      <c r="V190" s="690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88</v>
      </c>
      <c r="Q191" s="689"/>
      <c r="R191" s="689"/>
      <c r="S191" s="689"/>
      <c r="T191" s="689"/>
      <c r="U191" s="689"/>
      <c r="V191" s="690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331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98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332</v>
      </c>
      <c r="B194" s="54" t="s">
        <v>333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335</v>
      </c>
      <c r="B195" s="54" t="s">
        <v>336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88</v>
      </c>
      <c r="Q196" s="689"/>
      <c r="R196" s="689"/>
      <c r="S196" s="689"/>
      <c r="T196" s="689"/>
      <c r="U196" s="689"/>
      <c r="V196" s="690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88</v>
      </c>
      <c r="Q197" s="689"/>
      <c r="R197" s="689"/>
      <c r="S197" s="689"/>
      <c r="T197" s="689"/>
      <c r="U197" s="689"/>
      <c r="V197" s="690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138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337</v>
      </c>
      <c r="B199" s="54" t="s">
        <v>338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340</v>
      </c>
      <c r="B200" s="54" t="s">
        <v>341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88</v>
      </c>
      <c r="Q201" s="689"/>
      <c r="R201" s="689"/>
      <c r="S201" s="689"/>
      <c r="T201" s="689"/>
      <c r="U201" s="689"/>
      <c r="V201" s="690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88</v>
      </c>
      <c r="Q202" s="689"/>
      <c r="R202" s="689"/>
      <c r="S202" s="689"/>
      <c r="T202" s="689"/>
      <c r="U202" s="689"/>
      <c r="V202" s="690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149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342</v>
      </c>
      <c r="B204" s="54" t="s">
        <v>343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69</v>
      </c>
      <c r="X206" s="667">
        <v>60</v>
      </c>
      <c r="Y206" s="668">
        <f t="shared" si="31"/>
        <v>64.800000000000011</v>
      </c>
      <c r="Z206" s="36">
        <f>IFERROR(IF(Y206=0,"",ROUNDUP(Y206/H206,0)*0.00902),"")</f>
        <v>0.10824</v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62.333333333333336</v>
      </c>
      <c r="BN206" s="64">
        <f t="shared" si="33"/>
        <v>67.320000000000007</v>
      </c>
      <c r="BO206" s="64">
        <f t="shared" si="34"/>
        <v>8.4175084175084181E-2</v>
      </c>
      <c r="BP206" s="64">
        <f t="shared" si="35"/>
        <v>9.0909090909090925E-2</v>
      </c>
    </row>
    <row r="207" spans="1:68" ht="27" customHeight="1" x14ac:dyDescent="0.25">
      <c r="A207" s="54" t="s">
        <v>351</v>
      </c>
      <c r="B207" s="54" t="s">
        <v>352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354</v>
      </c>
      <c r="B208" s="54" t="s">
        <v>355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69</v>
      </c>
      <c r="X208" s="667">
        <v>147</v>
      </c>
      <c r="Y208" s="668">
        <f t="shared" si="31"/>
        <v>147.6</v>
      </c>
      <c r="Z208" s="36">
        <f>IFERROR(IF(Y208=0,"",ROUNDUP(Y208/H208,0)*0.00502),"")</f>
        <v>0.41164000000000001</v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157.61666666666665</v>
      </c>
      <c r="BN208" s="64">
        <f t="shared" si="33"/>
        <v>158.26</v>
      </c>
      <c r="BO208" s="64">
        <f t="shared" si="34"/>
        <v>0.34900284900284906</v>
      </c>
      <c r="BP208" s="64">
        <f t="shared" si="35"/>
        <v>0.35042735042735046</v>
      </c>
    </row>
    <row r="209" spans="1:68" ht="27" customHeight="1" x14ac:dyDescent="0.25">
      <c r="A209" s="54" t="s">
        <v>356</v>
      </c>
      <c r="B209" s="54" t="s">
        <v>357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69</v>
      </c>
      <c r="X209" s="667">
        <v>66</v>
      </c>
      <c r="Y209" s="668">
        <f t="shared" si="31"/>
        <v>66.600000000000009</v>
      </c>
      <c r="Z209" s="36">
        <f>IFERROR(IF(Y209=0,"",ROUNDUP(Y209/H209,0)*0.00502),"")</f>
        <v>0.18574000000000002</v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69.666666666666657</v>
      </c>
      <c r="BN209" s="64">
        <f t="shared" si="33"/>
        <v>70.3</v>
      </c>
      <c r="BO209" s="64">
        <f t="shared" si="34"/>
        <v>0.15669515669515671</v>
      </c>
      <c r="BP209" s="64">
        <f t="shared" si="35"/>
        <v>0.15811965811965817</v>
      </c>
    </row>
    <row r="210" spans="1:68" ht="27" customHeight="1" x14ac:dyDescent="0.25">
      <c r="A210" s="54" t="s">
        <v>358</v>
      </c>
      <c r="B210" s="54" t="s">
        <v>359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360</v>
      </c>
      <c r="B211" s="54" t="s">
        <v>361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88</v>
      </c>
      <c r="Q212" s="689"/>
      <c r="R212" s="689"/>
      <c r="S212" s="689"/>
      <c r="T212" s="689"/>
      <c r="U212" s="689"/>
      <c r="V212" s="690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129.44444444444446</v>
      </c>
      <c r="Y212" s="669">
        <f>IFERROR(Y204/H204,"0")+IFERROR(Y205/H205,"0")+IFERROR(Y206/H206,"0")+IFERROR(Y207/H207,"0")+IFERROR(Y208/H208,"0")+IFERROR(Y209/H209,"0")+IFERROR(Y210/H210,"0")+IFERROR(Y211/H211,"0")</f>
        <v>131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0.70562000000000002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88</v>
      </c>
      <c r="Q213" s="689"/>
      <c r="R213" s="689"/>
      <c r="S213" s="689"/>
      <c r="T213" s="689"/>
      <c r="U213" s="689"/>
      <c r="V213" s="690"/>
      <c r="W213" s="37" t="s">
        <v>69</v>
      </c>
      <c r="X213" s="669">
        <f>IFERROR(SUM(X204:X211),"0")</f>
        <v>273</v>
      </c>
      <c r="Y213" s="669">
        <f>IFERROR(SUM(Y204:Y211),"0")</f>
        <v>279</v>
      </c>
      <c r="Z213" s="37"/>
      <c r="AA213" s="670"/>
      <c r="AB213" s="670"/>
      <c r="AC213" s="670"/>
    </row>
    <row r="214" spans="1:68" ht="14.25" customHeight="1" x14ac:dyDescent="0.25">
      <c r="A214" s="684" t="s">
        <v>64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362</v>
      </c>
      <c r="B215" s="54" t="s">
        <v>363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368</v>
      </c>
      <c r="B217" s="54" t="s">
        <v>369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69</v>
      </c>
      <c r="X218" s="667">
        <v>60</v>
      </c>
      <c r="Y218" s="668">
        <f t="shared" si="36"/>
        <v>60</v>
      </c>
      <c r="Z218" s="36">
        <f t="shared" ref="Z218:Z223" si="41">IFERROR(IF(Y218=0,"",ROUNDUP(Y218/H218,0)*0.00651),"")</f>
        <v>0.16275000000000001</v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66.75</v>
      </c>
      <c r="BN218" s="64">
        <f t="shared" si="38"/>
        <v>66.75</v>
      </c>
      <c r="BO218" s="64">
        <f t="shared" si="39"/>
        <v>0.13736263736263737</v>
      </c>
      <c r="BP218" s="64">
        <f t="shared" si="40"/>
        <v>0.13736263736263737</v>
      </c>
    </row>
    <row r="219" spans="1:68" ht="27" customHeight="1" x14ac:dyDescent="0.25">
      <c r="A219" s="54" t="s">
        <v>373</v>
      </c>
      <c r="B219" s="54" t="s">
        <v>374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69</v>
      </c>
      <c r="X220" s="667">
        <v>40</v>
      </c>
      <c r="Y220" s="668">
        <f t="shared" si="36"/>
        <v>40.799999999999997</v>
      </c>
      <c r="Z220" s="36">
        <f t="shared" si="41"/>
        <v>0.11067</v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44.20000000000001</v>
      </c>
      <c r="BN220" s="64">
        <f t="shared" si="38"/>
        <v>45.084000000000003</v>
      </c>
      <c r="BO220" s="64">
        <f t="shared" si="39"/>
        <v>9.1575091575091583E-2</v>
      </c>
      <c r="BP220" s="64">
        <f t="shared" si="40"/>
        <v>9.3406593406593408E-2</v>
      </c>
    </row>
    <row r="221" spans="1:68" ht="27" customHeight="1" x14ac:dyDescent="0.25">
      <c r="A221" s="54" t="s">
        <v>378</v>
      </c>
      <c r="B221" s="54" t="s">
        <v>379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69</v>
      </c>
      <c r="X221" s="667">
        <v>180</v>
      </c>
      <c r="Y221" s="668">
        <f t="shared" si="36"/>
        <v>180</v>
      </c>
      <c r="Z221" s="36">
        <f t="shared" si="41"/>
        <v>0.48825000000000002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198.9</v>
      </c>
      <c r="BN221" s="64">
        <f t="shared" si="38"/>
        <v>198.9</v>
      </c>
      <c r="BO221" s="64">
        <f t="shared" si="39"/>
        <v>0.41208791208791212</v>
      </c>
      <c r="BP221" s="64">
        <f t="shared" si="40"/>
        <v>0.41208791208791212</v>
      </c>
    </row>
    <row r="222" spans="1:68" ht="27" customHeight="1" x14ac:dyDescent="0.25">
      <c r="A222" s="54" t="s">
        <v>380</v>
      </c>
      <c r="B222" s="54" t="s">
        <v>381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383</v>
      </c>
      <c r="B223" s="54" t="s">
        <v>384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69</v>
      </c>
      <c r="X223" s="667">
        <v>80</v>
      </c>
      <c r="Y223" s="668">
        <f t="shared" si="36"/>
        <v>81.599999999999994</v>
      </c>
      <c r="Z223" s="36">
        <f t="shared" si="41"/>
        <v>0.22134000000000001</v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88.6</v>
      </c>
      <c r="BN223" s="64">
        <f t="shared" si="38"/>
        <v>90.371999999999986</v>
      </c>
      <c r="BO223" s="64">
        <f t="shared" si="39"/>
        <v>0.18315018315018317</v>
      </c>
      <c r="BP223" s="64">
        <f t="shared" si="40"/>
        <v>0.18681318681318682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88</v>
      </c>
      <c r="Q224" s="689"/>
      <c r="R224" s="689"/>
      <c r="S224" s="689"/>
      <c r="T224" s="689"/>
      <c r="U224" s="689"/>
      <c r="V224" s="690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150</v>
      </c>
      <c r="Y224" s="669">
        <f>IFERROR(Y215/H215,"0")+IFERROR(Y216/H216,"0")+IFERROR(Y217/H217,"0")+IFERROR(Y218/H218,"0")+IFERROR(Y219/H219,"0")+IFERROR(Y220/H220,"0")+IFERROR(Y221/H221,"0")+IFERROR(Y222/H222,"0")+IFERROR(Y223/H223,"0")</f>
        <v>151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0.98301000000000005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88</v>
      </c>
      <c r="Q225" s="689"/>
      <c r="R225" s="689"/>
      <c r="S225" s="689"/>
      <c r="T225" s="689"/>
      <c r="U225" s="689"/>
      <c r="V225" s="690"/>
      <c r="W225" s="37" t="s">
        <v>69</v>
      </c>
      <c r="X225" s="669">
        <f>IFERROR(SUM(X215:X223),"0")</f>
        <v>360</v>
      </c>
      <c r="Y225" s="669">
        <f>IFERROR(SUM(Y215:Y223),"0")</f>
        <v>362.4</v>
      </c>
      <c r="Z225" s="37"/>
      <c r="AA225" s="670"/>
      <c r="AB225" s="670"/>
      <c r="AC225" s="670"/>
    </row>
    <row r="226" spans="1:68" ht="14.25" customHeight="1" x14ac:dyDescent="0.25">
      <c r="A226" s="684" t="s">
        <v>175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386</v>
      </c>
      <c r="B227" s="54" t="s">
        <v>387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69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88</v>
      </c>
      <c r="Q229" s="689"/>
      <c r="R229" s="689"/>
      <c r="S229" s="689"/>
      <c r="T229" s="689"/>
      <c r="U229" s="689"/>
      <c r="V229" s="690"/>
      <c r="W229" s="37" t="s">
        <v>89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88</v>
      </c>
      <c r="Q230" s="689"/>
      <c r="R230" s="689"/>
      <c r="S230" s="689"/>
      <c r="T230" s="689"/>
      <c r="U230" s="689"/>
      <c r="V230" s="690"/>
      <c r="W230" s="37" t="s">
        <v>69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customHeight="1" x14ac:dyDescent="0.25">
      <c r="A231" s="685" t="s">
        <v>392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98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393</v>
      </c>
      <c r="B233" s="54" t="s">
        <v>394</v>
      </c>
      <c r="C233" s="31">
        <v>4301011942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12.08</v>
      </c>
      <c r="J233" s="32">
        <v>48</v>
      </c>
      <c r="K233" s="32" t="s">
        <v>101</v>
      </c>
      <c r="L233" s="32"/>
      <c r="M233" s="33" t="s">
        <v>395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IFERROR(IF(Y233=0,"",ROUNDUP(Y233/H233,0)*0.02039),"")</f>
        <v/>
      </c>
      <c r="AA233" s="56"/>
      <c r="AB233" s="57"/>
      <c r="AC233" s="289" t="s">
        <v>396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393</v>
      </c>
      <c r="B234" s="54" t="s">
        <v>397</v>
      </c>
      <c r="C234" s="31">
        <v>4301011826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4301011941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12.08</v>
      </c>
      <c r="J236" s="32">
        <v>48</v>
      </c>
      <c r="K236" s="32" t="s">
        <v>101</v>
      </c>
      <c r="L236" s="32"/>
      <c r="M236" s="33" t="s">
        <v>395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IFERROR(IF(Y236=0,"",ROUNDUP(Y236/H236,0)*0.02039),"")</f>
        <v/>
      </c>
      <c r="AA236" s="56"/>
      <c r="AB236" s="57"/>
      <c r="AC236" s="295" t="s">
        <v>396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402</v>
      </c>
      <c r="B237" s="54" t="s">
        <v>404</v>
      </c>
      <c r="C237" s="31">
        <v>4301011721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12.035</v>
      </c>
      <c r="J237" s="32">
        <v>64</v>
      </c>
      <c r="K237" s="32" t="s">
        <v>101</v>
      </c>
      <c r="L237" s="32"/>
      <c r="M237" s="33" t="s">
        <v>102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IFERROR(IF(Y237=0,"",ROUNDUP(Y237/H237,0)*0.01898),"")</f>
        <v/>
      </c>
      <c r="AA237" s="56"/>
      <c r="AB237" s="57"/>
      <c r="AC237" s="297" t="s">
        <v>405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406</v>
      </c>
      <c r="B238" s="54" t="s">
        <v>407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410</v>
      </c>
      <c r="B240" s="54" t="s">
        <v>411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405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88</v>
      </c>
      <c r="Q241" s="689"/>
      <c r="R241" s="689"/>
      <c r="S241" s="689"/>
      <c r="T241" s="689"/>
      <c r="U241" s="689"/>
      <c r="V241" s="690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88</v>
      </c>
      <c r="Q242" s="689"/>
      <c r="R242" s="689"/>
      <c r="S242" s="689"/>
      <c r="T242" s="689"/>
      <c r="U242" s="689"/>
      <c r="V242" s="690"/>
      <c r="W242" s="37" t="s">
        <v>69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138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412</v>
      </c>
      <c r="B244" s="54" t="s">
        <v>413</v>
      </c>
      <c r="C244" s="31">
        <v>4301020340</v>
      </c>
      <c r="D244" s="671">
        <v>4680115885721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7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74"/>
      <c r="R244" s="674"/>
      <c r="S244" s="674"/>
      <c r="T244" s="675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414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412</v>
      </c>
      <c r="B245" s="54" t="s">
        <v>415</v>
      </c>
      <c r="C245" s="31">
        <v>4301020377</v>
      </c>
      <c r="D245" s="671">
        <v>4680115885981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71" t="s">
        <v>416</v>
      </c>
      <c r="Q245" s="674"/>
      <c r="R245" s="674"/>
      <c r="S245" s="674"/>
      <c r="T245" s="675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414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88</v>
      </c>
      <c r="Q246" s="689"/>
      <c r="R246" s="689"/>
      <c r="S246" s="689"/>
      <c r="T246" s="689"/>
      <c r="U246" s="689"/>
      <c r="V246" s="690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88</v>
      </c>
      <c r="Q247" s="689"/>
      <c r="R247" s="689"/>
      <c r="S247" s="689"/>
      <c r="T247" s="689"/>
      <c r="U247" s="689"/>
      <c r="V247" s="690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417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418</v>
      </c>
      <c r="B249" s="54" t="s">
        <v>419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00" t="s">
        <v>420</v>
      </c>
      <c r="Q249" s="674"/>
      <c r="R249" s="674"/>
      <c r="S249" s="674"/>
      <c r="T249" s="675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88</v>
      </c>
      <c r="Q250" s="689"/>
      <c r="R250" s="689"/>
      <c r="S250" s="689"/>
      <c r="T250" s="689"/>
      <c r="U250" s="689"/>
      <c r="V250" s="690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88</v>
      </c>
      <c r="Q251" s="689"/>
      <c r="R251" s="689"/>
      <c r="S251" s="689"/>
      <c r="T251" s="689"/>
      <c r="U251" s="689"/>
      <c r="V251" s="690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422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423</v>
      </c>
      <c r="B253" s="54" t="s">
        <v>424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4" t="s">
        <v>425</v>
      </c>
      <c r="Q253" s="674"/>
      <c r="R253" s="674"/>
      <c r="S253" s="674"/>
      <c r="T253" s="675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427</v>
      </c>
      <c r="B254" s="54" t="s">
        <v>428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21" t="s">
        <v>429</v>
      </c>
      <c r="Q254" s="674"/>
      <c r="R254" s="674"/>
      <c r="S254" s="674"/>
      <c r="T254" s="675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430</v>
      </c>
      <c r="B255" s="54" t="s">
        <v>431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3" t="s">
        <v>432</v>
      </c>
      <c r="Q255" s="674"/>
      <c r="R255" s="674"/>
      <c r="S255" s="674"/>
      <c r="T255" s="675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433</v>
      </c>
      <c r="B256" s="54" t="s">
        <v>434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5" t="s">
        <v>435</v>
      </c>
      <c r="Q256" s="674"/>
      <c r="R256" s="674"/>
      <c r="S256" s="674"/>
      <c r="T256" s="675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436</v>
      </c>
      <c r="B257" s="54" t="s">
        <v>437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8" t="s">
        <v>438</v>
      </c>
      <c r="Q257" s="674"/>
      <c r="R257" s="674"/>
      <c r="S257" s="674"/>
      <c r="T257" s="675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88</v>
      </c>
      <c r="Q258" s="689"/>
      <c r="R258" s="689"/>
      <c r="S258" s="689"/>
      <c r="T258" s="689"/>
      <c r="U258" s="689"/>
      <c r="V258" s="690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88</v>
      </c>
      <c r="Q259" s="689"/>
      <c r="R259" s="689"/>
      <c r="S259" s="689"/>
      <c r="T259" s="689"/>
      <c r="U259" s="689"/>
      <c r="V259" s="690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439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98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440</v>
      </c>
      <c r="B262" s="54" t="s">
        <v>441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443</v>
      </c>
      <c r="B263" s="54" t="s">
        <v>444</v>
      </c>
      <c r="C263" s="31">
        <v>4301011910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11.28</v>
      </c>
      <c r="J263" s="32">
        <v>48</v>
      </c>
      <c r="K263" s="32" t="s">
        <v>101</v>
      </c>
      <c r="L263" s="32"/>
      <c r="M263" s="33" t="s">
        <v>395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IFERROR(IF(Y263=0,"",ROUNDUP(Y263/H263,0)*0.02039),"")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443</v>
      </c>
      <c r="B264" s="54" t="s">
        <v>446</v>
      </c>
      <c r="C264" s="31">
        <v>4301011850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11.234999999999999</v>
      </c>
      <c r="J264" s="32">
        <v>64</v>
      </c>
      <c r="K264" s="32" t="s">
        <v>101</v>
      </c>
      <c r="L264" s="32"/>
      <c r="M264" s="33" t="s">
        <v>102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69</v>
      </c>
      <c r="X264" s="667">
        <v>950</v>
      </c>
      <c r="Y264" s="668">
        <f t="shared" si="47"/>
        <v>950.40000000000009</v>
      </c>
      <c r="Z264" s="36">
        <f>IFERROR(IF(Y264=0,"",ROUNDUP(Y264/H264,0)*0.01898),"")</f>
        <v>1.6702399999999999</v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988.2638888888888</v>
      </c>
      <c r="BN264" s="64">
        <f t="shared" si="49"/>
        <v>988.68</v>
      </c>
      <c r="BO264" s="64">
        <f t="shared" si="50"/>
        <v>1.3744212962962963</v>
      </c>
      <c r="BP264" s="64">
        <f t="shared" si="51"/>
        <v>1.375</v>
      </c>
    </row>
    <row r="265" spans="1:68" ht="37.5" customHeight="1" x14ac:dyDescent="0.25">
      <c r="A265" s="54" t="s">
        <v>448</v>
      </c>
      <c r="B265" s="54" t="s">
        <v>449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451</v>
      </c>
      <c r="B266" s="54" t="s">
        <v>452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454</v>
      </c>
      <c r="B267" s="54" t="s">
        <v>455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88</v>
      </c>
      <c r="Q268" s="689"/>
      <c r="R268" s="689"/>
      <c r="S268" s="689"/>
      <c r="T268" s="689"/>
      <c r="U268" s="689"/>
      <c r="V268" s="690"/>
      <c r="W268" s="37" t="s">
        <v>89</v>
      </c>
      <c r="X268" s="669">
        <f>IFERROR(X262/H262,"0")+IFERROR(X263/H263,"0")+IFERROR(X264/H264,"0")+IFERROR(X265/H265,"0")+IFERROR(X266/H266,"0")+IFERROR(X267/H267,"0")</f>
        <v>87.962962962962962</v>
      </c>
      <c r="Y268" s="669">
        <f>IFERROR(Y262/H262,"0")+IFERROR(Y263/H263,"0")+IFERROR(Y264/H264,"0")+IFERROR(Y265/H265,"0")+IFERROR(Y266/H266,"0")+IFERROR(Y267/H267,"0")</f>
        <v>88</v>
      </c>
      <c r="Z268" s="669">
        <f>IFERROR(IF(Z262="",0,Z262),"0")+IFERROR(IF(Z263="",0,Z263),"0")+IFERROR(IF(Z264="",0,Z264),"0")+IFERROR(IF(Z265="",0,Z265),"0")+IFERROR(IF(Z266="",0,Z266),"0")+IFERROR(IF(Z267="",0,Z267),"0")</f>
        <v>1.6702399999999999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88</v>
      </c>
      <c r="Q269" s="689"/>
      <c r="R269" s="689"/>
      <c r="S269" s="689"/>
      <c r="T269" s="689"/>
      <c r="U269" s="689"/>
      <c r="V269" s="690"/>
      <c r="W269" s="37" t="s">
        <v>69</v>
      </c>
      <c r="X269" s="669">
        <f>IFERROR(SUM(X262:X267),"0")</f>
        <v>950</v>
      </c>
      <c r="Y269" s="669">
        <f>IFERROR(SUM(Y262:Y267),"0")</f>
        <v>950.40000000000009</v>
      </c>
      <c r="Z269" s="37"/>
      <c r="AA269" s="670"/>
      <c r="AB269" s="670"/>
      <c r="AC269" s="670"/>
    </row>
    <row r="270" spans="1:68" ht="16.5" customHeight="1" x14ac:dyDescent="0.25">
      <c r="A270" s="685" t="s">
        <v>457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98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458</v>
      </c>
      <c r="B272" s="54" t="s">
        <v>459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88</v>
      </c>
      <c r="Q273" s="689"/>
      <c r="R273" s="689"/>
      <c r="S273" s="689"/>
      <c r="T273" s="689"/>
      <c r="U273" s="689"/>
      <c r="V273" s="690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88</v>
      </c>
      <c r="Q274" s="689"/>
      <c r="R274" s="689"/>
      <c r="S274" s="689"/>
      <c r="T274" s="689"/>
      <c r="U274" s="689"/>
      <c r="V274" s="690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461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98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462</v>
      </c>
      <c r="B277" s="54" t="s">
        <v>463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464</v>
      </c>
      <c r="B278" s="54" t="s">
        <v>465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470</v>
      </c>
      <c r="B280" s="54" t="s">
        <v>471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10" t="s">
        <v>472</v>
      </c>
      <c r="Q280" s="674"/>
      <c r="R280" s="674"/>
      <c r="S280" s="674"/>
      <c r="T280" s="675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88</v>
      </c>
      <c r="Q281" s="689"/>
      <c r="R281" s="689"/>
      <c r="S281" s="689"/>
      <c r="T281" s="689"/>
      <c r="U281" s="689"/>
      <c r="V281" s="690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88</v>
      </c>
      <c r="Q282" s="689"/>
      <c r="R282" s="689"/>
      <c r="S282" s="689"/>
      <c r="T282" s="689"/>
      <c r="U282" s="689"/>
      <c r="V282" s="690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474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475</v>
      </c>
      <c r="B285" s="54" t="s">
        <v>476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481</v>
      </c>
      <c r="B287" s="54" t="s">
        <v>482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69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customHeight="1" x14ac:dyDescent="0.25">
      <c r="A288" s="54" t="s">
        <v>483</v>
      </c>
      <c r="B288" s="54" t="s">
        <v>484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69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485</v>
      </c>
      <c r="AG288" s="64"/>
      <c r="AJ288" s="68" t="s">
        <v>109</v>
      </c>
      <c r="AK288" s="68">
        <v>33.6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486</v>
      </c>
      <c r="B289" s="54" t="s">
        <v>487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88</v>
      </c>
      <c r="Q290" s="689"/>
      <c r="R290" s="689"/>
      <c r="S290" s="689"/>
      <c r="T290" s="689"/>
      <c r="U290" s="689"/>
      <c r="V290" s="690"/>
      <c r="W290" s="37" t="s">
        <v>89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88</v>
      </c>
      <c r="Q291" s="689"/>
      <c r="R291" s="689"/>
      <c r="S291" s="689"/>
      <c r="T291" s="689"/>
      <c r="U291" s="689"/>
      <c r="V291" s="690"/>
      <c r="W291" s="37" t="s">
        <v>69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customHeight="1" x14ac:dyDescent="0.25">
      <c r="A292" s="685" t="s">
        <v>488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98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489</v>
      </c>
      <c r="B294" s="54" t="s">
        <v>490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88</v>
      </c>
      <c r="Q295" s="689"/>
      <c r="R295" s="689"/>
      <c r="S295" s="689"/>
      <c r="T295" s="689"/>
      <c r="U295" s="689"/>
      <c r="V295" s="690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88</v>
      </c>
      <c r="Q296" s="689"/>
      <c r="R296" s="689"/>
      <c r="S296" s="689"/>
      <c r="T296" s="689"/>
      <c r="U296" s="689"/>
      <c r="V296" s="690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492</v>
      </c>
      <c r="B298" s="54" t="s">
        <v>493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88</v>
      </c>
      <c r="Q299" s="689"/>
      <c r="R299" s="689"/>
      <c r="S299" s="689"/>
      <c r="T299" s="689"/>
      <c r="U299" s="689"/>
      <c r="V299" s="690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88</v>
      </c>
      <c r="Q300" s="689"/>
      <c r="R300" s="689"/>
      <c r="S300" s="689"/>
      <c r="T300" s="689"/>
      <c r="U300" s="689"/>
      <c r="V300" s="690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64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495</v>
      </c>
      <c r="B302" s="54" t="s">
        <v>496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88</v>
      </c>
      <c r="Q303" s="689"/>
      <c r="R303" s="689"/>
      <c r="S303" s="689"/>
      <c r="T303" s="689"/>
      <c r="U303" s="689"/>
      <c r="V303" s="690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88</v>
      </c>
      <c r="Q304" s="689"/>
      <c r="R304" s="689"/>
      <c r="S304" s="689"/>
      <c r="T304" s="689"/>
      <c r="U304" s="689"/>
      <c r="V304" s="690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498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64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499</v>
      </c>
      <c r="B307" s="54" t="s">
        <v>500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88</v>
      </c>
      <c r="Q308" s="689"/>
      <c r="R308" s="689"/>
      <c r="S308" s="689"/>
      <c r="T308" s="689"/>
      <c r="U308" s="689"/>
      <c r="V308" s="690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88</v>
      </c>
      <c r="Q309" s="689"/>
      <c r="R309" s="689"/>
      <c r="S309" s="689"/>
      <c r="T309" s="689"/>
      <c r="U309" s="689"/>
      <c r="V309" s="690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502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98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503</v>
      </c>
      <c r="B312" s="54" t="s">
        <v>504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88</v>
      </c>
      <c r="Q313" s="689"/>
      <c r="R313" s="689"/>
      <c r="S313" s="689"/>
      <c r="T313" s="689"/>
      <c r="U313" s="689"/>
      <c r="V313" s="690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88</v>
      </c>
      <c r="Q314" s="689"/>
      <c r="R314" s="689"/>
      <c r="S314" s="689"/>
      <c r="T314" s="689"/>
      <c r="U314" s="689"/>
      <c r="V314" s="690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149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505</v>
      </c>
      <c r="B316" s="54" t="s">
        <v>506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69</v>
      </c>
      <c r="X316" s="667">
        <v>42</v>
      </c>
      <c r="Y316" s="668">
        <f>IFERROR(IF(X316="",0,CEILING((X316/$H316),1)*$H316),"")</f>
        <v>42</v>
      </c>
      <c r="Z316" s="36">
        <f>IFERROR(IF(Y316=0,"",ROUNDUP(Y316/H316,0)*0.00502),"")</f>
        <v>0.1004</v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44</v>
      </c>
      <c r="BN316" s="64">
        <f>IFERROR(Y316*I316/H316,"0")</f>
        <v>44</v>
      </c>
      <c r="BO316" s="64">
        <f>IFERROR(1/J316*(X316/H316),"0")</f>
        <v>8.5470085470085472E-2</v>
      </c>
      <c r="BP316" s="64">
        <f>IFERROR(1/J316*(Y316/H316),"0")</f>
        <v>8.5470085470085472E-2</v>
      </c>
    </row>
    <row r="317" spans="1:68" ht="37.5" customHeight="1" x14ac:dyDescent="0.25">
      <c r="A317" s="54" t="s">
        <v>508</v>
      </c>
      <c r="B317" s="54" t="s">
        <v>509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88</v>
      </c>
      <c r="Q318" s="689"/>
      <c r="R318" s="689"/>
      <c r="S318" s="689"/>
      <c r="T318" s="689"/>
      <c r="U318" s="689"/>
      <c r="V318" s="690"/>
      <c r="W318" s="37" t="s">
        <v>89</v>
      </c>
      <c r="X318" s="669">
        <f>IFERROR(X316/H316,"0")+IFERROR(X317/H317,"0")</f>
        <v>20</v>
      </c>
      <c r="Y318" s="669">
        <f>IFERROR(Y316/H316,"0")+IFERROR(Y317/H317,"0")</f>
        <v>20</v>
      </c>
      <c r="Z318" s="669">
        <f>IFERROR(IF(Z316="",0,Z316),"0")+IFERROR(IF(Z317="",0,Z317),"0")</f>
        <v>0.1004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88</v>
      </c>
      <c r="Q319" s="689"/>
      <c r="R319" s="689"/>
      <c r="S319" s="689"/>
      <c r="T319" s="689"/>
      <c r="U319" s="689"/>
      <c r="V319" s="690"/>
      <c r="W319" s="37" t="s">
        <v>69</v>
      </c>
      <c r="X319" s="669">
        <f>IFERROR(SUM(X316:X317),"0")</f>
        <v>42</v>
      </c>
      <c r="Y319" s="669">
        <f>IFERROR(SUM(Y316:Y317),"0")</f>
        <v>42</v>
      </c>
      <c r="Z319" s="37"/>
      <c r="AA319" s="670"/>
      <c r="AB319" s="670"/>
      <c r="AC319" s="670"/>
    </row>
    <row r="320" spans="1:68" ht="16.5" customHeight="1" x14ac:dyDescent="0.25">
      <c r="A320" s="685" t="s">
        <v>510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98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511</v>
      </c>
      <c r="B322" s="54" t="s">
        <v>512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88</v>
      </c>
      <c r="Q323" s="689"/>
      <c r="R323" s="689"/>
      <c r="S323" s="689"/>
      <c r="T323" s="689"/>
      <c r="U323" s="689"/>
      <c r="V323" s="690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88</v>
      </c>
      <c r="Q324" s="689"/>
      <c r="R324" s="689"/>
      <c r="S324" s="689"/>
      <c r="T324" s="689"/>
      <c r="U324" s="689"/>
      <c r="V324" s="690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515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98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516</v>
      </c>
      <c r="B327" s="54" t="s">
        <v>517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4301011911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11.28</v>
      </c>
      <c r="J328" s="32">
        <v>48</v>
      </c>
      <c r="K328" s="32" t="s">
        <v>101</v>
      </c>
      <c r="L328" s="32"/>
      <c r="M328" s="33" t="s">
        <v>395</v>
      </c>
      <c r="N328" s="33"/>
      <c r="O328" s="32">
        <v>55</v>
      </c>
      <c r="P328" s="69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IFERROR(IF(Y328=0,"",ROUNDUP(Y328/H328,0)*0.02039),"")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519</v>
      </c>
      <c r="B329" s="54" t="s">
        <v>522</v>
      </c>
      <c r="C329" s="31">
        <v>4301012016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11.234999999999999</v>
      </c>
      <c r="J329" s="32">
        <v>64</v>
      </c>
      <c r="K329" s="32" t="s">
        <v>101</v>
      </c>
      <c r="L329" s="32" t="s">
        <v>124</v>
      </c>
      <c r="M329" s="33" t="s">
        <v>108</v>
      </c>
      <c r="N329" s="33"/>
      <c r="O329" s="32">
        <v>55</v>
      </c>
      <c r="P329" s="7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IFERROR(IF(Y329=0,"",ROUNDUP(Y329/H329,0)*0.01898),"")</f>
        <v/>
      </c>
      <c r="AA329" s="56"/>
      <c r="AB329" s="57"/>
      <c r="AC329" s="373" t="s">
        <v>523</v>
      </c>
      <c r="AG329" s="64"/>
      <c r="AJ329" s="68" t="s">
        <v>126</v>
      </c>
      <c r="AK329" s="68">
        <v>691.2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524</v>
      </c>
      <c r="B330" s="54" t="s">
        <v>525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530</v>
      </c>
      <c r="B332" s="54" t="s">
        <v>531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69</v>
      </c>
      <c r="X332" s="667">
        <v>100</v>
      </c>
      <c r="Y332" s="668">
        <f t="shared" si="52"/>
        <v>100</v>
      </c>
      <c r="Z332" s="36">
        <f>IFERROR(IF(Y332=0,"",ROUNDUP(Y332/H332,0)*0.00902),"")</f>
        <v>0.22550000000000001</v>
      </c>
      <c r="AA332" s="56"/>
      <c r="AB332" s="57"/>
      <c r="AC332" s="379" t="s">
        <v>523</v>
      </c>
      <c r="AG332" s="64"/>
      <c r="AJ332" s="68"/>
      <c r="AK332" s="68">
        <v>0</v>
      </c>
      <c r="BB332" s="380" t="s">
        <v>1</v>
      </c>
      <c r="BM332" s="64">
        <f t="shared" si="53"/>
        <v>105.25</v>
      </c>
      <c r="BN332" s="64">
        <f t="shared" si="54"/>
        <v>105.25</v>
      </c>
      <c r="BO332" s="64">
        <f t="shared" si="55"/>
        <v>0.18939393939393939</v>
      </c>
      <c r="BP332" s="64">
        <f t="shared" si="56"/>
        <v>0.18939393939393939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88</v>
      </c>
      <c r="Q333" s="689"/>
      <c r="R333" s="689"/>
      <c r="S333" s="689"/>
      <c r="T333" s="689"/>
      <c r="U333" s="689"/>
      <c r="V333" s="690"/>
      <c r="W333" s="37" t="s">
        <v>89</v>
      </c>
      <c r="X333" s="669">
        <f>IFERROR(X327/H327,"0")+IFERROR(X328/H328,"0")+IFERROR(X329/H329,"0")+IFERROR(X330/H330,"0")+IFERROR(X331/H331,"0")+IFERROR(X332/H332,"0")</f>
        <v>25</v>
      </c>
      <c r="Y333" s="669">
        <f>IFERROR(Y327/H327,"0")+IFERROR(Y328/H328,"0")+IFERROR(Y329/H329,"0")+IFERROR(Y330/H330,"0")+IFERROR(Y331/H331,"0")+IFERROR(Y332/H332,"0")</f>
        <v>25</v>
      </c>
      <c r="Z333" s="669">
        <f>IFERROR(IF(Z327="",0,Z327),"0")+IFERROR(IF(Z328="",0,Z328),"0")+IFERROR(IF(Z329="",0,Z329),"0")+IFERROR(IF(Z330="",0,Z330),"0")+IFERROR(IF(Z331="",0,Z331),"0")+IFERROR(IF(Z332="",0,Z332),"0")</f>
        <v>0.22550000000000001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88</v>
      </c>
      <c r="Q334" s="689"/>
      <c r="R334" s="689"/>
      <c r="S334" s="689"/>
      <c r="T334" s="689"/>
      <c r="U334" s="689"/>
      <c r="V334" s="690"/>
      <c r="W334" s="37" t="s">
        <v>69</v>
      </c>
      <c r="X334" s="669">
        <f>IFERROR(SUM(X327:X332),"0")</f>
        <v>100</v>
      </c>
      <c r="Y334" s="669">
        <f>IFERROR(SUM(Y327:Y332),"0")</f>
        <v>100</v>
      </c>
      <c r="Z334" s="37"/>
      <c r="AA334" s="670"/>
      <c r="AB334" s="670"/>
      <c r="AC334" s="670"/>
    </row>
    <row r="335" spans="1:68" ht="14.25" customHeight="1" x14ac:dyDescent="0.25">
      <c r="A335" s="684" t="s">
        <v>149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532</v>
      </c>
      <c r="B336" s="54" t="s">
        <v>533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69</v>
      </c>
      <c r="X336" s="667">
        <v>60</v>
      </c>
      <c r="Y336" s="668">
        <f>IFERROR(IF(X336="",0,CEILING((X336/$H336),1)*$H336),"")</f>
        <v>63</v>
      </c>
      <c r="Z336" s="36">
        <f>IFERROR(IF(Y336=0,"",ROUNDUP(Y336/H336,0)*0.00902),"")</f>
        <v>0.1353</v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63.857142857142854</v>
      </c>
      <c r="BN336" s="64">
        <f>IFERROR(Y336*I336/H336,"0")</f>
        <v>67.049999999999983</v>
      </c>
      <c r="BO336" s="64">
        <f>IFERROR(1/J336*(X336/H336),"0")</f>
        <v>0.10822510822510822</v>
      </c>
      <c r="BP336" s="64">
        <f>IFERROR(1/J336*(Y336/H336),"0")</f>
        <v>0.11363636363636365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69</v>
      </c>
      <c r="X337" s="667">
        <v>350</v>
      </c>
      <c r="Y337" s="668">
        <f>IFERROR(IF(X337="",0,CEILING((X337/$H337),1)*$H337),"")</f>
        <v>352.8</v>
      </c>
      <c r="Z337" s="36">
        <f>IFERROR(IF(Y337=0,"",ROUNDUP(Y337/H337,0)*0.00902),"")</f>
        <v>0.75768000000000002</v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372.5</v>
      </c>
      <c r="BN337" s="64">
        <f>IFERROR(Y337*I337/H337,"0")</f>
        <v>375.48</v>
      </c>
      <c r="BO337" s="64">
        <f>IFERROR(1/J337*(X337/H337),"0")</f>
        <v>0.63131313131313127</v>
      </c>
      <c r="BP337" s="64">
        <f>IFERROR(1/J337*(Y337/H337),"0")</f>
        <v>0.63636363636363635</v>
      </c>
    </row>
    <row r="338" spans="1:68" ht="27" customHeight="1" x14ac:dyDescent="0.25">
      <c r="A338" s="54" t="s">
        <v>538</v>
      </c>
      <c r="B338" s="54" t="s">
        <v>539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541</v>
      </c>
      <c r="B339" s="54" t="s">
        <v>542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88</v>
      </c>
      <c r="Q340" s="689"/>
      <c r="R340" s="689"/>
      <c r="S340" s="689"/>
      <c r="T340" s="689"/>
      <c r="U340" s="689"/>
      <c r="V340" s="690"/>
      <c r="W340" s="37" t="s">
        <v>89</v>
      </c>
      <c r="X340" s="669">
        <f>IFERROR(X336/H336,"0")+IFERROR(X337/H337,"0")+IFERROR(X338/H338,"0")+IFERROR(X339/H339,"0")</f>
        <v>97.61904761904762</v>
      </c>
      <c r="Y340" s="669">
        <f>IFERROR(Y336/H336,"0")+IFERROR(Y337/H337,"0")+IFERROR(Y338/H338,"0")+IFERROR(Y339/H339,"0")</f>
        <v>99</v>
      </c>
      <c r="Z340" s="669">
        <f>IFERROR(IF(Z336="",0,Z336),"0")+IFERROR(IF(Z337="",0,Z337),"0")+IFERROR(IF(Z338="",0,Z338),"0")+IFERROR(IF(Z339="",0,Z339),"0")</f>
        <v>0.89298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88</v>
      </c>
      <c r="Q341" s="689"/>
      <c r="R341" s="689"/>
      <c r="S341" s="689"/>
      <c r="T341" s="689"/>
      <c r="U341" s="689"/>
      <c r="V341" s="690"/>
      <c r="W341" s="37" t="s">
        <v>69</v>
      </c>
      <c r="X341" s="669">
        <f>IFERROR(SUM(X336:X339),"0")</f>
        <v>410</v>
      </c>
      <c r="Y341" s="669">
        <f>IFERROR(SUM(Y336:Y339),"0")</f>
        <v>415.8</v>
      </c>
      <c r="Z341" s="37"/>
      <c r="AA341" s="670"/>
      <c r="AB341" s="670"/>
      <c r="AC341" s="670"/>
    </row>
    <row r="342" spans="1:68" ht="14.25" customHeight="1" x14ac:dyDescent="0.25">
      <c r="A342" s="684" t="s">
        <v>64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69</v>
      </c>
      <c r="X343" s="667">
        <v>2800</v>
      </c>
      <c r="Y343" s="668">
        <f>IFERROR(IF(X343="",0,CEILING((X343/$H343),1)*$H343),"")</f>
        <v>2800.2</v>
      </c>
      <c r="Z343" s="36">
        <f>IFERROR(IF(Y343=0,"",ROUNDUP(Y343/H343,0)*0.01898),"")</f>
        <v>6.8138199999999998</v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2984.1538461538462</v>
      </c>
      <c r="BN343" s="64">
        <f>IFERROR(Y343*I343/H343,"0")</f>
        <v>2984.3670000000002</v>
      </c>
      <c r="BO343" s="64">
        <f>IFERROR(1/J343*(X343/H343),"0")</f>
        <v>5.6089743589743595</v>
      </c>
      <c r="BP343" s="64">
        <f>IFERROR(1/J343*(Y343/H343),"0")</f>
        <v>5.609375</v>
      </c>
    </row>
    <row r="344" spans="1:68" ht="27" customHeight="1" x14ac:dyDescent="0.25">
      <c r="A344" s="54" t="s">
        <v>546</v>
      </c>
      <c r="B344" s="54" t="s">
        <v>547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549</v>
      </c>
      <c r="B345" s="54" t="s">
        <v>550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552</v>
      </c>
      <c r="B346" s="54" t="s">
        <v>553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555</v>
      </c>
      <c r="B347" s="54" t="s">
        <v>556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88</v>
      </c>
      <c r="Q348" s="689"/>
      <c r="R348" s="689"/>
      <c r="S348" s="689"/>
      <c r="T348" s="689"/>
      <c r="U348" s="689"/>
      <c r="V348" s="690"/>
      <c r="W348" s="37" t="s">
        <v>89</v>
      </c>
      <c r="X348" s="669">
        <f>IFERROR(X343/H343,"0")+IFERROR(X344/H344,"0")+IFERROR(X345/H345,"0")+IFERROR(X346/H346,"0")+IFERROR(X347/H347,"0")</f>
        <v>358.97435897435901</v>
      </c>
      <c r="Y348" s="669">
        <f>IFERROR(Y343/H343,"0")+IFERROR(Y344/H344,"0")+IFERROR(Y345/H345,"0")+IFERROR(Y346/H346,"0")+IFERROR(Y347/H347,"0")</f>
        <v>359</v>
      </c>
      <c r="Z348" s="669">
        <f>IFERROR(IF(Z343="",0,Z343),"0")+IFERROR(IF(Z344="",0,Z344),"0")+IFERROR(IF(Z345="",0,Z345),"0")+IFERROR(IF(Z346="",0,Z346),"0")+IFERROR(IF(Z347="",0,Z347),"0")</f>
        <v>6.8138199999999998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88</v>
      </c>
      <c r="Q349" s="689"/>
      <c r="R349" s="689"/>
      <c r="S349" s="689"/>
      <c r="T349" s="689"/>
      <c r="U349" s="689"/>
      <c r="V349" s="690"/>
      <c r="W349" s="37" t="s">
        <v>69</v>
      </c>
      <c r="X349" s="669">
        <f>IFERROR(SUM(X343:X347),"0")</f>
        <v>2800</v>
      </c>
      <c r="Y349" s="669">
        <f>IFERROR(SUM(Y343:Y347),"0")</f>
        <v>2800.2</v>
      </c>
      <c r="Z349" s="37"/>
      <c r="AA349" s="670"/>
      <c r="AB349" s="670"/>
      <c r="AC349" s="670"/>
    </row>
    <row r="350" spans="1:68" ht="14.25" customHeight="1" x14ac:dyDescent="0.25">
      <c r="A350" s="684" t="s">
        <v>175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69</v>
      </c>
      <c r="X352" s="667">
        <v>450</v>
      </c>
      <c r="Y352" s="668">
        <f>IFERROR(IF(X352="",0,CEILING((X352/$H352),1)*$H352),"")</f>
        <v>452.4</v>
      </c>
      <c r="Z352" s="36">
        <f>IFERROR(IF(Y352=0,"",ROUNDUP(Y352/H352,0)*0.01898),"")</f>
        <v>1.10084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479.94230769230774</v>
      </c>
      <c r="BN352" s="64">
        <f>IFERROR(Y352*I352/H352,"0")</f>
        <v>482.50200000000001</v>
      </c>
      <c r="BO352" s="64">
        <f>IFERROR(1/J352*(X352/H352),"0")</f>
        <v>0.90144230769230771</v>
      </c>
      <c r="BP352" s="64">
        <f>IFERROR(1/J352*(Y352/H352),"0")</f>
        <v>0.90625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69</v>
      </c>
      <c r="X353" s="667">
        <v>120</v>
      </c>
      <c r="Y353" s="668">
        <f>IFERROR(IF(X353="",0,CEILING((X353/$H353),1)*$H353),"")</f>
        <v>126</v>
      </c>
      <c r="Z353" s="36">
        <f>IFERROR(IF(Y353=0,"",ROUNDUP(Y353/H353,0)*0.01898),"")</f>
        <v>0.28470000000000001</v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127.41428571428571</v>
      </c>
      <c r="BN353" s="64">
        <f>IFERROR(Y353*I353/H353,"0")</f>
        <v>133.785</v>
      </c>
      <c r="BO353" s="64">
        <f>IFERROR(1/J353*(X353/H353),"0")</f>
        <v>0.2232142857142857</v>
      </c>
      <c r="BP353" s="64">
        <f>IFERROR(1/J353*(Y353/H353),"0")</f>
        <v>0.234375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88</v>
      </c>
      <c r="Q354" s="689"/>
      <c r="R354" s="689"/>
      <c r="S354" s="689"/>
      <c r="T354" s="689"/>
      <c r="U354" s="689"/>
      <c r="V354" s="690"/>
      <c r="W354" s="37" t="s">
        <v>89</v>
      </c>
      <c r="X354" s="669">
        <f>IFERROR(X351/H351,"0")+IFERROR(X352/H352,"0")+IFERROR(X353/H353,"0")</f>
        <v>71.978021978021985</v>
      </c>
      <c r="Y354" s="669">
        <f>IFERROR(Y351/H351,"0")+IFERROR(Y352/H352,"0")+IFERROR(Y353/H353,"0")</f>
        <v>73</v>
      </c>
      <c r="Z354" s="669">
        <f>IFERROR(IF(Z351="",0,Z351),"0")+IFERROR(IF(Z352="",0,Z352),"0")+IFERROR(IF(Z353="",0,Z353),"0")</f>
        <v>1.38554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88</v>
      </c>
      <c r="Q355" s="689"/>
      <c r="R355" s="689"/>
      <c r="S355" s="689"/>
      <c r="T355" s="689"/>
      <c r="U355" s="689"/>
      <c r="V355" s="690"/>
      <c r="W355" s="37" t="s">
        <v>69</v>
      </c>
      <c r="X355" s="669">
        <f>IFERROR(SUM(X351:X353),"0")</f>
        <v>570</v>
      </c>
      <c r="Y355" s="669">
        <f>IFERROR(SUM(Y351:Y353),"0")</f>
        <v>578.4</v>
      </c>
      <c r="Z355" s="37"/>
      <c r="AA355" s="670"/>
      <c r="AB355" s="670"/>
      <c r="AC355" s="670"/>
    </row>
    <row r="356" spans="1:68" ht="14.25" customHeight="1" x14ac:dyDescent="0.25">
      <c r="A356" s="684" t="s">
        <v>90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567</v>
      </c>
      <c r="B357" s="54" t="s">
        <v>568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11" t="s">
        <v>569</v>
      </c>
      <c r="Q357" s="674"/>
      <c r="R357" s="674"/>
      <c r="S357" s="674"/>
      <c r="T357" s="675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571</v>
      </c>
      <c r="B358" s="54" t="s">
        <v>572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20" t="s">
        <v>573</v>
      </c>
      <c r="Q358" s="674"/>
      <c r="R358" s="674"/>
      <c r="S358" s="674"/>
      <c r="T358" s="675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69</v>
      </c>
      <c r="X359" s="667">
        <v>9</v>
      </c>
      <c r="Y359" s="668">
        <f>IFERROR(IF(X359="",0,CEILING((X359/$H359),1)*$H359),"")</f>
        <v>10.199999999999999</v>
      </c>
      <c r="Z359" s="36">
        <f>IFERROR(IF(Y359=0,"",ROUNDUP(Y359/H359,0)*0.00651),"")</f>
        <v>2.6040000000000001E-2</v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10.429411764705883</v>
      </c>
      <c r="BN359" s="64">
        <f>IFERROR(Y359*I359/H359,"0")</f>
        <v>11.82</v>
      </c>
      <c r="BO359" s="64">
        <f>IFERROR(1/J359*(X359/H359),"0")</f>
        <v>1.9392372333548808E-2</v>
      </c>
      <c r="BP359" s="64">
        <f>IFERROR(1/J359*(Y359/H359),"0")</f>
        <v>2.197802197802198E-2</v>
      </c>
    </row>
    <row r="360" spans="1:68" ht="27" customHeight="1" x14ac:dyDescent="0.25">
      <c r="A360" s="54" t="s">
        <v>578</v>
      </c>
      <c r="B360" s="54" t="s">
        <v>579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88</v>
      </c>
      <c r="Q361" s="689"/>
      <c r="R361" s="689"/>
      <c r="S361" s="689"/>
      <c r="T361" s="689"/>
      <c r="U361" s="689"/>
      <c r="V361" s="690"/>
      <c r="W361" s="37" t="s">
        <v>89</v>
      </c>
      <c r="X361" s="669">
        <f>IFERROR(X357/H357,"0")+IFERROR(X358/H358,"0")+IFERROR(X359/H359,"0")+IFERROR(X360/H360,"0")</f>
        <v>3.5294117647058827</v>
      </c>
      <c r="Y361" s="669">
        <f>IFERROR(Y357/H357,"0")+IFERROR(Y358/H358,"0")+IFERROR(Y359/H359,"0")+IFERROR(Y360/H360,"0")</f>
        <v>4</v>
      </c>
      <c r="Z361" s="669">
        <f>IFERROR(IF(Z357="",0,Z357),"0")+IFERROR(IF(Z358="",0,Z358),"0")+IFERROR(IF(Z359="",0,Z359),"0")+IFERROR(IF(Z360="",0,Z360),"0")</f>
        <v>2.6040000000000001E-2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88</v>
      </c>
      <c r="Q362" s="689"/>
      <c r="R362" s="689"/>
      <c r="S362" s="689"/>
      <c r="T362" s="689"/>
      <c r="U362" s="689"/>
      <c r="V362" s="690"/>
      <c r="W362" s="37" t="s">
        <v>69</v>
      </c>
      <c r="X362" s="669">
        <f>IFERROR(SUM(X357:X360),"0")</f>
        <v>9</v>
      </c>
      <c r="Y362" s="669">
        <f>IFERROR(SUM(Y357:Y360),"0")</f>
        <v>10.199999999999999</v>
      </c>
      <c r="Z362" s="37"/>
      <c r="AA362" s="670"/>
      <c r="AB362" s="670"/>
      <c r="AC362" s="670"/>
    </row>
    <row r="363" spans="1:68" ht="14.25" customHeight="1" x14ac:dyDescent="0.25">
      <c r="A363" s="684" t="s">
        <v>580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581</v>
      </c>
      <c r="B364" s="54" t="s">
        <v>582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585</v>
      </c>
      <c r="B365" s="54" t="s">
        <v>586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587</v>
      </c>
      <c r="B366" s="54" t="s">
        <v>588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69</v>
      </c>
      <c r="X366" s="667">
        <v>20</v>
      </c>
      <c r="Y366" s="668">
        <f>IFERROR(IF(X366="",0,CEILING((X366/$H366),1)*$H366),"")</f>
        <v>20</v>
      </c>
      <c r="Z366" s="36">
        <f>IFERROR(IF(Y366=0,"",ROUNDUP(Y366/H366,0)*0.00474),"")</f>
        <v>4.7400000000000005E-2</v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22.400000000000002</v>
      </c>
      <c r="BN366" s="64">
        <f>IFERROR(Y366*I366/H366,"0")</f>
        <v>22.400000000000002</v>
      </c>
      <c r="BO366" s="64">
        <f>IFERROR(1/J366*(X366/H366),"0")</f>
        <v>4.2016806722689072E-2</v>
      </c>
      <c r="BP366" s="64">
        <f>IFERROR(1/J366*(Y366/H366),"0")</f>
        <v>4.2016806722689072E-2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88</v>
      </c>
      <c r="Q367" s="689"/>
      <c r="R367" s="689"/>
      <c r="S367" s="689"/>
      <c r="T367" s="689"/>
      <c r="U367" s="689"/>
      <c r="V367" s="690"/>
      <c r="W367" s="37" t="s">
        <v>89</v>
      </c>
      <c r="X367" s="669">
        <f>IFERROR(X364/H364,"0")+IFERROR(X365/H365,"0")+IFERROR(X366/H366,"0")</f>
        <v>10</v>
      </c>
      <c r="Y367" s="669">
        <f>IFERROR(Y364/H364,"0")+IFERROR(Y365/H365,"0")+IFERROR(Y366/H366,"0")</f>
        <v>10</v>
      </c>
      <c r="Z367" s="669">
        <f>IFERROR(IF(Z364="",0,Z364),"0")+IFERROR(IF(Z365="",0,Z365),"0")+IFERROR(IF(Z366="",0,Z366),"0")</f>
        <v>4.7400000000000005E-2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88</v>
      </c>
      <c r="Q368" s="689"/>
      <c r="R368" s="689"/>
      <c r="S368" s="689"/>
      <c r="T368" s="689"/>
      <c r="U368" s="689"/>
      <c r="V368" s="690"/>
      <c r="W368" s="37" t="s">
        <v>69</v>
      </c>
      <c r="X368" s="669">
        <f>IFERROR(SUM(X364:X366),"0")</f>
        <v>20</v>
      </c>
      <c r="Y368" s="669">
        <f>IFERROR(SUM(Y364:Y366),"0")</f>
        <v>20</v>
      </c>
      <c r="Z368" s="37"/>
      <c r="AA368" s="670"/>
      <c r="AB368" s="670"/>
      <c r="AC368" s="670"/>
    </row>
    <row r="369" spans="1:68" ht="16.5" customHeight="1" x14ac:dyDescent="0.25">
      <c r="A369" s="685" t="s">
        <v>589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149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69</v>
      </c>
      <c r="X371" s="667">
        <v>84</v>
      </c>
      <c r="Y371" s="668">
        <f>IFERROR(IF(X371="",0,CEILING((X371/$H371),1)*$H371),"")</f>
        <v>84.600000000000009</v>
      </c>
      <c r="Z371" s="36">
        <f>IFERROR(IF(Y371=0,"",ROUNDUP(Y371/H371,0)*0.00651),"")</f>
        <v>0.30597000000000002</v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94.64</v>
      </c>
      <c r="BN371" s="64">
        <f>IFERROR(Y371*I371/H371,"0")</f>
        <v>95.316000000000003</v>
      </c>
      <c r="BO371" s="64">
        <f>IFERROR(1/J371*(X371/H371),"0")</f>
        <v>0.25641025641025644</v>
      </c>
      <c r="BP371" s="64">
        <f>IFERROR(1/J371*(Y371/H371),"0")</f>
        <v>0.25824175824175832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88</v>
      </c>
      <c r="Q372" s="689"/>
      <c r="R372" s="689"/>
      <c r="S372" s="689"/>
      <c r="T372" s="689"/>
      <c r="U372" s="689"/>
      <c r="V372" s="690"/>
      <c r="W372" s="37" t="s">
        <v>89</v>
      </c>
      <c r="X372" s="669">
        <f>IFERROR(X371/H371,"0")</f>
        <v>46.666666666666664</v>
      </c>
      <c r="Y372" s="669">
        <f>IFERROR(Y371/H371,"0")</f>
        <v>47.000000000000007</v>
      </c>
      <c r="Z372" s="669">
        <f>IFERROR(IF(Z371="",0,Z371),"0")</f>
        <v>0.30597000000000002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88</v>
      </c>
      <c r="Q373" s="689"/>
      <c r="R373" s="689"/>
      <c r="S373" s="689"/>
      <c r="T373" s="689"/>
      <c r="U373" s="689"/>
      <c r="V373" s="690"/>
      <c r="W373" s="37" t="s">
        <v>69</v>
      </c>
      <c r="X373" s="669">
        <f>IFERROR(SUM(X371:X371),"0")</f>
        <v>84</v>
      </c>
      <c r="Y373" s="669">
        <f>IFERROR(SUM(Y371:Y371),"0")</f>
        <v>84.600000000000009</v>
      </c>
      <c r="Z373" s="37"/>
      <c r="AA373" s="670"/>
      <c r="AB373" s="670"/>
      <c r="AC373" s="670"/>
    </row>
    <row r="374" spans="1:68" ht="14.25" customHeight="1" x14ac:dyDescent="0.25">
      <c r="A374" s="684" t="s">
        <v>64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593</v>
      </c>
      <c r="B375" s="54" t="s">
        <v>594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69</v>
      </c>
      <c r="X376" s="667">
        <v>245</v>
      </c>
      <c r="Y376" s="668">
        <f>IFERROR(IF(X376="",0,CEILING((X376/$H376),1)*$H376),"")</f>
        <v>245.70000000000002</v>
      </c>
      <c r="Z376" s="36">
        <f>IFERROR(IF(Y376=0,"",ROUNDUP(Y376/H376,0)*0.00651),"")</f>
        <v>0.76167000000000007</v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274.39999999999998</v>
      </c>
      <c r="BN376" s="64">
        <f>IFERROR(Y376*I376/H376,"0")</f>
        <v>275.18399999999997</v>
      </c>
      <c r="BO376" s="64">
        <f>IFERROR(1/J376*(X376/H376),"0")</f>
        <v>0.64102564102564097</v>
      </c>
      <c r="BP376" s="64">
        <f>IFERROR(1/J376*(Y376/H376),"0")</f>
        <v>0.6428571428571429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69</v>
      </c>
      <c r="X377" s="667">
        <v>18</v>
      </c>
      <c r="Y377" s="668">
        <f>IFERROR(IF(X377="",0,CEILING((X377/$H377),1)*$H377),"")</f>
        <v>18.900000000000002</v>
      </c>
      <c r="Z377" s="36">
        <f>IFERROR(IF(Y377=0,"",ROUNDUP(Y377/H377,0)*0.00651),"")</f>
        <v>5.8590000000000003E-2</v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20.057142857142853</v>
      </c>
      <c r="BN377" s="64">
        <f>IFERROR(Y377*I377/H377,"0")</f>
        <v>21.06</v>
      </c>
      <c r="BO377" s="64">
        <f>IFERROR(1/J377*(X377/H377),"0")</f>
        <v>4.709576138147567E-2</v>
      </c>
      <c r="BP377" s="64">
        <f>IFERROR(1/J377*(Y377/H377),"0")</f>
        <v>4.9450549450549455E-2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88</v>
      </c>
      <c r="Q378" s="689"/>
      <c r="R378" s="689"/>
      <c r="S378" s="689"/>
      <c r="T378" s="689"/>
      <c r="U378" s="689"/>
      <c r="V378" s="690"/>
      <c r="W378" s="37" t="s">
        <v>89</v>
      </c>
      <c r="X378" s="669">
        <f>IFERROR(X375/H375,"0")+IFERROR(X376/H376,"0")+IFERROR(X377/H377,"0")</f>
        <v>125.23809523809523</v>
      </c>
      <c r="Y378" s="669">
        <f>IFERROR(Y375/H375,"0")+IFERROR(Y376/H376,"0")+IFERROR(Y377/H377,"0")</f>
        <v>126</v>
      </c>
      <c r="Z378" s="669">
        <f>IFERROR(IF(Z375="",0,Z375),"0")+IFERROR(IF(Z376="",0,Z376),"0")+IFERROR(IF(Z377="",0,Z377),"0")</f>
        <v>0.8202600000000001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88</v>
      </c>
      <c r="Q379" s="689"/>
      <c r="R379" s="689"/>
      <c r="S379" s="689"/>
      <c r="T379" s="689"/>
      <c r="U379" s="689"/>
      <c r="V379" s="690"/>
      <c r="W379" s="37" t="s">
        <v>69</v>
      </c>
      <c r="X379" s="669">
        <f>IFERROR(SUM(X375:X377),"0")</f>
        <v>263</v>
      </c>
      <c r="Y379" s="669">
        <f>IFERROR(SUM(Y375:Y377),"0")</f>
        <v>264.60000000000002</v>
      </c>
      <c r="Z379" s="37"/>
      <c r="AA379" s="670"/>
      <c r="AB379" s="670"/>
      <c r="AC379" s="670"/>
    </row>
    <row r="380" spans="1:68" ht="27.75" customHeight="1" x14ac:dyDescent="0.2">
      <c r="A380" s="682" t="s">
        <v>602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603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98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27" customHeight="1" x14ac:dyDescent="0.25">
      <c r="A383" s="54" t="s">
        <v>604</v>
      </c>
      <c r="B383" s="54" t="s">
        <v>605</v>
      </c>
      <c r="C383" s="31">
        <v>4301011946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/>
      <c r="M383" s="33" t="s">
        <v>395</v>
      </c>
      <c r="N383" s="33"/>
      <c r="O383" s="32">
        <v>60</v>
      </c>
      <c r="P383" s="103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74"/>
      <c r="R383" s="674"/>
      <c r="S383" s="674"/>
      <c r="T383" s="675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IFERROR(IF(Y383=0,"",ROUNDUP(Y383/H383,0)*0.02039),"")</f>
        <v/>
      </c>
      <c r="AA383" s="56"/>
      <c r="AB383" s="57"/>
      <c r="AC383" s="427" t="s">
        <v>606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37.5" customHeight="1" x14ac:dyDescent="0.25">
      <c r="A384" s="54" t="s">
        <v>604</v>
      </c>
      <c r="B384" s="54" t="s">
        <v>607</v>
      </c>
      <c r="C384" s="31">
        <v>4301011869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 t="s">
        <v>124</v>
      </c>
      <c r="M384" s="33" t="s">
        <v>68</v>
      </c>
      <c r="N384" s="33"/>
      <c r="O384" s="32">
        <v>60</v>
      </c>
      <c r="P384" s="6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74"/>
      <c r="R384" s="674"/>
      <c r="S384" s="674"/>
      <c r="T384" s="675"/>
      <c r="U384" s="34"/>
      <c r="V384" s="34"/>
      <c r="W384" s="35" t="s">
        <v>69</v>
      </c>
      <c r="X384" s="667">
        <v>30</v>
      </c>
      <c r="Y384" s="668">
        <f t="shared" si="57"/>
        <v>30</v>
      </c>
      <c r="Z384" s="36">
        <f>IFERROR(IF(Y384=0,"",ROUNDUP(Y384/H384,0)*0.02175),"")</f>
        <v>4.3499999999999997E-2</v>
      </c>
      <c r="AA384" s="56"/>
      <c r="AB384" s="57"/>
      <c r="AC384" s="429" t="s">
        <v>608</v>
      </c>
      <c r="AG384" s="64"/>
      <c r="AJ384" s="68" t="s">
        <v>126</v>
      </c>
      <c r="AK384" s="68">
        <v>720</v>
      </c>
      <c r="BB384" s="430" t="s">
        <v>1</v>
      </c>
      <c r="BM384" s="64">
        <f t="shared" si="58"/>
        <v>30.96</v>
      </c>
      <c r="BN384" s="64">
        <f t="shared" si="59"/>
        <v>30.96</v>
      </c>
      <c r="BO384" s="64">
        <f t="shared" si="60"/>
        <v>4.1666666666666664E-2</v>
      </c>
      <c r="BP384" s="64">
        <f t="shared" si="61"/>
        <v>4.1666666666666664E-2</v>
      </c>
    </row>
    <row r="385" spans="1:68" ht="27" customHeight="1" x14ac:dyDescent="0.25">
      <c r="A385" s="54" t="s">
        <v>609</v>
      </c>
      <c r="B385" s="54" t="s">
        <v>610</v>
      </c>
      <c r="C385" s="31">
        <v>4301011947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/>
      <c r="M385" s="33" t="s">
        <v>395</v>
      </c>
      <c r="N385" s="33"/>
      <c r="O385" s="32">
        <v>60</v>
      </c>
      <c r="P385" s="103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IFERROR(IF(Y385=0,"",ROUNDUP(Y385/H385,0)*0.02039),"")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609</v>
      </c>
      <c r="B386" s="54" t="s">
        <v>611</v>
      </c>
      <c r="C386" s="31">
        <v>4301011870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 t="s">
        <v>124</v>
      </c>
      <c r="M386" s="33" t="s">
        <v>68</v>
      </c>
      <c r="N386" s="33"/>
      <c r="O386" s="32">
        <v>60</v>
      </c>
      <c r="P386" s="7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69</v>
      </c>
      <c r="X386" s="667">
        <v>0</v>
      </c>
      <c r="Y386" s="668">
        <f t="shared" si="57"/>
        <v>0</v>
      </c>
      <c r="Z386" s="36" t="str">
        <f>IFERROR(IF(Y386=0,"",ROUNDUP(Y386/H386,0)*0.02175),"")</f>
        <v/>
      </c>
      <c r="AA386" s="56"/>
      <c r="AB386" s="57"/>
      <c r="AC386" s="433" t="s">
        <v>612</v>
      </c>
      <c r="AG386" s="64"/>
      <c r="AJ386" s="68" t="s">
        <v>126</v>
      </c>
      <c r="AK386" s="68">
        <v>720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613</v>
      </c>
      <c r="B387" s="54" t="s">
        <v>614</v>
      </c>
      <c r="C387" s="31">
        <v>4301011943</v>
      </c>
      <c r="D387" s="671">
        <v>4680115884830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395</v>
      </c>
      <c r="N387" s="33"/>
      <c r="O387" s="32">
        <v>60</v>
      </c>
      <c r="P387" s="865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4"/>
      <c r="R387" s="674"/>
      <c r="S387" s="674"/>
      <c r="T387" s="675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IFERROR(IF(Y387=0,"",ROUNDUP(Y387/H387,0)*0.02039),"")</f>
        <v/>
      </c>
      <c r="AA387" s="56"/>
      <c r="AB387" s="57"/>
      <c r="AC387" s="435" t="s">
        <v>606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customHeight="1" x14ac:dyDescent="0.25">
      <c r="A388" s="54" t="s">
        <v>615</v>
      </c>
      <c r="B388" s="54" t="s">
        <v>616</v>
      </c>
      <c r="C388" s="31">
        <v>4301011832</v>
      </c>
      <c r="D388" s="671">
        <v>4607091383997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4"/>
      <c r="R388" s="674"/>
      <c r="S388" s="674"/>
      <c r="T388" s="675"/>
      <c r="U388" s="34"/>
      <c r="V388" s="34"/>
      <c r="W388" s="35" t="s">
        <v>69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617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37.5" customHeight="1" x14ac:dyDescent="0.25">
      <c r="A389" s="54" t="s">
        <v>613</v>
      </c>
      <c r="B389" s="54" t="s">
        <v>618</v>
      </c>
      <c r="C389" s="31">
        <v>4301011867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 t="s">
        <v>124</v>
      </c>
      <c r="M389" s="33" t="s">
        <v>68</v>
      </c>
      <c r="N389" s="33"/>
      <c r="O389" s="32">
        <v>60</v>
      </c>
      <c r="P389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IFERROR(IF(Y389=0,"",ROUNDUP(Y389/H389,0)*0.02175),"")</f>
        <v/>
      </c>
      <c r="AA389" s="56"/>
      <c r="AB389" s="57"/>
      <c r="AC389" s="439" t="s">
        <v>619</v>
      </c>
      <c r="AG389" s="64"/>
      <c r="AJ389" s="68" t="s">
        <v>126</v>
      </c>
      <c r="AK389" s="68">
        <v>720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620</v>
      </c>
      <c r="B390" s="54" t="s">
        <v>621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623</v>
      </c>
      <c r="B391" s="54" t="s">
        <v>624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69</v>
      </c>
      <c r="X391" s="667">
        <v>50</v>
      </c>
      <c r="Y391" s="668">
        <f t="shared" si="57"/>
        <v>50</v>
      </c>
      <c r="Z391" s="36">
        <f>IFERROR(IF(Y391=0,"",ROUNDUP(Y391/H391,0)*0.00902),"")</f>
        <v>9.0200000000000002E-2</v>
      </c>
      <c r="AA391" s="56"/>
      <c r="AB391" s="57"/>
      <c r="AC391" s="443" t="s">
        <v>612</v>
      </c>
      <c r="AG391" s="64"/>
      <c r="AJ391" s="68"/>
      <c r="AK391" s="68">
        <v>0</v>
      </c>
      <c r="BB391" s="444" t="s">
        <v>1</v>
      </c>
      <c r="BM391" s="64">
        <f t="shared" si="58"/>
        <v>52.1</v>
      </c>
      <c r="BN391" s="64">
        <f t="shared" si="59"/>
        <v>52.1</v>
      </c>
      <c r="BO391" s="64">
        <f t="shared" si="60"/>
        <v>7.575757575757576E-2</v>
      </c>
      <c r="BP391" s="64">
        <f t="shared" si="61"/>
        <v>7.575757575757576E-2</v>
      </c>
    </row>
    <row r="392" spans="1:68" ht="37.5" customHeight="1" x14ac:dyDescent="0.25">
      <c r="A392" s="54" t="s">
        <v>625</v>
      </c>
      <c r="B392" s="54" t="s">
        <v>626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619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88</v>
      </c>
      <c r="Q393" s="689"/>
      <c r="R393" s="689"/>
      <c r="S393" s="689"/>
      <c r="T393" s="689"/>
      <c r="U393" s="689"/>
      <c r="V393" s="690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12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12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0.13369999999999999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88</v>
      </c>
      <c r="Q394" s="689"/>
      <c r="R394" s="689"/>
      <c r="S394" s="689"/>
      <c r="T394" s="689"/>
      <c r="U394" s="689"/>
      <c r="V394" s="690"/>
      <c r="W394" s="37" t="s">
        <v>69</v>
      </c>
      <c r="X394" s="669">
        <f>IFERROR(SUM(X383:X392),"0")</f>
        <v>80</v>
      </c>
      <c r="Y394" s="669">
        <f>IFERROR(SUM(Y383:Y392),"0")</f>
        <v>80</v>
      </c>
      <c r="Z394" s="37"/>
      <c r="AA394" s="670"/>
      <c r="AB394" s="670"/>
      <c r="AC394" s="670"/>
    </row>
    <row r="395" spans="1:68" ht="14.25" customHeight="1" x14ac:dyDescent="0.25">
      <c r="A395" s="684" t="s">
        <v>138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124</v>
      </c>
      <c r="M396" s="33" t="s">
        <v>102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69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629</v>
      </c>
      <c r="AG396" s="64"/>
      <c r="AJ396" s="68" t="s">
        <v>126</v>
      </c>
      <c r="AK396" s="68">
        <v>720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customHeight="1" x14ac:dyDescent="0.25">
      <c r="A397" s="54" t="s">
        <v>630</v>
      </c>
      <c r="B397" s="54" t="s">
        <v>631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88</v>
      </c>
      <c r="Q398" s="689"/>
      <c r="R398" s="689"/>
      <c r="S398" s="689"/>
      <c r="T398" s="689"/>
      <c r="U398" s="689"/>
      <c r="V398" s="690"/>
      <c r="W398" s="37" t="s">
        <v>89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88</v>
      </c>
      <c r="Q399" s="689"/>
      <c r="R399" s="689"/>
      <c r="S399" s="689"/>
      <c r="T399" s="689"/>
      <c r="U399" s="689"/>
      <c r="V399" s="690"/>
      <c r="W399" s="37" t="s">
        <v>69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customHeight="1" x14ac:dyDescent="0.25">
      <c r="A400" s="684" t="s">
        <v>64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632</v>
      </c>
      <c r="B401" s="54" t="s">
        <v>633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69" t="s">
        <v>634</v>
      </c>
      <c r="Q401" s="674"/>
      <c r="R401" s="674"/>
      <c r="S401" s="674"/>
      <c r="T401" s="675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68" t="s">
        <v>638</v>
      </c>
      <c r="Q402" s="674"/>
      <c r="R402" s="674"/>
      <c r="S402" s="674"/>
      <c r="T402" s="675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88</v>
      </c>
      <c r="Q403" s="689"/>
      <c r="R403" s="689"/>
      <c r="S403" s="689"/>
      <c r="T403" s="689"/>
      <c r="U403" s="689"/>
      <c r="V403" s="690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88</v>
      </c>
      <c r="Q404" s="689"/>
      <c r="R404" s="689"/>
      <c r="S404" s="689"/>
      <c r="T404" s="689"/>
      <c r="U404" s="689"/>
      <c r="V404" s="690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175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640</v>
      </c>
      <c r="B406" s="54" t="s">
        <v>641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15" t="s">
        <v>642</v>
      </c>
      <c r="Q406" s="674"/>
      <c r="R406" s="674"/>
      <c r="S406" s="674"/>
      <c r="T406" s="675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88</v>
      </c>
      <c r="Q407" s="689"/>
      <c r="R407" s="689"/>
      <c r="S407" s="689"/>
      <c r="T407" s="689"/>
      <c r="U407" s="689"/>
      <c r="V407" s="690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88</v>
      </c>
      <c r="Q408" s="689"/>
      <c r="R408" s="689"/>
      <c r="S408" s="689"/>
      <c r="T408" s="689"/>
      <c r="U408" s="689"/>
      <c r="V408" s="690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685" t="s">
        <v>644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98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645</v>
      </c>
      <c r="B411" s="54" t="s">
        <v>646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645</v>
      </c>
      <c r="B412" s="54" t="s">
        <v>648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650</v>
      </c>
      <c r="B413" s="54" t="s">
        <v>651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655</v>
      </c>
      <c r="B415" s="54" t="s">
        <v>656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88</v>
      </c>
      <c r="Q416" s="689"/>
      <c r="R416" s="689"/>
      <c r="S416" s="689"/>
      <c r="T416" s="689"/>
      <c r="U416" s="689"/>
      <c r="V416" s="690"/>
      <c r="W416" s="37" t="s">
        <v>89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88</v>
      </c>
      <c r="Q417" s="689"/>
      <c r="R417" s="689"/>
      <c r="S417" s="689"/>
      <c r="T417" s="689"/>
      <c r="U417" s="689"/>
      <c r="V417" s="690"/>
      <c r="W417" s="37" t="s">
        <v>69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149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657</v>
      </c>
      <c r="B419" s="54" t="s">
        <v>658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88</v>
      </c>
      <c r="Q420" s="689"/>
      <c r="R420" s="689"/>
      <c r="S420" s="689"/>
      <c r="T420" s="689"/>
      <c r="U420" s="689"/>
      <c r="V420" s="690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88</v>
      </c>
      <c r="Q421" s="689"/>
      <c r="R421" s="689"/>
      <c r="S421" s="689"/>
      <c r="T421" s="689"/>
      <c r="U421" s="689"/>
      <c r="V421" s="690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64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69</v>
      </c>
      <c r="X423" s="667">
        <v>150</v>
      </c>
      <c r="Y423" s="668">
        <f>IFERROR(IF(X423="",0,CEILING((X423/$H423),1)*$H423),"")</f>
        <v>153</v>
      </c>
      <c r="Z423" s="36">
        <f>IFERROR(IF(Y423=0,"",ROUNDUP(Y423/H423,0)*0.01898),"")</f>
        <v>0.32266</v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158.64999999999998</v>
      </c>
      <c r="BN423" s="64">
        <f>IFERROR(Y423*I423/H423,"0")</f>
        <v>161.82299999999998</v>
      </c>
      <c r="BO423" s="64">
        <f>IFERROR(1/J423*(X423/H423),"0")</f>
        <v>0.26041666666666669</v>
      </c>
      <c r="BP423" s="64">
        <f>IFERROR(1/J423*(Y423/H423),"0")</f>
        <v>0.265625</v>
      </c>
    </row>
    <row r="424" spans="1:68" ht="27" customHeight="1" x14ac:dyDescent="0.25">
      <c r="A424" s="54" t="s">
        <v>663</v>
      </c>
      <c r="B424" s="54" t="s">
        <v>664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69</v>
      </c>
      <c r="X424" s="667">
        <v>72</v>
      </c>
      <c r="Y424" s="668">
        <f>IFERROR(IF(X424="",0,CEILING((X424/$H424),1)*$H424),"")</f>
        <v>72</v>
      </c>
      <c r="Z424" s="36">
        <f>IFERROR(IF(Y424=0,"",ROUNDUP(Y424/H424,0)*0.00651),"")</f>
        <v>0.1953</v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79.920000000000016</v>
      </c>
      <c r="BN424" s="64">
        <f>IFERROR(Y424*I424/H424,"0")</f>
        <v>79.920000000000016</v>
      </c>
      <c r="BO424" s="64">
        <f>IFERROR(1/J424*(X424/H424),"0")</f>
        <v>0.16483516483516486</v>
      </c>
      <c r="BP424" s="64">
        <f>IFERROR(1/J424*(Y424/H424),"0")</f>
        <v>0.16483516483516486</v>
      </c>
    </row>
    <row r="425" spans="1:68" ht="27" customHeight="1" x14ac:dyDescent="0.25">
      <c r="A425" s="54" t="s">
        <v>663</v>
      </c>
      <c r="B425" s="54" t="s">
        <v>666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667</v>
      </c>
      <c r="B426" s="54" t="s">
        <v>668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88</v>
      </c>
      <c r="Q427" s="689"/>
      <c r="R427" s="689"/>
      <c r="S427" s="689"/>
      <c r="T427" s="689"/>
      <c r="U427" s="689"/>
      <c r="V427" s="690"/>
      <c r="W427" s="37" t="s">
        <v>89</v>
      </c>
      <c r="X427" s="669">
        <f>IFERROR(X423/H423,"0")+IFERROR(X424/H424,"0")+IFERROR(X425/H425,"0")+IFERROR(X426/H426,"0")</f>
        <v>46.666666666666671</v>
      </c>
      <c r="Y427" s="669">
        <f>IFERROR(Y423/H423,"0")+IFERROR(Y424/H424,"0")+IFERROR(Y425/H425,"0")+IFERROR(Y426/H426,"0")</f>
        <v>47</v>
      </c>
      <c r="Z427" s="669">
        <f>IFERROR(IF(Z423="",0,Z423),"0")+IFERROR(IF(Z424="",0,Z424),"0")+IFERROR(IF(Z425="",0,Z425),"0")+IFERROR(IF(Z426="",0,Z426),"0")</f>
        <v>0.51795999999999998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88</v>
      </c>
      <c r="Q428" s="689"/>
      <c r="R428" s="689"/>
      <c r="S428" s="689"/>
      <c r="T428" s="689"/>
      <c r="U428" s="689"/>
      <c r="V428" s="690"/>
      <c r="W428" s="37" t="s">
        <v>69</v>
      </c>
      <c r="X428" s="669">
        <f>IFERROR(SUM(X423:X426),"0")</f>
        <v>222</v>
      </c>
      <c r="Y428" s="669">
        <f>IFERROR(SUM(Y423:Y426),"0")</f>
        <v>225</v>
      </c>
      <c r="Z428" s="37"/>
      <c r="AA428" s="670"/>
      <c r="AB428" s="670"/>
      <c r="AC428" s="670"/>
    </row>
    <row r="429" spans="1:68" ht="14.25" customHeight="1" x14ac:dyDescent="0.25">
      <c r="A429" s="684" t="s">
        <v>175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670</v>
      </c>
      <c r="B430" s="54" t="s">
        <v>671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6" t="s">
        <v>672</v>
      </c>
      <c r="Q430" s="674"/>
      <c r="R430" s="674"/>
      <c r="S430" s="674"/>
      <c r="T430" s="675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88</v>
      </c>
      <c r="Q431" s="689"/>
      <c r="R431" s="689"/>
      <c r="S431" s="689"/>
      <c r="T431" s="689"/>
      <c r="U431" s="689"/>
      <c r="V431" s="690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88</v>
      </c>
      <c r="Q432" s="689"/>
      <c r="R432" s="689"/>
      <c r="S432" s="689"/>
      <c r="T432" s="689"/>
      <c r="U432" s="689"/>
      <c r="V432" s="690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674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675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149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676</v>
      </c>
      <c r="B436" s="54" t="s">
        <v>677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31" t="s">
        <v>678</v>
      </c>
      <c r="Q436" s="674"/>
      <c r="R436" s="674"/>
      <c r="S436" s="674"/>
      <c r="T436" s="675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4301031382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77" t="s">
        <v>682</v>
      </c>
      <c r="Q437" s="674"/>
      <c r="R437" s="674"/>
      <c r="S437" s="674"/>
      <c r="T437" s="675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680</v>
      </c>
      <c r="B438" s="54" t="s">
        <v>684</v>
      </c>
      <c r="C438" s="31">
        <v>4301031406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59" t="s">
        <v>682</v>
      </c>
      <c r="Q438" s="674"/>
      <c r="R438" s="674"/>
      <c r="S438" s="674"/>
      <c r="T438" s="675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685</v>
      </c>
      <c r="B439" s="54" t="s">
        <v>686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15" t="s">
        <v>687</v>
      </c>
      <c r="Q439" s="674"/>
      <c r="R439" s="674"/>
      <c r="S439" s="674"/>
      <c r="T439" s="675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4301031335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4"/>
      <c r="R440" s="674"/>
      <c r="S440" s="674"/>
      <c r="T440" s="675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689</v>
      </c>
      <c r="B441" s="54" t="s">
        <v>691</v>
      </c>
      <c r="C441" s="31">
        <v>4301031366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8" t="s">
        <v>692</v>
      </c>
      <c r="Q441" s="674"/>
      <c r="R441" s="674"/>
      <c r="S441" s="674"/>
      <c r="T441" s="675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69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698</v>
      </c>
      <c r="B444" s="54" t="s">
        <v>699</v>
      </c>
      <c r="C444" s="31">
        <v>4301031337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5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4"/>
      <c r="R444" s="674"/>
      <c r="S444" s="674"/>
      <c r="T444" s="675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698</v>
      </c>
      <c r="B445" s="54" t="s">
        <v>701</v>
      </c>
      <c r="C445" s="31">
        <v>4301031364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723" t="s">
        <v>702</v>
      </c>
      <c r="Q445" s="674"/>
      <c r="R445" s="674"/>
      <c r="S445" s="674"/>
      <c r="T445" s="675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706</v>
      </c>
      <c r="B447" s="54" t="s">
        <v>707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88</v>
      </c>
      <c r="Q448" s="689"/>
      <c r="R448" s="689"/>
      <c r="S448" s="689"/>
      <c r="T448" s="689"/>
      <c r="U448" s="689"/>
      <c r="V448" s="690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88</v>
      </c>
      <c r="Q449" s="689"/>
      <c r="R449" s="689"/>
      <c r="S449" s="689"/>
      <c r="T449" s="689"/>
      <c r="U449" s="689"/>
      <c r="V449" s="690"/>
      <c r="W449" s="37" t="s">
        <v>69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customHeight="1" x14ac:dyDescent="0.25">
      <c r="A450" s="684" t="s">
        <v>64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708</v>
      </c>
      <c r="B451" s="54" t="s">
        <v>709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711</v>
      </c>
      <c r="B452" s="54" t="s">
        <v>712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88</v>
      </c>
      <c r="Q453" s="689"/>
      <c r="R453" s="689"/>
      <c r="S453" s="689"/>
      <c r="T453" s="689"/>
      <c r="U453" s="689"/>
      <c r="V453" s="690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88</v>
      </c>
      <c r="Q454" s="689"/>
      <c r="R454" s="689"/>
      <c r="S454" s="689"/>
      <c r="T454" s="689"/>
      <c r="U454" s="689"/>
      <c r="V454" s="690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714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138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715</v>
      </c>
      <c r="B457" s="54" t="s">
        <v>716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718</v>
      </c>
      <c r="B458" s="54" t="s">
        <v>719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88</v>
      </c>
      <c r="Q459" s="689"/>
      <c r="R459" s="689"/>
      <c r="S459" s="689"/>
      <c r="T459" s="689"/>
      <c r="U459" s="689"/>
      <c r="V459" s="690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88</v>
      </c>
      <c r="Q460" s="689"/>
      <c r="R460" s="689"/>
      <c r="S460" s="689"/>
      <c r="T460" s="689"/>
      <c r="U460" s="689"/>
      <c r="V460" s="690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149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721</v>
      </c>
      <c r="B462" s="54" t="s">
        <v>722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5" t="s">
        <v>723</v>
      </c>
      <c r="Q462" s="674"/>
      <c r="R462" s="674"/>
      <c r="S462" s="674"/>
      <c r="T462" s="675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725</v>
      </c>
      <c r="B463" s="54" t="s">
        <v>726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728</v>
      </c>
      <c r="B464" s="54" t="s">
        <v>729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66" t="s">
        <v>730</v>
      </c>
      <c r="Q464" s="674"/>
      <c r="R464" s="674"/>
      <c r="S464" s="674"/>
      <c r="T464" s="675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88</v>
      </c>
      <c r="Q466" s="689"/>
      <c r="R466" s="689"/>
      <c r="S466" s="689"/>
      <c r="T466" s="689"/>
      <c r="U466" s="689"/>
      <c r="V466" s="690"/>
      <c r="W466" s="37" t="s">
        <v>89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88</v>
      </c>
      <c r="Q467" s="689"/>
      <c r="R467" s="689"/>
      <c r="S467" s="689"/>
      <c r="T467" s="689"/>
      <c r="U467" s="689"/>
      <c r="V467" s="690"/>
      <c r="W467" s="37" t="s">
        <v>69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685" t="s">
        <v>734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735</v>
      </c>
      <c r="B470" s="54" t="s">
        <v>736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60" t="s">
        <v>740</v>
      </c>
      <c r="Q471" s="674"/>
      <c r="R471" s="674"/>
      <c r="S471" s="674"/>
      <c r="T471" s="675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88</v>
      </c>
      <c r="Q472" s="689"/>
      <c r="R472" s="689"/>
      <c r="S472" s="689"/>
      <c r="T472" s="689"/>
      <c r="U472" s="689"/>
      <c r="V472" s="690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88</v>
      </c>
      <c r="Q473" s="689"/>
      <c r="R473" s="689"/>
      <c r="S473" s="689"/>
      <c r="T473" s="689"/>
      <c r="U473" s="689"/>
      <c r="V473" s="690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742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149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743</v>
      </c>
      <c r="B476" s="54" t="s">
        <v>744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88</v>
      </c>
      <c r="Q477" s="689"/>
      <c r="R477" s="689"/>
      <c r="S477" s="689"/>
      <c r="T477" s="689"/>
      <c r="U477" s="689"/>
      <c r="V477" s="690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88</v>
      </c>
      <c r="Q478" s="689"/>
      <c r="R478" s="689"/>
      <c r="S478" s="689"/>
      <c r="T478" s="689"/>
      <c r="U478" s="689"/>
      <c r="V478" s="690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175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746</v>
      </c>
      <c r="B480" s="54" t="s">
        <v>747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88</v>
      </c>
      <c r="Q481" s="689"/>
      <c r="R481" s="689"/>
      <c r="S481" s="689"/>
      <c r="T481" s="689"/>
      <c r="U481" s="689"/>
      <c r="V481" s="690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88</v>
      </c>
      <c r="Q482" s="689"/>
      <c r="R482" s="689"/>
      <c r="S482" s="689"/>
      <c r="T482" s="689"/>
      <c r="U482" s="689"/>
      <c r="V482" s="690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749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749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98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753</v>
      </c>
      <c r="B487" s="54" t="s">
        <v>754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69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759</v>
      </c>
      <c r="B489" s="54" t="s">
        <v>760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69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customHeight="1" x14ac:dyDescent="0.25">
      <c r="A491" s="54" t="s">
        <v>765</v>
      </c>
      <c r="B491" s="54" t="s">
        <v>766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768</v>
      </c>
      <c r="B492" s="54" t="s">
        <v>769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83" t="s">
        <v>770</v>
      </c>
      <c r="Q492" s="674"/>
      <c r="R492" s="674"/>
      <c r="S492" s="674"/>
      <c r="T492" s="675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4301012035</v>
      </c>
      <c r="D493" s="671">
        <v>4680115880603</v>
      </c>
      <c r="E493" s="672"/>
      <c r="F493" s="666">
        <v>0.6</v>
      </c>
      <c r="G493" s="32">
        <v>8</v>
      </c>
      <c r="H493" s="666">
        <v>4.8</v>
      </c>
      <c r="I493" s="666">
        <v>6.93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74"/>
      <c r="R493" s="674"/>
      <c r="S493" s="674"/>
      <c r="T493" s="675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771</v>
      </c>
      <c r="B494" s="54" t="s">
        <v>773</v>
      </c>
      <c r="C494" s="31">
        <v>4301011778</v>
      </c>
      <c r="D494" s="671">
        <v>4680115880603</v>
      </c>
      <c r="E494" s="672"/>
      <c r="F494" s="666">
        <v>0.6</v>
      </c>
      <c r="G494" s="32">
        <v>6</v>
      </c>
      <c r="H494" s="666">
        <v>3.6</v>
      </c>
      <c r="I494" s="666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74"/>
      <c r="R494" s="674"/>
      <c r="S494" s="674"/>
      <c r="T494" s="675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774</v>
      </c>
      <c r="B495" s="54" t="s">
        <v>775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776</v>
      </c>
      <c r="B496" s="54" t="s">
        <v>777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57" t="s">
        <v>778</v>
      </c>
      <c r="Q496" s="674"/>
      <c r="R496" s="674"/>
      <c r="S496" s="674"/>
      <c r="T496" s="675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779</v>
      </c>
      <c r="B497" s="54" t="s">
        <v>780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20" t="s">
        <v>781</v>
      </c>
      <c r="Q497" s="674"/>
      <c r="R497" s="674"/>
      <c r="S497" s="674"/>
      <c r="T497" s="675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782</v>
      </c>
      <c r="B498" s="54" t="s">
        <v>783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796" t="s">
        <v>784</v>
      </c>
      <c r="Q498" s="674"/>
      <c r="R498" s="674"/>
      <c r="S498" s="674"/>
      <c r="T498" s="675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4301012034</v>
      </c>
      <c r="D499" s="671">
        <v>4607091389982</v>
      </c>
      <c r="E499" s="672"/>
      <c r="F499" s="666">
        <v>0.6</v>
      </c>
      <c r="G499" s="32">
        <v>8</v>
      </c>
      <c r="H499" s="666">
        <v>4.8</v>
      </c>
      <c r="I499" s="666">
        <v>6.96</v>
      </c>
      <c r="J499" s="32">
        <v>120</v>
      </c>
      <c r="K499" s="32" t="s">
        <v>106</v>
      </c>
      <c r="L499" s="32"/>
      <c r="M499" s="33" t="s">
        <v>102</v>
      </c>
      <c r="N499" s="33"/>
      <c r="O499" s="32">
        <v>60</v>
      </c>
      <c r="P499" s="10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IFERROR(IF(Y499=0,"",ROUNDUP(Y499/H499,0)*0.00937),"")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785</v>
      </c>
      <c r="B500" s="54" t="s">
        <v>787</v>
      </c>
      <c r="C500" s="31">
        <v>4301011784</v>
      </c>
      <c r="D500" s="671">
        <v>4607091389982</v>
      </c>
      <c r="E500" s="672"/>
      <c r="F500" s="666">
        <v>0.6</v>
      </c>
      <c r="G500" s="32">
        <v>6</v>
      </c>
      <c r="H500" s="666">
        <v>3.6</v>
      </c>
      <c r="I500" s="666">
        <v>3.81</v>
      </c>
      <c r="J500" s="32">
        <v>132</v>
      </c>
      <c r="K500" s="32" t="s">
        <v>106</v>
      </c>
      <c r="L500" s="32"/>
      <c r="M500" s="33" t="s">
        <v>102</v>
      </c>
      <c r="N500" s="33"/>
      <c r="O500" s="32">
        <v>60</v>
      </c>
      <c r="P500" s="105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IFERROR(IF(Y500=0,"",ROUNDUP(Y500/H500,0)*0.00902),"")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788</v>
      </c>
      <c r="B501" s="54" t="s">
        <v>789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88</v>
      </c>
      <c r="Q502" s="689"/>
      <c r="R502" s="689"/>
      <c r="S502" s="689"/>
      <c r="T502" s="689"/>
      <c r="U502" s="689"/>
      <c r="V502" s="690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88</v>
      </c>
      <c r="Q503" s="689"/>
      <c r="R503" s="689"/>
      <c r="S503" s="689"/>
      <c r="T503" s="689"/>
      <c r="U503" s="689"/>
      <c r="V503" s="690"/>
      <c r="W503" s="37" t="s">
        <v>69</v>
      </c>
      <c r="X503" s="669">
        <f>IFERROR(SUM(X486:X501),"0")</f>
        <v>0</v>
      </c>
      <c r="Y503" s="669">
        <f>IFERROR(SUM(Y486:Y501),"0")</f>
        <v>0</v>
      </c>
      <c r="Z503" s="37"/>
      <c r="AA503" s="670"/>
      <c r="AB503" s="670"/>
      <c r="AC503" s="670"/>
    </row>
    <row r="504" spans="1:68" ht="14.25" customHeight="1" x14ac:dyDescent="0.25">
      <c r="A504" s="684" t="s">
        <v>138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790</v>
      </c>
      <c r="B505" s="54" t="s">
        <v>791</v>
      </c>
      <c r="C505" s="31">
        <v>4301020334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108</v>
      </c>
      <c r="N505" s="33"/>
      <c r="O505" s="32">
        <v>70</v>
      </c>
      <c r="P505" s="1049" t="s">
        <v>792</v>
      </c>
      <c r="Q505" s="674"/>
      <c r="R505" s="674"/>
      <c r="S505" s="674"/>
      <c r="T505" s="675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793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790</v>
      </c>
      <c r="B506" s="54" t="s">
        <v>794</v>
      </c>
      <c r="C506" s="31">
        <v>4301020222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55</v>
      </c>
      <c r="P506" s="90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74"/>
      <c r="R506" s="674"/>
      <c r="S506" s="674"/>
      <c r="T506" s="675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796</v>
      </c>
      <c r="B507" s="54" t="s">
        <v>797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50" t="s">
        <v>798</v>
      </c>
      <c r="Q507" s="674"/>
      <c r="R507" s="674"/>
      <c r="S507" s="674"/>
      <c r="T507" s="675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793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799</v>
      </c>
      <c r="B508" s="54" t="s">
        <v>800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64" t="s">
        <v>801</v>
      </c>
      <c r="Q508" s="674"/>
      <c r="R508" s="674"/>
      <c r="S508" s="674"/>
      <c r="T508" s="675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793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88</v>
      </c>
      <c r="Q509" s="689"/>
      <c r="R509" s="689"/>
      <c r="S509" s="689"/>
      <c r="T509" s="689"/>
      <c r="U509" s="689"/>
      <c r="V509" s="690"/>
      <c r="W509" s="37" t="s">
        <v>89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88</v>
      </c>
      <c r="Q510" s="689"/>
      <c r="R510" s="689"/>
      <c r="S510" s="689"/>
      <c r="T510" s="689"/>
      <c r="U510" s="689"/>
      <c r="V510" s="690"/>
      <c r="W510" s="37" t="s">
        <v>69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customHeight="1" x14ac:dyDescent="0.25">
      <c r="A511" s="684" t="s">
        <v>149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22" t="s">
        <v>804</v>
      </c>
      <c r="Q512" s="674"/>
      <c r="R512" s="674"/>
      <c r="S512" s="674"/>
      <c r="T512" s="675"/>
      <c r="U512" s="34"/>
      <c r="V512" s="34"/>
      <c r="W512" s="35" t="s">
        <v>69</v>
      </c>
      <c r="X512" s="667">
        <v>20</v>
      </c>
      <c r="Y512" s="668">
        <f t="shared" ref="Y512:Y522" si="74">IFERROR(IF(X512="",0,CEILING((X512/$H512),1)*$H512),"")</f>
        <v>21.12</v>
      </c>
      <c r="Z512" s="36">
        <f>IFERROR(IF(Y512=0,"",ROUNDUP(Y512/H512,0)*0.01196),"")</f>
        <v>4.7840000000000001E-2</v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21.363636363636363</v>
      </c>
      <c r="BN512" s="64">
        <f t="shared" ref="BN512:BN522" si="76">IFERROR(Y512*I512/H512,"0")</f>
        <v>22.56</v>
      </c>
      <c r="BO512" s="64">
        <f t="shared" ref="BO512:BO522" si="77">IFERROR(1/J512*(X512/H512),"0")</f>
        <v>3.6421911421911424E-2</v>
      </c>
      <c r="BP512" s="64">
        <f t="shared" ref="BP512:BP522" si="78">IFERROR(1/J512*(Y512/H512),"0")</f>
        <v>3.8461538461538464E-2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3" t="s">
        <v>808</v>
      </c>
      <c r="Q513" s="674"/>
      <c r="R513" s="674"/>
      <c r="S513" s="674"/>
      <c r="T513" s="675"/>
      <c r="U513" s="34"/>
      <c r="V513" s="34"/>
      <c r="W513" s="35" t="s">
        <v>69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66" t="s">
        <v>812</v>
      </c>
      <c r="Q514" s="674"/>
      <c r="R514" s="674"/>
      <c r="S514" s="674"/>
      <c r="T514" s="675"/>
      <c r="U514" s="34"/>
      <c r="V514" s="34"/>
      <c r="W514" s="35" t="s">
        <v>69</v>
      </c>
      <c r="X514" s="667">
        <v>58</v>
      </c>
      <c r="Y514" s="668">
        <f t="shared" si="74"/>
        <v>58.080000000000005</v>
      </c>
      <c r="Z514" s="36">
        <f>IFERROR(IF(Y514=0,"",ROUNDUP(Y514/H514,0)*0.01196),"")</f>
        <v>0.13156000000000001</v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61.954545454545453</v>
      </c>
      <c r="BN514" s="64">
        <f t="shared" si="76"/>
        <v>62.040000000000006</v>
      </c>
      <c r="BO514" s="64">
        <f t="shared" si="77"/>
        <v>0.10562354312354312</v>
      </c>
      <c r="BP514" s="64">
        <f t="shared" si="78"/>
        <v>0.10576923076923078</v>
      </c>
    </row>
    <row r="515" spans="1:68" ht="27" customHeight="1" x14ac:dyDescent="0.25">
      <c r="A515" s="54" t="s">
        <v>814</v>
      </c>
      <c r="B515" s="54" t="s">
        <v>815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12" t="s">
        <v>816</v>
      </c>
      <c r="Q515" s="674"/>
      <c r="R515" s="674"/>
      <c r="S515" s="674"/>
      <c r="T515" s="675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4301031351</v>
      </c>
      <c r="D516" s="671">
        <v>4680115882072</v>
      </c>
      <c r="E516" s="672"/>
      <c r="F516" s="666">
        <v>0.6</v>
      </c>
      <c r="G516" s="32">
        <v>6</v>
      </c>
      <c r="H516" s="666">
        <v>3.6</v>
      </c>
      <c r="I516" s="666">
        <v>3.81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72" t="s">
        <v>819</v>
      </c>
      <c r="Q516" s="674"/>
      <c r="R516" s="674"/>
      <c r="S516" s="674"/>
      <c r="T516" s="675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817</v>
      </c>
      <c r="B517" s="54" t="s">
        <v>820</v>
      </c>
      <c r="C517" s="31">
        <v>4301031383</v>
      </c>
      <c r="D517" s="671">
        <v>4680115882072</v>
      </c>
      <c r="E517" s="672"/>
      <c r="F517" s="666">
        <v>0.6</v>
      </c>
      <c r="G517" s="32">
        <v>8</v>
      </c>
      <c r="H517" s="666">
        <v>4.8</v>
      </c>
      <c r="I517" s="666">
        <v>6.96</v>
      </c>
      <c r="J517" s="32">
        <v>120</v>
      </c>
      <c r="K517" s="32" t="s">
        <v>106</v>
      </c>
      <c r="L517" s="32"/>
      <c r="M517" s="33" t="s">
        <v>102</v>
      </c>
      <c r="N517" s="33"/>
      <c r="O517" s="32">
        <v>60</v>
      </c>
      <c r="P517" s="90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74"/>
      <c r="R517" s="674"/>
      <c r="S517" s="674"/>
      <c r="T517" s="675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IFERROR(IF(Y517=0,"",ROUNDUP(Y517/H517,0)*0.00937),"")</f>
        <v/>
      </c>
      <c r="AA517" s="56"/>
      <c r="AB517" s="57"/>
      <c r="AC517" s="577" t="s">
        <v>821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817</v>
      </c>
      <c r="B518" s="54" t="s">
        <v>822</v>
      </c>
      <c r="C518" s="31">
        <v>4301031419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6.93</v>
      </c>
      <c r="J518" s="32">
        <v>132</v>
      </c>
      <c r="K518" s="32" t="s">
        <v>106</v>
      </c>
      <c r="L518" s="32"/>
      <c r="M518" s="33" t="s">
        <v>102</v>
      </c>
      <c r="N518" s="33"/>
      <c r="O518" s="32">
        <v>70</v>
      </c>
      <c r="P518" s="694" t="s">
        <v>823</v>
      </c>
      <c r="Q518" s="674"/>
      <c r="R518" s="674"/>
      <c r="S518" s="674"/>
      <c r="T518" s="675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IFERROR(IF(Y518=0,"",ROUNDUP(Y518/H518,0)*0.00902),"")</f>
        <v/>
      </c>
      <c r="AA518" s="56"/>
      <c r="AB518" s="57"/>
      <c r="AC518" s="579" t="s">
        <v>805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44" t="s">
        <v>826</v>
      </c>
      <c r="Q519" s="674"/>
      <c r="R519" s="674"/>
      <c r="S519" s="674"/>
      <c r="T519" s="675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827</v>
      </c>
      <c r="B520" s="54" t="s">
        <v>828</v>
      </c>
      <c r="C520" s="31">
        <v>4301031384</v>
      </c>
      <c r="D520" s="671">
        <v>4680115882096</v>
      </c>
      <c r="E520" s="672"/>
      <c r="F520" s="666">
        <v>0.6</v>
      </c>
      <c r="G520" s="32">
        <v>8</v>
      </c>
      <c r="H520" s="666">
        <v>4.8</v>
      </c>
      <c r="I520" s="666">
        <v>6.69</v>
      </c>
      <c r="J520" s="32">
        <v>120</v>
      </c>
      <c r="K520" s="32" t="s">
        <v>106</v>
      </c>
      <c r="L520" s="32"/>
      <c r="M520" s="33" t="s">
        <v>68</v>
      </c>
      <c r="N520" s="33"/>
      <c r="O520" s="32">
        <v>60</v>
      </c>
      <c r="P520" s="70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74"/>
      <c r="R520" s="674"/>
      <c r="S520" s="674"/>
      <c r="T520" s="675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IFERROR(IF(Y520=0,"",ROUNDUP(Y520/H520,0)*0.00937),"")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827</v>
      </c>
      <c r="B521" s="54" t="s">
        <v>829</v>
      </c>
      <c r="C521" s="31">
        <v>4301031253</v>
      </c>
      <c r="D521" s="671">
        <v>4680115882096</v>
      </c>
      <c r="E521" s="672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2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4"/>
      <c r="R521" s="674"/>
      <c r="S521" s="674"/>
      <c r="T521" s="675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830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827</v>
      </c>
      <c r="B522" s="54" t="s">
        <v>831</v>
      </c>
      <c r="C522" s="31">
        <v>4301031417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132</v>
      </c>
      <c r="K522" s="32" t="s">
        <v>106</v>
      </c>
      <c r="L522" s="32"/>
      <c r="M522" s="33" t="s">
        <v>68</v>
      </c>
      <c r="N522" s="33"/>
      <c r="O522" s="32">
        <v>70</v>
      </c>
      <c r="P522" s="743" t="s">
        <v>832</v>
      </c>
      <c r="Q522" s="674"/>
      <c r="R522" s="674"/>
      <c r="S522" s="674"/>
      <c r="T522" s="675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IFERROR(IF(Y522=0,"",ROUNDUP(Y522/H522,0)*0.00902),"")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88</v>
      </c>
      <c r="Q523" s="689"/>
      <c r="R523" s="689"/>
      <c r="S523" s="689"/>
      <c r="T523" s="689"/>
      <c r="U523" s="689"/>
      <c r="V523" s="690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14.772727272727272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15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0.1794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88</v>
      </c>
      <c r="Q524" s="689"/>
      <c r="R524" s="689"/>
      <c r="S524" s="689"/>
      <c r="T524" s="689"/>
      <c r="U524" s="689"/>
      <c r="V524" s="690"/>
      <c r="W524" s="37" t="s">
        <v>69</v>
      </c>
      <c r="X524" s="669">
        <f>IFERROR(SUM(X512:X522),"0")</f>
        <v>78</v>
      </c>
      <c r="Y524" s="669">
        <f>IFERROR(SUM(Y512:Y522),"0")</f>
        <v>79.2</v>
      </c>
      <c r="Z524" s="37"/>
      <c r="AA524" s="670"/>
      <c r="AB524" s="670"/>
      <c r="AC524" s="670"/>
    </row>
    <row r="525" spans="1:68" ht="14.25" customHeight="1" x14ac:dyDescent="0.25">
      <c r="A525" s="684" t="s">
        <v>64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833</v>
      </c>
      <c r="B526" s="54" t="s">
        <v>834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836</v>
      </c>
      <c r="B527" s="54" t="s">
        <v>837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88</v>
      </c>
      <c r="Q529" s="689"/>
      <c r="R529" s="689"/>
      <c r="S529" s="689"/>
      <c r="T529" s="689"/>
      <c r="U529" s="689"/>
      <c r="V529" s="690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88</v>
      </c>
      <c r="Q530" s="689"/>
      <c r="R530" s="689"/>
      <c r="S530" s="689"/>
      <c r="T530" s="689"/>
      <c r="U530" s="689"/>
      <c r="V530" s="690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175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842</v>
      </c>
      <c r="B532" s="54" t="s">
        <v>843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06" t="s">
        <v>844</v>
      </c>
      <c r="Q532" s="674"/>
      <c r="R532" s="674"/>
      <c r="S532" s="674"/>
      <c r="T532" s="675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88</v>
      </c>
      <c r="Q533" s="689"/>
      <c r="R533" s="689"/>
      <c r="S533" s="689"/>
      <c r="T533" s="689"/>
      <c r="U533" s="689"/>
      <c r="V533" s="690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88</v>
      </c>
      <c r="Q534" s="689"/>
      <c r="R534" s="689"/>
      <c r="S534" s="689"/>
      <c r="T534" s="689"/>
      <c r="U534" s="689"/>
      <c r="V534" s="690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846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846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98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847</v>
      </c>
      <c r="B538" s="54" t="s">
        <v>848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91" t="s">
        <v>849</v>
      </c>
      <c r="Q538" s="674"/>
      <c r="R538" s="674"/>
      <c r="S538" s="674"/>
      <c r="T538" s="675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851</v>
      </c>
      <c r="B539" s="54" t="s">
        <v>852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0" t="s">
        <v>853</v>
      </c>
      <c r="Q539" s="674"/>
      <c r="R539" s="674"/>
      <c r="S539" s="674"/>
      <c r="T539" s="675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855</v>
      </c>
      <c r="B540" s="54" t="s">
        <v>856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7" t="s">
        <v>857</v>
      </c>
      <c r="Q540" s="674"/>
      <c r="R540" s="674"/>
      <c r="S540" s="674"/>
      <c r="T540" s="675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859</v>
      </c>
      <c r="B541" s="54" t="s">
        <v>860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32" t="s">
        <v>861</v>
      </c>
      <c r="Q541" s="674"/>
      <c r="R541" s="674"/>
      <c r="S541" s="674"/>
      <c r="T541" s="675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863</v>
      </c>
      <c r="B542" s="54" t="s">
        <v>864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62" t="s">
        <v>865</v>
      </c>
      <c r="Q542" s="674"/>
      <c r="R542" s="674"/>
      <c r="S542" s="674"/>
      <c r="T542" s="675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866</v>
      </c>
      <c r="B543" s="54" t="s">
        <v>867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73" t="s">
        <v>868</v>
      </c>
      <c r="Q543" s="674"/>
      <c r="R543" s="674"/>
      <c r="S543" s="674"/>
      <c r="T543" s="675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88</v>
      </c>
      <c r="Q544" s="689"/>
      <c r="R544" s="689"/>
      <c r="S544" s="689"/>
      <c r="T544" s="689"/>
      <c r="U544" s="689"/>
      <c r="V544" s="690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88</v>
      </c>
      <c r="Q545" s="689"/>
      <c r="R545" s="689"/>
      <c r="S545" s="689"/>
      <c r="T545" s="689"/>
      <c r="U545" s="689"/>
      <c r="V545" s="690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138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869</v>
      </c>
      <c r="B547" s="54" t="s">
        <v>870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75" t="s">
        <v>871</v>
      </c>
      <c r="Q547" s="674"/>
      <c r="R547" s="674"/>
      <c r="S547" s="674"/>
      <c r="T547" s="675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869</v>
      </c>
      <c r="B548" s="54" t="s">
        <v>873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795" t="s">
        <v>874</v>
      </c>
      <c r="Q548" s="674"/>
      <c r="R548" s="674"/>
      <c r="S548" s="674"/>
      <c r="T548" s="675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876</v>
      </c>
      <c r="B549" s="54" t="s">
        <v>877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10" t="s">
        <v>878</v>
      </c>
      <c r="Q549" s="674"/>
      <c r="R549" s="674"/>
      <c r="S549" s="674"/>
      <c r="T549" s="675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879</v>
      </c>
      <c r="B550" s="54" t="s">
        <v>880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38" t="s">
        <v>881</v>
      </c>
      <c r="Q550" s="674"/>
      <c r="R550" s="674"/>
      <c r="S550" s="674"/>
      <c r="T550" s="675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883</v>
      </c>
      <c r="B551" s="54" t="s">
        <v>884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7" t="s">
        <v>885</v>
      </c>
      <c r="Q551" s="674"/>
      <c r="R551" s="674"/>
      <c r="S551" s="674"/>
      <c r="T551" s="675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88</v>
      </c>
      <c r="Q552" s="689"/>
      <c r="R552" s="689"/>
      <c r="S552" s="689"/>
      <c r="T552" s="689"/>
      <c r="U552" s="689"/>
      <c r="V552" s="690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88</v>
      </c>
      <c r="Q553" s="689"/>
      <c r="R553" s="689"/>
      <c r="S553" s="689"/>
      <c r="T553" s="689"/>
      <c r="U553" s="689"/>
      <c r="V553" s="690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149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886</v>
      </c>
      <c r="B555" s="54" t="s">
        <v>887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62" t="s">
        <v>888</v>
      </c>
      <c r="Q555" s="674"/>
      <c r="R555" s="674"/>
      <c r="S555" s="674"/>
      <c r="T555" s="675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890</v>
      </c>
      <c r="B556" s="54" t="s">
        <v>891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85" t="s">
        <v>892</v>
      </c>
      <c r="Q556" s="674"/>
      <c r="R556" s="674"/>
      <c r="S556" s="674"/>
      <c r="T556" s="675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894</v>
      </c>
      <c r="B557" s="54" t="s">
        <v>895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67" t="s">
        <v>896</v>
      </c>
      <c r="Q557" s="674"/>
      <c r="R557" s="674"/>
      <c r="S557" s="674"/>
      <c r="T557" s="675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898</v>
      </c>
      <c r="B558" s="54" t="s">
        <v>899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9" t="s">
        <v>900</v>
      </c>
      <c r="Q558" s="674"/>
      <c r="R558" s="674"/>
      <c r="S558" s="674"/>
      <c r="T558" s="675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902</v>
      </c>
      <c r="B559" s="54" t="s">
        <v>903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7" t="s">
        <v>904</v>
      </c>
      <c r="Q559" s="674"/>
      <c r="R559" s="674"/>
      <c r="S559" s="674"/>
      <c r="T559" s="675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906</v>
      </c>
      <c r="B560" s="54" t="s">
        <v>907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9" t="s">
        <v>908</v>
      </c>
      <c r="Q560" s="674"/>
      <c r="R560" s="674"/>
      <c r="S560" s="674"/>
      <c r="T560" s="675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909</v>
      </c>
      <c r="B561" s="54" t="s">
        <v>910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12" t="s">
        <v>911</v>
      </c>
      <c r="Q561" s="674"/>
      <c r="R561" s="674"/>
      <c r="S561" s="674"/>
      <c r="T561" s="675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88</v>
      </c>
      <c r="Q562" s="689"/>
      <c r="R562" s="689"/>
      <c r="S562" s="689"/>
      <c r="T562" s="689"/>
      <c r="U562" s="689"/>
      <c r="V562" s="690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88</v>
      </c>
      <c r="Q563" s="689"/>
      <c r="R563" s="689"/>
      <c r="S563" s="689"/>
      <c r="T563" s="689"/>
      <c r="U563" s="689"/>
      <c r="V563" s="690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64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912</v>
      </c>
      <c r="B565" s="54" t="s">
        <v>913</v>
      </c>
      <c r="C565" s="31">
        <v>4301051887</v>
      </c>
      <c r="D565" s="671">
        <v>4640242180533</v>
      </c>
      <c r="E565" s="672"/>
      <c r="F565" s="666">
        <v>1.3</v>
      </c>
      <c r="G565" s="32">
        <v>6</v>
      </c>
      <c r="H565" s="666">
        <v>7.8</v>
      </c>
      <c r="I565" s="666">
        <v>8.3190000000000008</v>
      </c>
      <c r="J565" s="32">
        <v>64</v>
      </c>
      <c r="K565" s="32" t="s">
        <v>101</v>
      </c>
      <c r="L565" s="32"/>
      <c r="M565" s="33" t="s">
        <v>108</v>
      </c>
      <c r="N565" s="33"/>
      <c r="O565" s="32">
        <v>45</v>
      </c>
      <c r="P565" s="744" t="s">
        <v>914</v>
      </c>
      <c r="Q565" s="674"/>
      <c r="R565" s="674"/>
      <c r="S565" s="674"/>
      <c r="T565" s="675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912</v>
      </c>
      <c r="B566" s="54" t="s">
        <v>916</v>
      </c>
      <c r="C566" s="31">
        <v>4301052046</v>
      </c>
      <c r="D566" s="671">
        <v>4640242180533</v>
      </c>
      <c r="E566" s="672"/>
      <c r="F566" s="666">
        <v>1.5</v>
      </c>
      <c r="G566" s="32">
        <v>6</v>
      </c>
      <c r="H566" s="666">
        <v>9</v>
      </c>
      <c r="I566" s="666">
        <v>9.5190000000000001</v>
      </c>
      <c r="J566" s="32">
        <v>64</v>
      </c>
      <c r="K566" s="32" t="s">
        <v>101</v>
      </c>
      <c r="L566" s="32"/>
      <c r="M566" s="33" t="s">
        <v>134</v>
      </c>
      <c r="N566" s="33"/>
      <c r="O566" s="32">
        <v>45</v>
      </c>
      <c r="P566" s="903" t="s">
        <v>914</v>
      </c>
      <c r="Q566" s="674"/>
      <c r="R566" s="674"/>
      <c r="S566" s="674"/>
      <c r="T566" s="675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917</v>
      </c>
      <c r="B567" s="54" t="s">
        <v>918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5" t="s">
        <v>919</v>
      </c>
      <c r="Q567" s="674"/>
      <c r="R567" s="674"/>
      <c r="S567" s="674"/>
      <c r="T567" s="675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921</v>
      </c>
      <c r="B568" s="54" t="s">
        <v>922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21" t="s">
        <v>923</v>
      </c>
      <c r="Q568" s="674"/>
      <c r="R568" s="674"/>
      <c r="S568" s="674"/>
      <c r="T568" s="675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924</v>
      </c>
      <c r="B569" s="54" t="s">
        <v>925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50" t="s">
        <v>926</v>
      </c>
      <c r="Q569" s="674"/>
      <c r="R569" s="674"/>
      <c r="S569" s="674"/>
      <c r="T569" s="675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88</v>
      </c>
      <c r="Q570" s="689"/>
      <c r="R570" s="689"/>
      <c r="S570" s="689"/>
      <c r="T570" s="689"/>
      <c r="U570" s="689"/>
      <c r="V570" s="690"/>
      <c r="W570" s="37" t="s">
        <v>89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88</v>
      </c>
      <c r="Q571" s="689"/>
      <c r="R571" s="689"/>
      <c r="S571" s="689"/>
      <c r="T571" s="689"/>
      <c r="U571" s="689"/>
      <c r="V571" s="690"/>
      <c r="W571" s="37" t="s">
        <v>69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175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927</v>
      </c>
      <c r="B573" s="54" t="s">
        <v>928</v>
      </c>
      <c r="C573" s="31">
        <v>4301060485</v>
      </c>
      <c r="D573" s="671">
        <v>4640242180120</v>
      </c>
      <c r="E573" s="672"/>
      <c r="F573" s="666">
        <v>1.3</v>
      </c>
      <c r="G573" s="32">
        <v>6</v>
      </c>
      <c r="H573" s="666">
        <v>7.8</v>
      </c>
      <c r="I573" s="666">
        <v>8.2349999999999994</v>
      </c>
      <c r="J573" s="32">
        <v>64</v>
      </c>
      <c r="K573" s="32" t="s">
        <v>101</v>
      </c>
      <c r="L573" s="32"/>
      <c r="M573" s="33" t="s">
        <v>108</v>
      </c>
      <c r="N573" s="33"/>
      <c r="O573" s="32">
        <v>40</v>
      </c>
      <c r="P573" s="767" t="s">
        <v>929</v>
      </c>
      <c r="Q573" s="674"/>
      <c r="R573" s="674"/>
      <c r="S573" s="674"/>
      <c r="T573" s="675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927</v>
      </c>
      <c r="B574" s="54" t="s">
        <v>931</v>
      </c>
      <c r="C574" s="31">
        <v>4301060496</v>
      </c>
      <c r="D574" s="671">
        <v>4640242180120</v>
      </c>
      <c r="E574" s="672"/>
      <c r="F574" s="666">
        <v>1.5</v>
      </c>
      <c r="G574" s="32">
        <v>6</v>
      </c>
      <c r="H574" s="666">
        <v>9</v>
      </c>
      <c r="I574" s="666">
        <v>9.4350000000000005</v>
      </c>
      <c r="J574" s="32">
        <v>64</v>
      </c>
      <c r="K574" s="32" t="s">
        <v>101</v>
      </c>
      <c r="L574" s="32"/>
      <c r="M574" s="33" t="s">
        <v>134</v>
      </c>
      <c r="N574" s="33"/>
      <c r="O574" s="32">
        <v>40</v>
      </c>
      <c r="P574" s="808" t="s">
        <v>932</v>
      </c>
      <c r="Q574" s="674"/>
      <c r="R574" s="674"/>
      <c r="S574" s="674"/>
      <c r="T574" s="675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933</v>
      </c>
      <c r="B575" s="54" t="s">
        <v>934</v>
      </c>
      <c r="C575" s="31">
        <v>4301060486</v>
      </c>
      <c r="D575" s="671">
        <v>4640242180137</v>
      </c>
      <c r="E575" s="672"/>
      <c r="F575" s="666">
        <v>1.3</v>
      </c>
      <c r="G575" s="32">
        <v>6</v>
      </c>
      <c r="H575" s="666">
        <v>7.8</v>
      </c>
      <c r="I575" s="666">
        <v>8.2349999999999994</v>
      </c>
      <c r="J575" s="32">
        <v>64</v>
      </c>
      <c r="K575" s="32" t="s">
        <v>101</v>
      </c>
      <c r="L575" s="32"/>
      <c r="M575" s="33" t="s">
        <v>108</v>
      </c>
      <c r="N575" s="33"/>
      <c r="O575" s="32">
        <v>40</v>
      </c>
      <c r="P575" s="973" t="s">
        <v>935</v>
      </c>
      <c r="Q575" s="674"/>
      <c r="R575" s="674"/>
      <c r="S575" s="674"/>
      <c r="T575" s="675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933</v>
      </c>
      <c r="B576" s="54" t="s">
        <v>937</v>
      </c>
      <c r="C576" s="31">
        <v>4301060498</v>
      </c>
      <c r="D576" s="671">
        <v>4640242180137</v>
      </c>
      <c r="E576" s="672"/>
      <c r="F576" s="666">
        <v>1.5</v>
      </c>
      <c r="G576" s="32">
        <v>6</v>
      </c>
      <c r="H576" s="666">
        <v>9</v>
      </c>
      <c r="I576" s="666">
        <v>9.4350000000000005</v>
      </c>
      <c r="J576" s="32">
        <v>64</v>
      </c>
      <c r="K576" s="32" t="s">
        <v>101</v>
      </c>
      <c r="L576" s="32"/>
      <c r="M576" s="33" t="s">
        <v>134</v>
      </c>
      <c r="N576" s="33"/>
      <c r="O576" s="32">
        <v>40</v>
      </c>
      <c r="P576" s="981" t="s">
        <v>938</v>
      </c>
      <c r="Q576" s="674"/>
      <c r="R576" s="674"/>
      <c r="S576" s="674"/>
      <c r="T576" s="675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88</v>
      </c>
      <c r="Q577" s="689"/>
      <c r="R577" s="689"/>
      <c r="S577" s="689"/>
      <c r="T577" s="689"/>
      <c r="U577" s="689"/>
      <c r="V577" s="690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88</v>
      </c>
      <c r="Q578" s="689"/>
      <c r="R578" s="689"/>
      <c r="S578" s="689"/>
      <c r="T578" s="689"/>
      <c r="U578" s="689"/>
      <c r="V578" s="690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939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940</v>
      </c>
      <c r="B581" s="54" t="s">
        <v>941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43" t="s">
        <v>942</v>
      </c>
      <c r="Q581" s="674"/>
      <c r="R581" s="674"/>
      <c r="S581" s="674"/>
      <c r="T581" s="675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88</v>
      </c>
      <c r="Q582" s="689"/>
      <c r="R582" s="689"/>
      <c r="S582" s="689"/>
      <c r="T582" s="689"/>
      <c r="U582" s="689"/>
      <c r="V582" s="690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88</v>
      </c>
      <c r="Q583" s="689"/>
      <c r="R583" s="689"/>
      <c r="S583" s="689"/>
      <c r="T583" s="689"/>
      <c r="U583" s="689"/>
      <c r="V583" s="690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138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944</v>
      </c>
      <c r="B585" s="54" t="s">
        <v>945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792" t="s">
        <v>946</v>
      </c>
      <c r="Q585" s="674"/>
      <c r="R585" s="674"/>
      <c r="S585" s="674"/>
      <c r="T585" s="675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88</v>
      </c>
      <c r="Q586" s="689"/>
      <c r="R586" s="689"/>
      <c r="S586" s="689"/>
      <c r="T586" s="689"/>
      <c r="U586" s="689"/>
      <c r="V586" s="690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88</v>
      </c>
      <c r="Q587" s="689"/>
      <c r="R587" s="689"/>
      <c r="S587" s="689"/>
      <c r="T587" s="689"/>
      <c r="U587" s="689"/>
      <c r="V587" s="690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149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948</v>
      </c>
      <c r="B589" s="54" t="s">
        <v>949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22" t="s">
        <v>950</v>
      </c>
      <c r="Q589" s="674"/>
      <c r="R589" s="674"/>
      <c r="S589" s="674"/>
      <c r="T589" s="675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88</v>
      </c>
      <c r="Q590" s="689"/>
      <c r="R590" s="689"/>
      <c r="S590" s="689"/>
      <c r="T590" s="689"/>
      <c r="U590" s="689"/>
      <c r="V590" s="690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88</v>
      </c>
      <c r="Q591" s="689"/>
      <c r="R591" s="689"/>
      <c r="S591" s="689"/>
      <c r="T591" s="689"/>
      <c r="U591" s="689"/>
      <c r="V591" s="690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64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952</v>
      </c>
      <c r="B593" s="54" t="s">
        <v>953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26" t="s">
        <v>954</v>
      </c>
      <c r="Q593" s="674"/>
      <c r="R593" s="674"/>
      <c r="S593" s="674"/>
      <c r="T593" s="675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88</v>
      </c>
      <c r="Q594" s="689"/>
      <c r="R594" s="689"/>
      <c r="S594" s="689"/>
      <c r="T594" s="689"/>
      <c r="U594" s="689"/>
      <c r="V594" s="690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88</v>
      </c>
      <c r="Q595" s="689"/>
      <c r="R595" s="689"/>
      <c r="S595" s="689"/>
      <c r="T595" s="689"/>
      <c r="U595" s="689"/>
      <c r="V595" s="690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956</v>
      </c>
      <c r="Q596" s="805"/>
      <c r="R596" s="805"/>
      <c r="S596" s="805"/>
      <c r="T596" s="805"/>
      <c r="U596" s="805"/>
      <c r="V596" s="806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7695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7748.5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957</v>
      </c>
      <c r="Q597" s="805"/>
      <c r="R597" s="805"/>
      <c r="S597" s="805"/>
      <c r="T597" s="805"/>
      <c r="U597" s="805"/>
      <c r="V597" s="806"/>
      <c r="W597" s="37" t="s">
        <v>69</v>
      </c>
      <c r="X597" s="669">
        <f>IFERROR(SUM(BM22:BM593),"0")</f>
        <v>8199.3640100553039</v>
      </c>
      <c r="Y597" s="669">
        <f>IFERROR(SUM(BN22:BN593),"0")</f>
        <v>8256.4500000000007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958</v>
      </c>
      <c r="Q598" s="805"/>
      <c r="R598" s="805"/>
      <c r="S598" s="805"/>
      <c r="T598" s="805"/>
      <c r="U598" s="805"/>
      <c r="V598" s="806"/>
      <c r="W598" s="37" t="s">
        <v>959</v>
      </c>
      <c r="X598" s="38">
        <f>ROUNDUP(SUM(BO22:BO593),0)</f>
        <v>15</v>
      </c>
      <c r="Y598" s="38">
        <f>ROUNDUP(SUM(BP22:BP593),0)</f>
        <v>15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960</v>
      </c>
      <c r="Q599" s="805"/>
      <c r="R599" s="805"/>
      <c r="S599" s="805"/>
      <c r="T599" s="805"/>
      <c r="U599" s="805"/>
      <c r="V599" s="806"/>
      <c r="W599" s="37" t="s">
        <v>69</v>
      </c>
      <c r="X599" s="669">
        <f>GrossWeightTotal+PalletQtyTotal*25</f>
        <v>8574.3640100553039</v>
      </c>
      <c r="Y599" s="669">
        <f>GrossWeightTotalR+PalletQtyTotalR*25</f>
        <v>8631.4500000000007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961</v>
      </c>
      <c r="Q600" s="805"/>
      <c r="R600" s="805"/>
      <c r="S600" s="805"/>
      <c r="T600" s="805"/>
      <c r="U600" s="805"/>
      <c r="V600" s="806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1586.5598831451773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1600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962</v>
      </c>
      <c r="Q601" s="805"/>
      <c r="R601" s="805"/>
      <c r="S601" s="805"/>
      <c r="T601" s="805"/>
      <c r="U601" s="805"/>
      <c r="V601" s="806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17.98142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698" t="s">
        <v>96</v>
      </c>
      <c r="D603" s="758"/>
      <c r="E603" s="758"/>
      <c r="F603" s="758"/>
      <c r="G603" s="758"/>
      <c r="H603" s="759"/>
      <c r="I603" s="698" t="s">
        <v>284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602</v>
      </c>
      <c r="X603" s="759"/>
      <c r="Y603" s="698" t="s">
        <v>674</v>
      </c>
      <c r="Z603" s="758"/>
      <c r="AA603" s="758"/>
      <c r="AB603" s="759"/>
      <c r="AC603" s="664" t="s">
        <v>749</v>
      </c>
      <c r="AD603" s="698" t="s">
        <v>846</v>
      </c>
      <c r="AE603" s="759"/>
      <c r="AF603" s="665"/>
    </row>
    <row r="604" spans="1:68" ht="14.25" customHeight="1" thickTop="1" x14ac:dyDescent="0.2">
      <c r="A604" s="943" t="s">
        <v>965</v>
      </c>
      <c r="B604" s="698" t="s">
        <v>63</v>
      </c>
      <c r="C604" s="698" t="s">
        <v>97</v>
      </c>
      <c r="D604" s="698" t="s">
        <v>118</v>
      </c>
      <c r="E604" s="698" t="s">
        <v>183</v>
      </c>
      <c r="F604" s="698" t="s">
        <v>214</v>
      </c>
      <c r="G604" s="698" t="s">
        <v>257</v>
      </c>
      <c r="H604" s="698" t="s">
        <v>96</v>
      </c>
      <c r="I604" s="698" t="s">
        <v>285</v>
      </c>
      <c r="J604" s="698" t="s">
        <v>331</v>
      </c>
      <c r="K604" s="698" t="s">
        <v>392</v>
      </c>
      <c r="L604" s="698" t="s">
        <v>439</v>
      </c>
      <c r="M604" s="698" t="s">
        <v>457</v>
      </c>
      <c r="N604" s="665"/>
      <c r="O604" s="698" t="s">
        <v>461</v>
      </c>
      <c r="P604" s="698" t="s">
        <v>474</v>
      </c>
      <c r="Q604" s="698" t="s">
        <v>488</v>
      </c>
      <c r="R604" s="698" t="s">
        <v>498</v>
      </c>
      <c r="S604" s="698" t="s">
        <v>502</v>
      </c>
      <c r="T604" s="698" t="s">
        <v>510</v>
      </c>
      <c r="U604" s="698" t="s">
        <v>515</v>
      </c>
      <c r="V604" s="698" t="s">
        <v>589</v>
      </c>
      <c r="W604" s="698" t="s">
        <v>603</v>
      </c>
      <c r="X604" s="698" t="s">
        <v>644</v>
      </c>
      <c r="Y604" s="698" t="s">
        <v>675</v>
      </c>
      <c r="Z604" s="698" t="s">
        <v>714</v>
      </c>
      <c r="AA604" s="698" t="s">
        <v>734</v>
      </c>
      <c r="AB604" s="698" t="s">
        <v>742</v>
      </c>
      <c r="AC604" s="698" t="s">
        <v>749</v>
      </c>
      <c r="AD604" s="698" t="s">
        <v>846</v>
      </c>
      <c r="AE604" s="698" t="s">
        <v>939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526.5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158.57999999999998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246.9</v>
      </c>
      <c r="G606" s="46">
        <f>IFERROR(Y135*1,"0")+IFERROR(Y136*1,"0")+IFERROR(Y140*1,"0")+IFERROR(Y141*1,"0")+IFERROR(Y145*1,"0")+IFERROR(Y146*1,"0")</f>
        <v>235.92000000000002</v>
      </c>
      <c r="H606" s="46">
        <f>IFERROR(Y151*1,"0")+IFERROR(Y155*1,"0")+IFERROR(Y156*1,"0")+IFERROR(Y157*1,"0")+IFERROR(Y161*1,"0")</f>
        <v>20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268.8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641.4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950.40000000000009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42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3924.6</v>
      </c>
      <c r="V606" s="46">
        <f>IFERROR(Y371*1,"0")+IFERROR(Y375*1,"0")+IFERROR(Y376*1,"0")+IFERROR(Y377*1,"0")</f>
        <v>349.2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80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225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79.2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8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329 X384 X386 X389 X396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2025-04-29T10:20:06Z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